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車両\BEV\ソフトPKG\svn\Bev_rebase\src\PE1VM1\BSW\Memory\Rim\tool\"/>
    </mc:Choice>
  </mc:AlternateContent>
  <xr:revisionPtr revIDLastSave="0" documentId="13_ncr:1_{B330D822-425C-4592-8D8E-4DC579D91EC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" i="2" l="1"/>
  <c r="E38" i="2"/>
  <c r="E39" i="2"/>
  <c r="E40" i="2"/>
  <c r="T13" i="12" l="1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<sst xmlns="http://schemas.openxmlformats.org/spreadsheetml/2006/main" count="2070" uniqueCount="569">
  <si>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</si>
  <si>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</si>
  <si>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</si>
  <si>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</si>
  <si>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</si>
  <si>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</si>
  <si>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</si>
  <si>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</si>
  <si>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</si>
  <si>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</si>
  <si>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</si>
  <si>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</si>
  <si>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</si>
  <si>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</si>
  <si>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</si>
  <si>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</si>
  <si>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</si>
  <si>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</si>
  <si>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</si>
  <si>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</si>
  <si>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</si>
  <si>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</si>
  <si>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</si>
  <si>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</si>
  <si>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</si>
  <si>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</si>
  <si>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</si>
  <si>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</si>
  <si>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</si>
  <si>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</si>
  <si>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</si>
  <si>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</si>
  <si>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</si>
  <si>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</si>
  <si>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</si>
  <si>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</si>
  <si>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</si>
  <si>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</si>
  <si>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</si>
  <si>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</si>
  <si>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</si>
  <si>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</si>
  <si>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</si>
  <si>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</si>
  <si>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</si>
  <si>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</si>
  <si>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</si>
  <si>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</si>
  <si>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</si>
  <si>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</si>
  <si>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</si>
  <si>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</si>
  <si>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</si>
  <si>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</si>
  <si>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</si>
  <si>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</si>
  <si>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</si>
  <si>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</si>
  <si>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</si>
  <si>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</si>
  <si>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</si>
  <si>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</si>
  <si>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</si>
  <si>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</si>
  <si>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</si>
  <si>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</si>
  <si>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</si>
  <si>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</si>
  <si>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</si>
  <si>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</si>
  <si>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</si>
  <si>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</si>
  <si>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</si>
  <si>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</si>
  <si>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</si>
  <si>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</si>
  <si>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</si>
  <si>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</si>
  <si>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</si>
  <si>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</si>
  <si>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</si>
  <si>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</si>
  <si>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</si>
  <si>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</si>
  <si>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</si>
  <si>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</si>
  <si>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</si>
  <si>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</si>
  <si>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</si>
  <si>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</si>
  <si>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</si>
  <si>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</si>
  <si>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</si>
  <si>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</si>
  <si>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</si>
  <si>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</si>
  <si>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</si>
  <si>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</si>
  <si>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</si>
  <si>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</si>
  <si>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</si>
  <si>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</si>
  <si>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</si>
  <si>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</si>
  <si>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</si>
  <si>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</si>
  <si>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</si>
  <si>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</si>
  <si>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</si>
  <si>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</si>
  <si>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</si>
  <si>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</si>
  <si>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</si>
  <si>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</si>
  <si>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</si>
  <si>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</si>
  <si>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</si>
  <si>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</si>
  <si>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</si>
  <si>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</si>
  <si>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</si>
  <si>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</si>
  <si>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</si>
  <si>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</si>
  <si>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</si>
  <si>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</si>
  <si>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</si>
  <si>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</si>
  <si>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</si>
  <si>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</si>
  <si>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</si>
  <si>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</si>
  <si>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</si>
  <si>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</si>
  <si>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</si>
  <si>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</si>
  <si>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</si>
  <si>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</si>
  <si>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</si>
  <si>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</si>
  <si>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</si>
  <si>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</si>
  <si>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</si>
  <si>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</si>
  <si>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</si>
  <si>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</si>
  <si>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</si>
  <si>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</si>
  <si>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</si>
  <si>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</si>
  <si>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</si>
  <si>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</si>
  <si>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</si>
  <si>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</si>
  <si>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</si>
  <si>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</si>
  <si>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</si>
  <si>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</si>
  <si>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</si>
  <si>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</si>
  <si>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</si>
  <si>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</si>
  <si>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</si>
  <si>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</si>
  <si>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</si>
  <si>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</si>
  <si>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</si>
  <si>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</si>
  <si>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</si>
  <si>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</si>
  <si>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</si>
  <si>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</si>
  <si>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</si>
  <si>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</si>
  <si>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</si>
  <si>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</si>
  <si>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</si>
  <si>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</si>
  <si>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</si>
  <si>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</si>
  <si>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</si>
  <si>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</si>
  <si>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</si>
  <si>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</si>
  <si>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</si>
  <si>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</si>
  <si>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</si>
  <si>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</si>
  <si>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</si>
  <si>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</si>
  <si>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</si>
  <si>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</si>
  <si>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</si>
  <si>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</si>
  <si>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</si>
  <si>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</si>
  <si>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</si>
  <si>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</si>
  <si>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</si>
  <si>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</si>
  <si>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</si>
  <si>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</si>
  <si>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</si>
  <si>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</si>
  <si>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</si>
  <si>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</si>
  <si>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</si>
  <si>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</si>
  <si>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</si>
  <si>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</si>
  <si>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</si>
  <si>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</si>
  <si>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</si>
  <si>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</si>
  <si>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</si>
  <si>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</si>
  <si>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</si>
  <si>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</si>
  <si>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</si>
  <si>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</si>
  <si>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</si>
  <si>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</si>
  <si>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</si>
  <si>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</si>
  <si>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</si>
  <si>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</si>
  <si>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</si>
  <si>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</si>
  <si>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</si>
  <si>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</si>
  <si>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</si>
  <si>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</si>
  <si>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</si>
  <si>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</si>
  <si>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</si>
  <si>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</si>
  <si>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</si>
  <si>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</si>
  <si>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</si>
  <si>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</si>
  <si>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</si>
  <si>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</si>
  <si>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</si>
  <si>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</si>
  <si>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</si>
  <si>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</si>
  <si>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</si>
  <si>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</si>
  <si>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</si>
  <si>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</si>
  <si>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</si>
  <si>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</si>
  <si>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</si>
  <si>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</si>
  <si>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</si>
  <si>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</si>
  <si>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</si>
  <si>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</si>
  <si>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</si>
  <si>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</si>
  <si>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</si>
  <si>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</si>
  <si>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</si>
  <si>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</si>
  <si>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</si>
  <si>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</si>
  <si>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</si>
  <si>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</si>
  <si>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</si>
  <si>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</si>
  <si>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</si>
  <si>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</si>
  <si>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</si>
  <si>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</si>
  <si>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</si>
  <si>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</si>
  <si>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</si>
  <si>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</si>
  <si>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</si>
  <si>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</si>
  <si>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</si>
  <si>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</si>
  <si>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</si>
  <si>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</si>
  <si>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</si>
  <si>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</si>
  <si>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</si>
  <si>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</si>
  <si>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</si>
  <si>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</si>
  <si>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</si>
  <si>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</si>
  <si>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</si>
  <si>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</si>
  <si>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</si>
  <si>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</si>
  <si>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</si>
  <si>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</si>
  <si>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</si>
  <si>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</si>
  <si>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</si>
  <si>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</si>
  <si>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</si>
  <si>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</si>
  <si>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</si>
  <si>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</si>
  <si>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</si>
  <si>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</si>
  <si>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</si>
  <si>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</si>
  <si>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</si>
  <si>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</si>
  <si>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</si>
  <si>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</si>
  <si>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</si>
  <si>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</si>
  <si>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</si>
  <si>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</si>
  <si>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</si>
  <si>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</si>
  <si>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</si>
  <si>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</si>
  <si>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</si>
  <si>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</si>
  <si>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</si>
  <si>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</si>
  <si>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</si>
  <si>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</si>
  <si>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</si>
  <si>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</si>
  <si>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</si>
  <si>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</si>
  <si>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</si>
  <si>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</si>
  <si>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</si>
  <si>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</si>
  <si>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</si>
  <si>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</si>
  <si>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</si>
  <si>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</si>
  <si>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</si>
  <si>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</si>
  <si>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</si>
  <si>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</si>
  <si>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</si>
  <si>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</si>
  <si>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</si>
  <si>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</si>
  <si>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</si>
  <si>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</si>
  <si>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</si>
  <si>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</si>
  <si>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</si>
  <si>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</si>
  <si>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</si>
  <si>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</si>
  <si>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</si>
  <si>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</si>
  <si>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</si>
  <si>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</si>
  <si>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</si>
  <si>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</si>
  <si>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</si>
  <si>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</si>
  <si>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</si>
  <si>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</si>
  <si>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</si>
  <si>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</si>
  <si>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</si>
  <si>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</si>
  <si>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</si>
  <si>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</si>
  <si>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</si>
  <si>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</si>
  <si>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</si>
  <si>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</si>
  <si>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</si>
  <si>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</si>
  <si>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</si>
  <si>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</si>
  <si>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</si>
  <si>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</si>
  <si>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</si>
  <si>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</si>
  <si>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</si>
  <si>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</si>
  <si>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</si>
  <si>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</si>
  <si>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</si>
  <si>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</si>
  <si>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</si>
  <si>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</si>
  <si>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</si>
  <si>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</si>
  <si>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</si>
  <si>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</si>
  <si>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</si>
  <si>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</si>
  <si>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</si>
  <si>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</si>
  <si>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</si>
  <si>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</si>
  <si>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</si>
  <si>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</si>
  <si>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</si>
  <si>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</si>
  <si>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</si>
  <si>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</si>
  <si>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</si>
  <si>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</si>
  <si>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</si>
  <si>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</si>
  <si>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</si>
  <si>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</si>
  <si>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</si>
  <si>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</si>
  <si>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</si>
  <si>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</si>
  <si>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</si>
  <si>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</si>
  <si>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</si>
  <si>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</si>
  <si>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</si>
  <si>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</si>
  <si>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</si>
  <si>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</si>
  <si>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</si>
  <si>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</si>
  <si>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</si>
  <si>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</si>
  <si>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</si>
  <si>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</si>
  <si>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</si>
  <si>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</si>
  <si>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</si>
  <si>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</si>
  <si>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</si>
  <si>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</si>
  <si>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</si>
  <si>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</si>
  <si>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</si>
  <si>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</si>
  <si>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</si>
  <si>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</si>
  <si>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</si>
  <si>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</si>
  <si>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</si>
  <si>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</si>
  <si>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</si>
  <si>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</si>
  <si>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</si>
  <si>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</si>
  <si>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</si>
  <si>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</si>
  <si>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</si>
  <si>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</si>
  <si>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</si>
  <si>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</si>
  <si>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</si>
  <si>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</si>
  <si>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</si>
  <si>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</si>
  <si>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</si>
  <si>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</si>
  <si>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</si>
  <si>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</si>
  <si>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</si>
  <si>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NVMC_ST_DTF_010</t>
  </si>
  <si>
    <t>NVMC_ST_DTF_011</t>
  </si>
  <si>
    <t>RIMID_U2_NVMC_DA_DTF_WRI_009</t>
  </si>
  <si>
    <t>0x4001U</t>
  </si>
  <si>
    <t>RIMID_U2_NVMC_DA_DTF_WRI_010</t>
  </si>
  <si>
    <t>0x4002U</t>
  </si>
  <si>
    <t>RIMID_U2_NVMC_DA_DTF_WRI_011</t>
  </si>
  <si>
    <t>0x4003U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</si>
  <si>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</si>
  <si>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</si>
  <si>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</si>
  <si>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</si>
  <si>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</si>
  <si>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</si>
  <si>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</si>
  <si>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</si>
  <si>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</si>
  <si>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</si>
  <si>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</si>
  <si>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</si>
  <si>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</si>
  <si>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</si>
  <si>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</si>
  <si>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</si>
  <si>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</si>
  <si>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</si>
  <si>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</si>
  <si>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</si>
  <si>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</si>
  <si>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</si>
  <si>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</si>
  <si>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</si>
  <si>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</si>
  <si>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</si>
  <si>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</si>
  <si>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</si>
  <si>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</si>
  <si>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</si>
  <si>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</si>
  <si>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</si>
  <si>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</si>
  <si>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</si>
  <si>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</si>
  <si>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</si>
  <si>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</si>
  <si>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</si>
  <si>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</si>
  <si>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</si>
  <si>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</si>
  <si>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</si>
  <si>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</si>
  <si>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</si>
  <si>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</si>
  <si>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</si>
  <si>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</si>
  <si>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</si>
  <si>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</si>
  <si>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</si>
  <si>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</si>
  <si>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</si>
  <si>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</si>
  <si>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</si>
  <si>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</si>
  <si>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#define RIMID_U2_NVMC_DA_DTF_WRI_010             (0x4003U)</t>
  </si>
  <si>
    <t>0x4004U</t>
  </si>
  <si>
    <t>#define RIMID_U2_NVMC_DA_DTF_WRI_011             (0x4004U)</t>
  </si>
  <si>
    <t>#define RIM_MOD_3BRAM_U2_ID_NUM                  (5U)</t>
  </si>
  <si>
    <t>ILLUMI_LOUNGE</t>
  </si>
  <si>
    <t>Illumi</t>
  </si>
  <si>
    <t>▲4</t>
  </si>
  <si>
    <t>Ver00</t>
    <phoneticPr fontId="2"/>
  </si>
  <si>
    <t>DT大石和虎</t>
    <rPh sb="2" eb="6">
      <t>オオイシカズトラ</t>
    </rPh>
    <phoneticPr fontId="2"/>
  </si>
  <si>
    <t>RIMID_U1_ILLUMI_LOUNGE</t>
  </si>
  <si>
    <t>0x0401U</t>
  </si>
  <si>
    <t>#define RIMID_U1_ILLUMI_LOUNGE                   (0x0401U)</t>
  </si>
  <si>
    <t>#define RIM_MOD_1BRAM_U1_ID_NUM                  (2U)</t>
  </si>
  <si>
    <t>BEV illimiリベース対応
・ラウンジイルミ消灯/点灯情報追加</t>
    <rPh sb="14" eb="16">
      <t>タイオウ</t>
    </rPh>
    <rPh sb="25" eb="27">
      <t>ショウトウ</t>
    </rPh>
    <rPh sb="28" eb="30">
      <t>テントウ</t>
    </rPh>
    <rPh sb="30" eb="32">
      <t>ジョウホウ</t>
    </rPh>
    <rPh sb="32" eb="34">
      <t>ツイカ</t>
    </rPh>
    <phoneticPr fontId="9"/>
  </si>
  <si>
    <t>▲5</t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</si>
  <si>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</si>
  <si>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</si>
  <si>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VDF_DST_IDX</t>
    <phoneticPr fontId="2"/>
  </si>
  <si>
    <t>Vardef</t>
  </si>
  <si>
    <t>VDF_LANG_DST_IDX</t>
    <phoneticPr fontId="2"/>
  </si>
  <si>
    <t>RIMID_U1_VDF_DST_IDX</t>
  </si>
  <si>
    <t>#define RIMID_U1_VDF_DST_IDX                     (0x0004U)</t>
  </si>
  <si>
    <t>RIMID_U1_VDF_LANG_DST_IDX</t>
  </si>
  <si>
    <t>#define RIMID_U1_VDF_LANG_DST_IDX                (0x0005U)</t>
  </si>
  <si>
    <t>#define RIMID_U1_NVMC_ST_DTF_000                 (0x0006U)</t>
  </si>
  <si>
    <t>#define RIMID_U1_NVMC_ST_DTF_001                 (0x0007U)</t>
  </si>
  <si>
    <t>#define RIMID_U1_NVMC_ST_DTF_002                 (0x0008U)</t>
  </si>
  <si>
    <t>#define RIMID_U1_NVMC_ST_DTF_003                 (0x0009U)</t>
  </si>
  <si>
    <t>#define RIMID_U1_NVMC_ST_DTF_004                 (0x000AU)</t>
  </si>
  <si>
    <t>#define RIMID_U1_NVMC_ST_DTF_005                 (0x000BU)</t>
  </si>
  <si>
    <t>#define RIMID_U1_NVMC_ST_DTF_006                 (0x000CU)</t>
  </si>
  <si>
    <t>#define RIMID_U1_NVMC_ST_DTF_007                 (0x000DU)</t>
  </si>
  <si>
    <t>#define RIMID_U1_NVMC_ST_DTF_008                 (0x000EU)</t>
  </si>
  <si>
    <t>#define RIMID_U1_NVMC_ST_DTF_009                 (0x000FU)</t>
  </si>
  <si>
    <t>0x0010U</t>
  </si>
  <si>
    <t>#define RIMID_U1_NVMC_ST_DTF_010                 (0x0010U)</t>
  </si>
  <si>
    <t>0x0011U</t>
  </si>
  <si>
    <t>#define RIMID_U1_NVMC_ST_DTF_011                 (0x0011U)</t>
  </si>
  <si>
    <t>#define RIM_MOD_3BRAM_U1_ID_NUM                  (18U)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</si>
</sst>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rgb="FFFF0000"/>
      <name val="Tahoma"/>
      <family val="2"/>
    </font>
    <font>
      <sz val="11"/>
      <color rgb="FFFF0000"/>
      <name val="Tahoma"/>
      <family val="2"/>
      <charset val="128"/>
    </font>
    <font>
      <sz val="11"/>
      <color theme="1"/>
      <name val="Tahoma"/>
      <family val="2"/>
      <charset val="128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1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9" fillId="9" borderId="1" xfId="1" applyFont="1" applyFill="1" applyBorder="1">
      <alignment vertical="center"/>
    </xf>
    <xf numFmtId="0" fontId="26" fillId="0" borderId="1" xfId="0" applyFont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6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9525</xdr:colOff>
          <xdr:row>42</xdr:row>
          <xdr:rowOff>133350</xdr:rowOff>
        </xdr:from>
        <xdr:to>
          <xdr:col>36</xdr:col>
          <xdr:colOff>93569</xdr:colOff>
          <xdr:row>45</xdr:row>
          <xdr:rowOff>76200</xdr:rowOff>
        </xdr:to>
        <xdr:sp macro="" textlink="">
          <xdr:nvSpPr>
            <xdr:cNvPr id="1025" name="inei1_佐古 竜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28575</xdr:colOff>
          <xdr:row>45</xdr:row>
          <xdr:rowOff>95250</xdr:rowOff>
        </xdr:from>
        <xdr:to>
          <xdr:col>39</xdr:col>
          <xdr:colOff>28575</xdr:colOff>
          <xdr:row>48</xdr:row>
          <xdr:rowOff>47625</xdr:rowOff>
        </xdr:to>
        <xdr:sp macro="" textlink="">
          <xdr:nvSpPr>
            <xdr:cNvPr id="1026" name="inei2_大石 和虎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0</xdr:colOff>
          <xdr:row>42</xdr:row>
          <xdr:rowOff>142875</xdr:rowOff>
        </xdr:from>
        <xdr:to>
          <xdr:col>39</xdr:col>
          <xdr:colOff>0</xdr:colOff>
          <xdr:row>45</xdr:row>
          <xdr:rowOff>85725</xdr:rowOff>
        </xdr:to>
        <xdr:sp macro="" textlink="">
          <xdr:nvSpPr>
            <xdr:cNvPr id="1027" name="inei3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309B9DC-1769-9574-5C02-D57FC8AAB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1630680</xdr:colOff>
          <xdr:row>17</xdr:row>
          <xdr:rowOff>175260</xdr:rowOff>
        </xdr:from>
        <xdr:to>
          <xdr:col>3</xdr:col>
          <xdr:colOff>2202180</xdr:colOff>
          <xdr:row>21</xdr:row>
          <xdr:rowOff>15240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7</xdr:row>
          <xdr:rowOff>57150</xdr:rowOff>
        </xdr:from>
        <xdr:to>
          <xdr:col>3</xdr:col>
          <xdr:colOff>323850</xdr:colOff>
          <xdr:row>9</xdr:row>
          <xdr:rowOff>53340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9</xdr:row>
          <xdr:rowOff>91440</xdr:rowOff>
        </xdr:from>
        <xdr:to>
          <xdr:col>4</xdr:col>
          <xdr:colOff>15240</xdr:colOff>
          <xdr:row>11</xdr:row>
          <xdr:rowOff>95250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11</xdr:row>
          <xdr:rowOff>121920</xdr:rowOff>
        </xdr:from>
        <xdr:to>
          <xdr:col>3</xdr:col>
          <xdr:colOff>323850</xdr:colOff>
          <xdr:row>13</xdr:row>
          <xdr:rowOff>91440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13</xdr:row>
          <xdr:rowOff>167640</xdr:rowOff>
        </xdr:from>
        <xdr:to>
          <xdr:col>3</xdr:col>
          <xdr:colOff>323850</xdr:colOff>
          <xdr:row>15</xdr:row>
          <xdr:rowOff>133350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</xdr:colOff>
      <xdr:row>70</xdr:row>
      <xdr:rowOff>28576</xdr:rowOff>
    </xdr:from>
    <xdr:to>
      <xdr:col>12</xdr:col>
      <xdr:colOff>365759</xdr:colOff>
      <xdr:row>76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5884" y="114300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388620</xdr:colOff>
          <xdr:row>1</xdr:row>
          <xdr:rowOff>167640</xdr:rowOff>
        </xdr:from>
        <xdr:to>
          <xdr:col>4</xdr:col>
          <xdr:colOff>1190625</xdr:colOff>
          <xdr:row>4</xdr:row>
          <xdr:rowOff>3362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1.概述"/>
      <sheetName val="V200複合試験_担当分け_(2)1"/>
      <sheetName val="Spec_List_(19MC-DCM)_1"/>
      <sheetName val="Cooling_Unit"/>
      <sheetName val="OpenIssueList"/>
      <sheetName val="ECU基盤"/>
      <sheetName val="Name2"/>
      <sheetName val="Name3"/>
      <sheetName val="Company"/>
      <sheetName val="Name"/>
      <sheetName val="PullDown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字段定义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  <sheetName val="改訂履歴"/>
      <sheetName val="Sheet1"/>
      <sheetName val="⑥フューエル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XSSマイコン依存部 (基本設定)"/>
      <sheetName val="信息定义"/>
      <sheetName val="CS2_SmcDriverインテグ項目"/>
      <sheetName val="議事・勧告一覧"/>
      <sheetName val="rom map"/>
      <sheetName val="发行控制"/>
      <sheetName val="Data Definition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NCastalone"/>
      <sheetName val="dongia (2)"/>
      <sheetName val="Volumes"/>
      <sheetName val="⑪1ﾊﾞﾘｴｰｼｮﾝ(16LX)△１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PROFILE"/>
      <sheetName val="本修正_DIFF "/>
      <sheetName val="Sector Assignment"/>
      <sheetName val="１次原価"/>
      <sheetName val="Type I"/>
      <sheetName val="Schedule PM"/>
      <sheetName val="training forklift"/>
      <sheetName val="DBシート"/>
      <sheetName val="Proses_Mesin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課題管理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option"/>
      <sheetName val="追加検討（調光外部出力）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XSSマイコン依存部 (基本設定)"/>
      <sheetName val="ハード"/>
      <sheetName val="DataList"/>
      <sheetName val="FMEA記載方法"/>
      <sheetName val="計画"/>
      <sheetName val="字段定义"/>
      <sheetName val="rom map"/>
      <sheetName val="議事・勧告一覧"/>
      <sheetName val="excludedmodels"/>
      <sheetName val="#入力規則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パラメータ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改正履歴"/>
      <sheetName val="リスト選択用"/>
      <sheetName val="变更履历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>
        <row r="1">
          <cell r="B1" t="str">
            <v>1</v>
          </cell>
        </row>
      </sheetData>
      <sheetData sheetId="487">
        <row r="1">
          <cell r="B1" t="str">
            <v>1</v>
          </cell>
        </row>
      </sheetData>
      <sheetData sheetId="488">
        <row r="1">
          <cell r="B1" t="str">
            <v>1</v>
          </cell>
        </row>
      </sheetData>
      <sheetData sheetId="489">
        <row r="1">
          <cell r="B1" t="str">
            <v>1</v>
          </cell>
        </row>
      </sheetData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>
        <row r="1">
          <cell r="B1" t="str">
            <v>1</v>
          </cell>
        </row>
      </sheetData>
      <sheetData sheetId="521">
        <row r="1">
          <cell r="B1" t="str">
            <v>1</v>
          </cell>
        </row>
      </sheetData>
      <sheetData sheetId="522">
        <row r="1">
          <cell r="B1" t="str">
            <v>1</v>
          </cell>
        </row>
      </sheetData>
      <sheetData sheetId="523">
        <row r="1">
          <cell r="B1" t="str">
            <v>1</v>
          </cell>
        </row>
      </sheetData>
      <sheetData sheetId="524">
        <row r="1">
          <cell r="B1" t="str">
            <v>1</v>
          </cell>
        </row>
      </sheetData>
      <sheetData sheetId="525">
        <row r="1">
          <cell r="B1" t="str">
            <v>1</v>
          </cell>
        </row>
      </sheetData>
      <sheetData sheetId="526">
        <row r="1">
          <cell r="B1" t="str">
            <v>1</v>
          </cell>
        </row>
      </sheetData>
      <sheetData sheetId="527">
        <row r="1">
          <cell r="B1" t="str">
            <v>1</v>
          </cell>
        </row>
      </sheetData>
      <sheetData sheetId="528">
        <row r="1">
          <cell r="B1" t="str">
            <v>1</v>
          </cell>
        </row>
      </sheetData>
      <sheetData sheetId="529">
        <row r="1">
          <cell r="B1" t="str">
            <v>1</v>
          </cell>
        </row>
      </sheetData>
      <sheetData sheetId="530">
        <row r="1">
          <cell r="B1" t="str">
            <v>1</v>
          </cell>
        </row>
      </sheetData>
      <sheetData sheetId="531">
        <row r="1">
          <cell r="B1" t="str">
            <v>1</v>
          </cell>
        </row>
      </sheetData>
      <sheetData sheetId="532">
        <row r="1">
          <cell r="B1" t="str">
            <v>1</v>
          </cell>
        </row>
      </sheetData>
      <sheetData sheetId="533">
        <row r="1">
          <cell r="B1" t="str">
            <v>1</v>
          </cell>
        </row>
      </sheetData>
      <sheetData sheetId="534">
        <row r="1">
          <cell r="B1" t="str">
            <v>1</v>
          </cell>
        </row>
      </sheetData>
      <sheetData sheetId="535">
        <row r="1">
          <cell r="B1" t="str">
            <v>1</v>
          </cell>
        </row>
      </sheetData>
      <sheetData sheetId="536">
        <row r="1">
          <cell r="B1" t="str">
            <v>1</v>
          </cell>
        </row>
      </sheetData>
      <sheetData sheetId="537">
        <row r="1">
          <cell r="B1" t="str">
            <v>1</v>
          </cell>
        </row>
      </sheetData>
      <sheetData sheetId="538">
        <row r="1">
          <cell r="B1" t="str">
            <v>1</v>
          </cell>
        </row>
      </sheetData>
      <sheetData sheetId="539">
        <row r="1">
          <cell r="B1" t="str">
            <v>1</v>
          </cell>
        </row>
      </sheetData>
      <sheetData sheetId="540">
        <row r="1">
          <cell r="B1" t="str">
            <v>1</v>
          </cell>
        </row>
      </sheetData>
      <sheetData sheetId="541">
        <row r="1">
          <cell r="B1" t="str">
            <v>1</v>
          </cell>
        </row>
      </sheetData>
      <sheetData sheetId="542">
        <row r="1">
          <cell r="B1" t="str">
            <v>1</v>
          </cell>
        </row>
      </sheetData>
      <sheetData sheetId="543">
        <row r="1">
          <cell r="B1" t="str">
            <v>1</v>
          </cell>
        </row>
      </sheetData>
      <sheetData sheetId="544">
        <row r="1">
          <cell r="B1" t="str">
            <v>1</v>
          </cell>
        </row>
      </sheetData>
      <sheetData sheetId="545">
        <row r="1">
          <cell r="B1" t="str">
            <v>1</v>
          </cell>
        </row>
      </sheetData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3">
          <cell r="B3" t="str">
            <v>TOYOTA   TSUSHO  PHILIPPINES CORPORATION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/>
      <sheetData sheetId="1405"/>
      <sheetData sheetId="1406" refreshError="1"/>
      <sheetData sheetId="1407"/>
      <sheetData sheetId="1408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 refreshError="1"/>
      <sheetData sheetId="1435">
        <row r="3">
          <cell r="C3" t="str">
            <v>2022年</v>
          </cell>
        </row>
      </sheetData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/>
      <sheetData sheetId="1518">
        <row r="1">
          <cell r="B1" t="str">
            <v>1</v>
          </cell>
        </row>
      </sheetData>
      <sheetData sheetId="1519"/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/>
      <sheetData sheetId="1524">
        <row r="1">
          <cell r="B1" t="str">
            <v>1</v>
          </cell>
        </row>
      </sheetData>
      <sheetData sheetId="1525"/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/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>
        <row r="3">
          <cell r="B3" t="str">
            <v>TOYOTA   TSUSHO  PHILIPPINES CORPORATION</v>
          </cell>
        </row>
      </sheetData>
      <sheetData sheetId="3078">
        <row r="3">
          <cell r="B3" t="str">
            <v>TOYOTA   TSUSHO  PHILIPPINES CORPORATION</v>
          </cell>
        </row>
      </sheetData>
      <sheetData sheetId="3079">
        <row r="3">
          <cell r="B3" t="str">
            <v>TOYOTA   TSUSHO  PHILIPPINES CORPORATION</v>
          </cell>
        </row>
      </sheetData>
      <sheetData sheetId="3080">
        <row r="3">
          <cell r="B3" t="str">
            <v>TOYOTA   TSUSHO  PHILIPPINES CORPORATION</v>
          </cell>
        </row>
      </sheetData>
      <sheetData sheetId="3081">
        <row r="3">
          <cell r="B3" t="str">
            <v>TOYOTA   TSUSHO  PHILIPPINES CORPORATION</v>
          </cell>
        </row>
      </sheetData>
      <sheetData sheetId="3082">
        <row r="3">
          <cell r="B3" t="str">
            <v>TOYOTA   TSUSHO  PHILIPPINES CORPORATION</v>
          </cell>
        </row>
      </sheetData>
      <sheetData sheetId="3083">
        <row r="3">
          <cell r="B3" t="str">
            <v>TOYOTA   TSUSHO  PHILIPPINES CORPORATION</v>
          </cell>
        </row>
      </sheetData>
      <sheetData sheetId="3084">
        <row r="3">
          <cell r="B3" t="str">
            <v>TOYOTA   TSUSHO  PHILIPPINES CORPORATION</v>
          </cell>
        </row>
      </sheetData>
      <sheetData sheetId="3085">
        <row r="3">
          <cell r="B3" t="str">
            <v>TOYOTA   TSUSHO  PHILIPPINES CORPORATION</v>
          </cell>
        </row>
      </sheetData>
      <sheetData sheetId="3086">
        <row r="3">
          <cell r="B3" t="str">
            <v>TOYOTA   TSUSHO  PHILIPPINES CORPORATION</v>
          </cell>
        </row>
      </sheetData>
      <sheetData sheetId="3087">
        <row r="3">
          <cell r="B3" t="str">
            <v>TOYOTA   TSUSHO  PHILIPPINES CORPORATION</v>
          </cell>
        </row>
      </sheetData>
      <sheetData sheetId="3088">
        <row r="3">
          <cell r="B3" t="str">
            <v>TOYOTA   TSUSHO  PHILIPPINES CORPORATION</v>
          </cell>
        </row>
      </sheetData>
      <sheetData sheetId="3089">
        <row r="3">
          <cell r="B3" t="str">
            <v>TOYOTA   TSUSHO  PHILIPPINES CORPORATION</v>
          </cell>
        </row>
      </sheetData>
      <sheetData sheetId="3090">
        <row r="3">
          <cell r="B3" t="str">
            <v>TOYOTA   TSUSHO  PHILIPPINES CORPORATION</v>
          </cell>
        </row>
      </sheetData>
      <sheetData sheetId="3091">
        <row r="3">
          <cell r="B3" t="str">
            <v>TOYOTA   TSUSHO  PHILIPPINES CORPORATION</v>
          </cell>
        </row>
      </sheetData>
      <sheetData sheetId="3092">
        <row r="3">
          <cell r="B3" t="str">
            <v>TOYOTA   TSUSHO  PHILIPPINES CORPORATION</v>
          </cell>
        </row>
      </sheetData>
      <sheetData sheetId="3093">
        <row r="3">
          <cell r="B3" t="str">
            <v>TOYOTA   TSUSHO  PHILIPPINES CORPORATION</v>
          </cell>
        </row>
      </sheetData>
      <sheetData sheetId="3094">
        <row r="3">
          <cell r="B3" t="str">
            <v>TOYOTA   TSUSHO  PHILIPPINES CORPORATION</v>
          </cell>
        </row>
      </sheetData>
      <sheetData sheetId="3095">
        <row r="3">
          <cell r="B3" t="str">
            <v>TOYOTA   TSUSHO  PHILIPPINES CORPORATION</v>
          </cell>
        </row>
      </sheetData>
      <sheetData sheetId="3096">
        <row r="3">
          <cell r="B3" t="str">
            <v>TOYOTA   TSUSHO  PHILIPPINES CORPORATION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5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tabSelected="1" view="pageBreakPreview" topLeftCell="A24" zoomScaleNormal="100" zoomScaleSheetLayoutView="100" workbookViewId="0">
      <selection activeCell="AT47" sqref="AT47"/>
    </sheetView>
  </sheetViews>
  <sheetFormatPr defaultColWidth="8.109375" defaultRowHeight="15" x14ac:dyDescent="0.2"/>
  <cols>
    <col min="1" max="52" width="2.109375" style="68" customWidth="1"/>
    <col min="53" max="16384" width="8.109375" style="68"/>
  </cols>
  <sheetData>
    <row r="1" spans="6:20" ht="13.05" customHeight="1" x14ac:dyDescent="0.2"/>
    <row r="2" spans="6:20" ht="13.05" customHeight="1" x14ac:dyDescent="0.2"/>
    <row r="3" spans="6:20" ht="13.05" customHeight="1" x14ac:dyDescent="0.2"/>
    <row r="4" spans="6:20" ht="13.05" customHeight="1" x14ac:dyDescent="0.2"/>
    <row r="5" spans="6:20" ht="13.05" customHeight="1" x14ac:dyDescent="0.2"/>
    <row r="6" spans="6:20" ht="13.05" customHeight="1" x14ac:dyDescent="0.2"/>
    <row r="7" spans="6:20" ht="13.05" customHeight="1" x14ac:dyDescent="0.2"/>
    <row r="8" spans="6:20" ht="13.05" customHeight="1" x14ac:dyDescent="0.2"/>
    <row r="9" spans="6:20" ht="13.05" customHeight="1" x14ac:dyDescent="0.2"/>
    <row r="10" spans="6:20" ht="13.05" customHeight="1" x14ac:dyDescent="0.2">
      <c r="F10" s="69"/>
    </row>
    <row r="11" spans="6:20" ht="13.05" customHeight="1" x14ac:dyDescent="0.2"/>
    <row r="12" spans="6:20" ht="13.05" customHeight="1" x14ac:dyDescent="0.2"/>
    <row r="13" spans="6:20" ht="13.05" customHeight="1" x14ac:dyDescent="0.2">
      <c r="T13" s="70" t="str">
        <f ca="1">MID(CELL("filename",A1),FIND("[",CELL("filename",A1))+1,FIND("]",CELL("filename",A1))-FIND("[",CELL("filename",A1))-1)</f>
        <v>BEV_CDC_RIM_Parameter_Setting.xlsm</v>
      </c>
    </row>
    <row r="14" spans="6:20" ht="13.05" customHeight="1" x14ac:dyDescent="0.2"/>
    <row r="15" spans="6:20" ht="13.05" customHeight="1" x14ac:dyDescent="0.2"/>
    <row r="16" spans="6:20" ht="13.05" customHeight="1" x14ac:dyDescent="0.2"/>
    <row r="17" spans="3:22" ht="13.05" customHeight="1" x14ac:dyDescent="0.2"/>
    <row r="18" spans="3:22" ht="13.05" customHeight="1" x14ac:dyDescent="0.2"/>
    <row r="19" spans="3:22" ht="13.05" customHeight="1" x14ac:dyDescent="0.2"/>
    <row r="20" spans="3:22" ht="13.05" customHeight="1" x14ac:dyDescent="0.2"/>
    <row r="21" spans="3:22" ht="13.05" customHeight="1" x14ac:dyDescent="0.2"/>
    <row r="22" spans="3:22" ht="13.05" customHeight="1" x14ac:dyDescent="0.2"/>
    <row r="23" spans="3:22" ht="13.05" customHeight="1" x14ac:dyDescent="0.2"/>
    <row r="24" spans="3:22" ht="13.05" customHeight="1" x14ac:dyDescent="0.2"/>
    <row r="25" spans="3:22" ht="13.05" customHeight="1" x14ac:dyDescent="0.2"/>
    <row r="26" spans="3:22" ht="13.05" customHeight="1" x14ac:dyDescent="0.2"/>
    <row r="27" spans="3:22" ht="13.05" customHeight="1" x14ac:dyDescent="0.2"/>
    <row r="28" spans="3:22" ht="13.05" customHeight="1" x14ac:dyDescent="0.2"/>
    <row r="29" spans="3:22" ht="13.05" customHeight="1" x14ac:dyDescent="0.2"/>
    <row r="30" spans="3:22" ht="13.05" customHeight="1" x14ac:dyDescent="0.2"/>
    <row r="31" spans="3:22" ht="13.05" customHeight="1" x14ac:dyDescent="0.2"/>
    <row r="32" spans="3:22" ht="13.05" customHeight="1" x14ac:dyDescent="0.2">
      <c r="C32" s="71"/>
      <c r="V32" s="71"/>
    </row>
    <row r="33" spans="3:39" ht="13.05" customHeight="1" x14ac:dyDescent="0.2">
      <c r="M33" s="72"/>
      <c r="N33" s="72"/>
      <c r="O33" s="72"/>
      <c r="P33" s="72"/>
      <c r="Q33" s="72"/>
      <c r="AF33" s="72"/>
      <c r="AG33" s="72"/>
      <c r="AH33" s="72"/>
      <c r="AI33" s="72"/>
      <c r="AJ33" s="72"/>
    </row>
    <row r="34" spans="3:39" ht="13.05" customHeight="1" x14ac:dyDescent="0.2">
      <c r="Y34" s="71" t="s">
        <v>516</v>
      </c>
    </row>
    <row r="35" spans="3:39" ht="13.05" customHeight="1" x14ac:dyDescent="0.2">
      <c r="Y35" s="88" t="s">
        <v>502</v>
      </c>
      <c r="Z35" s="89"/>
      <c r="AA35" s="89"/>
      <c r="AB35" s="89"/>
      <c r="AC35" s="90"/>
      <c r="AD35" s="88" t="s">
        <v>503</v>
      </c>
      <c r="AE35" s="89"/>
      <c r="AF35" s="89"/>
      <c r="AG35" s="89"/>
      <c r="AH35" s="90"/>
      <c r="AI35" s="88" t="s">
        <v>504</v>
      </c>
      <c r="AJ35" s="89"/>
      <c r="AK35" s="89"/>
      <c r="AL35" s="89"/>
      <c r="AM35" s="90"/>
    </row>
    <row r="36" spans="3:39" ht="13.05" customHeight="1" x14ac:dyDescent="0.2">
      <c r="D36" s="72"/>
      <c r="E36" s="73"/>
      <c r="F36" s="72"/>
      <c r="G36" s="72"/>
      <c r="I36" s="72"/>
      <c r="J36" s="73"/>
      <c r="K36" s="72"/>
      <c r="L36" s="72"/>
      <c r="M36" s="72"/>
      <c r="N36" s="72"/>
      <c r="O36" s="73"/>
      <c r="P36" s="72"/>
      <c r="Q36" s="72"/>
      <c r="W36" s="72"/>
      <c r="X36" s="73"/>
      <c r="Y36" s="74"/>
      <c r="Z36" s="75"/>
      <c r="AA36" s="75"/>
      <c r="AB36" s="75"/>
      <c r="AC36" s="76"/>
      <c r="AD36" s="74"/>
      <c r="AE36" s="75"/>
      <c r="AF36" s="75"/>
      <c r="AG36" s="75"/>
      <c r="AH36" s="76"/>
      <c r="AI36" s="74"/>
      <c r="AJ36" s="75"/>
      <c r="AK36" s="75"/>
      <c r="AL36" s="75"/>
      <c r="AM36" s="76"/>
    </row>
    <row r="37" spans="3:39" ht="13.05" customHeight="1" x14ac:dyDescent="0.2">
      <c r="Y37" s="77"/>
      <c r="AC37" s="78"/>
      <c r="AD37" s="77"/>
      <c r="AH37" s="78"/>
      <c r="AI37" s="77"/>
      <c r="AM37" s="78"/>
    </row>
    <row r="38" spans="3:39" ht="13.05" customHeight="1" x14ac:dyDescent="0.2">
      <c r="Y38" s="77"/>
      <c r="Z38" s="72"/>
      <c r="AA38" s="73" t="s">
        <v>505</v>
      </c>
      <c r="AB38" s="72"/>
      <c r="AC38" s="79"/>
      <c r="AD38" s="77"/>
      <c r="AE38" s="72"/>
      <c r="AF38" s="73" t="s">
        <v>506</v>
      </c>
      <c r="AG38" s="72"/>
      <c r="AH38" s="79"/>
      <c r="AI38" s="80"/>
      <c r="AJ38" s="72"/>
      <c r="AK38" s="73" t="s">
        <v>507</v>
      </c>
      <c r="AL38" s="72"/>
      <c r="AM38" s="79"/>
    </row>
    <row r="39" spans="3:39" ht="13.05" customHeight="1" x14ac:dyDescent="0.2">
      <c r="Y39" s="77"/>
      <c r="AC39" s="78"/>
      <c r="AD39" s="77"/>
      <c r="AH39" s="78"/>
      <c r="AI39" s="77"/>
      <c r="AM39" s="78"/>
    </row>
    <row r="40" spans="3:39" ht="13.05" customHeight="1" x14ac:dyDescent="0.2">
      <c r="C40" s="71"/>
      <c r="V40" s="71"/>
      <c r="Y40" s="81"/>
      <c r="Z40" s="82"/>
      <c r="AA40" s="82"/>
      <c r="AB40" s="82"/>
      <c r="AC40" s="83"/>
      <c r="AD40" s="81"/>
      <c r="AE40" s="82"/>
      <c r="AF40" s="82"/>
      <c r="AG40" s="82"/>
      <c r="AH40" s="83"/>
      <c r="AI40" s="81"/>
      <c r="AJ40" s="82"/>
      <c r="AK40" s="82"/>
      <c r="AL40" s="82"/>
      <c r="AM40" s="83"/>
    </row>
    <row r="41" spans="3:39" ht="13.05" customHeight="1" x14ac:dyDescent="0.2"/>
    <row r="42" spans="3:39" ht="13.05" customHeight="1" x14ac:dyDescent="0.2">
      <c r="Y42" s="71" t="s">
        <v>508</v>
      </c>
    </row>
    <row r="43" spans="3:39" ht="13.05" customHeight="1" x14ac:dyDescent="0.2">
      <c r="Y43" s="88" t="s">
        <v>502</v>
      </c>
      <c r="Z43" s="89"/>
      <c r="AA43" s="89"/>
      <c r="AB43" s="89"/>
      <c r="AC43" s="90"/>
      <c r="AD43" s="88" t="s">
        <v>503</v>
      </c>
      <c r="AE43" s="89"/>
      <c r="AF43" s="89"/>
      <c r="AG43" s="89"/>
      <c r="AH43" s="90"/>
      <c r="AI43" s="88" t="s">
        <v>504</v>
      </c>
      <c r="AJ43" s="89"/>
      <c r="AK43" s="89"/>
      <c r="AL43" s="89"/>
      <c r="AM43" s="90"/>
    </row>
    <row r="44" spans="3:39" ht="13.05" customHeight="1" x14ac:dyDescent="0.2">
      <c r="D44" s="72"/>
      <c r="E44" s="73"/>
      <c r="F44" s="72"/>
      <c r="G44" s="72"/>
      <c r="H44" s="72"/>
      <c r="I44" s="72"/>
      <c r="J44" s="73"/>
      <c r="K44" s="72"/>
      <c r="L44" s="72"/>
      <c r="M44" s="72"/>
      <c r="N44" s="72"/>
      <c r="O44" s="73"/>
      <c r="P44" s="72"/>
      <c r="Q44" s="72"/>
      <c r="W44" s="72"/>
      <c r="X44" s="73"/>
      <c r="Y44" s="74"/>
      <c r="Z44" s="75"/>
      <c r="AA44" s="75"/>
      <c r="AB44" s="75"/>
      <c r="AC44" s="76"/>
      <c r="AD44" s="75"/>
      <c r="AE44" s="75"/>
      <c r="AF44" s="75"/>
      <c r="AG44" s="75"/>
      <c r="AH44" s="76"/>
      <c r="AI44" s="74"/>
      <c r="AJ44" s="75"/>
      <c r="AK44" s="75"/>
      <c r="AL44" s="75"/>
      <c r="AM44" s="76"/>
    </row>
    <row r="45" spans="3:39" ht="13.05" customHeight="1" x14ac:dyDescent="0.2">
      <c r="Y45" s="77"/>
      <c r="AC45" s="78"/>
      <c r="AH45" s="78"/>
      <c r="AI45" s="77"/>
      <c r="AM45" s="78"/>
    </row>
    <row r="46" spans="3:39" ht="13.05" customHeight="1" x14ac:dyDescent="0.2">
      <c r="Y46" s="77"/>
      <c r="Z46" s="72"/>
      <c r="AA46" s="73" t="s">
        <v>509</v>
      </c>
      <c r="AB46" s="72"/>
      <c r="AC46" s="79"/>
      <c r="AD46" s="72"/>
      <c r="AE46" s="72"/>
      <c r="AF46" s="73" t="s">
        <v>510</v>
      </c>
      <c r="AG46" s="72"/>
      <c r="AH46" s="79"/>
      <c r="AI46" s="80"/>
      <c r="AJ46" s="72"/>
      <c r="AK46" s="73" t="s">
        <v>511</v>
      </c>
      <c r="AL46" s="72"/>
      <c r="AM46" s="79"/>
    </row>
    <row r="47" spans="3:39" ht="13.05" customHeight="1" x14ac:dyDescent="0.2">
      <c r="Y47" s="77"/>
      <c r="AC47" s="78"/>
      <c r="AH47" s="78"/>
      <c r="AI47" s="77"/>
      <c r="AM47" s="78"/>
    </row>
    <row r="48" spans="3:39" ht="13.05" customHeight="1" x14ac:dyDescent="0.2">
      <c r="C48" s="71"/>
      <c r="V48" s="71"/>
      <c r="Y48" s="81"/>
      <c r="Z48" s="82"/>
      <c r="AA48" s="82"/>
      <c r="AB48" s="82"/>
      <c r="AC48" s="83"/>
      <c r="AD48" s="82"/>
      <c r="AE48" s="82"/>
      <c r="AF48" s="82"/>
      <c r="AG48" s="82"/>
      <c r="AH48" s="83"/>
      <c r="AI48" s="81"/>
      <c r="AJ48" s="82"/>
      <c r="AK48" s="82"/>
      <c r="AL48" s="82"/>
      <c r="AM48" s="83"/>
    </row>
    <row r="49" spans="4:39" ht="13.05" customHeight="1" x14ac:dyDescent="0.2"/>
    <row r="50" spans="4:39" ht="13.05" customHeight="1" x14ac:dyDescent="0.2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5"/>
      <c r="Y50" s="84" t="s">
        <v>512</v>
      </c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</row>
    <row r="51" spans="4:39" ht="13.05" customHeight="1" x14ac:dyDescent="0.2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5"/>
      <c r="Y51" s="88" t="s">
        <v>502</v>
      </c>
      <c r="Z51" s="89"/>
      <c r="AA51" s="89"/>
      <c r="AB51" s="89"/>
      <c r="AC51" s="90"/>
      <c r="AD51" s="88" t="s">
        <v>503</v>
      </c>
      <c r="AE51" s="89"/>
      <c r="AF51" s="89"/>
      <c r="AG51" s="89"/>
      <c r="AH51" s="90"/>
      <c r="AI51" s="88" t="s">
        <v>504</v>
      </c>
      <c r="AJ51" s="89"/>
      <c r="AK51" s="89"/>
      <c r="AL51" s="89"/>
      <c r="AM51" s="90"/>
    </row>
    <row r="52" spans="4:39" ht="13.05" customHeight="1" x14ac:dyDescent="0.2">
      <c r="D52" s="72"/>
      <c r="E52" s="73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3"/>
      <c r="W52" s="72"/>
      <c r="X52" s="73"/>
      <c r="Y52" s="74"/>
      <c r="Z52" s="75"/>
      <c r="AA52" s="75"/>
      <c r="AB52" s="75"/>
      <c r="AC52" s="76"/>
      <c r="AD52" s="75"/>
      <c r="AE52" s="75"/>
      <c r="AF52" s="75"/>
      <c r="AG52" s="75"/>
      <c r="AH52" s="76"/>
      <c r="AI52" s="74"/>
      <c r="AJ52" s="75"/>
      <c r="AK52" s="75"/>
      <c r="AL52" s="75"/>
      <c r="AM52" s="76"/>
    </row>
    <row r="53" spans="4:39" ht="13.05" customHeight="1" x14ac:dyDescent="0.2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5"/>
      <c r="Y53" s="77"/>
      <c r="Z53" s="85"/>
      <c r="AA53" s="85"/>
      <c r="AB53" s="85"/>
      <c r="AC53" s="78"/>
      <c r="AD53" s="85"/>
      <c r="AE53" s="85"/>
      <c r="AF53" s="85"/>
      <c r="AG53" s="85"/>
      <c r="AH53" s="78"/>
      <c r="AI53" s="77"/>
      <c r="AJ53" s="85"/>
      <c r="AK53" s="85"/>
      <c r="AL53" s="85"/>
      <c r="AM53" s="78"/>
    </row>
    <row r="54" spans="4:39" ht="13.05" customHeight="1" x14ac:dyDescent="0.2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5"/>
      <c r="Y54" s="77"/>
      <c r="Z54" s="72"/>
      <c r="AA54" s="73" t="s">
        <v>513</v>
      </c>
      <c r="AB54" s="72"/>
      <c r="AC54" s="79"/>
      <c r="AD54" s="72"/>
      <c r="AE54" s="72"/>
      <c r="AF54" s="73" t="s">
        <v>514</v>
      </c>
      <c r="AG54" s="72"/>
      <c r="AH54" s="79"/>
      <c r="AI54" s="80"/>
      <c r="AJ54" s="72"/>
      <c r="AK54" s="73" t="s">
        <v>507</v>
      </c>
      <c r="AL54" s="72"/>
      <c r="AM54" s="79"/>
    </row>
    <row r="55" spans="4:39" ht="13.05" customHeight="1" x14ac:dyDescent="0.2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5"/>
      <c r="Y55" s="77"/>
      <c r="Z55" s="85"/>
      <c r="AA55" s="85"/>
      <c r="AB55" s="85"/>
      <c r="AC55" s="78"/>
      <c r="AD55" s="85"/>
      <c r="AE55" s="85"/>
      <c r="AF55" s="85"/>
      <c r="AG55" s="85"/>
      <c r="AH55" s="78"/>
      <c r="AI55" s="77"/>
      <c r="AJ55" s="85"/>
      <c r="AK55" s="85"/>
      <c r="AL55" s="85"/>
      <c r="AM55" s="78"/>
    </row>
    <row r="56" spans="4:39" ht="13.05" customHeight="1" x14ac:dyDescent="0.2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5"/>
      <c r="Y56" s="81"/>
      <c r="Z56" s="82"/>
      <c r="AA56" s="82"/>
      <c r="AB56" s="82"/>
      <c r="AC56" s="83"/>
      <c r="AD56" s="82"/>
      <c r="AE56" s="82"/>
      <c r="AF56" s="82"/>
      <c r="AG56" s="82"/>
      <c r="AH56" s="83"/>
      <c r="AI56" s="81"/>
      <c r="AJ56" s="82"/>
      <c r="AK56" s="82"/>
      <c r="AL56" s="82"/>
      <c r="AM56" s="83"/>
    </row>
    <row r="57" spans="4:39" ht="13.05" customHeight="1" x14ac:dyDescent="0.2">
      <c r="AK57" s="68" t="s">
        <v>515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5" r:id="rId4">
          <objectPr defaultSize="0" autoPict="0" r:id="rId5">
            <anchor>
              <from>
                <xdr:col>34</xdr:col>
                <xdr:colOff>7620</xdr:colOff>
                <xdr:row>42</xdr:row>
                <xdr:rowOff>137160</xdr:rowOff>
              </from>
              <to>
                <xdr:col>36</xdr:col>
                <xdr:colOff>91440</xdr:colOff>
                <xdr:row>45</xdr:row>
                <xdr:rowOff>76200</xdr:rowOff>
              </to>
            </anchor>
          </objectPr>
        </oleObject>
      </mc:Choice>
      <mc:Fallback>
        <oleObject progId="Dstmp.StampObject.7" shapeId="1025" r:id="rId4"/>
      </mc:Fallback>
    </mc:AlternateContent>
    <mc:AlternateContent xmlns:mc="http://schemas.openxmlformats.org/markup-compatibility/2006">
      <mc:Choice Requires="x14">
        <oleObject progId="Dstmp.StampObject.7" shapeId="1026" r:id="rId6">
          <objectPr defaultSize="0" autoPict="0" r:id="rId7">
            <anchor>
              <from>
                <xdr:col>36</xdr:col>
                <xdr:colOff>30480</xdr:colOff>
                <xdr:row>45</xdr:row>
                <xdr:rowOff>99060</xdr:rowOff>
              </from>
              <to>
                <xdr:col>39</xdr:col>
                <xdr:colOff>30480</xdr:colOff>
                <xdr:row>48</xdr:row>
                <xdr:rowOff>45720</xdr:rowOff>
              </to>
            </anchor>
          </objectPr>
        </oleObject>
      </mc:Choice>
      <mc:Fallback>
        <oleObject progId="Dstmp.StampObject.7" shapeId="1026" r:id="rId6"/>
      </mc:Fallback>
    </mc:AlternateContent>
    <mc:AlternateContent xmlns:mc="http://schemas.openxmlformats.org/markup-compatibility/2006">
      <mc:Choice Requires="x14">
        <oleObject progId="Dstmp.StampObject.7" shapeId="1027" r:id="rId8">
          <objectPr defaultSize="0" autoPict="0" r:id="rId9">
            <anchor>
              <from>
                <xdr:col>36</xdr:col>
                <xdr:colOff>0</xdr:colOff>
                <xdr:row>42</xdr:row>
                <xdr:rowOff>144780</xdr:rowOff>
              </from>
              <to>
                <xdr:col>39</xdr:col>
                <xdr:colOff>0</xdr:colOff>
                <xdr:row>45</xdr:row>
                <xdr:rowOff>83820</xdr:rowOff>
              </to>
            </anchor>
          </objectPr>
        </oleObject>
      </mc:Choice>
      <mc:Fallback>
        <oleObject progId="Dstmp.StampObject.7" shapeId="1027" r:id="rId8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zoomScaleNormal="100" zoomScaleSheetLayoutView="100" workbookViewId="0">
      <selection activeCell="G10" sqref="G10"/>
    </sheetView>
  </sheetViews>
  <sheetFormatPr defaultColWidth="8" defaultRowHeight="15" outlineLevelRow="1" x14ac:dyDescent="0.2"/>
  <cols>
    <col min="1" max="1" width="2.6640625" style="33" customWidth="1"/>
    <col min="2" max="3" width="10.6640625" style="33" customWidth="1"/>
    <col min="4" max="6" width="3" style="33" customWidth="1"/>
    <col min="7" max="7" width="69.21875" style="33" customWidth="1"/>
    <col min="8" max="8" width="13.88671875" style="33" customWidth="1"/>
    <col min="9" max="9" width="12.33203125" style="33" bestFit="1" customWidth="1"/>
    <col min="10" max="10" width="4.109375" style="33" customWidth="1"/>
    <col min="11" max="16384" width="8" style="33"/>
  </cols>
  <sheetData>
    <row r="2" spans="1:10" ht="30" x14ac:dyDescent="0.2">
      <c r="A2" s="32"/>
      <c r="B2" s="32" t="s">
        <v>487</v>
      </c>
      <c r="C2" s="32"/>
      <c r="D2" s="32"/>
      <c r="E2" s="32"/>
      <c r="F2" s="32"/>
      <c r="G2" s="32"/>
      <c r="H2" s="32"/>
      <c r="I2" s="32"/>
      <c r="J2" s="32"/>
    </row>
    <row r="4" spans="1:10" ht="19.2" thickBot="1" x14ac:dyDescent="0.4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Ver00-004</v>
      </c>
      <c r="D4" s="36"/>
      <c r="E4" s="37"/>
      <c r="F4" s="37"/>
      <c r="G4" s="34"/>
      <c r="H4" s="34"/>
      <c r="I4" s="34"/>
      <c r="J4" s="34"/>
    </row>
    <row r="5" spans="1:10" ht="15.6" thickTop="1" x14ac:dyDescent="0.3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customHeight="1" x14ac:dyDescent="0.2">
      <c r="B6" s="38" t="s">
        <v>488</v>
      </c>
      <c r="C6" s="91" t="s">
        <v>489</v>
      </c>
      <c r="D6" s="92"/>
      <c r="E6" s="92"/>
      <c r="F6" s="93"/>
      <c r="G6" s="38" t="s">
        <v>490</v>
      </c>
      <c r="H6" s="39" t="s">
        <v>491</v>
      </c>
      <c r="I6" s="40" t="s">
        <v>492</v>
      </c>
    </row>
    <row r="7" spans="1:10" ht="30" outlineLevel="1" x14ac:dyDescent="0.2">
      <c r="B7" s="41" t="s">
        <v>500</v>
      </c>
      <c r="C7" s="41" t="s">
        <v>493</v>
      </c>
      <c r="D7" s="42">
        <v>0</v>
      </c>
      <c r="E7" s="42">
        <v>0</v>
      </c>
      <c r="F7" s="43">
        <v>0</v>
      </c>
      <c r="G7" s="44" t="s">
        <v>499</v>
      </c>
      <c r="H7" s="45">
        <v>45740</v>
      </c>
      <c r="I7" s="46" t="s">
        <v>494</v>
      </c>
    </row>
    <row r="8" spans="1:10" ht="30" outlineLevel="1" x14ac:dyDescent="0.2">
      <c r="B8" s="41" t="s">
        <v>497</v>
      </c>
      <c r="C8" s="41" t="s">
        <v>493</v>
      </c>
      <c r="D8" s="42">
        <v>0</v>
      </c>
      <c r="E8" s="42">
        <v>0</v>
      </c>
      <c r="F8" s="43">
        <v>1</v>
      </c>
      <c r="G8" s="44" t="s">
        <v>501</v>
      </c>
      <c r="H8" s="45">
        <v>45790</v>
      </c>
      <c r="I8" s="47" t="s">
        <v>495</v>
      </c>
    </row>
    <row r="9" spans="1:10" ht="60" outlineLevel="1" x14ac:dyDescent="0.2">
      <c r="B9" s="41" t="s">
        <v>521</v>
      </c>
      <c r="C9" s="41" t="s">
        <v>493</v>
      </c>
      <c r="D9" s="42">
        <v>0</v>
      </c>
      <c r="E9" s="42">
        <v>0</v>
      </c>
      <c r="F9" s="43">
        <v>2</v>
      </c>
      <c r="G9" s="44" t="s">
        <v>522</v>
      </c>
      <c r="H9" s="45">
        <v>45839</v>
      </c>
      <c r="I9" s="47" t="s">
        <v>495</v>
      </c>
    </row>
    <row r="10" spans="1:10" ht="34.65" customHeight="1" outlineLevel="1" x14ac:dyDescent="0.2">
      <c r="B10" s="41" t="s">
        <v>536</v>
      </c>
      <c r="C10" s="41" t="s">
        <v>537</v>
      </c>
      <c r="D10" s="42">
        <v>0</v>
      </c>
      <c r="E10" s="42">
        <v>0</v>
      </c>
      <c r="F10" s="43">
        <v>3</v>
      </c>
      <c r="G10" s="44" t="s">
        <v>543</v>
      </c>
      <c r="H10" s="45">
        <v>45954</v>
      </c>
      <c r="I10" s="47" t="s">
        <v>538</v>
      </c>
    </row>
    <row r="11" spans="1:10" ht="60" outlineLevel="1" x14ac:dyDescent="0.2">
      <c r="B11" s="61" t="s">
        <v>544</v>
      </c>
      <c r="C11" s="105" t="s">
        <v>537</v>
      </c>
      <c r="D11" s="66">
        <v>0</v>
      </c>
      <c r="E11" s="66">
        <v>0</v>
      </c>
      <c r="F11" s="63">
        <v>4</v>
      </c>
      <c r="G11" s="64" t="s">
        <v>545</v>
      </c>
      <c r="H11" s="65">
        <v>45959</v>
      </c>
      <c r="I11" s="66" t="s">
        <v>546</v>
      </c>
    </row>
    <row r="12" spans="1:10" outlineLevel="1" x14ac:dyDescent="0.2">
      <c r="B12" s="41"/>
      <c r="C12" s="41"/>
      <c r="D12" s="42"/>
      <c r="E12" s="42"/>
      <c r="F12" s="43"/>
      <c r="G12" s="44"/>
      <c r="H12" s="45"/>
      <c r="I12" s="47"/>
    </row>
    <row r="13" spans="1:10" outlineLevel="1" x14ac:dyDescent="0.2">
      <c r="B13" s="41"/>
      <c r="C13" s="41"/>
      <c r="D13" s="42"/>
      <c r="E13" s="42"/>
      <c r="F13" s="43"/>
      <c r="G13" s="44"/>
      <c r="H13" s="48"/>
      <c r="I13" s="47"/>
    </row>
    <row r="14" spans="1:10" outlineLevel="1" x14ac:dyDescent="0.2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2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2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2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2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2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2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2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2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2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2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2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2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2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2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2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2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2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2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2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2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2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2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2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2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2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2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2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2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2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2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2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2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2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2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2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2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2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2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2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2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2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2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2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2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2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2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2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2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2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2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2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2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2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2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2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2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2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2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2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2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2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2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2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2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2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2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2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2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2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2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2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2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2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2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2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2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2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2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2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2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2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2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2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2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2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2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2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2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2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2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2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2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2">
      <c r="B107" s="53"/>
      <c r="C107" s="41"/>
      <c r="D107" s="42"/>
      <c r="E107" s="42"/>
      <c r="F107" s="43"/>
      <c r="G107" s="44"/>
      <c r="H107" s="45"/>
      <c r="I107" s="47"/>
    </row>
    <row r="108" spans="2:9" x14ac:dyDescent="0.2">
      <c r="B108" s="53"/>
      <c r="C108" s="41"/>
      <c r="D108" s="42"/>
      <c r="E108" s="42"/>
      <c r="F108" s="43"/>
      <c r="G108" s="44"/>
      <c r="H108" s="45"/>
      <c r="I108" s="47"/>
    </row>
    <row r="109" spans="2:9" x14ac:dyDescent="0.2">
      <c r="B109" s="53"/>
      <c r="C109" s="41"/>
      <c r="D109" s="42"/>
      <c r="E109" s="42"/>
      <c r="F109" s="43"/>
      <c r="G109" s="44"/>
      <c r="H109" s="45"/>
      <c r="I109" s="47"/>
    </row>
    <row r="110" spans="2:9" x14ac:dyDescent="0.2">
      <c r="B110" s="53"/>
      <c r="C110" s="41"/>
      <c r="D110" s="42"/>
      <c r="E110" s="42"/>
      <c r="F110" s="43"/>
      <c r="G110" s="44"/>
      <c r="H110" s="45"/>
      <c r="I110" s="47"/>
    </row>
    <row r="111" spans="2:9" x14ac:dyDescent="0.2">
      <c r="B111" s="53"/>
      <c r="C111" s="41"/>
      <c r="D111" s="42"/>
      <c r="E111" s="42"/>
      <c r="F111" s="43"/>
      <c r="G111" s="44"/>
      <c r="H111" s="45"/>
      <c r="I111" s="47"/>
    </row>
    <row r="112" spans="2:9" x14ac:dyDescent="0.2">
      <c r="B112" s="53"/>
      <c r="C112" s="41"/>
      <c r="D112" s="42"/>
      <c r="E112" s="42"/>
      <c r="F112" s="43"/>
      <c r="G112" s="44"/>
      <c r="H112" s="45"/>
      <c r="I112" s="47"/>
    </row>
    <row r="113" spans="2:9" x14ac:dyDescent="0.2">
      <c r="B113" s="53"/>
      <c r="C113" s="41"/>
      <c r="D113" s="42"/>
      <c r="E113" s="42"/>
      <c r="F113" s="43"/>
      <c r="G113" s="44"/>
      <c r="H113" s="45"/>
      <c r="I113" s="47"/>
    </row>
    <row r="114" spans="2:9" x14ac:dyDescent="0.2">
      <c r="B114" s="53"/>
      <c r="C114" s="41"/>
      <c r="D114" s="42"/>
      <c r="E114" s="42"/>
      <c r="F114" s="43"/>
      <c r="G114" s="44"/>
      <c r="H114" s="45"/>
      <c r="I114" s="47"/>
    </row>
    <row r="115" spans="2:9" x14ac:dyDescent="0.2">
      <c r="B115" s="53"/>
      <c r="C115" s="41"/>
      <c r="D115" s="42"/>
      <c r="E115" s="42"/>
      <c r="F115" s="43"/>
      <c r="G115" s="44"/>
      <c r="H115" s="45"/>
      <c r="I115" s="47"/>
    </row>
    <row r="116" spans="2:9" x14ac:dyDescent="0.2">
      <c r="B116" s="53"/>
      <c r="C116" s="41"/>
      <c r="D116" s="42"/>
      <c r="E116" s="42"/>
      <c r="F116" s="43"/>
      <c r="G116" s="44"/>
      <c r="H116" s="45"/>
      <c r="I116" s="47"/>
    </row>
    <row r="117" spans="2:9" x14ac:dyDescent="0.2">
      <c r="B117" s="53"/>
      <c r="C117" s="41"/>
      <c r="D117" s="42"/>
      <c r="E117" s="42"/>
      <c r="F117" s="43"/>
      <c r="G117" s="44"/>
      <c r="H117" s="45"/>
      <c r="I117" s="47"/>
    </row>
    <row r="118" spans="2:9" x14ac:dyDescent="0.2">
      <c r="B118" s="53"/>
      <c r="C118" s="41"/>
      <c r="D118" s="42"/>
      <c r="E118" s="42"/>
      <c r="F118" s="43"/>
      <c r="G118" s="44"/>
      <c r="H118" s="45"/>
      <c r="I118" s="47"/>
    </row>
    <row r="119" spans="2:9" x14ac:dyDescent="0.2">
      <c r="B119" s="53"/>
      <c r="C119" s="41"/>
      <c r="D119" s="42"/>
      <c r="E119" s="42"/>
      <c r="F119" s="43"/>
      <c r="G119" s="44"/>
      <c r="H119" s="45"/>
      <c r="I119" s="47"/>
    </row>
    <row r="120" spans="2:9" x14ac:dyDescent="0.2">
      <c r="B120" s="53"/>
      <c r="C120" s="41"/>
      <c r="D120" s="42"/>
      <c r="E120" s="42"/>
      <c r="F120" s="43"/>
      <c r="G120" s="44"/>
      <c r="H120" s="45"/>
      <c r="I120" s="47"/>
    </row>
    <row r="121" spans="2:9" x14ac:dyDescent="0.2">
      <c r="B121" s="53"/>
      <c r="C121" s="41"/>
      <c r="D121" s="42"/>
      <c r="E121" s="42"/>
      <c r="F121" s="43"/>
      <c r="G121" s="44"/>
      <c r="H121" s="45"/>
      <c r="I121" s="47"/>
    </row>
    <row r="122" spans="2:9" x14ac:dyDescent="0.2">
      <c r="B122" s="60"/>
      <c r="C122" s="61"/>
      <c r="D122" s="62"/>
      <c r="E122" s="62"/>
      <c r="F122" s="63"/>
      <c r="G122" s="64"/>
      <c r="H122" s="65"/>
      <c r="I122" s="66"/>
    </row>
    <row r="123" spans="2:9" x14ac:dyDescent="0.2">
      <c r="B123" s="53"/>
      <c r="C123" s="41"/>
      <c r="D123" s="42"/>
      <c r="E123" s="42"/>
      <c r="F123" s="43"/>
      <c r="G123" s="44"/>
      <c r="H123" s="45"/>
      <c r="I123" s="47"/>
    </row>
    <row r="124" spans="2:9" x14ac:dyDescent="0.2">
      <c r="B124" s="53"/>
      <c r="C124" s="41"/>
      <c r="D124" s="42"/>
      <c r="E124" s="42"/>
      <c r="F124" s="43"/>
      <c r="G124" s="44"/>
      <c r="H124" s="45"/>
      <c r="I124" s="47"/>
    </row>
    <row r="125" spans="2:9" x14ac:dyDescent="0.2">
      <c r="B125" s="53"/>
      <c r="C125" s="41"/>
      <c r="D125" s="42"/>
      <c r="E125" s="42"/>
      <c r="F125" s="43"/>
      <c r="G125" s="44"/>
      <c r="H125" s="45"/>
      <c r="I125" s="47"/>
    </row>
    <row r="126" spans="2:9" x14ac:dyDescent="0.2">
      <c r="B126" s="53"/>
      <c r="C126" s="41"/>
      <c r="D126" s="42"/>
      <c r="E126" s="42"/>
      <c r="F126" s="43"/>
      <c r="G126" s="44"/>
      <c r="H126" s="45"/>
      <c r="I126" s="47"/>
    </row>
    <row r="127" spans="2:9" x14ac:dyDescent="0.2">
      <c r="B127" s="53"/>
      <c r="C127" s="41"/>
      <c r="D127" s="42"/>
      <c r="E127" s="42"/>
      <c r="F127" s="43"/>
      <c r="G127" s="44"/>
      <c r="H127" s="45"/>
      <c r="I127" s="47"/>
    </row>
    <row r="128" spans="2:9" x14ac:dyDescent="0.2">
      <c r="B128" s="53"/>
      <c r="C128" s="41"/>
      <c r="D128" s="42"/>
      <c r="E128" s="42"/>
      <c r="F128" s="43"/>
      <c r="G128" s="44"/>
      <c r="H128" s="45"/>
      <c r="I128" s="47"/>
    </row>
    <row r="129" spans="2:9" x14ac:dyDescent="0.2">
      <c r="B129" s="53"/>
      <c r="C129" s="41"/>
      <c r="D129" s="42"/>
      <c r="E129" s="42"/>
      <c r="F129" s="43"/>
      <c r="G129" s="44"/>
      <c r="H129" s="45"/>
      <c r="I129" s="47"/>
    </row>
    <row r="130" spans="2:9" x14ac:dyDescent="0.2">
      <c r="B130" s="53"/>
      <c r="C130" s="41"/>
      <c r="D130" s="42"/>
      <c r="E130" s="42"/>
      <c r="F130" s="43"/>
      <c r="G130" s="44"/>
      <c r="H130" s="45"/>
      <c r="I130" s="47"/>
    </row>
    <row r="131" spans="2:9" x14ac:dyDescent="0.2">
      <c r="B131" s="53"/>
      <c r="C131" s="41"/>
      <c r="D131" s="42"/>
      <c r="E131" s="42"/>
      <c r="F131" s="43"/>
      <c r="G131" s="44"/>
      <c r="H131" s="45"/>
      <c r="I131" s="47"/>
    </row>
    <row r="132" spans="2:9" x14ac:dyDescent="0.2">
      <c r="B132" s="53"/>
      <c r="C132" s="41"/>
      <c r="D132" s="42"/>
      <c r="E132" s="42"/>
      <c r="F132" s="43"/>
      <c r="G132" s="44"/>
      <c r="H132" s="45"/>
      <c r="I132" s="47"/>
    </row>
    <row r="133" spans="2:9" x14ac:dyDescent="0.2">
      <c r="B133" s="53"/>
      <c r="C133" s="41"/>
      <c r="D133" s="42"/>
      <c r="E133" s="42"/>
      <c r="F133" s="43"/>
      <c r="G133" s="44"/>
      <c r="H133" s="45"/>
      <c r="I133" s="47"/>
    </row>
    <row r="134" spans="2:9" x14ac:dyDescent="0.2">
      <c r="B134" s="53"/>
      <c r="C134" s="41"/>
      <c r="D134" s="42"/>
      <c r="E134" s="42"/>
      <c r="F134" s="43"/>
      <c r="G134" s="44"/>
      <c r="H134" s="45"/>
      <c r="I134" s="47"/>
    </row>
    <row r="135" spans="2:9" x14ac:dyDescent="0.2">
      <c r="B135" s="53"/>
      <c r="C135" s="41"/>
      <c r="D135" s="42"/>
      <c r="E135" s="42"/>
      <c r="F135" s="43"/>
      <c r="G135" s="44"/>
      <c r="H135" s="45"/>
      <c r="I135" s="47"/>
    </row>
    <row r="136" spans="2:9" x14ac:dyDescent="0.2">
      <c r="B136" s="53"/>
      <c r="C136" s="41"/>
      <c r="D136" s="42"/>
      <c r="E136" s="42"/>
      <c r="F136" s="43"/>
      <c r="G136" s="44"/>
      <c r="H136" s="45"/>
      <c r="I136" s="47"/>
    </row>
    <row r="137" spans="2:9" x14ac:dyDescent="0.2">
      <c r="B137" s="53"/>
      <c r="C137" s="41"/>
      <c r="D137" s="42"/>
      <c r="E137" s="42"/>
      <c r="F137" s="43"/>
      <c r="G137" s="44"/>
      <c r="H137" s="45"/>
      <c r="I137" s="47"/>
    </row>
    <row r="138" spans="2:9" x14ac:dyDescent="0.2">
      <c r="B138" s="53"/>
      <c r="C138" s="41"/>
      <c r="D138" s="42"/>
      <c r="E138" s="42"/>
      <c r="F138" s="43"/>
      <c r="G138" s="44"/>
      <c r="H138" s="45"/>
      <c r="I138" s="47"/>
    </row>
    <row r="139" spans="2:9" x14ac:dyDescent="0.2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3.8" x14ac:dyDescent="0.2"/>
  <cols>
    <col min="1" max="1" width="9" style="1"/>
    <col min="2" max="2" width="7.33203125" style="1" bestFit="1" customWidth="1"/>
    <col min="3" max="3" width="11.109375" style="1" bestFit="1" customWidth="1"/>
    <col min="4" max="4" width="47.44140625" style="1" customWidth="1"/>
    <col min="5" max="16384" width="9" style="1"/>
  </cols>
  <sheetData>
    <row r="1" spans="1:4" x14ac:dyDescent="0.2">
      <c r="A1" s="29"/>
    </row>
    <row r="6" spans="1:4" ht="24.6" x14ac:dyDescent="0.2">
      <c r="B6" s="94" t="s">
        <v>163</v>
      </c>
      <c r="C6" s="94"/>
      <c r="D6" s="94"/>
    </row>
    <row r="8" spans="1:4" ht="15" x14ac:dyDescent="0.2">
      <c r="B8" s="95" t="str">
        <f>"ver. "&amp;INDEX(Cover!B25:B56,COUNTA(Cover!B25:B56),0)</f>
        <v>ver. 1.3.1</v>
      </c>
      <c r="C8" s="95"/>
      <c r="D8" s="95"/>
    </row>
    <row r="25" spans="2:5" x14ac:dyDescent="0.2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2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7.6" x14ac:dyDescent="0.2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2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2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2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2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2">
      <c r="B32" s="4" t="s">
        <v>244</v>
      </c>
      <c r="C32" s="19">
        <v>44453</v>
      </c>
      <c r="D32" s="13" t="s">
        <v>245</v>
      </c>
      <c r="E32" s="13"/>
    </row>
    <row r="33" spans="2:5" x14ac:dyDescent="0.2">
      <c r="B33" s="4"/>
      <c r="C33" s="19"/>
      <c r="D33" s="13"/>
      <c r="E33" s="13"/>
    </row>
    <row r="34" spans="2:5" x14ac:dyDescent="0.2">
      <c r="B34" s="4"/>
      <c r="C34" s="19"/>
      <c r="D34" s="13"/>
      <c r="E34" s="13"/>
    </row>
    <row r="35" spans="2:5" x14ac:dyDescent="0.2">
      <c r="B35" s="4"/>
      <c r="C35" s="19"/>
      <c r="D35" s="13"/>
      <c r="E35" s="13"/>
    </row>
    <row r="36" spans="2:5" x14ac:dyDescent="0.2">
      <c r="B36" s="4"/>
      <c r="C36" s="19"/>
      <c r="D36" s="13"/>
      <c r="E36" s="13"/>
    </row>
    <row r="37" spans="2:5" x14ac:dyDescent="0.2">
      <c r="B37" s="4"/>
      <c r="C37" s="19"/>
      <c r="D37" s="13"/>
      <c r="E37" s="13"/>
    </row>
    <row r="38" spans="2:5" x14ac:dyDescent="0.2">
      <c r="B38" s="4"/>
      <c r="C38" s="19"/>
      <c r="D38" s="13"/>
      <c r="E38" s="13"/>
    </row>
    <row r="39" spans="2:5" x14ac:dyDescent="0.2">
      <c r="B39" s="4"/>
      <c r="C39" s="19"/>
      <c r="D39" s="13"/>
      <c r="E39" s="13"/>
    </row>
    <row r="40" spans="2:5" x14ac:dyDescent="0.2">
      <c r="B40" s="4"/>
      <c r="C40" s="19"/>
      <c r="D40" s="13"/>
      <c r="E40" s="13"/>
    </row>
    <row r="41" spans="2:5" x14ac:dyDescent="0.2">
      <c r="B41" s="4"/>
      <c r="C41" s="19"/>
      <c r="D41" s="13"/>
      <c r="E41" s="13"/>
    </row>
    <row r="42" spans="2:5" x14ac:dyDescent="0.2">
      <c r="B42" s="4"/>
      <c r="C42" s="19"/>
      <c r="D42" s="13"/>
      <c r="E42" s="13"/>
    </row>
    <row r="43" spans="2:5" x14ac:dyDescent="0.2">
      <c r="B43" s="4"/>
      <c r="C43" s="19"/>
      <c r="D43" s="13"/>
      <c r="E43" s="13"/>
    </row>
    <row r="44" spans="2:5" x14ac:dyDescent="0.2">
      <c r="B44" s="4"/>
      <c r="C44" s="19"/>
      <c r="D44" s="13"/>
      <c r="E44" s="13"/>
    </row>
    <row r="45" spans="2:5" x14ac:dyDescent="0.2">
      <c r="B45" s="4"/>
      <c r="C45" s="19"/>
      <c r="D45" s="13"/>
      <c r="E45" s="13"/>
    </row>
    <row r="46" spans="2:5" x14ac:dyDescent="0.2">
      <c r="B46" s="4"/>
      <c r="C46" s="19"/>
      <c r="D46" s="13"/>
      <c r="E46" s="13"/>
    </row>
    <row r="47" spans="2:5" x14ac:dyDescent="0.2">
      <c r="B47" s="4"/>
      <c r="C47" s="19"/>
      <c r="D47" s="13"/>
      <c r="E47" s="13"/>
    </row>
    <row r="48" spans="2:5" x14ac:dyDescent="0.2">
      <c r="B48" s="4"/>
      <c r="C48" s="19"/>
      <c r="D48" s="13"/>
      <c r="E48" s="13"/>
    </row>
    <row r="49" spans="2:5" x14ac:dyDescent="0.2">
      <c r="B49" s="4"/>
      <c r="C49" s="19"/>
      <c r="D49" s="13"/>
      <c r="E49" s="13"/>
    </row>
    <row r="50" spans="2:5" x14ac:dyDescent="0.2">
      <c r="B50" s="4"/>
      <c r="C50" s="19"/>
      <c r="D50" s="13"/>
      <c r="E50" s="13"/>
    </row>
    <row r="51" spans="2:5" x14ac:dyDescent="0.2">
      <c r="B51" s="4"/>
      <c r="C51" s="19"/>
      <c r="D51" s="13"/>
      <c r="E51" s="13"/>
    </row>
    <row r="52" spans="2:5" x14ac:dyDescent="0.2">
      <c r="B52" s="4"/>
      <c r="C52" s="19"/>
      <c r="D52" s="13"/>
      <c r="E52" s="13"/>
    </row>
    <row r="53" spans="2:5" x14ac:dyDescent="0.2">
      <c r="B53" s="4"/>
      <c r="C53" s="19"/>
      <c r="D53" s="13"/>
      <c r="E53" s="13"/>
    </row>
    <row r="54" spans="2:5" x14ac:dyDescent="0.2">
      <c r="B54" s="4"/>
      <c r="C54" s="19"/>
      <c r="D54" s="13"/>
      <c r="E54" s="13"/>
    </row>
    <row r="55" spans="2:5" x14ac:dyDescent="0.2">
      <c r="B55" s="4"/>
      <c r="C55" s="19"/>
      <c r="D55" s="13"/>
      <c r="E55" s="13"/>
    </row>
    <row r="56" spans="2:5" x14ac:dyDescent="0.2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1630680</xdr:colOff>
                <xdr:row>17</xdr:row>
                <xdr:rowOff>175260</xdr:rowOff>
              </from>
              <to>
                <xdr:col>3</xdr:col>
                <xdr:colOff>2202180</xdr:colOff>
                <xdr:row>21</xdr:row>
                <xdr:rowOff>15240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>
      <selection activeCell="G18" sqref="G18"/>
    </sheetView>
  </sheetViews>
  <sheetFormatPr defaultColWidth="9" defaultRowHeight="13.8" x14ac:dyDescent="0.2"/>
  <cols>
    <col min="1" max="1" width="9" style="2"/>
    <col min="2" max="2" width="2.6640625" style="1" customWidth="1"/>
    <col min="3" max="3" width="23.77734375" style="2" bestFit="1" customWidth="1"/>
    <col min="4" max="4" width="54.21875" style="1" customWidth="1"/>
    <col min="5" max="16384" width="9" style="1"/>
  </cols>
  <sheetData>
    <row r="3" spans="1:4" x14ac:dyDescent="0.2">
      <c r="B3" s="1" t="s">
        <v>120</v>
      </c>
    </row>
    <row r="4" spans="1:4" x14ac:dyDescent="0.2">
      <c r="C4" s="23" t="s">
        <v>115</v>
      </c>
      <c r="D4" s="13" t="s">
        <v>114</v>
      </c>
    </row>
    <row r="5" spans="1:4" ht="66.599999999999994" x14ac:dyDescent="0.2">
      <c r="C5" s="23" t="s">
        <v>113</v>
      </c>
      <c r="D5" s="25" t="s">
        <v>127</v>
      </c>
    </row>
    <row r="6" spans="1:4" ht="54" x14ac:dyDescent="0.2">
      <c r="C6" s="23" t="s">
        <v>124</v>
      </c>
      <c r="D6" s="25" t="s">
        <v>145</v>
      </c>
    </row>
    <row r="7" spans="1:4" x14ac:dyDescent="0.2">
      <c r="A7" s="2" t="s">
        <v>220</v>
      </c>
      <c r="C7" s="23" t="s">
        <v>203</v>
      </c>
      <c r="D7" s="25" t="s">
        <v>221</v>
      </c>
    </row>
    <row r="9" spans="1:4" x14ac:dyDescent="0.2">
      <c r="B9" s="1" t="s">
        <v>121</v>
      </c>
    </row>
    <row r="10" spans="1:4" x14ac:dyDescent="0.2">
      <c r="C10" s="23" t="s">
        <v>104</v>
      </c>
      <c r="D10" s="13" t="s">
        <v>166</v>
      </c>
    </row>
    <row r="11" spans="1:4" x14ac:dyDescent="0.2">
      <c r="C11" s="27" t="s">
        <v>146</v>
      </c>
      <c r="D11" s="13" t="s">
        <v>147</v>
      </c>
    </row>
    <row r="12" spans="1:4" ht="40.799999999999997" x14ac:dyDescent="0.2">
      <c r="C12" s="96" t="s">
        <v>118</v>
      </c>
      <c r="D12" s="25" t="s">
        <v>164</v>
      </c>
    </row>
    <row r="13" spans="1:4" ht="81" x14ac:dyDescent="0.2">
      <c r="C13" s="97"/>
      <c r="D13" s="25" t="s">
        <v>171</v>
      </c>
    </row>
    <row r="14" spans="1:4" ht="27" x14ac:dyDescent="0.2">
      <c r="C14" s="97"/>
      <c r="D14" s="25" t="s">
        <v>165</v>
      </c>
    </row>
    <row r="15" spans="1:4" ht="27.6" x14ac:dyDescent="0.2">
      <c r="C15" s="97"/>
      <c r="D15" s="25" t="s">
        <v>172</v>
      </c>
    </row>
    <row r="16" spans="1:4" x14ac:dyDescent="0.2">
      <c r="C16" s="98"/>
      <c r="D16" s="13" t="s">
        <v>147</v>
      </c>
    </row>
    <row r="17" spans="1:4" x14ac:dyDescent="0.2">
      <c r="C17" s="28" t="s">
        <v>148</v>
      </c>
      <c r="D17" s="13" t="s">
        <v>147</v>
      </c>
    </row>
    <row r="18" spans="1:4" ht="26.4" x14ac:dyDescent="0.2">
      <c r="C18" s="23" t="s">
        <v>103</v>
      </c>
      <c r="D18" s="25" t="s">
        <v>167</v>
      </c>
    </row>
    <row r="19" spans="1:4" x14ac:dyDescent="0.2">
      <c r="C19" s="17"/>
      <c r="D19" s="16"/>
    </row>
    <row r="20" spans="1:4" x14ac:dyDescent="0.2">
      <c r="B20" s="1" t="s">
        <v>125</v>
      </c>
    </row>
    <row r="21" spans="1:4" ht="27" x14ac:dyDescent="0.2">
      <c r="C21" s="23" t="s">
        <v>122</v>
      </c>
      <c r="D21" s="25" t="s">
        <v>128</v>
      </c>
    </row>
    <row r="22" spans="1:4" ht="177" x14ac:dyDescent="0.2">
      <c r="C22" s="23" t="s">
        <v>123</v>
      </c>
      <c r="D22" s="25" t="s">
        <v>170</v>
      </c>
    </row>
    <row r="23" spans="1:4" ht="40.200000000000003" x14ac:dyDescent="0.2">
      <c r="C23" s="99" t="s">
        <v>222</v>
      </c>
      <c r="D23" s="25" t="s">
        <v>129</v>
      </c>
    </row>
    <row r="24" spans="1:4" x14ac:dyDescent="0.2">
      <c r="C24" s="100"/>
      <c r="D24" s="15" t="s">
        <v>223</v>
      </c>
    </row>
    <row r="25" spans="1:4" ht="26.4" x14ac:dyDescent="0.2">
      <c r="C25" s="96" t="s">
        <v>126</v>
      </c>
      <c r="D25" s="25" t="s">
        <v>174</v>
      </c>
    </row>
    <row r="26" spans="1:4" ht="27" x14ac:dyDescent="0.2">
      <c r="C26" s="98"/>
      <c r="D26" s="25" t="s">
        <v>173</v>
      </c>
    </row>
    <row r="28" spans="1:4" x14ac:dyDescent="0.2">
      <c r="B28" s="1" t="s">
        <v>168</v>
      </c>
    </row>
    <row r="29" spans="1:4" ht="40.200000000000003" x14ac:dyDescent="0.2">
      <c r="A29" s="2" t="s">
        <v>224</v>
      </c>
      <c r="C29" s="23" t="s">
        <v>169</v>
      </c>
      <c r="D29" s="25" t="s">
        <v>225</v>
      </c>
    </row>
    <row r="30" spans="1:4" ht="40.799999999999997" x14ac:dyDescent="0.2">
      <c r="C30" s="23" t="s">
        <v>226</v>
      </c>
      <c r="D30" s="25" t="s">
        <v>175</v>
      </c>
    </row>
    <row r="31" spans="1:4" ht="135" x14ac:dyDescent="0.2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22"/>
  <sheetViews>
    <sheetView showGridLines="0" topLeftCell="A23" zoomScaleNormal="100" workbookViewId="0">
      <selection activeCell="D56" sqref="D56"/>
    </sheetView>
  </sheetViews>
  <sheetFormatPr defaultColWidth="9" defaultRowHeight="13.8" outlineLevelRow="1" x14ac:dyDescent="0.2"/>
  <cols>
    <col min="1" max="3" width="2.6640625" style="1" customWidth="1"/>
    <col min="4" max="4" width="5" style="1" customWidth="1"/>
    <col min="5" max="5" width="4.44140625" style="2" bestFit="1" customWidth="1"/>
    <col min="6" max="6" width="28.77734375" style="10" bestFit="1" customWidth="1"/>
    <col min="7" max="8" width="9" style="2"/>
    <col min="9" max="9" width="22.88671875" style="2" bestFit="1" customWidth="1"/>
    <col min="10" max="10" width="22.88671875" style="2" customWidth="1"/>
    <col min="11" max="11" width="9" style="2"/>
    <col min="12" max="12" width="29" style="2" bestFit="1" customWidth="1"/>
    <col min="13" max="13" width="13.88671875" style="2" bestFit="1" customWidth="1"/>
    <col min="14" max="14" width="6.6640625" style="2" bestFit="1" customWidth="1"/>
    <col min="15" max="15" width="2.6640625" style="1" customWidth="1"/>
    <col min="16" max="16" width="60.77734375" style="1" bestFit="1" customWidth="1"/>
    <col min="17" max="17" width="10.109375" style="1" customWidth="1"/>
    <col min="18" max="18" width="2.6640625" style="1" customWidth="1"/>
    <col min="19" max="19" width="68.33203125" style="1" bestFit="1" customWidth="1"/>
    <col min="20" max="16384" width="9" style="1"/>
  </cols>
  <sheetData>
    <row r="1" spans="1:20" s="2" customFormat="1" collapsed="1" x14ac:dyDescent="0.2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2">
      <c r="F2" s="2"/>
    </row>
    <row r="3" spans="1:20" hidden="1" outlineLevel="1" x14ac:dyDescent="0.2">
      <c r="F3" s="2"/>
    </row>
    <row r="4" spans="1:20" hidden="1" outlineLevel="1" x14ac:dyDescent="0.2">
      <c r="F4" s="2"/>
    </row>
    <row r="5" spans="1:20" hidden="1" outlineLevel="1" x14ac:dyDescent="0.2">
      <c r="F5" s="2"/>
    </row>
    <row r="6" spans="1:20" x14ac:dyDescent="0.2">
      <c r="D6" s="1" t="s">
        <v>1</v>
      </c>
      <c r="F6" s="21"/>
    </row>
    <row r="7" spans="1:20" s="2" customFormat="1" x14ac:dyDescent="0.2">
      <c r="A7" s="1"/>
      <c r="E7" s="3" t="s">
        <v>2</v>
      </c>
      <c r="F7" s="3" t="s">
        <v>3</v>
      </c>
      <c r="G7" s="101" t="s">
        <v>117</v>
      </c>
      <c r="H7" s="102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2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2">
      <c r="E9" s="4">
        <f t="shared" ref="E9:E75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2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2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2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2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2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2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2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2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2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2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2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2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2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2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2">
      <c r="C24" s="67" t="s">
        <v>496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2">
      <c r="C25" s="67" t="s">
        <v>496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2">
      <c r="C26" s="67" t="s">
        <v>496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2">
      <c r="C27" s="67" t="s">
        <v>496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2">
      <c r="C28" s="67" t="s">
        <v>496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2">
      <c r="C29" s="67" t="s">
        <v>496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2">
      <c r="C30" s="67" t="s">
        <v>496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2">
      <c r="C31" s="67" t="s">
        <v>496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2">
      <c r="C32" s="67" t="s">
        <v>496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2">
      <c r="C33" s="67" t="s">
        <v>498</v>
      </c>
      <c r="E33" s="4">
        <f t="shared" si="0"/>
        <v>26</v>
      </c>
      <c r="F33" s="31" t="s">
        <v>484</v>
      </c>
      <c r="G33" s="31" t="s">
        <v>7</v>
      </c>
      <c r="H33" s="31" t="s">
        <v>90</v>
      </c>
      <c r="I33" s="31" t="s">
        <v>20</v>
      </c>
      <c r="J33" s="30" t="s">
        <v>348</v>
      </c>
      <c r="K33" s="24">
        <v>1</v>
      </c>
      <c r="L33" s="24" t="s">
        <v>485</v>
      </c>
      <c r="M33" s="24" t="s">
        <v>427</v>
      </c>
      <c r="N33" s="24" t="s">
        <v>90</v>
      </c>
      <c r="P33" s="1" t="s">
        <v>486</v>
      </c>
      <c r="Q33" s="1" t="s">
        <v>130</v>
      </c>
    </row>
    <row r="34" spans="3:17" x14ac:dyDescent="0.2">
      <c r="C34" s="67" t="s">
        <v>521</v>
      </c>
      <c r="D34" s="87"/>
      <c r="E34" s="30">
        <f t="shared" si="0"/>
        <v>27</v>
      </c>
      <c r="F34" s="31" t="s">
        <v>517</v>
      </c>
      <c r="G34" s="31" t="s">
        <v>9</v>
      </c>
      <c r="H34" s="31" t="s">
        <v>90</v>
      </c>
      <c r="I34" s="31" t="s">
        <v>20</v>
      </c>
      <c r="J34" s="30" t="s">
        <v>520</v>
      </c>
      <c r="K34" s="31">
        <v>1</v>
      </c>
      <c r="L34" s="24" t="s">
        <v>523</v>
      </c>
      <c r="M34" s="24" t="s">
        <v>470</v>
      </c>
      <c r="N34" s="24" t="s">
        <v>90</v>
      </c>
      <c r="P34" s="1" t="s">
        <v>524</v>
      </c>
      <c r="Q34" s="1" t="s">
        <v>131</v>
      </c>
    </row>
    <row r="35" spans="3:17" x14ac:dyDescent="0.2">
      <c r="C35" s="67" t="s">
        <v>521</v>
      </c>
      <c r="D35" s="87"/>
      <c r="E35" s="30">
        <f t="shared" si="0"/>
        <v>28</v>
      </c>
      <c r="F35" s="31" t="s">
        <v>518</v>
      </c>
      <c r="G35" s="31" t="s">
        <v>7</v>
      </c>
      <c r="H35" s="31" t="s">
        <v>90</v>
      </c>
      <c r="I35" s="31" t="s">
        <v>20</v>
      </c>
      <c r="J35" s="30" t="s">
        <v>520</v>
      </c>
      <c r="K35" s="31">
        <v>2</v>
      </c>
      <c r="L35" s="24" t="s">
        <v>525</v>
      </c>
      <c r="M35" s="24" t="s">
        <v>429</v>
      </c>
      <c r="N35" s="24" t="s">
        <v>90</v>
      </c>
      <c r="P35" s="1" t="s">
        <v>526</v>
      </c>
      <c r="Q35" s="1" t="s">
        <v>130</v>
      </c>
    </row>
    <row r="36" spans="3:17" x14ac:dyDescent="0.2">
      <c r="C36" s="67" t="s">
        <v>521</v>
      </c>
      <c r="D36" s="87"/>
      <c r="E36" s="30">
        <f t="shared" si="0"/>
        <v>29</v>
      </c>
      <c r="F36" s="31" t="s">
        <v>519</v>
      </c>
      <c r="G36" s="31" t="s">
        <v>7</v>
      </c>
      <c r="H36" s="31" t="s">
        <v>90</v>
      </c>
      <c r="I36" s="31" t="s">
        <v>20</v>
      </c>
      <c r="J36" s="30" t="s">
        <v>520</v>
      </c>
      <c r="K36" s="31">
        <v>3</v>
      </c>
      <c r="L36" s="24" t="s">
        <v>527</v>
      </c>
      <c r="M36" s="24" t="s">
        <v>431</v>
      </c>
      <c r="N36" s="24" t="s">
        <v>90</v>
      </c>
      <c r="P36" s="1" t="s">
        <v>528</v>
      </c>
      <c r="Q36" s="1" t="s">
        <v>130</v>
      </c>
    </row>
    <row r="37" spans="3:17" x14ac:dyDescent="0.2">
      <c r="C37" s="67" t="s">
        <v>536</v>
      </c>
      <c r="E37" s="30">
        <f t="shared" si="0"/>
        <v>30</v>
      </c>
      <c r="F37" s="24" t="s">
        <v>534</v>
      </c>
      <c r="G37" s="107" t="s">
        <v>7</v>
      </c>
      <c r="H37" s="107" t="s">
        <v>90</v>
      </c>
      <c r="I37" s="107" t="s">
        <v>22</v>
      </c>
      <c r="J37" s="108" t="s">
        <v>535</v>
      </c>
      <c r="K37" s="24">
        <v>1</v>
      </c>
      <c r="L37" s="24" t="s">
        <v>539</v>
      </c>
      <c r="M37" s="24" t="s">
        <v>540</v>
      </c>
      <c r="N37" s="24" t="s">
        <v>90</v>
      </c>
      <c r="P37" s="1" t="s">
        <v>541</v>
      </c>
      <c r="Q37" s="1" t="s">
        <v>138</v>
      </c>
    </row>
    <row r="38" spans="3:17" x14ac:dyDescent="0.2">
      <c r="C38" s="109" t="s">
        <v>544</v>
      </c>
      <c r="E38" s="30">
        <f t="shared" si="0"/>
        <v>31</v>
      </c>
      <c r="F38" s="86" t="s">
        <v>547</v>
      </c>
      <c r="G38" s="110" t="s">
        <v>7</v>
      </c>
      <c r="H38" s="110" t="s">
        <v>90</v>
      </c>
      <c r="I38" s="110" t="s">
        <v>20</v>
      </c>
      <c r="J38" s="106" t="s">
        <v>548</v>
      </c>
      <c r="K38" s="24">
        <v>4</v>
      </c>
      <c r="L38" s="24" t="s">
        <v>550</v>
      </c>
      <c r="M38" s="24" t="s">
        <v>433</v>
      </c>
      <c r="N38" s="24" t="s">
        <v>90</v>
      </c>
      <c r="P38" s="1" t="s">
        <v>551</v>
      </c>
      <c r="Q38" s="1" t="s">
        <v>130</v>
      </c>
    </row>
    <row r="39" spans="3:17" x14ac:dyDescent="0.2">
      <c r="C39" s="109" t="s">
        <v>544</v>
      </c>
      <c r="E39" s="30">
        <f t="shared" si="0"/>
        <v>32</v>
      </c>
      <c r="F39" s="110" t="s">
        <v>549</v>
      </c>
      <c r="G39" s="110" t="s">
        <v>7</v>
      </c>
      <c r="H39" s="110" t="s">
        <v>90</v>
      </c>
      <c r="I39" s="110" t="s">
        <v>20</v>
      </c>
      <c r="J39" s="106" t="s">
        <v>548</v>
      </c>
      <c r="K39" s="24">
        <v>5</v>
      </c>
      <c r="L39" s="24" t="s">
        <v>552</v>
      </c>
      <c r="M39" s="24" t="s">
        <v>435</v>
      </c>
      <c r="N39" s="24" t="s">
        <v>90</v>
      </c>
      <c r="P39" s="1" t="s">
        <v>553</v>
      </c>
      <c r="Q39" s="1" t="s">
        <v>130</v>
      </c>
    </row>
    <row r="40" spans="3:17" x14ac:dyDescent="0.2">
      <c r="E40" s="30">
        <f t="shared" si="0"/>
        <v>33</v>
      </c>
      <c r="F40" s="24" t="s">
        <v>324</v>
      </c>
      <c r="G40" s="24" t="s">
        <v>9</v>
      </c>
      <c r="H40" s="24" t="s">
        <v>90</v>
      </c>
      <c r="I40" s="24" t="s">
        <v>23</v>
      </c>
      <c r="J40" s="23" t="s">
        <v>444</v>
      </c>
      <c r="K40" s="24">
        <v>1</v>
      </c>
      <c r="L40" s="24" t="s">
        <v>384</v>
      </c>
      <c r="M40" s="24" t="s">
        <v>385</v>
      </c>
      <c r="N40" s="24" t="s">
        <v>90</v>
      </c>
      <c r="P40" s="1" t="s">
        <v>386</v>
      </c>
      <c r="Q40" s="1" t="s">
        <v>153</v>
      </c>
    </row>
    <row r="41" spans="3:17" x14ac:dyDescent="0.2">
      <c r="E41" s="4">
        <f t="shared" si="0"/>
        <v>34</v>
      </c>
      <c r="F41" s="24" t="s">
        <v>325</v>
      </c>
      <c r="G41" s="24" t="s">
        <v>9</v>
      </c>
      <c r="H41" s="24" t="s">
        <v>90</v>
      </c>
      <c r="I41" s="24" t="s">
        <v>23</v>
      </c>
      <c r="J41" s="23" t="s">
        <v>444</v>
      </c>
      <c r="K41" s="24">
        <v>2</v>
      </c>
      <c r="L41" s="24" t="s">
        <v>387</v>
      </c>
      <c r="M41" s="24" t="s">
        <v>388</v>
      </c>
      <c r="N41" s="24" t="s">
        <v>90</v>
      </c>
      <c r="P41" s="1" t="s">
        <v>389</v>
      </c>
      <c r="Q41" s="1" t="s">
        <v>153</v>
      </c>
    </row>
    <row r="42" spans="3:17" x14ac:dyDescent="0.2">
      <c r="E42" s="4">
        <f t="shared" si="0"/>
        <v>35</v>
      </c>
      <c r="F42" s="24" t="s">
        <v>326</v>
      </c>
      <c r="G42" s="24" t="s">
        <v>11</v>
      </c>
      <c r="H42" s="24" t="s">
        <v>90</v>
      </c>
      <c r="I42" s="24" t="s">
        <v>22</v>
      </c>
      <c r="J42" s="23" t="s">
        <v>444</v>
      </c>
      <c r="K42" s="24">
        <v>1</v>
      </c>
      <c r="L42" s="24" t="s">
        <v>390</v>
      </c>
      <c r="M42" s="24" t="s">
        <v>391</v>
      </c>
      <c r="N42" s="24" t="s">
        <v>90</v>
      </c>
      <c r="P42" s="1" t="s">
        <v>392</v>
      </c>
      <c r="Q42" s="1" t="s">
        <v>140</v>
      </c>
    </row>
    <row r="43" spans="3:17" x14ac:dyDescent="0.2">
      <c r="E43" s="4">
        <f t="shared" si="0"/>
        <v>36</v>
      </c>
      <c r="F43" s="24" t="s">
        <v>327</v>
      </c>
      <c r="G43" s="24" t="s">
        <v>11</v>
      </c>
      <c r="H43" s="24" t="s">
        <v>90</v>
      </c>
      <c r="I43" s="24" t="s">
        <v>23</v>
      </c>
      <c r="J43" s="23" t="s">
        <v>444</v>
      </c>
      <c r="K43" s="24">
        <v>1</v>
      </c>
      <c r="L43" s="24" t="s">
        <v>393</v>
      </c>
      <c r="M43" s="24" t="s">
        <v>394</v>
      </c>
      <c r="N43" s="24" t="s">
        <v>90</v>
      </c>
      <c r="P43" s="1" t="s">
        <v>395</v>
      </c>
      <c r="Q43" s="1" t="s">
        <v>144</v>
      </c>
    </row>
    <row r="44" spans="3:17" x14ac:dyDescent="0.2">
      <c r="E44" s="4">
        <f t="shared" si="0"/>
        <v>37</v>
      </c>
      <c r="F44" s="24" t="s">
        <v>328</v>
      </c>
      <c r="G44" s="24" t="s">
        <v>7</v>
      </c>
      <c r="H44" s="24" t="s">
        <v>90</v>
      </c>
      <c r="I44" s="24" t="s">
        <v>23</v>
      </c>
      <c r="J44" s="23" t="s">
        <v>444</v>
      </c>
      <c r="K44" s="24">
        <v>1</v>
      </c>
      <c r="L44" s="24" t="s">
        <v>396</v>
      </c>
      <c r="M44" s="24" t="s">
        <v>397</v>
      </c>
      <c r="N44" s="24" t="s">
        <v>90</v>
      </c>
      <c r="P44" s="1" t="s">
        <v>398</v>
      </c>
      <c r="Q44" s="1" t="s">
        <v>143</v>
      </c>
    </row>
    <row r="45" spans="3:17" x14ac:dyDescent="0.2">
      <c r="E45" s="4">
        <f t="shared" si="0"/>
        <v>38</v>
      </c>
      <c r="F45" s="24" t="s">
        <v>329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10</v>
      </c>
      <c r="L45" s="24" t="s">
        <v>399</v>
      </c>
      <c r="M45" s="24" t="s">
        <v>400</v>
      </c>
      <c r="N45" s="24" t="s">
        <v>90</v>
      </c>
      <c r="P45" s="1" t="s">
        <v>401</v>
      </c>
      <c r="Q45" s="1" t="s">
        <v>132</v>
      </c>
    </row>
    <row r="46" spans="3:17" x14ac:dyDescent="0.2">
      <c r="E46" s="4">
        <f t="shared" si="0"/>
        <v>39</v>
      </c>
      <c r="F46" s="24" t="s">
        <v>330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11</v>
      </c>
      <c r="L46" s="24" t="s">
        <v>402</v>
      </c>
      <c r="M46" s="24" t="s">
        <v>403</v>
      </c>
      <c r="N46" s="24" t="s">
        <v>90</v>
      </c>
      <c r="P46" s="1" t="s">
        <v>404</v>
      </c>
      <c r="Q46" s="1" t="s">
        <v>132</v>
      </c>
    </row>
    <row r="47" spans="3:17" x14ac:dyDescent="0.2">
      <c r="E47" s="4">
        <f t="shared" si="0"/>
        <v>40</v>
      </c>
      <c r="F47" s="24" t="s">
        <v>331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12</v>
      </c>
      <c r="L47" s="24" t="s">
        <v>405</v>
      </c>
      <c r="M47" s="24" t="s">
        <v>406</v>
      </c>
      <c r="N47" s="24" t="s">
        <v>90</v>
      </c>
      <c r="P47" s="1" t="s">
        <v>407</v>
      </c>
      <c r="Q47" s="1" t="s">
        <v>132</v>
      </c>
    </row>
    <row r="48" spans="3:17" x14ac:dyDescent="0.2">
      <c r="E48" s="4">
        <f t="shared" si="0"/>
        <v>41</v>
      </c>
      <c r="F48" s="24" t="s">
        <v>332</v>
      </c>
      <c r="G48" s="24" t="s">
        <v>11</v>
      </c>
      <c r="H48" s="24" t="s">
        <v>90</v>
      </c>
      <c r="I48" s="24" t="s">
        <v>20</v>
      </c>
      <c r="J48" s="23" t="s">
        <v>444</v>
      </c>
      <c r="K48" s="24">
        <v>13</v>
      </c>
      <c r="L48" s="24" t="s">
        <v>408</v>
      </c>
      <c r="M48" s="24" t="s">
        <v>409</v>
      </c>
      <c r="N48" s="24" t="s">
        <v>90</v>
      </c>
      <c r="P48" s="1" t="s">
        <v>410</v>
      </c>
      <c r="Q48" s="1" t="s">
        <v>132</v>
      </c>
    </row>
    <row r="49" spans="5:17" x14ac:dyDescent="0.2">
      <c r="E49" s="4">
        <f t="shared" si="0"/>
        <v>42</v>
      </c>
      <c r="F49" s="24" t="s">
        <v>333</v>
      </c>
      <c r="G49" s="24" t="s">
        <v>11</v>
      </c>
      <c r="H49" s="24" t="s">
        <v>90</v>
      </c>
      <c r="I49" s="24" t="s">
        <v>20</v>
      </c>
      <c r="J49" s="23" t="s">
        <v>444</v>
      </c>
      <c r="K49" s="24">
        <v>14</v>
      </c>
      <c r="L49" s="24" t="s">
        <v>411</v>
      </c>
      <c r="M49" s="24" t="s">
        <v>412</v>
      </c>
      <c r="N49" s="24" t="s">
        <v>90</v>
      </c>
      <c r="P49" s="1" t="s">
        <v>413</v>
      </c>
      <c r="Q49" s="1" t="s">
        <v>132</v>
      </c>
    </row>
    <row r="50" spans="5:17" x14ac:dyDescent="0.2">
      <c r="E50" s="4">
        <f t="shared" si="0"/>
        <v>43</v>
      </c>
      <c r="F50" s="24" t="s">
        <v>349</v>
      </c>
      <c r="G50" s="24" t="s">
        <v>11</v>
      </c>
      <c r="H50" s="24" t="s">
        <v>90</v>
      </c>
      <c r="I50" s="24" t="s">
        <v>20</v>
      </c>
      <c r="J50" s="23" t="s">
        <v>444</v>
      </c>
      <c r="K50" s="24">
        <v>15</v>
      </c>
      <c r="L50" s="24" t="s">
        <v>414</v>
      </c>
      <c r="M50" s="24" t="s">
        <v>415</v>
      </c>
      <c r="N50" s="24" t="s">
        <v>90</v>
      </c>
      <c r="P50" s="1" t="s">
        <v>416</v>
      </c>
      <c r="Q50" s="1" t="s">
        <v>132</v>
      </c>
    </row>
    <row r="51" spans="5:17" x14ac:dyDescent="0.2">
      <c r="E51" s="4">
        <f t="shared" si="0"/>
        <v>44</v>
      </c>
      <c r="F51" s="24" t="s">
        <v>350</v>
      </c>
      <c r="G51" s="24" t="s">
        <v>11</v>
      </c>
      <c r="H51" s="24" t="s">
        <v>90</v>
      </c>
      <c r="I51" s="24" t="s">
        <v>20</v>
      </c>
      <c r="J51" s="23" t="s">
        <v>444</v>
      </c>
      <c r="K51" s="24">
        <v>16</v>
      </c>
      <c r="L51" s="24" t="s">
        <v>417</v>
      </c>
      <c r="M51" s="24" t="s">
        <v>418</v>
      </c>
      <c r="N51" s="24" t="s">
        <v>90</v>
      </c>
      <c r="P51" s="1" t="s">
        <v>419</v>
      </c>
      <c r="Q51" s="1" t="s">
        <v>132</v>
      </c>
    </row>
    <row r="52" spans="5:17" x14ac:dyDescent="0.2">
      <c r="E52" s="4">
        <f t="shared" si="0"/>
        <v>45</v>
      </c>
      <c r="F52" s="24" t="s">
        <v>351</v>
      </c>
      <c r="G52" s="24" t="s">
        <v>11</v>
      </c>
      <c r="H52" s="24" t="s">
        <v>90</v>
      </c>
      <c r="I52" s="24" t="s">
        <v>20</v>
      </c>
      <c r="J52" s="23" t="s">
        <v>444</v>
      </c>
      <c r="K52" s="24">
        <v>17</v>
      </c>
      <c r="L52" s="24" t="s">
        <v>420</v>
      </c>
      <c r="M52" s="24" t="s">
        <v>421</v>
      </c>
      <c r="N52" s="24" t="s">
        <v>90</v>
      </c>
      <c r="P52" s="1" t="s">
        <v>422</v>
      </c>
      <c r="Q52" s="1" t="s">
        <v>132</v>
      </c>
    </row>
    <row r="53" spans="5:17" x14ac:dyDescent="0.2">
      <c r="E53" s="4">
        <f t="shared" si="0"/>
        <v>46</v>
      </c>
      <c r="F53" s="24" t="s">
        <v>352</v>
      </c>
      <c r="G53" s="24" t="s">
        <v>11</v>
      </c>
      <c r="H53" s="24" t="s">
        <v>90</v>
      </c>
      <c r="I53" s="24" t="s">
        <v>20</v>
      </c>
      <c r="J53" s="23" t="s">
        <v>444</v>
      </c>
      <c r="K53" s="24">
        <v>18</v>
      </c>
      <c r="L53" s="24" t="s">
        <v>423</v>
      </c>
      <c r="M53" s="24" t="s">
        <v>424</v>
      </c>
      <c r="N53" s="24" t="s">
        <v>90</v>
      </c>
      <c r="P53" s="1" t="s">
        <v>425</v>
      </c>
      <c r="Q53" s="1" t="s">
        <v>132</v>
      </c>
    </row>
    <row r="54" spans="5:17" x14ac:dyDescent="0.2">
      <c r="E54" s="4">
        <f t="shared" si="0"/>
        <v>47</v>
      </c>
      <c r="F54" s="24" t="s">
        <v>463</v>
      </c>
      <c r="G54" s="24" t="s">
        <v>9</v>
      </c>
      <c r="H54" s="24" t="s">
        <v>90</v>
      </c>
      <c r="I54" s="24" t="s">
        <v>20</v>
      </c>
      <c r="J54" s="23" t="s">
        <v>444</v>
      </c>
      <c r="K54" s="24">
        <v>2</v>
      </c>
      <c r="L54" s="24" t="s">
        <v>469</v>
      </c>
      <c r="M54" s="24" t="s">
        <v>472</v>
      </c>
      <c r="N54" s="24" t="s">
        <v>90</v>
      </c>
      <c r="P54" s="1" t="s">
        <v>529</v>
      </c>
      <c r="Q54" s="1" t="s">
        <v>131</v>
      </c>
    </row>
    <row r="55" spans="5:17" x14ac:dyDescent="0.2">
      <c r="E55" s="4">
        <f t="shared" si="0"/>
        <v>48</v>
      </c>
      <c r="F55" s="24" t="s">
        <v>464</v>
      </c>
      <c r="G55" s="24" t="s">
        <v>9</v>
      </c>
      <c r="H55" s="24" t="s">
        <v>90</v>
      </c>
      <c r="I55" s="24" t="s">
        <v>20</v>
      </c>
      <c r="J55" s="23" t="s">
        <v>444</v>
      </c>
      <c r="K55" s="24">
        <v>3</v>
      </c>
      <c r="L55" s="24" t="s">
        <v>471</v>
      </c>
      <c r="M55" s="24" t="s">
        <v>474</v>
      </c>
      <c r="N55" s="24" t="s">
        <v>90</v>
      </c>
      <c r="P55" s="1" t="s">
        <v>530</v>
      </c>
      <c r="Q55" s="1" t="s">
        <v>131</v>
      </c>
    </row>
    <row r="56" spans="5:17" x14ac:dyDescent="0.2">
      <c r="E56" s="4">
        <f t="shared" si="0"/>
        <v>49</v>
      </c>
      <c r="F56" s="24" t="s">
        <v>465</v>
      </c>
      <c r="G56" s="24" t="s">
        <v>9</v>
      </c>
      <c r="H56" s="24" t="s">
        <v>90</v>
      </c>
      <c r="I56" s="24" t="s">
        <v>20</v>
      </c>
      <c r="J56" s="23" t="s">
        <v>444</v>
      </c>
      <c r="K56" s="24">
        <v>4</v>
      </c>
      <c r="L56" s="24" t="s">
        <v>473</v>
      </c>
      <c r="M56" s="24" t="s">
        <v>531</v>
      </c>
      <c r="N56" s="24" t="s">
        <v>90</v>
      </c>
      <c r="P56" s="1" t="s">
        <v>532</v>
      </c>
      <c r="Q56" s="1" t="s">
        <v>131</v>
      </c>
    </row>
    <row r="57" spans="5:17" x14ac:dyDescent="0.2">
      <c r="E57" s="4">
        <f t="shared" si="0"/>
        <v>50</v>
      </c>
      <c r="F57" s="24" t="s">
        <v>334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6</v>
      </c>
      <c r="L57" s="24" t="s">
        <v>426</v>
      </c>
      <c r="M57" s="24" t="s">
        <v>437</v>
      </c>
      <c r="N57" s="24" t="s">
        <v>90</v>
      </c>
      <c r="P57" s="1" t="s">
        <v>554</v>
      </c>
      <c r="Q57" s="1" t="s">
        <v>130</v>
      </c>
    </row>
    <row r="58" spans="5:17" x14ac:dyDescent="0.2">
      <c r="E58" s="4">
        <f t="shared" si="0"/>
        <v>51</v>
      </c>
      <c r="F58" s="24" t="s">
        <v>335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7</v>
      </c>
      <c r="L58" s="24" t="s">
        <v>428</v>
      </c>
      <c r="M58" s="24" t="s">
        <v>439</v>
      </c>
      <c r="N58" s="24" t="s">
        <v>90</v>
      </c>
      <c r="P58" s="1" t="s">
        <v>555</v>
      </c>
      <c r="Q58" s="1" t="s">
        <v>130</v>
      </c>
    </row>
    <row r="59" spans="5:17" x14ac:dyDescent="0.2">
      <c r="E59" s="4">
        <f t="shared" si="0"/>
        <v>52</v>
      </c>
      <c r="F59" s="24" t="s">
        <v>336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8</v>
      </c>
      <c r="L59" s="24" t="s">
        <v>430</v>
      </c>
      <c r="M59" s="24" t="s">
        <v>441</v>
      </c>
      <c r="N59" s="24" t="s">
        <v>90</v>
      </c>
      <c r="P59" s="1" t="s">
        <v>556</v>
      </c>
      <c r="Q59" s="1" t="s">
        <v>130</v>
      </c>
    </row>
    <row r="60" spans="5:17" x14ac:dyDescent="0.2">
      <c r="E60" s="4">
        <f t="shared" si="0"/>
        <v>53</v>
      </c>
      <c r="F60" s="24" t="s">
        <v>337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9</v>
      </c>
      <c r="L60" s="24" t="s">
        <v>432</v>
      </c>
      <c r="M60" s="24" t="s">
        <v>443</v>
      </c>
      <c r="N60" s="24" t="s">
        <v>90</v>
      </c>
      <c r="P60" s="1" t="s">
        <v>557</v>
      </c>
      <c r="Q60" s="1" t="s">
        <v>130</v>
      </c>
    </row>
    <row r="61" spans="5:17" x14ac:dyDescent="0.2">
      <c r="E61" s="4">
        <f t="shared" si="0"/>
        <v>54</v>
      </c>
      <c r="F61" s="24" t="s">
        <v>338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10</v>
      </c>
      <c r="L61" s="24" t="s">
        <v>434</v>
      </c>
      <c r="M61" s="24" t="s">
        <v>475</v>
      </c>
      <c r="N61" s="24" t="s">
        <v>90</v>
      </c>
      <c r="P61" s="1" t="s">
        <v>558</v>
      </c>
      <c r="Q61" s="1" t="s">
        <v>130</v>
      </c>
    </row>
    <row r="62" spans="5:17" x14ac:dyDescent="0.2">
      <c r="E62" s="4">
        <f t="shared" si="0"/>
        <v>55</v>
      </c>
      <c r="F62" s="24" t="s">
        <v>353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11</v>
      </c>
      <c r="L62" s="24" t="s">
        <v>436</v>
      </c>
      <c r="M62" s="24" t="s">
        <v>476</v>
      </c>
      <c r="N62" s="24" t="s">
        <v>90</v>
      </c>
      <c r="P62" s="1" t="s">
        <v>559</v>
      </c>
      <c r="Q62" s="1" t="s">
        <v>130</v>
      </c>
    </row>
    <row r="63" spans="5:17" x14ac:dyDescent="0.2">
      <c r="E63" s="4">
        <f t="shared" si="0"/>
        <v>56</v>
      </c>
      <c r="F63" s="24" t="s">
        <v>354</v>
      </c>
      <c r="G63" s="24" t="s">
        <v>7</v>
      </c>
      <c r="H63" s="24" t="s">
        <v>90</v>
      </c>
      <c r="I63" s="24" t="s">
        <v>20</v>
      </c>
      <c r="J63" s="23" t="s">
        <v>444</v>
      </c>
      <c r="K63" s="24">
        <v>12</v>
      </c>
      <c r="L63" s="24" t="s">
        <v>438</v>
      </c>
      <c r="M63" s="24" t="s">
        <v>477</v>
      </c>
      <c r="N63" s="24" t="s">
        <v>90</v>
      </c>
      <c r="P63" s="1" t="s">
        <v>560</v>
      </c>
      <c r="Q63" s="1" t="s">
        <v>130</v>
      </c>
    </row>
    <row r="64" spans="5:17" x14ac:dyDescent="0.2">
      <c r="E64" s="4">
        <f t="shared" si="0"/>
        <v>57</v>
      </c>
      <c r="F64" s="24" t="s">
        <v>355</v>
      </c>
      <c r="G64" s="24" t="s">
        <v>7</v>
      </c>
      <c r="H64" s="24" t="s">
        <v>90</v>
      </c>
      <c r="I64" s="24" t="s">
        <v>20</v>
      </c>
      <c r="J64" s="23" t="s">
        <v>444</v>
      </c>
      <c r="K64" s="24">
        <v>13</v>
      </c>
      <c r="L64" s="24" t="s">
        <v>440</v>
      </c>
      <c r="M64" s="24" t="s">
        <v>479</v>
      </c>
      <c r="N64" s="24" t="s">
        <v>90</v>
      </c>
      <c r="P64" s="1" t="s">
        <v>561</v>
      </c>
      <c r="Q64" s="1" t="s">
        <v>130</v>
      </c>
    </row>
    <row r="65" spans="5:17" x14ac:dyDescent="0.2">
      <c r="E65" s="4">
        <f t="shared" si="0"/>
        <v>58</v>
      </c>
      <c r="F65" s="24" t="s">
        <v>356</v>
      </c>
      <c r="G65" s="24" t="s">
        <v>7</v>
      </c>
      <c r="H65" s="24" t="s">
        <v>90</v>
      </c>
      <c r="I65" s="24" t="s">
        <v>20</v>
      </c>
      <c r="J65" s="23" t="s">
        <v>444</v>
      </c>
      <c r="K65" s="24">
        <v>14</v>
      </c>
      <c r="L65" s="24" t="s">
        <v>442</v>
      </c>
      <c r="M65" s="24" t="s">
        <v>481</v>
      </c>
      <c r="N65" s="24" t="s">
        <v>90</v>
      </c>
      <c r="P65" s="1" t="s">
        <v>562</v>
      </c>
      <c r="Q65" s="1" t="s">
        <v>130</v>
      </c>
    </row>
    <row r="66" spans="5:17" x14ac:dyDescent="0.2">
      <c r="E66" s="4">
        <f t="shared" si="0"/>
        <v>59</v>
      </c>
      <c r="F66" s="24" t="s">
        <v>466</v>
      </c>
      <c r="G66" s="24" t="s">
        <v>7</v>
      </c>
      <c r="H66" s="24" t="s">
        <v>90</v>
      </c>
      <c r="I66" s="24" t="s">
        <v>20</v>
      </c>
      <c r="J66" s="23" t="s">
        <v>444</v>
      </c>
      <c r="K66" s="24">
        <v>15</v>
      </c>
      <c r="L66" s="24" t="s">
        <v>478</v>
      </c>
      <c r="M66" s="24" t="s">
        <v>483</v>
      </c>
      <c r="N66" s="24" t="s">
        <v>90</v>
      </c>
      <c r="P66" s="1" t="s">
        <v>563</v>
      </c>
      <c r="Q66" s="1" t="s">
        <v>130</v>
      </c>
    </row>
    <row r="67" spans="5:17" x14ac:dyDescent="0.2">
      <c r="E67" s="4">
        <f t="shared" si="0"/>
        <v>60</v>
      </c>
      <c r="F67" s="24" t="s">
        <v>467</v>
      </c>
      <c r="G67" s="24" t="s">
        <v>7</v>
      </c>
      <c r="H67" s="24" t="s">
        <v>90</v>
      </c>
      <c r="I67" s="24" t="s">
        <v>20</v>
      </c>
      <c r="J67" s="23" t="s">
        <v>444</v>
      </c>
      <c r="K67" s="24">
        <v>16</v>
      </c>
      <c r="L67" s="24" t="s">
        <v>480</v>
      </c>
      <c r="M67" s="24" t="s">
        <v>564</v>
      </c>
      <c r="N67" s="24" t="s">
        <v>90</v>
      </c>
      <c r="P67" s="1" t="s">
        <v>565</v>
      </c>
      <c r="Q67" s="1" t="s">
        <v>130</v>
      </c>
    </row>
    <row r="68" spans="5:17" x14ac:dyDescent="0.2">
      <c r="E68" s="4">
        <f t="shared" si="0"/>
        <v>61</v>
      </c>
      <c r="F68" s="24" t="s">
        <v>468</v>
      </c>
      <c r="G68" s="24" t="s">
        <v>7</v>
      </c>
      <c r="H68" s="24" t="s">
        <v>90</v>
      </c>
      <c r="I68" s="24" t="s">
        <v>20</v>
      </c>
      <c r="J68" s="23" t="s">
        <v>444</v>
      </c>
      <c r="K68" s="24">
        <v>17</v>
      </c>
      <c r="L68" s="24" t="s">
        <v>482</v>
      </c>
      <c r="M68" s="24" t="s">
        <v>566</v>
      </c>
      <c r="N68" s="24" t="s">
        <v>90</v>
      </c>
      <c r="P68" s="1" t="s">
        <v>567</v>
      </c>
      <c r="Q68" s="1" t="s">
        <v>130</v>
      </c>
    </row>
    <row r="69" spans="5:17" x14ac:dyDescent="0.2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7" x14ac:dyDescent="0.2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7" x14ac:dyDescent="0.2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7" x14ac:dyDescent="0.2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7" x14ac:dyDescent="0.2">
      <c r="E73" s="4">
        <f t="shared" si="0"/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7" x14ac:dyDescent="0.2">
      <c r="E74" s="4">
        <f t="shared" si="0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7" x14ac:dyDescent="0.2">
      <c r="E75" s="4">
        <f t="shared" si="0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7" x14ac:dyDescent="0.2">
      <c r="E76" s="4">
        <f t="shared" ref="E76:E139" si="1">ROW(E76)-ROW($E$7)</f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7" x14ac:dyDescent="0.2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7" x14ac:dyDescent="0.2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7" x14ac:dyDescent="0.2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7" x14ac:dyDescent="0.2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2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2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2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2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2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2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2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2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2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2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2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2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2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2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2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2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2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2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2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2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2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2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2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2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2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2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2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2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2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2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2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2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2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2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2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2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2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2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2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2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2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2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2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2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2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2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2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2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2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2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2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2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2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2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2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2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2">
      <c r="E137" s="4">
        <f t="shared" si="1"/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2">
      <c r="E138" s="4">
        <f t="shared" si="1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2">
      <c r="E139" s="4">
        <f t="shared" si="1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2">
      <c r="E140" s="4">
        <f t="shared" ref="E140:E203" si="2">ROW(E140)-ROW($E$7)</f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2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2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2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2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2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2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2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2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2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2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2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2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2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2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2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2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2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2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2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2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2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2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2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2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2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2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2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2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2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2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2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2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2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2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2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2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2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2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2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2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2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2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2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2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2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2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2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2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2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2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2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2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2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2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2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2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2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2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2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2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2">
      <c r="E201" s="4">
        <f t="shared" si="2"/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2">
      <c r="E202" s="4">
        <f t="shared" si="2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2">
      <c r="E203" s="4">
        <f t="shared" si="2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2">
      <c r="E204" s="4">
        <f t="shared" ref="E204:E267" si="3">ROW(E204)-ROW($E$7)</f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2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2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2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2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2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2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2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2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2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2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2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2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2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2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2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2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2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2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2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2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2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2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2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2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2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2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2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2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2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2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2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2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2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2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2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2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2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2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2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2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2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2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2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2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2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2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2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2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2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2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2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2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2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2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2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2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2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2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2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2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2">
      <c r="E265" s="4">
        <f t="shared" si="3"/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2">
      <c r="E266" s="4">
        <f t="shared" si="3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2">
      <c r="E267" s="4">
        <f t="shared" si="3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2">
      <c r="E268" s="4">
        <f t="shared" ref="E268:E331" si="4">ROW(E268)-ROW($E$7)</f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2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2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2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2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2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2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2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2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2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2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2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2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2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2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2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2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2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2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2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2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2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2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2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2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2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2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2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2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2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2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2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2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2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2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2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2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2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2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2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2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2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2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2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2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2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2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2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2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2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2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2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2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2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2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2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2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2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2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2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2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2">
      <c r="E329" s="4">
        <f t="shared" si="4"/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2">
      <c r="E330" s="4">
        <f t="shared" si="4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2">
      <c r="E331" s="4">
        <f t="shared" si="4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2">
      <c r="E332" s="4">
        <f t="shared" ref="E332:E395" si="5">ROW(E332)-ROW($E$7)</f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2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2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2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2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2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2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2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2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2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2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2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2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2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2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2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2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2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2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2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2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2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2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2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2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2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2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2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2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2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2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2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2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2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2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2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2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2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2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2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2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2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2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2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2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2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2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2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2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2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2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2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2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2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2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2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2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2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2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2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2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2">
      <c r="E393" s="4">
        <f t="shared" si="5"/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2">
      <c r="E394" s="4">
        <f t="shared" si="5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2">
      <c r="E395" s="4">
        <f t="shared" si="5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2">
      <c r="E396" s="4">
        <f t="shared" ref="E396:E459" si="6">ROW(E396)-ROW($E$7)</f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2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2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2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2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2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2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2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2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2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2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2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2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2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2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2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2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2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2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2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2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2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2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2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2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2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2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2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2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2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2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2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2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2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2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2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2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2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2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2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2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2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2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2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2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2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2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2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2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2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2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2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2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2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2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2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2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2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2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2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2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2">
      <c r="E457" s="4">
        <f t="shared" si="6"/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2">
      <c r="E458" s="4">
        <f t="shared" si="6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2">
      <c r="E459" s="4">
        <f t="shared" si="6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2">
      <c r="E460" s="4">
        <f t="shared" ref="E460:E522" si="7">ROW(E460)-ROW($E$7)</f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2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2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2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2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2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2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2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2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2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2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2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2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2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2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2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2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2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2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2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2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2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2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2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2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2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2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2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2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2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2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2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2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2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2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2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2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2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2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2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2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2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2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2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2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2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2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2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2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2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2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2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2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2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2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2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2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2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2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2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  <row r="520" spans="5:14" x14ac:dyDescent="0.2">
      <c r="E520" s="4">
        <f t="shared" si="7"/>
        <v>513</v>
      </c>
      <c r="F520" s="24"/>
      <c r="G520" s="24"/>
      <c r="H520" s="24"/>
      <c r="I520" s="24"/>
      <c r="J520" s="9"/>
      <c r="K520" s="24"/>
      <c r="L520" s="24"/>
      <c r="M520" s="24"/>
      <c r="N520" s="24"/>
    </row>
    <row r="521" spans="5:14" x14ac:dyDescent="0.2">
      <c r="E521" s="4">
        <f t="shared" si="7"/>
        <v>514</v>
      </c>
      <c r="F521" s="24"/>
      <c r="G521" s="24"/>
      <c r="H521" s="24"/>
      <c r="I521" s="24"/>
      <c r="J521" s="9"/>
      <c r="K521" s="24"/>
      <c r="L521" s="24"/>
      <c r="M521" s="24"/>
      <c r="N521" s="24"/>
    </row>
    <row r="522" spans="5:14" x14ac:dyDescent="0.2">
      <c r="E522" s="4">
        <f t="shared" si="7"/>
        <v>515</v>
      </c>
      <c r="F522" s="24"/>
      <c r="G522" s="24"/>
      <c r="H522" s="24"/>
      <c r="I522" s="24"/>
      <c r="J522" s="9"/>
      <c r="K522" s="24"/>
      <c r="L522" s="24"/>
      <c r="M522" s="24"/>
      <c r="N522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53340</xdr:colOff>
                <xdr:row>7</xdr:row>
                <xdr:rowOff>53340</xdr:rowOff>
              </from>
              <to>
                <xdr:col>5</xdr:col>
                <xdr:colOff>1798320</xdr:colOff>
                <xdr:row>14</xdr:row>
                <xdr:rowOff>83820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53340</xdr:colOff>
                <xdr:row>9</xdr:row>
                <xdr:rowOff>83820</xdr:rowOff>
              </from>
              <to>
                <xdr:col>4</xdr:col>
                <xdr:colOff>266700</xdr:colOff>
                <xdr:row>12</xdr:row>
                <xdr:rowOff>30480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53340</xdr:colOff>
                <xdr:row>11</xdr:row>
                <xdr:rowOff>121920</xdr:rowOff>
              </from>
              <to>
                <xdr:col>4</xdr:col>
                <xdr:colOff>220980</xdr:colOff>
                <xdr:row>14</xdr:row>
                <xdr:rowOff>7620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53340</xdr:colOff>
                <xdr:row>13</xdr:row>
                <xdr:rowOff>167640</xdr:rowOff>
              </from>
              <to>
                <xdr:col>4</xdr:col>
                <xdr:colOff>220980</xdr:colOff>
                <xdr:row>16</xdr:row>
                <xdr:rowOff>60960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G34:G36 G40:G522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I34:I36 I40:I522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68"/>
  <sheetViews>
    <sheetView showGridLines="0" zoomScale="85" zoomScaleNormal="85" workbookViewId="0"/>
  </sheetViews>
  <sheetFormatPr defaultColWidth="9" defaultRowHeight="13.8" x14ac:dyDescent="0.2"/>
  <cols>
    <col min="1" max="4" width="2.6640625" style="1" customWidth="1"/>
    <col min="5" max="5" width="33.33203125" style="4" bestFit="1" customWidth="1"/>
    <col min="6" max="6" width="7.6640625" style="4" bestFit="1" customWidth="1"/>
    <col min="7" max="7" width="6.109375" style="4" bestFit="1" customWidth="1"/>
    <col min="8" max="8" width="4.44140625" style="4" bestFit="1" customWidth="1"/>
    <col min="9" max="9" width="23.109375" style="4" bestFit="1" customWidth="1"/>
    <col min="10" max="10" width="8.33203125" style="4" bestFit="1" customWidth="1"/>
    <col min="11" max="11" width="8.33203125" style="4" customWidth="1"/>
    <col min="12" max="12" width="5.6640625" style="4" bestFit="1" customWidth="1"/>
    <col min="13" max="13" width="6.44140625" style="4" bestFit="1" customWidth="1"/>
    <col min="14" max="14" width="5.6640625" style="4" bestFit="1" customWidth="1"/>
    <col min="15" max="15" width="5.77734375" style="4" bestFit="1" customWidth="1"/>
    <col min="16" max="16" width="5.6640625" style="4" bestFit="1" customWidth="1"/>
    <col min="17" max="17" width="5.77734375" style="4" bestFit="1" customWidth="1"/>
    <col min="18" max="18" width="5.6640625" style="4" bestFit="1" customWidth="1"/>
    <col min="19" max="19" width="5.77734375" style="4" bestFit="1" customWidth="1"/>
    <col min="20" max="20" width="10.44140625" style="4" bestFit="1" customWidth="1"/>
    <col min="21" max="16384" width="9" style="1"/>
  </cols>
  <sheetData>
    <row r="1" spans="5:20" x14ac:dyDescent="0.2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2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2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2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2">
      <c r="E6" s="2"/>
      <c r="F6" s="2"/>
      <c r="G6" s="2"/>
      <c r="H6" s="2"/>
      <c r="I6" s="2"/>
      <c r="J6" s="2"/>
      <c r="K6" s="2"/>
      <c r="L6" s="103" t="s">
        <v>78</v>
      </c>
      <c r="M6" s="103"/>
      <c r="N6" s="103" t="s">
        <v>79</v>
      </c>
      <c r="O6" s="103"/>
      <c r="P6" s="103" t="s">
        <v>80</v>
      </c>
      <c r="Q6" s="103"/>
      <c r="R6" s="103" t="s">
        <v>81</v>
      </c>
      <c r="S6" s="103"/>
      <c r="T6" s="2"/>
    </row>
    <row r="7" spans="5:20" x14ac:dyDescent="0.2">
      <c r="E7" s="3" t="s">
        <v>82</v>
      </c>
      <c r="F7" s="3" t="s">
        <v>83</v>
      </c>
      <c r="G7" s="104" t="s">
        <v>84</v>
      </c>
      <c r="H7" s="104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2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2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2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2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2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2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2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2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2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2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2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2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2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2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2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2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2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2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2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2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2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2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2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2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2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2">
      <c r="E33" s="4" t="s">
        <v>485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2">
      <c r="E34" s="4" t="s">
        <v>523</v>
      </c>
      <c r="F34" s="4" t="s">
        <v>470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2">
      <c r="E35" s="4" t="s">
        <v>525</v>
      </c>
      <c r="F35" s="4" t="s">
        <v>429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2">
      <c r="E36" s="4" t="s">
        <v>527</v>
      </c>
      <c r="F36" s="4" t="s">
        <v>431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2">
      <c r="E37" s="4" t="s">
        <v>539</v>
      </c>
      <c r="F37" s="4" t="s">
        <v>540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2">
      <c r="E38" s="4" t="s">
        <v>550</v>
      </c>
      <c r="F38" s="4" t="s">
        <v>433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2">
      <c r="E39" s="4" t="s">
        <v>552</v>
      </c>
      <c r="F39" s="4" t="s">
        <v>435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2">
      <c r="E40" s="4" t="s">
        <v>384</v>
      </c>
      <c r="F40" s="4" t="s">
        <v>385</v>
      </c>
      <c r="G40" s="4" t="s">
        <v>9</v>
      </c>
      <c r="H40" s="4" t="s">
        <v>90</v>
      </c>
      <c r="I40" s="4" t="s">
        <v>23</v>
      </c>
      <c r="J40" s="4" t="b">
        <v>0</v>
      </c>
      <c r="K40" s="4" t="b">
        <v>0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2">
      <c r="E41" s="4" t="s">
        <v>387</v>
      </c>
      <c r="F41" s="4" t="s">
        <v>388</v>
      </c>
      <c r="G41" s="4" t="s">
        <v>9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2">
      <c r="E42" s="4" t="s">
        <v>390</v>
      </c>
      <c r="F42" s="4" t="s">
        <v>391</v>
      </c>
      <c r="G42" s="4" t="s">
        <v>11</v>
      </c>
      <c r="H42" s="4" t="s">
        <v>90</v>
      </c>
      <c r="I42" s="4" t="s">
        <v>22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2">
      <c r="E43" s="4" t="s">
        <v>393</v>
      </c>
      <c r="F43" s="4" t="s">
        <v>394</v>
      </c>
      <c r="G43" s="4" t="s">
        <v>11</v>
      </c>
      <c r="H43" s="4" t="s">
        <v>90</v>
      </c>
      <c r="I43" s="4" t="s">
        <v>23</v>
      </c>
      <c r="J43" s="4" t="b">
        <v>0</v>
      </c>
      <c r="K43" s="4" t="b">
        <v>0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2">
      <c r="E44" s="4" t="s">
        <v>396</v>
      </c>
      <c r="F44" s="4" t="s">
        <v>397</v>
      </c>
      <c r="G44" s="4" t="s">
        <v>7</v>
      </c>
      <c r="H44" s="4" t="s">
        <v>90</v>
      </c>
      <c r="I44" s="4" t="s">
        <v>23</v>
      </c>
      <c r="J44" s="4" t="b">
        <v>0</v>
      </c>
      <c r="K44" s="4" t="b">
        <v>0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2">
      <c r="E45" s="4" t="s">
        <v>399</v>
      </c>
      <c r="F45" s="4" t="s">
        <v>400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2">
      <c r="E46" s="4" t="s">
        <v>402</v>
      </c>
      <c r="F46" s="4" t="s">
        <v>403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2">
      <c r="E47" s="4" t="s">
        <v>405</v>
      </c>
      <c r="F47" s="4" t="s">
        <v>406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2">
      <c r="E48" s="4" t="s">
        <v>408</v>
      </c>
      <c r="F48" s="4" t="s">
        <v>409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2">
      <c r="E49" s="4" t="s">
        <v>411</v>
      </c>
      <c r="F49" s="4" t="s">
        <v>412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2">
      <c r="E50" s="4" t="s">
        <v>414</v>
      </c>
      <c r="F50" s="4" t="s">
        <v>415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2">
      <c r="E51" s="4" t="s">
        <v>417</v>
      </c>
      <c r="F51" s="4" t="s">
        <v>418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2">
      <c r="E52" s="4" t="s">
        <v>420</v>
      </c>
      <c r="F52" s="4" t="s">
        <v>421</v>
      </c>
      <c r="G52" s="4" t="s">
        <v>11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2">
      <c r="E53" s="4" t="s">
        <v>423</v>
      </c>
      <c r="F53" s="4" t="s">
        <v>424</v>
      </c>
      <c r="G53" s="4" t="s">
        <v>11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2">
      <c r="E54" s="4" t="s">
        <v>469</v>
      </c>
      <c r="F54" s="4" t="s">
        <v>472</v>
      </c>
      <c r="G54" s="4" t="s">
        <v>9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2">
      <c r="E55" s="4" t="s">
        <v>471</v>
      </c>
      <c r="F55" s="4" t="s">
        <v>474</v>
      </c>
      <c r="G55" s="4" t="s">
        <v>9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2">
      <c r="E56" s="4" t="s">
        <v>473</v>
      </c>
      <c r="F56" s="4" t="s">
        <v>531</v>
      </c>
      <c r="G56" s="4" t="s">
        <v>9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2">
      <c r="E57" s="4" t="s">
        <v>426</v>
      </c>
      <c r="F57" s="4" t="s">
        <v>437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2">
      <c r="E58" s="4" t="s">
        <v>428</v>
      </c>
      <c r="F58" s="4" t="s">
        <v>439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2">
      <c r="E59" s="4" t="s">
        <v>430</v>
      </c>
      <c r="F59" s="4" t="s">
        <v>441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2">
      <c r="E60" s="4" t="s">
        <v>432</v>
      </c>
      <c r="F60" s="4" t="s">
        <v>443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2">
      <c r="E61" s="4" t="s">
        <v>434</v>
      </c>
      <c r="F61" s="4" t="s">
        <v>475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2">
      <c r="E62" s="4" t="s">
        <v>436</v>
      </c>
      <c r="F62" s="4" t="s">
        <v>476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2">
      <c r="E63" s="4" t="s">
        <v>438</v>
      </c>
      <c r="F63" s="4" t="s">
        <v>477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2">
      <c r="E64" s="4" t="s">
        <v>440</v>
      </c>
      <c r="F64" s="4" t="s">
        <v>479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2">
      <c r="E65" s="4" t="s">
        <v>442</v>
      </c>
      <c r="F65" s="4" t="s">
        <v>481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2">
      <c r="E66" s="4" t="s">
        <v>478</v>
      </c>
      <c r="F66" s="4" t="s">
        <v>483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2">
      <c r="E67" s="4" t="s">
        <v>480</v>
      </c>
      <c r="F67" s="4" t="s">
        <v>564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2">
      <c r="E68" s="4" t="s">
        <v>482</v>
      </c>
      <c r="F68" s="4" t="s">
        <v>566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388620</xdr:colOff>
                <xdr:row>1</xdr:row>
                <xdr:rowOff>167640</xdr:rowOff>
              </from>
              <to>
                <xdr:col>4</xdr:col>
                <xdr:colOff>1432560</xdr:colOff>
                <xdr:row>4</xdr:row>
                <xdr:rowOff>99060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3.8" x14ac:dyDescent="0.2"/>
  <cols>
    <col min="1" max="4" width="2.6640625" style="1" customWidth="1"/>
    <col min="5" max="5" width="5.109375" style="2" bestFit="1" customWidth="1"/>
    <col min="6" max="6" width="22.88671875" style="2" bestFit="1" customWidth="1"/>
    <col min="7" max="7" width="23.21875" style="2" bestFit="1" customWidth="1"/>
    <col min="8" max="8" width="11.21875" style="2" bestFit="1" customWidth="1"/>
    <col min="9" max="9" width="11.33203125" style="2" bestFit="1" customWidth="1"/>
    <col min="10" max="10" width="11" style="1" bestFit="1" customWidth="1"/>
    <col min="11" max="11" width="13.77734375" style="1" bestFit="1" customWidth="1"/>
    <col min="12" max="12" width="11.88671875" style="1" bestFit="1" customWidth="1"/>
    <col min="13" max="13" width="7.33203125" style="1" bestFit="1" customWidth="1"/>
    <col min="14" max="14" width="7.33203125" style="1" customWidth="1"/>
    <col min="15" max="18" width="33.6640625" style="1" bestFit="1" customWidth="1"/>
    <col min="19" max="16384" width="9" style="1"/>
  </cols>
  <sheetData>
    <row r="1" spans="1:18" x14ac:dyDescent="0.2">
      <c r="A1" s="8"/>
      <c r="B1" s="8" t="s">
        <v>49</v>
      </c>
    </row>
    <row r="5" spans="1:18" x14ac:dyDescent="0.2">
      <c r="D5" s="1" t="s">
        <v>5</v>
      </c>
    </row>
    <row r="6" spans="1:18" x14ac:dyDescent="0.2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2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2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2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2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2">
      <c r="D12" s="1" t="s">
        <v>4</v>
      </c>
    </row>
    <row r="13" spans="1:18" x14ac:dyDescent="0.2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2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2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2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2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2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2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2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2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2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2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2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2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2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2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2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2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3.8" x14ac:dyDescent="0.2"/>
  <cols>
    <col min="1" max="4" width="2.6640625" style="1" customWidth="1"/>
    <col min="5" max="5" width="4.33203125" style="2" bestFit="1" customWidth="1"/>
    <col min="6" max="6" width="23.88671875" style="2" bestFit="1" customWidth="1"/>
    <col min="7" max="7" width="5.88671875" style="2" bestFit="1" customWidth="1"/>
    <col min="8" max="8" width="47.109375" style="2" bestFit="1" customWidth="1"/>
    <col min="9" max="9" width="5" style="2" bestFit="1" customWidth="1"/>
    <col min="10" max="10" width="24.33203125" style="2" bestFit="1" customWidth="1"/>
    <col min="11" max="11" width="2.6640625" style="1" customWidth="1"/>
    <col min="12" max="12" width="53" style="1" bestFit="1" customWidth="1"/>
    <col min="13" max="13" width="47.77734375" style="1" bestFit="1" customWidth="1"/>
    <col min="14" max="14" width="6.44140625" style="1" bestFit="1" customWidth="1"/>
    <col min="15" max="16384" width="9" style="1"/>
  </cols>
  <sheetData>
    <row r="1" spans="2:14" x14ac:dyDescent="0.2">
      <c r="B1" s="8" t="s">
        <v>49</v>
      </c>
      <c r="L1" s="1" t="s">
        <v>0</v>
      </c>
    </row>
    <row r="3" spans="2:14" x14ac:dyDescent="0.2">
      <c r="M3" s="1" t="s">
        <v>92</v>
      </c>
    </row>
    <row r="4" spans="2:14" x14ac:dyDescent="0.2">
      <c r="M4" s="1" t="s">
        <v>42</v>
      </c>
    </row>
    <row r="7" spans="2:14" s="2" customFormat="1" x14ac:dyDescent="0.2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2">
      <c r="E8" s="4">
        <f>ROW(E8)-ROW($E$7)</f>
        <v>1</v>
      </c>
      <c r="F8" s="4" t="s">
        <v>56</v>
      </c>
      <c r="G8" s="4">
        <v>18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(18U)</v>
      </c>
      <c r="M8" s="1" t="str">
        <f>$M$3&amp;J8&amp;$M$4</f>
        <v>##TOOL_OUT#RIM_MOD_3B_SIZE##</v>
      </c>
      <c r="N8" s="1">
        <v>18</v>
      </c>
    </row>
    <row r="9" spans="2:14" x14ac:dyDescent="0.2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2">
      <c r="E10" s="4">
        <f>ROW(E10)-ROW($E$7)</f>
        <v>3</v>
      </c>
      <c r="F10" s="4" t="s">
        <v>58</v>
      </c>
      <c r="G10" s="4">
        <v>2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(2U)</v>
      </c>
      <c r="M10" s="1" t="str">
        <f t="shared" si="1"/>
        <v>##TOOL_OUT#RIM_MOD_1B_SIZE##</v>
      </c>
      <c r="N10" s="1">
        <v>1026</v>
      </c>
    </row>
    <row r="11" spans="2:14" x14ac:dyDescent="0.2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2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2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2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2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2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2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2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2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2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2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2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2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2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2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2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2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2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6"/>
  <sheetViews>
    <sheetView showGridLines="0" workbookViewId="0"/>
  </sheetViews>
  <sheetFormatPr defaultRowHeight="13.2" x14ac:dyDescent="0.2"/>
  <sheetData>
    <row r="1" spans="1:3" x14ac:dyDescent="0.2">
      <c r="A1">
        <v>86</v>
      </c>
      <c r="B1" t="s">
        <v>315</v>
      </c>
      <c r="C1" t="s">
        <v>130</v>
      </c>
    </row>
    <row r="2" spans="1:3" x14ac:dyDescent="0.2">
      <c r="B2" t="s">
        <v>317</v>
      </c>
      <c r="C2" t="s">
        <v>131</v>
      </c>
    </row>
    <row r="3" spans="1:3" x14ac:dyDescent="0.2">
      <c r="B3" t="s">
        <v>319</v>
      </c>
      <c r="C3" t="s">
        <v>132</v>
      </c>
    </row>
    <row r="4" spans="1:3" x14ac:dyDescent="0.2">
      <c r="B4" t="s">
        <v>321</v>
      </c>
      <c r="C4" t="s">
        <v>133</v>
      </c>
    </row>
    <row r="5" spans="1:3" x14ac:dyDescent="0.2">
      <c r="B5" t="s">
        <v>282</v>
      </c>
      <c r="C5" t="s">
        <v>135</v>
      </c>
    </row>
    <row r="6" spans="1:3" x14ac:dyDescent="0.2">
      <c r="B6" t="s">
        <v>284</v>
      </c>
      <c r="C6" t="s">
        <v>136</v>
      </c>
    </row>
    <row r="7" spans="1:3" x14ac:dyDescent="0.2">
      <c r="B7" t="s">
        <v>286</v>
      </c>
      <c r="C7" t="s">
        <v>137</v>
      </c>
    </row>
    <row r="8" spans="1:3" x14ac:dyDescent="0.2">
      <c r="B8" t="s">
        <v>288</v>
      </c>
      <c r="C8" t="s">
        <v>138</v>
      </c>
    </row>
    <row r="9" spans="1:3" x14ac:dyDescent="0.2">
      <c r="B9" t="s">
        <v>290</v>
      </c>
      <c r="C9" t="s">
        <v>139</v>
      </c>
    </row>
    <row r="10" spans="1:3" x14ac:dyDescent="0.2">
      <c r="B10" t="s">
        <v>292</v>
      </c>
      <c r="C10" t="s">
        <v>140</v>
      </c>
    </row>
    <row r="11" spans="1:3" x14ac:dyDescent="0.2">
      <c r="B11" t="s">
        <v>294</v>
      </c>
      <c r="C11" t="s">
        <v>141</v>
      </c>
    </row>
    <row r="12" spans="1:3" x14ac:dyDescent="0.2">
      <c r="B12" t="s">
        <v>296</v>
      </c>
      <c r="C12" t="s">
        <v>143</v>
      </c>
    </row>
    <row r="13" spans="1:3" x14ac:dyDescent="0.2">
      <c r="B13" t="s">
        <v>298</v>
      </c>
      <c r="C13" t="s">
        <v>153</v>
      </c>
    </row>
    <row r="14" spans="1:3" x14ac:dyDescent="0.2">
      <c r="B14" t="s">
        <v>300</v>
      </c>
      <c r="C14" t="s">
        <v>144</v>
      </c>
    </row>
    <row r="15" spans="1:3" x14ac:dyDescent="0.2">
      <c r="B15" t="s">
        <v>302</v>
      </c>
      <c r="C15" t="s">
        <v>154</v>
      </c>
    </row>
    <row r="16" spans="1:3" x14ac:dyDescent="0.2">
      <c r="B16" t="s">
        <v>305</v>
      </c>
      <c r="C16" t="s">
        <v>154</v>
      </c>
    </row>
    <row r="17" spans="2:3" x14ac:dyDescent="0.2">
      <c r="B17" t="s">
        <v>359</v>
      </c>
      <c r="C17" t="s">
        <v>132</v>
      </c>
    </row>
    <row r="18" spans="2:3" x14ac:dyDescent="0.2">
      <c r="B18" t="s">
        <v>362</v>
      </c>
      <c r="C18" t="s">
        <v>132</v>
      </c>
    </row>
    <row r="19" spans="2:3" x14ac:dyDescent="0.2">
      <c r="B19" t="s">
        <v>365</v>
      </c>
      <c r="C19" t="s">
        <v>132</v>
      </c>
    </row>
    <row r="20" spans="2:3" x14ac:dyDescent="0.2">
      <c r="B20" t="s">
        <v>368</v>
      </c>
      <c r="C20" t="s">
        <v>132</v>
      </c>
    </row>
    <row r="21" spans="2:3" x14ac:dyDescent="0.2">
      <c r="B21" t="s">
        <v>371</v>
      </c>
      <c r="C21" t="s">
        <v>132</v>
      </c>
    </row>
    <row r="22" spans="2:3" x14ac:dyDescent="0.2">
      <c r="B22" t="s">
        <v>374</v>
      </c>
      <c r="C22" t="s">
        <v>132</v>
      </c>
    </row>
    <row r="23" spans="2:3" x14ac:dyDescent="0.2">
      <c r="B23" t="s">
        <v>377</v>
      </c>
      <c r="C23" t="s">
        <v>132</v>
      </c>
    </row>
    <row r="24" spans="2:3" x14ac:dyDescent="0.2">
      <c r="B24" t="s">
        <v>380</v>
      </c>
      <c r="C24" t="s">
        <v>132</v>
      </c>
    </row>
    <row r="25" spans="2:3" x14ac:dyDescent="0.2">
      <c r="B25" t="s">
        <v>383</v>
      </c>
      <c r="C25" t="s">
        <v>132</v>
      </c>
    </row>
    <row r="26" spans="2:3" x14ac:dyDescent="0.2">
      <c r="B26" t="s">
        <v>486</v>
      </c>
      <c r="C26" t="s">
        <v>130</v>
      </c>
    </row>
    <row r="27" spans="2:3" x14ac:dyDescent="0.2">
      <c r="B27" t="s">
        <v>524</v>
      </c>
      <c r="C27" t="s">
        <v>131</v>
      </c>
    </row>
    <row r="28" spans="2:3" x14ac:dyDescent="0.2">
      <c r="B28" t="s">
        <v>526</v>
      </c>
      <c r="C28" t="s">
        <v>130</v>
      </c>
    </row>
    <row r="29" spans="2:3" x14ac:dyDescent="0.2">
      <c r="B29" t="s">
        <v>528</v>
      </c>
      <c r="C29" t="s">
        <v>130</v>
      </c>
    </row>
    <row r="30" spans="2:3" x14ac:dyDescent="0.2">
      <c r="B30" t="s">
        <v>541</v>
      </c>
      <c r="C30" t="s">
        <v>138</v>
      </c>
    </row>
    <row r="31" spans="2:3" x14ac:dyDescent="0.2">
      <c r="B31" t="s">
        <v>551</v>
      </c>
      <c r="C31" t="s">
        <v>130</v>
      </c>
    </row>
    <row r="32" spans="2:3" x14ac:dyDescent="0.2">
      <c r="B32" t="s">
        <v>553</v>
      </c>
      <c r="C32" t="s">
        <v>130</v>
      </c>
    </row>
    <row r="33" spans="2:3" x14ac:dyDescent="0.2">
      <c r="B33" t="s">
        <v>386</v>
      </c>
      <c r="C33" t="s">
        <v>153</v>
      </c>
    </row>
    <row r="34" spans="2:3" x14ac:dyDescent="0.2">
      <c r="B34" t="s">
        <v>389</v>
      </c>
      <c r="C34" t="s">
        <v>153</v>
      </c>
    </row>
    <row r="35" spans="2:3" x14ac:dyDescent="0.2">
      <c r="B35" t="s">
        <v>392</v>
      </c>
      <c r="C35" t="s">
        <v>140</v>
      </c>
    </row>
    <row r="36" spans="2:3" x14ac:dyDescent="0.2">
      <c r="B36" t="s">
        <v>395</v>
      </c>
      <c r="C36" t="s">
        <v>144</v>
      </c>
    </row>
    <row r="37" spans="2:3" x14ac:dyDescent="0.2">
      <c r="B37" t="s">
        <v>398</v>
      </c>
      <c r="C37" t="s">
        <v>143</v>
      </c>
    </row>
    <row r="38" spans="2:3" x14ac:dyDescent="0.2">
      <c r="B38" t="s">
        <v>401</v>
      </c>
      <c r="C38" t="s">
        <v>132</v>
      </c>
    </row>
    <row r="39" spans="2:3" x14ac:dyDescent="0.2">
      <c r="B39" t="s">
        <v>404</v>
      </c>
      <c r="C39" t="s">
        <v>132</v>
      </c>
    </row>
    <row r="40" spans="2:3" x14ac:dyDescent="0.2">
      <c r="B40" t="s">
        <v>407</v>
      </c>
      <c r="C40" t="s">
        <v>132</v>
      </c>
    </row>
    <row r="41" spans="2:3" x14ac:dyDescent="0.2">
      <c r="B41" t="s">
        <v>410</v>
      </c>
      <c r="C41" t="s">
        <v>132</v>
      </c>
    </row>
    <row r="42" spans="2:3" x14ac:dyDescent="0.2">
      <c r="B42" t="s">
        <v>413</v>
      </c>
      <c r="C42" t="s">
        <v>132</v>
      </c>
    </row>
    <row r="43" spans="2:3" x14ac:dyDescent="0.2">
      <c r="B43" t="s">
        <v>416</v>
      </c>
      <c r="C43" t="s">
        <v>132</v>
      </c>
    </row>
    <row r="44" spans="2:3" x14ac:dyDescent="0.2">
      <c r="B44" t="s">
        <v>419</v>
      </c>
      <c r="C44" t="s">
        <v>132</v>
      </c>
    </row>
    <row r="45" spans="2:3" x14ac:dyDescent="0.2">
      <c r="B45" t="s">
        <v>422</v>
      </c>
      <c r="C45" t="s">
        <v>132</v>
      </c>
    </row>
    <row r="46" spans="2:3" x14ac:dyDescent="0.2">
      <c r="B46" t="s">
        <v>425</v>
      </c>
      <c r="C46" t="s">
        <v>132</v>
      </c>
    </row>
    <row r="47" spans="2:3" x14ac:dyDescent="0.2">
      <c r="B47" t="s">
        <v>529</v>
      </c>
      <c r="C47" t="s">
        <v>131</v>
      </c>
    </row>
    <row r="48" spans="2:3" x14ac:dyDescent="0.2">
      <c r="B48" t="s">
        <v>530</v>
      </c>
      <c r="C48" t="s">
        <v>131</v>
      </c>
    </row>
    <row r="49" spans="2:3" x14ac:dyDescent="0.2">
      <c r="B49" t="s">
        <v>532</v>
      </c>
      <c r="C49" t="s">
        <v>131</v>
      </c>
    </row>
    <row r="50" spans="2:3" x14ac:dyDescent="0.2">
      <c r="B50" t="s">
        <v>554</v>
      </c>
      <c r="C50" t="s">
        <v>130</v>
      </c>
    </row>
    <row r="51" spans="2:3" x14ac:dyDescent="0.2">
      <c r="B51" t="s">
        <v>555</v>
      </c>
      <c r="C51" t="s">
        <v>130</v>
      </c>
    </row>
    <row r="52" spans="2:3" x14ac:dyDescent="0.2">
      <c r="B52" t="s">
        <v>556</v>
      </c>
      <c r="C52" t="s">
        <v>130</v>
      </c>
    </row>
    <row r="53" spans="2:3" x14ac:dyDescent="0.2">
      <c r="B53" t="s">
        <v>557</v>
      </c>
      <c r="C53" t="s">
        <v>130</v>
      </c>
    </row>
    <row r="54" spans="2:3" x14ac:dyDescent="0.2">
      <c r="B54" t="s">
        <v>558</v>
      </c>
      <c r="C54" t="s">
        <v>130</v>
      </c>
    </row>
    <row r="55" spans="2:3" x14ac:dyDescent="0.2">
      <c r="B55" t="s">
        <v>559</v>
      </c>
      <c r="C55" t="s">
        <v>130</v>
      </c>
    </row>
    <row r="56" spans="2:3" x14ac:dyDescent="0.2">
      <c r="B56" t="s">
        <v>560</v>
      </c>
      <c r="C56" t="s">
        <v>130</v>
      </c>
    </row>
    <row r="57" spans="2:3" x14ac:dyDescent="0.2">
      <c r="B57" t="s">
        <v>561</v>
      </c>
      <c r="C57" t="s">
        <v>130</v>
      </c>
    </row>
    <row r="58" spans="2:3" x14ac:dyDescent="0.2">
      <c r="B58" t="s">
        <v>562</v>
      </c>
      <c r="C58" t="s">
        <v>130</v>
      </c>
    </row>
    <row r="59" spans="2:3" x14ac:dyDescent="0.2">
      <c r="B59" t="s">
        <v>563</v>
      </c>
      <c r="C59" t="s">
        <v>130</v>
      </c>
    </row>
    <row r="60" spans="2:3" x14ac:dyDescent="0.2">
      <c r="B60" t="s">
        <v>565</v>
      </c>
      <c r="C60" t="s">
        <v>130</v>
      </c>
    </row>
    <row r="61" spans="2:3" x14ac:dyDescent="0.2">
      <c r="B61" t="s">
        <v>567</v>
      </c>
      <c r="C61" t="s">
        <v>130</v>
      </c>
    </row>
    <row r="62" spans="2:3" x14ac:dyDescent="0.2">
      <c r="B62" t="s">
        <v>322</v>
      </c>
      <c r="C62" t="s">
        <v>134</v>
      </c>
    </row>
    <row r="63" spans="2:3" x14ac:dyDescent="0.2">
      <c r="B63" t="s">
        <v>306</v>
      </c>
      <c r="C63" t="s">
        <v>142</v>
      </c>
    </row>
    <row r="64" spans="2:3" x14ac:dyDescent="0.2">
      <c r="B64" t="s">
        <v>303</v>
      </c>
      <c r="C64" t="s">
        <v>155</v>
      </c>
    </row>
    <row r="65" spans="2:3" x14ac:dyDescent="0.2">
      <c r="B65" t="s">
        <v>308</v>
      </c>
      <c r="C65" t="s">
        <v>155</v>
      </c>
    </row>
    <row r="66" spans="2:3" x14ac:dyDescent="0.2">
      <c r="B66" t="s">
        <v>568</v>
      </c>
      <c r="C66" t="s">
        <v>93</v>
      </c>
    </row>
    <row r="67" spans="2:3" x14ac:dyDescent="0.2">
      <c r="B67" t="s">
        <v>445</v>
      </c>
      <c r="C67" t="s">
        <v>94</v>
      </c>
    </row>
    <row r="68" spans="2:3" x14ac:dyDescent="0.2">
      <c r="B68" t="s">
        <v>542</v>
      </c>
      <c r="C68" t="s">
        <v>95</v>
      </c>
    </row>
    <row r="69" spans="2:3" x14ac:dyDescent="0.2">
      <c r="B69" t="s">
        <v>446</v>
      </c>
      <c r="C69" t="s">
        <v>96</v>
      </c>
    </row>
    <row r="70" spans="2:3" x14ac:dyDescent="0.2">
      <c r="B70" t="s">
        <v>533</v>
      </c>
      <c r="C70" t="s">
        <v>93</v>
      </c>
    </row>
    <row r="71" spans="2:3" x14ac:dyDescent="0.2">
      <c r="B71" t="s">
        <v>447</v>
      </c>
      <c r="C71" t="s">
        <v>94</v>
      </c>
    </row>
    <row r="72" spans="2:3" x14ac:dyDescent="0.2">
      <c r="B72" t="s">
        <v>448</v>
      </c>
      <c r="C72" t="s">
        <v>95</v>
      </c>
    </row>
    <row r="73" spans="2:3" x14ac:dyDescent="0.2">
      <c r="B73" t="s">
        <v>449</v>
      </c>
      <c r="C73" t="s">
        <v>96</v>
      </c>
    </row>
    <row r="74" spans="2:3" x14ac:dyDescent="0.2">
      <c r="B74" t="s">
        <v>450</v>
      </c>
      <c r="C74" t="s">
        <v>93</v>
      </c>
    </row>
    <row r="75" spans="2:3" x14ac:dyDescent="0.2">
      <c r="B75" t="s">
        <v>451</v>
      </c>
      <c r="C75" t="s">
        <v>94</v>
      </c>
    </row>
    <row r="76" spans="2:3" x14ac:dyDescent="0.2">
      <c r="B76" t="s">
        <v>452</v>
      </c>
      <c r="C76" t="s">
        <v>95</v>
      </c>
    </row>
    <row r="77" spans="2:3" x14ac:dyDescent="0.2">
      <c r="B77" t="s">
        <v>453</v>
      </c>
      <c r="C77" t="s">
        <v>96</v>
      </c>
    </row>
    <row r="78" spans="2:3" x14ac:dyDescent="0.2">
      <c r="B78" t="s">
        <v>454</v>
      </c>
      <c r="C78" t="s">
        <v>93</v>
      </c>
    </row>
    <row r="79" spans="2:3" x14ac:dyDescent="0.2">
      <c r="B79" t="s">
        <v>455</v>
      </c>
      <c r="C79" t="s">
        <v>95</v>
      </c>
    </row>
    <row r="80" spans="2:3" x14ac:dyDescent="0.2">
      <c r="B80" t="s">
        <v>456</v>
      </c>
      <c r="C80" t="s">
        <v>96</v>
      </c>
    </row>
    <row r="81" spans="2:3" x14ac:dyDescent="0.2">
      <c r="B81" t="s">
        <v>457</v>
      </c>
      <c r="C81" t="s">
        <v>97</v>
      </c>
    </row>
    <row r="82" spans="2:3" x14ac:dyDescent="0.2">
      <c r="B82" t="s">
        <v>458</v>
      </c>
      <c r="C82" t="s">
        <v>98</v>
      </c>
    </row>
    <row r="83" spans="2:3" x14ac:dyDescent="0.2">
      <c r="B83" t="s">
        <v>459</v>
      </c>
      <c r="C83" t="s">
        <v>99</v>
      </c>
    </row>
    <row r="84" spans="2:3" x14ac:dyDescent="0.2">
      <c r="B84" t="s">
        <v>460</v>
      </c>
      <c r="C84" t="s">
        <v>100</v>
      </c>
    </row>
    <row r="85" spans="2:3" x14ac:dyDescent="0.2">
      <c r="B85" t="s">
        <v>461</v>
      </c>
      <c r="C85" t="s">
        <v>101</v>
      </c>
    </row>
    <row r="86" spans="2:3" x14ac:dyDescent="0.2">
      <c r="B86" t="s">
        <v>462</v>
      </c>
      <c r="C86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640625" defaultRowHeight="13.8" x14ac:dyDescent="0.2"/>
  <cols>
    <col min="1" max="16384" width="2.6640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2025-10-31T04:16:51Z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