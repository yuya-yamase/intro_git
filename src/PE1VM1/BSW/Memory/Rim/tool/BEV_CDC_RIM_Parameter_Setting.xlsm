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10035azcfs0534.file.core.windows.net\MeterSoft\開発用\Toyota\BEV\設計成果物_MET\MCU-DT\02設計\00.Common\01.共通パラメータ設計書\04_Memory\03_PreCV\"/>
    </mc:Choice>
  </mc:AlternateContent>
  <xr:revisionPtr revIDLastSave="0" documentId="13_ncr:1_{855A60D3-6619-4BB5-90E2-06683D873FAD}" xr6:coauthVersionLast="47" xr6:coauthVersionMax="47" xr10:uidLastSave="{00000000-0000-0000-0000-000000000000}"/>
  <bookViews>
    <workbookView xWindow="23880" yWindow="-120" windowWidth="29040" windowHeight="1599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<sst xmlns="http://schemas.openxmlformats.org/spreadsheetml/2006/main" count="1981" uniqueCount="549">
  <si>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</si>
  <si>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</si>
  <si>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</si>
  <si>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</si>
  <si>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</si>
  <si>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</si>
  <si>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</si>
  <si>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</si>
  <si>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</si>
  <si>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</si>
  <si>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</si>
  <si>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</si>
  <si>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</si>
  <si>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</si>
  <si>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</si>
  <si>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</si>
  <si>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</si>
  <si>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</si>
  <si>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</si>
  <si>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</si>
  <si>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</si>
  <si>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</si>
  <si>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</si>
  <si>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</si>
  <si>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</si>
  <si>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</si>
  <si>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</si>
  <si>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</si>
  <si>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</si>
  <si>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</si>
  <si>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</si>
  <si>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</si>
  <si>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</si>
  <si>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</si>
  <si>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</si>
  <si>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</si>
  <si>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</si>
  <si>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</si>
  <si>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</si>
  <si>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</si>
  <si>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</si>
  <si>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</si>
  <si>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</si>
  <si>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</si>
  <si>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</si>
  <si>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</si>
  <si>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</si>
  <si>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</si>
  <si>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</si>
  <si>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</si>
  <si>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</si>
  <si>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</si>
  <si>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</si>
  <si>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</si>
  <si>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</si>
  <si>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</si>
  <si>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</si>
  <si>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</si>
  <si>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</si>
  <si>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</si>
  <si>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</si>
  <si>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</si>
  <si>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</si>
  <si>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</si>
  <si>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</si>
  <si>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</si>
  <si>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</si>
  <si>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</si>
  <si>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</si>
  <si>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</si>
  <si>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</si>
  <si>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</si>
  <si>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</si>
  <si>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</si>
  <si>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</si>
  <si>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</si>
  <si>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</si>
  <si>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</si>
  <si>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</si>
  <si>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</si>
  <si>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</si>
  <si>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</si>
  <si>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</si>
  <si>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</si>
  <si>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</si>
  <si>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</si>
  <si>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</si>
  <si>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</si>
  <si>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</si>
  <si>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</si>
  <si>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</si>
  <si>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</si>
  <si>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</si>
  <si>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</si>
  <si>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</si>
  <si>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</si>
  <si>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</si>
  <si>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</si>
  <si>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</si>
  <si>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</si>
  <si>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</si>
  <si>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</si>
  <si>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</si>
  <si>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</si>
  <si>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</si>
  <si>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</si>
  <si>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</si>
  <si>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</si>
  <si>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</si>
  <si>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</si>
  <si>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</si>
  <si>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</si>
  <si>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</si>
  <si>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</si>
  <si>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</si>
  <si>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</si>
  <si>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</si>
  <si>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</si>
  <si>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</si>
  <si>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</si>
  <si>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</si>
  <si>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</si>
  <si>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</si>
  <si>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</si>
  <si>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</si>
  <si>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</si>
  <si>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</si>
  <si>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</si>
  <si>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</si>
  <si>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</si>
  <si>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</si>
  <si>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</si>
  <si>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</si>
  <si>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</si>
  <si>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</si>
  <si>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</si>
  <si>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</si>
  <si>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</si>
  <si>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</si>
  <si>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</si>
  <si>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</si>
  <si>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</si>
  <si>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</si>
  <si>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</si>
  <si>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</si>
  <si>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</si>
  <si>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</si>
  <si>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</si>
  <si>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</si>
  <si>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</si>
  <si>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</si>
  <si>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</si>
  <si>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</si>
  <si>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</si>
  <si>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</si>
  <si>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</si>
  <si>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</si>
  <si>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</si>
  <si>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</si>
  <si>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</si>
  <si>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</si>
  <si>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</si>
  <si>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</si>
  <si>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</si>
  <si>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</si>
  <si>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</si>
  <si>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</si>
  <si>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</si>
  <si>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</si>
  <si>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</si>
  <si>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</si>
  <si>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</si>
  <si>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</si>
  <si>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</si>
  <si>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</si>
  <si>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</si>
  <si>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</si>
  <si>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</si>
  <si>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</si>
  <si>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</si>
  <si>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</si>
  <si>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</si>
  <si>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</si>
  <si>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</si>
  <si>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</si>
  <si>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</si>
  <si>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</si>
  <si>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</si>
  <si>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</si>
  <si>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</si>
  <si>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</si>
  <si>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</si>
  <si>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</si>
  <si>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</si>
  <si>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</si>
  <si>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</si>
  <si>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</si>
  <si>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</si>
  <si>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</si>
  <si>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</si>
  <si>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</si>
  <si>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</si>
  <si>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</si>
  <si>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</si>
  <si>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</si>
  <si>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</si>
  <si>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</si>
  <si>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</si>
  <si>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</si>
  <si>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</si>
  <si>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</si>
  <si>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</si>
  <si>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</si>
  <si>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</si>
  <si>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</si>
  <si>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</si>
  <si>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</si>
  <si>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</si>
  <si>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</si>
  <si>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</si>
  <si>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</si>
  <si>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</si>
  <si>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</si>
  <si>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</si>
  <si>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</si>
  <si>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</si>
  <si>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</si>
  <si>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</si>
  <si>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</si>
  <si>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</si>
  <si>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</si>
  <si>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</si>
  <si>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</si>
  <si>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</si>
  <si>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</si>
  <si>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</si>
  <si>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</si>
  <si>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</si>
  <si>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</si>
  <si>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</si>
  <si>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</si>
  <si>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</si>
  <si>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</si>
  <si>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</si>
  <si>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</si>
  <si>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</si>
  <si>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</si>
  <si>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</si>
  <si>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</si>
  <si>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</si>
  <si>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</si>
  <si>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</si>
  <si>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</si>
  <si>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</si>
  <si>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</si>
  <si>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</si>
  <si>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</si>
  <si>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</si>
  <si>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</si>
  <si>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</si>
  <si>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</si>
  <si>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</si>
  <si>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</si>
  <si>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</si>
  <si>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</si>
  <si>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</si>
  <si>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</si>
  <si>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</si>
  <si>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</si>
  <si>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</si>
  <si>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</si>
  <si>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</si>
  <si>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</si>
  <si>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</si>
  <si>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</si>
  <si>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</si>
  <si>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</si>
  <si>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</si>
  <si>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</si>
  <si>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</si>
  <si>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</si>
  <si>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</si>
  <si>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</si>
  <si>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</si>
  <si>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</si>
  <si>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</si>
  <si>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</si>
  <si>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</si>
  <si>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</si>
  <si>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</si>
  <si>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</si>
  <si>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</si>
  <si>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</si>
  <si>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</si>
  <si>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</si>
  <si>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</si>
  <si>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</si>
  <si>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</si>
  <si>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</si>
  <si>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</si>
  <si>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</si>
  <si>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</si>
  <si>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</si>
  <si>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</si>
  <si>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</si>
  <si>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</si>
  <si>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</si>
  <si>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</si>
  <si>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</si>
  <si>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</si>
  <si>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</si>
  <si>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</si>
  <si>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</si>
  <si>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</si>
  <si>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</si>
  <si>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</si>
  <si>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</si>
  <si>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</si>
  <si>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</si>
  <si>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</si>
  <si>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</si>
  <si>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</si>
  <si>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</si>
  <si>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</si>
  <si>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</si>
  <si>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</si>
  <si>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</si>
  <si>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</si>
  <si>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</si>
  <si>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</si>
  <si>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</si>
  <si>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</si>
  <si>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</si>
  <si>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</si>
  <si>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</si>
  <si>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</si>
  <si>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</si>
  <si>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</si>
  <si>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</si>
  <si>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</si>
  <si>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</si>
  <si>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</si>
  <si>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</si>
  <si>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</si>
  <si>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</si>
  <si>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</si>
  <si>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</si>
  <si>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</si>
  <si>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</si>
  <si>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</si>
  <si>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</si>
  <si>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</si>
  <si>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</si>
  <si>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</si>
  <si>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</si>
  <si>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</si>
  <si>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</si>
  <si>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</si>
  <si>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</si>
  <si>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</si>
  <si>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</si>
  <si>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</si>
  <si>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</si>
  <si>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</si>
  <si>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</si>
  <si>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</si>
  <si>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</si>
  <si>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</si>
  <si>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</si>
  <si>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</si>
  <si>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</si>
  <si>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</si>
  <si>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</si>
  <si>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</si>
  <si>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</si>
  <si>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</si>
  <si>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</si>
  <si>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</si>
  <si>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</si>
  <si>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</si>
  <si>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</si>
  <si>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</si>
  <si>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</si>
  <si>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</si>
  <si>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</si>
  <si>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</si>
  <si>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</si>
  <si>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</si>
  <si>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</si>
  <si>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</si>
  <si>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</si>
  <si>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</si>
  <si>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</si>
  <si>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</si>
  <si>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</si>
  <si>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</si>
  <si>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</si>
  <si>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</si>
  <si>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</si>
  <si>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</si>
  <si>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</si>
  <si>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</si>
  <si>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</si>
  <si>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</si>
  <si>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</si>
  <si>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</si>
  <si>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</si>
  <si>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</si>
  <si>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</si>
  <si>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</si>
  <si>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</si>
  <si>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</si>
  <si>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</si>
  <si>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</si>
  <si>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</si>
  <si>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</si>
  <si>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</si>
  <si>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</si>
  <si>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</si>
  <si>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</si>
  <si>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</si>
  <si>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</si>
  <si>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</si>
  <si>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</si>
  <si>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</si>
  <si>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</si>
  <si>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</si>
  <si>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</si>
  <si>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</si>
  <si>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</si>
  <si>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</si>
  <si>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</si>
  <si>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</si>
  <si>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</si>
  <si>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</si>
  <si>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</si>
  <si>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</si>
  <si>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</si>
  <si>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</si>
  <si>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</si>
  <si>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</si>
  <si>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</si>
  <si>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</si>
  <si>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</si>
  <si>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</si>
  <si>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</si>
  <si>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RIM_MOD_1BRAM_U1_ID_NUM  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</si>
  <si>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</si>
  <si>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</si>
  <si>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</si>
  <si>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</si>
  <si>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</si>
  <si>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</si>
  <si>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</si>
  <si>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</si>
  <si>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</si>
  <si>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</si>
  <si>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</si>
  <si>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</si>
  <si>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</si>
  <si>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</si>
  <si>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</si>
  <si>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</si>
  <si>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</si>
  <si>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</si>
  <si>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</si>
  <si>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</si>
  <si>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</si>
  <si>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NVMC_ST_DTF_010</t>
  </si>
  <si>
    <t>NVMC_ST_DTF_011</t>
  </si>
  <si>
    <t>TIMEZONE_TZ</t>
  </si>
  <si>
    <t>TIMEZONE_TZ_SIGN</t>
  </si>
  <si>
    <t>TIMEZONE_DST_S30</t>
  </si>
  <si>
    <t>IVI DateSI</t>
    <phoneticPr fontId="2"/>
  </si>
  <si>
    <t>RIMID_U1_TIMEZONE_TZ</t>
  </si>
  <si>
    <t>RIMID_U1_TIMEZONE_TZ_SIGN</t>
  </si>
  <si>
    <t>RIMID_U1_TIMEZONE_DST_S30</t>
  </si>
  <si>
    <t>RIMID_U2_NVMC_DA_DTF_WRI_009</t>
  </si>
  <si>
    <t>0x4001U</t>
  </si>
  <si>
    <t>#define RIMID_U2_NVMC_DA_DTF_WRI_009             (0x4001U)</t>
  </si>
  <si>
    <t>RIMID_U2_NVMC_DA_DTF_WRI_010</t>
  </si>
  <si>
    <t>0x4002U</t>
  </si>
  <si>
    <t>#define RIMID_U2_NVMC_DA_DTF_WRI_010             (0x4002U)</t>
  </si>
  <si>
    <t>RIMID_U2_NVMC_DA_DTF_WRI_011</t>
  </si>
  <si>
    <t>0x4003U</t>
  </si>
  <si>
    <t>#define RIMID_U2_NVMC_DA_DTF_WRI_011             (0x4003U)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</si>
  <si>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</si>
  <si>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</si>
  <si>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</si>
  <si>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</si>
  <si>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</si>
  <si>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</si>
  <si>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</si>
  <si>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</si>
  <si>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</si>
  <si>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#define RIM_MOD_3BRAM_U2_ID_NUM                  (4U)</t>
  </si>
  <si>
    <t>VDF_HCS_ASCEXT</t>
  </si>
  <si>
    <t>RIMID_U1_VDF_HCS_ASCEXT</t>
  </si>
  <si>
    <t>#define RIMID_U1_VDF_HCS_ASCEXT                  (0x0001U)</t>
  </si>
  <si>
    <t>#define RIMID_U1_TIMEZONE_TZ                     (0x0002U)</t>
  </si>
  <si>
    <t>#define RIMID_U1_TIMEZONE_TZ_SIGN                (0x0003U)</t>
  </si>
  <si>
    <t>#define RIMID_U1_TIMEZONE_DST_S30                (0x0004U)</t>
  </si>
  <si>
    <t>#define RIMID_U1_NVMC_ST_DTF_000                 (0x0005U)</t>
  </si>
  <si>
    <t>#define RIMID_U1_NVMC_ST_DTF_001                 (0x0006U)</t>
  </si>
  <si>
    <t>#define RIMID_U1_NVMC_ST_DTF_002                 (0x0007U)</t>
  </si>
  <si>
    <t>#define RIMID_U1_NVMC_ST_DTF_003                 (0x0008U)</t>
  </si>
  <si>
    <t>#define RIMID_U1_NVMC_ST_DTF_004                 (0x0009U)</t>
  </si>
  <si>
    <t>#define RIMID_U1_NVMC_ST_DTF_005                 (0x000AU)</t>
  </si>
  <si>
    <t>#define RIMID_U1_NVMC_ST_DTF_006                 (0x000BU)</t>
  </si>
  <si>
    <t>#define RIMID_U1_NVMC_ST_DTF_007                 (0x000CU)</t>
  </si>
  <si>
    <t>#define RIMID_U1_NVMC_ST_DTF_008                 (0x000DU)</t>
  </si>
  <si>
    <t>#define RIMID_U1_NVMC_ST_DTF_009                 (0x000EU)</t>
  </si>
  <si>
    <t>#define RIMID_U1_NVMC_ST_DTF_010                 (0x000FU)</t>
  </si>
  <si>
    <t>0x0010U</t>
  </si>
  <si>
    <t>#define RIMID_U1_NVMC_ST_DTF_011                 (0x0010U)</t>
  </si>
  <si>
    <t>#define RIM_MOD_3BRAM_U1_ID_NUM                  (17U)</t>
  </si>
  <si>
    <t>変更履歴</t>
    <rPh sb="0" eb="4">
      <t>ヘンコウリレキ</t>
    </rPh>
    <phoneticPr fontId="13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</si>
  <si>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</si>
  <si>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</si>
  <si>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</si>
  <si>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</si>
  <si>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</si>
  <si>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3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</si>
  <si>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</si>
  <si>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</si>
  <si>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</si>
  <si>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</si>
  <si>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</si>
  <si>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▲3</t>
  </si>
  <si>
    <t>▲3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</si>
  <si>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</si>
  <si>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</si>
  <si>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</si>
  <si>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BEV PreCV向けに変更
・時計機能追加</t>
    <rPh sb="9" eb="10">
      <t>ム</t>
    </rPh>
    <rPh sb="12" eb="14">
      <t>ヘンコウ</t>
    </rPh>
    <rPh sb="16" eb="18">
      <t>トケイ</t>
    </rPh>
    <rPh sb="18" eb="20">
      <t>キノウ</t>
    </rPh>
    <rPh sb="20" eb="22">
      <t>ツイカ</t>
    </rPh>
    <phoneticPr fontId="9"/>
  </si>
  <si>
    <t>承認</t>
    <rPh sb="0" eb="2">
      <t>ショウニン</t>
    </rPh>
    <phoneticPr fontId="13"/>
  </si>
  <si>
    <t>検討</t>
    <rPh sb="0" eb="2">
      <t>ケントウ</t>
    </rPh>
    <phoneticPr fontId="13"/>
  </si>
  <si>
    <t>作成</t>
    <rPh sb="0" eb="2">
      <t>サクセイ</t>
    </rPh>
    <phoneticPr fontId="13"/>
  </si>
  <si>
    <t>&lt;DN確認印&gt;</t>
    <rPh sb="3" eb="6">
      <t>カクニンイン</t>
    </rPh>
    <rPh sb="6" eb="7">
      <t>ケンイン</t>
    </rPh>
    <phoneticPr fontId="13"/>
  </si>
  <si>
    <t>&lt;DN検討印&gt;</t>
    <rPh sb="3" eb="5">
      <t>ケントウ</t>
    </rPh>
    <rPh sb="5" eb="6">
      <t>イン</t>
    </rPh>
    <phoneticPr fontId="13"/>
  </si>
  <si>
    <t>&lt;OS作成印&gt;</t>
    <rPh sb="3" eb="5">
      <t>サクセイ</t>
    </rPh>
    <rPh sb="5" eb="6">
      <t>イン</t>
    </rPh>
    <phoneticPr fontId="13"/>
  </si>
  <si>
    <t>デンソーテクノ株式会社</t>
    <rPh sb="7" eb="11">
      <t>カブシキガイシャ</t>
    </rPh>
    <phoneticPr fontId="13"/>
  </si>
  <si>
    <t>&lt;DT確認印&gt;</t>
    <rPh sb="3" eb="6">
      <t>カクニンイン</t>
    </rPh>
    <rPh sb="6" eb="7">
      <t>ケンイン</t>
    </rPh>
    <phoneticPr fontId="13"/>
  </si>
  <si>
    <t>&lt;DT検討印&gt;</t>
    <rPh sb="3" eb="5">
      <t>ケントウ</t>
    </rPh>
    <rPh sb="5" eb="6">
      <t>イン</t>
    </rPh>
    <phoneticPr fontId="13"/>
  </si>
  <si>
    <t>&lt;DT作成印&gt;</t>
    <rPh sb="3" eb="5">
      <t>サクセイ</t>
    </rPh>
    <rPh sb="5" eb="6">
      <t>イン</t>
    </rPh>
    <phoneticPr fontId="13"/>
  </si>
  <si>
    <t>(株)カーネル・ソフト・エンジニアリング</t>
    <rPh sb="0" eb="3">
      <t>カブ</t>
    </rPh>
    <phoneticPr fontId="13"/>
  </si>
  <si>
    <t>&lt;OS確認印&gt;</t>
    <rPh sb="3" eb="6">
      <t>カクニンイン</t>
    </rPh>
    <rPh sb="6" eb="7">
      <t>ケンイン</t>
    </rPh>
    <phoneticPr fontId="13"/>
  </si>
  <si>
    <t>&lt;OS検討印&gt;</t>
    <rPh sb="3" eb="5">
      <t>ケントウ</t>
    </rPh>
    <rPh sb="5" eb="6">
      <t>イン</t>
    </rPh>
    <phoneticPr fontId="13"/>
  </si>
  <si>
    <t xml:space="preserve"> </t>
    <phoneticPr fontId="13"/>
  </si>
  <si>
    <t>(株)デンソー</t>
    <rPh sb="0" eb="3">
      <t>カブ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</si>
</sst>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Tahoma"/>
      <family val="2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2" fillId="7" borderId="0" xfId="1" applyFont="1" applyFill="1" applyAlignment="1">
      <alignment vertical="top"/>
    </xf>
    <xf numFmtId="0" fontId="14" fillId="0" borderId="0" xfId="1" applyFont="1">
      <alignment vertical="center"/>
    </xf>
    <xf numFmtId="0" fontId="14" fillId="0" borderId="0" xfId="1" applyFont="1" applyAlignment="1"/>
    <xf numFmtId="0" fontId="15" fillId="0" borderId="7" xfId="1" applyFont="1" applyBorder="1" applyAlignment="1">
      <alignment horizontal="right"/>
    </xf>
    <xf numFmtId="0" fontId="15" fillId="0" borderId="7" xfId="1" applyFont="1" applyBorder="1" applyAlignment="1"/>
    <xf numFmtId="0" fontId="14" fillId="0" borderId="7" xfId="1" applyFont="1" applyBorder="1" applyAlignment="1"/>
    <xf numFmtId="0" fontId="14" fillId="8" borderId="2" xfId="1" applyFont="1" applyFill="1" applyBorder="1" applyAlignment="1">
      <alignment vertical="top"/>
    </xf>
    <xf numFmtId="0" fontId="14" fillId="8" borderId="2" xfId="1" applyFont="1" applyFill="1" applyBorder="1" applyAlignment="1">
      <alignment horizontal="center" vertical="top"/>
    </xf>
    <xf numFmtId="0" fontId="14" fillId="8" borderId="1" xfId="1" applyFont="1" applyFill="1" applyBorder="1" applyAlignment="1">
      <alignment horizontal="center" vertical="top"/>
    </xf>
    <xf numFmtId="0" fontId="14" fillId="9" borderId="2" xfId="1" applyFont="1" applyFill="1" applyBorder="1">
      <alignment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10" xfId="1" applyFont="1" applyFill="1" applyBorder="1" applyAlignment="1">
      <alignment horizontal="center" vertical="center"/>
    </xf>
    <xf numFmtId="0" fontId="14" fillId="9" borderId="2" xfId="1" applyFont="1" applyFill="1" applyBorder="1" applyAlignment="1">
      <alignment vertical="center" wrapText="1"/>
    </xf>
    <xf numFmtId="14" fontId="14" fillId="9" borderId="1" xfId="1" applyNumberFormat="1" applyFont="1" applyFill="1" applyBorder="1" applyAlignment="1">
      <alignment horizontal="center" vertical="center"/>
    </xf>
    <xf numFmtId="0" fontId="14" fillId="9" borderId="1" xfId="1" applyFont="1" applyFill="1" applyBorder="1" applyAlignment="1">
      <alignment horizontal="center" vertical="center" wrapText="1"/>
    </xf>
    <xf numFmtId="0" fontId="14" fillId="9" borderId="1" xfId="1" applyFont="1" applyFill="1" applyBorder="1" applyAlignment="1">
      <alignment horizontal="center" vertical="center"/>
    </xf>
    <xf numFmtId="14" fontId="16" fillId="9" borderId="1" xfId="1" applyNumberFormat="1" applyFont="1" applyFill="1" applyBorder="1" applyAlignment="1">
      <alignment horizontal="center" vertical="center"/>
    </xf>
    <xf numFmtId="0" fontId="16" fillId="9" borderId="1" xfId="1" applyFont="1" applyFill="1" applyBorder="1" applyAlignment="1">
      <alignment horizontal="center" vertical="center"/>
    </xf>
    <xf numFmtId="0" fontId="14" fillId="9" borderId="11" xfId="1" applyFont="1" applyFill="1" applyBorder="1" applyAlignment="1">
      <alignment horizontal="center" vertical="center"/>
    </xf>
    <xf numFmtId="0" fontId="14" fillId="0" borderId="1" xfId="2" applyFont="1" applyBorder="1" applyAlignment="1">
      <alignment vertical="center" wrapText="1"/>
    </xf>
    <xf numFmtId="14" fontId="14" fillId="0" borderId="1" xfId="2" applyNumberFormat="1" applyFont="1" applyBorder="1" applyAlignment="1">
      <alignment horizontal="center" vertical="center"/>
    </xf>
    <xf numFmtId="0" fontId="17" fillId="0" borderId="1" xfId="3" applyFont="1" applyBorder="1">
      <alignment vertical="center"/>
    </xf>
    <xf numFmtId="0" fontId="14" fillId="0" borderId="1" xfId="3" applyFont="1" applyBorder="1">
      <alignment vertical="center"/>
    </xf>
    <xf numFmtId="0" fontId="18" fillId="0" borderId="1" xfId="3" applyFont="1" applyBorder="1">
      <alignment vertical="center"/>
    </xf>
    <xf numFmtId="0" fontId="16" fillId="9" borderId="2" xfId="1" applyFont="1" applyFill="1" applyBorder="1">
      <alignment vertical="center"/>
    </xf>
    <xf numFmtId="0" fontId="16" fillId="9" borderId="9" xfId="1" applyFont="1" applyFill="1" applyBorder="1" applyAlignment="1">
      <alignment horizontal="center" vertical="center"/>
    </xf>
    <xf numFmtId="0" fontId="16" fillId="9" borderId="10" xfId="1" applyFont="1" applyFill="1" applyBorder="1" applyAlignment="1">
      <alignment horizontal="center" vertical="center"/>
    </xf>
    <xf numFmtId="0" fontId="16" fillId="9" borderId="2" xfId="1" applyFont="1" applyFill="1" applyBorder="1" applyAlignment="1">
      <alignment vertical="center" wrapText="1"/>
    </xf>
    <xf numFmtId="0" fontId="19" fillId="0" borderId="1" xfId="3" applyFont="1" applyBorder="1">
      <alignment vertical="center"/>
    </xf>
    <xf numFmtId="0" fontId="20" fillId="9" borderId="2" xfId="1" applyFont="1" applyFill="1" applyBorder="1">
      <alignment vertical="center"/>
    </xf>
    <xf numFmtId="0" fontId="20" fillId="9" borderId="9" xfId="1" applyFont="1" applyFill="1" applyBorder="1" applyAlignment="1">
      <alignment horizontal="center" vertical="center"/>
    </xf>
    <xf numFmtId="0" fontId="20" fillId="9" borderId="10" xfId="1" applyFont="1" applyFill="1" applyBorder="1" applyAlignment="1">
      <alignment horizontal="center" vertical="center"/>
    </xf>
    <xf numFmtId="0" fontId="20" fillId="9" borderId="2" xfId="1" applyFont="1" applyFill="1" applyBorder="1" applyAlignment="1">
      <alignment vertical="center" wrapText="1"/>
    </xf>
    <xf numFmtId="14" fontId="20" fillId="9" borderId="1" xfId="1" applyNumberFormat="1" applyFont="1" applyFill="1" applyBorder="1" applyAlignment="1">
      <alignment horizontal="center" vertical="center"/>
    </xf>
    <xf numFmtId="0" fontId="20" fillId="9" borderId="1" xfId="1" applyFont="1" applyFill="1" applyBorder="1" applyAlignment="1">
      <alignment horizontal="center"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0" fontId="16" fillId="0" borderId="0" xfId="2" applyFont="1">
      <alignment vertical="center"/>
    </xf>
    <xf numFmtId="0" fontId="23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5" fillId="0" borderId="0" xfId="2" applyFont="1">
      <alignment vertical="center"/>
    </xf>
    <xf numFmtId="0" fontId="16" fillId="0" borderId="0" xfId="2" applyFont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16" fillId="0" borderId="12" xfId="2" applyFont="1" applyBorder="1">
      <alignment vertical="center"/>
    </xf>
    <xf numFmtId="0" fontId="16" fillId="0" borderId="13" xfId="2" applyFont="1" applyBorder="1">
      <alignment vertical="center"/>
    </xf>
    <xf numFmtId="0" fontId="16" fillId="0" borderId="14" xfId="2" applyFont="1" applyBorder="1">
      <alignment vertical="center"/>
    </xf>
    <xf numFmtId="0" fontId="16" fillId="0" borderId="15" xfId="2" applyFont="1" applyBorder="1">
      <alignment vertical="center"/>
    </xf>
    <xf numFmtId="0" fontId="16" fillId="0" borderId="16" xfId="2" applyFont="1" applyBorder="1">
      <alignment vertical="center"/>
    </xf>
    <xf numFmtId="0" fontId="16" fillId="0" borderId="16" xfId="2" applyFont="1" applyBorder="1" applyAlignment="1">
      <alignment horizontal="center" vertical="center"/>
    </xf>
    <xf numFmtId="0" fontId="16" fillId="0" borderId="15" xfId="2" applyFont="1" applyBorder="1" applyAlignment="1">
      <alignment horizontal="center" vertical="center"/>
    </xf>
    <xf numFmtId="0" fontId="16" fillId="0" borderId="17" xfId="2" applyFont="1" applyBorder="1">
      <alignment vertical="center"/>
    </xf>
    <xf numFmtId="0" fontId="16" fillId="0" borderId="18" xfId="2" applyFont="1" applyBorder="1">
      <alignment vertical="center"/>
    </xf>
    <xf numFmtId="0" fontId="16" fillId="0" borderId="19" xfId="2" applyFont="1" applyBorder="1">
      <alignment vertical="center"/>
    </xf>
    <xf numFmtId="0" fontId="25" fillId="0" borderId="0" xfId="4" applyFont="1">
      <alignment vertical="center"/>
    </xf>
    <xf numFmtId="0" fontId="1" fillId="0" borderId="0" xfId="4">
      <alignment vertical="center"/>
    </xf>
    <xf numFmtId="0" fontId="16" fillId="0" borderId="2" xfId="2" applyFont="1" applyBorder="1" applyAlignment="1">
      <alignment horizontal="center" vertical="center"/>
    </xf>
    <xf numFmtId="0" fontId="16" fillId="0" borderId="8" xfId="2" applyFont="1" applyBorder="1" applyAlignment="1">
      <alignment horizontal="center" vertical="center"/>
    </xf>
    <xf numFmtId="0" fontId="16" fillId="0" borderId="3" xfId="2" applyFont="1" applyBorder="1" applyAlignment="1">
      <alignment horizontal="center" vertical="center"/>
    </xf>
    <xf numFmtId="0" fontId="14" fillId="8" borderId="2" xfId="1" applyFont="1" applyFill="1" applyBorder="1" applyAlignment="1">
      <alignment horizontal="center" vertical="top"/>
    </xf>
    <xf numFmtId="0" fontId="14" fillId="8" borderId="8" xfId="1" applyFont="1" applyFill="1" applyBorder="1" applyAlignment="1">
      <alignment horizontal="center" vertical="top"/>
    </xf>
    <xf numFmtId="0" fontId="14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369F9FD2-5CFD-42C4-B229-B4E695E5D71C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FAC6C978-27C9-415A-B57F-9BB31C3B87C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9307B325-BE76-41BB-8371-872D02B85996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E393A392-2A60-4E53-B494-5B3EA4CDD428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C31853DA-87C4-456A-ACB2-45D10CAA3CB9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66675</xdr:colOff>
          <xdr:row>43</xdr:row>
          <xdr:rowOff>85725</xdr:rowOff>
        </xdr:from>
        <xdr:to>
          <xdr:col>38</xdr:col>
          <xdr:colOff>114300</xdr:colOff>
          <xdr:row>47</xdr:row>
          <xdr:rowOff>133350</xdr:rowOff>
        </xdr:to>
        <xdr:sp macro="" textlink="">
          <xdr:nvSpPr>
            <xdr:cNvPr id="19459" name="inei1_佐古 竜基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0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</xdr:colOff>
      <xdr:row>67</xdr:row>
      <xdr:rowOff>28576</xdr:rowOff>
    </xdr:from>
    <xdr:to>
      <xdr:col>12</xdr:col>
      <xdr:colOff>365759</xdr:colOff>
      <xdr:row>73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65884" y="114300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file:///C: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ECU基盤"/>
      <sheetName val="Name2"/>
      <sheetName val="Name3"/>
      <sheetName val="Company"/>
      <sheetName val="Name"/>
      <sheetName val="1.概述"/>
      <sheetName val="OpenIssueList"/>
      <sheetName val="PullDown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字段定义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T_組付ﾗｲﾝ別リスト3"/>
      <sheetName val="Cooling Unit"/>
      <sheetName val="部材ﾘｽﾄ462455-4200"/>
      <sheetName val="PL65ﾒｷ32"/>
      <sheetName val="ﾒｯｷｴｷｽﾄﾗ"/>
      <sheetName val="TARIFF"/>
      <sheetName val="00下期DBﾍﾞｰｽ"/>
      <sheetName val="415T戟L"/>
      <sheetName val="MA059050-8480"/>
      <sheetName val="③ﾋﾞｭｰｶﾗｰ_(2)"/>
      <sheetName val="マスタ"/>
      <sheetName val="415T414T"/>
      <sheetName val="Daily OT"/>
      <sheetName val="Budget03"/>
      <sheetName val="DAILYPACE"/>
      <sheetName val="号車仕様"/>
      <sheetName val="#REF!"/>
      <sheetName val="KEY明細 "/>
      <sheetName val="Graph eng 8 opérateurs"/>
      <sheetName val="5.WIRE적용LIST"/>
      <sheetName val="前提と仮定"/>
      <sheetName val="◇Ｘ1"/>
      <sheetName val="床面積_設備計画"/>
      <sheetName val="新NAV-2ECU"/>
      <sheetName val="paralist"/>
      <sheetName val="04上期予算"/>
      <sheetName val="BOM "/>
      <sheetName val="リスト（変更不可）"/>
      <sheetName val="REQUEST_TABLE"/>
      <sheetName val="ドメイン別開発規模"/>
      <sheetName val="ﾀﾞｲﾊﾂ"/>
      <sheetName val="いすゞ"/>
      <sheetName val="CSM with CKD"/>
      <sheetName val="価格"/>
      <sheetName val="計算【ﾘｰｸ電流計測】"/>
      <sheetName val="Categories(input)"/>
      <sheetName val="エキパン(JP)"/>
      <sheetName val="0P-1"/>
      <sheetName val="データ設定"/>
      <sheetName val="2"/>
      <sheetName val="工具模具"/>
      <sheetName val="Mth"/>
      <sheetName val="Qtr"/>
      <sheetName val="ｺﾓﾝﾚｰﾙ数量ﾃﾞｰﾀA-B"/>
      <sheetName val="社員リスト"/>
      <sheetName val="拡販アイテム２課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主要使用部品"/>
      <sheetName val="選択リスト"/>
      <sheetName val="FLASH"/>
      <sheetName val="Purchase Value"/>
      <sheetName val="CASHFLOW"/>
      <sheetName val="DATA"/>
      <sheetName val="客户对照表"/>
      <sheetName val="BOM"/>
      <sheetName val="リスト"/>
      <sheetName val="非同期整流"/>
      <sheetName val="ドメイン_ステータス一覧"/>
      <sheetName val="引言"/>
      <sheetName val="分类数据"/>
      <sheetName val="同行评审"/>
      <sheetName val="Tri (sept cp)"/>
      <sheetName val="全戻りﾊﾞｸﾞ"/>
      <sheetName val="ドメインリスト"/>
      <sheetName val="发行控制"/>
      <sheetName val="車両仕様"/>
      <sheetName val="選択肢"/>
      <sheetName val="改訂履歴"/>
      <sheetName val="充電Ｓｉｍ（Ｂｌａｃｋ）"/>
      <sheetName val="表紙 電源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各種区分ﾘｽﾄ（入力用）"/>
      <sheetName val="low series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信息定义"/>
      <sheetName val="変更履歴"/>
      <sheetName val="検査シート"/>
      <sheetName val="調査シート"/>
      <sheetName val="1.概述"/>
      <sheetName val="56ARE04"/>
      <sheetName val="LED・ダイオード特性"/>
      <sheetName val="一覧表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SALES_AMT_K-B"/>
      <sheetName val="SALES_AMT_K_B"/>
      <sheetName val="Back_UP_A05_DITH"/>
      <sheetName val="415T原"/>
      <sheetName val="拡販アイテム２課"/>
      <sheetName val="各種区分ﾘｽﾄ（入力用）"/>
      <sheetName val="20023001"/>
      <sheetName val="新新粗利"/>
      <sheetName val="prop"/>
      <sheetName val="KEY明細 "/>
      <sheetName val="GENERAL"/>
      <sheetName val="Inves. codes"/>
      <sheetName val="88A概略見積"/>
      <sheetName val="PL65ﾒｷ32"/>
      <sheetName val="設計４Ｇ（原紙）"/>
      <sheetName val="チーム案2英語"/>
      <sheetName val="ｸﾗｽ別調達規模"/>
      <sheetName val="条件"/>
      <sheetName val="プリモ_S0"/>
      <sheetName val="プリモ_S1"/>
      <sheetName val="プリモ_S2"/>
      <sheetName val="プリモ_S3"/>
      <sheetName val="00下期DBﾍﾞｰｽ"/>
      <sheetName val="床面積_設備計画"/>
      <sheetName val="新NAV-2ECU"/>
      <sheetName val="WORM _ Wheel_Rev"/>
      <sheetName val="Workings"/>
      <sheetName val="#REF!"/>
      <sheetName val="engline"/>
      <sheetName val="CSM with CKD"/>
      <sheetName val="Sheet1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0S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3.3V実負荷CSV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/>
      <sheetData sheetId="7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Calcul"/>
      <sheetName val="Data"/>
      <sheetName val="ROUTE"/>
      <sheetName val="发行控制"/>
      <sheetName val="Data Definition"/>
      <sheetName val="課題管理"/>
      <sheetName val="調査シート"/>
      <sheetName val="【Vardef】机能一览配置"/>
      <sheetName val="PullDown"/>
      <sheetName val="rom map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原紙"/>
      <sheetName val="マスタテーブル登録データ"/>
      <sheetName val="記入シート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PROFILE"/>
      <sheetName val="本修正_DIFF "/>
      <sheetName val="Sector Assignment"/>
      <sheetName val="3頁CE判断"/>
      <sheetName val="【グラフネタ】新表紙用"/>
      <sheetName val="ass'y 12'04-05'05"/>
      <sheetName val="ｶﾚﾝﾀﾞｰﾃｰﾌﾞﾙ"/>
      <sheetName val="investment_tmc v8.0 34p"/>
      <sheetName val="総市場"/>
      <sheetName val="COST"/>
      <sheetName val="EXP"/>
      <sheetName val="Daily WSD"/>
      <sheetName val="１次原価"/>
      <sheetName val="損失(690Aﾍﾞｰｽ)"/>
      <sheetName val="計算DATA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ROUTE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選定一覧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ListWork"/>
      <sheetName val="パラメータ設定表"/>
      <sheetName val="分类数据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集計"/>
      <sheetName val="用語集"/>
      <sheetName val="【参考】AD計算"/>
      <sheetName val="階層一覧"/>
      <sheetName val="リスト"/>
      <sheetName val="市販STD Mecha（PTM)"/>
      <sheetName val="課題管理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追加検討（調光外部出力）"/>
      <sheetName val="option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入力規則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#入力規則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/>
      <sheetData sheetId="315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>
        <row r="1">
          <cell r="B1" t="str">
            <v>1</v>
          </cell>
        </row>
      </sheetData>
      <sheetData sheetId="487">
        <row r="1">
          <cell r="B1" t="str">
            <v>1</v>
          </cell>
        </row>
      </sheetData>
      <sheetData sheetId="488">
        <row r="1">
          <cell r="B1" t="str">
            <v>1</v>
          </cell>
        </row>
      </sheetData>
      <sheetData sheetId="489">
        <row r="1">
          <cell r="B1" t="str">
            <v>1</v>
          </cell>
        </row>
      </sheetData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B1" t="str">
            <v>1</v>
          </cell>
        </row>
      </sheetData>
      <sheetData sheetId="516">
        <row r="1">
          <cell r="B1" t="str">
            <v>1</v>
          </cell>
        </row>
      </sheetData>
      <sheetData sheetId="517">
        <row r="1">
          <cell r="B1" t="str">
            <v>1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B1" t="str">
            <v>1</v>
          </cell>
        </row>
      </sheetData>
      <sheetData sheetId="520">
        <row r="1">
          <cell r="B1" t="str">
            <v>1</v>
          </cell>
        </row>
      </sheetData>
      <sheetData sheetId="521">
        <row r="1">
          <cell r="B1" t="str">
            <v>1</v>
          </cell>
        </row>
      </sheetData>
      <sheetData sheetId="522">
        <row r="1">
          <cell r="B1" t="str">
            <v>1</v>
          </cell>
        </row>
      </sheetData>
      <sheetData sheetId="523">
        <row r="1">
          <cell r="B1" t="str">
            <v>1</v>
          </cell>
        </row>
      </sheetData>
      <sheetData sheetId="524">
        <row r="1">
          <cell r="B1" t="str">
            <v>1</v>
          </cell>
        </row>
      </sheetData>
      <sheetData sheetId="525">
        <row r="1">
          <cell r="B1" t="str">
            <v>1</v>
          </cell>
        </row>
      </sheetData>
      <sheetData sheetId="526">
        <row r="1">
          <cell r="B1" t="str">
            <v>1</v>
          </cell>
        </row>
      </sheetData>
      <sheetData sheetId="527">
        <row r="1">
          <cell r="B1" t="str">
            <v>1</v>
          </cell>
        </row>
      </sheetData>
      <sheetData sheetId="528">
        <row r="1">
          <cell r="B1" t="str">
            <v>1</v>
          </cell>
        </row>
      </sheetData>
      <sheetData sheetId="529">
        <row r="1">
          <cell r="B1" t="str">
            <v>1</v>
          </cell>
        </row>
      </sheetData>
      <sheetData sheetId="530">
        <row r="1">
          <cell r="B1" t="str">
            <v>1</v>
          </cell>
        </row>
      </sheetData>
      <sheetData sheetId="531">
        <row r="1">
          <cell r="B1" t="str">
            <v>1</v>
          </cell>
        </row>
      </sheetData>
      <sheetData sheetId="532">
        <row r="1">
          <cell r="B1" t="str">
            <v>1</v>
          </cell>
        </row>
      </sheetData>
      <sheetData sheetId="533">
        <row r="1">
          <cell r="B1" t="str">
            <v>1</v>
          </cell>
        </row>
      </sheetData>
      <sheetData sheetId="534">
        <row r="1">
          <cell r="B1" t="str">
            <v>1</v>
          </cell>
        </row>
      </sheetData>
      <sheetData sheetId="535">
        <row r="1">
          <cell r="B1" t="str">
            <v>1</v>
          </cell>
        </row>
      </sheetData>
      <sheetData sheetId="536">
        <row r="1">
          <cell r="B1" t="str">
            <v>1</v>
          </cell>
        </row>
      </sheetData>
      <sheetData sheetId="537">
        <row r="1">
          <cell r="B1" t="str">
            <v>1</v>
          </cell>
        </row>
      </sheetData>
      <sheetData sheetId="538">
        <row r="1">
          <cell r="B1" t="str">
            <v>1</v>
          </cell>
        </row>
      </sheetData>
      <sheetData sheetId="539">
        <row r="1">
          <cell r="B1" t="str">
            <v>1</v>
          </cell>
        </row>
      </sheetData>
      <sheetData sheetId="540">
        <row r="1">
          <cell r="B1" t="str">
            <v>1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>
        <row r="1">
          <cell r="B1" t="str">
            <v>1</v>
          </cell>
        </row>
      </sheetData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>
        <row r="1">
          <cell r="B1" t="str">
            <v>1</v>
          </cell>
        </row>
      </sheetData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>
        <row r="1">
          <cell r="A1" t="str">
            <v>ﾄﾖﾀ自動車株式会社　調達本部　</v>
          </cell>
        </row>
      </sheetData>
      <sheetData sheetId="794"/>
      <sheetData sheetId="795">
        <row r="1">
          <cell r="A1" t="str">
            <v>ﾄﾖﾀ自動車株式会社　調達本部　</v>
          </cell>
        </row>
      </sheetData>
      <sheetData sheetId="796">
        <row r="1">
          <cell r="B1" t="str">
            <v>1</v>
          </cell>
        </row>
      </sheetData>
      <sheetData sheetId="797">
        <row r="1">
          <cell r="A1" t="str">
            <v>ﾄﾖﾀ自動車株式会社　調達本部　</v>
          </cell>
        </row>
      </sheetData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>
        <row r="1">
          <cell r="B1" t="str">
            <v>1</v>
          </cell>
        </row>
      </sheetData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>
        <row r="1">
          <cell r="B1" t="str">
            <v>1</v>
          </cell>
        </row>
      </sheetData>
      <sheetData sheetId="1039">
        <row r="1">
          <cell r="B1" t="str">
            <v>1</v>
          </cell>
        </row>
      </sheetData>
      <sheetData sheetId="1040">
        <row r="1">
          <cell r="B1" t="str">
            <v>1</v>
          </cell>
        </row>
      </sheetData>
      <sheetData sheetId="1041">
        <row r="1">
          <cell r="B1" t="str">
            <v>1</v>
          </cell>
        </row>
      </sheetData>
      <sheetData sheetId="1042">
        <row r="1">
          <cell r="B1" t="str">
            <v>1</v>
          </cell>
        </row>
      </sheetData>
      <sheetData sheetId="1043">
        <row r="1">
          <cell r="B1" t="str">
            <v>1</v>
          </cell>
        </row>
      </sheetData>
      <sheetData sheetId="1044">
        <row r="3">
          <cell r="B3" t="str">
            <v>TOYOTA   TSUSHO  PHILIPPINES CORPORATION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3">
          <cell r="B3" t="str">
            <v>TOYOTA   TSUSHO  PHILIPPINES CORPORATION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3">
          <cell r="B3" t="str">
            <v>TOYOTA   TSUSHO  PHILIPPINES CORPORATION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3">
          <cell r="B3" t="str">
            <v>TOYOTA   TSUSHO  PHILIPPINES CORPORATION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3">
          <cell r="B3" t="str">
            <v>TOYOTA   TSUSHO  PHILIPPINES CORPORATION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3">
          <cell r="B3" t="str">
            <v>TOYOTA   TSUSHO  PHILIPPINES CORPORATION</v>
          </cell>
        </row>
      </sheetData>
      <sheetData sheetId="1173"/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3">
          <cell r="B3" t="str">
            <v>TOYOTA   TSUSHO  PHILIPPINES CORPORATION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3">
          <cell r="B3" t="str">
            <v>TOYOTA   TSUSHO  PHILIPPINES CORPORATION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3">
          <cell r="B3" t="str">
            <v>TOYOTA   TSUSHO  PHILIPPINES CORPORATION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3">
          <cell r="B3" t="str">
            <v>TOYOTA   TSUSHO  PHILIPPINES CORPORATION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3">
          <cell r="B3" t="str">
            <v>TOYOTA   TSUSHO  PHILIPPINES CORPORATION</v>
          </cell>
        </row>
      </sheetData>
      <sheetData sheetId="1200">
        <row r="3">
          <cell r="B3" t="str">
            <v>TOYOTA   TSUSHO  PHILIPPINES CORPORATION</v>
          </cell>
        </row>
      </sheetData>
      <sheetData sheetId="1201">
        <row r="1">
          <cell r="B1" t="str">
            <v>1</v>
          </cell>
        </row>
      </sheetData>
      <sheetData sheetId="1202">
        <row r="3">
          <cell r="B3" t="str">
            <v>TOYOTA   TSUSHO  PHILIPPINES CORPORATION</v>
          </cell>
        </row>
      </sheetData>
      <sheetData sheetId="1203">
        <row r="3">
          <cell r="B3" t="str">
            <v>TOYOTA   TSUSHO  PHILIPPINES CORPORATION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3">
          <cell r="B3" t="str">
            <v>TOYOTA   TSUSHO  PHILIPPINES CORPORATION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3">
          <cell r="B3" t="str">
            <v>TOYOTA   TSUSHO  PHILIPPINES CORPORATION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3">
          <cell r="B3" t="str">
            <v>TOYOTA   TSUSHO  PHILIPPINES CORPORATION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3">
          <cell r="B3" t="str">
            <v>TOYOTA   TSUSHO  PHILIPPINES CORPORATION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3">
          <cell r="B3" t="str">
            <v>TOYOTA   TSUSHO  PHILIPPINES CORPORATION</v>
          </cell>
        </row>
      </sheetData>
      <sheetData sheetId="1230">
        <row r="3">
          <cell r="B3" t="str">
            <v>TOYOTA   TSUSHO  PHILIPPINES CORPORATION</v>
          </cell>
        </row>
      </sheetData>
      <sheetData sheetId="1231">
        <row r="1">
          <cell r="B1" t="str">
            <v>1</v>
          </cell>
        </row>
      </sheetData>
      <sheetData sheetId="1232">
        <row r="3">
          <cell r="B3" t="str">
            <v>TOYOTA   TSUSHO  PHILIPPINES CORPORATION</v>
          </cell>
        </row>
      </sheetData>
      <sheetData sheetId="1233">
        <row r="3">
          <cell r="B3" t="str">
            <v>TOYOTA   TSUSHO  PHILIPPINES CORPORATION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3">
          <cell r="B3" t="str">
            <v>TOYOTA   TSUSHO  PHILIPPINES CORPORATION</v>
          </cell>
        </row>
      </sheetData>
      <sheetData sheetId="1240">
        <row r="3">
          <cell r="B3" t="str">
            <v>TOYOTA   TSUSHO  PHILIPPINES CORPORATION</v>
          </cell>
        </row>
      </sheetData>
      <sheetData sheetId="1241">
        <row r="1">
          <cell r="B1" t="str">
            <v>1</v>
          </cell>
        </row>
      </sheetData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/>
      <sheetData sheetId="1287"/>
      <sheetData sheetId="1288"/>
      <sheetData sheetId="1289" refreshError="1"/>
      <sheetData sheetId="1290" refreshError="1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/>
      <sheetData sheetId="1396"/>
      <sheetData sheetId="1397"/>
      <sheetData sheetId="1398" refreshError="1"/>
      <sheetData sheetId="1399"/>
      <sheetData sheetId="1400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/>
      <sheetData sheetId="1417" refreshError="1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70" customWidth="1"/>
    <col min="53" max="16384" width="8.125" style="70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71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72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73"/>
      <c r="V32" s="73"/>
    </row>
    <row r="33" spans="3:39" ht="13.15" customHeight="1" x14ac:dyDescent="0.15">
      <c r="M33" s="74"/>
      <c r="N33" s="74"/>
      <c r="O33" s="74"/>
      <c r="P33" s="74"/>
      <c r="Q33" s="74"/>
      <c r="AF33" s="74"/>
      <c r="AG33" s="74"/>
      <c r="AH33" s="74"/>
      <c r="AI33" s="74"/>
      <c r="AJ33" s="74"/>
    </row>
    <row r="34" spans="3:39" ht="13.15" customHeight="1" x14ac:dyDescent="0.15">
      <c r="Y34" s="73" t="s">
        <v>548</v>
      </c>
    </row>
    <row r="35" spans="3:39" ht="13.15" customHeight="1" x14ac:dyDescent="0.15">
      <c r="Y35" s="88" t="s">
        <v>534</v>
      </c>
      <c r="Z35" s="89"/>
      <c r="AA35" s="89"/>
      <c r="AB35" s="89"/>
      <c r="AC35" s="90"/>
      <c r="AD35" s="88" t="s">
        <v>535</v>
      </c>
      <c r="AE35" s="89"/>
      <c r="AF35" s="89"/>
      <c r="AG35" s="89"/>
      <c r="AH35" s="90"/>
      <c r="AI35" s="88" t="s">
        <v>536</v>
      </c>
      <c r="AJ35" s="89"/>
      <c r="AK35" s="89"/>
      <c r="AL35" s="89"/>
      <c r="AM35" s="90"/>
    </row>
    <row r="36" spans="3:39" ht="13.15" customHeight="1" x14ac:dyDescent="0.15">
      <c r="D36" s="74"/>
      <c r="E36" s="75"/>
      <c r="F36" s="74"/>
      <c r="G36" s="74"/>
      <c r="I36" s="74"/>
      <c r="J36" s="75"/>
      <c r="K36" s="74"/>
      <c r="L36" s="74"/>
      <c r="M36" s="74"/>
      <c r="N36" s="74"/>
      <c r="O36" s="75"/>
      <c r="P36" s="74"/>
      <c r="Q36" s="74"/>
      <c r="W36" s="74"/>
      <c r="X36" s="75"/>
      <c r="Y36" s="76"/>
      <c r="Z36" s="77"/>
      <c r="AA36" s="77"/>
      <c r="AB36" s="77"/>
      <c r="AC36" s="78"/>
      <c r="AD36" s="76"/>
      <c r="AE36" s="77"/>
      <c r="AF36" s="77"/>
      <c r="AG36" s="77"/>
      <c r="AH36" s="78"/>
      <c r="AI36" s="76"/>
      <c r="AJ36" s="77"/>
      <c r="AK36" s="77"/>
      <c r="AL36" s="77"/>
      <c r="AM36" s="78"/>
    </row>
    <row r="37" spans="3:39" ht="13.15" customHeight="1" x14ac:dyDescent="0.15">
      <c r="Y37" s="79"/>
      <c r="AC37" s="80"/>
      <c r="AD37" s="79"/>
      <c r="AH37" s="80"/>
      <c r="AI37" s="79"/>
      <c r="AM37" s="80"/>
    </row>
    <row r="38" spans="3:39" ht="13.15" customHeight="1" x14ac:dyDescent="0.15">
      <c r="Y38" s="79"/>
      <c r="Z38" s="74"/>
      <c r="AA38" s="75" t="s">
        <v>537</v>
      </c>
      <c r="AB38" s="74"/>
      <c r="AC38" s="81"/>
      <c r="AD38" s="79"/>
      <c r="AE38" s="74"/>
      <c r="AF38" s="75" t="s">
        <v>538</v>
      </c>
      <c r="AG38" s="74"/>
      <c r="AH38" s="81"/>
      <c r="AI38" s="82"/>
      <c r="AJ38" s="74"/>
      <c r="AK38" s="75" t="s">
        <v>539</v>
      </c>
      <c r="AL38" s="74"/>
      <c r="AM38" s="81"/>
    </row>
    <row r="39" spans="3:39" ht="13.15" customHeight="1" x14ac:dyDescent="0.15">
      <c r="Y39" s="79"/>
      <c r="AC39" s="80"/>
      <c r="AD39" s="79"/>
      <c r="AH39" s="80"/>
      <c r="AI39" s="79"/>
      <c r="AM39" s="80"/>
    </row>
    <row r="40" spans="3:39" ht="13.15" customHeight="1" x14ac:dyDescent="0.15">
      <c r="C40" s="73"/>
      <c r="V40" s="73"/>
      <c r="Y40" s="83"/>
      <c r="Z40" s="84"/>
      <c r="AA40" s="84"/>
      <c r="AB40" s="84"/>
      <c r="AC40" s="85"/>
      <c r="AD40" s="83"/>
      <c r="AE40" s="84"/>
      <c r="AF40" s="84"/>
      <c r="AG40" s="84"/>
      <c r="AH40" s="85"/>
      <c r="AI40" s="83"/>
      <c r="AJ40" s="84"/>
      <c r="AK40" s="84"/>
      <c r="AL40" s="84"/>
      <c r="AM40" s="85"/>
    </row>
    <row r="41" spans="3:39" ht="13.15" customHeight="1" x14ac:dyDescent="0.15"/>
    <row r="42" spans="3:39" ht="13.15" customHeight="1" x14ac:dyDescent="0.15">
      <c r="Y42" s="73" t="s">
        <v>540</v>
      </c>
    </row>
    <row r="43" spans="3:39" ht="13.15" customHeight="1" x14ac:dyDescent="0.15">
      <c r="Y43" s="88" t="s">
        <v>534</v>
      </c>
      <c r="Z43" s="89"/>
      <c r="AA43" s="89"/>
      <c r="AB43" s="89"/>
      <c r="AC43" s="90"/>
      <c r="AD43" s="88" t="s">
        <v>535</v>
      </c>
      <c r="AE43" s="89"/>
      <c r="AF43" s="89"/>
      <c r="AG43" s="89"/>
      <c r="AH43" s="90"/>
      <c r="AI43" s="88" t="s">
        <v>536</v>
      </c>
      <c r="AJ43" s="89"/>
      <c r="AK43" s="89"/>
      <c r="AL43" s="89"/>
      <c r="AM43" s="90"/>
    </row>
    <row r="44" spans="3:39" ht="13.15" customHeight="1" x14ac:dyDescent="0.15">
      <c r="D44" s="74"/>
      <c r="E44" s="75"/>
      <c r="F44" s="74"/>
      <c r="G44" s="74"/>
      <c r="H44" s="74"/>
      <c r="I44" s="74"/>
      <c r="J44" s="75"/>
      <c r="K44" s="74"/>
      <c r="L44" s="74"/>
      <c r="M44" s="74"/>
      <c r="N44" s="74"/>
      <c r="O44" s="75"/>
      <c r="P44" s="74"/>
      <c r="Q44" s="74"/>
      <c r="W44" s="74"/>
      <c r="X44" s="75"/>
      <c r="Y44" s="76"/>
      <c r="Z44" s="77"/>
      <c r="AA44" s="77"/>
      <c r="AB44" s="77"/>
      <c r="AC44" s="78"/>
      <c r="AD44" s="77"/>
      <c r="AE44" s="77"/>
      <c r="AF44" s="77"/>
      <c r="AG44" s="77"/>
      <c r="AH44" s="78"/>
      <c r="AI44" s="76"/>
      <c r="AJ44" s="77"/>
      <c r="AK44" s="77"/>
      <c r="AL44" s="77"/>
      <c r="AM44" s="78"/>
    </row>
    <row r="45" spans="3:39" ht="13.15" customHeight="1" x14ac:dyDescent="0.15">
      <c r="Y45" s="79"/>
      <c r="AC45" s="80"/>
      <c r="AH45" s="80"/>
      <c r="AI45" s="79"/>
      <c r="AM45" s="80"/>
    </row>
    <row r="46" spans="3:39" ht="13.15" customHeight="1" x14ac:dyDescent="0.15">
      <c r="Y46" s="79"/>
      <c r="Z46" s="74"/>
      <c r="AA46" s="75" t="s">
        <v>541</v>
      </c>
      <c r="AB46" s="74"/>
      <c r="AC46" s="81"/>
      <c r="AD46" s="74"/>
      <c r="AE46" s="74"/>
      <c r="AF46" s="75" t="s">
        <v>542</v>
      </c>
      <c r="AG46" s="74"/>
      <c r="AH46" s="81"/>
      <c r="AI46" s="82"/>
      <c r="AJ46" s="74"/>
      <c r="AK46" s="75" t="s">
        <v>543</v>
      </c>
      <c r="AL46" s="74"/>
      <c r="AM46" s="81"/>
    </row>
    <row r="47" spans="3:39" ht="13.15" customHeight="1" x14ac:dyDescent="0.15">
      <c r="Y47" s="79"/>
      <c r="AC47" s="80"/>
      <c r="AH47" s="80"/>
      <c r="AI47" s="79"/>
      <c r="AM47" s="80"/>
    </row>
    <row r="48" spans="3:39" ht="13.15" customHeight="1" x14ac:dyDescent="0.15">
      <c r="C48" s="73"/>
      <c r="V48" s="73"/>
      <c r="Y48" s="83"/>
      <c r="Z48" s="84"/>
      <c r="AA48" s="84"/>
      <c r="AB48" s="84"/>
      <c r="AC48" s="85"/>
      <c r="AD48" s="84"/>
      <c r="AE48" s="84"/>
      <c r="AF48" s="84"/>
      <c r="AG48" s="84"/>
      <c r="AH48" s="85"/>
      <c r="AI48" s="83"/>
      <c r="AJ48" s="84"/>
      <c r="AK48" s="84"/>
      <c r="AL48" s="84"/>
      <c r="AM48" s="85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7"/>
      <c r="Y50" s="86" t="s">
        <v>544</v>
      </c>
      <c r="Z50" s="87"/>
      <c r="AA50" s="87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7"/>
      <c r="Y51" s="88" t="s">
        <v>534</v>
      </c>
      <c r="Z51" s="89"/>
      <c r="AA51" s="89"/>
      <c r="AB51" s="89"/>
      <c r="AC51" s="90"/>
      <c r="AD51" s="88" t="s">
        <v>535</v>
      </c>
      <c r="AE51" s="89"/>
      <c r="AF51" s="89"/>
      <c r="AG51" s="89"/>
      <c r="AH51" s="90"/>
      <c r="AI51" s="88" t="s">
        <v>536</v>
      </c>
      <c r="AJ51" s="89"/>
      <c r="AK51" s="89"/>
      <c r="AL51" s="89"/>
      <c r="AM51" s="90"/>
    </row>
    <row r="52" spans="4:39" ht="13.15" customHeight="1" x14ac:dyDescent="0.15">
      <c r="D52" s="74"/>
      <c r="E52" s="75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5"/>
      <c r="W52" s="74"/>
      <c r="X52" s="75"/>
      <c r="Y52" s="76"/>
      <c r="Z52" s="77"/>
      <c r="AA52" s="77"/>
      <c r="AB52" s="77"/>
      <c r="AC52" s="78"/>
      <c r="AD52" s="77"/>
      <c r="AE52" s="77"/>
      <c r="AF52" s="77"/>
      <c r="AG52" s="77"/>
      <c r="AH52" s="78"/>
      <c r="AI52" s="76"/>
      <c r="AJ52" s="77"/>
      <c r="AK52" s="77"/>
      <c r="AL52" s="77"/>
      <c r="AM52" s="78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7"/>
      <c r="Y53" s="79"/>
      <c r="Z53" s="87"/>
      <c r="AA53" s="87"/>
      <c r="AB53" s="87"/>
      <c r="AC53" s="80"/>
      <c r="AD53" s="87"/>
      <c r="AE53" s="87"/>
      <c r="AF53" s="87"/>
      <c r="AG53" s="87"/>
      <c r="AH53" s="80"/>
      <c r="AI53" s="79"/>
      <c r="AJ53" s="87"/>
      <c r="AK53" s="87"/>
      <c r="AL53" s="87"/>
      <c r="AM53" s="80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7"/>
      <c r="Y54" s="79"/>
      <c r="Z54" s="74"/>
      <c r="AA54" s="75" t="s">
        <v>545</v>
      </c>
      <c r="AB54" s="74"/>
      <c r="AC54" s="81"/>
      <c r="AD54" s="74"/>
      <c r="AE54" s="74"/>
      <c r="AF54" s="75" t="s">
        <v>546</v>
      </c>
      <c r="AG54" s="74"/>
      <c r="AH54" s="81"/>
      <c r="AI54" s="82"/>
      <c r="AJ54" s="74"/>
      <c r="AK54" s="75" t="s">
        <v>539</v>
      </c>
      <c r="AL54" s="74"/>
      <c r="AM54" s="81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7"/>
      <c r="Y55" s="79"/>
      <c r="Z55" s="87"/>
      <c r="AA55" s="87"/>
      <c r="AB55" s="87"/>
      <c r="AC55" s="80"/>
      <c r="AD55" s="87"/>
      <c r="AE55" s="87"/>
      <c r="AF55" s="87"/>
      <c r="AG55" s="87"/>
      <c r="AH55" s="80"/>
      <c r="AI55" s="79"/>
      <c r="AJ55" s="87"/>
      <c r="AK55" s="87"/>
      <c r="AL55" s="87"/>
      <c r="AM55" s="80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7"/>
      <c r="Y56" s="83"/>
      <c r="Z56" s="84"/>
      <c r="AA56" s="84"/>
      <c r="AB56" s="84"/>
      <c r="AC56" s="85"/>
      <c r="AD56" s="84"/>
      <c r="AE56" s="84"/>
      <c r="AF56" s="84"/>
      <c r="AG56" s="84"/>
      <c r="AH56" s="85"/>
      <c r="AI56" s="83"/>
      <c r="AJ56" s="84"/>
      <c r="AK56" s="84"/>
      <c r="AL56" s="84"/>
      <c r="AM56" s="85"/>
    </row>
    <row r="57" spans="4:39" ht="13.15" customHeight="1" x14ac:dyDescent="0.15">
      <c r="AK57" s="70" t="s">
        <v>547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9459" r:id="rId4">
          <objectPr defaultSize="0" autoPict="0" r:id="rId5">
            <anchor>
              <from>
                <xdr:col>34</xdr:col>
                <xdr:colOff>66675</xdr:colOff>
                <xdr:row>43</xdr:row>
                <xdr:rowOff>85725</xdr:rowOff>
              </from>
              <to>
                <xdr:col>38</xdr:col>
                <xdr:colOff>114300</xdr:colOff>
                <xdr:row>47</xdr:row>
                <xdr:rowOff>133350</xdr:rowOff>
              </to>
            </anchor>
          </objectPr>
        </oleObject>
      </mc:Choice>
      <mc:Fallback>
        <oleObject progId="Dstmp.StampObject.7" shapeId="1945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4" customWidth="1"/>
    <col min="2" max="3" width="10.625" style="34" customWidth="1"/>
    <col min="4" max="6" width="3" style="34" customWidth="1"/>
    <col min="7" max="7" width="69.25" style="34" customWidth="1"/>
    <col min="8" max="8" width="13.875" style="34" customWidth="1"/>
    <col min="9" max="9" width="12.375" style="34" bestFit="1" customWidth="1"/>
    <col min="10" max="10" width="4.125" style="34" customWidth="1"/>
    <col min="11" max="16384" width="8" style="34"/>
  </cols>
  <sheetData>
    <row r="2" spans="1:10" ht="30" x14ac:dyDescent="0.15">
      <c r="A2" s="33"/>
      <c r="B2" s="33" t="s">
        <v>516</v>
      </c>
      <c r="C2" s="33"/>
      <c r="D2" s="33"/>
      <c r="E2" s="33"/>
      <c r="F2" s="33"/>
      <c r="G2" s="33"/>
      <c r="H2" s="33"/>
      <c r="I2" s="33"/>
      <c r="J2" s="33"/>
    </row>
    <row r="4" spans="1:10" ht="20.25" thickBot="1" x14ac:dyDescent="0.35">
      <c r="A4" s="35"/>
      <c r="B4" s="36"/>
      <c r="C4" s="37" t="str">
        <f ca="1">OFFSET($B$6,COUNTA($D$7:$D$139),1)&amp;"-"&amp;OFFSET($B$6,COUNTA($D$7:$D$139),2)&amp;""&amp;OFFSET($B$6,COUNTA($D$7:$D$139),3)&amp;""&amp;OFFSET($B$6,COUNTA($D$7:$D$139),4)</f>
        <v>Ver00-002</v>
      </c>
      <c r="D4" s="37"/>
      <c r="E4" s="38"/>
      <c r="F4" s="38"/>
      <c r="G4" s="35"/>
      <c r="H4" s="35"/>
      <c r="I4" s="35"/>
      <c r="J4" s="35"/>
    </row>
    <row r="5" spans="1:10" ht="16.5" thickTop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</row>
    <row r="6" spans="1:10" ht="18.75" customHeight="1" x14ac:dyDescent="0.15">
      <c r="B6" s="39" t="s">
        <v>517</v>
      </c>
      <c r="C6" s="91" t="s">
        <v>518</v>
      </c>
      <c r="D6" s="92"/>
      <c r="E6" s="92"/>
      <c r="F6" s="93"/>
      <c r="G6" s="39" t="s">
        <v>519</v>
      </c>
      <c r="H6" s="40" t="s">
        <v>520</v>
      </c>
      <c r="I6" s="41" t="s">
        <v>521</v>
      </c>
    </row>
    <row r="7" spans="1:10" ht="31.5" outlineLevel="1" x14ac:dyDescent="0.15">
      <c r="B7" s="42" t="s">
        <v>531</v>
      </c>
      <c r="C7" s="42" t="s">
        <v>522</v>
      </c>
      <c r="D7" s="43">
        <v>0</v>
      </c>
      <c r="E7" s="43">
        <v>0</v>
      </c>
      <c r="F7" s="44">
        <v>0</v>
      </c>
      <c r="G7" s="45" t="s">
        <v>530</v>
      </c>
      <c r="H7" s="46">
        <v>45740</v>
      </c>
      <c r="I7" s="47" t="s">
        <v>523</v>
      </c>
    </row>
    <row r="8" spans="1:10" ht="31.5" outlineLevel="1" x14ac:dyDescent="0.15">
      <c r="B8" s="42" t="s">
        <v>526</v>
      </c>
      <c r="C8" s="42" t="s">
        <v>522</v>
      </c>
      <c r="D8" s="43">
        <v>0</v>
      </c>
      <c r="E8" s="43">
        <v>0</v>
      </c>
      <c r="F8" s="44">
        <v>1</v>
      </c>
      <c r="G8" s="45" t="s">
        <v>532</v>
      </c>
      <c r="H8" s="46">
        <v>45790</v>
      </c>
      <c r="I8" s="48" t="s">
        <v>524</v>
      </c>
    </row>
    <row r="9" spans="1:10" ht="31.5" outlineLevel="1" x14ac:dyDescent="0.15">
      <c r="B9" s="42" t="s">
        <v>528</v>
      </c>
      <c r="C9" s="42" t="s">
        <v>522</v>
      </c>
      <c r="D9" s="43">
        <v>0</v>
      </c>
      <c r="E9" s="43">
        <v>0</v>
      </c>
      <c r="F9" s="44">
        <v>2</v>
      </c>
      <c r="G9" s="45" t="s">
        <v>533</v>
      </c>
      <c r="H9" s="46">
        <v>45790</v>
      </c>
      <c r="I9" s="48" t="s">
        <v>524</v>
      </c>
    </row>
    <row r="10" spans="1:10" outlineLevel="1" x14ac:dyDescent="0.15">
      <c r="B10" s="42"/>
      <c r="C10" s="42"/>
      <c r="D10" s="43"/>
      <c r="E10" s="43"/>
      <c r="F10" s="44"/>
      <c r="G10" s="45"/>
      <c r="H10" s="46"/>
      <c r="I10" s="48"/>
    </row>
    <row r="11" spans="1:10" outlineLevel="1" x14ac:dyDescent="0.15">
      <c r="B11" s="42"/>
      <c r="C11" s="42"/>
      <c r="D11" s="43"/>
      <c r="E11" s="43"/>
      <c r="F11" s="44"/>
      <c r="G11" s="45"/>
      <c r="H11" s="46"/>
      <c r="I11" s="48"/>
    </row>
    <row r="12" spans="1:10" outlineLevel="1" x14ac:dyDescent="0.15">
      <c r="B12" s="42"/>
      <c r="C12" s="42"/>
      <c r="D12" s="43"/>
      <c r="E12" s="43"/>
      <c r="F12" s="44"/>
      <c r="G12" s="45"/>
      <c r="H12" s="46"/>
      <c r="I12" s="48"/>
    </row>
    <row r="13" spans="1:10" outlineLevel="1" x14ac:dyDescent="0.15">
      <c r="B13" s="42"/>
      <c r="C13" s="42"/>
      <c r="D13" s="43"/>
      <c r="E13" s="43"/>
      <c r="F13" s="44"/>
      <c r="G13" s="45"/>
      <c r="H13" s="49"/>
      <c r="I13" s="48"/>
    </row>
    <row r="14" spans="1:10" outlineLevel="1" x14ac:dyDescent="0.15">
      <c r="B14" s="42"/>
      <c r="C14" s="42"/>
      <c r="D14" s="43"/>
      <c r="E14" s="43"/>
      <c r="F14" s="44"/>
      <c r="G14" s="45"/>
      <c r="H14" s="46"/>
      <c r="I14" s="48"/>
    </row>
    <row r="15" spans="1:10" outlineLevel="1" x14ac:dyDescent="0.15">
      <c r="B15" s="42"/>
      <c r="C15" s="42"/>
      <c r="D15" s="43"/>
      <c r="E15" s="43"/>
      <c r="F15" s="44"/>
      <c r="G15" s="45"/>
      <c r="H15" s="49"/>
      <c r="I15" s="50"/>
    </row>
    <row r="16" spans="1:10" outlineLevel="1" x14ac:dyDescent="0.15">
      <c r="B16" s="42"/>
      <c r="C16" s="42"/>
      <c r="D16" s="43"/>
      <c r="E16" s="43"/>
      <c r="F16" s="44"/>
      <c r="G16" s="45"/>
      <c r="H16" s="46"/>
      <c r="I16" s="48"/>
    </row>
    <row r="17" spans="2:9" outlineLevel="1" x14ac:dyDescent="0.15">
      <c r="B17" s="42"/>
      <c r="C17" s="42"/>
      <c r="D17" s="43"/>
      <c r="E17" s="43"/>
      <c r="F17" s="44"/>
      <c r="G17" s="45"/>
      <c r="H17" s="49"/>
      <c r="I17" s="50"/>
    </row>
    <row r="18" spans="2:9" outlineLevel="1" x14ac:dyDescent="0.15">
      <c r="B18" s="42"/>
      <c r="C18" s="42"/>
      <c r="D18" s="43"/>
      <c r="E18" s="43"/>
      <c r="F18" s="44"/>
      <c r="G18" s="45"/>
      <c r="H18" s="46"/>
      <c r="I18" s="48"/>
    </row>
    <row r="19" spans="2:9" outlineLevel="1" x14ac:dyDescent="0.15">
      <c r="B19" s="42"/>
      <c r="C19" s="42"/>
      <c r="D19" s="43"/>
      <c r="E19" s="43"/>
      <c r="F19" s="44"/>
      <c r="G19" s="45"/>
      <c r="H19" s="46"/>
      <c r="I19" s="48"/>
    </row>
    <row r="20" spans="2:9" outlineLevel="1" x14ac:dyDescent="0.15">
      <c r="B20" s="42"/>
      <c r="C20" s="42"/>
      <c r="D20" s="43"/>
      <c r="E20" s="43"/>
      <c r="F20" s="44"/>
      <c r="G20" s="45"/>
      <c r="H20" s="46"/>
      <c r="I20" s="48"/>
    </row>
    <row r="21" spans="2:9" outlineLevel="1" x14ac:dyDescent="0.15">
      <c r="B21" s="42"/>
      <c r="C21" s="42"/>
      <c r="D21" s="43"/>
      <c r="E21" s="43"/>
      <c r="F21" s="44"/>
      <c r="G21" s="45"/>
      <c r="H21" s="46"/>
      <c r="I21" s="48"/>
    </row>
    <row r="22" spans="2:9" outlineLevel="1" x14ac:dyDescent="0.15">
      <c r="B22" s="42"/>
      <c r="C22" s="42"/>
      <c r="D22" s="43"/>
      <c r="E22" s="43"/>
      <c r="F22" s="44"/>
      <c r="G22" s="45"/>
      <c r="H22" s="46"/>
      <c r="I22" s="48"/>
    </row>
    <row r="23" spans="2:9" outlineLevel="1" x14ac:dyDescent="0.15">
      <c r="B23" s="42"/>
      <c r="C23" s="42"/>
      <c r="D23" s="43"/>
      <c r="E23" s="43"/>
      <c r="F23" s="44"/>
      <c r="G23" s="45"/>
      <c r="H23" s="46"/>
      <c r="I23" s="48"/>
    </row>
    <row r="24" spans="2:9" outlineLevel="1" x14ac:dyDescent="0.15">
      <c r="B24" s="42"/>
      <c r="C24" s="42"/>
      <c r="D24" s="43"/>
      <c r="E24" s="43"/>
      <c r="F24" s="44"/>
      <c r="G24" s="45"/>
      <c r="H24" s="46"/>
      <c r="I24" s="48"/>
    </row>
    <row r="25" spans="2:9" outlineLevel="1" x14ac:dyDescent="0.15">
      <c r="B25" s="42"/>
      <c r="C25" s="42"/>
      <c r="D25" s="43"/>
      <c r="E25" s="43"/>
      <c r="F25" s="44"/>
      <c r="G25" s="45"/>
      <c r="H25" s="46"/>
      <c r="I25" s="48"/>
    </row>
    <row r="26" spans="2:9" outlineLevel="1" x14ac:dyDescent="0.15">
      <c r="B26" s="42"/>
      <c r="C26" s="42"/>
      <c r="D26" s="43"/>
      <c r="E26" s="43"/>
      <c r="F26" s="44"/>
      <c r="G26" s="45"/>
      <c r="H26" s="46"/>
      <c r="I26" s="48"/>
    </row>
    <row r="27" spans="2:9" outlineLevel="1" x14ac:dyDescent="0.15">
      <c r="B27" s="42"/>
      <c r="C27" s="42"/>
      <c r="D27" s="43"/>
      <c r="E27" s="43"/>
      <c r="F27" s="44"/>
      <c r="G27" s="45"/>
      <c r="H27" s="46"/>
      <c r="I27" s="48"/>
    </row>
    <row r="28" spans="2:9" outlineLevel="1" collapsed="1" x14ac:dyDescent="0.15">
      <c r="B28" s="42"/>
      <c r="C28" s="42"/>
      <c r="D28" s="43"/>
      <c r="E28" s="43"/>
      <c r="F28" s="44"/>
      <c r="G28" s="45"/>
      <c r="H28" s="46"/>
      <c r="I28" s="48"/>
    </row>
    <row r="29" spans="2:9" outlineLevel="1" x14ac:dyDescent="0.15">
      <c r="B29" s="42"/>
      <c r="C29" s="42"/>
      <c r="D29" s="43"/>
      <c r="E29" s="43"/>
      <c r="F29" s="44"/>
      <c r="G29" s="45"/>
      <c r="H29" s="46"/>
      <c r="I29" s="48"/>
    </row>
    <row r="30" spans="2:9" outlineLevel="1" x14ac:dyDescent="0.15">
      <c r="B30" s="42"/>
      <c r="C30" s="42"/>
      <c r="D30" s="43"/>
      <c r="E30" s="43"/>
      <c r="F30" s="44"/>
      <c r="G30" s="45"/>
      <c r="H30" s="46"/>
      <c r="I30" s="48"/>
    </row>
    <row r="31" spans="2:9" outlineLevel="1" x14ac:dyDescent="0.15">
      <c r="B31" s="42"/>
      <c r="C31" s="42"/>
      <c r="D31" s="43"/>
      <c r="E31" s="43"/>
      <c r="F31" s="44"/>
      <c r="G31" s="45"/>
      <c r="H31" s="46"/>
      <c r="I31" s="48"/>
    </row>
    <row r="32" spans="2:9" outlineLevel="1" x14ac:dyDescent="0.15">
      <c r="B32" s="42"/>
      <c r="C32" s="42"/>
      <c r="D32" s="43"/>
      <c r="E32" s="43"/>
      <c r="F32" s="44"/>
      <c r="G32" s="45"/>
      <c r="H32" s="46"/>
      <c r="I32" s="48"/>
    </row>
    <row r="33" spans="2:9" outlineLevel="1" x14ac:dyDescent="0.15">
      <c r="B33" s="42"/>
      <c r="C33" s="42"/>
      <c r="D33" s="43"/>
      <c r="E33" s="43"/>
      <c r="F33" s="44"/>
      <c r="G33" s="45"/>
      <c r="H33" s="46"/>
      <c r="I33" s="48"/>
    </row>
    <row r="34" spans="2:9" outlineLevel="1" x14ac:dyDescent="0.15">
      <c r="B34" s="42"/>
      <c r="C34" s="42"/>
      <c r="D34" s="43"/>
      <c r="E34" s="43"/>
      <c r="F34" s="44"/>
      <c r="G34" s="45"/>
      <c r="H34" s="46"/>
      <c r="I34" s="48"/>
    </row>
    <row r="35" spans="2:9" outlineLevel="1" x14ac:dyDescent="0.15">
      <c r="B35" s="42"/>
      <c r="C35" s="42"/>
      <c r="D35" s="43"/>
      <c r="E35" s="43"/>
      <c r="F35" s="44"/>
      <c r="G35" s="45"/>
      <c r="H35" s="46"/>
      <c r="I35" s="48"/>
    </row>
    <row r="36" spans="2:9" outlineLevel="1" x14ac:dyDescent="0.15">
      <c r="B36" s="42"/>
      <c r="C36" s="42"/>
      <c r="D36" s="43"/>
      <c r="E36" s="43"/>
      <c r="F36" s="44"/>
      <c r="G36" s="45"/>
      <c r="H36" s="46"/>
      <c r="I36" s="48"/>
    </row>
    <row r="37" spans="2:9" outlineLevel="1" x14ac:dyDescent="0.15">
      <c r="B37" s="42"/>
      <c r="C37" s="42"/>
      <c r="D37" s="43"/>
      <c r="E37" s="43"/>
      <c r="F37" s="44"/>
      <c r="G37" s="45"/>
      <c r="H37" s="46"/>
      <c r="I37" s="48"/>
    </row>
    <row r="38" spans="2:9" outlineLevel="1" x14ac:dyDescent="0.15">
      <c r="B38" s="42"/>
      <c r="C38" s="42"/>
      <c r="D38" s="43"/>
      <c r="E38" s="43"/>
      <c r="F38" s="44"/>
      <c r="G38" s="45"/>
      <c r="H38" s="46"/>
      <c r="I38" s="48"/>
    </row>
    <row r="39" spans="2:9" outlineLevel="1" x14ac:dyDescent="0.15">
      <c r="B39" s="42"/>
      <c r="C39" s="42"/>
      <c r="D39" s="43"/>
      <c r="E39" s="43"/>
      <c r="F39" s="44"/>
      <c r="G39" s="45"/>
      <c r="H39" s="46"/>
      <c r="I39" s="48"/>
    </row>
    <row r="40" spans="2:9" outlineLevel="1" x14ac:dyDescent="0.15">
      <c r="B40" s="42"/>
      <c r="C40" s="42"/>
      <c r="D40" s="43"/>
      <c r="E40" s="43"/>
      <c r="F40" s="44"/>
      <c r="G40" s="45"/>
      <c r="H40" s="46"/>
      <c r="I40" s="48"/>
    </row>
    <row r="41" spans="2:9" outlineLevel="1" x14ac:dyDescent="0.15">
      <c r="B41" s="42"/>
      <c r="C41" s="42"/>
      <c r="D41" s="43"/>
      <c r="E41" s="43"/>
      <c r="F41" s="44"/>
      <c r="G41" s="45"/>
      <c r="H41" s="46"/>
      <c r="I41" s="48"/>
    </row>
    <row r="42" spans="2:9" outlineLevel="1" x14ac:dyDescent="0.15">
      <c r="B42" s="42"/>
      <c r="C42" s="42"/>
      <c r="D42" s="43"/>
      <c r="E42" s="43"/>
      <c r="F42" s="44"/>
      <c r="G42" s="45"/>
      <c r="H42" s="46"/>
      <c r="I42" s="48"/>
    </row>
    <row r="43" spans="2:9" outlineLevel="1" x14ac:dyDescent="0.15">
      <c r="B43" s="42"/>
      <c r="C43" s="42"/>
      <c r="D43" s="43"/>
      <c r="E43" s="43"/>
      <c r="F43" s="44"/>
      <c r="G43" s="45"/>
      <c r="H43" s="46"/>
      <c r="I43" s="48"/>
    </row>
    <row r="44" spans="2:9" outlineLevel="1" x14ac:dyDescent="0.15">
      <c r="B44" s="42"/>
      <c r="C44" s="42"/>
      <c r="D44" s="43"/>
      <c r="E44" s="43"/>
      <c r="F44" s="44"/>
      <c r="G44" s="45"/>
      <c r="H44" s="46"/>
      <c r="I44" s="48"/>
    </row>
    <row r="45" spans="2:9" outlineLevel="1" x14ac:dyDescent="0.15">
      <c r="B45" s="42"/>
      <c r="C45" s="42"/>
      <c r="D45" s="43"/>
      <c r="E45" s="43"/>
      <c r="F45" s="44"/>
      <c r="G45" s="45"/>
      <c r="H45" s="46"/>
      <c r="I45" s="48"/>
    </row>
    <row r="46" spans="2:9" outlineLevel="1" x14ac:dyDescent="0.15">
      <c r="B46" s="42"/>
      <c r="C46" s="42"/>
      <c r="D46" s="43"/>
      <c r="E46" s="43"/>
      <c r="F46" s="44"/>
      <c r="G46" s="45"/>
      <c r="H46" s="46"/>
      <c r="I46" s="48"/>
    </row>
    <row r="47" spans="2:9" outlineLevel="1" x14ac:dyDescent="0.15">
      <c r="B47" s="42"/>
      <c r="C47" s="42"/>
      <c r="D47" s="43"/>
      <c r="E47" s="43"/>
      <c r="F47" s="44"/>
      <c r="G47" s="45"/>
      <c r="H47" s="46"/>
      <c r="I47" s="48"/>
    </row>
    <row r="48" spans="2:9" outlineLevel="1" x14ac:dyDescent="0.15">
      <c r="B48" s="42"/>
      <c r="C48" s="42"/>
      <c r="D48" s="43"/>
      <c r="E48" s="43"/>
      <c r="F48" s="44"/>
      <c r="G48" s="45"/>
      <c r="H48" s="46"/>
      <c r="I48" s="48"/>
    </row>
    <row r="49" spans="2:9" outlineLevel="1" x14ac:dyDescent="0.15">
      <c r="B49" s="42"/>
      <c r="C49" s="42"/>
      <c r="D49" s="43"/>
      <c r="E49" s="43"/>
      <c r="F49" s="44"/>
      <c r="G49" s="45"/>
      <c r="H49" s="46"/>
      <c r="I49" s="48"/>
    </row>
    <row r="50" spans="2:9" outlineLevel="1" x14ac:dyDescent="0.15">
      <c r="B50" s="42"/>
      <c r="C50" s="42"/>
      <c r="D50" s="43"/>
      <c r="E50" s="43"/>
      <c r="F50" s="44"/>
      <c r="G50" s="45"/>
      <c r="H50" s="46"/>
      <c r="I50" s="48"/>
    </row>
    <row r="51" spans="2:9" outlineLevel="1" x14ac:dyDescent="0.15">
      <c r="B51" s="42"/>
      <c r="C51" s="42"/>
      <c r="D51" s="43"/>
      <c r="E51" s="43"/>
      <c r="F51" s="44"/>
      <c r="G51" s="45"/>
      <c r="H51" s="46"/>
      <c r="I51" s="48"/>
    </row>
    <row r="52" spans="2:9" outlineLevel="1" x14ac:dyDescent="0.15">
      <c r="B52" s="42"/>
      <c r="C52" s="42"/>
      <c r="D52" s="43"/>
      <c r="E52" s="43"/>
      <c r="F52" s="44"/>
      <c r="G52" s="45"/>
      <c r="H52" s="46"/>
      <c r="I52" s="48"/>
    </row>
    <row r="53" spans="2:9" outlineLevel="1" x14ac:dyDescent="0.15">
      <c r="B53" s="42"/>
      <c r="C53" s="42"/>
      <c r="D53" s="43"/>
      <c r="E53" s="43"/>
      <c r="F53" s="44"/>
      <c r="G53" s="45"/>
      <c r="H53" s="46"/>
      <c r="I53" s="48"/>
    </row>
    <row r="54" spans="2:9" outlineLevel="1" x14ac:dyDescent="0.15">
      <c r="B54" s="42"/>
      <c r="C54" s="42"/>
      <c r="D54" s="43"/>
      <c r="E54" s="43"/>
      <c r="F54" s="44"/>
      <c r="G54" s="45"/>
      <c r="H54" s="46"/>
      <c r="I54" s="48"/>
    </row>
    <row r="55" spans="2:9" outlineLevel="1" x14ac:dyDescent="0.15">
      <c r="B55" s="42"/>
      <c r="C55" s="42"/>
      <c r="D55" s="43"/>
      <c r="E55" s="43"/>
      <c r="F55" s="44"/>
      <c r="G55" s="45"/>
      <c r="H55" s="46"/>
      <c r="I55" s="48"/>
    </row>
    <row r="56" spans="2:9" outlineLevel="1" x14ac:dyDescent="0.15">
      <c r="B56" s="42"/>
      <c r="C56" s="42"/>
      <c r="D56" s="43"/>
      <c r="E56" s="43"/>
      <c r="F56" s="44"/>
      <c r="G56" s="45"/>
      <c r="H56" s="46"/>
      <c r="I56" s="48"/>
    </row>
    <row r="57" spans="2:9" outlineLevel="1" x14ac:dyDescent="0.15">
      <c r="B57" s="42"/>
      <c r="C57" s="42"/>
      <c r="D57" s="43"/>
      <c r="E57" s="43"/>
      <c r="F57" s="44"/>
      <c r="G57" s="45"/>
      <c r="H57" s="46"/>
      <c r="I57" s="48"/>
    </row>
    <row r="58" spans="2:9" outlineLevel="1" x14ac:dyDescent="0.15">
      <c r="B58" s="42"/>
      <c r="C58" s="42"/>
      <c r="D58" s="43"/>
      <c r="E58" s="43"/>
      <c r="F58" s="44"/>
      <c r="G58" s="45"/>
      <c r="H58" s="46"/>
      <c r="I58" s="48"/>
    </row>
    <row r="59" spans="2:9" outlineLevel="1" x14ac:dyDescent="0.15">
      <c r="B59" s="42"/>
      <c r="C59" s="42"/>
      <c r="D59" s="43"/>
      <c r="E59" s="43"/>
      <c r="F59" s="44"/>
      <c r="G59" s="45"/>
      <c r="H59" s="46"/>
      <c r="I59" s="48"/>
    </row>
    <row r="60" spans="2:9" outlineLevel="1" x14ac:dyDescent="0.15">
      <c r="B60" s="42"/>
      <c r="C60" s="42"/>
      <c r="D60" s="43"/>
      <c r="E60" s="43"/>
      <c r="F60" s="44"/>
      <c r="G60" s="45"/>
      <c r="H60" s="46"/>
      <c r="I60" s="48"/>
    </row>
    <row r="61" spans="2:9" outlineLevel="1" x14ac:dyDescent="0.15">
      <c r="B61" s="42"/>
      <c r="C61" s="42"/>
      <c r="D61" s="43"/>
      <c r="E61" s="43"/>
      <c r="F61" s="44"/>
      <c r="G61" s="45"/>
      <c r="H61" s="46"/>
      <c r="I61" s="48"/>
    </row>
    <row r="62" spans="2:9" outlineLevel="1" x14ac:dyDescent="0.15">
      <c r="B62" s="42"/>
      <c r="C62" s="42"/>
      <c r="D62" s="43"/>
      <c r="E62" s="43"/>
      <c r="F62" s="44"/>
      <c r="G62" s="45"/>
      <c r="H62" s="46"/>
      <c r="I62" s="48"/>
    </row>
    <row r="63" spans="2:9" outlineLevel="1" x14ac:dyDescent="0.15">
      <c r="B63" s="42"/>
      <c r="C63" s="42"/>
      <c r="D63" s="51"/>
      <c r="E63" s="43"/>
      <c r="F63" s="44"/>
      <c r="G63" s="45"/>
      <c r="H63" s="46"/>
      <c r="I63" s="48"/>
    </row>
    <row r="64" spans="2:9" outlineLevel="1" x14ac:dyDescent="0.15">
      <c r="B64" s="42"/>
      <c r="C64" s="42"/>
      <c r="D64" s="43"/>
      <c r="E64" s="43"/>
      <c r="F64" s="44"/>
      <c r="G64" s="45"/>
      <c r="H64" s="46"/>
      <c r="I64" s="48"/>
    </row>
    <row r="65" spans="2:9" outlineLevel="1" x14ac:dyDescent="0.15">
      <c r="B65" s="42"/>
      <c r="C65" s="42"/>
      <c r="D65" s="43"/>
      <c r="E65" s="43"/>
      <c r="F65" s="44"/>
      <c r="G65" s="52"/>
      <c r="H65" s="53"/>
      <c r="I65" s="48"/>
    </row>
    <row r="66" spans="2:9" outlineLevel="1" x14ac:dyDescent="0.15">
      <c r="B66" s="42"/>
      <c r="C66" s="42"/>
      <c r="D66" s="43"/>
      <c r="E66" s="43"/>
      <c r="F66" s="44"/>
      <c r="G66" s="45"/>
      <c r="H66" s="46"/>
      <c r="I66" s="48"/>
    </row>
    <row r="67" spans="2:9" outlineLevel="1" x14ac:dyDescent="0.15">
      <c r="B67" s="42"/>
      <c r="C67" s="42"/>
      <c r="D67" s="43"/>
      <c r="E67" s="43"/>
      <c r="F67" s="44"/>
      <c r="G67" s="45"/>
      <c r="H67" s="46"/>
      <c r="I67" s="48"/>
    </row>
    <row r="68" spans="2:9" outlineLevel="1" x14ac:dyDescent="0.15">
      <c r="B68" s="42"/>
      <c r="C68" s="42"/>
      <c r="D68" s="43"/>
      <c r="E68" s="43"/>
      <c r="F68" s="44"/>
      <c r="G68" s="45"/>
      <c r="H68" s="46"/>
      <c r="I68" s="48"/>
    </row>
    <row r="69" spans="2:9" outlineLevel="1" x14ac:dyDescent="0.15">
      <c r="B69" s="42"/>
      <c r="C69" s="42"/>
      <c r="D69" s="43"/>
      <c r="E69" s="43"/>
      <c r="F69" s="44"/>
      <c r="G69" s="45"/>
      <c r="H69" s="46"/>
      <c r="I69" s="48"/>
    </row>
    <row r="70" spans="2:9" outlineLevel="1" collapsed="1" x14ac:dyDescent="0.15">
      <c r="B70" s="42"/>
      <c r="C70" s="42"/>
      <c r="D70" s="43"/>
      <c r="E70" s="43"/>
      <c r="F70" s="44"/>
      <c r="G70" s="45"/>
      <c r="H70" s="46"/>
      <c r="I70" s="48"/>
    </row>
    <row r="71" spans="2:9" outlineLevel="1" x14ac:dyDescent="0.15">
      <c r="B71" s="42"/>
      <c r="C71" s="42"/>
      <c r="D71" s="43"/>
      <c r="E71" s="43"/>
      <c r="F71" s="44"/>
      <c r="G71" s="45"/>
      <c r="H71" s="46"/>
      <c r="I71" s="48"/>
    </row>
    <row r="72" spans="2:9" outlineLevel="1" x14ac:dyDescent="0.15">
      <c r="B72" s="42"/>
      <c r="C72" s="42"/>
      <c r="D72" s="43"/>
      <c r="E72" s="43"/>
      <c r="F72" s="44"/>
      <c r="G72" s="45"/>
      <c r="H72" s="46"/>
      <c r="I72" s="48"/>
    </row>
    <row r="73" spans="2:9" outlineLevel="1" x14ac:dyDescent="0.15">
      <c r="B73" s="42"/>
      <c r="C73" s="42"/>
      <c r="D73" s="43"/>
      <c r="E73" s="43"/>
      <c r="F73" s="44"/>
      <c r="G73" s="45"/>
      <c r="H73" s="46"/>
      <c r="I73" s="48"/>
    </row>
    <row r="74" spans="2:9" outlineLevel="1" x14ac:dyDescent="0.15">
      <c r="B74" s="42"/>
      <c r="C74" s="42"/>
      <c r="D74" s="43"/>
      <c r="E74" s="43"/>
      <c r="F74" s="44"/>
      <c r="G74" s="45"/>
      <c r="H74" s="46"/>
      <c r="I74" s="48"/>
    </row>
    <row r="75" spans="2:9" outlineLevel="1" x14ac:dyDescent="0.15">
      <c r="B75" s="42"/>
      <c r="C75" s="42"/>
      <c r="D75" s="43"/>
      <c r="E75" s="43"/>
      <c r="F75" s="44"/>
      <c r="G75" s="45"/>
      <c r="H75" s="46"/>
      <c r="I75" s="48"/>
    </row>
    <row r="76" spans="2:9" outlineLevel="1" x14ac:dyDescent="0.15">
      <c r="B76" s="42"/>
      <c r="C76" s="42"/>
      <c r="D76" s="43"/>
      <c r="E76" s="43"/>
      <c r="F76" s="44"/>
      <c r="G76" s="45"/>
      <c r="H76" s="46"/>
      <c r="I76" s="48"/>
    </row>
    <row r="77" spans="2:9" outlineLevel="1" x14ac:dyDescent="0.15">
      <c r="B77" s="42"/>
      <c r="C77" s="42"/>
      <c r="D77" s="43"/>
      <c r="E77" s="43"/>
      <c r="F77" s="44"/>
      <c r="G77" s="45"/>
      <c r="H77" s="46"/>
      <c r="I77" s="48"/>
    </row>
    <row r="78" spans="2:9" outlineLevel="1" x14ac:dyDescent="0.15">
      <c r="B78" s="42"/>
      <c r="C78" s="42"/>
      <c r="D78" s="43"/>
      <c r="E78" s="43"/>
      <c r="F78" s="44"/>
      <c r="G78" s="45"/>
      <c r="H78" s="46"/>
      <c r="I78" s="48"/>
    </row>
    <row r="79" spans="2:9" outlineLevel="1" x14ac:dyDescent="0.15">
      <c r="B79" s="42"/>
      <c r="C79" s="42"/>
      <c r="D79" s="43"/>
      <c r="E79" s="43"/>
      <c r="F79" s="44"/>
      <c r="G79" s="45"/>
      <c r="H79" s="46"/>
      <c r="I79" s="48"/>
    </row>
    <row r="80" spans="2:9" outlineLevel="1" x14ac:dyDescent="0.15">
      <c r="B80" s="42"/>
      <c r="C80" s="42"/>
      <c r="D80" s="43"/>
      <c r="E80" s="43"/>
      <c r="F80" s="44"/>
      <c r="G80" s="45"/>
      <c r="H80" s="46"/>
      <c r="I80" s="48"/>
    </row>
    <row r="81" spans="2:9" outlineLevel="1" x14ac:dyDescent="0.15">
      <c r="B81" s="42"/>
      <c r="C81" s="42"/>
      <c r="D81" s="43"/>
      <c r="E81" s="43"/>
      <c r="F81" s="44"/>
      <c r="G81" s="45"/>
      <c r="H81" s="46"/>
      <c r="I81" s="48"/>
    </row>
    <row r="82" spans="2:9" outlineLevel="1" x14ac:dyDescent="0.15">
      <c r="B82" s="42"/>
      <c r="C82" s="42"/>
      <c r="D82" s="43"/>
      <c r="E82" s="43"/>
      <c r="F82" s="44"/>
      <c r="G82" s="45"/>
      <c r="H82" s="46"/>
      <c r="I82" s="48"/>
    </row>
    <row r="83" spans="2:9" outlineLevel="1" x14ac:dyDescent="0.15">
      <c r="B83" s="42"/>
      <c r="C83" s="42"/>
      <c r="D83" s="43"/>
      <c r="E83" s="43"/>
      <c r="F83" s="44"/>
      <c r="G83" s="45"/>
      <c r="H83" s="46"/>
      <c r="I83" s="48"/>
    </row>
    <row r="84" spans="2:9" outlineLevel="1" x14ac:dyDescent="0.15">
      <c r="B84" s="42"/>
      <c r="C84" s="42"/>
      <c r="D84" s="43"/>
      <c r="E84" s="43"/>
      <c r="F84" s="44"/>
      <c r="G84" s="45"/>
      <c r="H84" s="46"/>
      <c r="I84" s="48"/>
    </row>
    <row r="85" spans="2:9" outlineLevel="1" x14ac:dyDescent="0.15">
      <c r="B85" s="42"/>
      <c r="C85" s="42"/>
      <c r="D85" s="43"/>
      <c r="E85" s="43"/>
      <c r="F85" s="44"/>
      <c r="G85" s="45"/>
      <c r="H85" s="46"/>
      <c r="I85" s="48"/>
    </row>
    <row r="86" spans="2:9" outlineLevel="1" x14ac:dyDescent="0.15">
      <c r="B86" s="42"/>
      <c r="C86" s="42"/>
      <c r="D86" s="43"/>
      <c r="E86" s="43"/>
      <c r="F86" s="44"/>
      <c r="G86" s="45"/>
      <c r="H86" s="46"/>
      <c r="I86" s="48"/>
    </row>
    <row r="87" spans="2:9" outlineLevel="1" x14ac:dyDescent="0.15">
      <c r="B87" s="54"/>
      <c r="C87" s="42"/>
      <c r="D87" s="43"/>
      <c r="E87" s="43"/>
      <c r="F87" s="44"/>
      <c r="G87" s="45"/>
      <c r="H87" s="46"/>
      <c r="I87" s="48"/>
    </row>
    <row r="88" spans="2:9" outlineLevel="1" x14ac:dyDescent="0.15">
      <c r="B88" s="54"/>
      <c r="C88" s="42"/>
      <c r="D88" s="43"/>
      <c r="E88" s="43"/>
      <c r="F88" s="44"/>
      <c r="G88" s="45"/>
      <c r="H88" s="46"/>
      <c r="I88" s="48"/>
    </row>
    <row r="89" spans="2:9" outlineLevel="1" x14ac:dyDescent="0.15">
      <c r="B89" s="54"/>
      <c r="C89" s="42"/>
      <c r="D89" s="43"/>
      <c r="E89" s="43"/>
      <c r="F89" s="44"/>
      <c r="G89" s="45"/>
      <c r="H89" s="46"/>
      <c r="I89" s="48"/>
    </row>
    <row r="90" spans="2:9" outlineLevel="1" x14ac:dyDescent="0.15">
      <c r="B90" s="54"/>
      <c r="C90" s="42"/>
      <c r="D90" s="43"/>
      <c r="E90" s="43"/>
      <c r="F90" s="44"/>
      <c r="G90" s="45"/>
      <c r="H90" s="46"/>
      <c r="I90" s="48"/>
    </row>
    <row r="91" spans="2:9" outlineLevel="1" x14ac:dyDescent="0.15">
      <c r="B91" s="54"/>
      <c r="C91" s="42"/>
      <c r="D91" s="43"/>
      <c r="E91" s="43"/>
      <c r="F91" s="44"/>
      <c r="G91" s="45"/>
      <c r="H91" s="46"/>
      <c r="I91" s="48"/>
    </row>
    <row r="92" spans="2:9" outlineLevel="1" x14ac:dyDescent="0.15">
      <c r="B92" s="54"/>
      <c r="C92" s="42"/>
      <c r="D92" s="43"/>
      <c r="E92" s="43"/>
      <c r="F92" s="44"/>
      <c r="G92" s="45"/>
      <c r="H92" s="46"/>
      <c r="I92" s="48"/>
    </row>
    <row r="93" spans="2:9" outlineLevel="1" x14ac:dyDescent="0.15">
      <c r="B93" s="54"/>
      <c r="C93" s="42"/>
      <c r="D93" s="43"/>
      <c r="E93" s="43"/>
      <c r="F93" s="44"/>
      <c r="G93" s="45"/>
      <c r="H93" s="46"/>
      <c r="I93" s="48"/>
    </row>
    <row r="94" spans="2:9" outlineLevel="1" x14ac:dyDescent="0.15">
      <c r="B94" s="54"/>
      <c r="C94" s="42"/>
      <c r="D94" s="43"/>
      <c r="E94" s="43"/>
      <c r="F94" s="44"/>
      <c r="G94" s="45"/>
      <c r="H94" s="46"/>
      <c r="I94" s="48"/>
    </row>
    <row r="95" spans="2:9" outlineLevel="1" x14ac:dyDescent="0.15">
      <c r="B95" s="54"/>
      <c r="C95" s="42"/>
      <c r="D95" s="43"/>
      <c r="E95" s="43"/>
      <c r="F95" s="44"/>
      <c r="G95" s="45"/>
      <c r="H95" s="46"/>
      <c r="I95" s="48"/>
    </row>
    <row r="96" spans="2:9" outlineLevel="1" x14ac:dyDescent="0.15">
      <c r="B96" s="54"/>
      <c r="C96" s="42"/>
      <c r="D96" s="43"/>
      <c r="E96" s="43"/>
      <c r="F96" s="44"/>
      <c r="G96" s="45"/>
      <c r="H96" s="46"/>
      <c r="I96" s="48"/>
    </row>
    <row r="97" spans="2:9" outlineLevel="1" x14ac:dyDescent="0.15">
      <c r="B97" s="54"/>
      <c r="C97" s="42"/>
      <c r="D97" s="43"/>
      <c r="E97" s="43"/>
      <c r="F97" s="44"/>
      <c r="G97" s="45"/>
      <c r="H97" s="46"/>
      <c r="I97" s="48"/>
    </row>
    <row r="98" spans="2:9" outlineLevel="1" x14ac:dyDescent="0.15">
      <c r="B98" s="54"/>
      <c r="C98" s="42"/>
      <c r="D98" s="43"/>
      <c r="E98" s="43"/>
      <c r="F98" s="44"/>
      <c r="G98" s="55"/>
      <c r="H98" s="46"/>
      <c r="I98" s="48"/>
    </row>
    <row r="99" spans="2:9" outlineLevel="1" x14ac:dyDescent="0.15">
      <c r="B99" s="54"/>
      <c r="C99" s="42"/>
      <c r="D99" s="43"/>
      <c r="E99" s="43"/>
      <c r="F99" s="44"/>
      <c r="G99" s="45"/>
      <c r="H99" s="46"/>
      <c r="I99" s="48"/>
    </row>
    <row r="100" spans="2:9" outlineLevel="1" x14ac:dyDescent="0.15">
      <c r="B100" s="56"/>
      <c r="C100" s="57"/>
      <c r="D100" s="58"/>
      <c r="E100" s="58"/>
      <c r="F100" s="59"/>
      <c r="G100" s="60"/>
      <c r="H100" s="49"/>
      <c r="I100" s="50"/>
    </row>
    <row r="101" spans="2:9" outlineLevel="1" x14ac:dyDescent="0.15">
      <c r="B101" s="54"/>
      <c r="C101" s="42"/>
      <c r="D101" s="43"/>
      <c r="E101" s="43"/>
      <c r="F101" s="44"/>
      <c r="G101" s="45"/>
      <c r="H101" s="46"/>
      <c r="I101" s="48"/>
    </row>
    <row r="102" spans="2:9" outlineLevel="1" x14ac:dyDescent="0.15">
      <c r="B102" s="54"/>
      <c r="C102" s="42"/>
      <c r="D102" s="43"/>
      <c r="E102" s="43"/>
      <c r="F102" s="44"/>
      <c r="G102" s="45"/>
      <c r="H102" s="46"/>
      <c r="I102" s="48"/>
    </row>
    <row r="103" spans="2:9" outlineLevel="1" x14ac:dyDescent="0.15">
      <c r="B103" s="54"/>
      <c r="C103" s="42"/>
      <c r="D103" s="43"/>
      <c r="E103" s="43"/>
      <c r="F103" s="44"/>
      <c r="G103" s="45"/>
      <c r="H103" s="46"/>
      <c r="I103" s="48"/>
    </row>
    <row r="104" spans="2:9" outlineLevel="1" x14ac:dyDescent="0.15">
      <c r="B104" s="54"/>
      <c r="C104" s="42"/>
      <c r="D104" s="43"/>
      <c r="E104" s="43"/>
      <c r="F104" s="44"/>
      <c r="G104" s="45"/>
      <c r="H104" s="46"/>
      <c r="I104" s="48"/>
    </row>
    <row r="105" spans="2:9" outlineLevel="1" x14ac:dyDescent="0.15">
      <c r="B105" s="54"/>
      <c r="C105" s="42"/>
      <c r="D105" s="43"/>
      <c r="E105" s="43"/>
      <c r="F105" s="44"/>
      <c r="G105" s="45"/>
      <c r="H105" s="46"/>
      <c r="I105" s="48"/>
    </row>
    <row r="106" spans="2:9" outlineLevel="1" x14ac:dyDescent="0.15">
      <c r="B106" s="54"/>
      <c r="C106" s="42"/>
      <c r="D106" s="43"/>
      <c r="E106" s="43"/>
      <c r="F106" s="44"/>
      <c r="G106" s="45"/>
      <c r="H106" s="46"/>
      <c r="I106" s="48"/>
    </row>
    <row r="107" spans="2:9" outlineLevel="1" x14ac:dyDescent="0.15">
      <c r="B107" s="54"/>
      <c r="C107" s="42"/>
      <c r="D107" s="43"/>
      <c r="E107" s="43"/>
      <c r="F107" s="44"/>
      <c r="G107" s="45"/>
      <c r="H107" s="46"/>
      <c r="I107" s="48"/>
    </row>
    <row r="108" spans="2:9" x14ac:dyDescent="0.15">
      <c r="B108" s="54"/>
      <c r="C108" s="42"/>
      <c r="D108" s="43"/>
      <c r="E108" s="43"/>
      <c r="F108" s="44"/>
      <c r="G108" s="45"/>
      <c r="H108" s="46"/>
      <c r="I108" s="48"/>
    </row>
    <row r="109" spans="2:9" x14ac:dyDescent="0.15">
      <c r="B109" s="54"/>
      <c r="C109" s="42"/>
      <c r="D109" s="43"/>
      <c r="E109" s="43"/>
      <c r="F109" s="44"/>
      <c r="G109" s="45"/>
      <c r="H109" s="46"/>
      <c r="I109" s="48"/>
    </row>
    <row r="110" spans="2:9" x14ac:dyDescent="0.15">
      <c r="B110" s="54"/>
      <c r="C110" s="42"/>
      <c r="D110" s="43"/>
      <c r="E110" s="43"/>
      <c r="F110" s="44"/>
      <c r="G110" s="45"/>
      <c r="H110" s="46"/>
      <c r="I110" s="48"/>
    </row>
    <row r="111" spans="2:9" x14ac:dyDescent="0.15">
      <c r="B111" s="54"/>
      <c r="C111" s="42"/>
      <c r="D111" s="43"/>
      <c r="E111" s="43"/>
      <c r="F111" s="44"/>
      <c r="G111" s="45"/>
      <c r="H111" s="46"/>
      <c r="I111" s="48"/>
    </row>
    <row r="112" spans="2:9" x14ac:dyDescent="0.15">
      <c r="B112" s="54"/>
      <c r="C112" s="42"/>
      <c r="D112" s="43"/>
      <c r="E112" s="43"/>
      <c r="F112" s="44"/>
      <c r="G112" s="45"/>
      <c r="H112" s="46"/>
      <c r="I112" s="48"/>
    </row>
    <row r="113" spans="2:9" x14ac:dyDescent="0.15">
      <c r="B113" s="54"/>
      <c r="C113" s="42"/>
      <c r="D113" s="43"/>
      <c r="E113" s="43"/>
      <c r="F113" s="44"/>
      <c r="G113" s="45"/>
      <c r="H113" s="46"/>
      <c r="I113" s="48"/>
    </row>
    <row r="114" spans="2:9" x14ac:dyDescent="0.15">
      <c r="B114" s="54"/>
      <c r="C114" s="42"/>
      <c r="D114" s="43"/>
      <c r="E114" s="43"/>
      <c r="F114" s="44"/>
      <c r="G114" s="45"/>
      <c r="H114" s="46"/>
      <c r="I114" s="48"/>
    </row>
    <row r="115" spans="2:9" x14ac:dyDescent="0.15">
      <c r="B115" s="54"/>
      <c r="C115" s="42"/>
      <c r="D115" s="43"/>
      <c r="E115" s="43"/>
      <c r="F115" s="44"/>
      <c r="G115" s="45"/>
      <c r="H115" s="46"/>
      <c r="I115" s="48"/>
    </row>
    <row r="116" spans="2:9" x14ac:dyDescent="0.15">
      <c r="B116" s="54"/>
      <c r="C116" s="42"/>
      <c r="D116" s="43"/>
      <c r="E116" s="43"/>
      <c r="F116" s="44"/>
      <c r="G116" s="45"/>
      <c r="H116" s="46"/>
      <c r="I116" s="48"/>
    </row>
    <row r="117" spans="2:9" x14ac:dyDescent="0.15">
      <c r="B117" s="54"/>
      <c r="C117" s="42"/>
      <c r="D117" s="43"/>
      <c r="E117" s="43"/>
      <c r="F117" s="44"/>
      <c r="G117" s="45"/>
      <c r="H117" s="46"/>
      <c r="I117" s="48"/>
    </row>
    <row r="118" spans="2:9" x14ac:dyDescent="0.15">
      <c r="B118" s="54"/>
      <c r="C118" s="42"/>
      <c r="D118" s="43"/>
      <c r="E118" s="43"/>
      <c r="F118" s="44"/>
      <c r="G118" s="45"/>
      <c r="H118" s="46"/>
      <c r="I118" s="48"/>
    </row>
    <row r="119" spans="2:9" x14ac:dyDescent="0.15">
      <c r="B119" s="54"/>
      <c r="C119" s="42"/>
      <c r="D119" s="43"/>
      <c r="E119" s="43"/>
      <c r="F119" s="44"/>
      <c r="G119" s="45"/>
      <c r="H119" s="46"/>
      <c r="I119" s="48"/>
    </row>
    <row r="120" spans="2:9" x14ac:dyDescent="0.15">
      <c r="B120" s="54"/>
      <c r="C120" s="42"/>
      <c r="D120" s="43"/>
      <c r="E120" s="43"/>
      <c r="F120" s="44"/>
      <c r="G120" s="45"/>
      <c r="H120" s="46"/>
      <c r="I120" s="48"/>
    </row>
    <row r="121" spans="2:9" x14ac:dyDescent="0.15">
      <c r="B121" s="54"/>
      <c r="C121" s="42"/>
      <c r="D121" s="43"/>
      <c r="E121" s="43"/>
      <c r="F121" s="44"/>
      <c r="G121" s="45"/>
      <c r="H121" s="46"/>
      <c r="I121" s="48"/>
    </row>
    <row r="122" spans="2:9" x14ac:dyDescent="0.15">
      <c r="B122" s="61"/>
      <c r="C122" s="62"/>
      <c r="D122" s="63"/>
      <c r="E122" s="63"/>
      <c r="F122" s="64"/>
      <c r="G122" s="65"/>
      <c r="H122" s="66"/>
      <c r="I122" s="67"/>
    </row>
    <row r="123" spans="2:9" x14ac:dyDescent="0.15">
      <c r="B123" s="54"/>
      <c r="C123" s="42"/>
      <c r="D123" s="43"/>
      <c r="E123" s="43"/>
      <c r="F123" s="44"/>
      <c r="G123" s="45"/>
      <c r="H123" s="46"/>
      <c r="I123" s="48"/>
    </row>
    <row r="124" spans="2:9" x14ac:dyDescent="0.15">
      <c r="B124" s="54"/>
      <c r="C124" s="42"/>
      <c r="D124" s="43"/>
      <c r="E124" s="43"/>
      <c r="F124" s="44"/>
      <c r="G124" s="45"/>
      <c r="H124" s="46"/>
      <c r="I124" s="48"/>
    </row>
    <row r="125" spans="2:9" x14ac:dyDescent="0.15">
      <c r="B125" s="54"/>
      <c r="C125" s="42"/>
      <c r="D125" s="43"/>
      <c r="E125" s="43"/>
      <c r="F125" s="44"/>
      <c r="G125" s="45"/>
      <c r="H125" s="46"/>
      <c r="I125" s="48"/>
    </row>
    <row r="126" spans="2:9" x14ac:dyDescent="0.15">
      <c r="B126" s="54"/>
      <c r="C126" s="42"/>
      <c r="D126" s="43"/>
      <c r="E126" s="43"/>
      <c r="F126" s="44"/>
      <c r="G126" s="45"/>
      <c r="H126" s="46"/>
      <c r="I126" s="48"/>
    </row>
    <row r="127" spans="2:9" x14ac:dyDescent="0.15">
      <c r="B127" s="54"/>
      <c r="C127" s="42"/>
      <c r="D127" s="43"/>
      <c r="E127" s="43"/>
      <c r="F127" s="44"/>
      <c r="G127" s="45"/>
      <c r="H127" s="46"/>
      <c r="I127" s="48"/>
    </row>
    <row r="128" spans="2:9" x14ac:dyDescent="0.15">
      <c r="B128" s="54"/>
      <c r="C128" s="42"/>
      <c r="D128" s="43"/>
      <c r="E128" s="43"/>
      <c r="F128" s="44"/>
      <c r="G128" s="45"/>
      <c r="H128" s="46"/>
      <c r="I128" s="48"/>
    </row>
    <row r="129" spans="2:9" x14ac:dyDescent="0.15">
      <c r="B129" s="54"/>
      <c r="C129" s="42"/>
      <c r="D129" s="43"/>
      <c r="E129" s="43"/>
      <c r="F129" s="44"/>
      <c r="G129" s="45"/>
      <c r="H129" s="46"/>
      <c r="I129" s="48"/>
    </row>
    <row r="130" spans="2:9" x14ac:dyDescent="0.15">
      <c r="B130" s="54"/>
      <c r="C130" s="42"/>
      <c r="D130" s="43"/>
      <c r="E130" s="43"/>
      <c r="F130" s="44"/>
      <c r="G130" s="45"/>
      <c r="H130" s="46"/>
      <c r="I130" s="48"/>
    </row>
    <row r="131" spans="2:9" x14ac:dyDescent="0.15">
      <c r="B131" s="54"/>
      <c r="C131" s="42"/>
      <c r="D131" s="43"/>
      <c r="E131" s="43"/>
      <c r="F131" s="44"/>
      <c r="G131" s="45"/>
      <c r="H131" s="46"/>
      <c r="I131" s="48"/>
    </row>
    <row r="132" spans="2:9" x14ac:dyDescent="0.15">
      <c r="B132" s="54"/>
      <c r="C132" s="42"/>
      <c r="D132" s="43"/>
      <c r="E132" s="43"/>
      <c r="F132" s="44"/>
      <c r="G132" s="45"/>
      <c r="H132" s="46"/>
      <c r="I132" s="48"/>
    </row>
    <row r="133" spans="2:9" x14ac:dyDescent="0.15">
      <c r="B133" s="54"/>
      <c r="C133" s="42"/>
      <c r="D133" s="43"/>
      <c r="E133" s="43"/>
      <c r="F133" s="44"/>
      <c r="G133" s="45"/>
      <c r="H133" s="46"/>
      <c r="I133" s="48"/>
    </row>
    <row r="134" spans="2:9" x14ac:dyDescent="0.15">
      <c r="B134" s="54"/>
      <c r="C134" s="42"/>
      <c r="D134" s="43"/>
      <c r="E134" s="43"/>
      <c r="F134" s="44"/>
      <c r="G134" s="45"/>
      <c r="H134" s="46"/>
      <c r="I134" s="48"/>
    </row>
    <row r="135" spans="2:9" x14ac:dyDescent="0.15">
      <c r="B135" s="54"/>
      <c r="C135" s="42"/>
      <c r="D135" s="43"/>
      <c r="E135" s="43"/>
      <c r="F135" s="44"/>
      <c r="G135" s="45"/>
      <c r="H135" s="46"/>
      <c r="I135" s="48"/>
    </row>
    <row r="136" spans="2:9" x14ac:dyDescent="0.15">
      <c r="B136" s="54"/>
      <c r="C136" s="42"/>
      <c r="D136" s="43"/>
      <c r="E136" s="43"/>
      <c r="F136" s="44"/>
      <c r="G136" s="45"/>
      <c r="H136" s="46"/>
      <c r="I136" s="48"/>
    </row>
    <row r="137" spans="2:9" x14ac:dyDescent="0.15">
      <c r="B137" s="54"/>
      <c r="C137" s="42"/>
      <c r="D137" s="43"/>
      <c r="E137" s="43"/>
      <c r="F137" s="44"/>
      <c r="G137" s="45"/>
      <c r="H137" s="46"/>
      <c r="I137" s="48"/>
    </row>
    <row r="138" spans="2:9" x14ac:dyDescent="0.15">
      <c r="B138" s="54"/>
      <c r="C138" s="42"/>
      <c r="D138" s="43"/>
      <c r="E138" s="43"/>
      <c r="F138" s="44"/>
      <c r="G138" s="45"/>
      <c r="H138" s="46"/>
      <c r="I138" s="48"/>
    </row>
    <row r="139" spans="2:9" x14ac:dyDescent="0.15">
      <c r="B139" s="54"/>
      <c r="C139" s="42"/>
      <c r="D139" s="43"/>
      <c r="E139" s="43"/>
      <c r="F139" s="44"/>
      <c r="G139" s="45"/>
      <c r="H139" s="46"/>
      <c r="I139" s="48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94" t="s">
        <v>163</v>
      </c>
      <c r="C6" s="94"/>
      <c r="D6" s="94"/>
    </row>
    <row r="8" spans="1:4" ht="15" x14ac:dyDescent="0.15">
      <c r="B8" s="95" t="str">
        <f>"ver. "&amp;INDEX(Cover!B25:B56,COUNTA(Cover!B25:B56),0)</f>
        <v>ver. 1.3.1</v>
      </c>
      <c r="C8" s="95"/>
      <c r="D8" s="95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6" t="s">
        <v>118</v>
      </c>
      <c r="D12" s="25" t="s">
        <v>164</v>
      </c>
    </row>
    <row r="13" spans="1:4" ht="83.25" x14ac:dyDescent="0.15">
      <c r="C13" s="97"/>
      <c r="D13" s="25" t="s">
        <v>171</v>
      </c>
    </row>
    <row r="14" spans="1:4" ht="27.75" x14ac:dyDescent="0.15">
      <c r="C14" s="97"/>
      <c r="D14" s="25" t="s">
        <v>165</v>
      </c>
    </row>
    <row r="15" spans="1:4" ht="28.5" x14ac:dyDescent="0.15">
      <c r="C15" s="97"/>
      <c r="D15" s="25" t="s">
        <v>172</v>
      </c>
    </row>
    <row r="16" spans="1:4" x14ac:dyDescent="0.15">
      <c r="C16" s="98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99" t="s">
        <v>222</v>
      </c>
      <c r="D23" s="25" t="s">
        <v>129</v>
      </c>
    </row>
    <row r="24" spans="1:4" x14ac:dyDescent="0.15">
      <c r="C24" s="100"/>
      <c r="D24" s="15" t="s">
        <v>223</v>
      </c>
    </row>
    <row r="25" spans="1:4" ht="27" x14ac:dyDescent="0.15">
      <c r="C25" s="96" t="s">
        <v>126</v>
      </c>
      <c r="D25" s="25" t="s">
        <v>174</v>
      </c>
    </row>
    <row r="26" spans="1:4" ht="27.75" x14ac:dyDescent="0.15">
      <c r="C26" s="98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1" t="s">
        <v>117</v>
      </c>
      <c r="H7" s="102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15">
      <c r="C24" s="69" t="s">
        <v>525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15">
      <c r="C25" s="69" t="s">
        <v>525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15">
      <c r="C26" s="69" t="s">
        <v>525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15">
      <c r="C27" s="69" t="s">
        <v>525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15">
      <c r="C28" s="69" t="s">
        <v>525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15">
      <c r="C29" s="69" t="s">
        <v>525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15">
      <c r="C30" s="69" t="s">
        <v>525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15">
      <c r="C31" s="69" t="s">
        <v>525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15">
      <c r="C32" s="69" t="s">
        <v>525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15">
      <c r="C33" s="69" t="s">
        <v>527</v>
      </c>
      <c r="E33" s="4">
        <f t="shared" si="0"/>
        <v>26</v>
      </c>
      <c r="F33" s="32" t="s">
        <v>496</v>
      </c>
      <c r="G33" s="32" t="s">
        <v>7</v>
      </c>
      <c r="H33" s="32" t="s">
        <v>90</v>
      </c>
      <c r="I33" s="32" t="s">
        <v>20</v>
      </c>
      <c r="J33" s="31" t="s">
        <v>348</v>
      </c>
      <c r="K33" s="24">
        <v>1</v>
      </c>
      <c r="L33" s="24" t="s">
        <v>497</v>
      </c>
      <c r="M33" s="24" t="s">
        <v>427</v>
      </c>
      <c r="N33" s="24" t="s">
        <v>90</v>
      </c>
      <c r="P33" s="1" t="s">
        <v>498</v>
      </c>
      <c r="Q33" s="1" t="s">
        <v>130</v>
      </c>
    </row>
    <row r="34" spans="3:17" x14ac:dyDescent="0.15">
      <c r="C34" s="68" t="s">
        <v>529</v>
      </c>
      <c r="E34" s="4">
        <f t="shared" si="0"/>
        <v>27</v>
      </c>
      <c r="F34" s="30" t="s">
        <v>470</v>
      </c>
      <c r="G34" s="30" t="s">
        <v>7</v>
      </c>
      <c r="H34" s="30" t="s">
        <v>90</v>
      </c>
      <c r="I34" s="30" t="s">
        <v>20</v>
      </c>
      <c r="J34" s="30" t="s">
        <v>473</v>
      </c>
      <c r="K34" s="24">
        <v>2</v>
      </c>
      <c r="L34" s="24" t="s">
        <v>474</v>
      </c>
      <c r="M34" s="24" t="s">
        <v>429</v>
      </c>
      <c r="N34" s="24" t="s">
        <v>90</v>
      </c>
      <c r="P34" s="1" t="s">
        <v>499</v>
      </c>
      <c r="Q34" s="1" t="s">
        <v>130</v>
      </c>
    </row>
    <row r="35" spans="3:17" x14ac:dyDescent="0.15">
      <c r="C35" s="68" t="s">
        <v>529</v>
      </c>
      <c r="E35" s="4">
        <f t="shared" si="0"/>
        <v>28</v>
      </c>
      <c r="F35" s="30" t="s">
        <v>471</v>
      </c>
      <c r="G35" s="30" t="s">
        <v>7</v>
      </c>
      <c r="H35" s="30" t="s">
        <v>90</v>
      </c>
      <c r="I35" s="30" t="s">
        <v>20</v>
      </c>
      <c r="J35" s="30" t="s">
        <v>473</v>
      </c>
      <c r="K35" s="24">
        <v>3</v>
      </c>
      <c r="L35" s="24" t="s">
        <v>475</v>
      </c>
      <c r="M35" s="24" t="s">
        <v>431</v>
      </c>
      <c r="N35" s="24" t="s">
        <v>90</v>
      </c>
      <c r="P35" s="1" t="s">
        <v>500</v>
      </c>
      <c r="Q35" s="1" t="s">
        <v>130</v>
      </c>
    </row>
    <row r="36" spans="3:17" x14ac:dyDescent="0.15">
      <c r="C36" s="68" t="s">
        <v>529</v>
      </c>
      <c r="E36" s="4">
        <f t="shared" si="0"/>
        <v>29</v>
      </c>
      <c r="F36" s="30" t="s">
        <v>472</v>
      </c>
      <c r="G36" s="30" t="s">
        <v>7</v>
      </c>
      <c r="H36" s="30" t="s">
        <v>90</v>
      </c>
      <c r="I36" s="30" t="s">
        <v>20</v>
      </c>
      <c r="J36" s="30" t="s">
        <v>473</v>
      </c>
      <c r="K36" s="24">
        <v>4</v>
      </c>
      <c r="L36" s="24" t="s">
        <v>476</v>
      </c>
      <c r="M36" s="24" t="s">
        <v>433</v>
      </c>
      <c r="N36" s="24" t="s">
        <v>90</v>
      </c>
      <c r="P36" s="1" t="s">
        <v>501</v>
      </c>
      <c r="Q36" s="1" t="s">
        <v>130</v>
      </c>
    </row>
    <row r="37" spans="3:17" x14ac:dyDescent="0.15">
      <c r="E37" s="4">
        <f t="shared" si="0"/>
        <v>30</v>
      </c>
      <c r="F37" s="24" t="s">
        <v>324</v>
      </c>
      <c r="G37" s="24" t="s">
        <v>9</v>
      </c>
      <c r="H37" s="24" t="s">
        <v>90</v>
      </c>
      <c r="I37" s="24" t="s">
        <v>23</v>
      </c>
      <c r="J37" s="23" t="s">
        <v>444</v>
      </c>
      <c r="K37" s="24">
        <v>1</v>
      </c>
      <c r="L37" s="24" t="s">
        <v>384</v>
      </c>
      <c r="M37" s="24" t="s">
        <v>385</v>
      </c>
      <c r="N37" s="24" t="s">
        <v>90</v>
      </c>
      <c r="P37" s="1" t="s">
        <v>386</v>
      </c>
      <c r="Q37" s="1" t="s">
        <v>153</v>
      </c>
    </row>
    <row r="38" spans="3:17" x14ac:dyDescent="0.15">
      <c r="E38" s="4">
        <f t="shared" si="0"/>
        <v>31</v>
      </c>
      <c r="F38" s="24" t="s">
        <v>325</v>
      </c>
      <c r="G38" s="24" t="s">
        <v>9</v>
      </c>
      <c r="H38" s="24" t="s">
        <v>90</v>
      </c>
      <c r="I38" s="24" t="s">
        <v>23</v>
      </c>
      <c r="J38" s="23" t="s">
        <v>444</v>
      </c>
      <c r="K38" s="24">
        <v>2</v>
      </c>
      <c r="L38" s="24" t="s">
        <v>387</v>
      </c>
      <c r="M38" s="24" t="s">
        <v>388</v>
      </c>
      <c r="N38" s="24" t="s">
        <v>90</v>
      </c>
      <c r="P38" s="1" t="s">
        <v>389</v>
      </c>
      <c r="Q38" s="1" t="s">
        <v>153</v>
      </c>
    </row>
    <row r="39" spans="3:17" x14ac:dyDescent="0.15">
      <c r="E39" s="4">
        <f t="shared" si="0"/>
        <v>32</v>
      </c>
      <c r="F39" s="24" t="s">
        <v>326</v>
      </c>
      <c r="G39" s="24" t="s">
        <v>11</v>
      </c>
      <c r="H39" s="24" t="s">
        <v>90</v>
      </c>
      <c r="I39" s="24" t="s">
        <v>22</v>
      </c>
      <c r="J39" s="23" t="s">
        <v>444</v>
      </c>
      <c r="K39" s="24">
        <v>1</v>
      </c>
      <c r="L39" s="24" t="s">
        <v>390</v>
      </c>
      <c r="M39" s="24" t="s">
        <v>391</v>
      </c>
      <c r="N39" s="24" t="s">
        <v>90</v>
      </c>
      <c r="P39" s="1" t="s">
        <v>392</v>
      </c>
      <c r="Q39" s="1" t="s">
        <v>140</v>
      </c>
    </row>
    <row r="40" spans="3:17" x14ac:dyDescent="0.15">
      <c r="E40" s="4">
        <f t="shared" si="0"/>
        <v>33</v>
      </c>
      <c r="F40" s="24" t="s">
        <v>327</v>
      </c>
      <c r="G40" s="24" t="s">
        <v>11</v>
      </c>
      <c r="H40" s="24" t="s">
        <v>90</v>
      </c>
      <c r="I40" s="24" t="s">
        <v>23</v>
      </c>
      <c r="J40" s="23" t="s">
        <v>444</v>
      </c>
      <c r="K40" s="24">
        <v>1</v>
      </c>
      <c r="L40" s="24" t="s">
        <v>393</v>
      </c>
      <c r="M40" s="24" t="s">
        <v>394</v>
      </c>
      <c r="N40" s="24" t="s">
        <v>90</v>
      </c>
      <c r="P40" s="1" t="s">
        <v>395</v>
      </c>
      <c r="Q40" s="1" t="s">
        <v>144</v>
      </c>
    </row>
    <row r="41" spans="3:17" x14ac:dyDescent="0.15">
      <c r="E41" s="4">
        <f t="shared" si="0"/>
        <v>34</v>
      </c>
      <c r="F41" s="24" t="s">
        <v>328</v>
      </c>
      <c r="G41" s="24" t="s">
        <v>7</v>
      </c>
      <c r="H41" s="24" t="s">
        <v>90</v>
      </c>
      <c r="I41" s="24" t="s">
        <v>23</v>
      </c>
      <c r="J41" s="23" t="s">
        <v>444</v>
      </c>
      <c r="K41" s="24">
        <v>1</v>
      </c>
      <c r="L41" s="24" t="s">
        <v>396</v>
      </c>
      <c r="M41" s="24" t="s">
        <v>397</v>
      </c>
      <c r="N41" s="24" t="s">
        <v>90</v>
      </c>
      <c r="P41" s="1" t="s">
        <v>398</v>
      </c>
      <c r="Q41" s="1" t="s">
        <v>143</v>
      </c>
    </row>
    <row r="42" spans="3:17" x14ac:dyDescent="0.15">
      <c r="E42" s="4">
        <f t="shared" si="0"/>
        <v>35</v>
      </c>
      <c r="F42" s="24" t="s">
        <v>329</v>
      </c>
      <c r="G42" s="24" t="s">
        <v>11</v>
      </c>
      <c r="H42" s="24" t="s">
        <v>90</v>
      </c>
      <c r="I42" s="24" t="s">
        <v>20</v>
      </c>
      <c r="J42" s="23" t="s">
        <v>444</v>
      </c>
      <c r="K42" s="24">
        <v>10</v>
      </c>
      <c r="L42" s="24" t="s">
        <v>399</v>
      </c>
      <c r="M42" s="24" t="s">
        <v>400</v>
      </c>
      <c r="N42" s="24" t="s">
        <v>90</v>
      </c>
      <c r="P42" s="1" t="s">
        <v>401</v>
      </c>
      <c r="Q42" s="1" t="s">
        <v>132</v>
      </c>
    </row>
    <row r="43" spans="3:17" x14ac:dyDescent="0.15">
      <c r="E43" s="4">
        <f t="shared" si="0"/>
        <v>36</v>
      </c>
      <c r="F43" s="24" t="s">
        <v>330</v>
      </c>
      <c r="G43" s="24" t="s">
        <v>11</v>
      </c>
      <c r="H43" s="24" t="s">
        <v>90</v>
      </c>
      <c r="I43" s="24" t="s">
        <v>20</v>
      </c>
      <c r="J43" s="23" t="s">
        <v>444</v>
      </c>
      <c r="K43" s="24">
        <v>11</v>
      </c>
      <c r="L43" s="24" t="s">
        <v>402</v>
      </c>
      <c r="M43" s="24" t="s">
        <v>403</v>
      </c>
      <c r="N43" s="24" t="s">
        <v>90</v>
      </c>
      <c r="P43" s="1" t="s">
        <v>404</v>
      </c>
      <c r="Q43" s="1" t="s">
        <v>132</v>
      </c>
    </row>
    <row r="44" spans="3:17" x14ac:dyDescent="0.15">
      <c r="E44" s="4">
        <f t="shared" si="0"/>
        <v>37</v>
      </c>
      <c r="F44" s="24" t="s">
        <v>331</v>
      </c>
      <c r="G44" s="24" t="s">
        <v>11</v>
      </c>
      <c r="H44" s="24" t="s">
        <v>90</v>
      </c>
      <c r="I44" s="24" t="s">
        <v>20</v>
      </c>
      <c r="J44" s="23" t="s">
        <v>444</v>
      </c>
      <c r="K44" s="24">
        <v>12</v>
      </c>
      <c r="L44" s="24" t="s">
        <v>405</v>
      </c>
      <c r="M44" s="24" t="s">
        <v>406</v>
      </c>
      <c r="N44" s="24" t="s">
        <v>90</v>
      </c>
      <c r="P44" s="1" t="s">
        <v>407</v>
      </c>
      <c r="Q44" s="1" t="s">
        <v>132</v>
      </c>
    </row>
    <row r="45" spans="3:17" x14ac:dyDescent="0.15">
      <c r="E45" s="4">
        <f t="shared" si="0"/>
        <v>38</v>
      </c>
      <c r="F45" s="24" t="s">
        <v>332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13</v>
      </c>
      <c r="L45" s="24" t="s">
        <v>408</v>
      </c>
      <c r="M45" s="24" t="s">
        <v>409</v>
      </c>
      <c r="N45" s="24" t="s">
        <v>90</v>
      </c>
      <c r="P45" s="1" t="s">
        <v>410</v>
      </c>
      <c r="Q45" s="1" t="s">
        <v>132</v>
      </c>
    </row>
    <row r="46" spans="3:17" x14ac:dyDescent="0.15">
      <c r="E46" s="4">
        <f t="shared" si="0"/>
        <v>39</v>
      </c>
      <c r="F46" s="24" t="s">
        <v>333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14</v>
      </c>
      <c r="L46" s="24" t="s">
        <v>411</v>
      </c>
      <c r="M46" s="24" t="s">
        <v>412</v>
      </c>
      <c r="N46" s="24" t="s">
        <v>90</v>
      </c>
      <c r="P46" s="1" t="s">
        <v>413</v>
      </c>
      <c r="Q46" s="1" t="s">
        <v>132</v>
      </c>
    </row>
    <row r="47" spans="3:17" x14ac:dyDescent="0.15">
      <c r="E47" s="4">
        <f t="shared" si="0"/>
        <v>40</v>
      </c>
      <c r="F47" s="24" t="s">
        <v>349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15</v>
      </c>
      <c r="L47" s="24" t="s">
        <v>414</v>
      </c>
      <c r="M47" s="24" t="s">
        <v>415</v>
      </c>
      <c r="N47" s="24" t="s">
        <v>90</v>
      </c>
      <c r="P47" s="1" t="s">
        <v>416</v>
      </c>
      <c r="Q47" s="1" t="s">
        <v>132</v>
      </c>
    </row>
    <row r="48" spans="3:17" x14ac:dyDescent="0.15">
      <c r="E48" s="4">
        <f t="shared" si="0"/>
        <v>41</v>
      </c>
      <c r="F48" s="24" t="s">
        <v>350</v>
      </c>
      <c r="G48" s="24" t="s">
        <v>11</v>
      </c>
      <c r="H48" s="24" t="s">
        <v>90</v>
      </c>
      <c r="I48" s="24" t="s">
        <v>20</v>
      </c>
      <c r="J48" s="23" t="s">
        <v>444</v>
      </c>
      <c r="K48" s="24">
        <v>16</v>
      </c>
      <c r="L48" s="24" t="s">
        <v>417</v>
      </c>
      <c r="M48" s="24" t="s">
        <v>418</v>
      </c>
      <c r="N48" s="24" t="s">
        <v>90</v>
      </c>
      <c r="P48" s="1" t="s">
        <v>419</v>
      </c>
      <c r="Q48" s="1" t="s">
        <v>132</v>
      </c>
    </row>
    <row r="49" spans="5:17" x14ac:dyDescent="0.15">
      <c r="E49" s="4">
        <f t="shared" si="0"/>
        <v>42</v>
      </c>
      <c r="F49" s="24" t="s">
        <v>351</v>
      </c>
      <c r="G49" s="24" t="s">
        <v>11</v>
      </c>
      <c r="H49" s="24" t="s">
        <v>90</v>
      </c>
      <c r="I49" s="24" t="s">
        <v>20</v>
      </c>
      <c r="J49" s="23" t="s">
        <v>444</v>
      </c>
      <c r="K49" s="24">
        <v>17</v>
      </c>
      <c r="L49" s="24" t="s">
        <v>420</v>
      </c>
      <c r="M49" s="24" t="s">
        <v>421</v>
      </c>
      <c r="N49" s="24" t="s">
        <v>90</v>
      </c>
      <c r="P49" s="1" t="s">
        <v>422</v>
      </c>
      <c r="Q49" s="1" t="s">
        <v>132</v>
      </c>
    </row>
    <row r="50" spans="5:17" x14ac:dyDescent="0.15">
      <c r="E50" s="4">
        <f t="shared" si="0"/>
        <v>43</v>
      </c>
      <c r="F50" s="24" t="s">
        <v>352</v>
      </c>
      <c r="G50" s="24" t="s">
        <v>11</v>
      </c>
      <c r="H50" s="24" t="s">
        <v>90</v>
      </c>
      <c r="I50" s="24" t="s">
        <v>20</v>
      </c>
      <c r="J50" s="23" t="s">
        <v>444</v>
      </c>
      <c r="K50" s="24">
        <v>18</v>
      </c>
      <c r="L50" s="24" t="s">
        <v>423</v>
      </c>
      <c r="M50" s="24" t="s">
        <v>424</v>
      </c>
      <c r="N50" s="24" t="s">
        <v>90</v>
      </c>
      <c r="P50" s="1" t="s">
        <v>425</v>
      </c>
      <c r="Q50" s="1" t="s">
        <v>132</v>
      </c>
    </row>
    <row r="51" spans="5:17" x14ac:dyDescent="0.15">
      <c r="E51" s="4">
        <f t="shared" si="0"/>
        <v>44</v>
      </c>
      <c r="F51" s="24" t="s">
        <v>464</v>
      </c>
      <c r="G51" s="24" t="s">
        <v>9</v>
      </c>
      <c r="H51" s="24" t="s">
        <v>90</v>
      </c>
      <c r="I51" s="24" t="s">
        <v>20</v>
      </c>
      <c r="J51" s="23" t="s">
        <v>444</v>
      </c>
      <c r="K51" s="24">
        <v>1</v>
      </c>
      <c r="L51" s="24" t="s">
        <v>477</v>
      </c>
      <c r="M51" s="24" t="s">
        <v>478</v>
      </c>
      <c r="N51" s="24" t="s">
        <v>90</v>
      </c>
      <c r="P51" s="1" t="s">
        <v>479</v>
      </c>
      <c r="Q51" s="1" t="s">
        <v>131</v>
      </c>
    </row>
    <row r="52" spans="5:17" x14ac:dyDescent="0.15">
      <c r="E52" s="4">
        <f t="shared" si="0"/>
        <v>45</v>
      </c>
      <c r="F52" s="24" t="s">
        <v>465</v>
      </c>
      <c r="G52" s="24" t="s">
        <v>9</v>
      </c>
      <c r="H52" s="24" t="s">
        <v>90</v>
      </c>
      <c r="I52" s="24" t="s">
        <v>20</v>
      </c>
      <c r="J52" s="23" t="s">
        <v>444</v>
      </c>
      <c r="K52" s="24">
        <v>2</v>
      </c>
      <c r="L52" s="24" t="s">
        <v>480</v>
      </c>
      <c r="M52" s="24" t="s">
        <v>481</v>
      </c>
      <c r="N52" s="24" t="s">
        <v>90</v>
      </c>
      <c r="P52" s="1" t="s">
        <v>482</v>
      </c>
      <c r="Q52" s="1" t="s">
        <v>131</v>
      </c>
    </row>
    <row r="53" spans="5:17" x14ac:dyDescent="0.15">
      <c r="E53" s="4">
        <f t="shared" si="0"/>
        <v>46</v>
      </c>
      <c r="F53" s="24" t="s">
        <v>466</v>
      </c>
      <c r="G53" s="24" t="s">
        <v>9</v>
      </c>
      <c r="H53" s="24" t="s">
        <v>90</v>
      </c>
      <c r="I53" s="24" t="s">
        <v>20</v>
      </c>
      <c r="J53" s="23" t="s">
        <v>444</v>
      </c>
      <c r="K53" s="24">
        <v>3</v>
      </c>
      <c r="L53" s="24" t="s">
        <v>483</v>
      </c>
      <c r="M53" s="24" t="s">
        <v>484</v>
      </c>
      <c r="N53" s="24" t="s">
        <v>90</v>
      </c>
      <c r="P53" s="1" t="s">
        <v>485</v>
      </c>
      <c r="Q53" s="1" t="s">
        <v>131</v>
      </c>
    </row>
    <row r="54" spans="5:17" x14ac:dyDescent="0.15">
      <c r="E54" s="4">
        <f t="shared" si="0"/>
        <v>47</v>
      </c>
      <c r="F54" s="24" t="s">
        <v>334</v>
      </c>
      <c r="G54" s="24" t="s">
        <v>7</v>
      </c>
      <c r="H54" s="24" t="s">
        <v>90</v>
      </c>
      <c r="I54" s="24" t="s">
        <v>20</v>
      </c>
      <c r="J54" s="23" t="s">
        <v>444</v>
      </c>
      <c r="K54" s="24">
        <v>5</v>
      </c>
      <c r="L54" s="24" t="s">
        <v>426</v>
      </c>
      <c r="M54" s="24" t="s">
        <v>435</v>
      </c>
      <c r="N54" s="24" t="s">
        <v>90</v>
      </c>
      <c r="P54" s="1" t="s">
        <v>502</v>
      </c>
      <c r="Q54" s="1" t="s">
        <v>130</v>
      </c>
    </row>
    <row r="55" spans="5:17" x14ac:dyDescent="0.15">
      <c r="E55" s="4">
        <f t="shared" si="0"/>
        <v>48</v>
      </c>
      <c r="F55" s="24" t="s">
        <v>335</v>
      </c>
      <c r="G55" s="24" t="s">
        <v>7</v>
      </c>
      <c r="H55" s="24" t="s">
        <v>90</v>
      </c>
      <c r="I55" s="24" t="s">
        <v>20</v>
      </c>
      <c r="J55" s="23" t="s">
        <v>444</v>
      </c>
      <c r="K55" s="24">
        <v>6</v>
      </c>
      <c r="L55" s="24" t="s">
        <v>428</v>
      </c>
      <c r="M55" s="24" t="s">
        <v>437</v>
      </c>
      <c r="N55" s="24" t="s">
        <v>90</v>
      </c>
      <c r="P55" s="1" t="s">
        <v>503</v>
      </c>
      <c r="Q55" s="1" t="s">
        <v>130</v>
      </c>
    </row>
    <row r="56" spans="5:17" x14ac:dyDescent="0.15">
      <c r="E56" s="4">
        <f t="shared" si="0"/>
        <v>49</v>
      </c>
      <c r="F56" s="24" t="s">
        <v>336</v>
      </c>
      <c r="G56" s="24" t="s">
        <v>7</v>
      </c>
      <c r="H56" s="24" t="s">
        <v>90</v>
      </c>
      <c r="I56" s="24" t="s">
        <v>20</v>
      </c>
      <c r="J56" s="23" t="s">
        <v>444</v>
      </c>
      <c r="K56" s="24">
        <v>7</v>
      </c>
      <c r="L56" s="24" t="s">
        <v>430</v>
      </c>
      <c r="M56" s="24" t="s">
        <v>439</v>
      </c>
      <c r="N56" s="24" t="s">
        <v>90</v>
      </c>
      <c r="P56" s="1" t="s">
        <v>504</v>
      </c>
      <c r="Q56" s="1" t="s">
        <v>130</v>
      </c>
    </row>
    <row r="57" spans="5:17" x14ac:dyDescent="0.15">
      <c r="E57" s="4">
        <f t="shared" si="0"/>
        <v>50</v>
      </c>
      <c r="F57" s="24" t="s">
        <v>337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8</v>
      </c>
      <c r="L57" s="24" t="s">
        <v>432</v>
      </c>
      <c r="M57" s="24" t="s">
        <v>441</v>
      </c>
      <c r="N57" s="24" t="s">
        <v>90</v>
      </c>
      <c r="P57" s="1" t="s">
        <v>505</v>
      </c>
      <c r="Q57" s="1" t="s">
        <v>130</v>
      </c>
    </row>
    <row r="58" spans="5:17" x14ac:dyDescent="0.15">
      <c r="E58" s="4">
        <f t="shared" si="0"/>
        <v>51</v>
      </c>
      <c r="F58" s="24" t="s">
        <v>338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9</v>
      </c>
      <c r="L58" s="24" t="s">
        <v>434</v>
      </c>
      <c r="M58" s="24" t="s">
        <v>443</v>
      </c>
      <c r="N58" s="24" t="s">
        <v>90</v>
      </c>
      <c r="P58" s="1" t="s">
        <v>506</v>
      </c>
      <c r="Q58" s="1" t="s">
        <v>130</v>
      </c>
    </row>
    <row r="59" spans="5:17" x14ac:dyDescent="0.15">
      <c r="E59" s="4">
        <f t="shared" si="0"/>
        <v>52</v>
      </c>
      <c r="F59" s="24" t="s">
        <v>353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10</v>
      </c>
      <c r="L59" s="24" t="s">
        <v>436</v>
      </c>
      <c r="M59" s="24" t="s">
        <v>486</v>
      </c>
      <c r="N59" s="24" t="s">
        <v>90</v>
      </c>
      <c r="P59" s="1" t="s">
        <v>507</v>
      </c>
      <c r="Q59" s="1" t="s">
        <v>130</v>
      </c>
    </row>
    <row r="60" spans="5:17" x14ac:dyDescent="0.15">
      <c r="E60" s="4">
        <f t="shared" si="0"/>
        <v>53</v>
      </c>
      <c r="F60" s="24" t="s">
        <v>354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11</v>
      </c>
      <c r="L60" s="24" t="s">
        <v>438</v>
      </c>
      <c r="M60" s="24" t="s">
        <v>487</v>
      </c>
      <c r="N60" s="24" t="s">
        <v>90</v>
      </c>
      <c r="P60" s="1" t="s">
        <v>508</v>
      </c>
      <c r="Q60" s="1" t="s">
        <v>130</v>
      </c>
    </row>
    <row r="61" spans="5:17" x14ac:dyDescent="0.15">
      <c r="E61" s="4">
        <f t="shared" si="0"/>
        <v>54</v>
      </c>
      <c r="F61" s="24" t="s">
        <v>355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12</v>
      </c>
      <c r="L61" s="24" t="s">
        <v>440</v>
      </c>
      <c r="M61" s="24" t="s">
        <v>488</v>
      </c>
      <c r="N61" s="24" t="s">
        <v>90</v>
      </c>
      <c r="P61" s="1" t="s">
        <v>509</v>
      </c>
      <c r="Q61" s="1" t="s">
        <v>130</v>
      </c>
    </row>
    <row r="62" spans="5:17" x14ac:dyDescent="0.15">
      <c r="E62" s="4">
        <f t="shared" si="0"/>
        <v>55</v>
      </c>
      <c r="F62" s="24" t="s">
        <v>356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13</v>
      </c>
      <c r="L62" s="24" t="s">
        <v>442</v>
      </c>
      <c r="M62" s="24" t="s">
        <v>490</v>
      </c>
      <c r="N62" s="24" t="s">
        <v>90</v>
      </c>
      <c r="P62" s="1" t="s">
        <v>510</v>
      </c>
      <c r="Q62" s="1" t="s">
        <v>130</v>
      </c>
    </row>
    <row r="63" spans="5:17" x14ac:dyDescent="0.15">
      <c r="E63" s="4">
        <f t="shared" si="0"/>
        <v>56</v>
      </c>
      <c r="F63" s="24" t="s">
        <v>467</v>
      </c>
      <c r="G63" s="24" t="s">
        <v>7</v>
      </c>
      <c r="H63" s="24" t="s">
        <v>90</v>
      </c>
      <c r="I63" s="24" t="s">
        <v>20</v>
      </c>
      <c r="J63" s="23" t="s">
        <v>444</v>
      </c>
      <c r="K63" s="24">
        <v>14</v>
      </c>
      <c r="L63" s="24" t="s">
        <v>489</v>
      </c>
      <c r="M63" s="24" t="s">
        <v>492</v>
      </c>
      <c r="N63" s="24" t="s">
        <v>90</v>
      </c>
      <c r="P63" s="1" t="s">
        <v>511</v>
      </c>
      <c r="Q63" s="1" t="s">
        <v>130</v>
      </c>
    </row>
    <row r="64" spans="5:17" x14ac:dyDescent="0.15">
      <c r="E64" s="4">
        <f t="shared" si="0"/>
        <v>57</v>
      </c>
      <c r="F64" s="24" t="s">
        <v>468</v>
      </c>
      <c r="G64" s="24" t="s">
        <v>7</v>
      </c>
      <c r="H64" s="24" t="s">
        <v>90</v>
      </c>
      <c r="I64" s="24" t="s">
        <v>20</v>
      </c>
      <c r="J64" s="23" t="s">
        <v>444</v>
      </c>
      <c r="K64" s="24">
        <v>15</v>
      </c>
      <c r="L64" s="24" t="s">
        <v>491</v>
      </c>
      <c r="M64" s="24" t="s">
        <v>494</v>
      </c>
      <c r="N64" s="24" t="s">
        <v>90</v>
      </c>
      <c r="P64" s="1" t="s">
        <v>512</v>
      </c>
      <c r="Q64" s="1" t="s">
        <v>130</v>
      </c>
    </row>
    <row r="65" spans="5:17" x14ac:dyDescent="0.15">
      <c r="E65" s="4">
        <f t="shared" si="0"/>
        <v>58</v>
      </c>
      <c r="F65" s="24" t="s">
        <v>469</v>
      </c>
      <c r="G65" s="24" t="s">
        <v>7</v>
      </c>
      <c r="H65" s="24" t="s">
        <v>90</v>
      </c>
      <c r="I65" s="24" t="s">
        <v>20</v>
      </c>
      <c r="J65" s="23" t="s">
        <v>444</v>
      </c>
      <c r="K65" s="24">
        <v>16</v>
      </c>
      <c r="L65" s="24" t="s">
        <v>493</v>
      </c>
      <c r="M65" s="24" t="s">
        <v>513</v>
      </c>
      <c r="N65" s="24" t="s">
        <v>90</v>
      </c>
      <c r="P65" s="1" t="s">
        <v>514</v>
      </c>
      <c r="Q65" s="1" t="s">
        <v>130</v>
      </c>
    </row>
    <row r="66" spans="5:17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7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7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7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7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7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7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7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7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7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7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7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7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7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7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6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3" t="s">
        <v>78</v>
      </c>
      <c r="M6" s="103"/>
      <c r="N6" s="103" t="s">
        <v>79</v>
      </c>
      <c r="O6" s="103"/>
      <c r="P6" s="103" t="s">
        <v>80</v>
      </c>
      <c r="Q6" s="103"/>
      <c r="R6" s="103" t="s">
        <v>81</v>
      </c>
      <c r="S6" s="103"/>
      <c r="T6" s="2"/>
    </row>
    <row r="7" spans="5:20" x14ac:dyDescent="0.15">
      <c r="E7" s="3" t="s">
        <v>82</v>
      </c>
      <c r="F7" s="3" t="s">
        <v>83</v>
      </c>
      <c r="G7" s="104" t="s">
        <v>84</v>
      </c>
      <c r="H7" s="104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497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474</v>
      </c>
      <c r="F34" s="4" t="s">
        <v>429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475</v>
      </c>
      <c r="F35" s="4" t="s">
        <v>431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476</v>
      </c>
      <c r="F36" s="4" t="s">
        <v>433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384</v>
      </c>
      <c r="F37" s="4" t="s">
        <v>385</v>
      </c>
      <c r="G37" s="4" t="s">
        <v>9</v>
      </c>
      <c r="H37" s="4" t="s">
        <v>90</v>
      </c>
      <c r="I37" s="4" t="s">
        <v>23</v>
      </c>
      <c r="J37" s="4" t="b">
        <v>0</v>
      </c>
      <c r="K37" s="4" t="b">
        <v>0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387</v>
      </c>
      <c r="F38" s="4" t="s">
        <v>388</v>
      </c>
      <c r="G38" s="4" t="s">
        <v>9</v>
      </c>
      <c r="H38" s="4" t="s">
        <v>90</v>
      </c>
      <c r="I38" s="4" t="s">
        <v>23</v>
      </c>
      <c r="J38" s="4" t="b">
        <v>0</v>
      </c>
      <c r="K38" s="4" t="b">
        <v>0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390</v>
      </c>
      <c r="F39" s="4" t="s">
        <v>391</v>
      </c>
      <c r="G39" s="4" t="s">
        <v>11</v>
      </c>
      <c r="H39" s="4" t="s">
        <v>90</v>
      </c>
      <c r="I39" s="4" t="s">
        <v>22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393</v>
      </c>
      <c r="F40" s="4" t="s">
        <v>394</v>
      </c>
      <c r="G40" s="4" t="s">
        <v>11</v>
      </c>
      <c r="H40" s="4" t="s">
        <v>90</v>
      </c>
      <c r="I40" s="4" t="s">
        <v>23</v>
      </c>
      <c r="J40" s="4" t="b">
        <v>0</v>
      </c>
      <c r="K40" s="4" t="b">
        <v>0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396</v>
      </c>
      <c r="F41" s="4" t="s">
        <v>397</v>
      </c>
      <c r="G41" s="4" t="s">
        <v>7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399</v>
      </c>
      <c r="F42" s="4" t="s">
        <v>400</v>
      </c>
      <c r="G42" s="4" t="s">
        <v>11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402</v>
      </c>
      <c r="F43" s="4" t="s">
        <v>403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405</v>
      </c>
      <c r="F44" s="4" t="s">
        <v>406</v>
      </c>
      <c r="G44" s="4" t="s">
        <v>11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408</v>
      </c>
      <c r="F45" s="4" t="s">
        <v>409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411</v>
      </c>
      <c r="F46" s="4" t="s">
        <v>412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414</v>
      </c>
      <c r="F47" s="4" t="s">
        <v>415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417</v>
      </c>
      <c r="F48" s="4" t="s">
        <v>418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420</v>
      </c>
      <c r="F49" s="4" t="s">
        <v>421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423</v>
      </c>
      <c r="F50" s="4" t="s">
        <v>424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477</v>
      </c>
      <c r="F51" s="4" t="s">
        <v>478</v>
      </c>
      <c r="G51" s="4" t="s">
        <v>9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480</v>
      </c>
      <c r="F52" s="4" t="s">
        <v>481</v>
      </c>
      <c r="G52" s="4" t="s">
        <v>9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483</v>
      </c>
      <c r="F53" s="4" t="s">
        <v>484</v>
      </c>
      <c r="G53" s="4" t="s">
        <v>9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426</v>
      </c>
      <c r="F54" s="4" t="s">
        <v>435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428</v>
      </c>
      <c r="F55" s="4" t="s">
        <v>437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430</v>
      </c>
      <c r="F56" s="4" t="s">
        <v>439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432</v>
      </c>
      <c r="F57" s="4" t="s">
        <v>441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434</v>
      </c>
      <c r="F58" s="4" t="s">
        <v>443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436</v>
      </c>
      <c r="F59" s="4" t="s">
        <v>486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438</v>
      </c>
      <c r="F60" s="4" t="s">
        <v>487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440</v>
      </c>
      <c r="F61" s="4" t="s">
        <v>488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442</v>
      </c>
      <c r="F62" s="4" t="s">
        <v>490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489</v>
      </c>
      <c r="F63" s="4" t="s">
        <v>492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491</v>
      </c>
      <c r="F64" s="4" t="s">
        <v>494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493</v>
      </c>
      <c r="F65" s="4" t="s">
        <v>513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17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(17U)</v>
      </c>
      <c r="M8" s="1" t="str">
        <f>$M$3&amp;J8&amp;$M$4</f>
        <v>##TOOL_OUT#RIM_MOD_3B_SIZE##</v>
      </c>
      <c r="N8" s="1">
        <v>17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3"/>
  <sheetViews>
    <sheetView showGridLines="0" workbookViewId="0"/>
  </sheetViews>
  <sheetFormatPr defaultRowHeight="13.5" x14ac:dyDescent="0.15"/>
  <sheetData>
    <row r="1" spans="1:3" x14ac:dyDescent="0.15">
      <c r="A1">
        <v>83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498</v>
      </c>
      <c r="C26" t="s">
        <v>130</v>
      </c>
    </row>
    <row r="27" spans="2:3" x14ac:dyDescent="0.15">
      <c r="B27" t="s">
        <v>499</v>
      </c>
      <c r="C27" t="s">
        <v>130</v>
      </c>
    </row>
    <row r="28" spans="2:3" x14ac:dyDescent="0.15">
      <c r="B28" t="s">
        <v>500</v>
      </c>
      <c r="C28" t="s">
        <v>130</v>
      </c>
    </row>
    <row r="29" spans="2:3" x14ac:dyDescent="0.15">
      <c r="B29" t="s">
        <v>501</v>
      </c>
      <c r="C29" t="s">
        <v>130</v>
      </c>
    </row>
    <row r="30" spans="2:3" x14ac:dyDescent="0.15">
      <c r="B30" t="s">
        <v>386</v>
      </c>
      <c r="C30" t="s">
        <v>153</v>
      </c>
    </row>
    <row r="31" spans="2:3" x14ac:dyDescent="0.15">
      <c r="B31" t="s">
        <v>389</v>
      </c>
      <c r="C31" t="s">
        <v>153</v>
      </c>
    </row>
    <row r="32" spans="2:3" x14ac:dyDescent="0.15">
      <c r="B32" t="s">
        <v>392</v>
      </c>
      <c r="C32" t="s">
        <v>140</v>
      </c>
    </row>
    <row r="33" spans="2:3" x14ac:dyDescent="0.15">
      <c r="B33" t="s">
        <v>395</v>
      </c>
      <c r="C33" t="s">
        <v>144</v>
      </c>
    </row>
    <row r="34" spans="2:3" x14ac:dyDescent="0.15">
      <c r="B34" t="s">
        <v>398</v>
      </c>
      <c r="C34" t="s">
        <v>143</v>
      </c>
    </row>
    <row r="35" spans="2:3" x14ac:dyDescent="0.15">
      <c r="B35" t="s">
        <v>401</v>
      </c>
      <c r="C35" t="s">
        <v>132</v>
      </c>
    </row>
    <row r="36" spans="2:3" x14ac:dyDescent="0.15">
      <c r="B36" t="s">
        <v>404</v>
      </c>
      <c r="C36" t="s">
        <v>132</v>
      </c>
    </row>
    <row r="37" spans="2:3" x14ac:dyDescent="0.15">
      <c r="B37" t="s">
        <v>407</v>
      </c>
      <c r="C37" t="s">
        <v>132</v>
      </c>
    </row>
    <row r="38" spans="2:3" x14ac:dyDescent="0.15">
      <c r="B38" t="s">
        <v>410</v>
      </c>
      <c r="C38" t="s">
        <v>132</v>
      </c>
    </row>
    <row r="39" spans="2:3" x14ac:dyDescent="0.15">
      <c r="B39" t="s">
        <v>413</v>
      </c>
      <c r="C39" t="s">
        <v>132</v>
      </c>
    </row>
    <row r="40" spans="2:3" x14ac:dyDescent="0.15">
      <c r="B40" t="s">
        <v>416</v>
      </c>
      <c r="C40" t="s">
        <v>132</v>
      </c>
    </row>
    <row r="41" spans="2:3" x14ac:dyDescent="0.15">
      <c r="B41" t="s">
        <v>419</v>
      </c>
      <c r="C41" t="s">
        <v>132</v>
      </c>
    </row>
    <row r="42" spans="2:3" x14ac:dyDescent="0.15">
      <c r="B42" t="s">
        <v>422</v>
      </c>
      <c r="C42" t="s">
        <v>132</v>
      </c>
    </row>
    <row r="43" spans="2:3" x14ac:dyDescent="0.15">
      <c r="B43" t="s">
        <v>425</v>
      </c>
      <c r="C43" t="s">
        <v>132</v>
      </c>
    </row>
    <row r="44" spans="2:3" x14ac:dyDescent="0.15">
      <c r="B44" t="s">
        <v>479</v>
      </c>
      <c r="C44" t="s">
        <v>131</v>
      </c>
    </row>
    <row r="45" spans="2:3" x14ac:dyDescent="0.15">
      <c r="B45" t="s">
        <v>482</v>
      </c>
      <c r="C45" t="s">
        <v>131</v>
      </c>
    </row>
    <row r="46" spans="2:3" x14ac:dyDescent="0.15">
      <c r="B46" t="s">
        <v>485</v>
      </c>
      <c r="C46" t="s">
        <v>131</v>
      </c>
    </row>
    <row r="47" spans="2:3" x14ac:dyDescent="0.15">
      <c r="B47" t="s">
        <v>502</v>
      </c>
      <c r="C47" t="s">
        <v>130</v>
      </c>
    </row>
    <row r="48" spans="2:3" x14ac:dyDescent="0.15">
      <c r="B48" t="s">
        <v>503</v>
      </c>
      <c r="C48" t="s">
        <v>130</v>
      </c>
    </row>
    <row r="49" spans="2:3" x14ac:dyDescent="0.15">
      <c r="B49" t="s">
        <v>504</v>
      </c>
      <c r="C49" t="s">
        <v>130</v>
      </c>
    </row>
    <row r="50" spans="2:3" x14ac:dyDescent="0.15">
      <c r="B50" t="s">
        <v>505</v>
      </c>
      <c r="C50" t="s">
        <v>130</v>
      </c>
    </row>
    <row r="51" spans="2:3" x14ac:dyDescent="0.15">
      <c r="B51" t="s">
        <v>506</v>
      </c>
      <c r="C51" t="s">
        <v>130</v>
      </c>
    </row>
    <row r="52" spans="2:3" x14ac:dyDescent="0.15">
      <c r="B52" t="s">
        <v>507</v>
      </c>
      <c r="C52" t="s">
        <v>130</v>
      </c>
    </row>
    <row r="53" spans="2:3" x14ac:dyDescent="0.15">
      <c r="B53" t="s">
        <v>508</v>
      </c>
      <c r="C53" t="s">
        <v>130</v>
      </c>
    </row>
    <row r="54" spans="2:3" x14ac:dyDescent="0.15">
      <c r="B54" t="s">
        <v>509</v>
      </c>
      <c r="C54" t="s">
        <v>130</v>
      </c>
    </row>
    <row r="55" spans="2:3" x14ac:dyDescent="0.15">
      <c r="B55" t="s">
        <v>510</v>
      </c>
      <c r="C55" t="s">
        <v>130</v>
      </c>
    </row>
    <row r="56" spans="2:3" x14ac:dyDescent="0.15">
      <c r="B56" t="s">
        <v>511</v>
      </c>
      <c r="C56" t="s">
        <v>130</v>
      </c>
    </row>
    <row r="57" spans="2:3" x14ac:dyDescent="0.15">
      <c r="B57" t="s">
        <v>512</v>
      </c>
      <c r="C57" t="s">
        <v>130</v>
      </c>
    </row>
    <row r="58" spans="2:3" x14ac:dyDescent="0.15">
      <c r="B58" t="s">
        <v>514</v>
      </c>
      <c r="C58" t="s">
        <v>130</v>
      </c>
    </row>
    <row r="59" spans="2:3" x14ac:dyDescent="0.15">
      <c r="B59" t="s">
        <v>322</v>
      </c>
      <c r="C59" t="s">
        <v>134</v>
      </c>
    </row>
    <row r="60" spans="2:3" x14ac:dyDescent="0.15">
      <c r="B60" t="s">
        <v>306</v>
      </c>
      <c r="C60" t="s">
        <v>142</v>
      </c>
    </row>
    <row r="61" spans="2:3" x14ac:dyDescent="0.15">
      <c r="B61" t="s">
        <v>303</v>
      </c>
      <c r="C61" t="s">
        <v>155</v>
      </c>
    </row>
    <row r="62" spans="2:3" x14ac:dyDescent="0.15">
      <c r="B62" t="s">
        <v>308</v>
      </c>
      <c r="C62" t="s">
        <v>155</v>
      </c>
    </row>
    <row r="63" spans="2:3" x14ac:dyDescent="0.15">
      <c r="B63" t="s">
        <v>515</v>
      </c>
      <c r="C63" t="s">
        <v>93</v>
      </c>
    </row>
    <row r="64" spans="2:3" x14ac:dyDescent="0.15">
      <c r="B64" t="s">
        <v>445</v>
      </c>
      <c r="C64" t="s">
        <v>94</v>
      </c>
    </row>
    <row r="65" spans="2:3" x14ac:dyDescent="0.15">
      <c r="B65" t="s">
        <v>446</v>
      </c>
      <c r="C65" t="s">
        <v>95</v>
      </c>
    </row>
    <row r="66" spans="2:3" x14ac:dyDescent="0.15">
      <c r="B66" t="s">
        <v>447</v>
      </c>
      <c r="C66" t="s">
        <v>96</v>
      </c>
    </row>
    <row r="67" spans="2:3" x14ac:dyDescent="0.15">
      <c r="B67" t="s">
        <v>495</v>
      </c>
      <c r="C67" t="s">
        <v>93</v>
      </c>
    </row>
    <row r="68" spans="2:3" x14ac:dyDescent="0.15">
      <c r="B68" t="s">
        <v>448</v>
      </c>
      <c r="C68" t="s">
        <v>94</v>
      </c>
    </row>
    <row r="69" spans="2:3" x14ac:dyDescent="0.15">
      <c r="B69" t="s">
        <v>449</v>
      </c>
      <c r="C69" t="s">
        <v>95</v>
      </c>
    </row>
    <row r="70" spans="2:3" x14ac:dyDescent="0.15">
      <c r="B70" t="s">
        <v>450</v>
      </c>
      <c r="C70" t="s">
        <v>96</v>
      </c>
    </row>
    <row r="71" spans="2:3" x14ac:dyDescent="0.15">
      <c r="B71" t="s">
        <v>451</v>
      </c>
      <c r="C71" t="s">
        <v>93</v>
      </c>
    </row>
    <row r="72" spans="2:3" x14ac:dyDescent="0.15">
      <c r="B72" t="s">
        <v>452</v>
      </c>
      <c r="C72" t="s">
        <v>94</v>
      </c>
    </row>
    <row r="73" spans="2:3" x14ac:dyDescent="0.15">
      <c r="B73" t="s">
        <v>453</v>
      </c>
      <c r="C73" t="s">
        <v>95</v>
      </c>
    </row>
    <row r="74" spans="2:3" x14ac:dyDescent="0.15">
      <c r="B74" t="s">
        <v>454</v>
      </c>
      <c r="C74" t="s">
        <v>96</v>
      </c>
    </row>
    <row r="75" spans="2:3" x14ac:dyDescent="0.15">
      <c r="B75" t="s">
        <v>455</v>
      </c>
      <c r="C75" t="s">
        <v>93</v>
      </c>
    </row>
    <row r="76" spans="2:3" x14ac:dyDescent="0.15">
      <c r="B76" t="s">
        <v>456</v>
      </c>
      <c r="C76" t="s">
        <v>95</v>
      </c>
    </row>
    <row r="77" spans="2:3" x14ac:dyDescent="0.15">
      <c r="B77" t="s">
        <v>457</v>
      </c>
      <c r="C77" t="s">
        <v>96</v>
      </c>
    </row>
    <row r="78" spans="2:3" x14ac:dyDescent="0.15">
      <c r="B78" t="s">
        <v>458</v>
      </c>
      <c r="C78" t="s">
        <v>97</v>
      </c>
    </row>
    <row r="79" spans="2:3" x14ac:dyDescent="0.15">
      <c r="B79" t="s">
        <v>459</v>
      </c>
      <c r="C79" t="s">
        <v>98</v>
      </c>
    </row>
    <row r="80" spans="2:3" x14ac:dyDescent="0.15">
      <c r="B80" t="s">
        <v>460</v>
      </c>
      <c r="C80" t="s">
        <v>99</v>
      </c>
    </row>
    <row r="81" spans="2:3" x14ac:dyDescent="0.15">
      <c r="B81" t="s">
        <v>461</v>
      </c>
      <c r="C81" t="s">
        <v>100</v>
      </c>
    </row>
    <row r="82" spans="2:3" x14ac:dyDescent="0.15">
      <c r="B82" t="s">
        <v>462</v>
      </c>
      <c r="C82" t="s">
        <v>101</v>
      </c>
    </row>
    <row r="83" spans="2:3" x14ac:dyDescent="0.15">
      <c r="B83" t="s">
        <v>463</v>
      </c>
      <c r="C8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2025-05-13T07:08:05Z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