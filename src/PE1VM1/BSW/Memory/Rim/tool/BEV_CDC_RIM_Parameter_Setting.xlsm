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BEV\Git\src\PE1VM1\BSW\Memory\Rim\tool\"/>
    </mc:Choice>
  </mc:AlternateContent>
  <xr:revisionPtr revIDLastSave="0" documentId="13_ncr:1_{2F7365BA-4F69-4AC5-8652-A108C135229C}" xr6:coauthVersionLast="47" xr6:coauthVersionMax="47" xr10:uidLastSave="{00000000-0000-0000-0000-000000000000}"/>
  <bookViews>
    <workbookView xWindow="52057" yWindow="-109" windowWidth="26301" windowHeight="14169" activeTab="1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7" i="2" l="1"/>
  <c r="T13" i="12"/>
  <c r="C4" i="11" l="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<sst xmlns="http://schemas.openxmlformats.org/spreadsheetml/2006/main" count="2012" uniqueCount="557">
  <si>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</si>
  <si>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</si>
  <si>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</si>
  <si>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</si>
  <si>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</si>
  <si>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</si>
  <si>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</si>
  <si>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</si>
  <si>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</si>
  <si>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</si>
  <si>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</si>
  <si>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</si>
  <si>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</si>
  <si>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</si>
  <si>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</si>
  <si>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</si>
  <si>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</si>
  <si>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</si>
  <si>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</si>
  <si>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</si>
  <si>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</si>
  <si>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</si>
  <si>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</si>
  <si>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</si>
  <si>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</si>
  <si>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</si>
  <si>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</si>
  <si>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</si>
  <si>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</si>
  <si>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</si>
  <si>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</si>
  <si>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</si>
  <si>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</si>
  <si>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</si>
  <si>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</si>
  <si>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</si>
  <si>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</si>
  <si>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</si>
  <si>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</si>
  <si>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</si>
  <si>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</si>
  <si>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</si>
  <si>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</si>
  <si>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</si>
  <si>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</si>
  <si>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</si>
  <si>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</si>
  <si>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</si>
  <si>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</si>
  <si>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</si>
  <si>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</si>
  <si>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</si>
  <si>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</si>
  <si>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</si>
  <si>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</si>
  <si>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</si>
  <si>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</si>
  <si>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</si>
  <si>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</si>
  <si>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</si>
  <si>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</si>
  <si>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</si>
  <si>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</si>
  <si>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</si>
  <si>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</si>
  <si>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</si>
  <si>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</si>
  <si>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</si>
  <si>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</si>
  <si>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</si>
  <si>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</si>
  <si>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</si>
  <si>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</si>
  <si>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</si>
  <si>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</si>
  <si>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</si>
  <si>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</si>
  <si>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</si>
  <si>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</si>
  <si>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</si>
  <si>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</si>
  <si>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</si>
  <si>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</si>
  <si>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</si>
  <si>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</si>
  <si>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</si>
  <si>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</si>
  <si>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</si>
  <si>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</si>
  <si>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</si>
  <si>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</si>
  <si>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</si>
  <si>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</si>
  <si>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</si>
  <si>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</si>
  <si>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</si>
  <si>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</si>
  <si>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</si>
  <si>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</si>
  <si>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</si>
  <si>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</si>
  <si>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</si>
  <si>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</si>
  <si>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</si>
  <si>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</si>
  <si>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</si>
  <si>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</si>
  <si>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</si>
  <si>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</si>
  <si>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</si>
  <si>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</si>
  <si>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</si>
  <si>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</si>
  <si>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</si>
  <si>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</si>
  <si>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</si>
  <si>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</si>
  <si>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</si>
  <si>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</si>
  <si>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</si>
  <si>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</si>
  <si>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</si>
  <si>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</si>
  <si>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</si>
  <si>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</si>
  <si>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</si>
  <si>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</si>
  <si>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</si>
  <si>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</si>
  <si>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</si>
  <si>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</si>
  <si>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</si>
  <si>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</si>
  <si>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</si>
  <si>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</si>
  <si>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</si>
  <si>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</si>
  <si>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</si>
  <si>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</si>
  <si>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</si>
  <si>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</si>
  <si>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</si>
  <si>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</si>
  <si>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</si>
  <si>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</si>
  <si>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</si>
  <si>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</si>
  <si>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</si>
  <si>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</si>
  <si>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</si>
  <si>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</si>
  <si>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</si>
  <si>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</si>
  <si>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</si>
  <si>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</si>
  <si>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</si>
  <si>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</si>
  <si>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</si>
  <si>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</si>
  <si>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</si>
  <si>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</si>
  <si>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</si>
  <si>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</si>
  <si>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</si>
  <si>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</si>
  <si>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</si>
  <si>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</si>
  <si>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</si>
  <si>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</si>
  <si>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</si>
  <si>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</si>
  <si>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</si>
  <si>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</si>
  <si>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</si>
  <si>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</si>
  <si>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</si>
  <si>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</si>
  <si>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</si>
  <si>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</si>
  <si>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</si>
  <si>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</si>
  <si>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</si>
  <si>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</si>
  <si>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</si>
  <si>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</si>
  <si>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</si>
  <si>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</si>
  <si>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</si>
  <si>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</si>
  <si>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</si>
  <si>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</si>
  <si>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</si>
  <si>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</si>
  <si>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</si>
  <si>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</si>
  <si>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</si>
  <si>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</si>
  <si>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</si>
  <si>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</si>
  <si>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</si>
  <si>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</si>
  <si>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</si>
  <si>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</si>
  <si>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</si>
  <si>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</si>
  <si>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</si>
  <si>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</si>
  <si>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</si>
  <si>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</si>
  <si>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</si>
  <si>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</si>
  <si>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</si>
  <si>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</si>
  <si>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</si>
  <si>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</si>
  <si>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</si>
  <si>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</si>
  <si>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</si>
  <si>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</si>
  <si>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</si>
  <si>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</si>
  <si>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</si>
  <si>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</si>
  <si>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</si>
  <si>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</si>
  <si>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</si>
  <si>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</si>
  <si>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</si>
  <si>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</si>
  <si>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</si>
  <si>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</si>
  <si>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</si>
  <si>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</si>
  <si>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</si>
  <si>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</si>
  <si>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</si>
  <si>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</si>
  <si>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</si>
  <si>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</si>
  <si>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</si>
  <si>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</si>
  <si>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</si>
  <si>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</si>
  <si>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</si>
  <si>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</si>
  <si>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</si>
  <si>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</si>
  <si>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</si>
  <si>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</si>
  <si>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</si>
  <si>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</si>
  <si>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</si>
  <si>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</si>
  <si>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</si>
  <si>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</si>
  <si>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</si>
  <si>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</si>
  <si>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</si>
  <si>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</si>
  <si>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</si>
  <si>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</si>
  <si>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</si>
  <si>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</si>
  <si>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</si>
  <si>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</si>
  <si>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</si>
  <si>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</si>
  <si>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0xC601U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</si>
  <si>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</si>
  <si>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</si>
  <si>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</si>
  <si>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</si>
  <si>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</si>
  <si>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</si>
  <si>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</si>
  <si>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</si>
  <si>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</si>
  <si>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</si>
  <si>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</si>
  <si>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</si>
  <si>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</si>
  <si>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</si>
  <si>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</si>
  <si>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</si>
  <si>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</si>
  <si>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</si>
  <si>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</si>
  <si>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</si>
  <si>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</si>
  <si>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</si>
  <si>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</si>
  <si>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</si>
  <si>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</si>
  <si>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</si>
  <si>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</si>
  <si>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</si>
  <si>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</si>
  <si>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</si>
  <si>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</si>
  <si>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</si>
  <si>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</si>
  <si>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</si>
  <si>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</si>
  <si>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</si>
  <si>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</si>
  <si>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</si>
  <si>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</si>
  <si>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</si>
  <si>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</si>
  <si>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</si>
  <si>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</si>
  <si>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</si>
  <si>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</si>
  <si>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</si>
  <si>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</si>
  <si>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</si>
  <si>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</si>
  <si>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</si>
  <si>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</si>
  <si>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</si>
  <si>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</si>
  <si>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</si>
  <si>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</si>
  <si>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</si>
  <si>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</si>
  <si>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</si>
  <si>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</si>
  <si>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</si>
  <si>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</si>
  <si>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</si>
  <si>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</si>
  <si>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</si>
  <si>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</si>
  <si>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</si>
  <si>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</si>
  <si>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</si>
  <si>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</si>
  <si>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</si>
  <si>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</si>
  <si>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</si>
  <si>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</si>
  <si>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</si>
  <si>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</si>
  <si>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</si>
  <si>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</si>
  <si>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</si>
  <si>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</si>
  <si>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</si>
  <si>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MET Vardef</t>
    <phoneticPr fontId="2"/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</si>
  <si>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</si>
  <si>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</si>
  <si>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</si>
  <si>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</si>
  <si>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</si>
  <si>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</si>
  <si>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</si>
  <si>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</si>
  <si>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</si>
  <si>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</si>
  <si>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#define RIMID_U4_VDF_ESO_W0                      (0x8001U)</t>
  </si>
  <si>
    <t>RIMID_U4_VDF_ESO_W1</t>
  </si>
  <si>
    <t>0x8002U</t>
  </si>
  <si>
    <t>#define RIMID_U4_VDF_ESO_W1                      (0x8002U)</t>
  </si>
  <si>
    <t>RIMID_U4_VDF_ESO_W2</t>
  </si>
  <si>
    <t>0x8003U</t>
  </si>
  <si>
    <t>#define RIMID_U4_VDF_ESO_W2                      (0x8003U)</t>
  </si>
  <si>
    <t>RIMID_U4_VDF_ESO_W3</t>
  </si>
  <si>
    <t>0x8004U</t>
  </si>
  <si>
    <t>#define RIMID_U4_VDF_ESO_W3                      (0x8004U)</t>
  </si>
  <si>
    <t>RIMID_U4_VDF_ESO_W4</t>
  </si>
  <si>
    <t>0x8005U</t>
  </si>
  <si>
    <t>#define RIMID_U4_VDF_ESO_W4                      (0x8005U)</t>
  </si>
  <si>
    <t>RIMID_U4_VDF_ESO_W5</t>
  </si>
  <si>
    <t>0x8006U</t>
  </si>
  <si>
    <t>#define RIMID_U4_VDF_ESO_W5                      (0x8006U)</t>
  </si>
  <si>
    <t>RIMID_U4_VDF_ESO_W6</t>
  </si>
  <si>
    <t>0x8007U</t>
  </si>
  <si>
    <t>#define RIMID_U4_VDF_ESO_W6                      (0x8007U)</t>
  </si>
  <si>
    <t>RIMID_U4_VDF_ESO_W7</t>
  </si>
  <si>
    <t>0x8008U</t>
  </si>
  <si>
    <t>#define RIMID_U4_VDF_ESO_W7                      (0x8008U)</t>
  </si>
  <si>
    <t>RIMID_U4_VDF_ESO_W8</t>
  </si>
  <si>
    <t>0x8009U</t>
  </si>
  <si>
    <t>#define RIMID_U4_VDF_ESO_W8                      (0x8009U)</t>
  </si>
  <si>
    <t>RIMID_U2_NVMC_INITID_DTF</t>
  </si>
  <si>
    <t>0x4601U</t>
  </si>
  <si>
    <t>#define RIMID_U2_NVMC_INITID_DTF                 (0x4601U)</t>
  </si>
  <si>
    <t>RIMID_U2_NVMC_RECOVERY_DTF</t>
  </si>
  <si>
    <t>0x4602U</t>
  </si>
  <si>
    <t>#define RIMID_U2_NVMC_RECOVERY_DTF               (0x4602U)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</si>
  <si>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</si>
  <si>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</si>
  <si>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</si>
  <si>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</si>
  <si>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</si>
  <si>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</si>
  <si>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</si>
  <si>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</si>
  <si>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</si>
  <si>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RIMID_U4_NVMC_DA_DTF_WRI_000</t>
  </si>
  <si>
    <t>0x800AU</t>
  </si>
  <si>
    <t>#define RIMID_U4_NVMC_DA_DTF_WRI_000             (0x800AU)</t>
  </si>
  <si>
    <t>RIMID_U4_NVMC_DA_DTF_WRI_001</t>
  </si>
  <si>
    <t>0x800BU</t>
  </si>
  <si>
    <t>#define RIMID_U4_NVMC_DA_DTF_WRI_001             (0x800BU)</t>
  </si>
  <si>
    <t>RIMID_U4_NVMC_DA_DTF_WRI_002</t>
  </si>
  <si>
    <t>0x800CU</t>
  </si>
  <si>
    <t>#define RIMID_U4_NVMC_DA_DTF_WRI_002             (0x800CU)</t>
  </si>
  <si>
    <t>RIMID_U4_NVMC_DA_DTF_WRI_003</t>
  </si>
  <si>
    <t>0x800DU</t>
  </si>
  <si>
    <t>#define RIMID_U4_NVMC_DA_DTF_WRI_003             (0x800DU)</t>
  </si>
  <si>
    <t>RIMID_U4_NVMC_DA_DTF_WRI_004</t>
  </si>
  <si>
    <t>0x800EU</t>
  </si>
  <si>
    <t>#define RIMID_U4_NVMC_DA_DTF_WRI_004             (0x800EU)</t>
  </si>
  <si>
    <t>RIMID_U4_NVMC_DA_DTF_WRI_005</t>
  </si>
  <si>
    <t>0x800FU</t>
  </si>
  <si>
    <t>#define RIMID_U4_NVMC_DA_DTF_WRI_005             (0x800FU)</t>
  </si>
  <si>
    <t>RIMID_U4_NVMC_DA_DTF_WRI_006</t>
  </si>
  <si>
    <t>0x8010U</t>
  </si>
  <si>
    <t>#define RIMID_U4_NVMC_DA_DTF_WRI_006             (0x8010U)</t>
  </si>
  <si>
    <t>RIMID_U4_NVMC_DA_DTF_WRI_007</t>
  </si>
  <si>
    <t>0x8011U</t>
  </si>
  <si>
    <t>#define RIMID_U4_NVMC_DA_DTF_WRI_007             (0x8011U)</t>
  </si>
  <si>
    <t>RIMID_U4_NVMC_DA_DTF_WRI_008</t>
  </si>
  <si>
    <t>0x8012U</t>
  </si>
  <si>
    <t>#define RIMID_U4_NVMC_DA_DTF_WRI_008             (0x8012U)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</si>
  <si>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</si>
  <si>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</si>
  <si>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</si>
  <si>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</si>
  <si>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</si>
  <si>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</si>
  <si>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</si>
  <si>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</si>
  <si>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</si>
  <si>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</si>
  <si>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</si>
  <si>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</si>
  <si>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</si>
  <si>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</si>
  <si>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</si>
  <si>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</si>
  <si>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</si>
  <si>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</si>
  <si>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</t>
    <phoneticPr fontId="9"/>
  </si>
  <si>
    <t>#define RIM_MOD_1B2CRAM_U1_ID_NUM                (1U)</t>
  </si>
  <si>
    <t>#define RIM_MOD_3CRAM_U1_ID_NUM                  (2U)</t>
  </si>
  <si>
    <t>#define RIM_MOD_1B2CRAM_U2_ID_NUM                (1U)</t>
  </si>
  <si>
    <t>#define RIM_MOD_1BRAM_U2_ID_NUM                  (1U)</t>
  </si>
  <si>
    <t>#define RIM_MOD_3CRAM_U2_ID_NUM                  (3U)</t>
  </si>
  <si>
    <t>#define RIM_MOD_3BRAM_U4_ID_NUM                  (19U)</t>
  </si>
  <si>
    <t>#define RIM_MOD_1B2CRAM_U4_ID_NUM                (1U)</t>
  </si>
  <si>
    <t>#define RIM_MOD_1BRAM_U4_ID_NUM                  (2U)</t>
  </si>
  <si>
    <t>#define RIM_MOD_3CRAM_U4_ID_NUM                  (2U)</t>
  </si>
  <si>
    <t>#define RIM_MOD_3BRAM_OTHER_ID_NUM               (1U)</t>
  </si>
  <si>
    <t>#define RIM_MOD_1BRAM_OTHER_ID_NUM               (1U)</t>
  </si>
  <si>
    <t>#define RIM_MOD_3CRAM_OTHER_ID_NUM               (2U)</t>
  </si>
  <si>
    <t>#define RIM_MOD_3BRAM_OTHER_BUF_NUM              (1U)</t>
  </si>
  <si>
    <t>#define RIM_MOD_1BRAM_OTHER_BUF_NUM              (1U)</t>
  </si>
  <si>
    <t>#define RIM_MOD_3CRAM_OTHER_BUF_NUM              (3U)</t>
  </si>
  <si>
    <t>#define RIM_MOD_3BRAM_OTHER_ID_CFGMAX            (4U)</t>
  </si>
  <si>
    <t>#define RIM_MOD_1BRAM_OTHER_ID_CFGMAX            (4U)</t>
  </si>
  <si>
    <t>#define RIM_MOD_3CRAM_OTHER_ID_CFGMAX            (8U)</t>
  </si>
  <si>
    <t>NVMC_DA_DTF_WRI_009</t>
  </si>
  <si>
    <t>NVMC_DA_DTF_WRI_010</t>
  </si>
  <si>
    <t>NVMC_DA_DTF_WRI_011</t>
  </si>
  <si>
    <t>NVMC_ST_DTF_009</t>
  </si>
  <si>
    <t>NVMC_ST_DTF_010</t>
  </si>
  <si>
    <t>NVMC_ST_DTF_011</t>
  </si>
  <si>
    <t>RIMID_U2_NVMC_DA_DTF_WRI_009</t>
  </si>
  <si>
    <t>0x4001U</t>
  </si>
  <si>
    <t>RIMID_U2_NVMC_DA_DTF_WRI_010</t>
  </si>
  <si>
    <t>0x4002U</t>
  </si>
  <si>
    <t>RIMID_U2_NVMC_DA_DTF_WRI_011</t>
  </si>
  <si>
    <t>0x4003U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</si>
  <si>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</si>
  <si>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</si>
  <si>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</si>
  <si>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</si>
  <si>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</si>
  <si>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</si>
  <si>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</si>
  <si>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</si>
  <si>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</si>
  <si>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</si>
  <si>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</si>
  <si>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#define RIMID_U1_VDF_HCS_ASCEXT                  (0x0001U)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</si>
  <si>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</si>
  <si>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</si>
  <si>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</si>
  <si>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</si>
  <si>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</si>
  <si>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</si>
  <si>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</si>
  <si>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</si>
  <si>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</si>
  <si>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</si>
  <si>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</si>
  <si>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</si>
  <si>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</si>
  <si>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</si>
  <si>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</si>
  <si>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</si>
  <si>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</si>
  <si>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</si>
  <si>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</si>
  <si>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</si>
  <si>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</si>
  <si>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</si>
  <si>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</si>
  <si>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</si>
  <si>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</si>
  <si>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</si>
  <si>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</si>
  <si>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</si>
  <si>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</si>
  <si>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</si>
  <si>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</si>
  <si>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</si>
  <si>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</si>
  <si>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MET Vardef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</si>
  <si>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</si>
  <si>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</si>
  <si>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</si>
  <si>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#define RIMID_U2_VDF_C_CODE                      (0x4001U)</t>
  </si>
  <si>
    <t>RIMID_U1_VDF_DEST_BDB</t>
  </si>
  <si>
    <t>#define RIMID_U1_VDF_DEST_BDB                    (0x0002U)</t>
  </si>
  <si>
    <t>RIMID_U1_VDF_STRG_WHL</t>
  </si>
  <si>
    <t>#define RIMID_U1_VDF_STRG_WHL                    (0x0003U)</t>
  </si>
  <si>
    <t>#define RIMID_U2_NVMC_DA_DTF_WRI_009             (0x4002U)</t>
  </si>
  <si>
    <t>#define RIMID_U2_NVMC_DA_DTF_WRI_010             (0x4003U)</t>
  </si>
  <si>
    <t>0x4004U</t>
  </si>
  <si>
    <t>#define RIMID_U2_NVMC_DA_DTF_WRI_011             (0x4004U)</t>
  </si>
  <si>
    <t>#define RIMID_U1_NVMC_ST_DTF_000                 (0x0004U)</t>
  </si>
  <si>
    <t>#define RIMID_U1_NVMC_ST_DTF_001                 (0x0005U)</t>
  </si>
  <si>
    <t>#define RIMID_U1_NVMC_ST_DTF_002                 (0x0006U)</t>
  </si>
  <si>
    <t>#define RIMID_U1_NVMC_ST_DTF_003                 (0x0007U)</t>
  </si>
  <si>
    <t>#define RIMID_U1_NVMC_ST_DTF_004                 (0x0008U)</t>
  </si>
  <si>
    <t>#define RIMID_U1_NVMC_ST_DTF_005                 (0x0009U)</t>
  </si>
  <si>
    <t>#define RIMID_U1_NVMC_ST_DTF_006                 (0x000AU)</t>
  </si>
  <si>
    <t>#define RIMID_U1_NVMC_ST_DTF_007                 (0x000BU)</t>
  </si>
  <si>
    <t>#define RIMID_U1_NVMC_ST_DTF_008                 (0x000CU)</t>
  </si>
  <si>
    <t>#define RIMID_U1_NVMC_ST_DTF_009                 (0x000DU)</t>
  </si>
  <si>
    <t>#define RIMID_U1_NVMC_ST_DTF_010                 (0x000EU)</t>
  </si>
  <si>
    <t>#define RIMID_U1_NVMC_ST_DTF_011                 (0x000FU)</t>
  </si>
  <si>
    <t>#define RIM_MOD_3BRAM_U1_ID_NUM                  (16U)</t>
  </si>
  <si>
    <t>#define RIM_MOD_3BRAM_U2_ID_NUM                  (5U)</t>
  </si>
  <si>
    <t>ILLUMI_LOUNGE</t>
  </si>
  <si>
    <t>Illumi</t>
  </si>
  <si>
    <t>▲4</t>
  </si>
  <si>
    <t>Ver00</t>
    <phoneticPr fontId="2"/>
  </si>
  <si>
    <t>DT大石和虎</t>
    <rPh sb="2" eb="6">
      <t>オオイシカズトラ</t>
    </rPh>
    <phoneticPr fontId="2"/>
  </si>
  <si>
    <t>RIMID_U1_ILLUMI_LOUNGE</t>
  </si>
  <si>
    <t>0x0401U</t>
  </si>
  <si>
    <t>#define RIMID_U1_ILLUMI_LOUNGE                   (0x0401U)</t>
  </si>
  <si>
    <t>#define RIM_MOD_1BRAM_U1_ID_NUM                  (2U)</t>
  </si>
  <si>
    <t>BEV illimiリベース対応
・ラウンジイルミ消灯/点灯情報追加</t>
    <rPh sb="14" eb="16">
      <t>タイオウ</t>
    </rPh>
    <rPh sb="25" eb="27">
      <t>ショウトウ</t>
    </rPh>
    <rPh sb="28" eb="30">
      <t>テントウ</t>
    </rPh>
    <rPh sb="30" eb="32">
      <t>ジョウホウ</t>
    </rPh>
    <rPh sb="32" eb="34">
      <t>ツイカ</t>
    </rPh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</si>
</sst>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rgb="FFFF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51</xdr:row>
      <xdr:rowOff>0</xdr:rowOff>
    </xdr:from>
    <xdr:to>
      <xdr:col>39</xdr:col>
      <xdr:colOff>0</xdr:colOff>
      <xdr:row>56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55054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8626</xdr:colOff>
          <xdr:row>42</xdr:row>
          <xdr:rowOff>138023</xdr:rowOff>
        </xdr:from>
        <xdr:to>
          <xdr:col>37</xdr:col>
          <xdr:colOff>0</xdr:colOff>
          <xdr:row>45</xdr:row>
          <xdr:rowOff>129396</xdr:rowOff>
        </xdr:to>
        <xdr:sp macro="" textlink="">
          <xdr:nvSpPr>
            <xdr:cNvPr id="1025" name="inei1_佐古 竜基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103517</xdr:colOff>
          <xdr:row>45</xdr:row>
          <xdr:rowOff>25879</xdr:rowOff>
        </xdr:from>
        <xdr:to>
          <xdr:col>38</xdr:col>
          <xdr:colOff>103517</xdr:colOff>
          <xdr:row>47</xdr:row>
          <xdr:rowOff>138023</xdr:rowOff>
        </xdr:to>
        <xdr:sp macro="" textlink="">
          <xdr:nvSpPr>
            <xdr:cNvPr id="1026" name="inei2_大石 和虎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1630392</xdr:colOff>
          <xdr:row>17</xdr:row>
          <xdr:rowOff>172528</xdr:rowOff>
        </xdr:from>
        <xdr:to>
          <xdr:col>3</xdr:col>
          <xdr:colOff>2199736</xdr:colOff>
          <xdr:row>21</xdr:row>
          <xdr:rowOff>17253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8626</xdr:rowOff>
        </xdr:from>
        <xdr:to>
          <xdr:col>3</xdr:col>
          <xdr:colOff>569343</xdr:colOff>
          <xdr:row>21</xdr:row>
          <xdr:rowOff>34506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51758</xdr:colOff>
          <xdr:row>7</xdr:row>
          <xdr:rowOff>51758</xdr:rowOff>
        </xdr:from>
        <xdr:to>
          <xdr:col>3</xdr:col>
          <xdr:colOff>319177</xdr:colOff>
          <xdr:row>9</xdr:row>
          <xdr:rowOff>43132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51758</xdr:colOff>
          <xdr:row>9</xdr:row>
          <xdr:rowOff>86264</xdr:rowOff>
        </xdr:from>
        <xdr:to>
          <xdr:col>4</xdr:col>
          <xdr:colOff>8626</xdr:colOff>
          <xdr:row>11</xdr:row>
          <xdr:rowOff>94891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51758</xdr:colOff>
          <xdr:row>11</xdr:row>
          <xdr:rowOff>120770</xdr:rowOff>
        </xdr:from>
        <xdr:to>
          <xdr:col>3</xdr:col>
          <xdr:colOff>319177</xdr:colOff>
          <xdr:row>13</xdr:row>
          <xdr:rowOff>86264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51758</xdr:colOff>
          <xdr:row>13</xdr:row>
          <xdr:rowOff>163902</xdr:rowOff>
        </xdr:from>
        <xdr:to>
          <xdr:col>3</xdr:col>
          <xdr:colOff>319177</xdr:colOff>
          <xdr:row>15</xdr:row>
          <xdr:rowOff>129396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41909</xdr:colOff>
      <xdr:row>68</xdr:row>
      <xdr:rowOff>28576</xdr:rowOff>
    </xdr:from>
    <xdr:to>
      <xdr:col>12</xdr:col>
      <xdr:colOff>365759</xdr:colOff>
      <xdr:row>74</xdr:row>
      <xdr:rowOff>110490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65884" y="1143000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388189</xdr:colOff>
          <xdr:row>1</xdr:row>
          <xdr:rowOff>163902</xdr:rowOff>
        </xdr:from>
        <xdr:to>
          <xdr:col>4</xdr:col>
          <xdr:colOff>1190445</xdr:colOff>
          <xdr:row>3</xdr:row>
          <xdr:rowOff>163902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035120910\AppData\Roaming\RelaxTools-Addin\Temp\&#65288;&#21442;&#29031;&#29992;&#65289;19PFv3_met_NVMC_Parameter_Setting_RH850.xlsm" TargetMode="External"/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特性"/>
      <sheetName val="ChoiceValues"/>
      <sheetName val="Dropdowns"/>
      <sheetName val="緊急度"/>
      <sheetName val="電源ボード"/>
      <sheetName val="ブラウザ遷移"/>
      <sheetName val="アミューズメント連携"/>
      <sheetName val="V200複合試験_担当分け_(2)"/>
      <sheetName val="03_リスト"/>
      <sheetName val="17CY利用OSS"/>
      <sheetName val="リスト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Summary"/>
      <sheetName val="データ定義"/>
      <sheetName val="Version"/>
      <sheetName val="Cooling Unit"/>
      <sheetName val="★DropDown"/>
      <sheetName val="加工費"/>
      <sheetName val="Spec_List_(19MC-DCM)_"/>
      <sheetName val="ﾃﾞｰﾀﾍﾞｰｽ"/>
      <sheetName val="凡例・注記記載用"/>
      <sheetName val="R32C_116グループ（144Pin版）"/>
      <sheetName val="MN103SH40Q"/>
      <sheetName val="Inf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表紙"/>
      <sheetName val="index"/>
      <sheetName val="材料受差"/>
      <sheetName val="選定一覧"/>
      <sheetName val="入力リスト"/>
      <sheetName val="rom map"/>
      <sheetName val="メニュー画面"/>
      <sheetName val="DataList"/>
      <sheetName val="議事・勧告一覧"/>
      <sheetName val="前提書情報"/>
      <sheetName val="工数ｺｰﾄﾞﾌﾟﾙﾀﾞｳﾝﾘｽﾄ"/>
      <sheetName val="字段定义"/>
      <sheetName val="Cover"/>
      <sheetName val="投資ﾌｫﾛｰ"/>
      <sheetName val="説明"/>
      <sheetName val="祝日"/>
      <sheetName val="車両仕様"/>
      <sheetName val="#REF!"/>
      <sheetName val="選択リスト"/>
      <sheetName val="DataInputRule"/>
      <sheetName val="信息定义"/>
      <sheetName val="Q&amp;A確認"/>
      <sheetName val="Sheet1"/>
      <sheetName val="⑥フューエル"/>
      <sheetName val="改訂履歴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>
        <row r="1">
          <cell r="A1">
            <v>0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1">
          <cell r="A1">
            <v>0</v>
          </cell>
        </row>
      </sheetData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715L Unit Price"/>
      <sheetName val="Oct Truckfest GMAC BC"/>
      <sheetName val="Corolla Gas"/>
      <sheetName val="REPUESTOS LPA"/>
      <sheetName val="TALLER"/>
      <sheetName val="tbContab05"/>
      <sheetName val="REVICED"/>
      <sheetName val="TCL1"/>
      <sheetName val="PL_1_2"/>
      <sheetName val="TANI"/>
      <sheetName val="ESSBASE"/>
      <sheetName val="091L"/>
      <sheetName val="200L"/>
      <sheetName val="180L"/>
      <sheetName val="Table"/>
      <sheetName val="11パラメータ"/>
      <sheetName val="保有ﾘｽﾄ"/>
      <sheetName val="MARCH_APRIL_ 03"/>
      <sheetName val="ES UX  27 40.464"/>
      <sheetName val="MASTER FILE"/>
      <sheetName val="Part No."/>
      <sheetName val="RACK (CB)new"/>
      <sheetName val="現調化効果"/>
      <sheetName val="日供品"/>
      <sheetName val="Price"/>
      <sheetName val="ﾄﾖﾀUNIT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投資ﾌｫﾛｰ"/>
      <sheetName val="Datos HHRR"/>
      <sheetName val="094W原紙 "/>
      <sheetName val="ヘッダ"/>
      <sheetName val="latest"/>
      <sheetName val="Actual"/>
      <sheetName val="Wenger"/>
      <sheetName val="銷售&amp;毛利"/>
      <sheetName val="2005 TKM"/>
      <sheetName val="投資･工数推移"/>
      <sheetName val="推移"/>
      <sheetName val="?"/>
      <sheetName val="Avanza"/>
      <sheetName val="Hiace"/>
      <sheetName val="Comm CKD"/>
      <sheetName val="Alphard"/>
      <sheetName val="TR"/>
      <sheetName val="542F"/>
      <sheetName val="Plate_Bumper"/>
      <sheetName val="７月発注分 (VLOOK)"/>
      <sheetName val="DBS040_RPT.RPT"/>
      <sheetName val="CPF"/>
      <sheetName val="Parts"/>
      <sheetName val="編集"/>
      <sheetName val="97RAW"/>
      <sheetName val="costing"/>
      <sheetName val="PP_LETTER"/>
      <sheetName val="Inpanel"/>
      <sheetName val="Interior Trim"/>
      <sheetName val="Assumptions"/>
      <sheetName val="FAD Sum"/>
      <sheetName val="Medium"/>
      <sheetName val="Small"/>
      <sheetName val="Regional Penetration"/>
      <sheetName val="TMMI"/>
      <sheetName val="PAIData"/>
      <sheetName val="DATA"/>
      <sheetName val="Plate_Bumper (Summary)"/>
      <sheetName val="AS"/>
      <sheetName val="進度管理表"/>
      <sheetName val="諸元表STR58043"/>
      <sheetName val="dongia (2)"/>
      <sheetName val="方針書表紙"/>
      <sheetName val="ｻﾝﾌﾟﾙ取出日程"/>
      <sheetName val="金型申入書ﾃﾞｰﾀ(05.7～)"/>
      <sheetName val="MTRX96"/>
      <sheetName val="NWEA1180"/>
      <sheetName val="原単位表"/>
      <sheetName val="RMBSS's Triggered"/>
      <sheetName val="6770T02"/>
      <sheetName val="Sheet2"/>
      <sheetName val="NAME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Supp.List"/>
      <sheetName val="ＦＣ～FT"/>
      <sheetName val="Risk &amp; Opps"/>
      <sheetName val="長計対比"/>
      <sheetName val="⑪1ﾊﾞﾘｴｰｼｮﾝ(16LX)△１"/>
      <sheetName val="NCastalone"/>
      <sheetName val="Volumes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BUYERS"/>
      <sheetName val="Status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追加検討（調光外部出力）"/>
      <sheetName val="vocabulary"/>
      <sheetName val="Calibration"/>
      <sheetName val="CVBS"/>
      <sheetName val="RGB"/>
      <sheetName val="option"/>
      <sheetName val="課題管理"/>
      <sheetName val="C-55227AB"/>
      <sheetName val="Data Definition"/>
      <sheetName val="FC_まとめる"/>
      <sheetName val="車両仕様_4___x0011__x00"/>
      <sheetName val="ドメインリスト"/>
      <sheetName val="入力規則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FMEA記載方法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#入力規則"/>
      <sheetName val="リストデータ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パラメータ一覧(AXSS.AXCS)"/>
      <sheetName val="設定値定義"/>
      <sheetName val="All"/>
      <sheetName val="58831-06360"/>
      <sheetName val="1999.4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SHEET  car no"/>
      <sheetName val="車両仕様????帅?"/>
      <sheetName val="Net Price Position _ Sheet 1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サイクル"/>
      <sheetName val="特殊サイクル一覧"/>
      <sheetName val="カメラ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Par"/>
      <sheetName val="車両仕様4_ "/>
      <sheetName val="入力パラメータ"/>
      <sheetName val="改正履歴"/>
      <sheetName val="リスト選択用"/>
      <sheetName val="变更履历"/>
      <sheetName val="Calcul"/>
      <sheetName val="Menu List"/>
      <sheetName val="ドメイン一覧"/>
      <sheetName val="検査シート"/>
      <sheetName val="Cover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3">
          <cell r="B3" t="str">
            <v>TOYOTA   TSUSHO  PHILIPPINES CORPORATION</v>
          </cell>
        </row>
      </sheetData>
      <sheetData sheetId="440">
        <row r="3">
          <cell r="B3" t="str">
            <v>TOYOTA   TSUSHO  PHILIPPINES CORPORATION</v>
          </cell>
        </row>
      </sheetData>
      <sheetData sheetId="441">
        <row r="3">
          <cell r="B3" t="str">
            <v>TOYOTA   TSUSHO  PHILIPPINES CORPORATION</v>
          </cell>
        </row>
      </sheetData>
      <sheetData sheetId="442">
        <row r="3">
          <cell r="B3" t="str">
            <v>TOYOTA   TSUSHO  PHILIPPINES CORPORATION</v>
          </cell>
        </row>
      </sheetData>
      <sheetData sheetId="443">
        <row r="3">
          <cell r="B3" t="str">
            <v>TOYOTA   TSUSHO  PHILIPPINES CORPORATION</v>
          </cell>
        </row>
      </sheetData>
      <sheetData sheetId="444">
        <row r="3">
          <cell r="B3" t="str">
            <v>TOYOTA   TSUSHO  PHILIPPINES CORPORATION</v>
          </cell>
        </row>
      </sheetData>
      <sheetData sheetId="445">
        <row r="3">
          <cell r="B3" t="str">
            <v>TOYOTA   TSUSHO  PHILIPPINES CORPORATION</v>
          </cell>
        </row>
      </sheetData>
      <sheetData sheetId="446">
        <row r="3">
          <cell r="B3" t="str">
            <v>TOYOTA   TSUSHO  PHILIPPINES CORPORATION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B1" t="str">
            <v>1</v>
          </cell>
        </row>
      </sheetData>
      <sheetData sheetId="454">
        <row r="1">
          <cell r="B1" t="str">
            <v>1</v>
          </cell>
        </row>
      </sheetData>
      <sheetData sheetId="455">
        <row r="1">
          <cell r="B1" t="str">
            <v>1</v>
          </cell>
        </row>
      </sheetData>
      <sheetData sheetId="456">
        <row r="1">
          <cell r="B1" t="str">
            <v>1</v>
          </cell>
        </row>
      </sheetData>
      <sheetData sheetId="457">
        <row r="1">
          <cell r="B1" t="str">
            <v>1</v>
          </cell>
        </row>
      </sheetData>
      <sheetData sheetId="458">
        <row r="1">
          <cell r="B1" t="str">
            <v>1</v>
          </cell>
        </row>
      </sheetData>
      <sheetData sheetId="459">
        <row r="1">
          <cell r="B1" t="str">
            <v>1</v>
          </cell>
        </row>
      </sheetData>
      <sheetData sheetId="460">
        <row r="1">
          <cell r="B1" t="str">
            <v>1</v>
          </cell>
        </row>
      </sheetData>
      <sheetData sheetId="461">
        <row r="1">
          <cell r="B1" t="str">
            <v>1</v>
          </cell>
        </row>
      </sheetData>
      <sheetData sheetId="462">
        <row r="1">
          <cell r="B1" t="str">
            <v>1</v>
          </cell>
        </row>
      </sheetData>
      <sheetData sheetId="463">
        <row r="1">
          <cell r="B1" t="str">
            <v>1</v>
          </cell>
        </row>
      </sheetData>
      <sheetData sheetId="464">
        <row r="1">
          <cell r="B1" t="str">
            <v>1</v>
          </cell>
        </row>
      </sheetData>
      <sheetData sheetId="465">
        <row r="1">
          <cell r="B1" t="str">
            <v>1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B1" t="str">
            <v>1</v>
          </cell>
        </row>
      </sheetData>
      <sheetData sheetId="491">
        <row r="1">
          <cell r="B1" t="str">
            <v>1</v>
          </cell>
        </row>
      </sheetData>
      <sheetData sheetId="492">
        <row r="1">
          <cell r="B1" t="str">
            <v>1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B1" t="str">
            <v>1</v>
          </cell>
        </row>
      </sheetData>
      <sheetData sheetId="495">
        <row r="1">
          <cell r="B1" t="str">
            <v>1</v>
          </cell>
        </row>
      </sheetData>
      <sheetData sheetId="496">
        <row r="1">
          <cell r="B1" t="str">
            <v>1</v>
          </cell>
        </row>
      </sheetData>
      <sheetData sheetId="497">
        <row r="1">
          <cell r="B1" t="str">
            <v>1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B1" t="str">
            <v>1</v>
          </cell>
        </row>
      </sheetData>
      <sheetData sheetId="500">
        <row r="1">
          <cell r="B1" t="str">
            <v>1</v>
          </cell>
        </row>
      </sheetData>
      <sheetData sheetId="501">
        <row r="1">
          <cell r="B1" t="str">
            <v>1</v>
          </cell>
        </row>
      </sheetData>
      <sheetData sheetId="502">
        <row r="1">
          <cell r="B1" t="str">
            <v>1</v>
          </cell>
        </row>
      </sheetData>
      <sheetData sheetId="503">
        <row r="1">
          <cell r="B1" t="str">
            <v>1</v>
          </cell>
        </row>
      </sheetData>
      <sheetData sheetId="504">
        <row r="1">
          <cell r="B1" t="str">
            <v>1</v>
          </cell>
        </row>
      </sheetData>
      <sheetData sheetId="505">
        <row r="1">
          <cell r="B1" t="str">
            <v>1</v>
          </cell>
        </row>
      </sheetData>
      <sheetData sheetId="506">
        <row r="1">
          <cell r="B1" t="str">
            <v>1</v>
          </cell>
        </row>
      </sheetData>
      <sheetData sheetId="507">
        <row r="1">
          <cell r="B1" t="str">
            <v>1</v>
          </cell>
        </row>
      </sheetData>
      <sheetData sheetId="508">
        <row r="1">
          <cell r="B1" t="str">
            <v>1</v>
          </cell>
        </row>
      </sheetData>
      <sheetData sheetId="509">
        <row r="1">
          <cell r="B1" t="str">
            <v>1</v>
          </cell>
        </row>
      </sheetData>
      <sheetData sheetId="510">
        <row r="1">
          <cell r="B1" t="str">
            <v>1</v>
          </cell>
        </row>
      </sheetData>
      <sheetData sheetId="511">
        <row r="1">
          <cell r="B1" t="str">
            <v>1</v>
          </cell>
        </row>
      </sheetData>
      <sheetData sheetId="512">
        <row r="1">
          <cell r="B1" t="str">
            <v>1</v>
          </cell>
        </row>
      </sheetData>
      <sheetData sheetId="513">
        <row r="1">
          <cell r="B1" t="str">
            <v>1</v>
          </cell>
        </row>
      </sheetData>
      <sheetData sheetId="514">
        <row r="1">
          <cell r="B1" t="str">
            <v>1</v>
          </cell>
        </row>
      </sheetData>
      <sheetData sheetId="515">
        <row r="1">
          <cell r="B1" t="str">
            <v>1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B1" t="str">
            <v>1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B1" t="str">
            <v>1</v>
          </cell>
        </row>
      </sheetData>
      <sheetData sheetId="655">
        <row r="1">
          <cell r="B1" t="str">
            <v>1</v>
          </cell>
        </row>
      </sheetData>
      <sheetData sheetId="656">
        <row r="1">
          <cell r="B1" t="str">
            <v>1</v>
          </cell>
        </row>
      </sheetData>
      <sheetData sheetId="657">
        <row r="1">
          <cell r="B1" t="str">
            <v>1</v>
          </cell>
        </row>
      </sheetData>
      <sheetData sheetId="658">
        <row r="1">
          <cell r="B1" t="str">
            <v>1</v>
          </cell>
        </row>
      </sheetData>
      <sheetData sheetId="659">
        <row r="1">
          <cell r="B1" t="str">
            <v>1</v>
          </cell>
        </row>
      </sheetData>
      <sheetData sheetId="660">
        <row r="1">
          <cell r="B1" t="str">
            <v>1</v>
          </cell>
        </row>
      </sheetData>
      <sheetData sheetId="661">
        <row r="1">
          <cell r="B1" t="str">
            <v>1</v>
          </cell>
        </row>
      </sheetData>
      <sheetData sheetId="662">
        <row r="1">
          <cell r="B1" t="str">
            <v>1</v>
          </cell>
        </row>
      </sheetData>
      <sheetData sheetId="663">
        <row r="1">
          <cell r="B1" t="str">
            <v>1</v>
          </cell>
        </row>
      </sheetData>
      <sheetData sheetId="664">
        <row r="1">
          <cell r="B1" t="str">
            <v>1</v>
          </cell>
        </row>
      </sheetData>
      <sheetData sheetId="665">
        <row r="1">
          <cell r="B1" t="str">
            <v>1</v>
          </cell>
        </row>
      </sheetData>
      <sheetData sheetId="666">
        <row r="1">
          <cell r="B1" t="str">
            <v>1</v>
          </cell>
        </row>
      </sheetData>
      <sheetData sheetId="667">
        <row r="1">
          <cell r="B1" t="str">
            <v>1</v>
          </cell>
        </row>
      </sheetData>
      <sheetData sheetId="668">
        <row r="1">
          <cell r="B1" t="str">
            <v>1</v>
          </cell>
        </row>
      </sheetData>
      <sheetData sheetId="669">
        <row r="1">
          <cell r="B1" t="str">
            <v>1</v>
          </cell>
        </row>
      </sheetData>
      <sheetData sheetId="670">
        <row r="1">
          <cell r="B1" t="str">
            <v>1</v>
          </cell>
        </row>
      </sheetData>
      <sheetData sheetId="671">
        <row r="1">
          <cell r="B1" t="str">
            <v>1</v>
          </cell>
        </row>
      </sheetData>
      <sheetData sheetId="672">
        <row r="1">
          <cell r="B1" t="str">
            <v>1</v>
          </cell>
        </row>
      </sheetData>
      <sheetData sheetId="673">
        <row r="1">
          <cell r="B1" t="str">
            <v>1</v>
          </cell>
        </row>
      </sheetData>
      <sheetData sheetId="674">
        <row r="1">
          <cell r="B1" t="str">
            <v>1</v>
          </cell>
        </row>
      </sheetData>
      <sheetData sheetId="675">
        <row r="1">
          <cell r="B1" t="str">
            <v>1</v>
          </cell>
        </row>
      </sheetData>
      <sheetData sheetId="676">
        <row r="1">
          <cell r="B1" t="str">
            <v>1</v>
          </cell>
        </row>
      </sheetData>
      <sheetData sheetId="677">
        <row r="1">
          <cell r="B1" t="str">
            <v>1</v>
          </cell>
        </row>
      </sheetData>
      <sheetData sheetId="678">
        <row r="1">
          <cell r="B1" t="str">
            <v>1</v>
          </cell>
        </row>
      </sheetData>
      <sheetData sheetId="679">
        <row r="1">
          <cell r="B1" t="str">
            <v>1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B1" t="str">
            <v>1</v>
          </cell>
        </row>
      </sheetData>
      <sheetData sheetId="682">
        <row r="1">
          <cell r="B1" t="str">
            <v>1</v>
          </cell>
        </row>
      </sheetData>
      <sheetData sheetId="683">
        <row r="1">
          <cell r="B1" t="str">
            <v>1</v>
          </cell>
        </row>
      </sheetData>
      <sheetData sheetId="684">
        <row r="1">
          <cell r="B1" t="str">
            <v>1</v>
          </cell>
        </row>
      </sheetData>
      <sheetData sheetId="685">
        <row r="1">
          <cell r="B1" t="str">
            <v>1</v>
          </cell>
        </row>
      </sheetData>
      <sheetData sheetId="686">
        <row r="1">
          <cell r="B1" t="str">
            <v>1</v>
          </cell>
        </row>
      </sheetData>
      <sheetData sheetId="687">
        <row r="1">
          <cell r="B1" t="str">
            <v>1</v>
          </cell>
        </row>
      </sheetData>
      <sheetData sheetId="688">
        <row r="1">
          <cell r="B1" t="str">
            <v>1</v>
          </cell>
        </row>
      </sheetData>
      <sheetData sheetId="689">
        <row r="1">
          <cell r="B1" t="str">
            <v>1</v>
          </cell>
        </row>
      </sheetData>
      <sheetData sheetId="690">
        <row r="1">
          <cell r="B1" t="str">
            <v>1</v>
          </cell>
        </row>
      </sheetData>
      <sheetData sheetId="691">
        <row r="1">
          <cell r="B1" t="str">
            <v>1</v>
          </cell>
        </row>
      </sheetData>
      <sheetData sheetId="692">
        <row r="1">
          <cell r="B1" t="str">
            <v>1</v>
          </cell>
        </row>
      </sheetData>
      <sheetData sheetId="693">
        <row r="1">
          <cell r="B1" t="str">
            <v>1</v>
          </cell>
        </row>
      </sheetData>
      <sheetData sheetId="694">
        <row r="1">
          <cell r="B1" t="str">
            <v>1</v>
          </cell>
        </row>
      </sheetData>
      <sheetData sheetId="695">
        <row r="1">
          <cell r="B1" t="str">
            <v>1</v>
          </cell>
        </row>
      </sheetData>
      <sheetData sheetId="696">
        <row r="1">
          <cell r="B1" t="str">
            <v>1</v>
          </cell>
        </row>
      </sheetData>
      <sheetData sheetId="697">
        <row r="1">
          <cell r="B1" t="str">
            <v>1</v>
          </cell>
        </row>
      </sheetData>
      <sheetData sheetId="698">
        <row r="1">
          <cell r="B1" t="str">
            <v>1</v>
          </cell>
        </row>
      </sheetData>
      <sheetData sheetId="699">
        <row r="1">
          <cell r="B1" t="str">
            <v>1</v>
          </cell>
        </row>
      </sheetData>
      <sheetData sheetId="700">
        <row r="1">
          <cell r="B1" t="str">
            <v>1</v>
          </cell>
        </row>
      </sheetData>
      <sheetData sheetId="701">
        <row r="1">
          <cell r="B1" t="str">
            <v>1</v>
          </cell>
        </row>
      </sheetData>
      <sheetData sheetId="702">
        <row r="1">
          <cell r="B1" t="str">
            <v>1</v>
          </cell>
        </row>
      </sheetData>
      <sheetData sheetId="703">
        <row r="1">
          <cell r="B1" t="str">
            <v>1</v>
          </cell>
        </row>
      </sheetData>
      <sheetData sheetId="704">
        <row r="1">
          <cell r="B1" t="str">
            <v>1</v>
          </cell>
        </row>
      </sheetData>
      <sheetData sheetId="705">
        <row r="1">
          <cell r="B1" t="str">
            <v>1</v>
          </cell>
        </row>
      </sheetData>
      <sheetData sheetId="706">
        <row r="1">
          <cell r="B1" t="str">
            <v>1</v>
          </cell>
        </row>
      </sheetData>
      <sheetData sheetId="707">
        <row r="1">
          <cell r="B1" t="str">
            <v>1</v>
          </cell>
        </row>
      </sheetData>
      <sheetData sheetId="708">
        <row r="1">
          <cell r="B1" t="str">
            <v>1</v>
          </cell>
        </row>
      </sheetData>
      <sheetData sheetId="709">
        <row r="1">
          <cell r="B1" t="str">
            <v>1</v>
          </cell>
        </row>
      </sheetData>
      <sheetData sheetId="710">
        <row r="1">
          <cell r="B1" t="str">
            <v>1</v>
          </cell>
        </row>
      </sheetData>
      <sheetData sheetId="711">
        <row r="1">
          <cell r="B1" t="str">
            <v>1</v>
          </cell>
        </row>
      </sheetData>
      <sheetData sheetId="712">
        <row r="1">
          <cell r="B1" t="str">
            <v>1</v>
          </cell>
        </row>
      </sheetData>
      <sheetData sheetId="713">
        <row r="1">
          <cell r="B1" t="str">
            <v>1</v>
          </cell>
        </row>
      </sheetData>
      <sheetData sheetId="714">
        <row r="1">
          <cell r="B1" t="str">
            <v>1</v>
          </cell>
        </row>
      </sheetData>
      <sheetData sheetId="715">
        <row r="1">
          <cell r="B1" t="str">
            <v>1</v>
          </cell>
        </row>
      </sheetData>
      <sheetData sheetId="716">
        <row r="1">
          <cell r="B1" t="str">
            <v>1</v>
          </cell>
        </row>
      </sheetData>
      <sheetData sheetId="717">
        <row r="1">
          <cell r="B1" t="str">
            <v>1</v>
          </cell>
        </row>
      </sheetData>
      <sheetData sheetId="718">
        <row r="1">
          <cell r="B1" t="str">
            <v>1</v>
          </cell>
        </row>
      </sheetData>
      <sheetData sheetId="719">
        <row r="1">
          <cell r="B1" t="str">
            <v>1</v>
          </cell>
        </row>
      </sheetData>
      <sheetData sheetId="720">
        <row r="1">
          <cell r="B1" t="str">
            <v>1</v>
          </cell>
        </row>
      </sheetData>
      <sheetData sheetId="721">
        <row r="1">
          <cell r="B1" t="str">
            <v>1</v>
          </cell>
        </row>
      </sheetData>
      <sheetData sheetId="722">
        <row r="1">
          <cell r="B1" t="str">
            <v>1</v>
          </cell>
        </row>
      </sheetData>
      <sheetData sheetId="723">
        <row r="1">
          <cell r="B1" t="str">
            <v>1</v>
          </cell>
        </row>
      </sheetData>
      <sheetData sheetId="724">
        <row r="1">
          <cell r="B1" t="str">
            <v>1</v>
          </cell>
        </row>
      </sheetData>
      <sheetData sheetId="725">
        <row r="1">
          <cell r="B1" t="str">
            <v>1</v>
          </cell>
        </row>
      </sheetData>
      <sheetData sheetId="726">
        <row r="1">
          <cell r="B1" t="str">
            <v>1</v>
          </cell>
        </row>
      </sheetData>
      <sheetData sheetId="727">
        <row r="1">
          <cell r="B1" t="str">
            <v>1</v>
          </cell>
        </row>
      </sheetData>
      <sheetData sheetId="728">
        <row r="1">
          <cell r="B1" t="str">
            <v>1</v>
          </cell>
        </row>
      </sheetData>
      <sheetData sheetId="729">
        <row r="1">
          <cell r="B1" t="str">
            <v>1</v>
          </cell>
        </row>
      </sheetData>
      <sheetData sheetId="730">
        <row r="1">
          <cell r="B1" t="str">
            <v>1</v>
          </cell>
        </row>
      </sheetData>
      <sheetData sheetId="731">
        <row r="1">
          <cell r="B1" t="str">
            <v>1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B1" t="str">
            <v>1</v>
          </cell>
        </row>
      </sheetData>
      <sheetData sheetId="747">
        <row r="1">
          <cell r="B1" t="str">
            <v>1</v>
          </cell>
        </row>
      </sheetData>
      <sheetData sheetId="748">
        <row r="1">
          <cell r="B1" t="str">
            <v>1</v>
          </cell>
        </row>
      </sheetData>
      <sheetData sheetId="749">
        <row r="1">
          <cell r="B1" t="str">
            <v>1</v>
          </cell>
        </row>
      </sheetData>
      <sheetData sheetId="750">
        <row r="1">
          <cell r="B1" t="str">
            <v>1</v>
          </cell>
        </row>
      </sheetData>
      <sheetData sheetId="751">
        <row r="1">
          <cell r="B1" t="str">
            <v>1</v>
          </cell>
        </row>
      </sheetData>
      <sheetData sheetId="752">
        <row r="1">
          <cell r="B1" t="str">
            <v>1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B1" t="str">
            <v>1</v>
          </cell>
        </row>
      </sheetData>
      <sheetData sheetId="769">
        <row r="1">
          <cell r="B1" t="str">
            <v>1</v>
          </cell>
        </row>
      </sheetData>
      <sheetData sheetId="770">
        <row r="1">
          <cell r="B1" t="str">
            <v>1</v>
          </cell>
        </row>
      </sheetData>
      <sheetData sheetId="771">
        <row r="1">
          <cell r="B1" t="str">
            <v>1</v>
          </cell>
        </row>
      </sheetData>
      <sheetData sheetId="772">
        <row r="1">
          <cell r="B1" t="str">
            <v>1</v>
          </cell>
        </row>
      </sheetData>
      <sheetData sheetId="773">
        <row r="1">
          <cell r="B1" t="str">
            <v>1</v>
          </cell>
        </row>
      </sheetData>
      <sheetData sheetId="774">
        <row r="1">
          <cell r="B1" t="str">
            <v>1</v>
          </cell>
        </row>
      </sheetData>
      <sheetData sheetId="775">
        <row r="1">
          <cell r="B1" t="str">
            <v>1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B1" t="str">
            <v>1</v>
          </cell>
        </row>
      </sheetData>
      <sheetData sheetId="786">
        <row r="1">
          <cell r="B1" t="str">
            <v>1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B1" t="str">
            <v>1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3">
          <cell r="B3" t="str">
            <v>TOYOTA   TSUSHO  PHILIPPINES CORPORATION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B1" t="str">
            <v>1</v>
          </cell>
        </row>
      </sheetData>
      <sheetData sheetId="848">
        <row r="1">
          <cell r="B1" t="str">
            <v>1</v>
          </cell>
        </row>
      </sheetData>
      <sheetData sheetId="849">
        <row r="1">
          <cell r="B1" t="str">
            <v>1</v>
          </cell>
        </row>
      </sheetData>
      <sheetData sheetId="850">
        <row r="1">
          <cell r="B1" t="str">
            <v>1</v>
          </cell>
        </row>
      </sheetData>
      <sheetData sheetId="851">
        <row r="1">
          <cell r="B1" t="str">
            <v>1</v>
          </cell>
        </row>
      </sheetData>
      <sheetData sheetId="852">
        <row r="1">
          <cell r="B1" t="str">
            <v>1</v>
          </cell>
        </row>
      </sheetData>
      <sheetData sheetId="853">
        <row r="1">
          <cell r="B1" t="str">
            <v>1</v>
          </cell>
        </row>
      </sheetData>
      <sheetData sheetId="854">
        <row r="1">
          <cell r="B1" t="str">
            <v>1</v>
          </cell>
        </row>
      </sheetData>
      <sheetData sheetId="855">
        <row r="1">
          <cell r="B1" t="str">
            <v>1</v>
          </cell>
        </row>
      </sheetData>
      <sheetData sheetId="856">
        <row r="1">
          <cell r="B1" t="str">
            <v>1</v>
          </cell>
        </row>
      </sheetData>
      <sheetData sheetId="857">
        <row r="1">
          <cell r="B1" t="str">
            <v>1</v>
          </cell>
        </row>
      </sheetData>
      <sheetData sheetId="858">
        <row r="1">
          <cell r="B1" t="str">
            <v>1</v>
          </cell>
        </row>
      </sheetData>
      <sheetData sheetId="859">
        <row r="1">
          <cell r="B1" t="str">
            <v>1</v>
          </cell>
        </row>
      </sheetData>
      <sheetData sheetId="860">
        <row r="1">
          <cell r="B1" t="str">
            <v>1</v>
          </cell>
        </row>
      </sheetData>
      <sheetData sheetId="861">
        <row r="1">
          <cell r="B1" t="str">
            <v>1</v>
          </cell>
        </row>
      </sheetData>
      <sheetData sheetId="862">
        <row r="1">
          <cell r="B1" t="str">
            <v>1</v>
          </cell>
        </row>
      </sheetData>
      <sheetData sheetId="863">
        <row r="1">
          <cell r="B1" t="str">
            <v>1</v>
          </cell>
        </row>
      </sheetData>
      <sheetData sheetId="864">
        <row r="1">
          <cell r="B1" t="str">
            <v>1</v>
          </cell>
        </row>
      </sheetData>
      <sheetData sheetId="865">
        <row r="1">
          <cell r="B1" t="str">
            <v>1</v>
          </cell>
        </row>
      </sheetData>
      <sheetData sheetId="866">
        <row r="1">
          <cell r="B1" t="str">
            <v>1</v>
          </cell>
        </row>
      </sheetData>
      <sheetData sheetId="867">
        <row r="1">
          <cell r="B1" t="str">
            <v>1</v>
          </cell>
        </row>
      </sheetData>
      <sheetData sheetId="868">
        <row r="1">
          <cell r="B1" t="str">
            <v>1</v>
          </cell>
        </row>
      </sheetData>
      <sheetData sheetId="869">
        <row r="1">
          <cell r="B1" t="str">
            <v>1</v>
          </cell>
        </row>
      </sheetData>
      <sheetData sheetId="870">
        <row r="1">
          <cell r="B1" t="str">
            <v>1</v>
          </cell>
        </row>
      </sheetData>
      <sheetData sheetId="871">
        <row r="1">
          <cell r="B1" t="str">
            <v>1</v>
          </cell>
        </row>
      </sheetData>
      <sheetData sheetId="872">
        <row r="1">
          <cell r="B1" t="str">
            <v>1</v>
          </cell>
        </row>
      </sheetData>
      <sheetData sheetId="873">
        <row r="1">
          <cell r="B1" t="str">
            <v>1</v>
          </cell>
        </row>
      </sheetData>
      <sheetData sheetId="874">
        <row r="1">
          <cell r="B1" t="str">
            <v>1</v>
          </cell>
        </row>
      </sheetData>
      <sheetData sheetId="875">
        <row r="1">
          <cell r="B1" t="str">
            <v>1</v>
          </cell>
        </row>
      </sheetData>
      <sheetData sheetId="876">
        <row r="1">
          <cell r="B1" t="str">
            <v>1</v>
          </cell>
        </row>
      </sheetData>
      <sheetData sheetId="877">
        <row r="1">
          <cell r="B1" t="str">
            <v>1</v>
          </cell>
        </row>
      </sheetData>
      <sheetData sheetId="878">
        <row r="1">
          <cell r="B1" t="str">
            <v>1</v>
          </cell>
        </row>
      </sheetData>
      <sheetData sheetId="879">
        <row r="1">
          <cell r="B1" t="str">
            <v>1</v>
          </cell>
        </row>
      </sheetData>
      <sheetData sheetId="880">
        <row r="1">
          <cell r="B1" t="str">
            <v>1</v>
          </cell>
        </row>
      </sheetData>
      <sheetData sheetId="881">
        <row r="1">
          <cell r="B1" t="str">
            <v>1</v>
          </cell>
        </row>
      </sheetData>
      <sheetData sheetId="882">
        <row r="1">
          <cell r="B1" t="str">
            <v>1</v>
          </cell>
        </row>
      </sheetData>
      <sheetData sheetId="883">
        <row r="1">
          <cell r="B1" t="str">
            <v>1</v>
          </cell>
        </row>
      </sheetData>
      <sheetData sheetId="884">
        <row r="1">
          <cell r="B1" t="str">
            <v>1</v>
          </cell>
        </row>
      </sheetData>
      <sheetData sheetId="885">
        <row r="1">
          <cell r="B1" t="str">
            <v>1</v>
          </cell>
        </row>
      </sheetData>
      <sheetData sheetId="886">
        <row r="1">
          <cell r="B1" t="str">
            <v>1</v>
          </cell>
        </row>
      </sheetData>
      <sheetData sheetId="887">
        <row r="1">
          <cell r="B1" t="str">
            <v>1</v>
          </cell>
        </row>
      </sheetData>
      <sheetData sheetId="888">
        <row r="1">
          <cell r="B1" t="str">
            <v>1</v>
          </cell>
        </row>
      </sheetData>
      <sheetData sheetId="889">
        <row r="1">
          <cell r="B1" t="str">
            <v>1</v>
          </cell>
        </row>
      </sheetData>
      <sheetData sheetId="890">
        <row r="1">
          <cell r="B1" t="str">
            <v>1</v>
          </cell>
        </row>
      </sheetData>
      <sheetData sheetId="891">
        <row r="1">
          <cell r="B1" t="str">
            <v>1</v>
          </cell>
        </row>
      </sheetData>
      <sheetData sheetId="892">
        <row r="1">
          <cell r="B1" t="str">
            <v>1</v>
          </cell>
        </row>
      </sheetData>
      <sheetData sheetId="893">
        <row r="1">
          <cell r="B1" t="str">
            <v>1</v>
          </cell>
        </row>
      </sheetData>
      <sheetData sheetId="894">
        <row r="1">
          <cell r="B1" t="str">
            <v>1</v>
          </cell>
        </row>
      </sheetData>
      <sheetData sheetId="895">
        <row r="1">
          <cell r="B1" t="str">
            <v>1</v>
          </cell>
        </row>
      </sheetData>
      <sheetData sheetId="896">
        <row r="1">
          <cell r="B1" t="str">
            <v>1</v>
          </cell>
        </row>
      </sheetData>
      <sheetData sheetId="897">
        <row r="1">
          <cell r="B1" t="str">
            <v>1</v>
          </cell>
        </row>
      </sheetData>
      <sheetData sheetId="898">
        <row r="1">
          <cell r="B1" t="str">
            <v>1</v>
          </cell>
        </row>
      </sheetData>
      <sheetData sheetId="899">
        <row r="1">
          <cell r="B1" t="str">
            <v>1</v>
          </cell>
        </row>
      </sheetData>
      <sheetData sheetId="900">
        <row r="1">
          <cell r="B1" t="str">
            <v>1</v>
          </cell>
        </row>
      </sheetData>
      <sheetData sheetId="901">
        <row r="1">
          <cell r="B1" t="str">
            <v>1</v>
          </cell>
        </row>
      </sheetData>
      <sheetData sheetId="902">
        <row r="1">
          <cell r="B1" t="str">
            <v>1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B1" t="str">
            <v>1</v>
          </cell>
        </row>
      </sheetData>
      <sheetData sheetId="905">
        <row r="1">
          <cell r="B1" t="str">
            <v>1</v>
          </cell>
        </row>
      </sheetData>
      <sheetData sheetId="906">
        <row r="1">
          <cell r="B1" t="str">
            <v>1</v>
          </cell>
        </row>
      </sheetData>
      <sheetData sheetId="907">
        <row r="1">
          <cell r="B1" t="str">
            <v>1</v>
          </cell>
        </row>
      </sheetData>
      <sheetData sheetId="908">
        <row r="1">
          <cell r="B1" t="str">
            <v>1</v>
          </cell>
        </row>
      </sheetData>
      <sheetData sheetId="909">
        <row r="1">
          <cell r="B1" t="str">
            <v>1</v>
          </cell>
        </row>
      </sheetData>
      <sheetData sheetId="910">
        <row r="1">
          <cell r="B1" t="str">
            <v>1</v>
          </cell>
        </row>
      </sheetData>
      <sheetData sheetId="911">
        <row r="1">
          <cell r="B1" t="str">
            <v>1</v>
          </cell>
        </row>
      </sheetData>
      <sheetData sheetId="912">
        <row r="1">
          <cell r="B1" t="str">
            <v>1</v>
          </cell>
        </row>
      </sheetData>
      <sheetData sheetId="913">
        <row r="1">
          <cell r="B1" t="str">
            <v>1</v>
          </cell>
        </row>
      </sheetData>
      <sheetData sheetId="914">
        <row r="1">
          <cell r="B1" t="str">
            <v>1</v>
          </cell>
        </row>
      </sheetData>
      <sheetData sheetId="915">
        <row r="1">
          <cell r="B1" t="str">
            <v>1</v>
          </cell>
        </row>
      </sheetData>
      <sheetData sheetId="916">
        <row r="1">
          <cell r="B1" t="str">
            <v>1</v>
          </cell>
        </row>
      </sheetData>
      <sheetData sheetId="917">
        <row r="1">
          <cell r="B1" t="str">
            <v>1</v>
          </cell>
        </row>
      </sheetData>
      <sheetData sheetId="918">
        <row r="1">
          <cell r="B1" t="str">
            <v>1</v>
          </cell>
        </row>
      </sheetData>
      <sheetData sheetId="919">
        <row r="1">
          <cell r="B1" t="str">
            <v>1</v>
          </cell>
        </row>
      </sheetData>
      <sheetData sheetId="920">
        <row r="1">
          <cell r="B1" t="str">
            <v>1</v>
          </cell>
        </row>
      </sheetData>
      <sheetData sheetId="921">
        <row r="1">
          <cell r="B1" t="str">
            <v>1</v>
          </cell>
        </row>
      </sheetData>
      <sheetData sheetId="922">
        <row r="1">
          <cell r="B1" t="str">
            <v>1</v>
          </cell>
        </row>
      </sheetData>
      <sheetData sheetId="923">
        <row r="1">
          <cell r="B1" t="str">
            <v>1</v>
          </cell>
        </row>
      </sheetData>
      <sheetData sheetId="924">
        <row r="1">
          <cell r="B1" t="str">
            <v>1</v>
          </cell>
        </row>
      </sheetData>
      <sheetData sheetId="925">
        <row r="1">
          <cell r="B1" t="str">
            <v>1</v>
          </cell>
        </row>
      </sheetData>
      <sheetData sheetId="926">
        <row r="1">
          <cell r="B1" t="str">
            <v>1</v>
          </cell>
        </row>
      </sheetData>
      <sheetData sheetId="927">
        <row r="1">
          <cell r="B1" t="str">
            <v>1</v>
          </cell>
        </row>
      </sheetData>
      <sheetData sheetId="928">
        <row r="1">
          <cell r="B1" t="str">
            <v>1</v>
          </cell>
        </row>
      </sheetData>
      <sheetData sheetId="929">
        <row r="1">
          <cell r="B1" t="str">
            <v>1</v>
          </cell>
        </row>
      </sheetData>
      <sheetData sheetId="930">
        <row r="1">
          <cell r="B1" t="str">
            <v>1</v>
          </cell>
        </row>
      </sheetData>
      <sheetData sheetId="931">
        <row r="1">
          <cell r="B1" t="str">
            <v>1</v>
          </cell>
        </row>
      </sheetData>
      <sheetData sheetId="932">
        <row r="1">
          <cell r="B1" t="str">
            <v>1</v>
          </cell>
        </row>
      </sheetData>
      <sheetData sheetId="933">
        <row r="1">
          <cell r="B1" t="str">
            <v>1</v>
          </cell>
        </row>
      </sheetData>
      <sheetData sheetId="934">
        <row r="1">
          <cell r="B1" t="str">
            <v>1</v>
          </cell>
        </row>
      </sheetData>
      <sheetData sheetId="935">
        <row r="1">
          <cell r="B1" t="str">
            <v>1</v>
          </cell>
        </row>
      </sheetData>
      <sheetData sheetId="936">
        <row r="1">
          <cell r="B1" t="str">
            <v>1</v>
          </cell>
        </row>
      </sheetData>
      <sheetData sheetId="937">
        <row r="1">
          <cell r="B1" t="str">
            <v>1</v>
          </cell>
        </row>
      </sheetData>
      <sheetData sheetId="938">
        <row r="1">
          <cell r="B1" t="str">
            <v>1</v>
          </cell>
        </row>
      </sheetData>
      <sheetData sheetId="939">
        <row r="1">
          <cell r="B1" t="str">
            <v>1</v>
          </cell>
        </row>
      </sheetData>
      <sheetData sheetId="940">
        <row r="1">
          <cell r="B1" t="str">
            <v>1</v>
          </cell>
        </row>
      </sheetData>
      <sheetData sheetId="941">
        <row r="1">
          <cell r="B1" t="str">
            <v>1</v>
          </cell>
        </row>
      </sheetData>
      <sheetData sheetId="942">
        <row r="1">
          <cell r="B1" t="str">
            <v>1</v>
          </cell>
        </row>
      </sheetData>
      <sheetData sheetId="943">
        <row r="1">
          <cell r="B1" t="str">
            <v>1</v>
          </cell>
        </row>
      </sheetData>
      <sheetData sheetId="944">
        <row r="1">
          <cell r="B1" t="str">
            <v>1</v>
          </cell>
        </row>
      </sheetData>
      <sheetData sheetId="945">
        <row r="1">
          <cell r="B1" t="str">
            <v>1</v>
          </cell>
        </row>
      </sheetData>
      <sheetData sheetId="946">
        <row r="1">
          <cell r="B1" t="str">
            <v>1</v>
          </cell>
        </row>
      </sheetData>
      <sheetData sheetId="947">
        <row r="1">
          <cell r="B1" t="str">
            <v>1</v>
          </cell>
        </row>
      </sheetData>
      <sheetData sheetId="948">
        <row r="1">
          <cell r="B1" t="str">
            <v>1</v>
          </cell>
        </row>
      </sheetData>
      <sheetData sheetId="949">
        <row r="1">
          <cell r="B1" t="str">
            <v>1</v>
          </cell>
        </row>
      </sheetData>
      <sheetData sheetId="950">
        <row r="1">
          <cell r="B1" t="str">
            <v>1</v>
          </cell>
        </row>
      </sheetData>
      <sheetData sheetId="951">
        <row r="1">
          <cell r="B1" t="str">
            <v>1</v>
          </cell>
        </row>
      </sheetData>
      <sheetData sheetId="952">
        <row r="1">
          <cell r="B1" t="str">
            <v>1</v>
          </cell>
        </row>
      </sheetData>
      <sheetData sheetId="953">
        <row r="1">
          <cell r="B1" t="str">
            <v>1</v>
          </cell>
        </row>
      </sheetData>
      <sheetData sheetId="954">
        <row r="1">
          <cell r="B1" t="str">
            <v>1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B1" t="str">
            <v>1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B1" t="str">
            <v>1</v>
          </cell>
        </row>
      </sheetData>
      <sheetData sheetId="960">
        <row r="1">
          <cell r="B1" t="str">
            <v>1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/>
      <sheetData sheetId="1293"/>
      <sheetData sheetId="1294"/>
      <sheetData sheetId="1295" refreshError="1"/>
      <sheetData sheetId="1296" refreshError="1"/>
      <sheetData sheetId="1297">
        <row r="1">
          <cell r="B1" t="str">
            <v>1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B1" t="str">
            <v>1</v>
          </cell>
        </row>
      </sheetData>
      <sheetData sheetId="1304">
        <row r="1">
          <cell r="B1" t="str">
            <v>1</v>
          </cell>
        </row>
      </sheetData>
      <sheetData sheetId="1305">
        <row r="1">
          <cell r="B1" t="str">
            <v>1</v>
          </cell>
        </row>
      </sheetData>
      <sheetData sheetId="1306">
        <row r="1">
          <cell r="B1" t="str">
            <v>1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/>
      <sheetData sheetId="1395"/>
      <sheetData sheetId="1396"/>
      <sheetData sheetId="1397" refreshError="1"/>
      <sheetData sheetId="1398"/>
      <sheetData sheetId="1399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/>
      <sheetData sheetId="1428" refreshError="1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 refreshError="1"/>
      <sheetData sheetId="1441" refreshError="1"/>
      <sheetData sheetId="1442" refreshError="1"/>
      <sheetData sheetId="1443" refreshError="1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 refreshError="1"/>
      <sheetData sheetId="1456">
        <row r="3">
          <cell r="C3" t="str">
            <v>2022年</v>
          </cell>
        </row>
      </sheetData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/>
      <sheetData sheetId="1541">
        <row r="1">
          <cell r="B1" t="str">
            <v>1</v>
          </cell>
        </row>
      </sheetData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/>
      <sheetData sheetId="1545">
        <row r="1">
          <cell r="B1" t="str">
            <v>1</v>
          </cell>
        </row>
      </sheetData>
      <sheetData sheetId="1546"/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>
        <row r="1">
          <cell r="A1"/>
        </row>
      </sheetData>
      <sheetData sheetId="2960"/>
      <sheetData sheetId="2961"/>
      <sheetData sheetId="2962"/>
      <sheetData sheetId="2963">
        <row r="1">
          <cell r="B1" t="str">
            <v>文章管理番号</v>
          </cell>
        </row>
      </sheetData>
      <sheetData sheetId="2964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>
        <row r="3">
          <cell r="B3" t="str">
            <v>TOYOTA   TSUSHO  PHILIPPINES CORPORATION</v>
          </cell>
        </row>
      </sheetData>
      <sheetData sheetId="3078">
        <row r="3">
          <cell r="B3" t="str">
            <v>TOYOTA   TSUSHO  PHILIPPINES CORPORATION</v>
          </cell>
        </row>
      </sheetData>
      <sheetData sheetId="3079">
        <row r="3">
          <cell r="B3" t="str">
            <v>TOYOTA   TSUSHO  PHILIPPINES CORPORATION</v>
          </cell>
        </row>
      </sheetData>
      <sheetData sheetId="3080">
        <row r="3">
          <cell r="B3" t="str">
            <v>TOYOTA   TSUSHO  PHILIPPINES CORPORATION</v>
          </cell>
        </row>
      </sheetData>
      <sheetData sheetId="3081">
        <row r="3">
          <cell r="B3" t="str">
            <v>TOYOTA   TSUSHO  PHILIPPINES CORPORATION</v>
          </cell>
        </row>
      </sheetData>
      <sheetData sheetId="3082">
        <row r="3">
          <cell r="B3" t="str">
            <v>TOYOTA   TSUSHO  PHILIPPINES CORPORATION</v>
          </cell>
        </row>
      </sheetData>
      <sheetData sheetId="3083">
        <row r="3">
          <cell r="B3" t="str">
            <v>TOYOTA   TSUSHO  PHILIPPINES CORPORATION</v>
          </cell>
        </row>
      </sheetData>
      <sheetData sheetId="3084">
        <row r="3">
          <cell r="B3" t="str">
            <v>TOYOTA   TSUSHO  PHILIPPINES CORPORATION</v>
          </cell>
        </row>
      </sheetData>
      <sheetData sheetId="3085">
        <row r="3">
          <cell r="B3" t="str">
            <v>TOYOTA   TSUSHO  PHILIPPINES CORPORATION</v>
          </cell>
        </row>
      </sheetData>
      <sheetData sheetId="3086">
        <row r="3">
          <cell r="B3" t="str">
            <v>TOYOTA   TSUSHO  PHILIPPINES CORPORATION</v>
          </cell>
        </row>
      </sheetData>
      <sheetData sheetId="3087">
        <row r="3">
          <cell r="B3" t="str">
            <v>TOYOTA   TSUSHO  PHILIPPINES CORPORATION</v>
          </cell>
        </row>
      </sheetData>
      <sheetData sheetId="3088">
        <row r="3">
          <cell r="B3" t="str">
            <v>TOYOTA   TSUSHO  PHILIPPINES CORPORATION</v>
          </cell>
        </row>
      </sheetData>
      <sheetData sheetId="3089">
        <row r="3">
          <cell r="B3" t="str">
            <v>TOYOTA   TSUSHO  PHILIPPINES CORPORATION</v>
          </cell>
        </row>
      </sheetData>
      <sheetData sheetId="3090">
        <row r="3">
          <cell r="B3" t="str">
            <v>TOYOTA   TSUSHO  PHILIPPINES CORPORATION</v>
          </cell>
        </row>
      </sheetData>
      <sheetData sheetId="3091">
        <row r="3">
          <cell r="B3" t="str">
            <v>TOYOTA   TSUSHO  PHILIPPINES CORPORATION</v>
          </cell>
        </row>
      </sheetData>
      <sheetData sheetId="3092">
        <row r="3">
          <cell r="B3" t="str">
            <v>TOYOTA   TSUSHO  PHILIPPINES CORPORATION</v>
          </cell>
        </row>
      </sheetData>
      <sheetData sheetId="3093">
        <row r="3">
          <cell r="B3" t="str">
            <v>TOYOTA   TSUSHO  PHILIPPINES CORPORATION</v>
          </cell>
        </row>
      </sheetData>
      <sheetData sheetId="3094">
        <row r="3">
          <cell r="B3" t="str">
            <v>TOYOTA   TSUSHO  PHILIPPINES CORPORATION</v>
          </cell>
        </row>
      </sheetData>
      <sheetData sheetId="3095">
        <row r="3">
          <cell r="B3" t="str">
            <v>TOYOTA   TSUSHO  PHILIPPINES CORPORATION</v>
          </cell>
        </row>
      </sheetData>
      <sheetData sheetId="3096">
        <row r="3">
          <cell r="B3" t="str">
            <v>TOYOTA   TSUSHO  PHILIPPINES CORPORATION</v>
          </cell>
        </row>
      </sheetData>
      <sheetData sheetId="3097">
        <row r="3">
          <cell r="B3" t="str">
            <v>TOYOTA   TSUSHO  PHILIPPINES CORPORATION</v>
          </cell>
        </row>
      </sheetData>
      <sheetData sheetId="3098">
        <row r="3">
          <cell r="B3" t="str">
            <v>TOYOTA   TSUSHO  PHILIPPINES CORPORATION</v>
          </cell>
        </row>
      </sheetData>
      <sheetData sheetId="3099">
        <row r="3">
          <cell r="B3" t="str">
            <v>TOYOTA   TSUSHO  PHILIPPINES CORPORATION</v>
          </cell>
        </row>
      </sheetData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車両仕様"/>
      <sheetName val="Sheet1"/>
      <sheetName val="階層一覧"/>
      <sheetName val="1.概述"/>
      <sheetName val="信息定义"/>
      <sheetName val="リスト"/>
      <sheetName val="Inf"/>
      <sheetName val="0.Definitions"/>
      <sheetName val="用語集"/>
      <sheetName val="パラメータ一覧(AXSS.AXCS)"/>
      <sheetName val="ガイド"/>
      <sheetName val="選択肢定義"/>
      <sheetName val="集計(1)"/>
      <sheetName val="②P071中計　工数パターン1312更新"/>
      <sheetName val="发行控制"/>
      <sheetName val="ドメイン一覧"/>
      <sheetName val="設計・評価方針"/>
      <sheetName val="602B変更要件"/>
      <sheetName val="locaup_app"/>
      <sheetName val="mapReg(4)"/>
      <sheetName val="前提書情報"/>
      <sheetName val="工数ｺｰﾄﾞﾌﾟﾙﾀﾞｳﾝﾘｽﾄ"/>
      <sheetName val="パラメータ設定表"/>
      <sheetName val="nearURL"/>
      <sheetName val="PullDown"/>
      <sheetName val="調査シート"/>
      <sheetName val="設定"/>
      <sheetName val="Data Definition"/>
      <sheetName val="main"/>
      <sheetName val="選定一覧"/>
      <sheetName val="Q&amp;A確認"/>
      <sheetName val="改訂履歴"/>
      <sheetName val="集計"/>
      <sheetName val="議事・勧告一覧"/>
      <sheetName val="分类数据"/>
      <sheetName val="会社情報"/>
      <sheetName val="集計ﾘｽﾄ"/>
      <sheetName val="ユーザー選択肢定義"/>
      <sheetName val="追加検討（調光外部出力）"/>
      <sheetName val="format"/>
      <sheetName val="引言"/>
      <sheetName val="#REF!"/>
      <sheetName val="Contents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②P071中計　工数パターン1312更新"/>
      <sheetName val="選定一覧"/>
      <sheetName val="format"/>
      <sheetName val="パラメータ設定表"/>
      <sheetName val="PullDown"/>
      <sheetName val="調査シート"/>
      <sheetName val="改訂履歴"/>
      <sheetName val="Sheet1"/>
      <sheetName val="Inf"/>
      <sheetName val="集計"/>
      <sheetName val="議事・勧告一覧"/>
      <sheetName val="1.概述"/>
      <sheetName val="車両仕様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#REF!"/>
      <sheetName val="Q&amp;A確認"/>
      <sheetName val="MDL製造仕様書"/>
      <sheetName val="字段定义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Sheet1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Inf"/>
      <sheetName val="Sheet1"/>
      <sheetName val="Q&amp;A確認"/>
      <sheetName val="集計"/>
      <sheetName val="パラメータ設定表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入力リスト"/>
      <sheetName val="XSSマイコン依存部 (基本設定)"/>
      <sheetName val="分类数据"/>
      <sheetName val="Func.Share"/>
      <sheetName val="入力_イベント_状態"/>
      <sheetName val="リスト"/>
      <sheetName val="Inf"/>
      <sheetName val="パラメータ設定表"/>
      <sheetName val="Sheet1"/>
      <sheetName val="議事・勧告一覧"/>
      <sheetName val="Q&amp;A確認"/>
      <sheetName val="集計"/>
      <sheetName val="車両仕様"/>
      <sheetName val="検査シート"/>
      <sheetName val="1.概述"/>
      <sheetName val="多言語翻訳リスト"/>
      <sheetName val="ドメイン一覧"/>
      <sheetName val="選択肢定義"/>
      <sheetName val="集計(1)"/>
      <sheetName val="ガイド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>
    <tabColor theme="5"/>
  </sheetPr>
  <dimension ref="C1:AM57"/>
  <sheetViews>
    <sheetView showGridLines="0" view="pageBreakPreview" topLeftCell="A24" zoomScaleNormal="100" zoomScaleSheetLayoutView="100" workbookViewId="0">
      <selection activeCell="AU49" sqref="AU49"/>
    </sheetView>
  </sheetViews>
  <sheetFormatPr defaultColWidth="8.125" defaultRowHeight="14.95" x14ac:dyDescent="0.15"/>
  <cols>
    <col min="1" max="52" width="2.125" style="68" customWidth="1"/>
    <col min="53" max="16384" width="8.125" style="68"/>
  </cols>
  <sheetData>
    <row r="1" spans="6:20" ht="13.1" customHeight="1" x14ac:dyDescent="0.15"/>
    <row r="2" spans="6:20" ht="13.1" customHeight="1" x14ac:dyDescent="0.15"/>
    <row r="3" spans="6:20" ht="13.1" customHeight="1" x14ac:dyDescent="0.15"/>
    <row r="4" spans="6:20" ht="13.1" customHeight="1" x14ac:dyDescent="0.15"/>
    <row r="5" spans="6:20" ht="13.1" customHeight="1" x14ac:dyDescent="0.15"/>
    <row r="6" spans="6:20" ht="13.1" customHeight="1" x14ac:dyDescent="0.15"/>
    <row r="7" spans="6:20" ht="13.1" customHeight="1" x14ac:dyDescent="0.15"/>
    <row r="8" spans="6:20" ht="13.1" customHeight="1" x14ac:dyDescent="0.15"/>
    <row r="9" spans="6:20" ht="13.1" customHeight="1" x14ac:dyDescent="0.15"/>
    <row r="10" spans="6:20" ht="13.1" customHeight="1" x14ac:dyDescent="0.15">
      <c r="F10" s="69"/>
    </row>
    <row r="11" spans="6:20" ht="13.1" customHeight="1" x14ac:dyDescent="0.15"/>
    <row r="12" spans="6:20" ht="13.1" customHeight="1" x14ac:dyDescent="0.15"/>
    <row r="13" spans="6:20" ht="13.1" customHeight="1" x14ac:dyDescent="0.15">
      <c r="T13" s="70" t="str">
        <f ca="1">MID(CELL("filename",A1),FIND("[",CELL("filename",A1))+1,FIND("]",CELL("filename",A1))-FIND("[",CELL("filename",A1))-1)</f>
        <v>BEV_CDC_RIM_Parameter_Setting.xlsm</v>
      </c>
    </row>
    <row r="14" spans="6:20" ht="13.1" customHeight="1" x14ac:dyDescent="0.15"/>
    <row r="15" spans="6:20" ht="13.1" customHeight="1" x14ac:dyDescent="0.15"/>
    <row r="16" spans="6:20" ht="13.1" customHeight="1" x14ac:dyDescent="0.15"/>
    <row r="17" spans="3:22" ht="13.1" customHeight="1" x14ac:dyDescent="0.15"/>
    <row r="18" spans="3:22" ht="13.1" customHeight="1" x14ac:dyDescent="0.15"/>
    <row r="19" spans="3:22" ht="13.1" customHeight="1" x14ac:dyDescent="0.15"/>
    <row r="20" spans="3:22" ht="13.1" customHeight="1" x14ac:dyDescent="0.15"/>
    <row r="21" spans="3:22" ht="13.1" customHeight="1" x14ac:dyDescent="0.15"/>
    <row r="22" spans="3:22" ht="13.1" customHeight="1" x14ac:dyDescent="0.15"/>
    <row r="23" spans="3:22" ht="13.1" customHeight="1" x14ac:dyDescent="0.15"/>
    <row r="24" spans="3:22" ht="13.1" customHeight="1" x14ac:dyDescent="0.15"/>
    <row r="25" spans="3:22" ht="13.1" customHeight="1" x14ac:dyDescent="0.15"/>
    <row r="26" spans="3:22" ht="13.1" customHeight="1" x14ac:dyDescent="0.15"/>
    <row r="27" spans="3:22" ht="13.1" customHeight="1" x14ac:dyDescent="0.15"/>
    <row r="28" spans="3:22" ht="13.1" customHeight="1" x14ac:dyDescent="0.15"/>
    <row r="29" spans="3:22" ht="13.1" customHeight="1" x14ac:dyDescent="0.15"/>
    <row r="30" spans="3:22" ht="13.1" customHeight="1" x14ac:dyDescent="0.15"/>
    <row r="31" spans="3:22" ht="13.1" customHeight="1" x14ac:dyDescent="0.15"/>
    <row r="32" spans="3:22" ht="13.1" customHeight="1" x14ac:dyDescent="0.15">
      <c r="C32" s="71"/>
      <c r="V32" s="71"/>
    </row>
    <row r="33" spans="3:39" ht="13.1" customHeight="1" x14ac:dyDescent="0.15">
      <c r="M33" s="72"/>
      <c r="N33" s="72"/>
      <c r="O33" s="72"/>
      <c r="P33" s="72"/>
      <c r="Q33" s="72"/>
      <c r="AF33" s="72"/>
      <c r="AG33" s="72"/>
      <c r="AH33" s="72"/>
      <c r="AI33" s="72"/>
      <c r="AJ33" s="72"/>
    </row>
    <row r="34" spans="3:39" ht="13.1" customHeight="1" x14ac:dyDescent="0.15">
      <c r="Y34" s="71" t="s">
        <v>516</v>
      </c>
    </row>
    <row r="35" spans="3:39" ht="13.1" customHeight="1" x14ac:dyDescent="0.15">
      <c r="Y35" s="89" t="s">
        <v>502</v>
      </c>
      <c r="Z35" s="90"/>
      <c r="AA35" s="90"/>
      <c r="AB35" s="90"/>
      <c r="AC35" s="91"/>
      <c r="AD35" s="89" t="s">
        <v>503</v>
      </c>
      <c r="AE35" s="90"/>
      <c r="AF35" s="90"/>
      <c r="AG35" s="90"/>
      <c r="AH35" s="91"/>
      <c r="AI35" s="89" t="s">
        <v>504</v>
      </c>
      <c r="AJ35" s="90"/>
      <c r="AK35" s="90"/>
      <c r="AL35" s="90"/>
      <c r="AM35" s="91"/>
    </row>
    <row r="36" spans="3:39" ht="13.1" customHeight="1" x14ac:dyDescent="0.15">
      <c r="D36" s="72"/>
      <c r="E36" s="73"/>
      <c r="F36" s="72"/>
      <c r="G36" s="72"/>
      <c r="I36" s="72"/>
      <c r="J36" s="73"/>
      <c r="K36" s="72"/>
      <c r="L36" s="72"/>
      <c r="M36" s="72"/>
      <c r="N36" s="72"/>
      <c r="O36" s="73"/>
      <c r="P36" s="72"/>
      <c r="Q36" s="72"/>
      <c r="W36" s="72"/>
      <c r="X36" s="73"/>
      <c r="Y36" s="74"/>
      <c r="Z36" s="75"/>
      <c r="AA36" s="75"/>
      <c r="AB36" s="75"/>
      <c r="AC36" s="76"/>
      <c r="AD36" s="74"/>
      <c r="AE36" s="75"/>
      <c r="AF36" s="75"/>
      <c r="AG36" s="75"/>
      <c r="AH36" s="76"/>
      <c r="AI36" s="74"/>
      <c r="AJ36" s="75"/>
      <c r="AK36" s="75"/>
      <c r="AL36" s="75"/>
      <c r="AM36" s="76"/>
    </row>
    <row r="37" spans="3:39" ht="13.1" customHeight="1" x14ac:dyDescent="0.15">
      <c r="Y37" s="77"/>
      <c r="AC37" s="78"/>
      <c r="AD37" s="77"/>
      <c r="AH37" s="78"/>
      <c r="AI37" s="77"/>
      <c r="AM37" s="78"/>
    </row>
    <row r="38" spans="3:39" ht="13.1" customHeight="1" x14ac:dyDescent="0.15">
      <c r="Y38" s="77"/>
      <c r="Z38" s="72"/>
      <c r="AA38" s="73" t="s">
        <v>505</v>
      </c>
      <c r="AB38" s="72"/>
      <c r="AC38" s="79"/>
      <c r="AD38" s="77"/>
      <c r="AE38" s="72"/>
      <c r="AF38" s="73" t="s">
        <v>506</v>
      </c>
      <c r="AG38" s="72"/>
      <c r="AH38" s="79"/>
      <c r="AI38" s="80"/>
      <c r="AJ38" s="72"/>
      <c r="AK38" s="73" t="s">
        <v>507</v>
      </c>
      <c r="AL38" s="72"/>
      <c r="AM38" s="79"/>
    </row>
    <row r="39" spans="3:39" ht="13.1" customHeight="1" x14ac:dyDescent="0.15">
      <c r="Y39" s="77"/>
      <c r="AC39" s="78"/>
      <c r="AD39" s="77"/>
      <c r="AH39" s="78"/>
      <c r="AI39" s="77"/>
      <c r="AM39" s="78"/>
    </row>
    <row r="40" spans="3:39" ht="13.1" customHeight="1" x14ac:dyDescent="0.15">
      <c r="C40" s="71"/>
      <c r="V40" s="71"/>
      <c r="Y40" s="81"/>
      <c r="Z40" s="82"/>
      <c r="AA40" s="82"/>
      <c r="AB40" s="82"/>
      <c r="AC40" s="83"/>
      <c r="AD40" s="81"/>
      <c r="AE40" s="82"/>
      <c r="AF40" s="82"/>
      <c r="AG40" s="82"/>
      <c r="AH40" s="83"/>
      <c r="AI40" s="81"/>
      <c r="AJ40" s="82"/>
      <c r="AK40" s="82"/>
      <c r="AL40" s="82"/>
      <c r="AM40" s="83"/>
    </row>
    <row r="41" spans="3:39" ht="13.1" customHeight="1" x14ac:dyDescent="0.15"/>
    <row r="42" spans="3:39" ht="13.1" customHeight="1" x14ac:dyDescent="0.15">
      <c r="Y42" s="71" t="s">
        <v>508</v>
      </c>
    </row>
    <row r="43" spans="3:39" ht="13.1" customHeight="1" x14ac:dyDescent="0.15">
      <c r="Y43" s="89" t="s">
        <v>502</v>
      </c>
      <c r="Z43" s="90"/>
      <c r="AA43" s="90"/>
      <c r="AB43" s="90"/>
      <c r="AC43" s="91"/>
      <c r="AD43" s="89" t="s">
        <v>503</v>
      </c>
      <c r="AE43" s="90"/>
      <c r="AF43" s="90"/>
      <c r="AG43" s="90"/>
      <c r="AH43" s="91"/>
      <c r="AI43" s="89" t="s">
        <v>504</v>
      </c>
      <c r="AJ43" s="90"/>
      <c r="AK43" s="90"/>
      <c r="AL43" s="90"/>
      <c r="AM43" s="91"/>
    </row>
    <row r="44" spans="3:39" ht="13.1" customHeight="1" x14ac:dyDescent="0.15">
      <c r="D44" s="72"/>
      <c r="E44" s="73"/>
      <c r="F44" s="72"/>
      <c r="G44" s="72"/>
      <c r="H44" s="72"/>
      <c r="I44" s="72"/>
      <c r="J44" s="73"/>
      <c r="K44" s="72"/>
      <c r="L44" s="72"/>
      <c r="M44" s="72"/>
      <c r="N44" s="72"/>
      <c r="O44" s="73"/>
      <c r="P44" s="72"/>
      <c r="Q44" s="72"/>
      <c r="W44" s="72"/>
      <c r="X44" s="73"/>
      <c r="Y44" s="74"/>
      <c r="Z44" s="75"/>
      <c r="AA44" s="75"/>
      <c r="AB44" s="75"/>
      <c r="AC44" s="76"/>
      <c r="AD44" s="75"/>
      <c r="AE44" s="75"/>
      <c r="AF44" s="75"/>
      <c r="AG44" s="75"/>
      <c r="AH44" s="76"/>
      <c r="AI44" s="74"/>
      <c r="AJ44" s="75"/>
      <c r="AK44" s="75"/>
      <c r="AL44" s="75"/>
      <c r="AM44" s="76"/>
    </row>
    <row r="45" spans="3:39" ht="13.1" customHeight="1" x14ac:dyDescent="0.15">
      <c r="Y45" s="77"/>
      <c r="AC45" s="78"/>
      <c r="AH45" s="78"/>
      <c r="AI45" s="77"/>
      <c r="AM45" s="78"/>
    </row>
    <row r="46" spans="3:39" ht="13.1" customHeight="1" x14ac:dyDescent="0.15">
      <c r="Y46" s="77"/>
      <c r="Z46" s="72"/>
      <c r="AA46" s="73" t="s">
        <v>509</v>
      </c>
      <c r="AB46" s="72"/>
      <c r="AC46" s="79"/>
      <c r="AD46" s="72"/>
      <c r="AE46" s="72"/>
      <c r="AF46" s="73" t="s">
        <v>510</v>
      </c>
      <c r="AG46" s="72"/>
      <c r="AH46" s="79"/>
      <c r="AI46" s="80"/>
      <c r="AJ46" s="72"/>
      <c r="AK46" s="73" t="s">
        <v>511</v>
      </c>
      <c r="AL46" s="72"/>
      <c r="AM46" s="79"/>
    </row>
    <row r="47" spans="3:39" ht="13.1" customHeight="1" x14ac:dyDescent="0.15">
      <c r="Y47" s="77"/>
      <c r="AC47" s="78"/>
      <c r="AH47" s="78"/>
      <c r="AI47" s="77"/>
      <c r="AM47" s="78"/>
    </row>
    <row r="48" spans="3:39" ht="13.1" customHeight="1" x14ac:dyDescent="0.15">
      <c r="C48" s="71"/>
      <c r="V48" s="71"/>
      <c r="Y48" s="81"/>
      <c r="Z48" s="82"/>
      <c r="AA48" s="82"/>
      <c r="AB48" s="82"/>
      <c r="AC48" s="83"/>
      <c r="AD48" s="82"/>
      <c r="AE48" s="82"/>
      <c r="AF48" s="82"/>
      <c r="AG48" s="82"/>
      <c r="AH48" s="83"/>
      <c r="AI48" s="81"/>
      <c r="AJ48" s="82"/>
      <c r="AK48" s="82"/>
      <c r="AL48" s="82"/>
      <c r="AM48" s="83"/>
    </row>
    <row r="49" spans="4:39" ht="13.1" customHeight="1" x14ac:dyDescent="0.15"/>
    <row r="50" spans="4:39" ht="13.1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5"/>
      <c r="Y50" s="84" t="s">
        <v>512</v>
      </c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</row>
    <row r="51" spans="4:39" ht="13.1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5"/>
      <c r="Y51" s="89" t="s">
        <v>502</v>
      </c>
      <c r="Z51" s="90"/>
      <c r="AA51" s="90"/>
      <c r="AB51" s="90"/>
      <c r="AC51" s="91"/>
      <c r="AD51" s="89" t="s">
        <v>503</v>
      </c>
      <c r="AE51" s="90"/>
      <c r="AF51" s="90"/>
      <c r="AG51" s="90"/>
      <c r="AH51" s="91"/>
      <c r="AI51" s="89" t="s">
        <v>504</v>
      </c>
      <c r="AJ51" s="90"/>
      <c r="AK51" s="90"/>
      <c r="AL51" s="90"/>
      <c r="AM51" s="91"/>
    </row>
    <row r="52" spans="4:39" ht="13.1" customHeight="1" x14ac:dyDescent="0.15">
      <c r="D52" s="72"/>
      <c r="E52" s="73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3"/>
      <c r="W52" s="72"/>
      <c r="X52" s="73"/>
      <c r="Y52" s="74"/>
      <c r="Z52" s="75"/>
      <c r="AA52" s="75"/>
      <c r="AB52" s="75"/>
      <c r="AC52" s="76"/>
      <c r="AD52" s="75"/>
      <c r="AE52" s="75"/>
      <c r="AF52" s="75"/>
      <c r="AG52" s="75"/>
      <c r="AH52" s="76"/>
      <c r="AI52" s="74"/>
      <c r="AJ52" s="75"/>
      <c r="AK52" s="75"/>
      <c r="AL52" s="75"/>
      <c r="AM52" s="76"/>
    </row>
    <row r="53" spans="4:39" ht="13.1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5"/>
      <c r="Y53" s="77"/>
      <c r="Z53" s="85"/>
      <c r="AA53" s="85"/>
      <c r="AB53" s="85"/>
      <c r="AC53" s="78"/>
      <c r="AD53" s="85"/>
      <c r="AE53" s="85"/>
      <c r="AF53" s="85"/>
      <c r="AG53" s="85"/>
      <c r="AH53" s="78"/>
      <c r="AI53" s="77"/>
      <c r="AJ53" s="85"/>
      <c r="AK53" s="85"/>
      <c r="AL53" s="85"/>
      <c r="AM53" s="78"/>
    </row>
    <row r="54" spans="4:39" ht="13.1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5"/>
      <c r="Y54" s="77"/>
      <c r="Z54" s="72"/>
      <c r="AA54" s="73" t="s">
        <v>513</v>
      </c>
      <c r="AB54" s="72"/>
      <c r="AC54" s="79"/>
      <c r="AD54" s="72"/>
      <c r="AE54" s="72"/>
      <c r="AF54" s="73" t="s">
        <v>514</v>
      </c>
      <c r="AG54" s="72"/>
      <c r="AH54" s="79"/>
      <c r="AI54" s="80"/>
      <c r="AJ54" s="72"/>
      <c r="AK54" s="73" t="s">
        <v>507</v>
      </c>
      <c r="AL54" s="72"/>
      <c r="AM54" s="79"/>
    </row>
    <row r="55" spans="4:39" ht="13.1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5"/>
      <c r="Y55" s="77"/>
      <c r="Z55" s="85"/>
      <c r="AA55" s="85"/>
      <c r="AB55" s="85"/>
      <c r="AC55" s="78"/>
      <c r="AD55" s="85"/>
      <c r="AE55" s="85"/>
      <c r="AF55" s="85"/>
      <c r="AG55" s="85"/>
      <c r="AH55" s="78"/>
      <c r="AI55" s="77"/>
      <c r="AJ55" s="85"/>
      <c r="AK55" s="85"/>
      <c r="AL55" s="85"/>
      <c r="AM55" s="78"/>
    </row>
    <row r="56" spans="4:39" ht="13.1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5"/>
      <c r="Y56" s="81"/>
      <c r="Z56" s="82"/>
      <c r="AA56" s="82"/>
      <c r="AB56" s="82"/>
      <c r="AC56" s="83"/>
      <c r="AD56" s="82"/>
      <c r="AE56" s="82"/>
      <c r="AF56" s="82"/>
      <c r="AG56" s="82"/>
      <c r="AH56" s="83"/>
      <c r="AI56" s="81"/>
      <c r="AJ56" s="82"/>
      <c r="AK56" s="82"/>
      <c r="AL56" s="82"/>
      <c r="AM56" s="83"/>
    </row>
    <row r="57" spans="4:39" ht="13.1" customHeight="1" x14ac:dyDescent="0.15">
      <c r="AK57" s="68" t="s">
        <v>515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5" r:id="rId4">
          <objectPr defaultSize="0" autoPict="0" r:id="rId5">
            <anchor>
              <from>
                <xdr:col>34</xdr:col>
                <xdr:colOff>8626</xdr:colOff>
                <xdr:row>42</xdr:row>
                <xdr:rowOff>138023</xdr:rowOff>
              </from>
              <to>
                <xdr:col>37</xdr:col>
                <xdr:colOff>0</xdr:colOff>
                <xdr:row>45</xdr:row>
                <xdr:rowOff>129396</xdr:rowOff>
              </to>
            </anchor>
          </objectPr>
        </oleObject>
      </mc:Choice>
      <mc:Fallback>
        <oleObject progId="Dstmp.StampObject.7" shapeId="1025" r:id="rId4"/>
      </mc:Fallback>
    </mc:AlternateContent>
    <mc:AlternateContent xmlns:mc="http://schemas.openxmlformats.org/markup-compatibility/2006">
      <mc:Choice Requires="x14">
        <oleObject progId="Dstmp.StampObject.7" shapeId="1026" r:id="rId6">
          <objectPr defaultSize="0" autoPict="0" r:id="rId7">
            <anchor>
              <from>
                <xdr:col>35</xdr:col>
                <xdr:colOff>103517</xdr:colOff>
                <xdr:row>45</xdr:row>
                <xdr:rowOff>25879</xdr:rowOff>
              </from>
              <to>
                <xdr:col>38</xdr:col>
                <xdr:colOff>103517</xdr:colOff>
                <xdr:row>47</xdr:row>
                <xdr:rowOff>138023</xdr:rowOff>
              </to>
            </anchor>
          </objectPr>
        </oleObject>
      </mc:Choice>
      <mc:Fallback>
        <oleObject progId="Dstmp.StampObject.7" shapeId="1026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dimension ref="A2:J139"/>
  <sheetViews>
    <sheetView showGridLines="0" tabSelected="1" view="pageBreakPreview" zoomScaleNormal="100" zoomScaleSheetLayoutView="100" workbookViewId="0">
      <selection activeCell="G11" sqref="G11"/>
    </sheetView>
  </sheetViews>
  <sheetFormatPr defaultColWidth="8" defaultRowHeight="14.95" outlineLevelRow="1" x14ac:dyDescent="0.15"/>
  <cols>
    <col min="1" max="1" width="2.625" style="33" customWidth="1"/>
    <col min="2" max="3" width="10.625" style="33" customWidth="1"/>
    <col min="4" max="6" width="3" style="33" customWidth="1"/>
    <col min="7" max="7" width="69.25" style="33" customWidth="1"/>
    <col min="8" max="8" width="13.875" style="33" customWidth="1"/>
    <col min="9" max="9" width="12.375" style="33" bestFit="1" customWidth="1"/>
    <col min="10" max="10" width="4.125" style="33" customWidth="1"/>
    <col min="11" max="16384" width="8" style="33"/>
  </cols>
  <sheetData>
    <row r="2" spans="1:10" ht="29.9" x14ac:dyDescent="0.15">
      <c r="A2" s="32"/>
      <c r="B2" s="32" t="s">
        <v>487</v>
      </c>
      <c r="C2" s="32"/>
      <c r="D2" s="32"/>
      <c r="E2" s="32"/>
      <c r="F2" s="32"/>
      <c r="G2" s="32"/>
      <c r="H2" s="32"/>
      <c r="I2" s="32"/>
      <c r="J2" s="32"/>
    </row>
    <row r="4" spans="1:10" ht="19.7" thickBot="1" x14ac:dyDescent="0.35">
      <c r="A4" s="34"/>
      <c r="B4" s="35"/>
      <c r="C4" s="36" t="str">
        <f ca="1">OFFSET($B$6,COUNTA($D$7:$D$139),1)&amp;"-"&amp;OFFSET($B$6,COUNTA($D$7:$D$139),2)&amp;""&amp;OFFSET($B$6,COUNTA($D$7:$D$139),3)&amp;""&amp;OFFSET($B$6,COUNTA($D$7:$D$139),4)</f>
        <v>Ver00-003</v>
      </c>
      <c r="D4" s="36"/>
      <c r="E4" s="37"/>
      <c r="F4" s="37"/>
      <c r="G4" s="34"/>
      <c r="H4" s="34"/>
      <c r="I4" s="34"/>
      <c r="J4" s="34"/>
    </row>
    <row r="5" spans="1:10" ht="15.65" thickTop="1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</row>
    <row r="6" spans="1:10" ht="18.7" customHeight="1" x14ac:dyDescent="0.15">
      <c r="B6" s="38" t="s">
        <v>488</v>
      </c>
      <c r="C6" s="92" t="s">
        <v>489</v>
      </c>
      <c r="D6" s="93"/>
      <c r="E6" s="93"/>
      <c r="F6" s="94"/>
      <c r="G6" s="38" t="s">
        <v>490</v>
      </c>
      <c r="H6" s="39" t="s">
        <v>491</v>
      </c>
      <c r="I6" s="40" t="s">
        <v>492</v>
      </c>
    </row>
    <row r="7" spans="1:10" ht="29.9" outlineLevel="1" x14ac:dyDescent="0.15">
      <c r="B7" s="41" t="s">
        <v>500</v>
      </c>
      <c r="C7" s="41" t="s">
        <v>493</v>
      </c>
      <c r="D7" s="42">
        <v>0</v>
      </c>
      <c r="E7" s="42">
        <v>0</v>
      </c>
      <c r="F7" s="43">
        <v>0</v>
      </c>
      <c r="G7" s="44" t="s">
        <v>499</v>
      </c>
      <c r="H7" s="45">
        <v>45740</v>
      </c>
      <c r="I7" s="46" t="s">
        <v>494</v>
      </c>
    </row>
    <row r="8" spans="1:10" ht="29.9" outlineLevel="1" x14ac:dyDescent="0.15">
      <c r="B8" s="41" t="s">
        <v>497</v>
      </c>
      <c r="C8" s="41" t="s">
        <v>493</v>
      </c>
      <c r="D8" s="42">
        <v>0</v>
      </c>
      <c r="E8" s="42">
        <v>0</v>
      </c>
      <c r="F8" s="43">
        <v>1</v>
      </c>
      <c r="G8" s="44" t="s">
        <v>501</v>
      </c>
      <c r="H8" s="45">
        <v>45790</v>
      </c>
      <c r="I8" s="47" t="s">
        <v>495</v>
      </c>
    </row>
    <row r="9" spans="1:10" ht="59.8" outlineLevel="1" x14ac:dyDescent="0.15">
      <c r="B9" s="41" t="s">
        <v>521</v>
      </c>
      <c r="C9" s="41" t="s">
        <v>493</v>
      </c>
      <c r="D9" s="42">
        <v>0</v>
      </c>
      <c r="E9" s="42">
        <v>0</v>
      </c>
      <c r="F9" s="43">
        <v>2</v>
      </c>
      <c r="G9" s="44" t="s">
        <v>522</v>
      </c>
      <c r="H9" s="45">
        <v>45839</v>
      </c>
      <c r="I9" s="47" t="s">
        <v>495</v>
      </c>
    </row>
    <row r="10" spans="1:10" ht="34.65" customHeight="1" outlineLevel="1" x14ac:dyDescent="0.15">
      <c r="B10" s="67" t="s">
        <v>549</v>
      </c>
      <c r="C10" s="41" t="s">
        <v>550</v>
      </c>
      <c r="D10" s="42">
        <v>0</v>
      </c>
      <c r="E10" s="42">
        <v>0</v>
      </c>
      <c r="F10" s="43">
        <v>3</v>
      </c>
      <c r="G10" s="44" t="s">
        <v>556</v>
      </c>
      <c r="H10" s="45">
        <v>45954</v>
      </c>
      <c r="I10" s="47" t="s">
        <v>551</v>
      </c>
    </row>
    <row r="11" spans="1:10" outlineLevel="1" x14ac:dyDescent="0.15">
      <c r="B11" s="41"/>
      <c r="C11" s="41"/>
      <c r="D11" s="42"/>
      <c r="E11" s="42"/>
      <c r="F11" s="43"/>
      <c r="G11" s="44"/>
      <c r="H11" s="45"/>
      <c r="I11" s="47"/>
    </row>
    <row r="12" spans="1:10" outlineLevel="1" x14ac:dyDescent="0.15">
      <c r="B12" s="41"/>
      <c r="C12" s="41"/>
      <c r="D12" s="42"/>
      <c r="E12" s="42"/>
      <c r="F12" s="43"/>
      <c r="G12" s="44"/>
      <c r="H12" s="45"/>
      <c r="I12" s="47"/>
    </row>
    <row r="13" spans="1:10" outlineLevel="1" x14ac:dyDescent="0.15">
      <c r="B13" s="41"/>
      <c r="C13" s="41"/>
      <c r="D13" s="42"/>
      <c r="E13" s="42"/>
      <c r="F13" s="43"/>
      <c r="G13" s="44"/>
      <c r="H13" s="48"/>
      <c r="I13" s="47"/>
    </row>
    <row r="14" spans="1:10" outlineLevel="1" x14ac:dyDescent="0.15">
      <c r="B14" s="41"/>
      <c r="C14" s="41"/>
      <c r="D14" s="42"/>
      <c r="E14" s="42"/>
      <c r="F14" s="43"/>
      <c r="G14" s="44"/>
      <c r="H14" s="45"/>
      <c r="I14" s="47"/>
    </row>
    <row r="15" spans="1:10" outlineLevel="1" x14ac:dyDescent="0.15">
      <c r="B15" s="41"/>
      <c r="C15" s="41"/>
      <c r="D15" s="42"/>
      <c r="E15" s="42"/>
      <c r="F15" s="43"/>
      <c r="G15" s="44"/>
      <c r="H15" s="48"/>
      <c r="I15" s="49"/>
    </row>
    <row r="16" spans="1:10" outlineLevel="1" x14ac:dyDescent="0.15">
      <c r="B16" s="41"/>
      <c r="C16" s="41"/>
      <c r="D16" s="42"/>
      <c r="E16" s="42"/>
      <c r="F16" s="43"/>
      <c r="G16" s="44"/>
      <c r="H16" s="45"/>
      <c r="I16" s="47"/>
    </row>
    <row r="17" spans="2:9" outlineLevel="1" x14ac:dyDescent="0.15">
      <c r="B17" s="41"/>
      <c r="C17" s="41"/>
      <c r="D17" s="42"/>
      <c r="E17" s="42"/>
      <c r="F17" s="43"/>
      <c r="G17" s="44"/>
      <c r="H17" s="48"/>
      <c r="I17" s="49"/>
    </row>
    <row r="18" spans="2:9" outlineLevel="1" x14ac:dyDescent="0.15">
      <c r="B18" s="41"/>
      <c r="C18" s="41"/>
      <c r="D18" s="42"/>
      <c r="E18" s="42"/>
      <c r="F18" s="43"/>
      <c r="G18" s="44"/>
      <c r="H18" s="45"/>
      <c r="I18" s="47"/>
    </row>
    <row r="19" spans="2:9" outlineLevel="1" x14ac:dyDescent="0.15">
      <c r="B19" s="41"/>
      <c r="C19" s="41"/>
      <c r="D19" s="42"/>
      <c r="E19" s="42"/>
      <c r="F19" s="43"/>
      <c r="G19" s="44"/>
      <c r="H19" s="45"/>
      <c r="I19" s="47"/>
    </row>
    <row r="20" spans="2:9" outlineLevel="1" x14ac:dyDescent="0.15">
      <c r="B20" s="41"/>
      <c r="C20" s="41"/>
      <c r="D20" s="42"/>
      <c r="E20" s="42"/>
      <c r="F20" s="43"/>
      <c r="G20" s="44"/>
      <c r="H20" s="45"/>
      <c r="I20" s="47"/>
    </row>
    <row r="21" spans="2:9" outlineLevel="1" x14ac:dyDescent="0.15">
      <c r="B21" s="41"/>
      <c r="C21" s="41"/>
      <c r="D21" s="42"/>
      <c r="E21" s="42"/>
      <c r="F21" s="43"/>
      <c r="G21" s="44"/>
      <c r="H21" s="45"/>
      <c r="I21" s="47"/>
    </row>
    <row r="22" spans="2:9" outlineLevel="1" x14ac:dyDescent="0.15">
      <c r="B22" s="41"/>
      <c r="C22" s="41"/>
      <c r="D22" s="42"/>
      <c r="E22" s="42"/>
      <c r="F22" s="43"/>
      <c r="G22" s="44"/>
      <c r="H22" s="45"/>
      <c r="I22" s="47"/>
    </row>
    <row r="23" spans="2:9" outlineLevel="1" x14ac:dyDescent="0.15">
      <c r="B23" s="41"/>
      <c r="C23" s="41"/>
      <c r="D23" s="42"/>
      <c r="E23" s="42"/>
      <c r="F23" s="43"/>
      <c r="G23" s="44"/>
      <c r="H23" s="45"/>
      <c r="I23" s="47"/>
    </row>
    <row r="24" spans="2:9" outlineLevel="1" x14ac:dyDescent="0.15">
      <c r="B24" s="41"/>
      <c r="C24" s="41"/>
      <c r="D24" s="42"/>
      <c r="E24" s="42"/>
      <c r="F24" s="43"/>
      <c r="G24" s="44"/>
      <c r="H24" s="45"/>
      <c r="I24" s="47"/>
    </row>
    <row r="25" spans="2:9" outlineLevel="1" x14ac:dyDescent="0.15">
      <c r="B25" s="41"/>
      <c r="C25" s="41"/>
      <c r="D25" s="42"/>
      <c r="E25" s="42"/>
      <c r="F25" s="43"/>
      <c r="G25" s="44"/>
      <c r="H25" s="45"/>
      <c r="I25" s="47"/>
    </row>
    <row r="26" spans="2:9" outlineLevel="1" x14ac:dyDescent="0.15">
      <c r="B26" s="41"/>
      <c r="C26" s="41"/>
      <c r="D26" s="42"/>
      <c r="E26" s="42"/>
      <c r="F26" s="43"/>
      <c r="G26" s="44"/>
      <c r="H26" s="45"/>
      <c r="I26" s="47"/>
    </row>
    <row r="27" spans="2:9" outlineLevel="1" x14ac:dyDescent="0.15">
      <c r="B27" s="41"/>
      <c r="C27" s="41"/>
      <c r="D27" s="42"/>
      <c r="E27" s="42"/>
      <c r="F27" s="43"/>
      <c r="G27" s="44"/>
      <c r="H27" s="45"/>
      <c r="I27" s="47"/>
    </row>
    <row r="28" spans="2:9" outlineLevel="1" collapsed="1" x14ac:dyDescent="0.15">
      <c r="B28" s="41"/>
      <c r="C28" s="41"/>
      <c r="D28" s="42"/>
      <c r="E28" s="42"/>
      <c r="F28" s="43"/>
      <c r="G28" s="44"/>
      <c r="H28" s="45"/>
      <c r="I28" s="47"/>
    </row>
    <row r="29" spans="2:9" outlineLevel="1" x14ac:dyDescent="0.15">
      <c r="B29" s="41"/>
      <c r="C29" s="41"/>
      <c r="D29" s="42"/>
      <c r="E29" s="42"/>
      <c r="F29" s="43"/>
      <c r="G29" s="44"/>
      <c r="H29" s="45"/>
      <c r="I29" s="47"/>
    </row>
    <row r="30" spans="2:9" outlineLevel="1" x14ac:dyDescent="0.15">
      <c r="B30" s="41"/>
      <c r="C30" s="41"/>
      <c r="D30" s="42"/>
      <c r="E30" s="42"/>
      <c r="F30" s="43"/>
      <c r="G30" s="44"/>
      <c r="H30" s="45"/>
      <c r="I30" s="47"/>
    </row>
    <row r="31" spans="2:9" outlineLevel="1" x14ac:dyDescent="0.15">
      <c r="B31" s="41"/>
      <c r="C31" s="41"/>
      <c r="D31" s="42"/>
      <c r="E31" s="42"/>
      <c r="F31" s="43"/>
      <c r="G31" s="44"/>
      <c r="H31" s="45"/>
      <c r="I31" s="47"/>
    </row>
    <row r="32" spans="2:9" outlineLevel="1" x14ac:dyDescent="0.15">
      <c r="B32" s="41"/>
      <c r="C32" s="41"/>
      <c r="D32" s="42"/>
      <c r="E32" s="42"/>
      <c r="F32" s="43"/>
      <c r="G32" s="44"/>
      <c r="H32" s="45"/>
      <c r="I32" s="47"/>
    </row>
    <row r="33" spans="2:9" outlineLevel="1" x14ac:dyDescent="0.15">
      <c r="B33" s="41"/>
      <c r="C33" s="41"/>
      <c r="D33" s="42"/>
      <c r="E33" s="42"/>
      <c r="F33" s="43"/>
      <c r="G33" s="44"/>
      <c r="H33" s="45"/>
      <c r="I33" s="47"/>
    </row>
    <row r="34" spans="2:9" outlineLevel="1" x14ac:dyDescent="0.15">
      <c r="B34" s="41"/>
      <c r="C34" s="41"/>
      <c r="D34" s="42"/>
      <c r="E34" s="42"/>
      <c r="F34" s="43"/>
      <c r="G34" s="44"/>
      <c r="H34" s="45"/>
      <c r="I34" s="47"/>
    </row>
    <row r="35" spans="2:9" outlineLevel="1" x14ac:dyDescent="0.15">
      <c r="B35" s="41"/>
      <c r="C35" s="41"/>
      <c r="D35" s="42"/>
      <c r="E35" s="42"/>
      <c r="F35" s="43"/>
      <c r="G35" s="44"/>
      <c r="H35" s="45"/>
      <c r="I35" s="47"/>
    </row>
    <row r="36" spans="2:9" outlineLevel="1" x14ac:dyDescent="0.15">
      <c r="B36" s="41"/>
      <c r="C36" s="41"/>
      <c r="D36" s="42"/>
      <c r="E36" s="42"/>
      <c r="F36" s="43"/>
      <c r="G36" s="44"/>
      <c r="H36" s="45"/>
      <c r="I36" s="47"/>
    </row>
    <row r="37" spans="2:9" outlineLevel="1" x14ac:dyDescent="0.15">
      <c r="B37" s="41"/>
      <c r="C37" s="41"/>
      <c r="D37" s="42"/>
      <c r="E37" s="42"/>
      <c r="F37" s="43"/>
      <c r="G37" s="44"/>
      <c r="H37" s="45"/>
      <c r="I37" s="47"/>
    </row>
    <row r="38" spans="2:9" outlineLevel="1" x14ac:dyDescent="0.15">
      <c r="B38" s="41"/>
      <c r="C38" s="41"/>
      <c r="D38" s="42"/>
      <c r="E38" s="42"/>
      <c r="F38" s="43"/>
      <c r="G38" s="44"/>
      <c r="H38" s="45"/>
      <c r="I38" s="47"/>
    </row>
    <row r="39" spans="2:9" outlineLevel="1" x14ac:dyDescent="0.15">
      <c r="B39" s="41"/>
      <c r="C39" s="41"/>
      <c r="D39" s="42"/>
      <c r="E39" s="42"/>
      <c r="F39" s="43"/>
      <c r="G39" s="44"/>
      <c r="H39" s="45"/>
      <c r="I39" s="47"/>
    </row>
    <row r="40" spans="2:9" outlineLevel="1" x14ac:dyDescent="0.15">
      <c r="B40" s="41"/>
      <c r="C40" s="41"/>
      <c r="D40" s="42"/>
      <c r="E40" s="42"/>
      <c r="F40" s="43"/>
      <c r="G40" s="44"/>
      <c r="H40" s="45"/>
      <c r="I40" s="47"/>
    </row>
    <row r="41" spans="2:9" outlineLevel="1" x14ac:dyDescent="0.15">
      <c r="B41" s="41"/>
      <c r="C41" s="41"/>
      <c r="D41" s="42"/>
      <c r="E41" s="42"/>
      <c r="F41" s="43"/>
      <c r="G41" s="44"/>
      <c r="H41" s="45"/>
      <c r="I41" s="47"/>
    </row>
    <row r="42" spans="2:9" outlineLevel="1" x14ac:dyDescent="0.15">
      <c r="B42" s="41"/>
      <c r="C42" s="41"/>
      <c r="D42" s="42"/>
      <c r="E42" s="42"/>
      <c r="F42" s="43"/>
      <c r="G42" s="44"/>
      <c r="H42" s="45"/>
      <c r="I42" s="47"/>
    </row>
    <row r="43" spans="2:9" outlineLevel="1" x14ac:dyDescent="0.15">
      <c r="B43" s="41"/>
      <c r="C43" s="41"/>
      <c r="D43" s="42"/>
      <c r="E43" s="42"/>
      <c r="F43" s="43"/>
      <c r="G43" s="44"/>
      <c r="H43" s="45"/>
      <c r="I43" s="47"/>
    </row>
    <row r="44" spans="2:9" outlineLevel="1" x14ac:dyDescent="0.15">
      <c r="B44" s="41"/>
      <c r="C44" s="41"/>
      <c r="D44" s="42"/>
      <c r="E44" s="42"/>
      <c r="F44" s="43"/>
      <c r="G44" s="44"/>
      <c r="H44" s="45"/>
      <c r="I44" s="47"/>
    </row>
    <row r="45" spans="2:9" outlineLevel="1" x14ac:dyDescent="0.15">
      <c r="B45" s="41"/>
      <c r="C45" s="41"/>
      <c r="D45" s="42"/>
      <c r="E45" s="42"/>
      <c r="F45" s="43"/>
      <c r="G45" s="44"/>
      <c r="H45" s="45"/>
      <c r="I45" s="47"/>
    </row>
    <row r="46" spans="2:9" outlineLevel="1" x14ac:dyDescent="0.15">
      <c r="B46" s="41"/>
      <c r="C46" s="41"/>
      <c r="D46" s="42"/>
      <c r="E46" s="42"/>
      <c r="F46" s="43"/>
      <c r="G46" s="44"/>
      <c r="H46" s="45"/>
      <c r="I46" s="47"/>
    </row>
    <row r="47" spans="2:9" outlineLevel="1" x14ac:dyDescent="0.15">
      <c r="B47" s="41"/>
      <c r="C47" s="41"/>
      <c r="D47" s="42"/>
      <c r="E47" s="42"/>
      <c r="F47" s="43"/>
      <c r="G47" s="44"/>
      <c r="H47" s="45"/>
      <c r="I47" s="47"/>
    </row>
    <row r="48" spans="2:9" outlineLevel="1" x14ac:dyDescent="0.15">
      <c r="B48" s="41"/>
      <c r="C48" s="41"/>
      <c r="D48" s="42"/>
      <c r="E48" s="42"/>
      <c r="F48" s="43"/>
      <c r="G48" s="44"/>
      <c r="H48" s="45"/>
      <c r="I48" s="47"/>
    </row>
    <row r="49" spans="2:9" outlineLevel="1" x14ac:dyDescent="0.15">
      <c r="B49" s="41"/>
      <c r="C49" s="41"/>
      <c r="D49" s="42"/>
      <c r="E49" s="42"/>
      <c r="F49" s="43"/>
      <c r="G49" s="44"/>
      <c r="H49" s="45"/>
      <c r="I49" s="47"/>
    </row>
    <row r="50" spans="2:9" outlineLevel="1" x14ac:dyDescent="0.15">
      <c r="B50" s="41"/>
      <c r="C50" s="41"/>
      <c r="D50" s="42"/>
      <c r="E50" s="42"/>
      <c r="F50" s="43"/>
      <c r="G50" s="44"/>
      <c r="H50" s="45"/>
      <c r="I50" s="47"/>
    </row>
    <row r="51" spans="2:9" outlineLevel="1" x14ac:dyDescent="0.15">
      <c r="B51" s="41"/>
      <c r="C51" s="41"/>
      <c r="D51" s="42"/>
      <c r="E51" s="42"/>
      <c r="F51" s="43"/>
      <c r="G51" s="44"/>
      <c r="H51" s="45"/>
      <c r="I51" s="47"/>
    </row>
    <row r="52" spans="2:9" outlineLevel="1" x14ac:dyDescent="0.15">
      <c r="B52" s="41"/>
      <c r="C52" s="41"/>
      <c r="D52" s="42"/>
      <c r="E52" s="42"/>
      <c r="F52" s="43"/>
      <c r="G52" s="44"/>
      <c r="H52" s="45"/>
      <c r="I52" s="47"/>
    </row>
    <row r="53" spans="2:9" outlineLevel="1" x14ac:dyDescent="0.15">
      <c r="B53" s="41"/>
      <c r="C53" s="41"/>
      <c r="D53" s="42"/>
      <c r="E53" s="42"/>
      <c r="F53" s="43"/>
      <c r="G53" s="44"/>
      <c r="H53" s="45"/>
      <c r="I53" s="47"/>
    </row>
    <row r="54" spans="2:9" outlineLevel="1" x14ac:dyDescent="0.15">
      <c r="B54" s="41"/>
      <c r="C54" s="41"/>
      <c r="D54" s="42"/>
      <c r="E54" s="42"/>
      <c r="F54" s="43"/>
      <c r="G54" s="44"/>
      <c r="H54" s="45"/>
      <c r="I54" s="47"/>
    </row>
    <row r="55" spans="2:9" outlineLevel="1" x14ac:dyDescent="0.15">
      <c r="B55" s="41"/>
      <c r="C55" s="41"/>
      <c r="D55" s="42"/>
      <c r="E55" s="42"/>
      <c r="F55" s="43"/>
      <c r="G55" s="44"/>
      <c r="H55" s="45"/>
      <c r="I55" s="47"/>
    </row>
    <row r="56" spans="2:9" outlineLevel="1" x14ac:dyDescent="0.15">
      <c r="B56" s="41"/>
      <c r="C56" s="41"/>
      <c r="D56" s="42"/>
      <c r="E56" s="42"/>
      <c r="F56" s="43"/>
      <c r="G56" s="44"/>
      <c r="H56" s="45"/>
      <c r="I56" s="47"/>
    </row>
    <row r="57" spans="2:9" outlineLevel="1" x14ac:dyDescent="0.15">
      <c r="B57" s="41"/>
      <c r="C57" s="41"/>
      <c r="D57" s="42"/>
      <c r="E57" s="42"/>
      <c r="F57" s="43"/>
      <c r="G57" s="44"/>
      <c r="H57" s="45"/>
      <c r="I57" s="47"/>
    </row>
    <row r="58" spans="2:9" outlineLevel="1" x14ac:dyDescent="0.15">
      <c r="B58" s="41"/>
      <c r="C58" s="41"/>
      <c r="D58" s="42"/>
      <c r="E58" s="42"/>
      <c r="F58" s="43"/>
      <c r="G58" s="44"/>
      <c r="H58" s="45"/>
      <c r="I58" s="47"/>
    </row>
    <row r="59" spans="2:9" outlineLevel="1" x14ac:dyDescent="0.15">
      <c r="B59" s="41"/>
      <c r="C59" s="41"/>
      <c r="D59" s="42"/>
      <c r="E59" s="42"/>
      <c r="F59" s="43"/>
      <c r="G59" s="44"/>
      <c r="H59" s="45"/>
      <c r="I59" s="47"/>
    </row>
    <row r="60" spans="2:9" outlineLevel="1" x14ac:dyDescent="0.15">
      <c r="B60" s="41"/>
      <c r="C60" s="41"/>
      <c r="D60" s="42"/>
      <c r="E60" s="42"/>
      <c r="F60" s="43"/>
      <c r="G60" s="44"/>
      <c r="H60" s="45"/>
      <c r="I60" s="47"/>
    </row>
    <row r="61" spans="2:9" outlineLevel="1" x14ac:dyDescent="0.15">
      <c r="B61" s="41"/>
      <c r="C61" s="41"/>
      <c r="D61" s="42"/>
      <c r="E61" s="42"/>
      <c r="F61" s="43"/>
      <c r="G61" s="44"/>
      <c r="H61" s="45"/>
      <c r="I61" s="47"/>
    </row>
    <row r="62" spans="2:9" outlineLevel="1" x14ac:dyDescent="0.15">
      <c r="B62" s="41"/>
      <c r="C62" s="41"/>
      <c r="D62" s="42"/>
      <c r="E62" s="42"/>
      <c r="F62" s="43"/>
      <c r="G62" s="44"/>
      <c r="H62" s="45"/>
      <c r="I62" s="47"/>
    </row>
    <row r="63" spans="2:9" outlineLevel="1" x14ac:dyDescent="0.15">
      <c r="B63" s="41"/>
      <c r="C63" s="41"/>
      <c r="D63" s="50"/>
      <c r="E63" s="42"/>
      <c r="F63" s="43"/>
      <c r="G63" s="44"/>
      <c r="H63" s="45"/>
      <c r="I63" s="47"/>
    </row>
    <row r="64" spans="2:9" outlineLevel="1" x14ac:dyDescent="0.15">
      <c r="B64" s="41"/>
      <c r="C64" s="41"/>
      <c r="D64" s="42"/>
      <c r="E64" s="42"/>
      <c r="F64" s="43"/>
      <c r="G64" s="44"/>
      <c r="H64" s="45"/>
      <c r="I64" s="47"/>
    </row>
    <row r="65" spans="2:9" outlineLevel="1" x14ac:dyDescent="0.15">
      <c r="B65" s="41"/>
      <c r="C65" s="41"/>
      <c r="D65" s="42"/>
      <c r="E65" s="42"/>
      <c r="F65" s="43"/>
      <c r="G65" s="51"/>
      <c r="H65" s="52"/>
      <c r="I65" s="47"/>
    </row>
    <row r="66" spans="2:9" outlineLevel="1" x14ac:dyDescent="0.15">
      <c r="B66" s="41"/>
      <c r="C66" s="41"/>
      <c r="D66" s="42"/>
      <c r="E66" s="42"/>
      <c r="F66" s="43"/>
      <c r="G66" s="44"/>
      <c r="H66" s="45"/>
      <c r="I66" s="47"/>
    </row>
    <row r="67" spans="2:9" outlineLevel="1" x14ac:dyDescent="0.15">
      <c r="B67" s="41"/>
      <c r="C67" s="41"/>
      <c r="D67" s="42"/>
      <c r="E67" s="42"/>
      <c r="F67" s="43"/>
      <c r="G67" s="44"/>
      <c r="H67" s="45"/>
      <c r="I67" s="47"/>
    </row>
    <row r="68" spans="2:9" outlineLevel="1" x14ac:dyDescent="0.15">
      <c r="B68" s="41"/>
      <c r="C68" s="41"/>
      <c r="D68" s="42"/>
      <c r="E68" s="42"/>
      <c r="F68" s="43"/>
      <c r="G68" s="44"/>
      <c r="H68" s="45"/>
      <c r="I68" s="47"/>
    </row>
    <row r="69" spans="2:9" outlineLevel="1" x14ac:dyDescent="0.15">
      <c r="B69" s="41"/>
      <c r="C69" s="41"/>
      <c r="D69" s="42"/>
      <c r="E69" s="42"/>
      <c r="F69" s="43"/>
      <c r="G69" s="44"/>
      <c r="H69" s="45"/>
      <c r="I69" s="47"/>
    </row>
    <row r="70" spans="2:9" outlineLevel="1" collapsed="1" x14ac:dyDescent="0.15">
      <c r="B70" s="41"/>
      <c r="C70" s="41"/>
      <c r="D70" s="42"/>
      <c r="E70" s="42"/>
      <c r="F70" s="43"/>
      <c r="G70" s="44"/>
      <c r="H70" s="45"/>
      <c r="I70" s="47"/>
    </row>
    <row r="71" spans="2:9" outlineLevel="1" x14ac:dyDescent="0.15">
      <c r="B71" s="41"/>
      <c r="C71" s="41"/>
      <c r="D71" s="42"/>
      <c r="E71" s="42"/>
      <c r="F71" s="43"/>
      <c r="G71" s="44"/>
      <c r="H71" s="45"/>
      <c r="I71" s="47"/>
    </row>
    <row r="72" spans="2:9" outlineLevel="1" x14ac:dyDescent="0.15">
      <c r="B72" s="41"/>
      <c r="C72" s="41"/>
      <c r="D72" s="42"/>
      <c r="E72" s="42"/>
      <c r="F72" s="43"/>
      <c r="G72" s="44"/>
      <c r="H72" s="45"/>
      <c r="I72" s="47"/>
    </row>
    <row r="73" spans="2:9" outlineLevel="1" x14ac:dyDescent="0.15">
      <c r="B73" s="41"/>
      <c r="C73" s="41"/>
      <c r="D73" s="42"/>
      <c r="E73" s="42"/>
      <c r="F73" s="43"/>
      <c r="G73" s="44"/>
      <c r="H73" s="45"/>
      <c r="I73" s="47"/>
    </row>
    <row r="74" spans="2:9" outlineLevel="1" x14ac:dyDescent="0.15">
      <c r="B74" s="41"/>
      <c r="C74" s="41"/>
      <c r="D74" s="42"/>
      <c r="E74" s="42"/>
      <c r="F74" s="43"/>
      <c r="G74" s="44"/>
      <c r="H74" s="45"/>
      <c r="I74" s="47"/>
    </row>
    <row r="75" spans="2:9" outlineLevel="1" x14ac:dyDescent="0.15">
      <c r="B75" s="41"/>
      <c r="C75" s="41"/>
      <c r="D75" s="42"/>
      <c r="E75" s="42"/>
      <c r="F75" s="43"/>
      <c r="G75" s="44"/>
      <c r="H75" s="45"/>
      <c r="I75" s="47"/>
    </row>
    <row r="76" spans="2:9" outlineLevel="1" x14ac:dyDescent="0.15">
      <c r="B76" s="41"/>
      <c r="C76" s="41"/>
      <c r="D76" s="42"/>
      <c r="E76" s="42"/>
      <c r="F76" s="43"/>
      <c r="G76" s="44"/>
      <c r="H76" s="45"/>
      <c r="I76" s="47"/>
    </row>
    <row r="77" spans="2:9" outlineLevel="1" x14ac:dyDescent="0.15">
      <c r="B77" s="41"/>
      <c r="C77" s="41"/>
      <c r="D77" s="42"/>
      <c r="E77" s="42"/>
      <c r="F77" s="43"/>
      <c r="G77" s="44"/>
      <c r="H77" s="45"/>
      <c r="I77" s="47"/>
    </row>
    <row r="78" spans="2:9" outlineLevel="1" x14ac:dyDescent="0.15">
      <c r="B78" s="41"/>
      <c r="C78" s="41"/>
      <c r="D78" s="42"/>
      <c r="E78" s="42"/>
      <c r="F78" s="43"/>
      <c r="G78" s="44"/>
      <c r="H78" s="45"/>
      <c r="I78" s="47"/>
    </row>
    <row r="79" spans="2:9" outlineLevel="1" x14ac:dyDescent="0.15">
      <c r="B79" s="41"/>
      <c r="C79" s="41"/>
      <c r="D79" s="42"/>
      <c r="E79" s="42"/>
      <c r="F79" s="43"/>
      <c r="G79" s="44"/>
      <c r="H79" s="45"/>
      <c r="I79" s="47"/>
    </row>
    <row r="80" spans="2:9" outlineLevel="1" x14ac:dyDescent="0.15">
      <c r="B80" s="41"/>
      <c r="C80" s="41"/>
      <c r="D80" s="42"/>
      <c r="E80" s="42"/>
      <c r="F80" s="43"/>
      <c r="G80" s="44"/>
      <c r="H80" s="45"/>
      <c r="I80" s="47"/>
    </row>
    <row r="81" spans="2:9" outlineLevel="1" x14ac:dyDescent="0.15">
      <c r="B81" s="41"/>
      <c r="C81" s="41"/>
      <c r="D81" s="42"/>
      <c r="E81" s="42"/>
      <c r="F81" s="43"/>
      <c r="G81" s="44"/>
      <c r="H81" s="45"/>
      <c r="I81" s="47"/>
    </row>
    <row r="82" spans="2:9" outlineLevel="1" x14ac:dyDescent="0.15">
      <c r="B82" s="41"/>
      <c r="C82" s="41"/>
      <c r="D82" s="42"/>
      <c r="E82" s="42"/>
      <c r="F82" s="43"/>
      <c r="G82" s="44"/>
      <c r="H82" s="45"/>
      <c r="I82" s="47"/>
    </row>
    <row r="83" spans="2:9" outlineLevel="1" x14ac:dyDescent="0.15">
      <c r="B83" s="41"/>
      <c r="C83" s="41"/>
      <c r="D83" s="42"/>
      <c r="E83" s="42"/>
      <c r="F83" s="43"/>
      <c r="G83" s="44"/>
      <c r="H83" s="45"/>
      <c r="I83" s="47"/>
    </row>
    <row r="84" spans="2:9" outlineLevel="1" x14ac:dyDescent="0.15">
      <c r="B84" s="41"/>
      <c r="C84" s="41"/>
      <c r="D84" s="42"/>
      <c r="E84" s="42"/>
      <c r="F84" s="43"/>
      <c r="G84" s="44"/>
      <c r="H84" s="45"/>
      <c r="I84" s="47"/>
    </row>
    <row r="85" spans="2:9" outlineLevel="1" x14ac:dyDescent="0.15">
      <c r="B85" s="41"/>
      <c r="C85" s="41"/>
      <c r="D85" s="42"/>
      <c r="E85" s="42"/>
      <c r="F85" s="43"/>
      <c r="G85" s="44"/>
      <c r="H85" s="45"/>
      <c r="I85" s="47"/>
    </row>
    <row r="86" spans="2:9" outlineLevel="1" x14ac:dyDescent="0.15">
      <c r="B86" s="41"/>
      <c r="C86" s="41"/>
      <c r="D86" s="42"/>
      <c r="E86" s="42"/>
      <c r="F86" s="43"/>
      <c r="G86" s="44"/>
      <c r="H86" s="45"/>
      <c r="I86" s="47"/>
    </row>
    <row r="87" spans="2:9" outlineLevel="1" x14ac:dyDescent="0.15">
      <c r="B87" s="53"/>
      <c r="C87" s="41"/>
      <c r="D87" s="42"/>
      <c r="E87" s="42"/>
      <c r="F87" s="43"/>
      <c r="G87" s="44"/>
      <c r="H87" s="45"/>
      <c r="I87" s="47"/>
    </row>
    <row r="88" spans="2:9" outlineLevel="1" x14ac:dyDescent="0.15">
      <c r="B88" s="53"/>
      <c r="C88" s="41"/>
      <c r="D88" s="42"/>
      <c r="E88" s="42"/>
      <c r="F88" s="43"/>
      <c r="G88" s="44"/>
      <c r="H88" s="45"/>
      <c r="I88" s="47"/>
    </row>
    <row r="89" spans="2:9" outlineLevel="1" x14ac:dyDescent="0.15">
      <c r="B89" s="53"/>
      <c r="C89" s="41"/>
      <c r="D89" s="42"/>
      <c r="E89" s="42"/>
      <c r="F89" s="43"/>
      <c r="G89" s="44"/>
      <c r="H89" s="45"/>
      <c r="I89" s="47"/>
    </row>
    <row r="90" spans="2:9" outlineLevel="1" x14ac:dyDescent="0.15">
      <c r="B90" s="53"/>
      <c r="C90" s="41"/>
      <c r="D90" s="42"/>
      <c r="E90" s="42"/>
      <c r="F90" s="43"/>
      <c r="G90" s="44"/>
      <c r="H90" s="45"/>
      <c r="I90" s="47"/>
    </row>
    <row r="91" spans="2:9" outlineLevel="1" x14ac:dyDescent="0.15">
      <c r="B91" s="53"/>
      <c r="C91" s="41"/>
      <c r="D91" s="42"/>
      <c r="E91" s="42"/>
      <c r="F91" s="43"/>
      <c r="G91" s="44"/>
      <c r="H91" s="45"/>
      <c r="I91" s="47"/>
    </row>
    <row r="92" spans="2:9" outlineLevel="1" x14ac:dyDescent="0.15">
      <c r="B92" s="53"/>
      <c r="C92" s="41"/>
      <c r="D92" s="42"/>
      <c r="E92" s="42"/>
      <c r="F92" s="43"/>
      <c r="G92" s="44"/>
      <c r="H92" s="45"/>
      <c r="I92" s="47"/>
    </row>
    <row r="93" spans="2:9" outlineLevel="1" x14ac:dyDescent="0.15">
      <c r="B93" s="53"/>
      <c r="C93" s="41"/>
      <c r="D93" s="42"/>
      <c r="E93" s="42"/>
      <c r="F93" s="43"/>
      <c r="G93" s="44"/>
      <c r="H93" s="45"/>
      <c r="I93" s="47"/>
    </row>
    <row r="94" spans="2:9" outlineLevel="1" x14ac:dyDescent="0.15">
      <c r="B94" s="53"/>
      <c r="C94" s="41"/>
      <c r="D94" s="42"/>
      <c r="E94" s="42"/>
      <c r="F94" s="43"/>
      <c r="G94" s="44"/>
      <c r="H94" s="45"/>
      <c r="I94" s="47"/>
    </row>
    <row r="95" spans="2:9" outlineLevel="1" x14ac:dyDescent="0.15">
      <c r="B95" s="53"/>
      <c r="C95" s="41"/>
      <c r="D95" s="42"/>
      <c r="E95" s="42"/>
      <c r="F95" s="43"/>
      <c r="G95" s="44"/>
      <c r="H95" s="45"/>
      <c r="I95" s="47"/>
    </row>
    <row r="96" spans="2:9" outlineLevel="1" x14ac:dyDescent="0.15">
      <c r="B96" s="53"/>
      <c r="C96" s="41"/>
      <c r="D96" s="42"/>
      <c r="E96" s="42"/>
      <c r="F96" s="43"/>
      <c r="G96" s="44"/>
      <c r="H96" s="45"/>
      <c r="I96" s="47"/>
    </row>
    <row r="97" spans="2:9" outlineLevel="1" x14ac:dyDescent="0.15">
      <c r="B97" s="53"/>
      <c r="C97" s="41"/>
      <c r="D97" s="42"/>
      <c r="E97" s="42"/>
      <c r="F97" s="43"/>
      <c r="G97" s="44"/>
      <c r="H97" s="45"/>
      <c r="I97" s="47"/>
    </row>
    <row r="98" spans="2:9" outlineLevel="1" x14ac:dyDescent="0.15">
      <c r="B98" s="53"/>
      <c r="C98" s="41"/>
      <c r="D98" s="42"/>
      <c r="E98" s="42"/>
      <c r="F98" s="43"/>
      <c r="G98" s="54"/>
      <c r="H98" s="45"/>
      <c r="I98" s="47"/>
    </row>
    <row r="99" spans="2:9" outlineLevel="1" x14ac:dyDescent="0.15">
      <c r="B99" s="53"/>
      <c r="C99" s="41"/>
      <c r="D99" s="42"/>
      <c r="E99" s="42"/>
      <c r="F99" s="43"/>
      <c r="G99" s="44"/>
      <c r="H99" s="45"/>
      <c r="I99" s="47"/>
    </row>
    <row r="100" spans="2:9" outlineLevel="1" x14ac:dyDescent="0.15">
      <c r="B100" s="55"/>
      <c r="C100" s="56"/>
      <c r="D100" s="57"/>
      <c r="E100" s="57"/>
      <c r="F100" s="58"/>
      <c r="G100" s="59"/>
      <c r="H100" s="48"/>
      <c r="I100" s="49"/>
    </row>
    <row r="101" spans="2:9" outlineLevel="1" x14ac:dyDescent="0.15">
      <c r="B101" s="53"/>
      <c r="C101" s="41"/>
      <c r="D101" s="42"/>
      <c r="E101" s="42"/>
      <c r="F101" s="43"/>
      <c r="G101" s="44"/>
      <c r="H101" s="45"/>
      <c r="I101" s="47"/>
    </row>
    <row r="102" spans="2:9" outlineLevel="1" x14ac:dyDescent="0.15">
      <c r="B102" s="53"/>
      <c r="C102" s="41"/>
      <c r="D102" s="42"/>
      <c r="E102" s="42"/>
      <c r="F102" s="43"/>
      <c r="G102" s="44"/>
      <c r="H102" s="45"/>
      <c r="I102" s="47"/>
    </row>
    <row r="103" spans="2:9" outlineLevel="1" x14ac:dyDescent="0.15">
      <c r="B103" s="53"/>
      <c r="C103" s="41"/>
      <c r="D103" s="42"/>
      <c r="E103" s="42"/>
      <c r="F103" s="43"/>
      <c r="G103" s="44"/>
      <c r="H103" s="45"/>
      <c r="I103" s="47"/>
    </row>
    <row r="104" spans="2:9" outlineLevel="1" x14ac:dyDescent="0.15">
      <c r="B104" s="53"/>
      <c r="C104" s="41"/>
      <c r="D104" s="42"/>
      <c r="E104" s="42"/>
      <c r="F104" s="43"/>
      <c r="G104" s="44"/>
      <c r="H104" s="45"/>
      <c r="I104" s="47"/>
    </row>
    <row r="105" spans="2:9" outlineLevel="1" x14ac:dyDescent="0.15">
      <c r="B105" s="53"/>
      <c r="C105" s="41"/>
      <c r="D105" s="42"/>
      <c r="E105" s="42"/>
      <c r="F105" s="43"/>
      <c r="G105" s="44"/>
      <c r="H105" s="45"/>
      <c r="I105" s="47"/>
    </row>
    <row r="106" spans="2:9" outlineLevel="1" x14ac:dyDescent="0.15">
      <c r="B106" s="53"/>
      <c r="C106" s="41"/>
      <c r="D106" s="42"/>
      <c r="E106" s="42"/>
      <c r="F106" s="43"/>
      <c r="G106" s="44"/>
      <c r="H106" s="45"/>
      <c r="I106" s="47"/>
    </row>
    <row r="107" spans="2:9" outlineLevel="1" x14ac:dyDescent="0.15">
      <c r="B107" s="53"/>
      <c r="C107" s="41"/>
      <c r="D107" s="42"/>
      <c r="E107" s="42"/>
      <c r="F107" s="43"/>
      <c r="G107" s="44"/>
      <c r="H107" s="45"/>
      <c r="I107" s="47"/>
    </row>
    <row r="108" spans="2:9" x14ac:dyDescent="0.15">
      <c r="B108" s="53"/>
      <c r="C108" s="41"/>
      <c r="D108" s="42"/>
      <c r="E108" s="42"/>
      <c r="F108" s="43"/>
      <c r="G108" s="44"/>
      <c r="H108" s="45"/>
      <c r="I108" s="47"/>
    </row>
    <row r="109" spans="2:9" x14ac:dyDescent="0.15">
      <c r="B109" s="53"/>
      <c r="C109" s="41"/>
      <c r="D109" s="42"/>
      <c r="E109" s="42"/>
      <c r="F109" s="43"/>
      <c r="G109" s="44"/>
      <c r="H109" s="45"/>
      <c r="I109" s="47"/>
    </row>
    <row r="110" spans="2:9" x14ac:dyDescent="0.15">
      <c r="B110" s="53"/>
      <c r="C110" s="41"/>
      <c r="D110" s="42"/>
      <c r="E110" s="42"/>
      <c r="F110" s="43"/>
      <c r="G110" s="44"/>
      <c r="H110" s="45"/>
      <c r="I110" s="47"/>
    </row>
    <row r="111" spans="2:9" x14ac:dyDescent="0.15">
      <c r="B111" s="53"/>
      <c r="C111" s="41"/>
      <c r="D111" s="42"/>
      <c r="E111" s="42"/>
      <c r="F111" s="43"/>
      <c r="G111" s="44"/>
      <c r="H111" s="45"/>
      <c r="I111" s="47"/>
    </row>
    <row r="112" spans="2:9" x14ac:dyDescent="0.15">
      <c r="B112" s="53"/>
      <c r="C112" s="41"/>
      <c r="D112" s="42"/>
      <c r="E112" s="42"/>
      <c r="F112" s="43"/>
      <c r="G112" s="44"/>
      <c r="H112" s="45"/>
      <c r="I112" s="47"/>
    </row>
    <row r="113" spans="2:9" x14ac:dyDescent="0.15">
      <c r="B113" s="53"/>
      <c r="C113" s="41"/>
      <c r="D113" s="42"/>
      <c r="E113" s="42"/>
      <c r="F113" s="43"/>
      <c r="G113" s="44"/>
      <c r="H113" s="45"/>
      <c r="I113" s="47"/>
    </row>
    <row r="114" spans="2:9" x14ac:dyDescent="0.15">
      <c r="B114" s="53"/>
      <c r="C114" s="41"/>
      <c r="D114" s="42"/>
      <c r="E114" s="42"/>
      <c r="F114" s="43"/>
      <c r="G114" s="44"/>
      <c r="H114" s="45"/>
      <c r="I114" s="47"/>
    </row>
    <row r="115" spans="2:9" x14ac:dyDescent="0.15">
      <c r="B115" s="53"/>
      <c r="C115" s="41"/>
      <c r="D115" s="42"/>
      <c r="E115" s="42"/>
      <c r="F115" s="43"/>
      <c r="G115" s="44"/>
      <c r="H115" s="45"/>
      <c r="I115" s="47"/>
    </row>
    <row r="116" spans="2:9" x14ac:dyDescent="0.15">
      <c r="B116" s="53"/>
      <c r="C116" s="41"/>
      <c r="D116" s="42"/>
      <c r="E116" s="42"/>
      <c r="F116" s="43"/>
      <c r="G116" s="44"/>
      <c r="H116" s="45"/>
      <c r="I116" s="47"/>
    </row>
    <row r="117" spans="2:9" x14ac:dyDescent="0.15">
      <c r="B117" s="53"/>
      <c r="C117" s="41"/>
      <c r="D117" s="42"/>
      <c r="E117" s="42"/>
      <c r="F117" s="43"/>
      <c r="G117" s="44"/>
      <c r="H117" s="45"/>
      <c r="I117" s="47"/>
    </row>
    <row r="118" spans="2:9" x14ac:dyDescent="0.15">
      <c r="B118" s="53"/>
      <c r="C118" s="41"/>
      <c r="D118" s="42"/>
      <c r="E118" s="42"/>
      <c r="F118" s="43"/>
      <c r="G118" s="44"/>
      <c r="H118" s="45"/>
      <c r="I118" s="47"/>
    </row>
    <row r="119" spans="2:9" x14ac:dyDescent="0.15">
      <c r="B119" s="53"/>
      <c r="C119" s="41"/>
      <c r="D119" s="42"/>
      <c r="E119" s="42"/>
      <c r="F119" s="43"/>
      <c r="G119" s="44"/>
      <c r="H119" s="45"/>
      <c r="I119" s="47"/>
    </row>
    <row r="120" spans="2:9" x14ac:dyDescent="0.15">
      <c r="B120" s="53"/>
      <c r="C120" s="41"/>
      <c r="D120" s="42"/>
      <c r="E120" s="42"/>
      <c r="F120" s="43"/>
      <c r="G120" s="44"/>
      <c r="H120" s="45"/>
      <c r="I120" s="47"/>
    </row>
    <row r="121" spans="2:9" x14ac:dyDescent="0.15">
      <c r="B121" s="53"/>
      <c r="C121" s="41"/>
      <c r="D121" s="42"/>
      <c r="E121" s="42"/>
      <c r="F121" s="43"/>
      <c r="G121" s="44"/>
      <c r="H121" s="45"/>
      <c r="I121" s="47"/>
    </row>
    <row r="122" spans="2:9" x14ac:dyDescent="0.15">
      <c r="B122" s="60"/>
      <c r="C122" s="61"/>
      <c r="D122" s="62"/>
      <c r="E122" s="62"/>
      <c r="F122" s="63"/>
      <c r="G122" s="64"/>
      <c r="H122" s="65"/>
      <c r="I122" s="66"/>
    </row>
    <row r="123" spans="2:9" x14ac:dyDescent="0.15">
      <c r="B123" s="53"/>
      <c r="C123" s="41"/>
      <c r="D123" s="42"/>
      <c r="E123" s="42"/>
      <c r="F123" s="43"/>
      <c r="G123" s="44"/>
      <c r="H123" s="45"/>
      <c r="I123" s="47"/>
    </row>
    <row r="124" spans="2:9" x14ac:dyDescent="0.15">
      <c r="B124" s="53"/>
      <c r="C124" s="41"/>
      <c r="D124" s="42"/>
      <c r="E124" s="42"/>
      <c r="F124" s="43"/>
      <c r="G124" s="44"/>
      <c r="H124" s="45"/>
      <c r="I124" s="47"/>
    </row>
    <row r="125" spans="2:9" x14ac:dyDescent="0.15">
      <c r="B125" s="53"/>
      <c r="C125" s="41"/>
      <c r="D125" s="42"/>
      <c r="E125" s="42"/>
      <c r="F125" s="43"/>
      <c r="G125" s="44"/>
      <c r="H125" s="45"/>
      <c r="I125" s="47"/>
    </row>
    <row r="126" spans="2:9" x14ac:dyDescent="0.15">
      <c r="B126" s="53"/>
      <c r="C126" s="41"/>
      <c r="D126" s="42"/>
      <c r="E126" s="42"/>
      <c r="F126" s="43"/>
      <c r="G126" s="44"/>
      <c r="H126" s="45"/>
      <c r="I126" s="47"/>
    </row>
    <row r="127" spans="2:9" x14ac:dyDescent="0.15">
      <c r="B127" s="53"/>
      <c r="C127" s="41"/>
      <c r="D127" s="42"/>
      <c r="E127" s="42"/>
      <c r="F127" s="43"/>
      <c r="G127" s="44"/>
      <c r="H127" s="45"/>
      <c r="I127" s="47"/>
    </row>
    <row r="128" spans="2:9" x14ac:dyDescent="0.15">
      <c r="B128" s="53"/>
      <c r="C128" s="41"/>
      <c r="D128" s="42"/>
      <c r="E128" s="42"/>
      <c r="F128" s="43"/>
      <c r="G128" s="44"/>
      <c r="H128" s="45"/>
      <c r="I128" s="47"/>
    </row>
    <row r="129" spans="2:9" x14ac:dyDescent="0.15">
      <c r="B129" s="53"/>
      <c r="C129" s="41"/>
      <c r="D129" s="42"/>
      <c r="E129" s="42"/>
      <c r="F129" s="43"/>
      <c r="G129" s="44"/>
      <c r="H129" s="45"/>
      <c r="I129" s="47"/>
    </row>
    <row r="130" spans="2:9" x14ac:dyDescent="0.15">
      <c r="B130" s="53"/>
      <c r="C130" s="41"/>
      <c r="D130" s="42"/>
      <c r="E130" s="42"/>
      <c r="F130" s="43"/>
      <c r="G130" s="44"/>
      <c r="H130" s="45"/>
      <c r="I130" s="47"/>
    </row>
    <row r="131" spans="2:9" x14ac:dyDescent="0.15">
      <c r="B131" s="53"/>
      <c r="C131" s="41"/>
      <c r="D131" s="42"/>
      <c r="E131" s="42"/>
      <c r="F131" s="43"/>
      <c r="G131" s="44"/>
      <c r="H131" s="45"/>
      <c r="I131" s="47"/>
    </row>
    <row r="132" spans="2:9" x14ac:dyDescent="0.15">
      <c r="B132" s="53"/>
      <c r="C132" s="41"/>
      <c r="D132" s="42"/>
      <c r="E132" s="42"/>
      <c r="F132" s="43"/>
      <c r="G132" s="44"/>
      <c r="H132" s="45"/>
      <c r="I132" s="47"/>
    </row>
    <row r="133" spans="2:9" x14ac:dyDescent="0.15">
      <c r="B133" s="53"/>
      <c r="C133" s="41"/>
      <c r="D133" s="42"/>
      <c r="E133" s="42"/>
      <c r="F133" s="43"/>
      <c r="G133" s="44"/>
      <c r="H133" s="45"/>
      <c r="I133" s="47"/>
    </row>
    <row r="134" spans="2:9" x14ac:dyDescent="0.15">
      <c r="B134" s="53"/>
      <c r="C134" s="41"/>
      <c r="D134" s="42"/>
      <c r="E134" s="42"/>
      <c r="F134" s="43"/>
      <c r="G134" s="44"/>
      <c r="H134" s="45"/>
      <c r="I134" s="47"/>
    </row>
    <row r="135" spans="2:9" x14ac:dyDescent="0.15">
      <c r="B135" s="53"/>
      <c r="C135" s="41"/>
      <c r="D135" s="42"/>
      <c r="E135" s="42"/>
      <c r="F135" s="43"/>
      <c r="G135" s="44"/>
      <c r="H135" s="45"/>
      <c r="I135" s="47"/>
    </row>
    <row r="136" spans="2:9" x14ac:dyDescent="0.15">
      <c r="B136" s="53"/>
      <c r="C136" s="41"/>
      <c r="D136" s="42"/>
      <c r="E136" s="42"/>
      <c r="F136" s="43"/>
      <c r="G136" s="44"/>
      <c r="H136" s="45"/>
      <c r="I136" s="47"/>
    </row>
    <row r="137" spans="2:9" x14ac:dyDescent="0.15">
      <c r="B137" s="53"/>
      <c r="C137" s="41"/>
      <c r="D137" s="42"/>
      <c r="E137" s="42"/>
      <c r="F137" s="43"/>
      <c r="G137" s="44"/>
      <c r="H137" s="45"/>
      <c r="I137" s="47"/>
    </row>
    <row r="138" spans="2:9" x14ac:dyDescent="0.15">
      <c r="B138" s="53"/>
      <c r="C138" s="41"/>
      <c r="D138" s="42"/>
      <c r="E138" s="42"/>
      <c r="F138" s="43"/>
      <c r="G138" s="44"/>
      <c r="H138" s="45"/>
      <c r="I138" s="47"/>
    </row>
    <row r="139" spans="2:9" x14ac:dyDescent="0.15">
      <c r="B139" s="53"/>
      <c r="C139" s="41"/>
      <c r="D139" s="42"/>
      <c r="E139" s="42"/>
      <c r="F139" s="43"/>
      <c r="G139" s="44"/>
      <c r="H139" s="45"/>
      <c r="I139" s="47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3.6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9"/>
    </row>
    <row r="6" spans="1:4" ht="24.45" x14ac:dyDescent="0.15">
      <c r="B6" s="95" t="s">
        <v>163</v>
      </c>
      <c r="C6" s="95"/>
      <c r="D6" s="95"/>
    </row>
    <row r="8" spans="1:4" ht="15.65" x14ac:dyDescent="0.15">
      <c r="B8" s="96" t="str">
        <f>"ver. "&amp;INDEX(Cover!B25:B56,COUNTA(Cover!B25:B56),0)</f>
        <v>ver. 1.3.1</v>
      </c>
      <c r="C8" s="96"/>
      <c r="D8" s="96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7.2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1630392</xdr:colOff>
                <xdr:row>17</xdr:row>
                <xdr:rowOff>172528</xdr:rowOff>
              </from>
              <to>
                <xdr:col>3</xdr:col>
                <xdr:colOff>2199736</xdr:colOff>
                <xdr:row>21</xdr:row>
                <xdr:rowOff>17253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8626</xdr:rowOff>
              </from>
              <to>
                <xdr:col>3</xdr:col>
                <xdr:colOff>569343</xdr:colOff>
                <xdr:row>21</xdr:row>
                <xdr:rowOff>34506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>
      <selection activeCell="G18" sqref="G18"/>
    </sheetView>
  </sheetViews>
  <sheetFormatPr defaultColWidth="9" defaultRowHeight="13.6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5.25" x14ac:dyDescent="0.15">
      <c r="C5" s="23" t="s">
        <v>113</v>
      </c>
      <c r="D5" s="25" t="s">
        <v>127</v>
      </c>
    </row>
    <row r="6" spans="1:4" ht="53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40.1" x14ac:dyDescent="0.15">
      <c r="C12" s="97" t="s">
        <v>118</v>
      </c>
      <c r="D12" s="25" t="s">
        <v>164</v>
      </c>
    </row>
    <row r="13" spans="1:4" ht="79.5" x14ac:dyDescent="0.15">
      <c r="C13" s="98"/>
      <c r="D13" s="25" t="s">
        <v>171</v>
      </c>
    </row>
    <row r="14" spans="1:4" ht="26.5" x14ac:dyDescent="0.15">
      <c r="C14" s="98"/>
      <c r="D14" s="25" t="s">
        <v>165</v>
      </c>
    </row>
    <row r="15" spans="1:4" ht="27.2" x14ac:dyDescent="0.15">
      <c r="C15" s="98"/>
      <c r="D15" s="25" t="s">
        <v>172</v>
      </c>
    </row>
    <row r="16" spans="1:4" x14ac:dyDescent="0.15">
      <c r="C16" s="99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5.85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6.5" x14ac:dyDescent="0.15">
      <c r="C21" s="23" t="s">
        <v>122</v>
      </c>
      <c r="D21" s="25" t="s">
        <v>128</v>
      </c>
    </row>
    <row r="22" spans="1:4" ht="173.9" x14ac:dyDescent="0.15">
      <c r="C22" s="23" t="s">
        <v>123</v>
      </c>
      <c r="D22" s="25" t="s">
        <v>170</v>
      </c>
    </row>
    <row r="23" spans="1:4" ht="39.4" x14ac:dyDescent="0.15">
      <c r="C23" s="100" t="s">
        <v>222</v>
      </c>
      <c r="D23" s="25" t="s">
        <v>129</v>
      </c>
    </row>
    <row r="24" spans="1:4" x14ac:dyDescent="0.15">
      <c r="C24" s="101"/>
      <c r="D24" s="15" t="s">
        <v>223</v>
      </c>
    </row>
    <row r="25" spans="1:4" ht="25.85" x14ac:dyDescent="0.15">
      <c r="C25" s="97" t="s">
        <v>126</v>
      </c>
      <c r="D25" s="25" t="s">
        <v>174</v>
      </c>
    </row>
    <row r="26" spans="1:4" ht="26.5" x14ac:dyDescent="0.15">
      <c r="C26" s="99"/>
      <c r="D26" s="25" t="s">
        <v>173</v>
      </c>
    </row>
    <row r="28" spans="1:4" x14ac:dyDescent="0.15">
      <c r="B28" s="1" t="s">
        <v>168</v>
      </c>
    </row>
    <row r="29" spans="1:4" ht="39.4" x14ac:dyDescent="0.15">
      <c r="A29" s="2" t="s">
        <v>224</v>
      </c>
      <c r="C29" s="23" t="s">
        <v>169</v>
      </c>
      <c r="D29" s="25" t="s">
        <v>225</v>
      </c>
    </row>
    <row r="30" spans="1:4" ht="40.1" x14ac:dyDescent="0.15">
      <c r="C30" s="23" t="s">
        <v>226</v>
      </c>
      <c r="D30" s="25" t="s">
        <v>175</v>
      </c>
    </row>
    <row r="31" spans="1:4" ht="132.44999999999999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20"/>
  <sheetViews>
    <sheetView showGridLines="0" topLeftCell="A17" zoomScaleNormal="100" workbookViewId="0">
      <selection activeCell="C39" sqref="C39"/>
    </sheetView>
  </sheetViews>
  <sheetFormatPr defaultColWidth="9" defaultRowHeight="13.6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102" t="s">
        <v>117</v>
      </c>
      <c r="H7" s="103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310</v>
      </c>
      <c r="G8" s="24" t="s">
        <v>7</v>
      </c>
      <c r="H8" s="24" t="s">
        <v>90</v>
      </c>
      <c r="I8" s="24" t="s">
        <v>20</v>
      </c>
      <c r="J8" s="9" t="s">
        <v>268</v>
      </c>
      <c r="K8" s="24">
        <v>0</v>
      </c>
      <c r="L8" s="24" t="s">
        <v>314</v>
      </c>
      <c r="M8" s="24" t="s">
        <v>229</v>
      </c>
      <c r="N8" s="24" t="s">
        <v>90</v>
      </c>
      <c r="P8" s="1" t="s">
        <v>315</v>
      </c>
      <c r="Q8" s="1" t="s">
        <v>130</v>
      </c>
    </row>
    <row r="9" spans="1:20" x14ac:dyDescent="0.15">
      <c r="E9" s="4">
        <f t="shared" ref="E9:E73" si="0">ROW(E9)-ROW($E$7)</f>
        <v>2</v>
      </c>
      <c r="F9" s="24" t="s">
        <v>311</v>
      </c>
      <c r="G9" s="24" t="s">
        <v>9</v>
      </c>
      <c r="H9" s="24" t="s">
        <v>90</v>
      </c>
      <c r="I9" s="24" t="s">
        <v>20</v>
      </c>
      <c r="J9" s="24" t="s">
        <v>268</v>
      </c>
      <c r="K9" s="24">
        <v>0</v>
      </c>
      <c r="L9" s="24" t="s">
        <v>316</v>
      </c>
      <c r="M9" s="24" t="s">
        <v>230</v>
      </c>
      <c r="N9" s="24" t="s">
        <v>90</v>
      </c>
      <c r="P9" s="1" t="s">
        <v>317</v>
      </c>
      <c r="Q9" s="1" t="s">
        <v>131</v>
      </c>
    </row>
    <row r="10" spans="1:20" x14ac:dyDescent="0.15">
      <c r="E10" s="4">
        <f t="shared" si="0"/>
        <v>3</v>
      </c>
      <c r="F10" s="24" t="s">
        <v>312</v>
      </c>
      <c r="G10" s="24" t="s">
        <v>11</v>
      </c>
      <c r="H10" s="24" t="s">
        <v>90</v>
      </c>
      <c r="I10" s="24" t="s">
        <v>20</v>
      </c>
      <c r="J10" s="24" t="s">
        <v>268</v>
      </c>
      <c r="K10" s="24">
        <v>0</v>
      </c>
      <c r="L10" s="24" t="s">
        <v>318</v>
      </c>
      <c r="M10" s="24" t="s">
        <v>231</v>
      </c>
      <c r="N10" s="24" t="s">
        <v>90</v>
      </c>
      <c r="P10" s="1" t="s">
        <v>319</v>
      </c>
      <c r="Q10" s="1" t="s">
        <v>132</v>
      </c>
    </row>
    <row r="11" spans="1:20" x14ac:dyDescent="0.15">
      <c r="E11" s="4">
        <f t="shared" si="0"/>
        <v>4</v>
      </c>
      <c r="F11" s="24" t="s">
        <v>313</v>
      </c>
      <c r="G11" s="24" t="s">
        <v>29</v>
      </c>
      <c r="H11" s="24">
        <v>4</v>
      </c>
      <c r="I11" s="24" t="s">
        <v>20</v>
      </c>
      <c r="J11" s="24" t="s">
        <v>268</v>
      </c>
      <c r="K11" s="24">
        <v>0</v>
      </c>
      <c r="L11" s="24" t="s">
        <v>320</v>
      </c>
      <c r="M11" s="24" t="s">
        <v>232</v>
      </c>
      <c r="N11" s="24">
        <v>0</v>
      </c>
      <c r="P11" s="1" t="s">
        <v>321</v>
      </c>
      <c r="Q11" s="1" t="s">
        <v>133</v>
      </c>
      <c r="S11" s="1" t="s">
        <v>323</v>
      </c>
      <c r="T11" s="1" t="s">
        <v>134</v>
      </c>
    </row>
    <row r="12" spans="1:20" x14ac:dyDescent="0.15">
      <c r="E12" s="4">
        <f t="shared" si="0"/>
        <v>5</v>
      </c>
      <c r="F12" s="24" t="s">
        <v>269</v>
      </c>
      <c r="G12" s="24" t="s">
        <v>7</v>
      </c>
      <c r="H12" s="24" t="s">
        <v>90</v>
      </c>
      <c r="I12" s="24" t="s">
        <v>21</v>
      </c>
      <c r="J12" s="24" t="s">
        <v>268</v>
      </c>
      <c r="K12" s="24">
        <v>0</v>
      </c>
      <c r="L12" s="24" t="s">
        <v>281</v>
      </c>
      <c r="M12" s="24" t="s">
        <v>233</v>
      </c>
      <c r="N12" s="24" t="s">
        <v>90</v>
      </c>
      <c r="P12" s="1" t="s">
        <v>282</v>
      </c>
      <c r="Q12" s="1" t="s">
        <v>135</v>
      </c>
    </row>
    <row r="13" spans="1:20" x14ac:dyDescent="0.15">
      <c r="E13" s="4">
        <f t="shared" si="0"/>
        <v>6</v>
      </c>
      <c r="F13" s="24" t="s">
        <v>270</v>
      </c>
      <c r="G13" s="24" t="s">
        <v>9</v>
      </c>
      <c r="H13" s="24" t="s">
        <v>90</v>
      </c>
      <c r="I13" s="24" t="s">
        <v>21</v>
      </c>
      <c r="J13" s="24" t="s">
        <v>268</v>
      </c>
      <c r="K13" s="24">
        <v>0</v>
      </c>
      <c r="L13" s="24" t="s">
        <v>283</v>
      </c>
      <c r="M13" s="24" t="s">
        <v>234</v>
      </c>
      <c r="N13" s="24" t="s">
        <v>90</v>
      </c>
      <c r="P13" s="1" t="s">
        <v>284</v>
      </c>
      <c r="Q13" s="1" t="s">
        <v>136</v>
      </c>
    </row>
    <row r="14" spans="1:20" x14ac:dyDescent="0.15">
      <c r="E14" s="4">
        <f t="shared" si="0"/>
        <v>7</v>
      </c>
      <c r="F14" s="24" t="s">
        <v>271</v>
      </c>
      <c r="G14" s="24" t="s">
        <v>11</v>
      </c>
      <c r="H14" s="24" t="s">
        <v>90</v>
      </c>
      <c r="I14" s="24" t="s">
        <v>21</v>
      </c>
      <c r="J14" s="24" t="s">
        <v>268</v>
      </c>
      <c r="K14" s="24">
        <v>0</v>
      </c>
      <c r="L14" s="24" t="s">
        <v>285</v>
      </c>
      <c r="M14" s="24" t="s">
        <v>235</v>
      </c>
      <c r="N14" s="24" t="s">
        <v>90</v>
      </c>
      <c r="P14" s="1" t="s">
        <v>286</v>
      </c>
      <c r="Q14" s="1" t="s">
        <v>137</v>
      </c>
    </row>
    <row r="15" spans="1:20" x14ac:dyDescent="0.15">
      <c r="E15" s="4">
        <f t="shared" si="0"/>
        <v>8</v>
      </c>
      <c r="F15" s="24" t="s">
        <v>272</v>
      </c>
      <c r="G15" s="24" t="s">
        <v>7</v>
      </c>
      <c r="H15" s="24" t="s">
        <v>90</v>
      </c>
      <c r="I15" s="24" t="s">
        <v>22</v>
      </c>
      <c r="J15" s="24" t="s">
        <v>268</v>
      </c>
      <c r="K15" s="24">
        <v>0</v>
      </c>
      <c r="L15" s="24" t="s">
        <v>287</v>
      </c>
      <c r="M15" s="24" t="s">
        <v>236</v>
      </c>
      <c r="N15" s="24" t="s">
        <v>90</v>
      </c>
      <c r="P15" s="1" t="s">
        <v>288</v>
      </c>
      <c r="Q15" s="1" t="s">
        <v>138</v>
      </c>
    </row>
    <row r="16" spans="1:20" x14ac:dyDescent="0.15">
      <c r="E16" s="4">
        <f t="shared" si="0"/>
        <v>9</v>
      </c>
      <c r="F16" s="24" t="s">
        <v>274</v>
      </c>
      <c r="G16" s="24" t="s">
        <v>9</v>
      </c>
      <c r="H16" s="24" t="s">
        <v>90</v>
      </c>
      <c r="I16" s="24" t="s">
        <v>22</v>
      </c>
      <c r="J16" s="24" t="s">
        <v>268</v>
      </c>
      <c r="K16" s="24">
        <v>0</v>
      </c>
      <c r="L16" s="24" t="s">
        <v>289</v>
      </c>
      <c r="M16" s="24" t="s">
        <v>237</v>
      </c>
      <c r="N16" s="24" t="s">
        <v>90</v>
      </c>
      <c r="P16" s="1" t="s">
        <v>290</v>
      </c>
      <c r="Q16" s="1" t="s">
        <v>139</v>
      </c>
    </row>
    <row r="17" spans="3:20" x14ac:dyDescent="0.15">
      <c r="E17" s="4">
        <f t="shared" si="0"/>
        <v>10</v>
      </c>
      <c r="F17" s="24" t="s">
        <v>275</v>
      </c>
      <c r="G17" s="24" t="s">
        <v>11</v>
      </c>
      <c r="H17" s="24" t="s">
        <v>90</v>
      </c>
      <c r="I17" s="24" t="s">
        <v>22</v>
      </c>
      <c r="J17" s="24" t="s">
        <v>268</v>
      </c>
      <c r="K17" s="24">
        <v>0</v>
      </c>
      <c r="L17" s="24" t="s">
        <v>291</v>
      </c>
      <c r="M17" s="24" t="s">
        <v>238</v>
      </c>
      <c r="N17" s="24" t="s">
        <v>90</v>
      </c>
      <c r="P17" s="1" t="s">
        <v>292</v>
      </c>
      <c r="Q17" s="1" t="s">
        <v>140</v>
      </c>
    </row>
    <row r="18" spans="3:20" x14ac:dyDescent="0.15">
      <c r="E18" s="4">
        <f t="shared" si="0"/>
        <v>11</v>
      </c>
      <c r="F18" s="24" t="s">
        <v>276</v>
      </c>
      <c r="G18" s="24" t="s">
        <v>29</v>
      </c>
      <c r="H18" s="24">
        <v>4</v>
      </c>
      <c r="I18" s="24" t="s">
        <v>22</v>
      </c>
      <c r="J18" s="24" t="s">
        <v>268</v>
      </c>
      <c r="K18" s="24">
        <v>0</v>
      </c>
      <c r="L18" s="24" t="s">
        <v>293</v>
      </c>
      <c r="M18" s="24" t="s">
        <v>239</v>
      </c>
      <c r="N18" s="24">
        <v>0</v>
      </c>
      <c r="P18" s="1" t="s">
        <v>294</v>
      </c>
      <c r="Q18" s="1" t="s">
        <v>141</v>
      </c>
      <c r="S18" s="1" t="s">
        <v>307</v>
      </c>
      <c r="T18" s="1" t="s">
        <v>142</v>
      </c>
    </row>
    <row r="19" spans="3:20" x14ac:dyDescent="0.15">
      <c r="E19" s="4">
        <f t="shared" si="0"/>
        <v>12</v>
      </c>
      <c r="F19" s="24" t="s">
        <v>273</v>
      </c>
      <c r="G19" s="24" t="s">
        <v>7</v>
      </c>
      <c r="H19" s="24" t="s">
        <v>90</v>
      </c>
      <c r="I19" s="24" t="s">
        <v>23</v>
      </c>
      <c r="J19" s="24" t="s">
        <v>268</v>
      </c>
      <c r="K19" s="24">
        <v>0</v>
      </c>
      <c r="L19" s="24" t="s">
        <v>295</v>
      </c>
      <c r="M19" s="24" t="s">
        <v>240</v>
      </c>
      <c r="N19" s="24" t="s">
        <v>90</v>
      </c>
      <c r="P19" s="1" t="s">
        <v>296</v>
      </c>
      <c r="Q19" s="1" t="s">
        <v>143</v>
      </c>
    </row>
    <row r="20" spans="3:20" x14ac:dyDescent="0.15">
      <c r="E20" s="4">
        <f t="shared" si="0"/>
        <v>13</v>
      </c>
      <c r="F20" s="24" t="s">
        <v>277</v>
      </c>
      <c r="G20" s="24" t="s">
        <v>9</v>
      </c>
      <c r="H20" s="24" t="s">
        <v>90</v>
      </c>
      <c r="I20" s="24" t="s">
        <v>23</v>
      </c>
      <c r="J20" s="24" t="s">
        <v>268</v>
      </c>
      <c r="K20" s="24">
        <v>0</v>
      </c>
      <c r="L20" s="24" t="s">
        <v>297</v>
      </c>
      <c r="M20" s="24" t="s">
        <v>241</v>
      </c>
      <c r="N20" s="24" t="s">
        <v>90</v>
      </c>
      <c r="P20" s="1" t="s">
        <v>298</v>
      </c>
      <c r="Q20" s="1" t="s">
        <v>153</v>
      </c>
    </row>
    <row r="21" spans="3:20" x14ac:dyDescent="0.15">
      <c r="E21" s="4">
        <f t="shared" si="0"/>
        <v>14</v>
      </c>
      <c r="F21" s="24" t="s">
        <v>278</v>
      </c>
      <c r="G21" s="24" t="s">
        <v>11</v>
      </c>
      <c r="H21" s="24" t="s">
        <v>90</v>
      </c>
      <c r="I21" s="24" t="s">
        <v>23</v>
      </c>
      <c r="J21" s="24" t="s">
        <v>268</v>
      </c>
      <c r="K21" s="24">
        <v>0</v>
      </c>
      <c r="L21" s="24" t="s">
        <v>299</v>
      </c>
      <c r="M21" s="24" t="s">
        <v>242</v>
      </c>
      <c r="N21" s="24" t="s">
        <v>90</v>
      </c>
      <c r="P21" s="1" t="s">
        <v>300</v>
      </c>
      <c r="Q21" s="1" t="s">
        <v>144</v>
      </c>
    </row>
    <row r="22" spans="3:20" x14ac:dyDescent="0.15">
      <c r="E22" s="4">
        <f t="shared" si="0"/>
        <v>15</v>
      </c>
      <c r="F22" s="24" t="s">
        <v>279</v>
      </c>
      <c r="G22" s="24" t="s">
        <v>29</v>
      </c>
      <c r="H22" s="24">
        <v>4</v>
      </c>
      <c r="I22" s="24" t="s">
        <v>23</v>
      </c>
      <c r="J22" s="24" t="s">
        <v>268</v>
      </c>
      <c r="K22" s="24">
        <v>0</v>
      </c>
      <c r="L22" s="24" t="s">
        <v>301</v>
      </c>
      <c r="M22" s="24" t="s">
        <v>243</v>
      </c>
      <c r="N22" s="24">
        <v>0</v>
      </c>
      <c r="P22" s="1" t="s">
        <v>302</v>
      </c>
      <c r="Q22" s="1" t="s">
        <v>154</v>
      </c>
      <c r="S22" s="1" t="s">
        <v>303</v>
      </c>
      <c r="T22" s="1" t="s">
        <v>155</v>
      </c>
    </row>
    <row r="23" spans="3:20" x14ac:dyDescent="0.15">
      <c r="E23" s="4">
        <f t="shared" si="0"/>
        <v>16</v>
      </c>
      <c r="F23" s="24" t="s">
        <v>280</v>
      </c>
      <c r="G23" s="24" t="s">
        <v>29</v>
      </c>
      <c r="H23" s="24">
        <v>8</v>
      </c>
      <c r="I23" s="24" t="s">
        <v>23</v>
      </c>
      <c r="J23" s="24" t="s">
        <v>268</v>
      </c>
      <c r="K23" s="24">
        <v>1</v>
      </c>
      <c r="L23" s="24" t="s">
        <v>304</v>
      </c>
      <c r="M23" s="24" t="s">
        <v>267</v>
      </c>
      <c r="N23" s="24">
        <v>1</v>
      </c>
      <c r="P23" s="1" t="s">
        <v>305</v>
      </c>
      <c r="Q23" s="1" t="s">
        <v>154</v>
      </c>
      <c r="S23" s="1" t="s">
        <v>309</v>
      </c>
      <c r="T23" s="1" t="s">
        <v>155</v>
      </c>
    </row>
    <row r="24" spans="3:20" x14ac:dyDescent="0.15">
      <c r="C24" s="67" t="s">
        <v>496</v>
      </c>
      <c r="E24" s="4">
        <f t="shared" si="0"/>
        <v>17</v>
      </c>
      <c r="F24" s="24" t="s">
        <v>339</v>
      </c>
      <c r="G24" s="24" t="s">
        <v>11</v>
      </c>
      <c r="H24" s="24" t="s">
        <v>90</v>
      </c>
      <c r="I24" s="24" t="s">
        <v>20</v>
      </c>
      <c r="J24" s="24" t="s">
        <v>348</v>
      </c>
      <c r="K24" s="24">
        <v>1</v>
      </c>
      <c r="L24" s="24" t="s">
        <v>357</v>
      </c>
      <c r="M24" s="24" t="s">
        <v>358</v>
      </c>
      <c r="N24" s="24" t="s">
        <v>90</v>
      </c>
      <c r="P24" s="1" t="s">
        <v>359</v>
      </c>
      <c r="Q24" s="1" t="s">
        <v>132</v>
      </c>
    </row>
    <row r="25" spans="3:20" x14ac:dyDescent="0.15">
      <c r="C25" s="67" t="s">
        <v>496</v>
      </c>
      <c r="E25" s="4">
        <f t="shared" si="0"/>
        <v>18</v>
      </c>
      <c r="F25" s="24" t="s">
        <v>340</v>
      </c>
      <c r="G25" s="24" t="s">
        <v>11</v>
      </c>
      <c r="H25" s="24" t="s">
        <v>90</v>
      </c>
      <c r="I25" s="24" t="s">
        <v>20</v>
      </c>
      <c r="J25" s="24" t="s">
        <v>348</v>
      </c>
      <c r="K25" s="24">
        <v>2</v>
      </c>
      <c r="L25" s="24" t="s">
        <v>360</v>
      </c>
      <c r="M25" s="24" t="s">
        <v>361</v>
      </c>
      <c r="N25" s="24" t="s">
        <v>90</v>
      </c>
      <c r="P25" s="1" t="s">
        <v>362</v>
      </c>
      <c r="Q25" s="1" t="s">
        <v>132</v>
      </c>
    </row>
    <row r="26" spans="3:20" x14ac:dyDescent="0.15">
      <c r="C26" s="67" t="s">
        <v>496</v>
      </c>
      <c r="E26" s="4">
        <f t="shared" si="0"/>
        <v>19</v>
      </c>
      <c r="F26" s="24" t="s">
        <v>341</v>
      </c>
      <c r="G26" s="24" t="s">
        <v>11</v>
      </c>
      <c r="H26" s="24" t="s">
        <v>90</v>
      </c>
      <c r="I26" s="24" t="s">
        <v>20</v>
      </c>
      <c r="J26" s="24" t="s">
        <v>348</v>
      </c>
      <c r="K26" s="24">
        <v>3</v>
      </c>
      <c r="L26" s="24" t="s">
        <v>363</v>
      </c>
      <c r="M26" s="24" t="s">
        <v>364</v>
      </c>
      <c r="N26" s="24" t="s">
        <v>90</v>
      </c>
      <c r="P26" s="1" t="s">
        <v>365</v>
      </c>
      <c r="Q26" s="1" t="s">
        <v>132</v>
      </c>
    </row>
    <row r="27" spans="3:20" x14ac:dyDescent="0.15">
      <c r="C27" s="67" t="s">
        <v>496</v>
      </c>
      <c r="E27" s="4">
        <f t="shared" si="0"/>
        <v>20</v>
      </c>
      <c r="F27" s="24" t="s">
        <v>342</v>
      </c>
      <c r="G27" s="24" t="s">
        <v>11</v>
      </c>
      <c r="H27" s="24" t="s">
        <v>90</v>
      </c>
      <c r="I27" s="24" t="s">
        <v>20</v>
      </c>
      <c r="J27" s="24" t="s">
        <v>348</v>
      </c>
      <c r="K27" s="24">
        <v>4</v>
      </c>
      <c r="L27" s="24" t="s">
        <v>366</v>
      </c>
      <c r="M27" s="24" t="s">
        <v>367</v>
      </c>
      <c r="N27" s="24" t="s">
        <v>90</v>
      </c>
      <c r="P27" s="1" t="s">
        <v>368</v>
      </c>
      <c r="Q27" s="1" t="s">
        <v>132</v>
      </c>
    </row>
    <row r="28" spans="3:20" x14ac:dyDescent="0.15">
      <c r="C28" s="67" t="s">
        <v>496</v>
      </c>
      <c r="E28" s="4">
        <f t="shared" si="0"/>
        <v>21</v>
      </c>
      <c r="F28" s="24" t="s">
        <v>343</v>
      </c>
      <c r="G28" s="24" t="s">
        <v>11</v>
      </c>
      <c r="H28" s="24" t="s">
        <v>90</v>
      </c>
      <c r="I28" s="24" t="s">
        <v>20</v>
      </c>
      <c r="J28" s="24" t="s">
        <v>348</v>
      </c>
      <c r="K28" s="24">
        <v>5</v>
      </c>
      <c r="L28" s="24" t="s">
        <v>369</v>
      </c>
      <c r="M28" s="24" t="s">
        <v>370</v>
      </c>
      <c r="N28" s="24" t="s">
        <v>90</v>
      </c>
      <c r="P28" s="1" t="s">
        <v>371</v>
      </c>
      <c r="Q28" s="1" t="s">
        <v>132</v>
      </c>
    </row>
    <row r="29" spans="3:20" x14ac:dyDescent="0.15">
      <c r="C29" s="67" t="s">
        <v>496</v>
      </c>
      <c r="E29" s="4">
        <f t="shared" si="0"/>
        <v>22</v>
      </c>
      <c r="F29" s="24" t="s">
        <v>344</v>
      </c>
      <c r="G29" s="24" t="s">
        <v>11</v>
      </c>
      <c r="H29" s="24" t="s">
        <v>90</v>
      </c>
      <c r="I29" s="24" t="s">
        <v>20</v>
      </c>
      <c r="J29" s="24" t="s">
        <v>348</v>
      </c>
      <c r="K29" s="24">
        <v>6</v>
      </c>
      <c r="L29" s="24" t="s">
        <v>372</v>
      </c>
      <c r="M29" s="24" t="s">
        <v>373</v>
      </c>
      <c r="N29" s="24" t="s">
        <v>90</v>
      </c>
      <c r="P29" s="1" t="s">
        <v>374</v>
      </c>
      <c r="Q29" s="1" t="s">
        <v>132</v>
      </c>
    </row>
    <row r="30" spans="3:20" x14ac:dyDescent="0.15">
      <c r="C30" s="67" t="s">
        <v>496</v>
      </c>
      <c r="E30" s="4">
        <f t="shared" si="0"/>
        <v>23</v>
      </c>
      <c r="F30" s="24" t="s">
        <v>345</v>
      </c>
      <c r="G30" s="24" t="s">
        <v>11</v>
      </c>
      <c r="H30" s="24" t="s">
        <v>90</v>
      </c>
      <c r="I30" s="24" t="s">
        <v>20</v>
      </c>
      <c r="J30" s="24" t="s">
        <v>348</v>
      </c>
      <c r="K30" s="24">
        <v>7</v>
      </c>
      <c r="L30" s="24" t="s">
        <v>375</v>
      </c>
      <c r="M30" s="24" t="s">
        <v>376</v>
      </c>
      <c r="N30" s="24" t="s">
        <v>90</v>
      </c>
      <c r="P30" s="1" t="s">
        <v>377</v>
      </c>
      <c r="Q30" s="1" t="s">
        <v>132</v>
      </c>
    </row>
    <row r="31" spans="3:20" x14ac:dyDescent="0.15">
      <c r="C31" s="67" t="s">
        <v>496</v>
      </c>
      <c r="E31" s="4">
        <f t="shared" si="0"/>
        <v>24</v>
      </c>
      <c r="F31" s="24" t="s">
        <v>346</v>
      </c>
      <c r="G31" s="24" t="s">
        <v>11</v>
      </c>
      <c r="H31" s="24" t="s">
        <v>90</v>
      </c>
      <c r="I31" s="24" t="s">
        <v>20</v>
      </c>
      <c r="J31" s="24" t="s">
        <v>348</v>
      </c>
      <c r="K31" s="24">
        <v>8</v>
      </c>
      <c r="L31" s="24" t="s">
        <v>378</v>
      </c>
      <c r="M31" s="24" t="s">
        <v>379</v>
      </c>
      <c r="N31" s="24" t="s">
        <v>90</v>
      </c>
      <c r="P31" s="1" t="s">
        <v>380</v>
      </c>
      <c r="Q31" s="1" t="s">
        <v>132</v>
      </c>
    </row>
    <row r="32" spans="3:20" x14ac:dyDescent="0.15">
      <c r="C32" s="67" t="s">
        <v>496</v>
      </c>
      <c r="E32" s="4">
        <f t="shared" si="0"/>
        <v>25</v>
      </c>
      <c r="F32" s="24" t="s">
        <v>347</v>
      </c>
      <c r="G32" s="24" t="s">
        <v>11</v>
      </c>
      <c r="H32" s="24" t="s">
        <v>90</v>
      </c>
      <c r="I32" s="24" t="s">
        <v>20</v>
      </c>
      <c r="J32" s="24" t="s">
        <v>348</v>
      </c>
      <c r="K32" s="24">
        <v>9</v>
      </c>
      <c r="L32" s="24" t="s">
        <v>381</v>
      </c>
      <c r="M32" s="24" t="s">
        <v>382</v>
      </c>
      <c r="N32" s="24" t="s">
        <v>90</v>
      </c>
      <c r="P32" s="1" t="s">
        <v>383</v>
      </c>
      <c r="Q32" s="1" t="s">
        <v>132</v>
      </c>
    </row>
    <row r="33" spans="3:17" x14ac:dyDescent="0.15">
      <c r="C33" s="67" t="s">
        <v>498</v>
      </c>
      <c r="E33" s="4">
        <f t="shared" si="0"/>
        <v>26</v>
      </c>
      <c r="F33" s="31" t="s">
        <v>484</v>
      </c>
      <c r="G33" s="31" t="s">
        <v>7</v>
      </c>
      <c r="H33" s="31" t="s">
        <v>90</v>
      </c>
      <c r="I33" s="31" t="s">
        <v>20</v>
      </c>
      <c r="J33" s="30" t="s">
        <v>348</v>
      </c>
      <c r="K33" s="24">
        <v>1</v>
      </c>
      <c r="L33" s="24" t="s">
        <v>485</v>
      </c>
      <c r="M33" s="24" t="s">
        <v>427</v>
      </c>
      <c r="N33" s="24" t="s">
        <v>90</v>
      </c>
      <c r="P33" s="1" t="s">
        <v>486</v>
      </c>
      <c r="Q33" s="1" t="s">
        <v>130</v>
      </c>
    </row>
    <row r="34" spans="3:17" x14ac:dyDescent="0.15">
      <c r="C34" s="67" t="s">
        <v>521</v>
      </c>
      <c r="D34" s="88"/>
      <c r="E34" s="30">
        <f t="shared" si="0"/>
        <v>27</v>
      </c>
      <c r="F34" s="31" t="s">
        <v>517</v>
      </c>
      <c r="G34" s="31" t="s">
        <v>9</v>
      </c>
      <c r="H34" s="31" t="s">
        <v>90</v>
      </c>
      <c r="I34" s="31" t="s">
        <v>20</v>
      </c>
      <c r="J34" s="30" t="s">
        <v>520</v>
      </c>
      <c r="K34" s="31">
        <v>1</v>
      </c>
      <c r="L34" s="24" t="s">
        <v>523</v>
      </c>
      <c r="M34" s="24" t="s">
        <v>470</v>
      </c>
      <c r="N34" s="24" t="s">
        <v>90</v>
      </c>
      <c r="P34" s="1" t="s">
        <v>524</v>
      </c>
      <c r="Q34" s="1" t="s">
        <v>131</v>
      </c>
    </row>
    <row r="35" spans="3:17" x14ac:dyDescent="0.15">
      <c r="C35" s="67" t="s">
        <v>521</v>
      </c>
      <c r="D35" s="88"/>
      <c r="E35" s="30">
        <f t="shared" si="0"/>
        <v>28</v>
      </c>
      <c r="F35" s="31" t="s">
        <v>518</v>
      </c>
      <c r="G35" s="31" t="s">
        <v>7</v>
      </c>
      <c r="H35" s="31" t="s">
        <v>90</v>
      </c>
      <c r="I35" s="31" t="s">
        <v>20</v>
      </c>
      <c r="J35" s="30" t="s">
        <v>520</v>
      </c>
      <c r="K35" s="31">
        <v>2</v>
      </c>
      <c r="L35" s="24" t="s">
        <v>525</v>
      </c>
      <c r="M35" s="24" t="s">
        <v>429</v>
      </c>
      <c r="N35" s="24" t="s">
        <v>90</v>
      </c>
      <c r="P35" s="1" t="s">
        <v>526</v>
      </c>
      <c r="Q35" s="1" t="s">
        <v>130</v>
      </c>
    </row>
    <row r="36" spans="3:17" x14ac:dyDescent="0.15">
      <c r="C36" s="67" t="s">
        <v>521</v>
      </c>
      <c r="D36" s="88"/>
      <c r="E36" s="30">
        <f t="shared" si="0"/>
        <v>29</v>
      </c>
      <c r="F36" s="31" t="s">
        <v>519</v>
      </c>
      <c r="G36" s="31" t="s">
        <v>7</v>
      </c>
      <c r="H36" s="31" t="s">
        <v>90</v>
      </c>
      <c r="I36" s="31" t="s">
        <v>20</v>
      </c>
      <c r="J36" s="30" t="s">
        <v>520</v>
      </c>
      <c r="K36" s="31">
        <v>3</v>
      </c>
      <c r="L36" s="24" t="s">
        <v>527</v>
      </c>
      <c r="M36" s="24" t="s">
        <v>431</v>
      </c>
      <c r="N36" s="24" t="s">
        <v>90</v>
      </c>
      <c r="P36" s="1" t="s">
        <v>528</v>
      </c>
      <c r="Q36" s="1" t="s">
        <v>130</v>
      </c>
    </row>
    <row r="37" spans="3:17" x14ac:dyDescent="0.15">
      <c r="C37" s="67" t="s">
        <v>549</v>
      </c>
      <c r="E37" s="86">
        <f t="shared" si="0"/>
        <v>30</v>
      </c>
      <c r="F37" s="87" t="s">
        <v>547</v>
      </c>
      <c r="G37" s="87" t="s">
        <v>7</v>
      </c>
      <c r="H37" s="87" t="s">
        <v>90</v>
      </c>
      <c r="I37" s="87" t="s">
        <v>22</v>
      </c>
      <c r="J37" s="86" t="s">
        <v>548</v>
      </c>
      <c r="K37" s="24">
        <v>1</v>
      </c>
      <c r="L37" s="24" t="s">
        <v>552</v>
      </c>
      <c r="M37" s="24" t="s">
        <v>553</v>
      </c>
      <c r="N37" s="24" t="s">
        <v>90</v>
      </c>
      <c r="P37" s="1" t="s">
        <v>554</v>
      </c>
      <c r="Q37" s="1" t="s">
        <v>138</v>
      </c>
    </row>
    <row r="38" spans="3:17" x14ac:dyDescent="0.15">
      <c r="E38" s="4">
        <f t="shared" si="0"/>
        <v>31</v>
      </c>
      <c r="F38" s="24" t="s">
        <v>324</v>
      </c>
      <c r="G38" s="24" t="s">
        <v>9</v>
      </c>
      <c r="H38" s="24" t="s">
        <v>90</v>
      </c>
      <c r="I38" s="24" t="s">
        <v>23</v>
      </c>
      <c r="J38" s="23" t="s">
        <v>444</v>
      </c>
      <c r="K38" s="24">
        <v>1</v>
      </c>
      <c r="L38" s="24" t="s">
        <v>384</v>
      </c>
      <c r="M38" s="24" t="s">
        <v>385</v>
      </c>
      <c r="N38" s="24" t="s">
        <v>90</v>
      </c>
      <c r="P38" s="1" t="s">
        <v>386</v>
      </c>
      <c r="Q38" s="1" t="s">
        <v>153</v>
      </c>
    </row>
    <row r="39" spans="3:17" x14ac:dyDescent="0.15">
      <c r="E39" s="4">
        <f t="shared" si="0"/>
        <v>32</v>
      </c>
      <c r="F39" s="24" t="s">
        <v>325</v>
      </c>
      <c r="G39" s="24" t="s">
        <v>9</v>
      </c>
      <c r="H39" s="24" t="s">
        <v>90</v>
      </c>
      <c r="I39" s="24" t="s">
        <v>23</v>
      </c>
      <c r="J39" s="23" t="s">
        <v>444</v>
      </c>
      <c r="K39" s="24">
        <v>2</v>
      </c>
      <c r="L39" s="24" t="s">
        <v>387</v>
      </c>
      <c r="M39" s="24" t="s">
        <v>388</v>
      </c>
      <c r="N39" s="24" t="s">
        <v>90</v>
      </c>
      <c r="P39" s="1" t="s">
        <v>389</v>
      </c>
      <c r="Q39" s="1" t="s">
        <v>153</v>
      </c>
    </row>
    <row r="40" spans="3:17" x14ac:dyDescent="0.15">
      <c r="E40" s="4">
        <f t="shared" si="0"/>
        <v>33</v>
      </c>
      <c r="F40" s="24" t="s">
        <v>326</v>
      </c>
      <c r="G40" s="24" t="s">
        <v>11</v>
      </c>
      <c r="H40" s="24" t="s">
        <v>90</v>
      </c>
      <c r="I40" s="24" t="s">
        <v>22</v>
      </c>
      <c r="J40" s="23" t="s">
        <v>444</v>
      </c>
      <c r="K40" s="24">
        <v>1</v>
      </c>
      <c r="L40" s="24" t="s">
        <v>390</v>
      </c>
      <c r="M40" s="24" t="s">
        <v>391</v>
      </c>
      <c r="N40" s="24" t="s">
        <v>90</v>
      </c>
      <c r="P40" s="1" t="s">
        <v>392</v>
      </c>
      <c r="Q40" s="1" t="s">
        <v>140</v>
      </c>
    </row>
    <row r="41" spans="3:17" x14ac:dyDescent="0.15">
      <c r="E41" s="4">
        <f t="shared" si="0"/>
        <v>34</v>
      </c>
      <c r="F41" s="24" t="s">
        <v>327</v>
      </c>
      <c r="G41" s="24" t="s">
        <v>11</v>
      </c>
      <c r="H41" s="24" t="s">
        <v>90</v>
      </c>
      <c r="I41" s="24" t="s">
        <v>23</v>
      </c>
      <c r="J41" s="23" t="s">
        <v>444</v>
      </c>
      <c r="K41" s="24">
        <v>1</v>
      </c>
      <c r="L41" s="24" t="s">
        <v>393</v>
      </c>
      <c r="M41" s="24" t="s">
        <v>394</v>
      </c>
      <c r="N41" s="24" t="s">
        <v>90</v>
      </c>
      <c r="P41" s="1" t="s">
        <v>395</v>
      </c>
      <c r="Q41" s="1" t="s">
        <v>144</v>
      </c>
    </row>
    <row r="42" spans="3:17" x14ac:dyDescent="0.15">
      <c r="E42" s="4">
        <f t="shared" si="0"/>
        <v>35</v>
      </c>
      <c r="F42" s="24" t="s">
        <v>328</v>
      </c>
      <c r="G42" s="24" t="s">
        <v>7</v>
      </c>
      <c r="H42" s="24" t="s">
        <v>90</v>
      </c>
      <c r="I42" s="24" t="s">
        <v>23</v>
      </c>
      <c r="J42" s="23" t="s">
        <v>444</v>
      </c>
      <c r="K42" s="24">
        <v>1</v>
      </c>
      <c r="L42" s="24" t="s">
        <v>396</v>
      </c>
      <c r="M42" s="24" t="s">
        <v>397</v>
      </c>
      <c r="N42" s="24" t="s">
        <v>90</v>
      </c>
      <c r="P42" s="1" t="s">
        <v>398</v>
      </c>
      <c r="Q42" s="1" t="s">
        <v>143</v>
      </c>
    </row>
    <row r="43" spans="3:17" x14ac:dyDescent="0.15">
      <c r="E43" s="4">
        <f t="shared" si="0"/>
        <v>36</v>
      </c>
      <c r="F43" s="24" t="s">
        <v>329</v>
      </c>
      <c r="G43" s="24" t="s">
        <v>11</v>
      </c>
      <c r="H43" s="24" t="s">
        <v>90</v>
      </c>
      <c r="I43" s="24" t="s">
        <v>20</v>
      </c>
      <c r="J43" s="23" t="s">
        <v>444</v>
      </c>
      <c r="K43" s="24">
        <v>10</v>
      </c>
      <c r="L43" s="24" t="s">
        <v>399</v>
      </c>
      <c r="M43" s="24" t="s">
        <v>400</v>
      </c>
      <c r="N43" s="24" t="s">
        <v>90</v>
      </c>
      <c r="P43" s="1" t="s">
        <v>401</v>
      </c>
      <c r="Q43" s="1" t="s">
        <v>132</v>
      </c>
    </row>
    <row r="44" spans="3:17" x14ac:dyDescent="0.15">
      <c r="E44" s="4">
        <f t="shared" si="0"/>
        <v>37</v>
      </c>
      <c r="F44" s="24" t="s">
        <v>330</v>
      </c>
      <c r="G44" s="24" t="s">
        <v>11</v>
      </c>
      <c r="H44" s="24" t="s">
        <v>90</v>
      </c>
      <c r="I44" s="24" t="s">
        <v>20</v>
      </c>
      <c r="J44" s="23" t="s">
        <v>444</v>
      </c>
      <c r="K44" s="24">
        <v>11</v>
      </c>
      <c r="L44" s="24" t="s">
        <v>402</v>
      </c>
      <c r="M44" s="24" t="s">
        <v>403</v>
      </c>
      <c r="N44" s="24" t="s">
        <v>90</v>
      </c>
      <c r="P44" s="1" t="s">
        <v>404</v>
      </c>
      <c r="Q44" s="1" t="s">
        <v>132</v>
      </c>
    </row>
    <row r="45" spans="3:17" x14ac:dyDescent="0.15">
      <c r="E45" s="4">
        <f t="shared" si="0"/>
        <v>38</v>
      </c>
      <c r="F45" s="24" t="s">
        <v>331</v>
      </c>
      <c r="G45" s="24" t="s">
        <v>11</v>
      </c>
      <c r="H45" s="24" t="s">
        <v>90</v>
      </c>
      <c r="I45" s="24" t="s">
        <v>20</v>
      </c>
      <c r="J45" s="23" t="s">
        <v>444</v>
      </c>
      <c r="K45" s="24">
        <v>12</v>
      </c>
      <c r="L45" s="24" t="s">
        <v>405</v>
      </c>
      <c r="M45" s="24" t="s">
        <v>406</v>
      </c>
      <c r="N45" s="24" t="s">
        <v>90</v>
      </c>
      <c r="P45" s="1" t="s">
        <v>407</v>
      </c>
      <c r="Q45" s="1" t="s">
        <v>132</v>
      </c>
    </row>
    <row r="46" spans="3:17" x14ac:dyDescent="0.15">
      <c r="E46" s="4">
        <f t="shared" si="0"/>
        <v>39</v>
      </c>
      <c r="F46" s="24" t="s">
        <v>332</v>
      </c>
      <c r="G46" s="24" t="s">
        <v>11</v>
      </c>
      <c r="H46" s="24" t="s">
        <v>90</v>
      </c>
      <c r="I46" s="24" t="s">
        <v>20</v>
      </c>
      <c r="J46" s="23" t="s">
        <v>444</v>
      </c>
      <c r="K46" s="24">
        <v>13</v>
      </c>
      <c r="L46" s="24" t="s">
        <v>408</v>
      </c>
      <c r="M46" s="24" t="s">
        <v>409</v>
      </c>
      <c r="N46" s="24" t="s">
        <v>90</v>
      </c>
      <c r="P46" s="1" t="s">
        <v>410</v>
      </c>
      <c r="Q46" s="1" t="s">
        <v>132</v>
      </c>
    </row>
    <row r="47" spans="3:17" x14ac:dyDescent="0.15">
      <c r="E47" s="4">
        <f t="shared" si="0"/>
        <v>40</v>
      </c>
      <c r="F47" s="24" t="s">
        <v>333</v>
      </c>
      <c r="G47" s="24" t="s">
        <v>11</v>
      </c>
      <c r="H47" s="24" t="s">
        <v>90</v>
      </c>
      <c r="I47" s="24" t="s">
        <v>20</v>
      </c>
      <c r="J47" s="23" t="s">
        <v>444</v>
      </c>
      <c r="K47" s="24">
        <v>14</v>
      </c>
      <c r="L47" s="24" t="s">
        <v>411</v>
      </c>
      <c r="M47" s="24" t="s">
        <v>412</v>
      </c>
      <c r="N47" s="24" t="s">
        <v>90</v>
      </c>
      <c r="P47" s="1" t="s">
        <v>413</v>
      </c>
      <c r="Q47" s="1" t="s">
        <v>132</v>
      </c>
    </row>
    <row r="48" spans="3:17" x14ac:dyDescent="0.15">
      <c r="E48" s="4">
        <f t="shared" si="0"/>
        <v>41</v>
      </c>
      <c r="F48" s="24" t="s">
        <v>349</v>
      </c>
      <c r="G48" s="24" t="s">
        <v>11</v>
      </c>
      <c r="H48" s="24" t="s">
        <v>90</v>
      </c>
      <c r="I48" s="24" t="s">
        <v>20</v>
      </c>
      <c r="J48" s="23" t="s">
        <v>444</v>
      </c>
      <c r="K48" s="24">
        <v>15</v>
      </c>
      <c r="L48" s="24" t="s">
        <v>414</v>
      </c>
      <c r="M48" s="24" t="s">
        <v>415</v>
      </c>
      <c r="N48" s="24" t="s">
        <v>90</v>
      </c>
      <c r="P48" s="1" t="s">
        <v>416</v>
      </c>
      <c r="Q48" s="1" t="s">
        <v>132</v>
      </c>
    </row>
    <row r="49" spans="5:17" x14ac:dyDescent="0.15">
      <c r="E49" s="4">
        <f t="shared" si="0"/>
        <v>42</v>
      </c>
      <c r="F49" s="24" t="s">
        <v>350</v>
      </c>
      <c r="G49" s="24" t="s">
        <v>11</v>
      </c>
      <c r="H49" s="24" t="s">
        <v>90</v>
      </c>
      <c r="I49" s="24" t="s">
        <v>20</v>
      </c>
      <c r="J49" s="23" t="s">
        <v>444</v>
      </c>
      <c r="K49" s="24">
        <v>16</v>
      </c>
      <c r="L49" s="24" t="s">
        <v>417</v>
      </c>
      <c r="M49" s="24" t="s">
        <v>418</v>
      </c>
      <c r="N49" s="24" t="s">
        <v>90</v>
      </c>
      <c r="P49" s="1" t="s">
        <v>419</v>
      </c>
      <c r="Q49" s="1" t="s">
        <v>132</v>
      </c>
    </row>
    <row r="50" spans="5:17" x14ac:dyDescent="0.15">
      <c r="E50" s="4">
        <f t="shared" si="0"/>
        <v>43</v>
      </c>
      <c r="F50" s="24" t="s">
        <v>351</v>
      </c>
      <c r="G50" s="24" t="s">
        <v>11</v>
      </c>
      <c r="H50" s="24" t="s">
        <v>90</v>
      </c>
      <c r="I50" s="24" t="s">
        <v>20</v>
      </c>
      <c r="J50" s="23" t="s">
        <v>444</v>
      </c>
      <c r="K50" s="24">
        <v>17</v>
      </c>
      <c r="L50" s="24" t="s">
        <v>420</v>
      </c>
      <c r="M50" s="24" t="s">
        <v>421</v>
      </c>
      <c r="N50" s="24" t="s">
        <v>90</v>
      </c>
      <c r="P50" s="1" t="s">
        <v>422</v>
      </c>
      <c r="Q50" s="1" t="s">
        <v>132</v>
      </c>
    </row>
    <row r="51" spans="5:17" x14ac:dyDescent="0.15">
      <c r="E51" s="4">
        <f t="shared" si="0"/>
        <v>44</v>
      </c>
      <c r="F51" s="24" t="s">
        <v>352</v>
      </c>
      <c r="G51" s="24" t="s">
        <v>11</v>
      </c>
      <c r="H51" s="24" t="s">
        <v>90</v>
      </c>
      <c r="I51" s="24" t="s">
        <v>20</v>
      </c>
      <c r="J51" s="23" t="s">
        <v>444</v>
      </c>
      <c r="K51" s="24">
        <v>18</v>
      </c>
      <c r="L51" s="24" t="s">
        <v>423</v>
      </c>
      <c r="M51" s="24" t="s">
        <v>424</v>
      </c>
      <c r="N51" s="24" t="s">
        <v>90</v>
      </c>
      <c r="P51" s="1" t="s">
        <v>425</v>
      </c>
      <c r="Q51" s="1" t="s">
        <v>132</v>
      </c>
    </row>
    <row r="52" spans="5:17" x14ac:dyDescent="0.15">
      <c r="E52" s="4">
        <f t="shared" si="0"/>
        <v>45</v>
      </c>
      <c r="F52" s="24" t="s">
        <v>463</v>
      </c>
      <c r="G52" s="24" t="s">
        <v>9</v>
      </c>
      <c r="H52" s="24" t="s">
        <v>90</v>
      </c>
      <c r="I52" s="24" t="s">
        <v>20</v>
      </c>
      <c r="J52" s="23" t="s">
        <v>444</v>
      </c>
      <c r="K52" s="24">
        <v>2</v>
      </c>
      <c r="L52" s="24" t="s">
        <v>469</v>
      </c>
      <c r="M52" s="24" t="s">
        <v>472</v>
      </c>
      <c r="N52" s="24" t="s">
        <v>90</v>
      </c>
      <c r="P52" s="1" t="s">
        <v>529</v>
      </c>
      <c r="Q52" s="1" t="s">
        <v>131</v>
      </c>
    </row>
    <row r="53" spans="5:17" x14ac:dyDescent="0.15">
      <c r="E53" s="4">
        <f t="shared" si="0"/>
        <v>46</v>
      </c>
      <c r="F53" s="24" t="s">
        <v>464</v>
      </c>
      <c r="G53" s="24" t="s">
        <v>9</v>
      </c>
      <c r="H53" s="24" t="s">
        <v>90</v>
      </c>
      <c r="I53" s="24" t="s">
        <v>20</v>
      </c>
      <c r="J53" s="23" t="s">
        <v>444</v>
      </c>
      <c r="K53" s="24">
        <v>3</v>
      </c>
      <c r="L53" s="24" t="s">
        <v>471</v>
      </c>
      <c r="M53" s="24" t="s">
        <v>474</v>
      </c>
      <c r="N53" s="24" t="s">
        <v>90</v>
      </c>
      <c r="P53" s="1" t="s">
        <v>530</v>
      </c>
      <c r="Q53" s="1" t="s">
        <v>131</v>
      </c>
    </row>
    <row r="54" spans="5:17" x14ac:dyDescent="0.15">
      <c r="E54" s="4">
        <f t="shared" si="0"/>
        <v>47</v>
      </c>
      <c r="F54" s="24" t="s">
        <v>465</v>
      </c>
      <c r="G54" s="24" t="s">
        <v>9</v>
      </c>
      <c r="H54" s="24" t="s">
        <v>90</v>
      </c>
      <c r="I54" s="24" t="s">
        <v>20</v>
      </c>
      <c r="J54" s="23" t="s">
        <v>444</v>
      </c>
      <c r="K54" s="24">
        <v>4</v>
      </c>
      <c r="L54" s="24" t="s">
        <v>473</v>
      </c>
      <c r="M54" s="24" t="s">
        <v>531</v>
      </c>
      <c r="N54" s="24" t="s">
        <v>90</v>
      </c>
      <c r="P54" s="1" t="s">
        <v>532</v>
      </c>
      <c r="Q54" s="1" t="s">
        <v>131</v>
      </c>
    </row>
    <row r="55" spans="5:17" x14ac:dyDescent="0.15">
      <c r="E55" s="4">
        <f t="shared" si="0"/>
        <v>48</v>
      </c>
      <c r="F55" s="24" t="s">
        <v>334</v>
      </c>
      <c r="G55" s="24" t="s">
        <v>7</v>
      </c>
      <c r="H55" s="24" t="s">
        <v>90</v>
      </c>
      <c r="I55" s="24" t="s">
        <v>20</v>
      </c>
      <c r="J55" s="23" t="s">
        <v>444</v>
      </c>
      <c r="K55" s="24">
        <v>4</v>
      </c>
      <c r="L55" s="24" t="s">
        <v>426</v>
      </c>
      <c r="M55" s="24" t="s">
        <v>433</v>
      </c>
      <c r="N55" s="24" t="s">
        <v>90</v>
      </c>
      <c r="P55" s="1" t="s">
        <v>533</v>
      </c>
      <c r="Q55" s="1" t="s">
        <v>130</v>
      </c>
    </row>
    <row r="56" spans="5:17" x14ac:dyDescent="0.15">
      <c r="E56" s="4">
        <f t="shared" si="0"/>
        <v>49</v>
      </c>
      <c r="F56" s="24" t="s">
        <v>335</v>
      </c>
      <c r="G56" s="24" t="s">
        <v>7</v>
      </c>
      <c r="H56" s="24" t="s">
        <v>90</v>
      </c>
      <c r="I56" s="24" t="s">
        <v>20</v>
      </c>
      <c r="J56" s="23" t="s">
        <v>444</v>
      </c>
      <c r="K56" s="24">
        <v>5</v>
      </c>
      <c r="L56" s="24" t="s">
        <v>428</v>
      </c>
      <c r="M56" s="24" t="s">
        <v>435</v>
      </c>
      <c r="N56" s="24" t="s">
        <v>90</v>
      </c>
      <c r="P56" s="1" t="s">
        <v>534</v>
      </c>
      <c r="Q56" s="1" t="s">
        <v>130</v>
      </c>
    </row>
    <row r="57" spans="5:17" x14ac:dyDescent="0.15">
      <c r="E57" s="4">
        <f t="shared" si="0"/>
        <v>50</v>
      </c>
      <c r="F57" s="24" t="s">
        <v>336</v>
      </c>
      <c r="G57" s="24" t="s">
        <v>7</v>
      </c>
      <c r="H57" s="24" t="s">
        <v>90</v>
      </c>
      <c r="I57" s="24" t="s">
        <v>20</v>
      </c>
      <c r="J57" s="23" t="s">
        <v>444</v>
      </c>
      <c r="K57" s="24">
        <v>6</v>
      </c>
      <c r="L57" s="24" t="s">
        <v>430</v>
      </c>
      <c r="M57" s="24" t="s">
        <v>437</v>
      </c>
      <c r="N57" s="24" t="s">
        <v>90</v>
      </c>
      <c r="P57" s="1" t="s">
        <v>535</v>
      </c>
      <c r="Q57" s="1" t="s">
        <v>130</v>
      </c>
    </row>
    <row r="58" spans="5:17" x14ac:dyDescent="0.15">
      <c r="E58" s="4">
        <f t="shared" si="0"/>
        <v>51</v>
      </c>
      <c r="F58" s="24" t="s">
        <v>337</v>
      </c>
      <c r="G58" s="24" t="s">
        <v>7</v>
      </c>
      <c r="H58" s="24" t="s">
        <v>90</v>
      </c>
      <c r="I58" s="24" t="s">
        <v>20</v>
      </c>
      <c r="J58" s="23" t="s">
        <v>444</v>
      </c>
      <c r="K58" s="24">
        <v>7</v>
      </c>
      <c r="L58" s="24" t="s">
        <v>432</v>
      </c>
      <c r="M58" s="24" t="s">
        <v>439</v>
      </c>
      <c r="N58" s="24" t="s">
        <v>90</v>
      </c>
      <c r="P58" s="1" t="s">
        <v>536</v>
      </c>
      <c r="Q58" s="1" t="s">
        <v>130</v>
      </c>
    </row>
    <row r="59" spans="5:17" x14ac:dyDescent="0.15">
      <c r="E59" s="4">
        <f t="shared" si="0"/>
        <v>52</v>
      </c>
      <c r="F59" s="24" t="s">
        <v>338</v>
      </c>
      <c r="G59" s="24" t="s">
        <v>7</v>
      </c>
      <c r="H59" s="24" t="s">
        <v>90</v>
      </c>
      <c r="I59" s="24" t="s">
        <v>20</v>
      </c>
      <c r="J59" s="23" t="s">
        <v>444</v>
      </c>
      <c r="K59" s="24">
        <v>8</v>
      </c>
      <c r="L59" s="24" t="s">
        <v>434</v>
      </c>
      <c r="M59" s="24" t="s">
        <v>441</v>
      </c>
      <c r="N59" s="24" t="s">
        <v>90</v>
      </c>
      <c r="P59" s="1" t="s">
        <v>537</v>
      </c>
      <c r="Q59" s="1" t="s">
        <v>130</v>
      </c>
    </row>
    <row r="60" spans="5:17" x14ac:dyDescent="0.15">
      <c r="E60" s="4">
        <f t="shared" si="0"/>
        <v>53</v>
      </c>
      <c r="F60" s="24" t="s">
        <v>353</v>
      </c>
      <c r="G60" s="24" t="s">
        <v>7</v>
      </c>
      <c r="H60" s="24" t="s">
        <v>90</v>
      </c>
      <c r="I60" s="24" t="s">
        <v>20</v>
      </c>
      <c r="J60" s="23" t="s">
        <v>444</v>
      </c>
      <c r="K60" s="24">
        <v>9</v>
      </c>
      <c r="L60" s="24" t="s">
        <v>436</v>
      </c>
      <c r="M60" s="24" t="s">
        <v>443</v>
      </c>
      <c r="N60" s="24" t="s">
        <v>90</v>
      </c>
      <c r="P60" s="1" t="s">
        <v>538</v>
      </c>
      <c r="Q60" s="1" t="s">
        <v>130</v>
      </c>
    </row>
    <row r="61" spans="5:17" x14ac:dyDescent="0.15">
      <c r="E61" s="4">
        <f t="shared" si="0"/>
        <v>54</v>
      </c>
      <c r="F61" s="24" t="s">
        <v>354</v>
      </c>
      <c r="G61" s="24" t="s">
        <v>7</v>
      </c>
      <c r="H61" s="24" t="s">
        <v>90</v>
      </c>
      <c r="I61" s="24" t="s">
        <v>20</v>
      </c>
      <c r="J61" s="23" t="s">
        <v>444</v>
      </c>
      <c r="K61" s="24">
        <v>10</v>
      </c>
      <c r="L61" s="24" t="s">
        <v>438</v>
      </c>
      <c r="M61" s="24" t="s">
        <v>475</v>
      </c>
      <c r="N61" s="24" t="s">
        <v>90</v>
      </c>
      <c r="P61" s="1" t="s">
        <v>539</v>
      </c>
      <c r="Q61" s="1" t="s">
        <v>130</v>
      </c>
    </row>
    <row r="62" spans="5:17" x14ac:dyDescent="0.15">
      <c r="E62" s="4">
        <f t="shared" si="0"/>
        <v>55</v>
      </c>
      <c r="F62" s="24" t="s">
        <v>355</v>
      </c>
      <c r="G62" s="24" t="s">
        <v>7</v>
      </c>
      <c r="H62" s="24" t="s">
        <v>90</v>
      </c>
      <c r="I62" s="24" t="s">
        <v>20</v>
      </c>
      <c r="J62" s="23" t="s">
        <v>444</v>
      </c>
      <c r="K62" s="24">
        <v>11</v>
      </c>
      <c r="L62" s="24" t="s">
        <v>440</v>
      </c>
      <c r="M62" s="24" t="s">
        <v>476</v>
      </c>
      <c r="N62" s="24" t="s">
        <v>90</v>
      </c>
      <c r="P62" s="1" t="s">
        <v>540</v>
      </c>
      <c r="Q62" s="1" t="s">
        <v>130</v>
      </c>
    </row>
    <row r="63" spans="5:17" x14ac:dyDescent="0.15">
      <c r="E63" s="4">
        <f t="shared" si="0"/>
        <v>56</v>
      </c>
      <c r="F63" s="24" t="s">
        <v>356</v>
      </c>
      <c r="G63" s="24" t="s">
        <v>7</v>
      </c>
      <c r="H63" s="24" t="s">
        <v>90</v>
      </c>
      <c r="I63" s="24" t="s">
        <v>20</v>
      </c>
      <c r="J63" s="23" t="s">
        <v>444</v>
      </c>
      <c r="K63" s="24">
        <v>12</v>
      </c>
      <c r="L63" s="24" t="s">
        <v>442</v>
      </c>
      <c r="M63" s="24" t="s">
        <v>477</v>
      </c>
      <c r="N63" s="24" t="s">
        <v>90</v>
      </c>
      <c r="P63" s="1" t="s">
        <v>541</v>
      </c>
      <c r="Q63" s="1" t="s">
        <v>130</v>
      </c>
    </row>
    <row r="64" spans="5:17" x14ac:dyDescent="0.15">
      <c r="E64" s="4">
        <f t="shared" si="0"/>
        <v>57</v>
      </c>
      <c r="F64" s="24" t="s">
        <v>466</v>
      </c>
      <c r="G64" s="24" t="s">
        <v>7</v>
      </c>
      <c r="H64" s="24" t="s">
        <v>90</v>
      </c>
      <c r="I64" s="24" t="s">
        <v>20</v>
      </c>
      <c r="J64" s="23" t="s">
        <v>444</v>
      </c>
      <c r="K64" s="24">
        <v>13</v>
      </c>
      <c r="L64" s="24" t="s">
        <v>478</v>
      </c>
      <c r="M64" s="24" t="s">
        <v>479</v>
      </c>
      <c r="N64" s="24" t="s">
        <v>90</v>
      </c>
      <c r="P64" s="1" t="s">
        <v>542</v>
      </c>
      <c r="Q64" s="1" t="s">
        <v>130</v>
      </c>
    </row>
    <row r="65" spans="5:17" x14ac:dyDescent="0.15">
      <c r="E65" s="4">
        <f t="shared" si="0"/>
        <v>58</v>
      </c>
      <c r="F65" s="24" t="s">
        <v>467</v>
      </c>
      <c r="G65" s="24" t="s">
        <v>7</v>
      </c>
      <c r="H65" s="24" t="s">
        <v>90</v>
      </c>
      <c r="I65" s="24" t="s">
        <v>20</v>
      </c>
      <c r="J65" s="23" t="s">
        <v>444</v>
      </c>
      <c r="K65" s="24">
        <v>14</v>
      </c>
      <c r="L65" s="24" t="s">
        <v>480</v>
      </c>
      <c r="M65" s="24" t="s">
        <v>481</v>
      </c>
      <c r="N65" s="24" t="s">
        <v>90</v>
      </c>
      <c r="P65" s="1" t="s">
        <v>543</v>
      </c>
      <c r="Q65" s="1" t="s">
        <v>130</v>
      </c>
    </row>
    <row r="66" spans="5:17" x14ac:dyDescent="0.15">
      <c r="E66" s="4">
        <f t="shared" si="0"/>
        <v>59</v>
      </c>
      <c r="F66" s="24" t="s">
        <v>468</v>
      </c>
      <c r="G66" s="24" t="s">
        <v>7</v>
      </c>
      <c r="H66" s="24" t="s">
        <v>90</v>
      </c>
      <c r="I66" s="24" t="s">
        <v>20</v>
      </c>
      <c r="J66" s="23" t="s">
        <v>444</v>
      </c>
      <c r="K66" s="24">
        <v>15</v>
      </c>
      <c r="L66" s="24" t="s">
        <v>482</v>
      </c>
      <c r="M66" s="24" t="s">
        <v>483</v>
      </c>
      <c r="N66" s="24" t="s">
        <v>90</v>
      </c>
      <c r="P66" s="1" t="s">
        <v>544</v>
      </c>
      <c r="Q66" s="1" t="s">
        <v>130</v>
      </c>
    </row>
    <row r="67" spans="5:17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7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7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7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7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7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7" x14ac:dyDescent="0.15">
      <c r="E73" s="4">
        <f t="shared" si="0"/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7" x14ac:dyDescent="0.15">
      <c r="E74" s="4">
        <f t="shared" ref="E74:E137" si="1">ROW(E74)-ROW($E$7)</f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7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7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7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7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7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7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si="1"/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ref="E138:E201" si="2">ROW(E138)-ROW($E$7)</f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si="2"/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ref="E202:E265" si="3">ROW(E202)-ROW($E$7)</f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si="3"/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ref="E266:E329" si="4">ROW(E266)-ROW($E$7)</f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si="4"/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ref="E330:E393" si="5">ROW(E330)-ROW($E$7)</f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si="5"/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ref="E394:E457" si="6">ROW(E394)-ROW($E$7)</f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si="6"/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ref="E458:E520" si="7">ROW(E458)-ROW($E$7)</f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  <row r="520" spans="5:14" x14ac:dyDescent="0.15">
      <c r="E520" s="4">
        <f t="shared" si="7"/>
        <v>513</v>
      </c>
      <c r="F520" s="24"/>
      <c r="G520" s="24"/>
      <c r="H520" s="24"/>
      <c r="I520" s="24"/>
      <c r="J520" s="9"/>
      <c r="K520" s="24"/>
      <c r="L520" s="24"/>
      <c r="M520" s="24"/>
      <c r="N520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51758</xdr:colOff>
                <xdr:row>13</xdr:row>
                <xdr:rowOff>163902</xdr:rowOff>
              </from>
              <to>
                <xdr:col>3</xdr:col>
                <xdr:colOff>319177</xdr:colOff>
                <xdr:row>15</xdr:row>
                <xdr:rowOff>129396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51758</xdr:colOff>
                <xdr:row>11</xdr:row>
                <xdr:rowOff>120770</xdr:rowOff>
              </from>
              <to>
                <xdr:col>3</xdr:col>
                <xdr:colOff>319177</xdr:colOff>
                <xdr:row>13</xdr:row>
                <xdr:rowOff>86264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51758</xdr:colOff>
                <xdr:row>9</xdr:row>
                <xdr:rowOff>86264</xdr:rowOff>
              </from>
              <to>
                <xdr:col>4</xdr:col>
                <xdr:colOff>8626</xdr:colOff>
                <xdr:row>11</xdr:row>
                <xdr:rowOff>94891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51758</xdr:colOff>
                <xdr:row>7</xdr:row>
                <xdr:rowOff>51758</xdr:rowOff>
              </from>
              <to>
                <xdr:col>3</xdr:col>
                <xdr:colOff>319177</xdr:colOff>
                <xdr:row>9</xdr:row>
                <xdr:rowOff>43132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G8:G32 G34:G36 G38:G520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I8:I32 I34:I36 I38:I520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66"/>
  <sheetViews>
    <sheetView showGridLines="0" zoomScale="85" zoomScaleNormal="85" workbookViewId="0"/>
  </sheetViews>
  <sheetFormatPr defaultColWidth="9" defaultRowHeight="13.6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04" t="s">
        <v>78</v>
      </c>
      <c r="M6" s="104"/>
      <c r="N6" s="104" t="s">
        <v>79</v>
      </c>
      <c r="O6" s="104"/>
      <c r="P6" s="104" t="s">
        <v>80</v>
      </c>
      <c r="Q6" s="104"/>
      <c r="R6" s="104" t="s">
        <v>81</v>
      </c>
      <c r="S6" s="104"/>
      <c r="T6" s="2"/>
    </row>
    <row r="7" spans="5:20" x14ac:dyDescent="0.15">
      <c r="E7" s="3" t="s">
        <v>82</v>
      </c>
      <c r="F7" s="3" t="s">
        <v>83</v>
      </c>
      <c r="G7" s="105" t="s">
        <v>84</v>
      </c>
      <c r="H7" s="105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314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316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318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320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281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283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285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287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289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291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293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295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297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299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301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304</v>
      </c>
      <c r="F23" s="4" t="s">
        <v>267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357</v>
      </c>
      <c r="F24" s="4" t="s">
        <v>358</v>
      </c>
      <c r="G24" s="4" t="s">
        <v>11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360</v>
      </c>
      <c r="F25" s="4" t="s">
        <v>361</v>
      </c>
      <c r="G25" s="4" t="s">
        <v>11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363</v>
      </c>
      <c r="F26" s="4" t="s">
        <v>364</v>
      </c>
      <c r="G26" s="4" t="s">
        <v>11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366</v>
      </c>
      <c r="F27" s="4" t="s">
        <v>367</v>
      </c>
      <c r="G27" s="4" t="s">
        <v>11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369</v>
      </c>
      <c r="F28" s="4" t="s">
        <v>370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372</v>
      </c>
      <c r="F29" s="4" t="s">
        <v>373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375</v>
      </c>
      <c r="F30" s="4" t="s">
        <v>376</v>
      </c>
      <c r="G30" s="4" t="s">
        <v>11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378</v>
      </c>
      <c r="F31" s="4" t="s">
        <v>379</v>
      </c>
      <c r="G31" s="4" t="s">
        <v>11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381</v>
      </c>
      <c r="F32" s="4" t="s">
        <v>382</v>
      </c>
      <c r="G32" s="4" t="s">
        <v>11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485</v>
      </c>
      <c r="F33" s="4" t="s">
        <v>427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523</v>
      </c>
      <c r="F34" s="4" t="s">
        <v>470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525</v>
      </c>
      <c r="F35" s="4" t="s">
        <v>429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527</v>
      </c>
      <c r="F36" s="4" t="s">
        <v>431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552</v>
      </c>
      <c r="F37" s="4" t="s">
        <v>553</v>
      </c>
      <c r="G37" s="4" t="s">
        <v>7</v>
      </c>
      <c r="H37" s="4" t="s">
        <v>90</v>
      </c>
      <c r="I37" s="4" t="s">
        <v>22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384</v>
      </c>
      <c r="F38" s="4" t="s">
        <v>385</v>
      </c>
      <c r="G38" s="4" t="s">
        <v>9</v>
      </c>
      <c r="H38" s="4" t="s">
        <v>90</v>
      </c>
      <c r="I38" s="4" t="s">
        <v>23</v>
      </c>
      <c r="J38" s="4" t="b">
        <v>0</v>
      </c>
      <c r="K38" s="4" t="b">
        <v>0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387</v>
      </c>
      <c r="F39" s="4" t="s">
        <v>388</v>
      </c>
      <c r="G39" s="4" t="s">
        <v>9</v>
      </c>
      <c r="H39" s="4" t="s">
        <v>90</v>
      </c>
      <c r="I39" s="4" t="s">
        <v>23</v>
      </c>
      <c r="J39" s="4" t="b">
        <v>0</v>
      </c>
      <c r="K39" s="4" t="b">
        <v>0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390</v>
      </c>
      <c r="F40" s="4" t="s">
        <v>391</v>
      </c>
      <c r="G40" s="4" t="s">
        <v>11</v>
      </c>
      <c r="H40" s="4" t="s">
        <v>90</v>
      </c>
      <c r="I40" s="4" t="s">
        <v>22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393</v>
      </c>
      <c r="F41" s="4" t="s">
        <v>394</v>
      </c>
      <c r="G41" s="4" t="s">
        <v>11</v>
      </c>
      <c r="H41" s="4" t="s">
        <v>90</v>
      </c>
      <c r="I41" s="4" t="s">
        <v>23</v>
      </c>
      <c r="J41" s="4" t="b">
        <v>0</v>
      </c>
      <c r="K41" s="4" t="b">
        <v>0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396</v>
      </c>
      <c r="F42" s="4" t="s">
        <v>397</v>
      </c>
      <c r="G42" s="4" t="s">
        <v>7</v>
      </c>
      <c r="H42" s="4" t="s">
        <v>90</v>
      </c>
      <c r="I42" s="4" t="s">
        <v>23</v>
      </c>
      <c r="J42" s="4" t="b">
        <v>0</v>
      </c>
      <c r="K42" s="4" t="b">
        <v>0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399</v>
      </c>
      <c r="F43" s="4" t="s">
        <v>400</v>
      </c>
      <c r="G43" s="4" t="s">
        <v>11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402</v>
      </c>
      <c r="F44" s="4" t="s">
        <v>403</v>
      </c>
      <c r="G44" s="4" t="s">
        <v>11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405</v>
      </c>
      <c r="F45" s="4" t="s">
        <v>406</v>
      </c>
      <c r="G45" s="4" t="s">
        <v>11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408</v>
      </c>
      <c r="F46" s="4" t="s">
        <v>409</v>
      </c>
      <c r="G46" s="4" t="s">
        <v>11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411</v>
      </c>
      <c r="F47" s="4" t="s">
        <v>412</v>
      </c>
      <c r="G47" s="4" t="s">
        <v>11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414</v>
      </c>
      <c r="F48" s="4" t="s">
        <v>415</v>
      </c>
      <c r="G48" s="4" t="s">
        <v>11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417</v>
      </c>
      <c r="F49" s="4" t="s">
        <v>418</v>
      </c>
      <c r="G49" s="4" t="s">
        <v>11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420</v>
      </c>
      <c r="F50" s="4" t="s">
        <v>421</v>
      </c>
      <c r="G50" s="4" t="s">
        <v>11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423</v>
      </c>
      <c r="F51" s="4" t="s">
        <v>424</v>
      </c>
      <c r="G51" s="4" t="s">
        <v>11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469</v>
      </c>
      <c r="F52" s="4" t="s">
        <v>472</v>
      </c>
      <c r="G52" s="4" t="s">
        <v>9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471</v>
      </c>
      <c r="F53" s="4" t="s">
        <v>474</v>
      </c>
      <c r="G53" s="4" t="s">
        <v>9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473</v>
      </c>
      <c r="F54" s="4" t="s">
        <v>531</v>
      </c>
      <c r="G54" s="4" t="s">
        <v>9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426</v>
      </c>
      <c r="F55" s="4" t="s">
        <v>433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428</v>
      </c>
      <c r="F56" s="4" t="s">
        <v>435</v>
      </c>
      <c r="G56" s="4" t="s">
        <v>7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430</v>
      </c>
      <c r="F57" s="4" t="s">
        <v>437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432</v>
      </c>
      <c r="F58" s="4" t="s">
        <v>439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434</v>
      </c>
      <c r="F59" s="4" t="s">
        <v>441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436</v>
      </c>
      <c r="F60" s="4" t="s">
        <v>443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438</v>
      </c>
      <c r="F61" s="4" t="s">
        <v>475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440</v>
      </c>
      <c r="F62" s="4" t="s">
        <v>476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442</v>
      </c>
      <c r="F63" s="4" t="s">
        <v>477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478</v>
      </c>
      <c r="F64" s="4" t="s">
        <v>479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480</v>
      </c>
      <c r="F65" s="4" t="s">
        <v>481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482</v>
      </c>
      <c r="F66" s="4" t="s">
        <v>483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388189</xdr:colOff>
                <xdr:row>1</xdr:row>
                <xdr:rowOff>163902</xdr:rowOff>
              </from>
              <to>
                <xdr:col>4</xdr:col>
                <xdr:colOff>1190445</xdr:colOff>
                <xdr:row>3</xdr:row>
                <xdr:rowOff>163902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3.6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3.6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16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(16U)</v>
      </c>
      <c r="M8" s="1" t="str">
        <f>$M$3&amp;J8&amp;$M$4</f>
        <v>##TOOL_OUT#RIM_MOD_3B_SIZE##</v>
      </c>
      <c r="N8" s="1">
        <v>16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2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(2U)</v>
      </c>
      <c r="M10" s="1" t="str">
        <f t="shared" si="1"/>
        <v>##TOOL_OUT#RIM_MOD_1B_SIZE##</v>
      </c>
      <c r="N10" s="1">
        <v>1026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5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(5U)</v>
      </c>
      <c r="M12" s="1" t="str">
        <f t="shared" si="1"/>
        <v>##TOOL_OUT#RIM_MOD_3B_SIZE##</v>
      </c>
      <c r="N12" s="1">
        <v>16389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19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(19U)</v>
      </c>
      <c r="M16" s="1" t="str">
        <f t="shared" si="1"/>
        <v>##TOOL_OUT#RIM_MOD_3B_SIZE##</v>
      </c>
      <c r="N16" s="1">
        <v>32787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84"/>
  <sheetViews>
    <sheetView showGridLines="0" workbookViewId="0"/>
  </sheetViews>
  <sheetFormatPr defaultRowHeight="12.9" x14ac:dyDescent="0.15"/>
  <sheetData>
    <row r="1" spans="1:3" x14ac:dyDescent="0.15">
      <c r="A1">
        <v>84</v>
      </c>
      <c r="B1" t="s">
        <v>315</v>
      </c>
      <c r="C1" t="s">
        <v>130</v>
      </c>
    </row>
    <row r="2" spans="1:3" x14ac:dyDescent="0.15">
      <c r="B2" t="s">
        <v>317</v>
      </c>
      <c r="C2" t="s">
        <v>131</v>
      </c>
    </row>
    <row r="3" spans="1:3" x14ac:dyDescent="0.15">
      <c r="B3" t="s">
        <v>319</v>
      </c>
      <c r="C3" t="s">
        <v>132</v>
      </c>
    </row>
    <row r="4" spans="1:3" x14ac:dyDescent="0.15">
      <c r="B4" t="s">
        <v>321</v>
      </c>
      <c r="C4" t="s">
        <v>133</v>
      </c>
    </row>
    <row r="5" spans="1:3" x14ac:dyDescent="0.15">
      <c r="B5" t="s">
        <v>282</v>
      </c>
      <c r="C5" t="s">
        <v>135</v>
      </c>
    </row>
    <row r="6" spans="1:3" x14ac:dyDescent="0.15">
      <c r="B6" t="s">
        <v>284</v>
      </c>
      <c r="C6" t="s">
        <v>136</v>
      </c>
    </row>
    <row r="7" spans="1:3" x14ac:dyDescent="0.15">
      <c r="B7" t="s">
        <v>286</v>
      </c>
      <c r="C7" t="s">
        <v>137</v>
      </c>
    </row>
    <row r="8" spans="1:3" x14ac:dyDescent="0.15">
      <c r="B8" t="s">
        <v>288</v>
      </c>
      <c r="C8" t="s">
        <v>138</v>
      </c>
    </row>
    <row r="9" spans="1:3" x14ac:dyDescent="0.15">
      <c r="B9" t="s">
        <v>290</v>
      </c>
      <c r="C9" t="s">
        <v>139</v>
      </c>
    </row>
    <row r="10" spans="1:3" x14ac:dyDescent="0.15">
      <c r="B10" t="s">
        <v>292</v>
      </c>
      <c r="C10" t="s">
        <v>140</v>
      </c>
    </row>
    <row r="11" spans="1:3" x14ac:dyDescent="0.15">
      <c r="B11" t="s">
        <v>294</v>
      </c>
      <c r="C11" t="s">
        <v>141</v>
      </c>
    </row>
    <row r="12" spans="1:3" x14ac:dyDescent="0.15">
      <c r="B12" t="s">
        <v>296</v>
      </c>
      <c r="C12" t="s">
        <v>143</v>
      </c>
    </row>
    <row r="13" spans="1:3" x14ac:dyDescent="0.15">
      <c r="B13" t="s">
        <v>298</v>
      </c>
      <c r="C13" t="s">
        <v>153</v>
      </c>
    </row>
    <row r="14" spans="1:3" x14ac:dyDescent="0.15">
      <c r="B14" t="s">
        <v>300</v>
      </c>
      <c r="C14" t="s">
        <v>144</v>
      </c>
    </row>
    <row r="15" spans="1:3" x14ac:dyDescent="0.15">
      <c r="B15" t="s">
        <v>302</v>
      </c>
      <c r="C15" t="s">
        <v>154</v>
      </c>
    </row>
    <row r="16" spans="1:3" x14ac:dyDescent="0.15">
      <c r="B16" t="s">
        <v>305</v>
      </c>
      <c r="C16" t="s">
        <v>154</v>
      </c>
    </row>
    <row r="17" spans="2:3" x14ac:dyDescent="0.15">
      <c r="B17" t="s">
        <v>359</v>
      </c>
      <c r="C17" t="s">
        <v>132</v>
      </c>
    </row>
    <row r="18" spans="2:3" x14ac:dyDescent="0.15">
      <c r="B18" t="s">
        <v>362</v>
      </c>
      <c r="C18" t="s">
        <v>132</v>
      </c>
    </row>
    <row r="19" spans="2:3" x14ac:dyDescent="0.15">
      <c r="B19" t="s">
        <v>365</v>
      </c>
      <c r="C19" t="s">
        <v>132</v>
      </c>
    </row>
    <row r="20" spans="2:3" x14ac:dyDescent="0.15">
      <c r="B20" t="s">
        <v>368</v>
      </c>
      <c r="C20" t="s">
        <v>132</v>
      </c>
    </row>
    <row r="21" spans="2:3" x14ac:dyDescent="0.15">
      <c r="B21" t="s">
        <v>371</v>
      </c>
      <c r="C21" t="s">
        <v>132</v>
      </c>
    </row>
    <row r="22" spans="2:3" x14ac:dyDescent="0.15">
      <c r="B22" t="s">
        <v>374</v>
      </c>
      <c r="C22" t="s">
        <v>132</v>
      </c>
    </row>
    <row r="23" spans="2:3" x14ac:dyDescent="0.15">
      <c r="B23" t="s">
        <v>377</v>
      </c>
      <c r="C23" t="s">
        <v>132</v>
      </c>
    </row>
    <row r="24" spans="2:3" x14ac:dyDescent="0.15">
      <c r="B24" t="s">
        <v>380</v>
      </c>
      <c r="C24" t="s">
        <v>132</v>
      </c>
    </row>
    <row r="25" spans="2:3" x14ac:dyDescent="0.15">
      <c r="B25" t="s">
        <v>383</v>
      </c>
      <c r="C25" t="s">
        <v>132</v>
      </c>
    </row>
    <row r="26" spans="2:3" x14ac:dyDescent="0.15">
      <c r="B26" t="s">
        <v>486</v>
      </c>
      <c r="C26" t="s">
        <v>130</v>
      </c>
    </row>
    <row r="27" spans="2:3" x14ac:dyDescent="0.15">
      <c r="B27" t="s">
        <v>524</v>
      </c>
      <c r="C27" t="s">
        <v>131</v>
      </c>
    </row>
    <row r="28" spans="2:3" x14ac:dyDescent="0.15">
      <c r="B28" t="s">
        <v>526</v>
      </c>
      <c r="C28" t="s">
        <v>130</v>
      </c>
    </row>
    <row r="29" spans="2:3" x14ac:dyDescent="0.15">
      <c r="B29" t="s">
        <v>528</v>
      </c>
      <c r="C29" t="s">
        <v>130</v>
      </c>
    </row>
    <row r="30" spans="2:3" x14ac:dyDescent="0.15">
      <c r="B30" t="s">
        <v>554</v>
      </c>
      <c r="C30" t="s">
        <v>138</v>
      </c>
    </row>
    <row r="31" spans="2:3" x14ac:dyDescent="0.15">
      <c r="B31" t="s">
        <v>386</v>
      </c>
      <c r="C31" t="s">
        <v>153</v>
      </c>
    </row>
    <row r="32" spans="2:3" x14ac:dyDescent="0.15">
      <c r="B32" t="s">
        <v>389</v>
      </c>
      <c r="C32" t="s">
        <v>153</v>
      </c>
    </row>
    <row r="33" spans="2:3" x14ac:dyDescent="0.15">
      <c r="B33" t="s">
        <v>392</v>
      </c>
      <c r="C33" t="s">
        <v>140</v>
      </c>
    </row>
    <row r="34" spans="2:3" x14ac:dyDescent="0.15">
      <c r="B34" t="s">
        <v>395</v>
      </c>
      <c r="C34" t="s">
        <v>144</v>
      </c>
    </row>
    <row r="35" spans="2:3" x14ac:dyDescent="0.15">
      <c r="B35" t="s">
        <v>398</v>
      </c>
      <c r="C35" t="s">
        <v>143</v>
      </c>
    </row>
    <row r="36" spans="2:3" x14ac:dyDescent="0.15">
      <c r="B36" t="s">
        <v>401</v>
      </c>
      <c r="C36" t="s">
        <v>132</v>
      </c>
    </row>
    <row r="37" spans="2:3" x14ac:dyDescent="0.15">
      <c r="B37" t="s">
        <v>404</v>
      </c>
      <c r="C37" t="s">
        <v>132</v>
      </c>
    </row>
    <row r="38" spans="2:3" x14ac:dyDescent="0.15">
      <c r="B38" t="s">
        <v>407</v>
      </c>
      <c r="C38" t="s">
        <v>132</v>
      </c>
    </row>
    <row r="39" spans="2:3" x14ac:dyDescent="0.15">
      <c r="B39" t="s">
        <v>410</v>
      </c>
      <c r="C39" t="s">
        <v>132</v>
      </c>
    </row>
    <row r="40" spans="2:3" x14ac:dyDescent="0.15">
      <c r="B40" t="s">
        <v>413</v>
      </c>
      <c r="C40" t="s">
        <v>132</v>
      </c>
    </row>
    <row r="41" spans="2:3" x14ac:dyDescent="0.15">
      <c r="B41" t="s">
        <v>416</v>
      </c>
      <c r="C41" t="s">
        <v>132</v>
      </c>
    </row>
    <row r="42" spans="2:3" x14ac:dyDescent="0.15">
      <c r="B42" t="s">
        <v>419</v>
      </c>
      <c r="C42" t="s">
        <v>132</v>
      </c>
    </row>
    <row r="43" spans="2:3" x14ac:dyDescent="0.15">
      <c r="B43" t="s">
        <v>422</v>
      </c>
      <c r="C43" t="s">
        <v>132</v>
      </c>
    </row>
    <row r="44" spans="2:3" x14ac:dyDescent="0.15">
      <c r="B44" t="s">
        <v>425</v>
      </c>
      <c r="C44" t="s">
        <v>132</v>
      </c>
    </row>
    <row r="45" spans="2:3" x14ac:dyDescent="0.15">
      <c r="B45" t="s">
        <v>529</v>
      </c>
      <c r="C45" t="s">
        <v>131</v>
      </c>
    </row>
    <row r="46" spans="2:3" x14ac:dyDescent="0.15">
      <c r="B46" t="s">
        <v>530</v>
      </c>
      <c r="C46" t="s">
        <v>131</v>
      </c>
    </row>
    <row r="47" spans="2:3" x14ac:dyDescent="0.15">
      <c r="B47" t="s">
        <v>532</v>
      </c>
      <c r="C47" t="s">
        <v>131</v>
      </c>
    </row>
    <row r="48" spans="2:3" x14ac:dyDescent="0.15">
      <c r="B48" t="s">
        <v>533</v>
      </c>
      <c r="C48" t="s">
        <v>130</v>
      </c>
    </row>
    <row r="49" spans="2:3" x14ac:dyDescent="0.15">
      <c r="B49" t="s">
        <v>534</v>
      </c>
      <c r="C49" t="s">
        <v>130</v>
      </c>
    </row>
    <row r="50" spans="2:3" x14ac:dyDescent="0.15">
      <c r="B50" t="s">
        <v>535</v>
      </c>
      <c r="C50" t="s">
        <v>130</v>
      </c>
    </row>
    <row r="51" spans="2:3" x14ac:dyDescent="0.15">
      <c r="B51" t="s">
        <v>536</v>
      </c>
      <c r="C51" t="s">
        <v>130</v>
      </c>
    </row>
    <row r="52" spans="2:3" x14ac:dyDescent="0.15">
      <c r="B52" t="s">
        <v>537</v>
      </c>
      <c r="C52" t="s">
        <v>130</v>
      </c>
    </row>
    <row r="53" spans="2:3" x14ac:dyDescent="0.15">
      <c r="B53" t="s">
        <v>538</v>
      </c>
      <c r="C53" t="s">
        <v>130</v>
      </c>
    </row>
    <row r="54" spans="2:3" x14ac:dyDescent="0.15">
      <c r="B54" t="s">
        <v>539</v>
      </c>
      <c r="C54" t="s">
        <v>130</v>
      </c>
    </row>
    <row r="55" spans="2:3" x14ac:dyDescent="0.15">
      <c r="B55" t="s">
        <v>540</v>
      </c>
      <c r="C55" t="s">
        <v>130</v>
      </c>
    </row>
    <row r="56" spans="2:3" x14ac:dyDescent="0.15">
      <c r="B56" t="s">
        <v>541</v>
      </c>
      <c r="C56" t="s">
        <v>130</v>
      </c>
    </row>
    <row r="57" spans="2:3" x14ac:dyDescent="0.15">
      <c r="B57" t="s">
        <v>542</v>
      </c>
      <c r="C57" t="s">
        <v>130</v>
      </c>
    </row>
    <row r="58" spans="2:3" x14ac:dyDescent="0.15">
      <c r="B58" t="s">
        <v>543</v>
      </c>
      <c r="C58" t="s">
        <v>130</v>
      </c>
    </row>
    <row r="59" spans="2:3" x14ac:dyDescent="0.15">
      <c r="B59" t="s">
        <v>544</v>
      </c>
      <c r="C59" t="s">
        <v>130</v>
      </c>
    </row>
    <row r="60" spans="2:3" x14ac:dyDescent="0.15">
      <c r="B60" t="s">
        <v>322</v>
      </c>
      <c r="C60" t="s">
        <v>134</v>
      </c>
    </row>
    <row r="61" spans="2:3" x14ac:dyDescent="0.15">
      <c r="B61" t="s">
        <v>306</v>
      </c>
      <c r="C61" t="s">
        <v>142</v>
      </c>
    </row>
    <row r="62" spans="2:3" x14ac:dyDescent="0.15">
      <c r="B62" t="s">
        <v>303</v>
      </c>
      <c r="C62" t="s">
        <v>155</v>
      </c>
    </row>
    <row r="63" spans="2:3" x14ac:dyDescent="0.15">
      <c r="B63" t="s">
        <v>308</v>
      </c>
      <c r="C63" t="s">
        <v>155</v>
      </c>
    </row>
    <row r="64" spans="2:3" x14ac:dyDescent="0.15">
      <c r="B64" t="s">
        <v>545</v>
      </c>
      <c r="C64" t="s">
        <v>93</v>
      </c>
    </row>
    <row r="65" spans="2:3" x14ac:dyDescent="0.15">
      <c r="B65" t="s">
        <v>445</v>
      </c>
      <c r="C65" t="s">
        <v>94</v>
      </c>
    </row>
    <row r="66" spans="2:3" x14ac:dyDescent="0.15">
      <c r="B66" t="s">
        <v>555</v>
      </c>
      <c r="C66" t="s">
        <v>95</v>
      </c>
    </row>
    <row r="67" spans="2:3" x14ac:dyDescent="0.15">
      <c r="B67" t="s">
        <v>446</v>
      </c>
      <c r="C67" t="s">
        <v>96</v>
      </c>
    </row>
    <row r="68" spans="2:3" x14ac:dyDescent="0.15">
      <c r="B68" t="s">
        <v>546</v>
      </c>
      <c r="C68" t="s">
        <v>93</v>
      </c>
    </row>
    <row r="69" spans="2:3" x14ac:dyDescent="0.15">
      <c r="B69" t="s">
        <v>447</v>
      </c>
      <c r="C69" t="s">
        <v>94</v>
      </c>
    </row>
    <row r="70" spans="2:3" x14ac:dyDescent="0.15">
      <c r="B70" t="s">
        <v>448</v>
      </c>
      <c r="C70" t="s">
        <v>95</v>
      </c>
    </row>
    <row r="71" spans="2:3" x14ac:dyDescent="0.15">
      <c r="B71" t="s">
        <v>449</v>
      </c>
      <c r="C71" t="s">
        <v>96</v>
      </c>
    </row>
    <row r="72" spans="2:3" x14ac:dyDescent="0.15">
      <c r="B72" t="s">
        <v>450</v>
      </c>
      <c r="C72" t="s">
        <v>93</v>
      </c>
    </row>
    <row r="73" spans="2:3" x14ac:dyDescent="0.15">
      <c r="B73" t="s">
        <v>451</v>
      </c>
      <c r="C73" t="s">
        <v>94</v>
      </c>
    </row>
    <row r="74" spans="2:3" x14ac:dyDescent="0.15">
      <c r="B74" t="s">
        <v>452</v>
      </c>
      <c r="C74" t="s">
        <v>95</v>
      </c>
    </row>
    <row r="75" spans="2:3" x14ac:dyDescent="0.15">
      <c r="B75" t="s">
        <v>453</v>
      </c>
      <c r="C75" t="s">
        <v>96</v>
      </c>
    </row>
    <row r="76" spans="2:3" x14ac:dyDescent="0.15">
      <c r="B76" t="s">
        <v>454</v>
      </c>
      <c r="C76" t="s">
        <v>93</v>
      </c>
    </row>
    <row r="77" spans="2:3" x14ac:dyDescent="0.15">
      <c r="B77" t="s">
        <v>455</v>
      </c>
      <c r="C77" t="s">
        <v>95</v>
      </c>
    </row>
    <row r="78" spans="2:3" x14ac:dyDescent="0.15">
      <c r="B78" t="s">
        <v>456</v>
      </c>
      <c r="C78" t="s">
        <v>96</v>
      </c>
    </row>
    <row r="79" spans="2:3" x14ac:dyDescent="0.15">
      <c r="B79" t="s">
        <v>457</v>
      </c>
      <c r="C79" t="s">
        <v>97</v>
      </c>
    </row>
    <row r="80" spans="2:3" x14ac:dyDescent="0.15">
      <c r="B80" t="s">
        <v>458</v>
      </c>
      <c r="C80" t="s">
        <v>98</v>
      </c>
    </row>
    <row r="81" spans="2:3" x14ac:dyDescent="0.15">
      <c r="B81" t="s">
        <v>459</v>
      </c>
      <c r="C81" t="s">
        <v>99</v>
      </c>
    </row>
    <row r="82" spans="2:3" x14ac:dyDescent="0.15">
      <c r="B82" t="s">
        <v>460</v>
      </c>
      <c r="C82" t="s">
        <v>100</v>
      </c>
    </row>
    <row r="83" spans="2:3" x14ac:dyDescent="0.15">
      <c r="B83" t="s">
        <v>461</v>
      </c>
      <c r="C83" t="s">
        <v>101</v>
      </c>
    </row>
    <row r="84" spans="2:3" x14ac:dyDescent="0.15">
      <c r="B84" t="s">
        <v>462</v>
      </c>
      <c r="C84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3.6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Kazuto Oishi (大石　和虎)</cp:lastModifiedBy>
  <dcterms:created xsi:type="dcterms:W3CDTF">2014-12-23T06:27:41Z</dcterms:created>
  <dcterms:modified xsi:type="dcterms:W3CDTF">2025-10-24T04:32:29Z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