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rc\PE1VM1\BSW\Memory\Rim\tool\"/>
    </mc:Choice>
  </mc:AlternateContent>
  <xr:revisionPtr revIDLastSave="0" documentId="13_ncr:1_{594E726A-46B4-4431-A06C-70EC859E2980}" xr6:coauthVersionLast="47" xr6:coauthVersionMax="47" xr10:uidLastSave="{00000000-0000-0000-0000-000000000000}"/>
  <bookViews>
    <workbookView xWindow="-120" yWindow="-120" windowWidth="29040" windowHeight="17520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<sst xmlns="http://schemas.openxmlformats.org/spreadsheetml/2006/main" count="5144" uniqueCount="1070">
  <si>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</si>
  <si>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</si>
  <si>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</si>
  <si>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</si>
  <si>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</si>
  <si>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</si>
  <si>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</si>
  <si>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</si>
  <si>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</si>
  <si>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</si>
  <si>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</si>
  <si>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</si>
  <si>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</si>
  <si>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</si>
  <si>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</si>
  <si>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</si>
  <si>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</si>
  <si>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</si>
  <si>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</si>
  <si>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</si>
  <si>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</si>
  <si>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</si>
  <si>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</si>
  <si>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</si>
  <si>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</si>
  <si>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</si>
  <si>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</si>
  <si>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</si>
  <si>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</si>
  <si>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</si>
  <si>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</si>
  <si>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</si>
  <si>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</si>
  <si>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</si>
  <si>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</si>
  <si>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</si>
  <si>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</si>
  <si>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</si>
  <si>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</si>
  <si>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</si>
  <si>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</si>
  <si>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</si>
  <si>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</si>
  <si>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</si>
  <si>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</si>
  <si>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</si>
  <si>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</si>
  <si>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</si>
  <si>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</si>
  <si>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</si>
  <si>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</si>
  <si>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</si>
  <si>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</si>
  <si>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</si>
  <si>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</si>
  <si>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</si>
  <si>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</si>
  <si>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</si>
  <si>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</si>
  <si>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</si>
  <si>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</si>
  <si>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</si>
  <si>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</si>
  <si>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</si>
  <si>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</si>
  <si>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</si>
  <si>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</si>
  <si>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</si>
  <si>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</si>
  <si>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</si>
  <si>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</si>
  <si>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</si>
  <si>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</si>
  <si>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</si>
  <si>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</si>
  <si>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</si>
  <si>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</si>
  <si>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</si>
  <si>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</si>
  <si>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</si>
  <si>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</si>
  <si>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</si>
  <si>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</si>
  <si>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</si>
  <si>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</si>
  <si>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</si>
  <si>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</si>
  <si>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</si>
  <si>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</si>
  <si>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</si>
  <si>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</si>
  <si>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</si>
  <si>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</si>
  <si>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</si>
  <si>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</si>
  <si>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</si>
  <si>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</si>
  <si>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</si>
  <si>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</si>
  <si>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</si>
  <si>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</si>
  <si>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</si>
  <si>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</si>
  <si>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</si>
  <si>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</si>
  <si>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</si>
  <si>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</si>
  <si>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</si>
  <si>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</si>
  <si>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</si>
  <si>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</si>
  <si>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</si>
  <si>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</si>
  <si>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</si>
  <si>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</si>
  <si>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</si>
  <si>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</si>
  <si>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</si>
  <si>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</si>
  <si>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</si>
  <si>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</si>
  <si>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</si>
  <si>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</si>
  <si>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</si>
  <si>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</si>
  <si>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</si>
  <si>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</si>
  <si>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</si>
  <si>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</si>
  <si>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</si>
  <si>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</si>
  <si>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</si>
  <si>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</si>
  <si>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</si>
  <si>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</si>
  <si>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</si>
  <si>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</si>
  <si>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</si>
  <si>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</si>
  <si>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</si>
  <si>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</si>
  <si>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</si>
  <si>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</si>
  <si>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</si>
  <si>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</si>
  <si>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</si>
  <si>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</si>
  <si>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</si>
  <si>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</si>
  <si>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</si>
  <si>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</si>
  <si>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</si>
  <si>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</si>
  <si>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</si>
  <si>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##TOOL_OUT#RIM_ID_MOD_3C_OTR##</t>
  </si>
  <si>
    <t>##TOOL_OUT#RIM_MOD_3C_OTR_TABLE##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</si>
  <si>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</si>
  <si>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</si>
  <si>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</si>
  <si>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</si>
  <si>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</si>
  <si>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</si>
  <si>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</si>
  <si>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</si>
  <si>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</si>
  <si>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</si>
  <si>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</si>
  <si>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</si>
  <si>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</si>
  <si>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</si>
  <si>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</si>
  <si>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</si>
  <si>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</si>
  <si>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</si>
  <si>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</si>
  <si>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</si>
  <si>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</si>
  <si>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</si>
  <si>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</si>
  <si>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</si>
  <si>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</si>
  <si>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</si>
  <si>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</si>
  <si>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</si>
  <si>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</si>
  <si>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</si>
  <si>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</si>
  <si>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</si>
  <si>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</si>
  <si>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</si>
  <si>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</si>
  <si>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</si>
  <si>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</si>
  <si>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</si>
  <si>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</si>
  <si>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</si>
  <si>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</si>
  <si>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</si>
  <si>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</si>
  <si>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</si>
  <si>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</si>
  <si>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</si>
  <si>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</si>
  <si>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</si>
  <si>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</si>
  <si>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</si>
  <si>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</si>
  <si>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</si>
  <si>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</si>
  <si>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</si>
  <si>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</si>
  <si>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</si>
  <si>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</si>
  <si>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</si>
  <si>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</si>
  <si>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</si>
  <si>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</si>
  <si>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</si>
  <si>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</si>
  <si>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</si>
  <si>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</si>
  <si>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</si>
  <si>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</si>
  <si>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</si>
  <si>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</si>
  <si>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</si>
  <si>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</si>
  <si>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</si>
  <si>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</si>
  <si>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</si>
  <si>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</si>
  <si>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</si>
  <si>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</si>
  <si>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</si>
  <si>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</si>
  <si>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</si>
  <si>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</si>
  <si>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</si>
  <si>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</si>
  <si>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</si>
  <si>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</si>
  <si>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</si>
  <si>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</si>
  <si>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</si>
  <si>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</si>
  <si>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</si>
  <si>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</si>
  <si>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</si>
  <si>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</si>
  <si>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</si>
  <si>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</si>
  <si>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</si>
  <si>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</si>
  <si>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</si>
  <si>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</si>
  <si>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</si>
  <si>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</si>
  <si>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</si>
  <si>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</si>
  <si>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</si>
  <si>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</si>
  <si>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</si>
  <si>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</si>
  <si>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</si>
  <si>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</si>
  <si>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</si>
  <si>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</si>
  <si>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#define RIM_MOD_1BRAM_U2_ID_NUM                  (1U)</t>
  </si>
  <si>
    <t>0xC601U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</si>
  <si>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</si>
  <si>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</si>
  <si>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</si>
  <si>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1"/>
  </si>
  <si>
    <t>SAMPLE_BCC_1</t>
    <phoneticPr fontId="1"/>
  </si>
  <si>
    <t>SAMPLE_BCC_2</t>
    <phoneticPr fontId="1"/>
  </si>
  <si>
    <t>SAMPLE_BCC_4</t>
    <phoneticPr fontId="1"/>
  </si>
  <si>
    <t>SAMPLE_B_1</t>
    <phoneticPr fontId="1"/>
  </si>
  <si>
    <t>SAMPLE_CCC_1</t>
    <phoneticPr fontId="1"/>
  </si>
  <si>
    <t>SAMPLE_B_2</t>
    <phoneticPr fontId="1"/>
  </si>
  <si>
    <t>SAMPLE_B_4</t>
    <phoneticPr fontId="1"/>
  </si>
  <si>
    <t>SAMPLE_B_OTH</t>
    <phoneticPr fontId="1"/>
  </si>
  <si>
    <t>SAMPLE_CCC_2</t>
    <phoneticPr fontId="1"/>
  </si>
  <si>
    <t>SAMPLE_CCC_4</t>
    <phoneticPr fontId="1"/>
  </si>
  <si>
    <t>SAMPLE_CCC_OTH</t>
    <phoneticPr fontId="1"/>
  </si>
  <si>
    <t>SAMPLE_CCC_OTH_2</t>
    <phoneticPr fontId="1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</si>
  <si>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</si>
  <si>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</si>
  <si>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</si>
  <si>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</si>
  <si>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</si>
  <si>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</si>
  <si>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</si>
  <si>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</si>
  <si>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</si>
  <si>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</si>
  <si>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</si>
  <si>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</si>
  <si>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</si>
  <si>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</si>
  <si>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</si>
  <si>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</si>
  <si>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</si>
  <si>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</si>
  <si>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</si>
  <si>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</si>
  <si>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</si>
  <si>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</si>
  <si>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</si>
  <si>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</si>
  <si>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</si>
  <si>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</si>
  <si>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1"/>
  </si>
  <si>
    <t>SAMPLE_BBB_1</t>
    <phoneticPr fontId="1"/>
  </si>
  <si>
    <t>SAMPLE_BBB_2</t>
    <phoneticPr fontId="1"/>
  </si>
  <si>
    <t>SAMPLE_BBB_4</t>
    <phoneticPr fontId="1"/>
  </si>
  <si>
    <t>SAMPLE_BBB_OTH</t>
    <phoneticPr fontId="1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</si>
  <si>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</si>
  <si>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</si>
  <si>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</si>
  <si>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</si>
  <si>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</si>
  <si>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</si>
  <si>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</si>
  <si>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</si>
  <si>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</si>
  <si>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</si>
  <si>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</si>
  <si>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</si>
  <si>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</si>
  <si>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</si>
  <si>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NVMC_DA_DTF_REA_000</t>
  </si>
  <si>
    <t>NVMC_ST_DTF_000</t>
  </si>
  <si>
    <t>RIMID_U2_NVMC_INITID_DTF</t>
  </si>
  <si>
    <t>0x4601U</t>
  </si>
  <si>
    <t>#define RIMID_U2_NVMC_INITID_DTF                 (0x4601U)</t>
  </si>
  <si>
    <t>0x4602U</t>
  </si>
  <si>
    <t>RIMID_U2_NVMC_RECOVERY_DTF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</si>
  <si>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</si>
  <si>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</si>
  <si>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</si>
  <si>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</si>
  <si>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</si>
  <si>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</si>
  <si>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</si>
  <si>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</si>
  <si>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</si>
  <si>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RIMID_U1_NVMC_DA_DTF_WRI_000</t>
  </si>
  <si>
    <t>RIMID_U1_NVMC_DA_DTF_REA_000</t>
  </si>
  <si>
    <t>RIMID_U1_NVMC_ST_DTF_000</t>
  </si>
  <si>
    <t>0x0001U</t>
  </si>
  <si>
    <t>#define RIM_MOD_1BRAM_U4_ID_NUM                  (2U)</t>
  </si>
  <si>
    <t>#define RIMID_U2_NVMC_RECOVERY_DTF               (0x4602U)</t>
  </si>
  <si>
    <t>#define RIM_MOD_3CRAM_U1_ID_NUM                  (2U)</t>
  </si>
  <si>
    <t>#define RIM_MOD_3CRAM_U2_ID_NUM                  (3U)</t>
  </si>
  <si>
    <t>NVMC_DA_DTF_WRI_001</t>
  </si>
  <si>
    <t>NVMC_DA_DTF_REA_001</t>
  </si>
  <si>
    <t>NVMC_ST_DTF_001</t>
  </si>
  <si>
    <t xml:space="preserve">    {(U2)0U,        (U2)4U      },      /* 0    : RIMID_OTR_SAMPLE_BBB_OTH */</t>
  </si>
  <si>
    <t>0xC001U</t>
  </si>
  <si>
    <t>0xC002U</t>
  </si>
  <si>
    <t>RIMID_U1_NVMC_ST_DTF_001</t>
  </si>
  <si>
    <t>0x0002U</t>
  </si>
  <si>
    <t>#define RIM_MOD_3BRAM_OTHER_ID_CFGMAX            (32U)</t>
  </si>
  <si>
    <t>NVMC_DA_DTF_WRI_002</t>
  </si>
  <si>
    <t>NVMC_DA_DTF_REA_002</t>
  </si>
  <si>
    <t>NVMC_DA_DTF_WRI_003</t>
  </si>
  <si>
    <t>NVMC_DA_DTF_REA_003</t>
  </si>
  <si>
    <t>NVMC_ST_DTF_002</t>
  </si>
  <si>
    <t>NVMC_ST_DTF_003</t>
  </si>
  <si>
    <t>RIMID_U1_NVMC_ST_DTF_002</t>
  </si>
  <si>
    <t>0x0003U</t>
  </si>
  <si>
    <t>RIMID_U1_NVMC_ST_DTF_003</t>
  </si>
  <si>
    <t>0x0004U</t>
  </si>
  <si>
    <t>NVMC_DA_DTF_WRI_004</t>
  </si>
  <si>
    <t>NVMC_DA_DTF_REA_004</t>
  </si>
  <si>
    <t>NVMC_ST_DTF_004</t>
  </si>
  <si>
    <t>RIMID_U2_NVMC_DA_DTF_WRI_001</t>
  </si>
  <si>
    <t>RIMID_U2_NVMC_DA_DTF_REA_001</t>
  </si>
  <si>
    <t>RIMID_U4_NVMC_DA_DTF_WRI_002</t>
  </si>
  <si>
    <t>RIMID_U4_NVMC_DA_DTF_REA_002</t>
  </si>
  <si>
    <t>RIMID_OTR_NVMC_DA_DTF_WRI_003</t>
  </si>
  <si>
    <t>#define RIMID_OTR_NVMC_DA_DTF_WRI_003            (0xC001U)</t>
  </si>
  <si>
    <t xml:space="preserve">    {(U2)1U,        (U2)32U     },      /* 1    : RIMID_OTR_NVMC_DA_DTF_WRI_003 */</t>
  </si>
  <si>
    <t>RIMID_OTR_NVMC_DA_DTF_REA_003</t>
  </si>
  <si>
    <t>#define RIMID_OTR_NVMC_DA_DTF_REA_003            (0xC002U)</t>
  </si>
  <si>
    <t xml:space="preserve">    {(U2)9U,        (U2)32U     },      /* 2    : RIMID_OTR_NVMC_DA_DTF_REA_003 */</t>
  </si>
  <si>
    <t>RIMID_OTR_NVMC_DA_DTF_WRI_004</t>
  </si>
  <si>
    <t>0xC003U</t>
  </si>
  <si>
    <t>#define RIMID_OTR_NVMC_DA_DTF_WRI_004            (0xC003U)</t>
  </si>
  <si>
    <t xml:space="preserve">    {(U2)17U,       (U2)28U     },      /* 3    : RIMID_OTR_NVMC_DA_DTF_WRI_004 */</t>
  </si>
  <si>
    <t>RIMID_OTR_NVMC_DA_DTF_REA_004</t>
  </si>
  <si>
    <t>0xC004U</t>
  </si>
  <si>
    <t>#define RIMID_OTR_NVMC_DA_DTF_REA_004            (0xC004U)</t>
  </si>
  <si>
    <t>RIMID_U1_NVMC_ST_DTF_004</t>
  </si>
  <si>
    <t>0x0005U</t>
  </si>
  <si>
    <t xml:space="preserve">    {(U2)24U,       (U2)28U     }       /* 4    : RIMID_OTR_NVMC_DA_DTF_REA_004 */</t>
  </si>
  <si>
    <t xml:space="preserve">    {(U2)24U,       (U2)28U     }       /* 4    : RIMID_OTR_NVMC_DA_DTF_REA_004 */</t>
    <phoneticPr fontId="1"/>
  </si>
  <si>
    <t>#define RIM_MOD_3BRAM_OTHER_ID_NUM               (5U)</t>
  </si>
  <si>
    <t>#define RIM_MOD_3BRAM_OTHER_BUF_NUM              (31U)</t>
  </si>
  <si>
    <t>#define RIMID_U1_NVMC_DA_DTF_WRI_000             (0x0001U)</t>
  </si>
  <si>
    <t>#define RIMID_U1_NVMC_DA_DTF_REA_000             (0x0002U)</t>
  </si>
  <si>
    <t>0x4001U</t>
  </si>
  <si>
    <t>#define RIMID_U2_NVMC_DA_DTF_WRI_001             (0x4001U)</t>
  </si>
  <si>
    <t>0x4002U</t>
  </si>
  <si>
    <t>#define RIMID_U2_NVMC_DA_DTF_REA_001             (0x4002U)</t>
  </si>
  <si>
    <t>0x8001U</t>
  </si>
  <si>
    <t>#define RIMID_U4_NVMC_DA_DTF_WRI_002             (0x8001U)</t>
  </si>
  <si>
    <t>0x8002U</t>
  </si>
  <si>
    <t>#define RIMID_U4_NVMC_DA_DTF_REA_002             (0x8002U)</t>
  </si>
  <si>
    <t>#define RIMID_U1_NVMC_ST_DTF_000                 (0x0003U)</t>
  </si>
  <si>
    <t>#define RIMID_U1_NVMC_ST_DTF_001                 (0x0004U)</t>
  </si>
  <si>
    <t>#define RIMID_U1_NVMC_ST_DTF_002                 (0x0005U)</t>
  </si>
  <si>
    <t>0x0006U</t>
  </si>
  <si>
    <t>#define RIMID_U1_NVMC_ST_DTF_003                 (0x0006U)</t>
  </si>
  <si>
    <t>0x0007U</t>
  </si>
  <si>
    <t>#define RIMID_U1_NVMC_ST_DTF_004                 (0x0007U)</t>
  </si>
  <si>
    <t>#define RIM_MOD_1B2CRAM_U2_ID_NUM                (1U)</t>
  </si>
  <si>
    <t>NVMC</t>
    <phoneticPr fontId="8"/>
  </si>
  <si>
    <t>NVMC_REQ_DTF1</t>
  </si>
  <si>
    <t>NVMC_REQ_DTF2</t>
  </si>
  <si>
    <t>NVMC_DA_DTF_WRI_005</t>
  </si>
  <si>
    <t>NVMC_DA_DTF_WRI_006</t>
  </si>
  <si>
    <t>NVMC_DA_DTF_WRI_007</t>
  </si>
  <si>
    <t>NVMC_DA_DTF_WRI_008</t>
  </si>
  <si>
    <t>NVMC_DA_DTF_WRI_009</t>
  </si>
  <si>
    <t>NVMC_DA_DTF_WRI_010</t>
  </si>
  <si>
    <t>NVMC_DA_DTF_WRI_011</t>
  </si>
  <si>
    <t>NVMC_DA_DTF_WRI_012</t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</si>
  <si>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</si>
  <si>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</si>
  <si>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</si>
  <si>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</si>
  <si>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</si>
  <si>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</si>
  <si>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</si>
  <si>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</si>
  <si>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</si>
  <si>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</si>
  <si>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</si>
  <si>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</si>
  <si>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</si>
  <si>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</si>
  <si>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</si>
  <si>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</si>
  <si>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</si>
  <si>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</si>
  <si>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</si>
  <si>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</si>
  <si>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</si>
  <si>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</si>
  <si>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</si>
  <si>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</si>
  <si>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</si>
  <si>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</si>
  <si>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</si>
  <si>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</si>
  <si>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</si>
  <si>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</si>
  <si>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</si>
  <si>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</si>
  <si>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</si>
  <si>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</si>
  <si>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</si>
  <si>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</si>
  <si>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</si>
  <si>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</si>
  <si>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</si>
  <si>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</si>
  <si>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</si>
  <si>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</si>
  <si>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</si>
  <si>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</si>
  <si>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</si>
  <si>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</si>
  <si>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</si>
  <si>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</si>
  <si>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</si>
  <si>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</si>
  <si>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</si>
  <si>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</si>
  <si>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</si>
  <si>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</si>
  <si>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</si>
  <si>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</si>
  <si>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</si>
  <si>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</si>
  <si>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</si>
  <si>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</si>
  <si>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NVMC_ST_DTF_005</t>
  </si>
  <si>
    <t>NVMC_ST_DTF_006</t>
  </si>
  <si>
    <t>NVMC_ST_DTF_007</t>
  </si>
  <si>
    <t>NVMC_ST_DTF_008</t>
  </si>
  <si>
    <t>NVMC_ST_DTF_009</t>
  </si>
  <si>
    <t>NVMC_ST_DTF_010</t>
  </si>
  <si>
    <t>NVMC_ST_DTF_011</t>
  </si>
  <si>
    <t>NVMC_ST_DTF_012</t>
  </si>
  <si>
    <t>NVMC_ST_DTF_013</t>
  </si>
  <si>
    <t>NVMC_ST_DTF_014</t>
  </si>
  <si>
    <t>NVMC_ST_DTF_015</t>
  </si>
  <si>
    <t>NVMC_ST_DTF_016</t>
  </si>
  <si>
    <t>NVMC_ST_DTF_017</t>
  </si>
  <si>
    <t>NVMC_ST_DTF_018</t>
  </si>
  <si>
    <t>NVMC_ST_DTF_019</t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</si>
  <si>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</si>
  <si>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</si>
  <si>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</si>
  <si>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</si>
  <si>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</si>
  <si>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</si>
  <si>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</si>
  <si>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</si>
  <si>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</si>
  <si>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</si>
  <si>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</si>
  <si>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</si>
  <si>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</si>
  <si>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</si>
  <si>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</si>
  <si>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</si>
  <si>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</si>
  <si>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</si>
  <si>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</si>
  <si>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</si>
  <si>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</si>
  <si>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</si>
  <si>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</si>
  <si>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</si>
  <si>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</si>
  <si>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</si>
  <si>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</si>
  <si>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</si>
  <si>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</si>
  <si>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</si>
  <si>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</si>
  <si>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</si>
  <si>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</si>
  <si>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</si>
  <si>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</si>
  <si>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</si>
  <si>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</si>
  <si>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</si>
  <si>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</si>
  <si>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</si>
  <si>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</si>
  <si>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</si>
  <si>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</si>
  <si>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</si>
  <si>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</si>
  <si>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</si>
  <si>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</si>
  <si>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</si>
  <si>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</si>
  <si>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</si>
  <si>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</si>
  <si>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</si>
  <si>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</si>
  <si>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VDF_DEST_BDB</t>
  </si>
  <si>
    <t>VDF_STRG_WHL</t>
  </si>
  <si>
    <t>BSW_SECOC_TRIP_CNT</t>
  </si>
  <si>
    <t>OXDC_UDTC_EV_CNT</t>
  </si>
  <si>
    <t>OXDC_UDTC_LAST_EV_ID</t>
  </si>
  <si>
    <t>MET Vardef</t>
  </si>
  <si>
    <t>BSW</t>
  </si>
  <si>
    <t xml:space="preserve">    {(U2)0U,        (U2)4U      },      /* 0    : RIMID_OTR_SAMPLE_B_OTH */</t>
  </si>
  <si>
    <t>RIMID_U4_NVMC_REQ_DTF1</t>
  </si>
  <si>
    <t>0x8602U</t>
  </si>
  <si>
    <t>#define RIMID_U4_NVMC_REQ_DTF1                   (0x8602U)</t>
  </si>
  <si>
    <t>RIMID_U4_NVMC_REQ_DTF2</t>
  </si>
  <si>
    <t>0x8603U</t>
  </si>
  <si>
    <t>#define RIMID_U4_NVMC_REQ_DTF2                   (0x8603U)</t>
  </si>
  <si>
    <t>RIMID_U4_NVMC_DA_DTF_WRI_005</t>
  </si>
  <si>
    <t>0x8003U</t>
  </si>
  <si>
    <t>#define RIMID_U4_NVMC_DA_DTF_WRI_005             (0x8003U)</t>
  </si>
  <si>
    <t>RIMID_OTR_NVMC_DA_DTF_WRI_006</t>
  </si>
  <si>
    <t>0xC401U</t>
  </si>
  <si>
    <t>#define RIMID_OTR_NVMC_DA_DTF_WRI_006            (0xC401U)</t>
  </si>
  <si>
    <t xml:space="preserve">    {(U2)1U,        (U2)28U     },      /* 1    : RIMID_OTR_NVMC_DA_DTF_WRI_006 */</t>
  </si>
  <si>
    <t>RIMID_OTR_NVMC_DA_DTF_WRI_007</t>
  </si>
  <si>
    <t>0xC402U</t>
  </si>
  <si>
    <t>#define RIMID_OTR_NVMC_DA_DTF_WRI_007            (0xC402U)</t>
  </si>
  <si>
    <t xml:space="preserve">    {(U2)8U,        (U2)32U     },      /* 2    : RIMID_OTR_NVMC_DA_DTF_WRI_007 */</t>
  </si>
  <si>
    <t>RIMID_OTR_NVMC_DA_DTF_WRI_008</t>
  </si>
  <si>
    <t>0xC403U</t>
  </si>
  <si>
    <t>#define RIMID_OTR_NVMC_DA_DTF_WRI_008            (0xC403U)</t>
  </si>
  <si>
    <t xml:space="preserve">    {(U2)16U,       (U2)8U      },      /* 3    : RIMID_OTR_NVMC_DA_DTF_WRI_008 */</t>
  </si>
  <si>
    <t>RIMID_OTR_NVMC_DA_DTF_WRI_009</t>
  </si>
  <si>
    <t>0xC404U</t>
  </si>
  <si>
    <t>#define RIMID_OTR_NVMC_DA_DTF_WRI_009            (0xC404U)</t>
  </si>
  <si>
    <t xml:space="preserve">    {(U2)18U,       (U2)8U      },      /* 4    : RIMID_OTR_NVMC_DA_DTF_WRI_009 */</t>
  </si>
  <si>
    <t>RIMID_OTR_NVMC_DA_DTF_WRI_010</t>
  </si>
  <si>
    <t>0xC405U</t>
  </si>
  <si>
    <t>#define RIMID_OTR_NVMC_DA_DTF_WRI_010            (0xC405U)</t>
  </si>
  <si>
    <t xml:space="preserve">    {(U2)20U,       (U2)8U      },      /* 5    : RIMID_OTR_NVMC_DA_DTF_WRI_010 */</t>
  </si>
  <si>
    <t>RIMID_OTR_NVMC_DA_DTF_WRI_011</t>
  </si>
  <si>
    <t>0xC406U</t>
  </si>
  <si>
    <t>#define RIMID_OTR_NVMC_DA_DTF_WRI_011            (0xC406U)</t>
  </si>
  <si>
    <t xml:space="preserve">    {(U2)22U,       (U2)8U      },      /* 6    : RIMID_OTR_NVMC_DA_DTF_WRI_011 */</t>
  </si>
  <si>
    <t>RIMID_OTR_NVMC_DA_DTF_WRI_012</t>
  </si>
  <si>
    <t>0xC407U</t>
  </si>
  <si>
    <t>#define RIMID_OTR_NVMC_DA_DTF_WRI_012            (0xC407U)</t>
  </si>
  <si>
    <t xml:space="preserve">    {(U2)24U,       (U2)8U      },      /* 7    : RIMID_OTR_NVMC_DA_DTF_WRI_012 */</t>
  </si>
  <si>
    <t>RIMID_OTR_NVMC_DA_DTF_WRI_013</t>
  </si>
  <si>
    <t>0xC408U</t>
  </si>
  <si>
    <t>#define RIMID_OTR_NVMC_DA_DTF_WRI_013            (0xC408U)</t>
  </si>
  <si>
    <t xml:space="preserve">    {(U2)26U,       (U2)8U      },      /* 8    : RIMID_OTR_NVMC_DA_DTF_WRI_013 */</t>
  </si>
  <si>
    <t>RIMID_OTR_NVMC_DA_DTF_WRI_014</t>
  </si>
  <si>
    <t>0xC409U</t>
  </si>
  <si>
    <t>#define RIMID_OTR_NVMC_DA_DTF_WRI_014            (0xC409U)</t>
  </si>
  <si>
    <t xml:space="preserve">    {(U2)28U,       (U2)8U      },      /* 9    : RIMID_OTR_NVMC_DA_DTF_WRI_014 */</t>
  </si>
  <si>
    <t>RIMID_OTR_NVMC_DA_DTF_WRI_015</t>
  </si>
  <si>
    <t>0xC40AU</t>
  </si>
  <si>
    <t>#define RIMID_OTR_NVMC_DA_DTF_WRI_015            (0xC40AU)</t>
  </si>
  <si>
    <t xml:space="preserve">    {(U2)30U,       (U2)8U      },      /* 10   : RIMID_OTR_NVMC_DA_DTF_WRI_015 */</t>
  </si>
  <si>
    <t>RIMID_OTR_NVMC_DA_DTF_WRI_016</t>
  </si>
  <si>
    <t>0xC40BU</t>
  </si>
  <si>
    <t>#define RIMID_OTR_NVMC_DA_DTF_WRI_016            (0xC40BU)</t>
  </si>
  <si>
    <t xml:space="preserve">    {(U2)32U,       (U2)8U      },      /* 11   : RIMID_OTR_NVMC_DA_DTF_WRI_016 */</t>
  </si>
  <si>
    <t>RIMID_OTR_NVMC_DA_DTF_WRI_017</t>
  </si>
  <si>
    <t>0xC40CU</t>
  </si>
  <si>
    <t>#define RIMID_OTR_NVMC_DA_DTF_WRI_017            (0xC40CU)</t>
  </si>
  <si>
    <t xml:space="preserve">    {(U2)34U,       (U2)8U      },      /* 12   : RIMID_OTR_NVMC_DA_DTF_WRI_017 */</t>
  </si>
  <si>
    <t>RIMID_OTR_NVMC_DA_DTF_WRI_018</t>
  </si>
  <si>
    <t>0xC40DU</t>
  </si>
  <si>
    <t>#define RIMID_OTR_NVMC_DA_DTF_WRI_018            (0xC40DU)</t>
  </si>
  <si>
    <t xml:space="preserve">    {(U2)36U,       (U2)8U      },      /* 13   : RIMID_OTR_NVMC_DA_DTF_WRI_018 */</t>
  </si>
  <si>
    <t>RIMID_OTR_NVMC_DA_DTF_WRI_019</t>
  </si>
  <si>
    <t>0xC40EU</t>
  </si>
  <si>
    <t>#define RIMID_OTR_NVMC_DA_DTF_WRI_019            (0xC40EU)</t>
  </si>
  <si>
    <t xml:space="preserve">    {(U2)38U,       (U2)8U      },      /* 14   : RIMID_OTR_NVMC_DA_DTF_WRI_019 */</t>
  </si>
  <si>
    <t>RIMID_OTR_NVMC_DA_DTF_WRI_020</t>
  </si>
  <si>
    <t>0xC40FU</t>
  </si>
  <si>
    <t>#define RIMID_OTR_NVMC_DA_DTF_WRI_020            (0xC40FU)</t>
  </si>
  <si>
    <t xml:space="preserve">    {(U2)40U,       (U2)8U      },      /* 15   : RIMID_OTR_NVMC_DA_DTF_WRI_020 */</t>
  </si>
  <si>
    <t>RIMID_OTR_NVMC_DA_DTF_WRI_021</t>
  </si>
  <si>
    <t>0xC410U</t>
  </si>
  <si>
    <t>#define RIMID_OTR_NVMC_DA_DTF_WRI_021            (0xC410U)</t>
  </si>
  <si>
    <t xml:space="preserve">    {(U2)42U,       (U2)8U      },      /* 16   : RIMID_OTR_NVMC_DA_DTF_WRI_021 */</t>
  </si>
  <si>
    <t>RIMID_OTR_NVMC_DA_DTF_WRI_022</t>
  </si>
  <si>
    <t>0xC411U</t>
  </si>
  <si>
    <t>#define RIMID_OTR_NVMC_DA_DTF_WRI_022            (0xC411U)</t>
  </si>
  <si>
    <t xml:space="preserve">    {(U2)44U,       (U2)8U      },      /* 17   : RIMID_OTR_NVMC_DA_DTF_WRI_022 */</t>
  </si>
  <si>
    <t>RIMID_OTR_NVMC_DA_DTF_WRI_023</t>
  </si>
  <si>
    <t>0xC412U</t>
  </si>
  <si>
    <t>#define RIMID_OTR_NVMC_DA_DTF_WRI_023            (0xC412U)</t>
  </si>
  <si>
    <t xml:space="preserve">    {(U2)46U,       (U2)8U      },      /* 18   : RIMID_OTR_NVMC_DA_DTF_WRI_023 */</t>
  </si>
  <si>
    <t>RIMID_OTR_NVMC_DA_DTF_WRI_024</t>
  </si>
  <si>
    <t>0xC413U</t>
  </si>
  <si>
    <t>#define RIMID_OTR_NVMC_DA_DTF_WRI_024            (0xC413U)</t>
  </si>
  <si>
    <t xml:space="preserve">    {(U2)48U,       (U2)8U      },      /* 19   : RIMID_OTR_NVMC_DA_DTF_WRI_024 */</t>
  </si>
  <si>
    <t>RIMID_OTR_NVMC_DA_DTF_WRI_025</t>
  </si>
  <si>
    <t>0xC414U</t>
  </si>
  <si>
    <t>#define RIMID_OTR_NVMC_DA_DTF_WRI_025            (0xC414U)</t>
  </si>
  <si>
    <t xml:space="preserve">    {(U2)50U,       (U2)8U      },      /* 20   : RIMID_OTR_NVMC_DA_DTF_WRI_025 */</t>
  </si>
  <si>
    <t>RIMID_OTR_NVMC_DA_DTF_WRI_026</t>
  </si>
  <si>
    <t>0xC415U</t>
  </si>
  <si>
    <t>#define RIMID_OTR_NVMC_DA_DTF_WRI_026            (0xC415U)</t>
  </si>
  <si>
    <t xml:space="preserve">    {(U2)52U,       (U2)8U      },      /* 21   : RIMID_OTR_NVMC_DA_DTF_WRI_026 */</t>
  </si>
  <si>
    <t>RIMID_OTR_NVMC_DA_DTF_WRI_027</t>
  </si>
  <si>
    <t>0xC416U</t>
  </si>
  <si>
    <t>#define RIMID_OTR_NVMC_DA_DTF_WRI_027            (0xC416U)</t>
  </si>
  <si>
    <t xml:space="preserve">    {(U2)54U,       (U2)8U      },      /* 22   : RIMID_OTR_NVMC_DA_DTF_WRI_027 */</t>
  </si>
  <si>
    <t>RIMID_OTR_NVMC_DA_DTF_WRI_028</t>
  </si>
  <si>
    <t>0xC417U</t>
  </si>
  <si>
    <t>#define RIMID_OTR_NVMC_DA_DTF_WRI_028            (0xC417U)</t>
  </si>
  <si>
    <t xml:space="preserve">    {(U2)56U,       (U2)8U      },      /* 23   : RIMID_OTR_NVMC_DA_DTF_WRI_028 */</t>
  </si>
  <si>
    <t>RIMID_OTR_NVMC_DA_DTF_WRI_029</t>
  </si>
  <si>
    <t>0xC418U</t>
  </si>
  <si>
    <t>#define RIMID_OTR_NVMC_DA_DTF_WRI_029            (0xC418U)</t>
  </si>
  <si>
    <t xml:space="preserve">    {(U2)58U,       (U2)12U     },      /* 24   : RIMID_OTR_NVMC_DA_DTF_WRI_029 */</t>
  </si>
  <si>
    <t>RIMID_OTR_NVMC_DA_DTF_WRI_030</t>
  </si>
  <si>
    <t>0xC419U</t>
  </si>
  <si>
    <t>#define RIMID_OTR_NVMC_DA_DTF_WRI_030            (0xC419U)</t>
  </si>
  <si>
    <t xml:space="preserve">    {(U2)61U,       (U2)12U     },      /* 25   : RIMID_OTR_NVMC_DA_DTF_WRI_030 */</t>
  </si>
  <si>
    <t>RIMID_OTR_NVMC_DA_DTF_WRI_031</t>
  </si>
  <si>
    <t>0xC41AU</t>
  </si>
  <si>
    <t>#define RIMID_OTR_NVMC_DA_DTF_WRI_031            (0xC41AU)</t>
  </si>
  <si>
    <t xml:space="preserve">    {(U2)64U,       (U2)12U     },      /* 26   : RIMID_OTR_NVMC_DA_DTF_WRI_031 */</t>
  </si>
  <si>
    <t>RIMID_OTR_NVMC_DA_DTF_WRI_032</t>
  </si>
  <si>
    <t>0xC41BU</t>
  </si>
  <si>
    <t>#define RIMID_OTR_NVMC_DA_DTF_WRI_032            (0xC41BU)</t>
  </si>
  <si>
    <t xml:space="preserve">    {(U2)67U,       (U2)12U     },      /* 27   : RIMID_OTR_NVMC_DA_DTF_WRI_032 */</t>
  </si>
  <si>
    <t>RIMID_OTR_NVMC_DA_DTF_WRI_033</t>
  </si>
  <si>
    <t>0xC41CU</t>
  </si>
  <si>
    <t>#define RIMID_OTR_NVMC_DA_DTF_WRI_033            (0xC41CU)</t>
  </si>
  <si>
    <t xml:space="preserve">    {(U2)70U,       (U2)12U     },      /* 28   : RIMID_OTR_NVMC_DA_DTF_WRI_033 */</t>
  </si>
  <si>
    <t>RIMID_OTR_NVMC_DA_DTF_WRI_034</t>
  </si>
  <si>
    <t>0xC41DU</t>
  </si>
  <si>
    <t>#define RIMID_OTR_NVMC_DA_DTF_WRI_034            (0xC41DU)</t>
  </si>
  <si>
    <t xml:space="preserve">    {(U2)73U,       (U2)12U     },      /* 29   : RIMID_OTR_NVMC_DA_DTF_WRI_034 */</t>
  </si>
  <si>
    <t>RIMID_OTR_NVMC_DA_DTF_WRI_035</t>
  </si>
  <si>
    <t>0xC41EU</t>
  </si>
  <si>
    <t>#define RIMID_OTR_NVMC_DA_DTF_WRI_035            (0xC41EU)</t>
  </si>
  <si>
    <t xml:space="preserve">    {(U2)76U,       (U2)12U     },      /* 30   : RIMID_OTR_NVMC_DA_DTF_WRI_035 */</t>
  </si>
  <si>
    <t>RIMID_OTR_NVMC_DA_DTF_WRI_036</t>
  </si>
  <si>
    <t>0xC41FU</t>
  </si>
  <si>
    <t>#define RIMID_OTR_NVMC_DA_DTF_WRI_036            (0xC41FU)</t>
  </si>
  <si>
    <t xml:space="preserve">    {(U2)79U,       (U2)12U     },      /* 31   : RIMID_OTR_NVMC_DA_DTF_WRI_036 */</t>
  </si>
  <si>
    <t>RIMID_OTR_NVMC_DA_DTF_WRI_037</t>
  </si>
  <si>
    <t>0xC420U</t>
  </si>
  <si>
    <t>#define RIMID_OTR_NVMC_DA_DTF_WRI_037            (0xC420U)</t>
  </si>
  <si>
    <t xml:space="preserve">    {(U2)82U,       (U2)12U     },      /* 32   : RIMID_OTR_NVMC_DA_DTF_WRI_037 */</t>
  </si>
  <si>
    <t>RIMID_OTR_NVMC_DA_DTF_WRI_038</t>
  </si>
  <si>
    <t>0xC421U</t>
  </si>
  <si>
    <t>#define RIMID_OTR_NVMC_DA_DTF_WRI_038            (0xC421U)</t>
  </si>
  <si>
    <t xml:space="preserve">    {(U2)85U,       (U2)12U     },      /* 33   : RIMID_OTR_NVMC_DA_DTF_WRI_038 */</t>
  </si>
  <si>
    <t>RIMID_OTR_NVMC_DA_DTF_WRI_039</t>
  </si>
  <si>
    <t>0xC422U</t>
  </si>
  <si>
    <t>#define RIMID_OTR_NVMC_DA_DTF_WRI_039            (0xC422U)</t>
  </si>
  <si>
    <t xml:space="preserve">    {(U2)88U,       (U2)12U     },      /* 34   : RIMID_OTR_NVMC_DA_DTF_WRI_039 */</t>
  </si>
  <si>
    <t>RIMID_OTR_NVMC_DA_DTF_WRI_040</t>
  </si>
  <si>
    <t>0xC423U</t>
  </si>
  <si>
    <t>#define RIMID_OTR_NVMC_DA_DTF_WRI_040            (0xC423U)</t>
  </si>
  <si>
    <t xml:space="preserve">    {(U2)91U,       (U2)12U     },      /* 35   : RIMID_OTR_NVMC_DA_DTF_WRI_040 */</t>
  </si>
  <si>
    <t>RIMID_OTR_NVMC_DA_DTF_WRI_041</t>
  </si>
  <si>
    <t>0xC424U</t>
  </si>
  <si>
    <t>#define RIMID_OTR_NVMC_DA_DTF_WRI_041            (0xC424U)</t>
  </si>
  <si>
    <t xml:space="preserve">    {(U2)94U,       (U2)12U     },      /* 36   : RIMID_OTR_NVMC_DA_DTF_WRI_041 */</t>
  </si>
  <si>
    <t>RIMID_OTR_NVMC_DA_DTF_WRI_042</t>
  </si>
  <si>
    <t>0xC425U</t>
  </si>
  <si>
    <t>#define RIMID_OTR_NVMC_DA_DTF_WRI_042            (0xC425U)</t>
  </si>
  <si>
    <t xml:space="preserve">    {(U2)97U,       (U2)12U     },      /* 37   : RIMID_OTR_NVMC_DA_DTF_WRI_042 */</t>
  </si>
  <si>
    <t>RIMID_OTR_NVMC_DA_DTF_WRI_043</t>
  </si>
  <si>
    <t>0xC426U</t>
  </si>
  <si>
    <t>#define RIMID_OTR_NVMC_DA_DTF_WRI_043            (0xC426U)</t>
  </si>
  <si>
    <t xml:space="preserve">    {(U2)100U,      (U2)12U     },      /* 38   : RIMID_OTR_NVMC_DA_DTF_WRI_043 */</t>
  </si>
  <si>
    <t>RIMID_OTR_NVMC_DA_DTF_WRI_044</t>
  </si>
  <si>
    <t>0xC427U</t>
  </si>
  <si>
    <t>#define RIMID_OTR_NVMC_DA_DTF_WRI_044            (0xC427U)</t>
  </si>
  <si>
    <t xml:space="preserve">    {(U2)103U,      (U2)12U     },      /* 39   : RIMID_OTR_NVMC_DA_DTF_WRI_044 */</t>
  </si>
  <si>
    <t>RIMID_OTR_NVMC_DA_DTF_WRI_045</t>
  </si>
  <si>
    <t>0xC428U</t>
  </si>
  <si>
    <t>#define RIMID_OTR_NVMC_DA_DTF_WRI_045            (0xC428U)</t>
  </si>
  <si>
    <t xml:space="preserve">    {(U2)106U,      (U2)12U     },      /* 40   : RIMID_OTR_NVMC_DA_DTF_WRI_045 */</t>
  </si>
  <si>
    <t>RIMID_OTR_NVMC_DA_DTF_WRI_046</t>
  </si>
  <si>
    <t>0xC429U</t>
  </si>
  <si>
    <t>#define RIMID_OTR_NVMC_DA_DTF_WRI_046            (0xC429U)</t>
  </si>
  <si>
    <t xml:space="preserve">    {(U2)109U,      (U2)12U     },      /* 41   : RIMID_OTR_NVMC_DA_DTF_WRI_046 */</t>
  </si>
  <si>
    <t>RIMID_OTR_NVMC_DA_DTF_WRI_047</t>
  </si>
  <si>
    <t>0xC42AU</t>
  </si>
  <si>
    <t>#define RIMID_OTR_NVMC_DA_DTF_WRI_047            (0xC42AU)</t>
  </si>
  <si>
    <t xml:space="preserve">    {(U2)112U,      (U2)12U     },      /* 42   : RIMID_OTR_NVMC_DA_DTF_WRI_047 */</t>
  </si>
  <si>
    <t>RIMID_OTR_NVMC_DA_DTF_WRI_048</t>
  </si>
  <si>
    <t>0xC42BU</t>
  </si>
  <si>
    <t>#define RIMID_OTR_NVMC_DA_DTF_WRI_048            (0xC42BU)</t>
  </si>
  <si>
    <t xml:space="preserve">    {(U2)115U,      (U2)12U     },      /* 43   : RIMID_OTR_NVMC_DA_DTF_WRI_048 */</t>
  </si>
  <si>
    <t>RIMID_OTR_NVMC_DA_DTF_WRI_049</t>
  </si>
  <si>
    <t>0xC42CU</t>
  </si>
  <si>
    <t>#define RIMID_OTR_NVMC_DA_DTF_WRI_049            (0xC42CU)</t>
  </si>
  <si>
    <t xml:space="preserve">    {(U2)118U,      (U2)12U     },      /* 44   : RIMID_OTR_NVMC_DA_DTF_WRI_049 */</t>
  </si>
  <si>
    <t>RIMID_OTR_NVMC_DA_DTF_WRI_050</t>
  </si>
  <si>
    <t>0xC42DU</t>
  </si>
  <si>
    <t>#define RIMID_OTR_NVMC_DA_DTF_WRI_050            (0xC42DU)</t>
  </si>
  <si>
    <t xml:space="preserve">    {(U2)121U,      (U2)32U     },      /* 45   : RIMID_OTR_NVMC_DA_DTF_WRI_050 */</t>
  </si>
  <si>
    <t>RIMID_OTR_NVMC_DA_DTF_WRI_051</t>
  </si>
  <si>
    <t>0xC42EU</t>
  </si>
  <si>
    <t>#define RIMID_OTR_NVMC_DA_DTF_WRI_051            (0xC42EU)</t>
  </si>
  <si>
    <t xml:space="preserve">    {(U2)129U,      (U2)32U     },      /* 46   : RIMID_OTR_NVMC_DA_DTF_WRI_051 */</t>
  </si>
  <si>
    <t>RIMID_OTR_NVMC_DA_DTF_WRI_052</t>
  </si>
  <si>
    <t>0xC42FU</t>
  </si>
  <si>
    <t>#define RIMID_OTR_NVMC_DA_DTF_WRI_052            (0xC42FU)</t>
  </si>
  <si>
    <t xml:space="preserve">    {(U2)137U,      (U2)32U     },      /* 47   : RIMID_OTR_NVMC_DA_DTF_WRI_052 */</t>
  </si>
  <si>
    <t>RIMID_OTR_NVMC_DA_DTF_WRI_053</t>
  </si>
  <si>
    <t>0xC430U</t>
  </si>
  <si>
    <t>#define RIMID_OTR_NVMC_DA_DTF_WRI_053            (0xC430U)</t>
  </si>
  <si>
    <t xml:space="preserve">    {(U2)145U,      (U2)32U     },      /* 48   : RIMID_OTR_NVMC_DA_DTF_WRI_053 */</t>
  </si>
  <si>
    <t>RIMID_OTR_NVMC_DA_DTF_WRI_054</t>
  </si>
  <si>
    <t>0xC431U</t>
  </si>
  <si>
    <t>#define RIMID_OTR_NVMC_DA_DTF_WRI_054            (0xC431U)</t>
  </si>
  <si>
    <t xml:space="preserve">    {(U2)153U,      (U2)32U     },      /* 49   : RIMID_OTR_NVMC_DA_DTF_WRI_054 */</t>
  </si>
  <si>
    <t>RIMID_OTR_NVMC_DA_DTF_WRI_055</t>
  </si>
  <si>
    <t>0xC432U</t>
  </si>
  <si>
    <t>#define RIMID_OTR_NVMC_DA_DTF_WRI_055            (0xC432U)</t>
  </si>
  <si>
    <t xml:space="preserve">    {(U2)161U,      (U2)32U     },      /* 50   : RIMID_OTR_NVMC_DA_DTF_WRI_055 */</t>
  </si>
  <si>
    <t>RIMID_OTR_NVMC_DA_DTF_WRI_056</t>
  </si>
  <si>
    <t>0xC433U</t>
  </si>
  <si>
    <t>#define RIMID_OTR_NVMC_DA_DTF_WRI_056            (0xC433U)</t>
  </si>
  <si>
    <t xml:space="preserve">    {(U2)169U,      (U2)32U     },      /* 51   : RIMID_OTR_NVMC_DA_DTF_WRI_056 */</t>
  </si>
  <si>
    <t>RIMID_OTR_NVMC_DA_DTF_WRI_057</t>
  </si>
  <si>
    <t>0xC434U</t>
  </si>
  <si>
    <t>#define RIMID_OTR_NVMC_DA_DTF_WRI_057            (0xC434U)</t>
  </si>
  <si>
    <t xml:space="preserve">    {(U2)177U,      (U2)32U     },      /* 52   : RIMID_OTR_NVMC_DA_DTF_WRI_057 */</t>
  </si>
  <si>
    <t>RIMID_OTR_NVMC_DA_DTF_WRI_058</t>
  </si>
  <si>
    <t>0xC435U</t>
  </si>
  <si>
    <t>#define RIMID_OTR_NVMC_DA_DTF_WRI_058            (0xC435U)</t>
  </si>
  <si>
    <t xml:space="preserve">    {(U2)185U,      (U2)32U     },      /* 53   : RIMID_OTR_NVMC_DA_DTF_WRI_058 */</t>
  </si>
  <si>
    <t>RIMID_OTR_NVMC_DA_DTF_WRI_059</t>
  </si>
  <si>
    <t>0xC436U</t>
  </si>
  <si>
    <t>#define RIMID_OTR_NVMC_DA_DTF_WRI_059            (0xC436U)</t>
  </si>
  <si>
    <t xml:space="preserve">    {(U2)193U,      (U2)32U     },      /* 54   : RIMID_OTR_NVMC_DA_DTF_WRI_059 */</t>
  </si>
  <si>
    <t>RIMID_OTR_NVMC_DA_DTF_WRI_060</t>
  </si>
  <si>
    <t>0xC437U</t>
  </si>
  <si>
    <t>#define RIMID_OTR_NVMC_DA_DTF_WRI_060            (0xC437U)</t>
  </si>
  <si>
    <t xml:space="preserve">    {(U2)201U,      (U2)32U     },      /* 55   : RIMID_OTR_NVMC_DA_DTF_WRI_060 */</t>
  </si>
  <si>
    <t>RIMID_OTR_NVMC_DA_DTF_WRI_061</t>
  </si>
  <si>
    <t>0xC438U</t>
  </si>
  <si>
    <t>#define RIMID_OTR_NVMC_DA_DTF_WRI_061            (0xC438U)</t>
  </si>
  <si>
    <t xml:space="preserve">    {(U2)209U,      (U2)32U     },      /* 56   : RIMID_OTR_NVMC_DA_DTF_WRI_061 */</t>
  </si>
  <si>
    <t>RIMID_OTR_NVMC_DA_DTF_WRI_062</t>
  </si>
  <si>
    <t>0xC439U</t>
  </si>
  <si>
    <t>#define RIMID_OTR_NVMC_DA_DTF_WRI_062            (0xC439U)</t>
  </si>
  <si>
    <t xml:space="preserve">    {(U2)217U,      (U2)32U     },      /* 57   : RIMID_OTR_NVMC_DA_DTF_WRI_062 */</t>
  </si>
  <si>
    <t>RIMID_OTR_NVMC_DA_DTF_WRI_063</t>
  </si>
  <si>
    <t>0xC43AU</t>
  </si>
  <si>
    <t>#define RIMID_OTR_NVMC_DA_DTF_WRI_063            (0xC43AU)</t>
  </si>
  <si>
    <t xml:space="preserve">    {(U2)225U,      (U2)32U     },      /* 58   : RIMID_OTR_NVMC_DA_DTF_WRI_063 */</t>
  </si>
  <si>
    <t>RIMID_OTR_NVMC_DA_DTF_WRI_064</t>
  </si>
  <si>
    <t>0xC43BU</t>
  </si>
  <si>
    <t>#define RIMID_OTR_NVMC_DA_DTF_WRI_064            (0xC43BU)</t>
  </si>
  <si>
    <t xml:space="preserve">    {(U2)233U,      (U2)32U     },      /* 59   : RIMID_OTR_NVMC_DA_DTF_WRI_064 */</t>
  </si>
  <si>
    <t>RIMID_OTR_NVMC_DA_DTF_WRI_065</t>
  </si>
  <si>
    <t>0xC43CU</t>
  </si>
  <si>
    <t>#define RIMID_OTR_NVMC_DA_DTF_WRI_065            (0xC43CU)</t>
  </si>
  <si>
    <t xml:space="preserve">    {(U2)241U,      (U2)32U     },      /* 60   : RIMID_OTR_NVMC_DA_DTF_WRI_065 */</t>
  </si>
  <si>
    <t>RIMID_OTR_NVMC_DA_DTF_WRI_066</t>
  </si>
  <si>
    <t>0xC43DU</t>
  </si>
  <si>
    <t>#define RIMID_OTR_NVMC_DA_DTF_WRI_066            (0xC43DU)</t>
  </si>
  <si>
    <t xml:space="preserve">    {(U2)249U,      (U2)32U     },      /* 61   : RIMID_OTR_NVMC_DA_DTF_WRI_066 */</t>
  </si>
  <si>
    <t>RIMID_OTR_NVMC_DA_DTF_WRI_067</t>
  </si>
  <si>
    <t>0xC43EU</t>
  </si>
  <si>
    <t>#define RIMID_OTR_NVMC_DA_DTF_WRI_067            (0xC43EU)</t>
  </si>
  <si>
    <t xml:space="preserve">    {(U2)257U,      (U2)32U     },      /* 62   : RIMID_OTR_NVMC_DA_DTF_WRI_067 */</t>
  </si>
  <si>
    <t>RIMID_OTR_NVMC_DA_DTF_WRI_068</t>
  </si>
  <si>
    <t>0xC43FU</t>
  </si>
  <si>
    <t>#define RIMID_OTR_NVMC_DA_DTF_WRI_068            (0xC43FU)</t>
  </si>
  <si>
    <t xml:space="preserve">    {(U2)265U,      (U2)32U     },      /* 63   : RIMID_OTR_NVMC_DA_DTF_WRI_068 */</t>
  </si>
  <si>
    <t>RIMID_OTR_NVMC_DA_DTF_WRI_069</t>
  </si>
  <si>
    <t>0xC440U</t>
  </si>
  <si>
    <t>#define RIMID_OTR_NVMC_DA_DTF_WRI_069            (0xC440U)</t>
  </si>
  <si>
    <t xml:space="preserve">    {(U2)273U,      (U2)32U     },      /* 64   : RIMID_OTR_NVMC_DA_DTF_WRI_069 */</t>
  </si>
  <si>
    <t>RIMID_OTR_NVMC_DA_DTF_WRI_070</t>
  </si>
  <si>
    <t>0xC441U</t>
  </si>
  <si>
    <t>#define RIMID_OTR_NVMC_DA_DTF_WRI_070            (0xC441U)</t>
  </si>
  <si>
    <t xml:space="preserve">    {(U2)281U,      (U2)32U     },      /* 65   : RIMID_OTR_NVMC_DA_DTF_WRI_070 */</t>
  </si>
  <si>
    <t>RIMID_OTR_NVMC_DA_DTF_WRI_071</t>
  </si>
  <si>
    <t>0xC442U</t>
  </si>
  <si>
    <t>#define RIMID_OTR_NVMC_DA_DTF_WRI_071            (0xC442U)</t>
  </si>
  <si>
    <t>RIMID_U4_NVMC_DA_DTF_WRI_072</t>
  </si>
  <si>
    <t>0x8201U</t>
  </si>
  <si>
    <t>#define RIMID_U4_NVMC_DA_DTF_WRI_072             (0x8201U)</t>
  </si>
  <si>
    <t>RIMID_U1_NVMC_ST_DTF_005</t>
  </si>
  <si>
    <t>0x0008U</t>
  </si>
  <si>
    <t>#define RIMID_U1_NVMC_ST_DTF_005                 (0x0008U)</t>
  </si>
  <si>
    <t>RIMID_U1_NVMC_ST_DTF_006</t>
  </si>
  <si>
    <t>0x0401U</t>
  </si>
  <si>
    <t>#define RIMID_U1_NVMC_ST_DTF_006                 (0x0401U)</t>
  </si>
  <si>
    <t>RIMID_U1_NVMC_ST_DTF_007</t>
  </si>
  <si>
    <t>0x0402U</t>
  </si>
  <si>
    <t>#define RIMID_U1_NVMC_ST_DTF_007                 (0x0402U)</t>
  </si>
  <si>
    <t>RIMID_U1_NVMC_ST_DTF_008</t>
  </si>
  <si>
    <t>0x0403U</t>
  </si>
  <si>
    <t>#define RIMID_U1_NVMC_ST_DTF_008                 (0x0403U)</t>
  </si>
  <si>
    <t>RIMID_U1_NVMC_ST_DTF_009</t>
  </si>
  <si>
    <t>0x0404U</t>
  </si>
  <si>
    <t>#define RIMID_U1_NVMC_ST_DTF_009                 (0x0404U)</t>
  </si>
  <si>
    <t>RIMID_U1_NVMC_ST_DTF_010</t>
  </si>
  <si>
    <t>0x0405U</t>
  </si>
  <si>
    <t>#define RIMID_U1_NVMC_ST_DTF_010                 (0x0405U)</t>
  </si>
  <si>
    <t>RIMID_U1_NVMC_ST_DTF_011</t>
  </si>
  <si>
    <t>0x0406U</t>
  </si>
  <si>
    <t>#define RIMID_U1_NVMC_ST_DTF_011                 (0x0406U)</t>
  </si>
  <si>
    <t>RIMID_U1_NVMC_ST_DTF_012</t>
  </si>
  <si>
    <t>0x0407U</t>
  </si>
  <si>
    <t>#define RIMID_U1_NVMC_ST_DTF_012                 (0x0407U)</t>
  </si>
  <si>
    <t>RIMID_U1_NVMC_ST_DTF_013</t>
  </si>
  <si>
    <t>0x0408U</t>
  </si>
  <si>
    <t>#define RIMID_U1_NVMC_ST_DTF_013                 (0x0408U)</t>
  </si>
  <si>
    <t>RIMID_U1_NVMC_ST_DTF_014</t>
  </si>
  <si>
    <t>0x0409U</t>
  </si>
  <si>
    <t>#define RIMID_U1_NVMC_ST_DTF_014                 (0x0409U)</t>
  </si>
  <si>
    <t>RIMID_U1_NVMC_ST_DTF_015</t>
  </si>
  <si>
    <t>0x040AU</t>
  </si>
  <si>
    <t>#define RIMID_U1_NVMC_ST_DTF_015                 (0x040AU)</t>
  </si>
  <si>
    <t>RIMID_U1_NVMC_ST_DTF_016</t>
  </si>
  <si>
    <t>0x040BU</t>
  </si>
  <si>
    <t>#define RIMID_U1_NVMC_ST_DTF_016                 (0x040BU)</t>
  </si>
  <si>
    <t>RIMID_U1_NVMC_ST_DTF_017</t>
  </si>
  <si>
    <t>0x040CU</t>
  </si>
  <si>
    <t>#define RIMID_U1_NVMC_ST_DTF_017                 (0x040CU)</t>
  </si>
  <si>
    <t>RIMID_U1_NVMC_ST_DTF_018</t>
  </si>
  <si>
    <t>0x040DU</t>
  </si>
  <si>
    <t>#define RIMID_U1_NVMC_ST_DTF_018                 (0x040DU)</t>
  </si>
  <si>
    <t>RIMID_U1_NVMC_ST_DTF_019</t>
  </si>
  <si>
    <t>0x040EU</t>
  </si>
  <si>
    <t>#define RIMID_U1_NVMC_ST_DTF_019                 (0x040EU)</t>
  </si>
  <si>
    <t>RIMID_U1_NVMC_ST_DTF_020</t>
  </si>
  <si>
    <t>0x040FU</t>
  </si>
  <si>
    <t>#define RIMID_U1_NVMC_ST_DTF_020                 (0x040FU)</t>
  </si>
  <si>
    <t>RIMID_U1_NVMC_ST_DTF_021</t>
  </si>
  <si>
    <t>0x0410U</t>
  </si>
  <si>
    <t>#define RIMID_U1_NVMC_ST_DTF_021                 (0x0410U)</t>
  </si>
  <si>
    <t>RIMID_U1_NVMC_ST_DTF_022</t>
  </si>
  <si>
    <t>0x0411U</t>
  </si>
  <si>
    <t>#define RIMID_U1_NVMC_ST_DTF_022                 (0x0411U)</t>
  </si>
  <si>
    <t>RIMID_U1_NVMC_ST_DTF_023</t>
  </si>
  <si>
    <t>0x0412U</t>
  </si>
  <si>
    <t>#define RIMID_U1_NVMC_ST_DTF_023                 (0x0412U)</t>
  </si>
  <si>
    <t>RIMID_U1_NVMC_ST_DTF_024</t>
  </si>
  <si>
    <t>0x0413U</t>
  </si>
  <si>
    <t>#define RIMID_U1_NVMC_ST_DTF_024                 (0x0413U)</t>
  </si>
  <si>
    <t>RIMID_U1_NVMC_ST_DTF_025</t>
  </si>
  <si>
    <t>0x0414U</t>
  </si>
  <si>
    <t>#define RIMID_U1_NVMC_ST_DTF_025                 (0x0414U)</t>
  </si>
  <si>
    <t>RIMID_U1_NVMC_ST_DTF_026</t>
  </si>
  <si>
    <t>0x0415U</t>
  </si>
  <si>
    <t>#define RIMID_U1_NVMC_ST_DTF_026                 (0x0415U)</t>
  </si>
  <si>
    <t>RIMID_U1_NVMC_ST_DTF_027</t>
  </si>
  <si>
    <t>0x0416U</t>
  </si>
  <si>
    <t>#define RIMID_U1_NVMC_ST_DTF_027                 (0x0416U)</t>
  </si>
  <si>
    <t>RIMID_U1_NVMC_ST_DTF_028</t>
  </si>
  <si>
    <t>0x0417U</t>
  </si>
  <si>
    <t>#define RIMID_U1_NVMC_ST_DTF_028                 (0x0417U)</t>
  </si>
  <si>
    <t>RIMID_U1_NVMC_ST_DTF_029</t>
  </si>
  <si>
    <t>0x0418U</t>
  </si>
  <si>
    <t>#define RIMID_U1_NVMC_ST_DTF_029                 (0x0418U)</t>
  </si>
  <si>
    <t>RIMID_U1_NVMC_ST_DTF_030</t>
  </si>
  <si>
    <t>0x0419U</t>
  </si>
  <si>
    <t>#define RIMID_U1_NVMC_ST_DTF_030                 (0x0419U)</t>
  </si>
  <si>
    <t>RIMID_U1_NVMC_ST_DTF_031</t>
  </si>
  <si>
    <t>0x041AU</t>
  </si>
  <si>
    <t>#define RIMID_U1_NVMC_ST_DTF_031                 (0x041AU)</t>
  </si>
  <si>
    <t>RIMID_U1_NVMC_ST_DTF_032</t>
  </si>
  <si>
    <t>0x041BU</t>
  </si>
  <si>
    <t>#define RIMID_U1_NVMC_ST_DTF_032                 (0x041BU)</t>
  </si>
  <si>
    <t>RIMID_U1_NVMC_ST_DTF_033</t>
  </si>
  <si>
    <t>0x041CU</t>
  </si>
  <si>
    <t>#define RIMID_U1_NVMC_ST_DTF_033                 (0x041CU)</t>
  </si>
  <si>
    <t>RIMID_U1_NVMC_ST_DTF_034</t>
  </si>
  <si>
    <t>0x041DU</t>
  </si>
  <si>
    <t>#define RIMID_U1_NVMC_ST_DTF_034                 (0x041DU)</t>
  </si>
  <si>
    <t>RIMID_U1_NVMC_ST_DTF_035</t>
  </si>
  <si>
    <t>0x041EU</t>
  </si>
  <si>
    <t>#define RIMID_U1_NVMC_ST_DTF_035                 (0x041EU)</t>
  </si>
  <si>
    <t>RIMID_U1_NVMC_ST_DTF_036</t>
  </si>
  <si>
    <t>0x041FU</t>
  </si>
  <si>
    <t>#define RIMID_U1_NVMC_ST_DTF_036                 (0x041FU)</t>
  </si>
  <si>
    <t>RIMID_U1_NVMC_ST_DTF_037</t>
  </si>
  <si>
    <t>0x0420U</t>
  </si>
  <si>
    <t>#define RIMID_U1_NVMC_ST_DTF_037                 (0x0420U)</t>
  </si>
  <si>
    <t>RIMID_U1_NVMC_ST_DTF_038</t>
  </si>
  <si>
    <t>0x0421U</t>
  </si>
  <si>
    <t>#define RIMID_U1_NVMC_ST_DTF_038                 (0x0421U)</t>
  </si>
  <si>
    <t>RIMID_U1_NVMC_ST_DTF_039</t>
  </si>
  <si>
    <t>0x0422U</t>
  </si>
  <si>
    <t>#define RIMID_U1_NVMC_ST_DTF_039                 (0x0422U)</t>
  </si>
  <si>
    <t>RIMID_U1_NVMC_ST_DTF_040</t>
  </si>
  <si>
    <t>0x0423U</t>
  </si>
  <si>
    <t>#define RIMID_U1_NVMC_ST_DTF_040                 (0x0423U)</t>
  </si>
  <si>
    <t>RIMID_U1_NVMC_ST_DTF_041</t>
  </si>
  <si>
    <t>0x0424U</t>
  </si>
  <si>
    <t>#define RIMID_U1_NVMC_ST_DTF_041                 (0x0424U)</t>
  </si>
  <si>
    <t>RIMID_U1_NVMC_ST_DTF_042</t>
  </si>
  <si>
    <t>0x0425U</t>
  </si>
  <si>
    <t>#define RIMID_U1_NVMC_ST_DTF_042                 (0x0425U)</t>
  </si>
  <si>
    <t>RIMID_U1_NVMC_ST_DTF_043</t>
  </si>
  <si>
    <t>0x0426U</t>
  </si>
  <si>
    <t>#define RIMID_U1_NVMC_ST_DTF_043                 (0x0426U)</t>
  </si>
  <si>
    <t>RIMID_U1_NVMC_ST_DTF_044</t>
  </si>
  <si>
    <t>0x0427U</t>
  </si>
  <si>
    <t>#define RIMID_U1_NVMC_ST_DTF_044                 (0x0427U)</t>
  </si>
  <si>
    <t>RIMID_U1_NVMC_ST_DTF_045</t>
  </si>
  <si>
    <t>0x0428U</t>
  </si>
  <si>
    <t>#define RIMID_U1_NVMC_ST_DTF_045                 (0x0428U)</t>
  </si>
  <si>
    <t>RIMID_U1_NVMC_ST_DTF_046</t>
  </si>
  <si>
    <t>0x0429U</t>
  </si>
  <si>
    <t>#define RIMID_U1_NVMC_ST_DTF_046                 (0x0429U)</t>
  </si>
  <si>
    <t>RIMID_U1_NVMC_ST_DTF_047</t>
  </si>
  <si>
    <t>0x042AU</t>
  </si>
  <si>
    <t>#define RIMID_U1_NVMC_ST_DTF_047                 (0x042AU)</t>
  </si>
  <si>
    <t>RIMID_U1_NVMC_ST_DTF_048</t>
  </si>
  <si>
    <t>0x042BU</t>
  </si>
  <si>
    <t>#define RIMID_U1_NVMC_ST_DTF_048                 (0x042BU)</t>
  </si>
  <si>
    <t>RIMID_U1_NVMC_ST_DTF_049</t>
  </si>
  <si>
    <t>0x042CU</t>
  </si>
  <si>
    <t>#define RIMID_U1_NVMC_ST_DTF_049                 (0x042CU)</t>
  </si>
  <si>
    <t>RIMID_U1_NVMC_ST_DTF_050</t>
  </si>
  <si>
    <t>0x042DU</t>
  </si>
  <si>
    <t>#define RIMID_U1_NVMC_ST_DTF_050                 (0x042DU)</t>
  </si>
  <si>
    <t>RIMID_U1_NVMC_ST_DTF_051</t>
  </si>
  <si>
    <t>0x042EU</t>
  </si>
  <si>
    <t>#define RIMID_U1_NVMC_ST_DTF_051                 (0x042EU)</t>
  </si>
  <si>
    <t>RIMID_U1_NVMC_ST_DTF_052</t>
  </si>
  <si>
    <t>0x042FU</t>
  </si>
  <si>
    <t>#define RIMID_U1_NVMC_ST_DTF_052                 (0x042FU)</t>
  </si>
  <si>
    <t>RIMID_U1_NVMC_ST_DTF_053</t>
  </si>
  <si>
    <t>0x0430U</t>
  </si>
  <si>
    <t>#define RIMID_U1_NVMC_ST_DTF_053                 (0x0430U)</t>
  </si>
  <si>
    <t>RIMID_U1_NVMC_ST_DTF_054</t>
  </si>
  <si>
    <t>0x0431U</t>
  </si>
  <si>
    <t>#define RIMID_U1_NVMC_ST_DTF_054                 (0x0431U)</t>
  </si>
  <si>
    <t>RIMID_U1_NVMC_ST_DTF_055</t>
  </si>
  <si>
    <t>0x0432U</t>
  </si>
  <si>
    <t>#define RIMID_U1_NVMC_ST_DTF_055                 (0x0432U)</t>
  </si>
  <si>
    <t>RIMID_U1_NVMC_ST_DTF_056</t>
  </si>
  <si>
    <t>0x0433U</t>
  </si>
  <si>
    <t>#define RIMID_U1_NVMC_ST_DTF_056                 (0x0433U)</t>
  </si>
  <si>
    <t>RIMID_U1_NVMC_ST_DTF_057</t>
  </si>
  <si>
    <t>0x0434U</t>
  </si>
  <si>
    <t>#define RIMID_U1_NVMC_ST_DTF_057                 (0x0434U)</t>
  </si>
  <si>
    <t>RIMID_U1_NVMC_ST_DTF_058</t>
  </si>
  <si>
    <t>0x0435U</t>
  </si>
  <si>
    <t>#define RIMID_U1_NVMC_ST_DTF_058                 (0x0435U)</t>
  </si>
  <si>
    <t>RIMID_U1_NVMC_ST_DTF_059</t>
  </si>
  <si>
    <t>0x0436U</t>
  </si>
  <si>
    <t>#define RIMID_U1_NVMC_ST_DTF_059                 (0x0436U)</t>
  </si>
  <si>
    <t>RIMID_U1_NVMC_ST_DTF_060</t>
  </si>
  <si>
    <t>0x0437U</t>
  </si>
  <si>
    <t>#define RIMID_U1_NVMC_ST_DTF_060                 (0x0437U)</t>
  </si>
  <si>
    <t>RIMID_U1_NVMC_ST_DTF_061</t>
  </si>
  <si>
    <t>0x0438U</t>
  </si>
  <si>
    <t>#define RIMID_U1_NVMC_ST_DTF_061                 (0x0438U)</t>
  </si>
  <si>
    <t>RIMID_U1_NVMC_ST_DTF_062</t>
  </si>
  <si>
    <t>0x0439U</t>
  </si>
  <si>
    <t>#define RIMID_U1_NVMC_ST_DTF_062                 (0x0439U)</t>
  </si>
  <si>
    <t>RIMID_U1_NVMC_ST_DTF_063</t>
  </si>
  <si>
    <t>0x043AU</t>
  </si>
  <si>
    <t>#define RIMID_U1_NVMC_ST_DTF_063                 (0x043AU)</t>
  </si>
  <si>
    <t>RIMID_U1_NVMC_ST_DTF_064</t>
  </si>
  <si>
    <t>0x043BU</t>
  </si>
  <si>
    <t>#define RIMID_U1_NVMC_ST_DTF_064                 (0x043BU)</t>
  </si>
  <si>
    <t>RIMID_U1_NVMC_ST_DTF_065</t>
  </si>
  <si>
    <t>0x043CU</t>
  </si>
  <si>
    <t>#define RIMID_U1_NVMC_ST_DTF_065                 (0x043CU)</t>
  </si>
  <si>
    <t>RIMID_U1_NVMC_ST_DTF_066</t>
  </si>
  <si>
    <t>0x043DU</t>
  </si>
  <si>
    <t>#define RIMID_U1_NVMC_ST_DTF_066                 (0x043DU)</t>
  </si>
  <si>
    <t>RIMID_U1_NVMC_ST_DTF_067</t>
  </si>
  <si>
    <t>0x043EU</t>
  </si>
  <si>
    <t>#define RIMID_U1_NVMC_ST_DTF_067                 (0x043EU)</t>
  </si>
  <si>
    <t>RIMID_U1_NVMC_ST_DTF_068</t>
  </si>
  <si>
    <t>0x043FU</t>
  </si>
  <si>
    <t>#define RIMID_U1_NVMC_ST_DTF_068                 (0x043FU)</t>
  </si>
  <si>
    <t>RIMID_U1_NVMC_ST_DTF_069</t>
  </si>
  <si>
    <t>0x0440U</t>
  </si>
  <si>
    <t>#define RIMID_U1_NVMC_ST_DTF_069                 (0x0440U)</t>
  </si>
  <si>
    <t>RIMID_U1_NVMC_ST_DTF_070</t>
  </si>
  <si>
    <t>0x0441U</t>
  </si>
  <si>
    <t>#define RIMID_U1_NVMC_ST_DTF_070                 (0x0441U)</t>
  </si>
  <si>
    <t>RIMID_U1_NVMC_ST_DTF_071</t>
  </si>
  <si>
    <t>0x0442U</t>
  </si>
  <si>
    <t>#define RIMID_U1_NVMC_ST_DTF_071                 (0x0442U)</t>
  </si>
  <si>
    <t>RIMID_U1_NVMC_ST_DTF_072</t>
  </si>
  <si>
    <t>0x0201U</t>
  </si>
  <si>
    <t>#define RIMID_U1_NVMC_ST_DTF_072                 (0x0201U)</t>
  </si>
  <si>
    <t>RIMID_U1_VDF_DEST_BDB</t>
  </si>
  <si>
    <t>0x0009U</t>
  </si>
  <si>
    <t>#define RIMID_U1_VDF_DEST_BDB                    (0x0009U)</t>
  </si>
  <si>
    <t>RIMID_U1_VDF_STRG_WHL</t>
  </si>
  <si>
    <t>0x000AU</t>
  </si>
  <si>
    <t>#define RIMID_U1_VDF_STRG_WHL                    (0x000AU)</t>
  </si>
  <si>
    <t>RIMID_U4_BSW_SECOC_TRIP_CNT</t>
  </si>
  <si>
    <t>0x8004U</t>
  </si>
  <si>
    <t>#define RIMID_U4_BSW_SECOC_TRIP_CNT              (0x8004U)</t>
  </si>
  <si>
    <t>RIMID_U1_OXDC_UDTC_EV_CNT</t>
  </si>
  <si>
    <t>0x000BU</t>
  </si>
  <si>
    <t>#define RIMID_U1_OXDC_UDTC_EV_CNT                (0x000BU)</t>
  </si>
  <si>
    <t>RIMID_U2_OXDC_UDTC_LAST_EV_ID</t>
  </si>
  <si>
    <t>0x4003U</t>
  </si>
  <si>
    <t>#define RIMID_U2_OXDC_UDTC_LAST_EV_ID            (0x4003U)</t>
  </si>
  <si>
    <t xml:space="preserve">    {(U2)289U,      (U2)8U      }       /* 66   : RIMID_OTR_NVMC_DA_DTF_WRI_071 */</t>
  </si>
  <si>
    <t xml:space="preserve">    {(U2)289U,      (U2)8U      }       /* 66   : RIMID_OTR_NVMC_DA_DTF_WRI_071 */</t>
    <phoneticPr fontId="1"/>
  </si>
  <si>
    <t>#define RIM_MOD_3BRAM_U1_ID_NUM                  (12U)</t>
  </si>
  <si>
    <t>#define RIM_MOD_1B2CRAM_U1_ID_NUM                (2U)</t>
  </si>
  <si>
    <t>#define RIM_MOD_1BRAM_U1_ID_NUM                  (67U)</t>
  </si>
  <si>
    <t>#define RIM_MOD_3BRAM_U2_ID_NUM                  (4U)</t>
  </si>
  <si>
    <t>#define RIM_MOD_3BRAM_U4_ID_NUM                  (5U)</t>
  </si>
  <si>
    <t>#define RIM_MOD_1B2CRAM_U4_ID_NUM                (2U)</t>
  </si>
  <si>
    <t>#define RIM_MOD_3CRAM_U4_ID_NUM                  (4U)</t>
  </si>
  <si>
    <t>#define RIM_MOD_1BRAM_OTHER_ID_NUM               (67U)</t>
  </si>
  <si>
    <t>#define RIM_MOD_1BRAM_OTHER_BUF_NUM              (291U)</t>
  </si>
  <si>
    <t>#define RIM_MOD_1BRAM_OTHER_ID_CFGMAX            (32U)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</si>
</sst>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104774</xdr:colOff>
      <xdr:row>7</xdr:row>
      <xdr:rowOff>142876</xdr:rowOff>
    </xdr:from>
    <xdr:to>
      <xdr:col>15</xdr:col>
      <xdr:colOff>3943349</xdr:colOff>
      <xdr:row>14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4174" y="685801"/>
          <a:ext cx="10239375" cy="117157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30" t="s">
        <v>163</v>
      </c>
      <c r="C6" s="30"/>
      <c r="D6" s="30"/>
    </row>
    <row r="8" spans="1:4" ht="15" x14ac:dyDescent="0.15">
      <c r="B8" s="31" t="str">
        <f>"ver. "&amp;INDEX(Cover!B25:B56,COUNTA(Cover!B25:B56),0)</f>
        <v>ver. 1.3.1</v>
      </c>
      <c r="C8" s="31"/>
      <c r="D8" s="31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32" t="s">
        <v>118</v>
      </c>
      <c r="D12" s="25" t="s">
        <v>164</v>
      </c>
    </row>
    <row r="13" spans="1:4" ht="83.25" x14ac:dyDescent="0.15">
      <c r="C13" s="33"/>
      <c r="D13" s="25" t="s">
        <v>171</v>
      </c>
    </row>
    <row r="14" spans="1:4" ht="27.75" x14ac:dyDescent="0.15">
      <c r="C14" s="33"/>
      <c r="D14" s="25" t="s">
        <v>165</v>
      </c>
    </row>
    <row r="15" spans="1:4" ht="28.5" x14ac:dyDescent="0.15">
      <c r="C15" s="33"/>
      <c r="D15" s="25" t="s">
        <v>172</v>
      </c>
    </row>
    <row r="16" spans="1:4" x14ac:dyDescent="0.15">
      <c r="C16" s="34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35" t="s">
        <v>222</v>
      </c>
      <c r="D23" s="25" t="s">
        <v>129</v>
      </c>
    </row>
    <row r="24" spans="1:4" x14ac:dyDescent="0.15">
      <c r="C24" s="36"/>
      <c r="D24" s="15" t="s">
        <v>223</v>
      </c>
    </row>
    <row r="25" spans="1:4" ht="27" x14ac:dyDescent="0.15">
      <c r="C25" s="32" t="s">
        <v>126</v>
      </c>
      <c r="D25" s="25" t="s">
        <v>174</v>
      </c>
    </row>
    <row r="26" spans="1:4" ht="27.75" x14ac:dyDescent="0.15">
      <c r="C26" s="34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topLeftCell="A170" zoomScaleNormal="100" workbookViewId="0">
      <selection activeCell="A186" sqref="A186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37" t="s">
        <v>117</v>
      </c>
      <c r="H7" s="38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312</v>
      </c>
      <c r="G8" s="24" t="s">
        <v>7</v>
      </c>
      <c r="H8" s="24" t="s">
        <v>90</v>
      </c>
      <c r="I8" s="24" t="s">
        <v>20</v>
      </c>
      <c r="J8" s="9" t="s">
        <v>272</v>
      </c>
      <c r="K8" s="24">
        <v>0</v>
      </c>
      <c r="L8" s="24" t="s">
        <v>316</v>
      </c>
      <c r="M8" s="24" t="s">
        <v>229</v>
      </c>
      <c r="N8" s="24" t="s">
        <v>90</v>
      </c>
      <c r="P8" s="1" t="s">
        <v>317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313</v>
      </c>
      <c r="G9" s="24" t="s">
        <v>9</v>
      </c>
      <c r="H9" s="24" t="s">
        <v>90</v>
      </c>
      <c r="I9" s="24" t="s">
        <v>20</v>
      </c>
      <c r="J9" s="24" t="s">
        <v>272</v>
      </c>
      <c r="K9" s="24">
        <v>0</v>
      </c>
      <c r="L9" s="24" t="s">
        <v>318</v>
      </c>
      <c r="M9" s="24" t="s">
        <v>230</v>
      </c>
      <c r="N9" s="24" t="s">
        <v>90</v>
      </c>
      <c r="P9" s="1" t="s">
        <v>319</v>
      </c>
      <c r="Q9" s="1" t="s">
        <v>131</v>
      </c>
    </row>
    <row r="10" spans="1:20" x14ac:dyDescent="0.15">
      <c r="E10" s="4">
        <f t="shared" si="0"/>
        <v>3</v>
      </c>
      <c r="F10" s="24" t="s">
        <v>314</v>
      </c>
      <c r="G10" s="24" t="s">
        <v>11</v>
      </c>
      <c r="H10" s="24" t="s">
        <v>90</v>
      </c>
      <c r="I10" s="24" t="s">
        <v>20</v>
      </c>
      <c r="J10" s="24" t="s">
        <v>272</v>
      </c>
      <c r="K10" s="24">
        <v>0</v>
      </c>
      <c r="L10" s="24" t="s">
        <v>320</v>
      </c>
      <c r="M10" s="24" t="s">
        <v>231</v>
      </c>
      <c r="N10" s="24" t="s">
        <v>90</v>
      </c>
      <c r="P10" s="1" t="s">
        <v>321</v>
      </c>
      <c r="Q10" s="1" t="s">
        <v>132</v>
      </c>
    </row>
    <row r="11" spans="1:20" x14ac:dyDescent="0.15">
      <c r="E11" s="4">
        <f t="shared" si="0"/>
        <v>4</v>
      </c>
      <c r="F11" s="24" t="s">
        <v>315</v>
      </c>
      <c r="G11" s="24" t="s">
        <v>29</v>
      </c>
      <c r="H11" s="24">
        <v>4</v>
      </c>
      <c r="I11" s="24" t="s">
        <v>20</v>
      </c>
      <c r="J11" s="24" t="s">
        <v>272</v>
      </c>
      <c r="K11" s="24">
        <v>0</v>
      </c>
      <c r="L11" s="24" t="s">
        <v>322</v>
      </c>
      <c r="M11" s="24" t="s">
        <v>232</v>
      </c>
      <c r="N11" s="24">
        <v>0</v>
      </c>
      <c r="P11" s="1" t="s">
        <v>323</v>
      </c>
      <c r="Q11" s="1" t="s">
        <v>133</v>
      </c>
      <c r="S11" s="1" t="s">
        <v>357</v>
      </c>
      <c r="T11" s="1" t="s">
        <v>134</v>
      </c>
    </row>
    <row r="12" spans="1:20" x14ac:dyDescent="0.15">
      <c r="E12" s="4">
        <f t="shared" si="0"/>
        <v>5</v>
      </c>
      <c r="F12" s="24" t="s">
        <v>273</v>
      </c>
      <c r="G12" s="24" t="s">
        <v>7</v>
      </c>
      <c r="H12" s="24" t="s">
        <v>90</v>
      </c>
      <c r="I12" s="24" t="s">
        <v>21</v>
      </c>
      <c r="J12" s="24" t="s">
        <v>272</v>
      </c>
      <c r="K12" s="24">
        <v>0</v>
      </c>
      <c r="L12" s="24" t="s">
        <v>285</v>
      </c>
      <c r="M12" s="24" t="s">
        <v>233</v>
      </c>
      <c r="N12" s="24" t="s">
        <v>90</v>
      </c>
      <c r="P12" s="1" t="s">
        <v>286</v>
      </c>
      <c r="Q12" s="1" t="s">
        <v>135</v>
      </c>
    </row>
    <row r="13" spans="1:20" x14ac:dyDescent="0.15">
      <c r="E13" s="4">
        <f t="shared" si="0"/>
        <v>6</v>
      </c>
      <c r="F13" s="24" t="s">
        <v>274</v>
      </c>
      <c r="G13" s="24" t="s">
        <v>9</v>
      </c>
      <c r="H13" s="24" t="s">
        <v>90</v>
      </c>
      <c r="I13" s="24" t="s">
        <v>21</v>
      </c>
      <c r="J13" s="24" t="s">
        <v>272</v>
      </c>
      <c r="K13" s="24">
        <v>0</v>
      </c>
      <c r="L13" s="24" t="s">
        <v>287</v>
      </c>
      <c r="M13" s="24" t="s">
        <v>234</v>
      </c>
      <c r="N13" s="24" t="s">
        <v>90</v>
      </c>
      <c r="P13" s="1" t="s">
        <v>288</v>
      </c>
      <c r="Q13" s="1" t="s">
        <v>136</v>
      </c>
    </row>
    <row r="14" spans="1:20" x14ac:dyDescent="0.15">
      <c r="E14" s="4">
        <f t="shared" si="0"/>
        <v>7</v>
      </c>
      <c r="F14" s="24" t="s">
        <v>275</v>
      </c>
      <c r="G14" s="24" t="s">
        <v>11</v>
      </c>
      <c r="H14" s="24" t="s">
        <v>90</v>
      </c>
      <c r="I14" s="24" t="s">
        <v>21</v>
      </c>
      <c r="J14" s="24" t="s">
        <v>272</v>
      </c>
      <c r="K14" s="24">
        <v>0</v>
      </c>
      <c r="L14" s="24" t="s">
        <v>289</v>
      </c>
      <c r="M14" s="24" t="s">
        <v>235</v>
      </c>
      <c r="N14" s="24" t="s">
        <v>90</v>
      </c>
      <c r="P14" s="1" t="s">
        <v>290</v>
      </c>
      <c r="Q14" s="1" t="s">
        <v>137</v>
      </c>
    </row>
    <row r="15" spans="1:20" x14ac:dyDescent="0.15">
      <c r="E15" s="4">
        <f t="shared" si="0"/>
        <v>8</v>
      </c>
      <c r="F15" s="24" t="s">
        <v>276</v>
      </c>
      <c r="G15" s="24" t="s">
        <v>7</v>
      </c>
      <c r="H15" s="24" t="s">
        <v>90</v>
      </c>
      <c r="I15" s="24" t="s">
        <v>22</v>
      </c>
      <c r="J15" s="24" t="s">
        <v>272</v>
      </c>
      <c r="K15" s="24">
        <v>0</v>
      </c>
      <c r="L15" s="24" t="s">
        <v>291</v>
      </c>
      <c r="M15" s="24" t="s">
        <v>236</v>
      </c>
      <c r="N15" s="24" t="s">
        <v>90</v>
      </c>
      <c r="P15" s="1" t="s">
        <v>292</v>
      </c>
      <c r="Q15" s="1" t="s">
        <v>138</v>
      </c>
    </row>
    <row r="16" spans="1:20" x14ac:dyDescent="0.15">
      <c r="E16" s="4">
        <f t="shared" si="0"/>
        <v>9</v>
      </c>
      <c r="F16" s="24" t="s">
        <v>278</v>
      </c>
      <c r="G16" s="24" t="s">
        <v>9</v>
      </c>
      <c r="H16" s="24" t="s">
        <v>90</v>
      </c>
      <c r="I16" s="24" t="s">
        <v>22</v>
      </c>
      <c r="J16" s="24" t="s">
        <v>272</v>
      </c>
      <c r="K16" s="24">
        <v>0</v>
      </c>
      <c r="L16" s="24" t="s">
        <v>293</v>
      </c>
      <c r="M16" s="24" t="s">
        <v>237</v>
      </c>
      <c r="N16" s="24" t="s">
        <v>90</v>
      </c>
      <c r="P16" s="1" t="s">
        <v>294</v>
      </c>
      <c r="Q16" s="1" t="s">
        <v>139</v>
      </c>
    </row>
    <row r="17" spans="5:20" x14ac:dyDescent="0.15">
      <c r="E17" s="4">
        <f t="shared" si="0"/>
        <v>10</v>
      </c>
      <c r="F17" s="24" t="s">
        <v>279</v>
      </c>
      <c r="G17" s="24" t="s">
        <v>11</v>
      </c>
      <c r="H17" s="24" t="s">
        <v>90</v>
      </c>
      <c r="I17" s="24" t="s">
        <v>22</v>
      </c>
      <c r="J17" s="24" t="s">
        <v>272</v>
      </c>
      <c r="K17" s="24">
        <v>0</v>
      </c>
      <c r="L17" s="24" t="s">
        <v>295</v>
      </c>
      <c r="M17" s="24" t="s">
        <v>238</v>
      </c>
      <c r="N17" s="24" t="s">
        <v>90</v>
      </c>
      <c r="P17" s="1" t="s">
        <v>296</v>
      </c>
      <c r="Q17" s="1" t="s">
        <v>140</v>
      </c>
    </row>
    <row r="18" spans="5:20" x14ac:dyDescent="0.15">
      <c r="E18" s="4">
        <f t="shared" si="0"/>
        <v>11</v>
      </c>
      <c r="F18" s="24" t="s">
        <v>280</v>
      </c>
      <c r="G18" s="24" t="s">
        <v>29</v>
      </c>
      <c r="H18" s="24">
        <v>4</v>
      </c>
      <c r="I18" s="24" t="s">
        <v>22</v>
      </c>
      <c r="J18" s="24" t="s">
        <v>272</v>
      </c>
      <c r="K18" s="24">
        <v>0</v>
      </c>
      <c r="L18" s="24" t="s">
        <v>297</v>
      </c>
      <c r="M18" s="24" t="s">
        <v>239</v>
      </c>
      <c r="N18" s="24">
        <v>0</v>
      </c>
      <c r="P18" s="1" t="s">
        <v>298</v>
      </c>
      <c r="Q18" s="1" t="s">
        <v>141</v>
      </c>
      <c r="S18" s="1" t="s">
        <v>563</v>
      </c>
      <c r="T18" s="1" t="s">
        <v>142</v>
      </c>
    </row>
    <row r="19" spans="5:20" x14ac:dyDescent="0.15">
      <c r="E19" s="4">
        <f t="shared" si="0"/>
        <v>12</v>
      </c>
      <c r="F19" s="24" t="s">
        <v>277</v>
      </c>
      <c r="G19" s="24" t="s">
        <v>7</v>
      </c>
      <c r="H19" s="24" t="s">
        <v>90</v>
      </c>
      <c r="I19" s="24" t="s">
        <v>23</v>
      </c>
      <c r="J19" s="24" t="s">
        <v>272</v>
      </c>
      <c r="K19" s="24">
        <v>0</v>
      </c>
      <c r="L19" s="24" t="s">
        <v>299</v>
      </c>
      <c r="M19" s="24" t="s">
        <v>240</v>
      </c>
      <c r="N19" s="24" t="s">
        <v>90</v>
      </c>
      <c r="P19" s="1" t="s">
        <v>300</v>
      </c>
      <c r="Q19" s="1" t="s">
        <v>143</v>
      </c>
    </row>
    <row r="20" spans="5:20" x14ac:dyDescent="0.15">
      <c r="E20" s="4">
        <f t="shared" si="0"/>
        <v>13</v>
      </c>
      <c r="F20" s="24" t="s">
        <v>281</v>
      </c>
      <c r="G20" s="24" t="s">
        <v>9</v>
      </c>
      <c r="H20" s="24" t="s">
        <v>90</v>
      </c>
      <c r="I20" s="24" t="s">
        <v>23</v>
      </c>
      <c r="J20" s="24" t="s">
        <v>272</v>
      </c>
      <c r="K20" s="24">
        <v>0</v>
      </c>
      <c r="L20" s="24" t="s">
        <v>301</v>
      </c>
      <c r="M20" s="24" t="s">
        <v>241</v>
      </c>
      <c r="N20" s="24" t="s">
        <v>90</v>
      </c>
      <c r="P20" s="1" t="s">
        <v>302</v>
      </c>
      <c r="Q20" s="1" t="s">
        <v>153</v>
      </c>
    </row>
    <row r="21" spans="5:20" x14ac:dyDescent="0.15">
      <c r="E21" s="4">
        <f t="shared" si="0"/>
        <v>14</v>
      </c>
      <c r="F21" s="24" t="s">
        <v>282</v>
      </c>
      <c r="G21" s="24" t="s">
        <v>11</v>
      </c>
      <c r="H21" s="24" t="s">
        <v>90</v>
      </c>
      <c r="I21" s="24" t="s">
        <v>23</v>
      </c>
      <c r="J21" s="24" t="s">
        <v>272</v>
      </c>
      <c r="K21" s="24">
        <v>0</v>
      </c>
      <c r="L21" s="24" t="s">
        <v>303</v>
      </c>
      <c r="M21" s="24" t="s">
        <v>242</v>
      </c>
      <c r="N21" s="24" t="s">
        <v>90</v>
      </c>
      <c r="P21" s="1" t="s">
        <v>304</v>
      </c>
      <c r="Q21" s="1" t="s">
        <v>144</v>
      </c>
    </row>
    <row r="22" spans="5:20" x14ac:dyDescent="0.15">
      <c r="E22" s="4">
        <f t="shared" si="0"/>
        <v>15</v>
      </c>
      <c r="F22" s="24" t="s">
        <v>283</v>
      </c>
      <c r="G22" s="24" t="s">
        <v>29</v>
      </c>
      <c r="H22" s="24">
        <v>4</v>
      </c>
      <c r="I22" s="24" t="s">
        <v>23</v>
      </c>
      <c r="J22" s="24" t="s">
        <v>272</v>
      </c>
      <c r="K22" s="24">
        <v>0</v>
      </c>
      <c r="L22" s="24" t="s">
        <v>305</v>
      </c>
      <c r="M22" s="24" t="s">
        <v>243</v>
      </c>
      <c r="N22" s="24">
        <v>0</v>
      </c>
      <c r="P22" s="1" t="s">
        <v>306</v>
      </c>
      <c r="Q22" s="1" t="s">
        <v>154</v>
      </c>
      <c r="S22" s="1" t="s">
        <v>307</v>
      </c>
      <c r="T22" s="1" t="s">
        <v>155</v>
      </c>
    </row>
    <row r="23" spans="5:20" x14ac:dyDescent="0.15">
      <c r="E23" s="4">
        <f t="shared" si="0"/>
        <v>16</v>
      </c>
      <c r="F23" s="24" t="s">
        <v>284</v>
      </c>
      <c r="G23" s="24" t="s">
        <v>29</v>
      </c>
      <c r="H23" s="24">
        <v>8</v>
      </c>
      <c r="I23" s="24" t="s">
        <v>23</v>
      </c>
      <c r="J23" s="24" t="s">
        <v>272</v>
      </c>
      <c r="K23" s="24">
        <v>1</v>
      </c>
      <c r="L23" s="24" t="s">
        <v>308</v>
      </c>
      <c r="M23" s="24" t="s">
        <v>268</v>
      </c>
      <c r="N23" s="24">
        <v>1</v>
      </c>
      <c r="P23" s="1" t="s">
        <v>309</v>
      </c>
      <c r="Q23" s="1" t="s">
        <v>154</v>
      </c>
      <c r="S23" s="1" t="s">
        <v>311</v>
      </c>
      <c r="T23" s="1" t="s">
        <v>155</v>
      </c>
    </row>
    <row r="24" spans="5:20" x14ac:dyDescent="0.15">
      <c r="E24" s="4">
        <f t="shared" si="0"/>
        <v>17</v>
      </c>
      <c r="F24" s="24" t="s">
        <v>324</v>
      </c>
      <c r="G24" s="24" t="s">
        <v>9</v>
      </c>
      <c r="H24" s="24" t="s">
        <v>90</v>
      </c>
      <c r="I24" s="24" t="s">
        <v>23</v>
      </c>
      <c r="J24" s="23" t="s">
        <v>417</v>
      </c>
      <c r="K24" s="24">
        <v>1</v>
      </c>
      <c r="L24" s="24" t="s">
        <v>332</v>
      </c>
      <c r="M24" s="24" t="s">
        <v>333</v>
      </c>
      <c r="N24" s="24" t="s">
        <v>90</v>
      </c>
      <c r="P24" s="1" t="s">
        <v>334</v>
      </c>
      <c r="Q24" s="1" t="s">
        <v>153</v>
      </c>
    </row>
    <row r="25" spans="5:20" x14ac:dyDescent="0.15">
      <c r="E25" s="4">
        <f t="shared" si="0"/>
        <v>18</v>
      </c>
      <c r="F25" s="24" t="s">
        <v>325</v>
      </c>
      <c r="G25" s="24" t="s">
        <v>9</v>
      </c>
      <c r="H25" s="24" t="s">
        <v>90</v>
      </c>
      <c r="I25" s="24" t="s">
        <v>23</v>
      </c>
      <c r="J25" s="23" t="s">
        <v>417</v>
      </c>
      <c r="K25" s="24">
        <v>2</v>
      </c>
      <c r="L25" s="24" t="s">
        <v>336</v>
      </c>
      <c r="M25" s="24" t="s">
        <v>335</v>
      </c>
      <c r="N25" s="24" t="s">
        <v>90</v>
      </c>
      <c r="P25" s="1" t="s">
        <v>351</v>
      </c>
      <c r="Q25" s="1" t="s">
        <v>153</v>
      </c>
    </row>
    <row r="26" spans="5:20" x14ac:dyDescent="0.15">
      <c r="E26" s="4">
        <f t="shared" si="0"/>
        <v>19</v>
      </c>
      <c r="F26" s="24" t="s">
        <v>326</v>
      </c>
      <c r="G26" s="24" t="s">
        <v>11</v>
      </c>
      <c r="H26" s="24" t="s">
        <v>90</v>
      </c>
      <c r="I26" s="24" t="s">
        <v>22</v>
      </c>
      <c r="J26" s="23" t="s">
        <v>417</v>
      </c>
      <c r="K26" s="24">
        <v>1</v>
      </c>
      <c r="L26" s="24" t="s">
        <v>337</v>
      </c>
      <c r="M26" s="24" t="s">
        <v>338</v>
      </c>
      <c r="N26" s="24" t="s">
        <v>90</v>
      </c>
      <c r="P26" s="1" t="s">
        <v>339</v>
      </c>
      <c r="Q26" s="1" t="s">
        <v>140</v>
      </c>
    </row>
    <row r="27" spans="5:20" x14ac:dyDescent="0.15">
      <c r="E27" s="4">
        <f t="shared" si="0"/>
        <v>20</v>
      </c>
      <c r="F27" s="24" t="s">
        <v>327</v>
      </c>
      <c r="G27" s="24" t="s">
        <v>11</v>
      </c>
      <c r="H27" s="24" t="s">
        <v>90</v>
      </c>
      <c r="I27" s="24" t="s">
        <v>23</v>
      </c>
      <c r="J27" s="23" t="s">
        <v>417</v>
      </c>
      <c r="K27" s="24">
        <v>1</v>
      </c>
      <c r="L27" s="24" t="s">
        <v>340</v>
      </c>
      <c r="M27" s="24" t="s">
        <v>341</v>
      </c>
      <c r="N27" s="24" t="s">
        <v>90</v>
      </c>
      <c r="P27" s="1" t="s">
        <v>342</v>
      </c>
      <c r="Q27" s="1" t="s">
        <v>144</v>
      </c>
    </row>
    <row r="28" spans="5:20" x14ac:dyDescent="0.15">
      <c r="E28" s="4">
        <f t="shared" si="0"/>
        <v>21</v>
      </c>
      <c r="F28" s="24" t="s">
        <v>418</v>
      </c>
      <c r="G28" s="24" t="s">
        <v>11</v>
      </c>
      <c r="H28" s="24" t="s">
        <v>90</v>
      </c>
      <c r="I28" s="24" t="s">
        <v>23</v>
      </c>
      <c r="J28" s="23" t="s">
        <v>417</v>
      </c>
      <c r="K28" s="24">
        <v>2</v>
      </c>
      <c r="L28" s="24" t="s">
        <v>564</v>
      </c>
      <c r="M28" s="24" t="s">
        <v>565</v>
      </c>
      <c r="N28" s="24" t="s">
        <v>90</v>
      </c>
      <c r="P28" s="1" t="s">
        <v>566</v>
      </c>
      <c r="Q28" s="1" t="s">
        <v>144</v>
      </c>
    </row>
    <row r="29" spans="5:20" x14ac:dyDescent="0.15">
      <c r="E29" s="4">
        <f t="shared" si="0"/>
        <v>22</v>
      </c>
      <c r="F29" s="24" t="s">
        <v>419</v>
      </c>
      <c r="G29" s="24" t="s">
        <v>11</v>
      </c>
      <c r="H29" s="24" t="s">
        <v>90</v>
      </c>
      <c r="I29" s="24" t="s">
        <v>23</v>
      </c>
      <c r="J29" s="23" t="s">
        <v>417</v>
      </c>
      <c r="K29" s="24">
        <v>3</v>
      </c>
      <c r="L29" s="24" t="s">
        <v>567</v>
      </c>
      <c r="M29" s="24" t="s">
        <v>568</v>
      </c>
      <c r="N29" s="24" t="s">
        <v>90</v>
      </c>
      <c r="P29" s="1" t="s">
        <v>569</v>
      </c>
      <c r="Q29" s="1" t="s">
        <v>144</v>
      </c>
    </row>
    <row r="30" spans="5:20" x14ac:dyDescent="0.15">
      <c r="E30" s="4">
        <f t="shared" si="0"/>
        <v>23</v>
      </c>
      <c r="F30" s="24" t="s">
        <v>328</v>
      </c>
      <c r="G30" s="24" t="s">
        <v>7</v>
      </c>
      <c r="H30" s="24" t="s">
        <v>90</v>
      </c>
      <c r="I30" s="24" t="s">
        <v>23</v>
      </c>
      <c r="J30" s="23" t="s">
        <v>417</v>
      </c>
      <c r="K30" s="24">
        <v>1</v>
      </c>
      <c r="L30" s="24" t="s">
        <v>343</v>
      </c>
      <c r="M30" s="24" t="s">
        <v>344</v>
      </c>
      <c r="N30" s="24" t="s">
        <v>90</v>
      </c>
      <c r="P30" s="1" t="s">
        <v>345</v>
      </c>
      <c r="Q30" s="1" t="s">
        <v>143</v>
      </c>
    </row>
    <row r="31" spans="5:20" x14ac:dyDescent="0.15">
      <c r="E31" s="4">
        <f t="shared" si="0"/>
        <v>24</v>
      </c>
      <c r="F31" s="24" t="s">
        <v>329</v>
      </c>
      <c r="G31" s="24" t="s">
        <v>7</v>
      </c>
      <c r="H31" s="24" t="s">
        <v>90</v>
      </c>
      <c r="I31" s="24" t="s">
        <v>20</v>
      </c>
      <c r="J31" s="23" t="s">
        <v>417</v>
      </c>
      <c r="K31" s="24">
        <v>1</v>
      </c>
      <c r="L31" s="24" t="s">
        <v>346</v>
      </c>
      <c r="M31" s="24" t="s">
        <v>349</v>
      </c>
      <c r="N31" s="24" t="s">
        <v>90</v>
      </c>
      <c r="P31" s="1" t="s">
        <v>399</v>
      </c>
      <c r="Q31" s="1" t="s">
        <v>130</v>
      </c>
    </row>
    <row r="32" spans="5:20" x14ac:dyDescent="0.15">
      <c r="E32" s="4">
        <f t="shared" si="0"/>
        <v>25</v>
      </c>
      <c r="F32" s="24" t="s">
        <v>330</v>
      </c>
      <c r="G32" s="24" t="s">
        <v>7</v>
      </c>
      <c r="H32" s="24" t="s">
        <v>90</v>
      </c>
      <c r="I32" s="24" t="s">
        <v>20</v>
      </c>
      <c r="J32" s="23" t="s">
        <v>417</v>
      </c>
      <c r="K32" s="24">
        <v>2</v>
      </c>
      <c r="L32" s="24" t="s">
        <v>347</v>
      </c>
      <c r="M32" s="24" t="s">
        <v>361</v>
      </c>
      <c r="N32" s="24" t="s">
        <v>90</v>
      </c>
      <c r="P32" s="1" t="s">
        <v>400</v>
      </c>
      <c r="Q32" s="1" t="s">
        <v>130</v>
      </c>
    </row>
    <row r="33" spans="5:20" x14ac:dyDescent="0.15">
      <c r="E33" s="4">
        <f t="shared" si="0"/>
        <v>26</v>
      </c>
      <c r="F33" s="24" t="s">
        <v>354</v>
      </c>
      <c r="G33" s="24" t="s">
        <v>9</v>
      </c>
      <c r="H33" s="24" t="s">
        <v>90</v>
      </c>
      <c r="I33" s="24" t="s">
        <v>20</v>
      </c>
      <c r="J33" s="23" t="s">
        <v>417</v>
      </c>
      <c r="K33" s="24">
        <v>1</v>
      </c>
      <c r="L33" s="24" t="s">
        <v>376</v>
      </c>
      <c r="M33" s="24" t="s">
        <v>401</v>
      </c>
      <c r="N33" s="24" t="s">
        <v>90</v>
      </c>
      <c r="P33" s="1" t="s">
        <v>402</v>
      </c>
      <c r="Q33" s="1" t="s">
        <v>131</v>
      </c>
    </row>
    <row r="34" spans="5:20" x14ac:dyDescent="0.15">
      <c r="E34" s="4">
        <f t="shared" si="0"/>
        <v>27</v>
      </c>
      <c r="F34" s="24" t="s">
        <v>355</v>
      </c>
      <c r="G34" s="24" t="s">
        <v>9</v>
      </c>
      <c r="H34" s="24" t="s">
        <v>90</v>
      </c>
      <c r="I34" s="24" t="s">
        <v>20</v>
      </c>
      <c r="J34" s="23" t="s">
        <v>417</v>
      </c>
      <c r="K34" s="24">
        <v>2</v>
      </c>
      <c r="L34" s="24" t="s">
        <v>377</v>
      </c>
      <c r="M34" s="24" t="s">
        <v>403</v>
      </c>
      <c r="N34" s="24" t="s">
        <v>90</v>
      </c>
      <c r="P34" s="1" t="s">
        <v>404</v>
      </c>
      <c r="Q34" s="1" t="s">
        <v>131</v>
      </c>
    </row>
    <row r="35" spans="5:20" x14ac:dyDescent="0.15">
      <c r="E35" s="4">
        <f t="shared" si="0"/>
        <v>28</v>
      </c>
      <c r="F35" s="24" t="s">
        <v>363</v>
      </c>
      <c r="G35" s="24" t="s">
        <v>11</v>
      </c>
      <c r="H35" s="24" t="s">
        <v>90</v>
      </c>
      <c r="I35" s="24" t="s">
        <v>20</v>
      </c>
      <c r="J35" s="23" t="s">
        <v>417</v>
      </c>
      <c r="K35" s="24">
        <v>1</v>
      </c>
      <c r="L35" s="24" t="s">
        <v>378</v>
      </c>
      <c r="M35" s="24" t="s">
        <v>405</v>
      </c>
      <c r="N35" s="24" t="s">
        <v>90</v>
      </c>
      <c r="P35" s="1" t="s">
        <v>406</v>
      </c>
      <c r="Q35" s="1" t="s">
        <v>132</v>
      </c>
    </row>
    <row r="36" spans="5:20" x14ac:dyDescent="0.15">
      <c r="E36" s="4">
        <f t="shared" si="0"/>
        <v>29</v>
      </c>
      <c r="F36" s="24" t="s">
        <v>364</v>
      </c>
      <c r="G36" s="24" t="s">
        <v>11</v>
      </c>
      <c r="H36" s="24" t="s">
        <v>90</v>
      </c>
      <c r="I36" s="24" t="s">
        <v>20</v>
      </c>
      <c r="J36" s="23" t="s">
        <v>417</v>
      </c>
      <c r="K36" s="24">
        <v>2</v>
      </c>
      <c r="L36" s="24" t="s">
        <v>379</v>
      </c>
      <c r="M36" s="24" t="s">
        <v>407</v>
      </c>
      <c r="N36" s="24" t="s">
        <v>90</v>
      </c>
      <c r="P36" s="1" t="s">
        <v>408</v>
      </c>
      <c r="Q36" s="1" t="s">
        <v>132</v>
      </c>
    </row>
    <row r="37" spans="5:20" x14ac:dyDescent="0.15">
      <c r="E37" s="4">
        <f t="shared" si="0"/>
        <v>30</v>
      </c>
      <c r="F37" s="24" t="s">
        <v>365</v>
      </c>
      <c r="G37" s="24" t="s">
        <v>29</v>
      </c>
      <c r="H37" s="24">
        <v>32</v>
      </c>
      <c r="I37" s="24" t="s">
        <v>20</v>
      </c>
      <c r="J37" s="23" t="s">
        <v>417</v>
      </c>
      <c r="K37" s="24">
        <v>1</v>
      </c>
      <c r="L37" s="24" t="s">
        <v>380</v>
      </c>
      <c r="M37" s="24" t="s">
        <v>358</v>
      </c>
      <c r="N37" s="24">
        <v>1</v>
      </c>
      <c r="P37" s="1" t="s">
        <v>381</v>
      </c>
      <c r="Q37" s="1" t="s">
        <v>133</v>
      </c>
      <c r="S37" s="1" t="s">
        <v>382</v>
      </c>
      <c r="T37" s="1" t="s">
        <v>134</v>
      </c>
    </row>
    <row r="38" spans="5:20" x14ac:dyDescent="0.15">
      <c r="E38" s="4">
        <f t="shared" si="0"/>
        <v>31</v>
      </c>
      <c r="F38" s="24" t="s">
        <v>366</v>
      </c>
      <c r="G38" s="24" t="s">
        <v>29</v>
      </c>
      <c r="H38" s="24">
        <v>32</v>
      </c>
      <c r="I38" s="24" t="s">
        <v>20</v>
      </c>
      <c r="J38" s="23" t="s">
        <v>417</v>
      </c>
      <c r="K38" s="24">
        <v>2</v>
      </c>
      <c r="L38" s="24" t="s">
        <v>383</v>
      </c>
      <c r="M38" s="24" t="s">
        <v>359</v>
      </c>
      <c r="N38" s="24">
        <v>9</v>
      </c>
      <c r="P38" s="1" t="s">
        <v>384</v>
      </c>
      <c r="Q38" s="1" t="s">
        <v>133</v>
      </c>
      <c r="S38" s="1" t="s">
        <v>385</v>
      </c>
      <c r="T38" s="1" t="s">
        <v>134</v>
      </c>
    </row>
    <row r="39" spans="5:20" x14ac:dyDescent="0.15">
      <c r="E39" s="4">
        <f t="shared" si="0"/>
        <v>32</v>
      </c>
      <c r="F39" s="24" t="s">
        <v>373</v>
      </c>
      <c r="G39" s="24" t="s">
        <v>29</v>
      </c>
      <c r="H39" s="24">
        <v>28</v>
      </c>
      <c r="I39" s="24" t="s">
        <v>20</v>
      </c>
      <c r="J39" s="23" t="s">
        <v>417</v>
      </c>
      <c r="K39" s="24">
        <v>3</v>
      </c>
      <c r="L39" s="24" t="s">
        <v>386</v>
      </c>
      <c r="M39" s="24" t="s">
        <v>387</v>
      </c>
      <c r="N39" s="24">
        <v>17</v>
      </c>
      <c r="P39" s="1" t="s">
        <v>388</v>
      </c>
      <c r="Q39" s="1" t="s">
        <v>133</v>
      </c>
      <c r="S39" s="1" t="s">
        <v>389</v>
      </c>
      <c r="T39" s="1" t="s">
        <v>134</v>
      </c>
    </row>
    <row r="40" spans="5:20" x14ac:dyDescent="0.15">
      <c r="E40" s="4">
        <f t="shared" si="0"/>
        <v>33</v>
      </c>
      <c r="F40" s="24" t="s">
        <v>374</v>
      </c>
      <c r="G40" s="24" t="s">
        <v>29</v>
      </c>
      <c r="H40" s="24">
        <v>28</v>
      </c>
      <c r="I40" s="24" t="s">
        <v>20</v>
      </c>
      <c r="J40" s="23" t="s">
        <v>417</v>
      </c>
      <c r="K40" s="24">
        <v>4</v>
      </c>
      <c r="L40" s="24" t="s">
        <v>390</v>
      </c>
      <c r="M40" s="24" t="s">
        <v>391</v>
      </c>
      <c r="N40" s="24">
        <v>24</v>
      </c>
      <c r="P40" s="1" t="s">
        <v>392</v>
      </c>
      <c r="Q40" s="1" t="s">
        <v>133</v>
      </c>
      <c r="S40" s="1" t="s">
        <v>396</v>
      </c>
      <c r="T40" s="1" t="s">
        <v>134</v>
      </c>
    </row>
    <row r="41" spans="5:20" x14ac:dyDescent="0.15">
      <c r="E41" s="4">
        <f t="shared" si="0"/>
        <v>34</v>
      </c>
      <c r="F41" s="24" t="s">
        <v>420</v>
      </c>
      <c r="G41" s="24" t="s">
        <v>11</v>
      </c>
      <c r="H41" s="24" t="s">
        <v>90</v>
      </c>
      <c r="I41" s="24" t="s">
        <v>20</v>
      </c>
      <c r="J41" s="23" t="s">
        <v>417</v>
      </c>
      <c r="K41" s="24">
        <v>3</v>
      </c>
      <c r="L41" s="24" t="s">
        <v>570</v>
      </c>
      <c r="M41" s="24" t="s">
        <v>571</v>
      </c>
      <c r="N41" s="24" t="s">
        <v>90</v>
      </c>
      <c r="P41" s="1" t="s">
        <v>572</v>
      </c>
      <c r="Q41" s="1" t="s">
        <v>132</v>
      </c>
    </row>
    <row r="42" spans="5:20" x14ac:dyDescent="0.15">
      <c r="E42" s="4">
        <f t="shared" si="0"/>
        <v>35</v>
      </c>
      <c r="F42" s="24" t="s">
        <v>421</v>
      </c>
      <c r="G42" s="24" t="s">
        <v>29</v>
      </c>
      <c r="H42" s="24">
        <v>28</v>
      </c>
      <c r="I42" s="24" t="s">
        <v>22</v>
      </c>
      <c r="J42" s="23" t="s">
        <v>417</v>
      </c>
      <c r="K42" s="24">
        <v>1</v>
      </c>
      <c r="L42" s="24" t="s">
        <v>573</v>
      </c>
      <c r="M42" s="24" t="s">
        <v>574</v>
      </c>
      <c r="N42" s="24">
        <v>1</v>
      </c>
      <c r="P42" s="1" t="s">
        <v>575</v>
      </c>
      <c r="Q42" s="1" t="s">
        <v>141</v>
      </c>
      <c r="S42" s="1" t="s">
        <v>576</v>
      </c>
      <c r="T42" s="1" t="s">
        <v>142</v>
      </c>
    </row>
    <row r="43" spans="5:20" x14ac:dyDescent="0.15">
      <c r="E43" s="4">
        <f t="shared" si="0"/>
        <v>36</v>
      </c>
      <c r="F43" s="24" t="s">
        <v>422</v>
      </c>
      <c r="G43" s="24" t="s">
        <v>29</v>
      </c>
      <c r="H43" s="24">
        <v>32</v>
      </c>
      <c r="I43" s="24" t="s">
        <v>22</v>
      </c>
      <c r="J43" s="23" t="s">
        <v>417</v>
      </c>
      <c r="K43" s="24">
        <v>2</v>
      </c>
      <c r="L43" s="24" t="s">
        <v>577</v>
      </c>
      <c r="M43" s="24" t="s">
        <v>578</v>
      </c>
      <c r="N43" s="24">
        <v>8</v>
      </c>
      <c r="P43" s="1" t="s">
        <v>579</v>
      </c>
      <c r="Q43" s="1" t="s">
        <v>141</v>
      </c>
      <c r="S43" s="1" t="s">
        <v>580</v>
      </c>
      <c r="T43" s="1" t="s">
        <v>142</v>
      </c>
    </row>
    <row r="44" spans="5:20" x14ac:dyDescent="0.15">
      <c r="E44" s="4">
        <f t="shared" si="0"/>
        <v>37</v>
      </c>
      <c r="F44" s="24" t="s">
        <v>423</v>
      </c>
      <c r="G44" s="24" t="s">
        <v>29</v>
      </c>
      <c r="H44" s="24">
        <v>8</v>
      </c>
      <c r="I44" s="24" t="s">
        <v>22</v>
      </c>
      <c r="J44" s="23" t="s">
        <v>417</v>
      </c>
      <c r="K44" s="24">
        <v>3</v>
      </c>
      <c r="L44" s="24" t="s">
        <v>581</v>
      </c>
      <c r="M44" s="24" t="s">
        <v>582</v>
      </c>
      <c r="N44" s="24">
        <v>16</v>
      </c>
      <c r="P44" s="1" t="s">
        <v>583</v>
      </c>
      <c r="Q44" s="1" t="s">
        <v>141</v>
      </c>
      <c r="S44" s="1" t="s">
        <v>584</v>
      </c>
      <c r="T44" s="1" t="s">
        <v>142</v>
      </c>
    </row>
    <row r="45" spans="5:20" x14ac:dyDescent="0.15">
      <c r="E45" s="4">
        <f t="shared" si="0"/>
        <v>38</v>
      </c>
      <c r="F45" s="24" t="s">
        <v>424</v>
      </c>
      <c r="G45" s="24" t="s">
        <v>29</v>
      </c>
      <c r="H45" s="24">
        <v>8</v>
      </c>
      <c r="I45" s="24" t="s">
        <v>22</v>
      </c>
      <c r="J45" s="23" t="s">
        <v>417</v>
      </c>
      <c r="K45" s="24">
        <v>4</v>
      </c>
      <c r="L45" s="24" t="s">
        <v>585</v>
      </c>
      <c r="M45" s="24" t="s">
        <v>586</v>
      </c>
      <c r="N45" s="24">
        <v>18</v>
      </c>
      <c r="P45" s="1" t="s">
        <v>587</v>
      </c>
      <c r="Q45" s="1" t="s">
        <v>141</v>
      </c>
      <c r="S45" s="1" t="s">
        <v>588</v>
      </c>
      <c r="T45" s="1" t="s">
        <v>142</v>
      </c>
    </row>
    <row r="46" spans="5:20" x14ac:dyDescent="0.15">
      <c r="E46" s="4">
        <f t="shared" si="0"/>
        <v>39</v>
      </c>
      <c r="F46" s="24" t="s">
        <v>425</v>
      </c>
      <c r="G46" s="24" t="s">
        <v>29</v>
      </c>
      <c r="H46" s="24">
        <v>8</v>
      </c>
      <c r="I46" s="24" t="s">
        <v>22</v>
      </c>
      <c r="J46" s="23" t="s">
        <v>417</v>
      </c>
      <c r="K46" s="24">
        <v>5</v>
      </c>
      <c r="L46" s="24" t="s">
        <v>589</v>
      </c>
      <c r="M46" s="24" t="s">
        <v>590</v>
      </c>
      <c r="N46" s="24">
        <v>20</v>
      </c>
      <c r="P46" s="1" t="s">
        <v>591</v>
      </c>
      <c r="Q46" s="1" t="s">
        <v>141</v>
      </c>
      <c r="S46" s="1" t="s">
        <v>592</v>
      </c>
      <c r="T46" s="1" t="s">
        <v>142</v>
      </c>
    </row>
    <row r="47" spans="5:20" x14ac:dyDescent="0.15">
      <c r="E47" s="4">
        <f t="shared" si="0"/>
        <v>40</v>
      </c>
      <c r="F47" s="24" t="s">
        <v>426</v>
      </c>
      <c r="G47" s="24" t="s">
        <v>29</v>
      </c>
      <c r="H47" s="24">
        <v>8</v>
      </c>
      <c r="I47" s="24" t="s">
        <v>22</v>
      </c>
      <c r="J47" s="23" t="s">
        <v>417</v>
      </c>
      <c r="K47" s="24">
        <v>6</v>
      </c>
      <c r="L47" s="24" t="s">
        <v>593</v>
      </c>
      <c r="M47" s="24" t="s">
        <v>594</v>
      </c>
      <c r="N47" s="24">
        <v>22</v>
      </c>
      <c r="P47" s="1" t="s">
        <v>595</v>
      </c>
      <c r="Q47" s="1" t="s">
        <v>141</v>
      </c>
      <c r="S47" s="1" t="s">
        <v>596</v>
      </c>
      <c r="T47" s="1" t="s">
        <v>142</v>
      </c>
    </row>
    <row r="48" spans="5:20" x14ac:dyDescent="0.15">
      <c r="E48" s="4">
        <f t="shared" si="0"/>
        <v>41</v>
      </c>
      <c r="F48" s="24" t="s">
        <v>427</v>
      </c>
      <c r="G48" s="24" t="s">
        <v>29</v>
      </c>
      <c r="H48" s="24">
        <v>8</v>
      </c>
      <c r="I48" s="24" t="s">
        <v>22</v>
      </c>
      <c r="J48" s="23" t="s">
        <v>417</v>
      </c>
      <c r="K48" s="24">
        <v>7</v>
      </c>
      <c r="L48" s="24" t="s">
        <v>597</v>
      </c>
      <c r="M48" s="24" t="s">
        <v>598</v>
      </c>
      <c r="N48" s="24">
        <v>24</v>
      </c>
      <c r="P48" s="1" t="s">
        <v>599</v>
      </c>
      <c r="Q48" s="1" t="s">
        <v>141</v>
      </c>
      <c r="S48" s="1" t="s">
        <v>600</v>
      </c>
      <c r="T48" s="1" t="s">
        <v>142</v>
      </c>
    </row>
    <row r="49" spans="5:20" x14ac:dyDescent="0.15">
      <c r="E49" s="4">
        <f t="shared" si="0"/>
        <v>42</v>
      </c>
      <c r="F49" s="24" t="s">
        <v>428</v>
      </c>
      <c r="G49" s="24" t="s">
        <v>29</v>
      </c>
      <c r="H49" s="24">
        <v>8</v>
      </c>
      <c r="I49" s="24" t="s">
        <v>22</v>
      </c>
      <c r="J49" s="23" t="s">
        <v>417</v>
      </c>
      <c r="K49" s="24">
        <v>8</v>
      </c>
      <c r="L49" s="24" t="s">
        <v>601</v>
      </c>
      <c r="M49" s="24" t="s">
        <v>602</v>
      </c>
      <c r="N49" s="24">
        <v>26</v>
      </c>
      <c r="P49" s="1" t="s">
        <v>603</v>
      </c>
      <c r="Q49" s="1" t="s">
        <v>141</v>
      </c>
      <c r="S49" s="1" t="s">
        <v>604</v>
      </c>
      <c r="T49" s="1" t="s">
        <v>142</v>
      </c>
    </row>
    <row r="50" spans="5:20" x14ac:dyDescent="0.15">
      <c r="E50" s="4">
        <f t="shared" si="0"/>
        <v>43</v>
      </c>
      <c r="F50" s="24" t="s">
        <v>429</v>
      </c>
      <c r="G50" s="24" t="s">
        <v>29</v>
      </c>
      <c r="H50" s="24">
        <v>8</v>
      </c>
      <c r="I50" s="24" t="s">
        <v>22</v>
      </c>
      <c r="J50" s="23" t="s">
        <v>417</v>
      </c>
      <c r="K50" s="24">
        <v>9</v>
      </c>
      <c r="L50" s="24" t="s">
        <v>605</v>
      </c>
      <c r="M50" s="24" t="s">
        <v>606</v>
      </c>
      <c r="N50" s="24">
        <v>28</v>
      </c>
      <c r="P50" s="1" t="s">
        <v>607</v>
      </c>
      <c r="Q50" s="1" t="s">
        <v>141</v>
      </c>
      <c r="S50" s="1" t="s">
        <v>608</v>
      </c>
      <c r="T50" s="1" t="s">
        <v>142</v>
      </c>
    </row>
    <row r="51" spans="5:20" x14ac:dyDescent="0.15">
      <c r="E51" s="4">
        <f t="shared" si="0"/>
        <v>44</v>
      </c>
      <c r="F51" s="24" t="s">
        <v>430</v>
      </c>
      <c r="G51" s="24" t="s">
        <v>29</v>
      </c>
      <c r="H51" s="24">
        <v>8</v>
      </c>
      <c r="I51" s="24" t="s">
        <v>22</v>
      </c>
      <c r="J51" s="23" t="s">
        <v>417</v>
      </c>
      <c r="K51" s="24">
        <v>10</v>
      </c>
      <c r="L51" s="24" t="s">
        <v>609</v>
      </c>
      <c r="M51" s="24" t="s">
        <v>610</v>
      </c>
      <c r="N51" s="24">
        <v>30</v>
      </c>
      <c r="P51" s="1" t="s">
        <v>611</v>
      </c>
      <c r="Q51" s="1" t="s">
        <v>141</v>
      </c>
      <c r="S51" s="1" t="s">
        <v>612</v>
      </c>
      <c r="T51" s="1" t="s">
        <v>142</v>
      </c>
    </row>
    <row r="52" spans="5:20" x14ac:dyDescent="0.15">
      <c r="E52" s="4">
        <f t="shared" si="0"/>
        <v>45</v>
      </c>
      <c r="F52" s="24" t="s">
        <v>431</v>
      </c>
      <c r="G52" s="24" t="s">
        <v>29</v>
      </c>
      <c r="H52" s="24">
        <v>8</v>
      </c>
      <c r="I52" s="24" t="s">
        <v>22</v>
      </c>
      <c r="J52" s="23" t="s">
        <v>417</v>
      </c>
      <c r="K52" s="24">
        <v>11</v>
      </c>
      <c r="L52" s="24" t="s">
        <v>613</v>
      </c>
      <c r="M52" s="24" t="s">
        <v>614</v>
      </c>
      <c r="N52" s="24">
        <v>32</v>
      </c>
      <c r="P52" s="1" t="s">
        <v>615</v>
      </c>
      <c r="Q52" s="1" t="s">
        <v>141</v>
      </c>
      <c r="S52" s="1" t="s">
        <v>616</v>
      </c>
      <c r="T52" s="1" t="s">
        <v>142</v>
      </c>
    </row>
    <row r="53" spans="5:20" x14ac:dyDescent="0.15">
      <c r="E53" s="4">
        <f t="shared" si="0"/>
        <v>46</v>
      </c>
      <c r="F53" s="24" t="s">
        <v>432</v>
      </c>
      <c r="G53" s="24" t="s">
        <v>29</v>
      </c>
      <c r="H53" s="24">
        <v>8</v>
      </c>
      <c r="I53" s="24" t="s">
        <v>22</v>
      </c>
      <c r="J53" s="23" t="s">
        <v>417</v>
      </c>
      <c r="K53" s="24">
        <v>12</v>
      </c>
      <c r="L53" s="24" t="s">
        <v>617</v>
      </c>
      <c r="M53" s="24" t="s">
        <v>618</v>
      </c>
      <c r="N53" s="24">
        <v>34</v>
      </c>
      <c r="P53" s="1" t="s">
        <v>619</v>
      </c>
      <c r="Q53" s="1" t="s">
        <v>141</v>
      </c>
      <c r="S53" s="1" t="s">
        <v>620</v>
      </c>
      <c r="T53" s="1" t="s">
        <v>142</v>
      </c>
    </row>
    <row r="54" spans="5:20" x14ac:dyDescent="0.15">
      <c r="E54" s="4">
        <f t="shared" si="0"/>
        <v>47</v>
      </c>
      <c r="F54" s="24" t="s">
        <v>433</v>
      </c>
      <c r="G54" s="24" t="s">
        <v>29</v>
      </c>
      <c r="H54" s="24">
        <v>8</v>
      </c>
      <c r="I54" s="24" t="s">
        <v>22</v>
      </c>
      <c r="J54" s="23" t="s">
        <v>417</v>
      </c>
      <c r="K54" s="24">
        <v>13</v>
      </c>
      <c r="L54" s="24" t="s">
        <v>621</v>
      </c>
      <c r="M54" s="24" t="s">
        <v>622</v>
      </c>
      <c r="N54" s="24">
        <v>36</v>
      </c>
      <c r="P54" s="1" t="s">
        <v>623</v>
      </c>
      <c r="Q54" s="1" t="s">
        <v>141</v>
      </c>
      <c r="S54" s="1" t="s">
        <v>624</v>
      </c>
      <c r="T54" s="1" t="s">
        <v>142</v>
      </c>
    </row>
    <row r="55" spans="5:20" x14ac:dyDescent="0.15">
      <c r="E55" s="4">
        <f t="shared" si="0"/>
        <v>48</v>
      </c>
      <c r="F55" s="24" t="s">
        <v>434</v>
      </c>
      <c r="G55" s="24" t="s">
        <v>29</v>
      </c>
      <c r="H55" s="24">
        <v>8</v>
      </c>
      <c r="I55" s="24" t="s">
        <v>22</v>
      </c>
      <c r="J55" s="23" t="s">
        <v>417</v>
      </c>
      <c r="K55" s="24">
        <v>14</v>
      </c>
      <c r="L55" s="24" t="s">
        <v>625</v>
      </c>
      <c r="M55" s="24" t="s">
        <v>626</v>
      </c>
      <c r="N55" s="24">
        <v>38</v>
      </c>
      <c r="P55" s="1" t="s">
        <v>627</v>
      </c>
      <c r="Q55" s="1" t="s">
        <v>141</v>
      </c>
      <c r="S55" s="1" t="s">
        <v>628</v>
      </c>
      <c r="T55" s="1" t="s">
        <v>142</v>
      </c>
    </row>
    <row r="56" spans="5:20" x14ac:dyDescent="0.15">
      <c r="E56" s="4">
        <f t="shared" si="0"/>
        <v>49</v>
      </c>
      <c r="F56" s="24" t="s">
        <v>435</v>
      </c>
      <c r="G56" s="24" t="s">
        <v>29</v>
      </c>
      <c r="H56" s="24">
        <v>8</v>
      </c>
      <c r="I56" s="24" t="s">
        <v>22</v>
      </c>
      <c r="J56" s="23" t="s">
        <v>417</v>
      </c>
      <c r="K56" s="24">
        <v>15</v>
      </c>
      <c r="L56" s="24" t="s">
        <v>629</v>
      </c>
      <c r="M56" s="24" t="s">
        <v>630</v>
      </c>
      <c r="N56" s="24">
        <v>40</v>
      </c>
      <c r="P56" s="1" t="s">
        <v>631</v>
      </c>
      <c r="Q56" s="1" t="s">
        <v>141</v>
      </c>
      <c r="S56" s="1" t="s">
        <v>632</v>
      </c>
      <c r="T56" s="1" t="s">
        <v>142</v>
      </c>
    </row>
    <row r="57" spans="5:20" x14ac:dyDescent="0.15">
      <c r="E57" s="4">
        <f t="shared" si="0"/>
        <v>50</v>
      </c>
      <c r="F57" s="24" t="s">
        <v>436</v>
      </c>
      <c r="G57" s="24" t="s">
        <v>29</v>
      </c>
      <c r="H57" s="24">
        <v>8</v>
      </c>
      <c r="I57" s="24" t="s">
        <v>22</v>
      </c>
      <c r="J57" s="23" t="s">
        <v>417</v>
      </c>
      <c r="K57" s="24">
        <v>16</v>
      </c>
      <c r="L57" s="24" t="s">
        <v>633</v>
      </c>
      <c r="M57" s="24" t="s">
        <v>634</v>
      </c>
      <c r="N57" s="24">
        <v>42</v>
      </c>
      <c r="P57" s="1" t="s">
        <v>635</v>
      </c>
      <c r="Q57" s="1" t="s">
        <v>141</v>
      </c>
      <c r="S57" s="1" t="s">
        <v>636</v>
      </c>
      <c r="T57" s="1" t="s">
        <v>142</v>
      </c>
    </row>
    <row r="58" spans="5:20" x14ac:dyDescent="0.15">
      <c r="E58" s="4">
        <f t="shared" si="0"/>
        <v>51</v>
      </c>
      <c r="F58" s="24" t="s">
        <v>437</v>
      </c>
      <c r="G58" s="24" t="s">
        <v>29</v>
      </c>
      <c r="H58" s="24">
        <v>8</v>
      </c>
      <c r="I58" s="24" t="s">
        <v>22</v>
      </c>
      <c r="J58" s="23" t="s">
        <v>417</v>
      </c>
      <c r="K58" s="24">
        <v>17</v>
      </c>
      <c r="L58" s="24" t="s">
        <v>637</v>
      </c>
      <c r="M58" s="24" t="s">
        <v>638</v>
      </c>
      <c r="N58" s="24">
        <v>44</v>
      </c>
      <c r="P58" s="1" t="s">
        <v>639</v>
      </c>
      <c r="Q58" s="1" t="s">
        <v>141</v>
      </c>
      <c r="S58" s="1" t="s">
        <v>640</v>
      </c>
      <c r="T58" s="1" t="s">
        <v>142</v>
      </c>
    </row>
    <row r="59" spans="5:20" x14ac:dyDescent="0.15">
      <c r="E59" s="4">
        <f t="shared" si="0"/>
        <v>52</v>
      </c>
      <c r="F59" s="24" t="s">
        <v>438</v>
      </c>
      <c r="G59" s="24" t="s">
        <v>29</v>
      </c>
      <c r="H59" s="24">
        <v>8</v>
      </c>
      <c r="I59" s="24" t="s">
        <v>22</v>
      </c>
      <c r="J59" s="23" t="s">
        <v>417</v>
      </c>
      <c r="K59" s="24">
        <v>18</v>
      </c>
      <c r="L59" s="24" t="s">
        <v>641</v>
      </c>
      <c r="M59" s="24" t="s">
        <v>642</v>
      </c>
      <c r="N59" s="24">
        <v>46</v>
      </c>
      <c r="P59" s="1" t="s">
        <v>643</v>
      </c>
      <c r="Q59" s="1" t="s">
        <v>141</v>
      </c>
      <c r="S59" s="1" t="s">
        <v>644</v>
      </c>
      <c r="T59" s="1" t="s">
        <v>142</v>
      </c>
    </row>
    <row r="60" spans="5:20" x14ac:dyDescent="0.15">
      <c r="E60" s="4">
        <f t="shared" si="0"/>
        <v>53</v>
      </c>
      <c r="F60" s="24" t="s">
        <v>439</v>
      </c>
      <c r="G60" s="24" t="s">
        <v>29</v>
      </c>
      <c r="H60" s="24">
        <v>8</v>
      </c>
      <c r="I60" s="24" t="s">
        <v>22</v>
      </c>
      <c r="J60" s="23" t="s">
        <v>417</v>
      </c>
      <c r="K60" s="24">
        <v>19</v>
      </c>
      <c r="L60" s="24" t="s">
        <v>645</v>
      </c>
      <c r="M60" s="24" t="s">
        <v>646</v>
      </c>
      <c r="N60" s="24">
        <v>48</v>
      </c>
      <c r="P60" s="1" t="s">
        <v>647</v>
      </c>
      <c r="Q60" s="1" t="s">
        <v>141</v>
      </c>
      <c r="S60" s="1" t="s">
        <v>648</v>
      </c>
      <c r="T60" s="1" t="s">
        <v>142</v>
      </c>
    </row>
    <row r="61" spans="5:20" x14ac:dyDescent="0.15">
      <c r="E61" s="4">
        <f t="shared" si="0"/>
        <v>54</v>
      </c>
      <c r="F61" s="24" t="s">
        <v>440</v>
      </c>
      <c r="G61" s="24" t="s">
        <v>29</v>
      </c>
      <c r="H61" s="24">
        <v>8</v>
      </c>
      <c r="I61" s="24" t="s">
        <v>22</v>
      </c>
      <c r="J61" s="23" t="s">
        <v>417</v>
      </c>
      <c r="K61" s="24">
        <v>20</v>
      </c>
      <c r="L61" s="24" t="s">
        <v>649</v>
      </c>
      <c r="M61" s="24" t="s">
        <v>650</v>
      </c>
      <c r="N61" s="24">
        <v>50</v>
      </c>
      <c r="P61" s="1" t="s">
        <v>651</v>
      </c>
      <c r="Q61" s="1" t="s">
        <v>141</v>
      </c>
      <c r="S61" s="1" t="s">
        <v>652</v>
      </c>
      <c r="T61" s="1" t="s">
        <v>142</v>
      </c>
    </row>
    <row r="62" spans="5:20" x14ac:dyDescent="0.15">
      <c r="E62" s="4">
        <f t="shared" si="0"/>
        <v>55</v>
      </c>
      <c r="F62" s="24" t="s">
        <v>441</v>
      </c>
      <c r="G62" s="24" t="s">
        <v>29</v>
      </c>
      <c r="H62" s="24">
        <v>8</v>
      </c>
      <c r="I62" s="24" t="s">
        <v>22</v>
      </c>
      <c r="J62" s="23" t="s">
        <v>417</v>
      </c>
      <c r="K62" s="24">
        <v>21</v>
      </c>
      <c r="L62" s="24" t="s">
        <v>653</v>
      </c>
      <c r="M62" s="24" t="s">
        <v>654</v>
      </c>
      <c r="N62" s="24">
        <v>52</v>
      </c>
      <c r="P62" s="1" t="s">
        <v>655</v>
      </c>
      <c r="Q62" s="1" t="s">
        <v>141</v>
      </c>
      <c r="S62" s="1" t="s">
        <v>656</v>
      </c>
      <c r="T62" s="1" t="s">
        <v>142</v>
      </c>
    </row>
    <row r="63" spans="5:20" x14ac:dyDescent="0.15">
      <c r="E63" s="4">
        <f t="shared" si="0"/>
        <v>56</v>
      </c>
      <c r="F63" s="24" t="s">
        <v>442</v>
      </c>
      <c r="G63" s="24" t="s">
        <v>29</v>
      </c>
      <c r="H63" s="24">
        <v>8</v>
      </c>
      <c r="I63" s="24" t="s">
        <v>22</v>
      </c>
      <c r="J63" s="23" t="s">
        <v>417</v>
      </c>
      <c r="K63" s="24">
        <v>22</v>
      </c>
      <c r="L63" s="24" t="s">
        <v>657</v>
      </c>
      <c r="M63" s="24" t="s">
        <v>658</v>
      </c>
      <c r="N63" s="24">
        <v>54</v>
      </c>
      <c r="P63" s="1" t="s">
        <v>659</v>
      </c>
      <c r="Q63" s="1" t="s">
        <v>141</v>
      </c>
      <c r="S63" s="1" t="s">
        <v>660</v>
      </c>
      <c r="T63" s="1" t="s">
        <v>142</v>
      </c>
    </row>
    <row r="64" spans="5:20" x14ac:dyDescent="0.15">
      <c r="E64" s="4">
        <f t="shared" si="0"/>
        <v>57</v>
      </c>
      <c r="F64" s="24" t="s">
        <v>443</v>
      </c>
      <c r="G64" s="24" t="s">
        <v>29</v>
      </c>
      <c r="H64" s="24">
        <v>8</v>
      </c>
      <c r="I64" s="24" t="s">
        <v>22</v>
      </c>
      <c r="J64" s="23" t="s">
        <v>417</v>
      </c>
      <c r="K64" s="24">
        <v>23</v>
      </c>
      <c r="L64" s="24" t="s">
        <v>661</v>
      </c>
      <c r="M64" s="24" t="s">
        <v>662</v>
      </c>
      <c r="N64" s="24">
        <v>56</v>
      </c>
      <c r="P64" s="1" t="s">
        <v>663</v>
      </c>
      <c r="Q64" s="1" t="s">
        <v>141</v>
      </c>
      <c r="S64" s="1" t="s">
        <v>664</v>
      </c>
      <c r="T64" s="1" t="s">
        <v>142</v>
      </c>
    </row>
    <row r="65" spans="5:20" x14ac:dyDescent="0.15">
      <c r="E65" s="4">
        <f t="shared" si="0"/>
        <v>58</v>
      </c>
      <c r="F65" s="24" t="s">
        <v>444</v>
      </c>
      <c r="G65" s="24" t="s">
        <v>29</v>
      </c>
      <c r="H65" s="24">
        <v>12</v>
      </c>
      <c r="I65" s="24" t="s">
        <v>22</v>
      </c>
      <c r="J65" s="23" t="s">
        <v>417</v>
      </c>
      <c r="K65" s="24">
        <v>24</v>
      </c>
      <c r="L65" s="24" t="s">
        <v>665</v>
      </c>
      <c r="M65" s="24" t="s">
        <v>666</v>
      </c>
      <c r="N65" s="24">
        <v>58</v>
      </c>
      <c r="P65" s="1" t="s">
        <v>667</v>
      </c>
      <c r="Q65" s="1" t="s">
        <v>141</v>
      </c>
      <c r="S65" s="1" t="s">
        <v>668</v>
      </c>
      <c r="T65" s="1" t="s">
        <v>142</v>
      </c>
    </row>
    <row r="66" spans="5:20" x14ac:dyDescent="0.15">
      <c r="E66" s="4">
        <f t="shared" si="0"/>
        <v>59</v>
      </c>
      <c r="F66" s="24" t="s">
        <v>445</v>
      </c>
      <c r="G66" s="24" t="s">
        <v>29</v>
      </c>
      <c r="H66" s="24">
        <v>12</v>
      </c>
      <c r="I66" s="24" t="s">
        <v>22</v>
      </c>
      <c r="J66" s="23" t="s">
        <v>417</v>
      </c>
      <c r="K66" s="24">
        <v>25</v>
      </c>
      <c r="L66" s="24" t="s">
        <v>669</v>
      </c>
      <c r="M66" s="24" t="s">
        <v>670</v>
      </c>
      <c r="N66" s="24">
        <v>61</v>
      </c>
      <c r="P66" s="1" t="s">
        <v>671</v>
      </c>
      <c r="Q66" s="1" t="s">
        <v>141</v>
      </c>
      <c r="S66" s="1" t="s">
        <v>672</v>
      </c>
      <c r="T66" s="1" t="s">
        <v>142</v>
      </c>
    </row>
    <row r="67" spans="5:20" x14ac:dyDescent="0.15">
      <c r="E67" s="4">
        <f t="shared" si="0"/>
        <v>60</v>
      </c>
      <c r="F67" s="24" t="s">
        <v>446</v>
      </c>
      <c r="G67" s="24" t="s">
        <v>29</v>
      </c>
      <c r="H67" s="24">
        <v>12</v>
      </c>
      <c r="I67" s="24" t="s">
        <v>22</v>
      </c>
      <c r="J67" s="23" t="s">
        <v>417</v>
      </c>
      <c r="K67" s="24">
        <v>26</v>
      </c>
      <c r="L67" s="24" t="s">
        <v>673</v>
      </c>
      <c r="M67" s="24" t="s">
        <v>674</v>
      </c>
      <c r="N67" s="24">
        <v>64</v>
      </c>
      <c r="P67" s="1" t="s">
        <v>675</v>
      </c>
      <c r="Q67" s="1" t="s">
        <v>141</v>
      </c>
      <c r="S67" s="1" t="s">
        <v>676</v>
      </c>
      <c r="T67" s="1" t="s">
        <v>142</v>
      </c>
    </row>
    <row r="68" spans="5:20" x14ac:dyDescent="0.15">
      <c r="E68" s="4">
        <f t="shared" si="0"/>
        <v>61</v>
      </c>
      <c r="F68" s="24" t="s">
        <v>447</v>
      </c>
      <c r="G68" s="24" t="s">
        <v>29</v>
      </c>
      <c r="H68" s="24">
        <v>12</v>
      </c>
      <c r="I68" s="24" t="s">
        <v>22</v>
      </c>
      <c r="J68" s="23" t="s">
        <v>417</v>
      </c>
      <c r="K68" s="24">
        <v>27</v>
      </c>
      <c r="L68" s="24" t="s">
        <v>677</v>
      </c>
      <c r="M68" s="24" t="s">
        <v>678</v>
      </c>
      <c r="N68" s="24">
        <v>67</v>
      </c>
      <c r="P68" s="1" t="s">
        <v>679</v>
      </c>
      <c r="Q68" s="1" t="s">
        <v>141</v>
      </c>
      <c r="S68" s="1" t="s">
        <v>680</v>
      </c>
      <c r="T68" s="1" t="s">
        <v>142</v>
      </c>
    </row>
    <row r="69" spans="5:20" x14ac:dyDescent="0.15">
      <c r="E69" s="4">
        <f t="shared" si="0"/>
        <v>62</v>
      </c>
      <c r="F69" s="24" t="s">
        <v>448</v>
      </c>
      <c r="G69" s="24" t="s">
        <v>29</v>
      </c>
      <c r="H69" s="24">
        <v>12</v>
      </c>
      <c r="I69" s="24" t="s">
        <v>22</v>
      </c>
      <c r="J69" s="23" t="s">
        <v>417</v>
      </c>
      <c r="K69" s="24">
        <v>28</v>
      </c>
      <c r="L69" s="24" t="s">
        <v>681</v>
      </c>
      <c r="M69" s="24" t="s">
        <v>682</v>
      </c>
      <c r="N69" s="24">
        <v>70</v>
      </c>
      <c r="P69" s="1" t="s">
        <v>683</v>
      </c>
      <c r="Q69" s="1" t="s">
        <v>141</v>
      </c>
      <c r="S69" s="1" t="s">
        <v>684</v>
      </c>
      <c r="T69" s="1" t="s">
        <v>142</v>
      </c>
    </row>
    <row r="70" spans="5:20" x14ac:dyDescent="0.15">
      <c r="E70" s="4">
        <f t="shared" si="0"/>
        <v>63</v>
      </c>
      <c r="F70" s="24" t="s">
        <v>449</v>
      </c>
      <c r="G70" s="24" t="s">
        <v>29</v>
      </c>
      <c r="H70" s="24">
        <v>12</v>
      </c>
      <c r="I70" s="24" t="s">
        <v>22</v>
      </c>
      <c r="J70" s="23" t="s">
        <v>417</v>
      </c>
      <c r="K70" s="24">
        <v>29</v>
      </c>
      <c r="L70" s="24" t="s">
        <v>685</v>
      </c>
      <c r="M70" s="24" t="s">
        <v>686</v>
      </c>
      <c r="N70" s="24">
        <v>73</v>
      </c>
      <c r="P70" s="1" t="s">
        <v>687</v>
      </c>
      <c r="Q70" s="1" t="s">
        <v>141</v>
      </c>
      <c r="S70" s="1" t="s">
        <v>688</v>
      </c>
      <c r="T70" s="1" t="s">
        <v>142</v>
      </c>
    </row>
    <row r="71" spans="5:20" x14ac:dyDescent="0.15">
      <c r="E71" s="4">
        <f t="shared" si="0"/>
        <v>64</v>
      </c>
      <c r="F71" s="24" t="s">
        <v>450</v>
      </c>
      <c r="G71" s="24" t="s">
        <v>29</v>
      </c>
      <c r="H71" s="24">
        <v>12</v>
      </c>
      <c r="I71" s="24" t="s">
        <v>22</v>
      </c>
      <c r="J71" s="23" t="s">
        <v>417</v>
      </c>
      <c r="K71" s="24">
        <v>30</v>
      </c>
      <c r="L71" s="24" t="s">
        <v>689</v>
      </c>
      <c r="M71" s="24" t="s">
        <v>690</v>
      </c>
      <c r="N71" s="24">
        <v>76</v>
      </c>
      <c r="P71" s="1" t="s">
        <v>691</v>
      </c>
      <c r="Q71" s="1" t="s">
        <v>141</v>
      </c>
      <c r="S71" s="1" t="s">
        <v>692</v>
      </c>
      <c r="T71" s="1" t="s">
        <v>142</v>
      </c>
    </row>
    <row r="72" spans="5:20" x14ac:dyDescent="0.15">
      <c r="E72" s="4">
        <f t="shared" si="0"/>
        <v>65</v>
      </c>
      <c r="F72" s="24" t="s">
        <v>451</v>
      </c>
      <c r="G72" s="24" t="s">
        <v>29</v>
      </c>
      <c r="H72" s="24">
        <v>12</v>
      </c>
      <c r="I72" s="24" t="s">
        <v>22</v>
      </c>
      <c r="J72" s="23" t="s">
        <v>417</v>
      </c>
      <c r="K72" s="24">
        <v>31</v>
      </c>
      <c r="L72" s="24" t="s">
        <v>693</v>
      </c>
      <c r="M72" s="24" t="s">
        <v>694</v>
      </c>
      <c r="N72" s="24">
        <v>79</v>
      </c>
      <c r="P72" s="1" t="s">
        <v>695</v>
      </c>
      <c r="Q72" s="1" t="s">
        <v>141</v>
      </c>
      <c r="S72" s="1" t="s">
        <v>696</v>
      </c>
      <c r="T72" s="1" t="s">
        <v>142</v>
      </c>
    </row>
    <row r="73" spans="5:20" x14ac:dyDescent="0.15">
      <c r="E73" s="4">
        <f t="shared" ref="E73:E136" si="1">ROW(E73)-ROW($E$7)</f>
        <v>66</v>
      </c>
      <c r="F73" s="24" t="s">
        <v>452</v>
      </c>
      <c r="G73" s="24" t="s">
        <v>29</v>
      </c>
      <c r="H73" s="24">
        <v>12</v>
      </c>
      <c r="I73" s="24" t="s">
        <v>22</v>
      </c>
      <c r="J73" s="23" t="s">
        <v>417</v>
      </c>
      <c r="K73" s="24">
        <v>32</v>
      </c>
      <c r="L73" s="24" t="s">
        <v>697</v>
      </c>
      <c r="M73" s="24" t="s">
        <v>698</v>
      </c>
      <c r="N73" s="24">
        <v>82</v>
      </c>
      <c r="P73" s="1" t="s">
        <v>699</v>
      </c>
      <c r="Q73" s="1" t="s">
        <v>141</v>
      </c>
      <c r="S73" s="1" t="s">
        <v>700</v>
      </c>
      <c r="T73" s="1" t="s">
        <v>142</v>
      </c>
    </row>
    <row r="74" spans="5:20" x14ac:dyDescent="0.15">
      <c r="E74" s="4">
        <f t="shared" si="1"/>
        <v>67</v>
      </c>
      <c r="F74" s="24" t="s">
        <v>453</v>
      </c>
      <c r="G74" s="24" t="s">
        <v>29</v>
      </c>
      <c r="H74" s="24">
        <v>12</v>
      </c>
      <c r="I74" s="24" t="s">
        <v>22</v>
      </c>
      <c r="J74" s="23" t="s">
        <v>417</v>
      </c>
      <c r="K74" s="24">
        <v>33</v>
      </c>
      <c r="L74" s="24" t="s">
        <v>701</v>
      </c>
      <c r="M74" s="24" t="s">
        <v>702</v>
      </c>
      <c r="N74" s="24">
        <v>85</v>
      </c>
      <c r="P74" s="1" t="s">
        <v>703</v>
      </c>
      <c r="Q74" s="1" t="s">
        <v>141</v>
      </c>
      <c r="S74" s="1" t="s">
        <v>704</v>
      </c>
      <c r="T74" s="1" t="s">
        <v>142</v>
      </c>
    </row>
    <row r="75" spans="5:20" x14ac:dyDescent="0.15">
      <c r="E75" s="4">
        <f t="shared" si="1"/>
        <v>68</v>
      </c>
      <c r="F75" s="24" t="s">
        <v>454</v>
      </c>
      <c r="G75" s="24" t="s">
        <v>29</v>
      </c>
      <c r="H75" s="24">
        <v>12</v>
      </c>
      <c r="I75" s="24" t="s">
        <v>22</v>
      </c>
      <c r="J75" s="23" t="s">
        <v>417</v>
      </c>
      <c r="K75" s="24">
        <v>34</v>
      </c>
      <c r="L75" s="24" t="s">
        <v>705</v>
      </c>
      <c r="M75" s="24" t="s">
        <v>706</v>
      </c>
      <c r="N75" s="24">
        <v>88</v>
      </c>
      <c r="P75" s="1" t="s">
        <v>707</v>
      </c>
      <c r="Q75" s="1" t="s">
        <v>141</v>
      </c>
      <c r="S75" s="1" t="s">
        <v>708</v>
      </c>
      <c r="T75" s="1" t="s">
        <v>142</v>
      </c>
    </row>
    <row r="76" spans="5:20" x14ac:dyDescent="0.15">
      <c r="E76" s="4">
        <f t="shared" si="1"/>
        <v>69</v>
      </c>
      <c r="F76" s="24" t="s">
        <v>455</v>
      </c>
      <c r="G76" s="24" t="s">
        <v>29</v>
      </c>
      <c r="H76" s="24">
        <v>12</v>
      </c>
      <c r="I76" s="24" t="s">
        <v>22</v>
      </c>
      <c r="J76" s="23" t="s">
        <v>417</v>
      </c>
      <c r="K76" s="24">
        <v>35</v>
      </c>
      <c r="L76" s="24" t="s">
        <v>709</v>
      </c>
      <c r="M76" s="24" t="s">
        <v>710</v>
      </c>
      <c r="N76" s="24">
        <v>91</v>
      </c>
      <c r="P76" s="1" t="s">
        <v>711</v>
      </c>
      <c r="Q76" s="1" t="s">
        <v>141</v>
      </c>
      <c r="S76" s="1" t="s">
        <v>712</v>
      </c>
      <c r="T76" s="1" t="s">
        <v>142</v>
      </c>
    </row>
    <row r="77" spans="5:20" x14ac:dyDescent="0.15">
      <c r="E77" s="4">
        <f t="shared" si="1"/>
        <v>70</v>
      </c>
      <c r="F77" s="24" t="s">
        <v>456</v>
      </c>
      <c r="G77" s="24" t="s">
        <v>29</v>
      </c>
      <c r="H77" s="24">
        <v>12</v>
      </c>
      <c r="I77" s="24" t="s">
        <v>22</v>
      </c>
      <c r="J77" s="23" t="s">
        <v>417</v>
      </c>
      <c r="K77" s="24">
        <v>36</v>
      </c>
      <c r="L77" s="24" t="s">
        <v>713</v>
      </c>
      <c r="M77" s="24" t="s">
        <v>714</v>
      </c>
      <c r="N77" s="24">
        <v>94</v>
      </c>
      <c r="P77" s="1" t="s">
        <v>715</v>
      </c>
      <c r="Q77" s="1" t="s">
        <v>141</v>
      </c>
      <c r="S77" s="1" t="s">
        <v>716</v>
      </c>
      <c r="T77" s="1" t="s">
        <v>142</v>
      </c>
    </row>
    <row r="78" spans="5:20" x14ac:dyDescent="0.15">
      <c r="E78" s="4">
        <f t="shared" si="1"/>
        <v>71</v>
      </c>
      <c r="F78" s="24" t="s">
        <v>457</v>
      </c>
      <c r="G78" s="24" t="s">
        <v>29</v>
      </c>
      <c r="H78" s="24">
        <v>12</v>
      </c>
      <c r="I78" s="24" t="s">
        <v>22</v>
      </c>
      <c r="J78" s="23" t="s">
        <v>417</v>
      </c>
      <c r="K78" s="24">
        <v>37</v>
      </c>
      <c r="L78" s="24" t="s">
        <v>717</v>
      </c>
      <c r="M78" s="24" t="s">
        <v>718</v>
      </c>
      <c r="N78" s="24">
        <v>97</v>
      </c>
      <c r="P78" s="1" t="s">
        <v>719</v>
      </c>
      <c r="Q78" s="1" t="s">
        <v>141</v>
      </c>
      <c r="S78" s="1" t="s">
        <v>720</v>
      </c>
      <c r="T78" s="1" t="s">
        <v>142</v>
      </c>
    </row>
    <row r="79" spans="5:20" x14ac:dyDescent="0.15">
      <c r="E79" s="4">
        <f t="shared" si="1"/>
        <v>72</v>
      </c>
      <c r="F79" s="24" t="s">
        <v>458</v>
      </c>
      <c r="G79" s="24" t="s">
        <v>29</v>
      </c>
      <c r="H79" s="24">
        <v>12</v>
      </c>
      <c r="I79" s="24" t="s">
        <v>22</v>
      </c>
      <c r="J79" s="23" t="s">
        <v>417</v>
      </c>
      <c r="K79" s="24">
        <v>38</v>
      </c>
      <c r="L79" s="24" t="s">
        <v>721</v>
      </c>
      <c r="M79" s="24" t="s">
        <v>722</v>
      </c>
      <c r="N79" s="24">
        <v>100</v>
      </c>
      <c r="P79" s="1" t="s">
        <v>723</v>
      </c>
      <c r="Q79" s="1" t="s">
        <v>141</v>
      </c>
      <c r="S79" s="1" t="s">
        <v>724</v>
      </c>
      <c r="T79" s="1" t="s">
        <v>142</v>
      </c>
    </row>
    <row r="80" spans="5:20" x14ac:dyDescent="0.15">
      <c r="E80" s="4">
        <f t="shared" si="1"/>
        <v>73</v>
      </c>
      <c r="F80" s="24" t="s">
        <v>459</v>
      </c>
      <c r="G80" s="24" t="s">
        <v>29</v>
      </c>
      <c r="H80" s="24">
        <v>12</v>
      </c>
      <c r="I80" s="24" t="s">
        <v>22</v>
      </c>
      <c r="J80" s="23" t="s">
        <v>417</v>
      </c>
      <c r="K80" s="24">
        <v>39</v>
      </c>
      <c r="L80" s="24" t="s">
        <v>725</v>
      </c>
      <c r="M80" s="24" t="s">
        <v>726</v>
      </c>
      <c r="N80" s="24">
        <v>103</v>
      </c>
      <c r="P80" s="1" t="s">
        <v>727</v>
      </c>
      <c r="Q80" s="1" t="s">
        <v>141</v>
      </c>
      <c r="S80" s="1" t="s">
        <v>728</v>
      </c>
      <c r="T80" s="1" t="s">
        <v>142</v>
      </c>
    </row>
    <row r="81" spans="5:20" x14ac:dyDescent="0.15">
      <c r="E81" s="4">
        <f t="shared" si="1"/>
        <v>74</v>
      </c>
      <c r="F81" s="24" t="s">
        <v>460</v>
      </c>
      <c r="G81" s="24" t="s">
        <v>29</v>
      </c>
      <c r="H81" s="24">
        <v>12</v>
      </c>
      <c r="I81" s="24" t="s">
        <v>22</v>
      </c>
      <c r="J81" s="23" t="s">
        <v>417</v>
      </c>
      <c r="K81" s="24">
        <v>40</v>
      </c>
      <c r="L81" s="24" t="s">
        <v>729</v>
      </c>
      <c r="M81" s="24" t="s">
        <v>730</v>
      </c>
      <c r="N81" s="24">
        <v>106</v>
      </c>
      <c r="P81" s="1" t="s">
        <v>731</v>
      </c>
      <c r="Q81" s="1" t="s">
        <v>141</v>
      </c>
      <c r="S81" s="1" t="s">
        <v>732</v>
      </c>
      <c r="T81" s="1" t="s">
        <v>142</v>
      </c>
    </row>
    <row r="82" spans="5:20" x14ac:dyDescent="0.15">
      <c r="E82" s="4">
        <f t="shared" si="1"/>
        <v>75</v>
      </c>
      <c r="F82" s="24" t="s">
        <v>461</v>
      </c>
      <c r="G82" s="24" t="s">
        <v>29</v>
      </c>
      <c r="H82" s="24">
        <v>12</v>
      </c>
      <c r="I82" s="24" t="s">
        <v>22</v>
      </c>
      <c r="J82" s="23" t="s">
        <v>417</v>
      </c>
      <c r="K82" s="24">
        <v>41</v>
      </c>
      <c r="L82" s="24" t="s">
        <v>733</v>
      </c>
      <c r="M82" s="24" t="s">
        <v>734</v>
      </c>
      <c r="N82" s="24">
        <v>109</v>
      </c>
      <c r="P82" s="1" t="s">
        <v>735</v>
      </c>
      <c r="Q82" s="1" t="s">
        <v>141</v>
      </c>
      <c r="S82" s="1" t="s">
        <v>736</v>
      </c>
      <c r="T82" s="1" t="s">
        <v>142</v>
      </c>
    </row>
    <row r="83" spans="5:20" x14ac:dyDescent="0.15">
      <c r="E83" s="4">
        <f t="shared" si="1"/>
        <v>76</v>
      </c>
      <c r="F83" s="24" t="s">
        <v>462</v>
      </c>
      <c r="G83" s="24" t="s">
        <v>29</v>
      </c>
      <c r="H83" s="24">
        <v>12</v>
      </c>
      <c r="I83" s="24" t="s">
        <v>22</v>
      </c>
      <c r="J83" s="23" t="s">
        <v>417</v>
      </c>
      <c r="K83" s="24">
        <v>42</v>
      </c>
      <c r="L83" s="24" t="s">
        <v>737</v>
      </c>
      <c r="M83" s="24" t="s">
        <v>738</v>
      </c>
      <c r="N83" s="24">
        <v>112</v>
      </c>
      <c r="P83" s="1" t="s">
        <v>739</v>
      </c>
      <c r="Q83" s="1" t="s">
        <v>141</v>
      </c>
      <c r="S83" s="1" t="s">
        <v>740</v>
      </c>
      <c r="T83" s="1" t="s">
        <v>142</v>
      </c>
    </row>
    <row r="84" spans="5:20" x14ac:dyDescent="0.15">
      <c r="E84" s="4">
        <f t="shared" si="1"/>
        <v>77</v>
      </c>
      <c r="F84" s="24" t="s">
        <v>463</v>
      </c>
      <c r="G84" s="24" t="s">
        <v>29</v>
      </c>
      <c r="H84" s="24">
        <v>12</v>
      </c>
      <c r="I84" s="24" t="s">
        <v>22</v>
      </c>
      <c r="J84" s="23" t="s">
        <v>417</v>
      </c>
      <c r="K84" s="24">
        <v>43</v>
      </c>
      <c r="L84" s="24" t="s">
        <v>741</v>
      </c>
      <c r="M84" s="24" t="s">
        <v>742</v>
      </c>
      <c r="N84" s="24">
        <v>115</v>
      </c>
      <c r="P84" s="1" t="s">
        <v>743</v>
      </c>
      <c r="Q84" s="1" t="s">
        <v>141</v>
      </c>
      <c r="S84" s="1" t="s">
        <v>744</v>
      </c>
      <c r="T84" s="1" t="s">
        <v>142</v>
      </c>
    </row>
    <row r="85" spans="5:20" x14ac:dyDescent="0.15">
      <c r="E85" s="4">
        <f t="shared" si="1"/>
        <v>78</v>
      </c>
      <c r="F85" s="24" t="s">
        <v>464</v>
      </c>
      <c r="G85" s="24" t="s">
        <v>29</v>
      </c>
      <c r="H85" s="24">
        <v>12</v>
      </c>
      <c r="I85" s="24" t="s">
        <v>22</v>
      </c>
      <c r="J85" s="23" t="s">
        <v>417</v>
      </c>
      <c r="K85" s="24">
        <v>44</v>
      </c>
      <c r="L85" s="24" t="s">
        <v>745</v>
      </c>
      <c r="M85" s="24" t="s">
        <v>746</v>
      </c>
      <c r="N85" s="24">
        <v>118</v>
      </c>
      <c r="P85" s="1" t="s">
        <v>747</v>
      </c>
      <c r="Q85" s="1" t="s">
        <v>141</v>
      </c>
      <c r="S85" s="1" t="s">
        <v>748</v>
      </c>
      <c r="T85" s="1" t="s">
        <v>142</v>
      </c>
    </row>
    <row r="86" spans="5:20" x14ac:dyDescent="0.15">
      <c r="E86" s="4">
        <f t="shared" si="1"/>
        <v>79</v>
      </c>
      <c r="F86" s="24" t="s">
        <v>465</v>
      </c>
      <c r="G86" s="24" t="s">
        <v>29</v>
      </c>
      <c r="H86" s="24">
        <v>32</v>
      </c>
      <c r="I86" s="24" t="s">
        <v>22</v>
      </c>
      <c r="J86" s="23" t="s">
        <v>417</v>
      </c>
      <c r="K86" s="24">
        <v>45</v>
      </c>
      <c r="L86" s="24" t="s">
        <v>749</v>
      </c>
      <c r="M86" s="24" t="s">
        <v>750</v>
      </c>
      <c r="N86" s="24">
        <v>121</v>
      </c>
      <c r="P86" s="1" t="s">
        <v>751</v>
      </c>
      <c r="Q86" s="1" t="s">
        <v>141</v>
      </c>
      <c r="S86" s="1" t="s">
        <v>752</v>
      </c>
      <c r="T86" s="1" t="s">
        <v>142</v>
      </c>
    </row>
    <row r="87" spans="5:20" x14ac:dyDescent="0.15">
      <c r="E87" s="4">
        <f t="shared" si="1"/>
        <v>80</v>
      </c>
      <c r="F87" s="24" t="s">
        <v>466</v>
      </c>
      <c r="G87" s="24" t="s">
        <v>29</v>
      </c>
      <c r="H87" s="24">
        <v>32</v>
      </c>
      <c r="I87" s="24" t="s">
        <v>22</v>
      </c>
      <c r="J87" s="23" t="s">
        <v>417</v>
      </c>
      <c r="K87" s="24">
        <v>46</v>
      </c>
      <c r="L87" s="24" t="s">
        <v>753</v>
      </c>
      <c r="M87" s="24" t="s">
        <v>754</v>
      </c>
      <c r="N87" s="24">
        <v>129</v>
      </c>
      <c r="P87" s="1" t="s">
        <v>755</v>
      </c>
      <c r="Q87" s="1" t="s">
        <v>141</v>
      </c>
      <c r="S87" s="1" t="s">
        <v>756</v>
      </c>
      <c r="T87" s="1" t="s">
        <v>142</v>
      </c>
    </row>
    <row r="88" spans="5:20" x14ac:dyDescent="0.15">
      <c r="E88" s="4">
        <f t="shared" si="1"/>
        <v>81</v>
      </c>
      <c r="F88" s="24" t="s">
        <v>467</v>
      </c>
      <c r="G88" s="24" t="s">
        <v>29</v>
      </c>
      <c r="H88" s="24">
        <v>32</v>
      </c>
      <c r="I88" s="24" t="s">
        <v>22</v>
      </c>
      <c r="J88" s="23" t="s">
        <v>417</v>
      </c>
      <c r="K88" s="24">
        <v>47</v>
      </c>
      <c r="L88" s="24" t="s">
        <v>757</v>
      </c>
      <c r="M88" s="24" t="s">
        <v>758</v>
      </c>
      <c r="N88" s="24">
        <v>137</v>
      </c>
      <c r="P88" s="1" t="s">
        <v>759</v>
      </c>
      <c r="Q88" s="1" t="s">
        <v>141</v>
      </c>
      <c r="S88" s="1" t="s">
        <v>760</v>
      </c>
      <c r="T88" s="1" t="s">
        <v>142</v>
      </c>
    </row>
    <row r="89" spans="5:20" x14ac:dyDescent="0.15">
      <c r="E89" s="4">
        <f t="shared" si="1"/>
        <v>82</v>
      </c>
      <c r="F89" s="24" t="s">
        <v>468</v>
      </c>
      <c r="G89" s="24" t="s">
        <v>29</v>
      </c>
      <c r="H89" s="24">
        <v>32</v>
      </c>
      <c r="I89" s="24" t="s">
        <v>22</v>
      </c>
      <c r="J89" s="23" t="s">
        <v>417</v>
      </c>
      <c r="K89" s="24">
        <v>48</v>
      </c>
      <c r="L89" s="24" t="s">
        <v>761</v>
      </c>
      <c r="M89" s="24" t="s">
        <v>762</v>
      </c>
      <c r="N89" s="24">
        <v>145</v>
      </c>
      <c r="P89" s="1" t="s">
        <v>763</v>
      </c>
      <c r="Q89" s="1" t="s">
        <v>141</v>
      </c>
      <c r="S89" s="1" t="s">
        <v>764</v>
      </c>
      <c r="T89" s="1" t="s">
        <v>142</v>
      </c>
    </row>
    <row r="90" spans="5:20" x14ac:dyDescent="0.15">
      <c r="E90" s="4">
        <f t="shared" si="1"/>
        <v>83</v>
      </c>
      <c r="F90" s="24" t="s">
        <v>469</v>
      </c>
      <c r="G90" s="24" t="s">
        <v>29</v>
      </c>
      <c r="H90" s="24">
        <v>32</v>
      </c>
      <c r="I90" s="24" t="s">
        <v>22</v>
      </c>
      <c r="J90" s="23" t="s">
        <v>417</v>
      </c>
      <c r="K90" s="24">
        <v>49</v>
      </c>
      <c r="L90" s="24" t="s">
        <v>765</v>
      </c>
      <c r="M90" s="24" t="s">
        <v>766</v>
      </c>
      <c r="N90" s="24">
        <v>153</v>
      </c>
      <c r="P90" s="1" t="s">
        <v>767</v>
      </c>
      <c r="Q90" s="1" t="s">
        <v>141</v>
      </c>
      <c r="S90" s="1" t="s">
        <v>768</v>
      </c>
      <c r="T90" s="1" t="s">
        <v>142</v>
      </c>
    </row>
    <row r="91" spans="5:20" x14ac:dyDescent="0.15">
      <c r="E91" s="4">
        <f t="shared" si="1"/>
        <v>84</v>
      </c>
      <c r="F91" s="24" t="s">
        <v>470</v>
      </c>
      <c r="G91" s="24" t="s">
        <v>29</v>
      </c>
      <c r="H91" s="24">
        <v>32</v>
      </c>
      <c r="I91" s="24" t="s">
        <v>22</v>
      </c>
      <c r="J91" s="23" t="s">
        <v>417</v>
      </c>
      <c r="K91" s="24">
        <v>50</v>
      </c>
      <c r="L91" s="24" t="s">
        <v>769</v>
      </c>
      <c r="M91" s="24" t="s">
        <v>770</v>
      </c>
      <c r="N91" s="24">
        <v>161</v>
      </c>
      <c r="P91" s="1" t="s">
        <v>771</v>
      </c>
      <c r="Q91" s="1" t="s">
        <v>141</v>
      </c>
      <c r="S91" s="1" t="s">
        <v>772</v>
      </c>
      <c r="T91" s="1" t="s">
        <v>142</v>
      </c>
    </row>
    <row r="92" spans="5:20" x14ac:dyDescent="0.15">
      <c r="E92" s="4">
        <f t="shared" si="1"/>
        <v>85</v>
      </c>
      <c r="F92" s="24" t="s">
        <v>471</v>
      </c>
      <c r="G92" s="24" t="s">
        <v>29</v>
      </c>
      <c r="H92" s="24">
        <v>32</v>
      </c>
      <c r="I92" s="24" t="s">
        <v>22</v>
      </c>
      <c r="J92" s="23" t="s">
        <v>417</v>
      </c>
      <c r="K92" s="24">
        <v>51</v>
      </c>
      <c r="L92" s="24" t="s">
        <v>773</v>
      </c>
      <c r="M92" s="24" t="s">
        <v>774</v>
      </c>
      <c r="N92" s="24">
        <v>169</v>
      </c>
      <c r="P92" s="1" t="s">
        <v>775</v>
      </c>
      <c r="Q92" s="1" t="s">
        <v>141</v>
      </c>
      <c r="S92" s="1" t="s">
        <v>776</v>
      </c>
      <c r="T92" s="1" t="s">
        <v>142</v>
      </c>
    </row>
    <row r="93" spans="5:20" x14ac:dyDescent="0.15">
      <c r="E93" s="4">
        <f t="shared" si="1"/>
        <v>86</v>
      </c>
      <c r="F93" s="24" t="s">
        <v>472</v>
      </c>
      <c r="G93" s="24" t="s">
        <v>29</v>
      </c>
      <c r="H93" s="24">
        <v>32</v>
      </c>
      <c r="I93" s="24" t="s">
        <v>22</v>
      </c>
      <c r="J93" s="23" t="s">
        <v>417</v>
      </c>
      <c r="K93" s="24">
        <v>52</v>
      </c>
      <c r="L93" s="24" t="s">
        <v>777</v>
      </c>
      <c r="M93" s="24" t="s">
        <v>778</v>
      </c>
      <c r="N93" s="24">
        <v>177</v>
      </c>
      <c r="P93" s="1" t="s">
        <v>779</v>
      </c>
      <c r="Q93" s="1" t="s">
        <v>141</v>
      </c>
      <c r="S93" s="1" t="s">
        <v>780</v>
      </c>
      <c r="T93" s="1" t="s">
        <v>142</v>
      </c>
    </row>
    <row r="94" spans="5:20" x14ac:dyDescent="0.15">
      <c r="E94" s="4">
        <f t="shared" si="1"/>
        <v>87</v>
      </c>
      <c r="F94" s="24" t="s">
        <v>473</v>
      </c>
      <c r="G94" s="24" t="s">
        <v>29</v>
      </c>
      <c r="H94" s="24">
        <v>32</v>
      </c>
      <c r="I94" s="24" t="s">
        <v>22</v>
      </c>
      <c r="J94" s="23" t="s">
        <v>417</v>
      </c>
      <c r="K94" s="24">
        <v>53</v>
      </c>
      <c r="L94" s="24" t="s">
        <v>781</v>
      </c>
      <c r="M94" s="24" t="s">
        <v>782</v>
      </c>
      <c r="N94" s="24">
        <v>185</v>
      </c>
      <c r="P94" s="1" t="s">
        <v>783</v>
      </c>
      <c r="Q94" s="1" t="s">
        <v>141</v>
      </c>
      <c r="S94" s="1" t="s">
        <v>784</v>
      </c>
      <c r="T94" s="1" t="s">
        <v>142</v>
      </c>
    </row>
    <row r="95" spans="5:20" x14ac:dyDescent="0.15">
      <c r="E95" s="4">
        <f t="shared" si="1"/>
        <v>88</v>
      </c>
      <c r="F95" s="24" t="s">
        <v>474</v>
      </c>
      <c r="G95" s="24" t="s">
        <v>29</v>
      </c>
      <c r="H95" s="24">
        <v>32</v>
      </c>
      <c r="I95" s="24" t="s">
        <v>22</v>
      </c>
      <c r="J95" s="23" t="s">
        <v>417</v>
      </c>
      <c r="K95" s="24">
        <v>54</v>
      </c>
      <c r="L95" s="24" t="s">
        <v>785</v>
      </c>
      <c r="M95" s="24" t="s">
        <v>786</v>
      </c>
      <c r="N95" s="24">
        <v>193</v>
      </c>
      <c r="P95" s="1" t="s">
        <v>787</v>
      </c>
      <c r="Q95" s="1" t="s">
        <v>141</v>
      </c>
      <c r="S95" s="1" t="s">
        <v>788</v>
      </c>
      <c r="T95" s="1" t="s">
        <v>142</v>
      </c>
    </row>
    <row r="96" spans="5:20" x14ac:dyDescent="0.15">
      <c r="E96" s="4">
        <f t="shared" si="1"/>
        <v>89</v>
      </c>
      <c r="F96" s="24" t="s">
        <v>475</v>
      </c>
      <c r="G96" s="24" t="s">
        <v>29</v>
      </c>
      <c r="H96" s="24">
        <v>32</v>
      </c>
      <c r="I96" s="24" t="s">
        <v>22</v>
      </c>
      <c r="J96" s="23" t="s">
        <v>417</v>
      </c>
      <c r="K96" s="24">
        <v>55</v>
      </c>
      <c r="L96" s="24" t="s">
        <v>789</v>
      </c>
      <c r="M96" s="24" t="s">
        <v>790</v>
      </c>
      <c r="N96" s="24">
        <v>201</v>
      </c>
      <c r="P96" s="1" t="s">
        <v>791</v>
      </c>
      <c r="Q96" s="1" t="s">
        <v>141</v>
      </c>
      <c r="S96" s="1" t="s">
        <v>792</v>
      </c>
      <c r="T96" s="1" t="s">
        <v>142</v>
      </c>
    </row>
    <row r="97" spans="5:20" x14ac:dyDescent="0.15">
      <c r="E97" s="4">
        <f t="shared" si="1"/>
        <v>90</v>
      </c>
      <c r="F97" s="24" t="s">
        <v>476</v>
      </c>
      <c r="G97" s="24" t="s">
        <v>29</v>
      </c>
      <c r="H97" s="24">
        <v>32</v>
      </c>
      <c r="I97" s="24" t="s">
        <v>22</v>
      </c>
      <c r="J97" s="23" t="s">
        <v>417</v>
      </c>
      <c r="K97" s="24">
        <v>56</v>
      </c>
      <c r="L97" s="24" t="s">
        <v>793</v>
      </c>
      <c r="M97" s="24" t="s">
        <v>794</v>
      </c>
      <c r="N97" s="24">
        <v>209</v>
      </c>
      <c r="P97" s="1" t="s">
        <v>795</v>
      </c>
      <c r="Q97" s="1" t="s">
        <v>141</v>
      </c>
      <c r="S97" s="1" t="s">
        <v>796</v>
      </c>
      <c r="T97" s="1" t="s">
        <v>142</v>
      </c>
    </row>
    <row r="98" spans="5:20" x14ac:dyDescent="0.15">
      <c r="E98" s="4">
        <f t="shared" si="1"/>
        <v>91</v>
      </c>
      <c r="F98" s="24" t="s">
        <v>477</v>
      </c>
      <c r="G98" s="24" t="s">
        <v>29</v>
      </c>
      <c r="H98" s="24">
        <v>32</v>
      </c>
      <c r="I98" s="24" t="s">
        <v>22</v>
      </c>
      <c r="J98" s="23" t="s">
        <v>417</v>
      </c>
      <c r="K98" s="24">
        <v>57</v>
      </c>
      <c r="L98" s="24" t="s">
        <v>797</v>
      </c>
      <c r="M98" s="24" t="s">
        <v>798</v>
      </c>
      <c r="N98" s="24">
        <v>217</v>
      </c>
      <c r="P98" s="1" t="s">
        <v>799</v>
      </c>
      <c r="Q98" s="1" t="s">
        <v>141</v>
      </c>
      <c r="S98" s="1" t="s">
        <v>800</v>
      </c>
      <c r="T98" s="1" t="s">
        <v>142</v>
      </c>
    </row>
    <row r="99" spans="5:20" x14ac:dyDescent="0.15">
      <c r="E99" s="4">
        <f t="shared" si="1"/>
        <v>92</v>
      </c>
      <c r="F99" s="24" t="s">
        <v>478</v>
      </c>
      <c r="G99" s="24" t="s">
        <v>29</v>
      </c>
      <c r="H99" s="24">
        <v>32</v>
      </c>
      <c r="I99" s="24" t="s">
        <v>22</v>
      </c>
      <c r="J99" s="23" t="s">
        <v>417</v>
      </c>
      <c r="K99" s="24">
        <v>58</v>
      </c>
      <c r="L99" s="24" t="s">
        <v>801</v>
      </c>
      <c r="M99" s="24" t="s">
        <v>802</v>
      </c>
      <c r="N99" s="24">
        <v>225</v>
      </c>
      <c r="P99" s="1" t="s">
        <v>803</v>
      </c>
      <c r="Q99" s="1" t="s">
        <v>141</v>
      </c>
      <c r="S99" s="1" t="s">
        <v>804</v>
      </c>
      <c r="T99" s="1" t="s">
        <v>142</v>
      </c>
    </row>
    <row r="100" spans="5:20" x14ac:dyDescent="0.15">
      <c r="E100" s="4">
        <f t="shared" si="1"/>
        <v>93</v>
      </c>
      <c r="F100" s="24" t="s">
        <v>479</v>
      </c>
      <c r="G100" s="24" t="s">
        <v>29</v>
      </c>
      <c r="H100" s="24">
        <v>32</v>
      </c>
      <c r="I100" s="24" t="s">
        <v>22</v>
      </c>
      <c r="J100" s="23" t="s">
        <v>417</v>
      </c>
      <c r="K100" s="24">
        <v>59</v>
      </c>
      <c r="L100" s="24" t="s">
        <v>805</v>
      </c>
      <c r="M100" s="24" t="s">
        <v>806</v>
      </c>
      <c r="N100" s="24">
        <v>233</v>
      </c>
      <c r="P100" s="1" t="s">
        <v>807</v>
      </c>
      <c r="Q100" s="1" t="s">
        <v>141</v>
      </c>
      <c r="S100" s="1" t="s">
        <v>808</v>
      </c>
      <c r="T100" s="1" t="s">
        <v>142</v>
      </c>
    </row>
    <row r="101" spans="5:20" x14ac:dyDescent="0.15">
      <c r="E101" s="4">
        <f t="shared" si="1"/>
        <v>94</v>
      </c>
      <c r="F101" s="24" t="s">
        <v>480</v>
      </c>
      <c r="G101" s="24" t="s">
        <v>29</v>
      </c>
      <c r="H101" s="24">
        <v>32</v>
      </c>
      <c r="I101" s="24" t="s">
        <v>22</v>
      </c>
      <c r="J101" s="23" t="s">
        <v>417</v>
      </c>
      <c r="K101" s="24">
        <v>60</v>
      </c>
      <c r="L101" s="24" t="s">
        <v>809</v>
      </c>
      <c r="M101" s="24" t="s">
        <v>810</v>
      </c>
      <c r="N101" s="24">
        <v>241</v>
      </c>
      <c r="P101" s="1" t="s">
        <v>811</v>
      </c>
      <c r="Q101" s="1" t="s">
        <v>141</v>
      </c>
      <c r="S101" s="1" t="s">
        <v>812</v>
      </c>
      <c r="T101" s="1" t="s">
        <v>142</v>
      </c>
    </row>
    <row r="102" spans="5:20" x14ac:dyDescent="0.15">
      <c r="E102" s="4">
        <f t="shared" si="1"/>
        <v>95</v>
      </c>
      <c r="F102" s="24" t="s">
        <v>481</v>
      </c>
      <c r="G102" s="24" t="s">
        <v>29</v>
      </c>
      <c r="H102" s="24">
        <v>32</v>
      </c>
      <c r="I102" s="24" t="s">
        <v>22</v>
      </c>
      <c r="J102" s="23" t="s">
        <v>417</v>
      </c>
      <c r="K102" s="24">
        <v>61</v>
      </c>
      <c r="L102" s="24" t="s">
        <v>813</v>
      </c>
      <c r="M102" s="24" t="s">
        <v>814</v>
      </c>
      <c r="N102" s="24">
        <v>249</v>
      </c>
      <c r="P102" s="1" t="s">
        <v>815</v>
      </c>
      <c r="Q102" s="1" t="s">
        <v>141</v>
      </c>
      <c r="S102" s="1" t="s">
        <v>816</v>
      </c>
      <c r="T102" s="1" t="s">
        <v>142</v>
      </c>
    </row>
    <row r="103" spans="5:20" x14ac:dyDescent="0.15">
      <c r="E103" s="4">
        <f t="shared" si="1"/>
        <v>96</v>
      </c>
      <c r="F103" s="24" t="s">
        <v>482</v>
      </c>
      <c r="G103" s="24" t="s">
        <v>29</v>
      </c>
      <c r="H103" s="24">
        <v>32</v>
      </c>
      <c r="I103" s="24" t="s">
        <v>22</v>
      </c>
      <c r="J103" s="23" t="s">
        <v>417</v>
      </c>
      <c r="K103" s="24">
        <v>62</v>
      </c>
      <c r="L103" s="24" t="s">
        <v>817</v>
      </c>
      <c r="M103" s="24" t="s">
        <v>818</v>
      </c>
      <c r="N103" s="24">
        <v>257</v>
      </c>
      <c r="P103" s="1" t="s">
        <v>819</v>
      </c>
      <c r="Q103" s="1" t="s">
        <v>141</v>
      </c>
      <c r="S103" s="1" t="s">
        <v>820</v>
      </c>
      <c r="T103" s="1" t="s">
        <v>142</v>
      </c>
    </row>
    <row r="104" spans="5:20" x14ac:dyDescent="0.15">
      <c r="E104" s="4">
        <f t="shared" si="1"/>
        <v>97</v>
      </c>
      <c r="F104" s="24" t="s">
        <v>483</v>
      </c>
      <c r="G104" s="24" t="s">
        <v>29</v>
      </c>
      <c r="H104" s="24">
        <v>32</v>
      </c>
      <c r="I104" s="24" t="s">
        <v>22</v>
      </c>
      <c r="J104" s="23" t="s">
        <v>417</v>
      </c>
      <c r="K104" s="24">
        <v>63</v>
      </c>
      <c r="L104" s="24" t="s">
        <v>821</v>
      </c>
      <c r="M104" s="24" t="s">
        <v>822</v>
      </c>
      <c r="N104" s="24">
        <v>265</v>
      </c>
      <c r="P104" s="1" t="s">
        <v>823</v>
      </c>
      <c r="Q104" s="1" t="s">
        <v>141</v>
      </c>
      <c r="S104" s="1" t="s">
        <v>824</v>
      </c>
      <c r="T104" s="1" t="s">
        <v>142</v>
      </c>
    </row>
    <row r="105" spans="5:20" x14ac:dyDescent="0.15">
      <c r="E105" s="4">
        <f t="shared" si="1"/>
        <v>98</v>
      </c>
      <c r="F105" s="24" t="s">
        <v>484</v>
      </c>
      <c r="G105" s="24" t="s">
        <v>29</v>
      </c>
      <c r="H105" s="24">
        <v>32</v>
      </c>
      <c r="I105" s="24" t="s">
        <v>22</v>
      </c>
      <c r="J105" s="23" t="s">
        <v>417</v>
      </c>
      <c r="K105" s="24">
        <v>64</v>
      </c>
      <c r="L105" s="24" t="s">
        <v>825</v>
      </c>
      <c r="M105" s="24" t="s">
        <v>826</v>
      </c>
      <c r="N105" s="24">
        <v>273</v>
      </c>
      <c r="P105" s="1" t="s">
        <v>827</v>
      </c>
      <c r="Q105" s="1" t="s">
        <v>141</v>
      </c>
      <c r="S105" s="1" t="s">
        <v>828</v>
      </c>
      <c r="T105" s="1" t="s">
        <v>142</v>
      </c>
    </row>
    <row r="106" spans="5:20" x14ac:dyDescent="0.15">
      <c r="E106" s="4">
        <f t="shared" si="1"/>
        <v>99</v>
      </c>
      <c r="F106" s="24" t="s">
        <v>485</v>
      </c>
      <c r="G106" s="24" t="s">
        <v>29</v>
      </c>
      <c r="H106" s="24">
        <v>32</v>
      </c>
      <c r="I106" s="24" t="s">
        <v>22</v>
      </c>
      <c r="J106" s="23" t="s">
        <v>417</v>
      </c>
      <c r="K106" s="24">
        <v>65</v>
      </c>
      <c r="L106" s="24" t="s">
        <v>829</v>
      </c>
      <c r="M106" s="24" t="s">
        <v>830</v>
      </c>
      <c r="N106" s="24">
        <v>281</v>
      </c>
      <c r="P106" s="1" t="s">
        <v>831</v>
      </c>
      <c r="Q106" s="1" t="s">
        <v>141</v>
      </c>
      <c r="S106" s="1" t="s">
        <v>832</v>
      </c>
      <c r="T106" s="1" t="s">
        <v>142</v>
      </c>
    </row>
    <row r="107" spans="5:20" x14ac:dyDescent="0.15">
      <c r="E107" s="4">
        <f t="shared" si="1"/>
        <v>100</v>
      </c>
      <c r="F107" s="24" t="s">
        <v>486</v>
      </c>
      <c r="G107" s="24" t="s">
        <v>29</v>
      </c>
      <c r="H107" s="24">
        <v>8</v>
      </c>
      <c r="I107" s="24" t="s">
        <v>22</v>
      </c>
      <c r="J107" s="23" t="s">
        <v>417</v>
      </c>
      <c r="K107" s="24">
        <v>66</v>
      </c>
      <c r="L107" s="24" t="s">
        <v>833</v>
      </c>
      <c r="M107" s="24" t="s">
        <v>834</v>
      </c>
      <c r="N107" s="24">
        <v>289</v>
      </c>
      <c r="P107" s="1" t="s">
        <v>835</v>
      </c>
      <c r="Q107" s="1" t="s">
        <v>141</v>
      </c>
      <c r="S107" s="1" t="s">
        <v>1059</v>
      </c>
      <c r="T107" s="1" t="s">
        <v>142</v>
      </c>
    </row>
    <row r="108" spans="5:20" x14ac:dyDescent="0.15">
      <c r="E108" s="4">
        <f t="shared" si="1"/>
        <v>101</v>
      </c>
      <c r="F108" s="24" t="s">
        <v>487</v>
      </c>
      <c r="G108" s="24" t="s">
        <v>11</v>
      </c>
      <c r="H108" s="24" t="s">
        <v>90</v>
      </c>
      <c r="I108" s="24" t="s">
        <v>21</v>
      </c>
      <c r="J108" s="23" t="s">
        <v>417</v>
      </c>
      <c r="K108" s="24">
        <v>1</v>
      </c>
      <c r="L108" s="24" t="s">
        <v>836</v>
      </c>
      <c r="M108" s="24" t="s">
        <v>837</v>
      </c>
      <c r="N108" s="24" t="s">
        <v>90</v>
      </c>
      <c r="P108" s="1" t="s">
        <v>838</v>
      </c>
      <c r="Q108" s="1" t="s">
        <v>137</v>
      </c>
    </row>
    <row r="109" spans="5:20" x14ac:dyDescent="0.15">
      <c r="E109" s="4">
        <f t="shared" si="1"/>
        <v>102</v>
      </c>
      <c r="F109" s="24" t="s">
        <v>331</v>
      </c>
      <c r="G109" s="24" t="s">
        <v>7</v>
      </c>
      <c r="H109" s="24" t="s">
        <v>90</v>
      </c>
      <c r="I109" s="24" t="s">
        <v>20</v>
      </c>
      <c r="J109" s="23" t="s">
        <v>417</v>
      </c>
      <c r="K109" s="24">
        <v>3</v>
      </c>
      <c r="L109" s="24" t="s">
        <v>348</v>
      </c>
      <c r="M109" s="24" t="s">
        <v>370</v>
      </c>
      <c r="N109" s="24" t="s">
        <v>90</v>
      </c>
      <c r="P109" s="1" t="s">
        <v>409</v>
      </c>
      <c r="Q109" s="1" t="s">
        <v>130</v>
      </c>
    </row>
    <row r="110" spans="5:20" x14ac:dyDescent="0.15">
      <c r="E110" s="4">
        <f t="shared" si="1"/>
        <v>103</v>
      </c>
      <c r="F110" s="24" t="s">
        <v>356</v>
      </c>
      <c r="G110" s="24" t="s">
        <v>7</v>
      </c>
      <c r="H110" s="24" t="s">
        <v>90</v>
      </c>
      <c r="I110" s="24" t="s">
        <v>20</v>
      </c>
      <c r="J110" s="23" t="s">
        <v>417</v>
      </c>
      <c r="K110" s="24">
        <v>4</v>
      </c>
      <c r="L110" s="24" t="s">
        <v>360</v>
      </c>
      <c r="M110" s="24" t="s">
        <v>372</v>
      </c>
      <c r="N110" s="24" t="s">
        <v>90</v>
      </c>
      <c r="P110" s="1" t="s">
        <v>410</v>
      </c>
      <c r="Q110" s="1" t="s">
        <v>130</v>
      </c>
    </row>
    <row r="111" spans="5:20" x14ac:dyDescent="0.15">
      <c r="E111" s="4">
        <f t="shared" si="1"/>
        <v>104</v>
      </c>
      <c r="F111" s="24" t="s">
        <v>367</v>
      </c>
      <c r="G111" s="24" t="s">
        <v>7</v>
      </c>
      <c r="H111" s="24" t="s">
        <v>90</v>
      </c>
      <c r="I111" s="24" t="s">
        <v>20</v>
      </c>
      <c r="J111" s="23" t="s">
        <v>417</v>
      </c>
      <c r="K111" s="24">
        <v>5</v>
      </c>
      <c r="L111" s="24" t="s">
        <v>369</v>
      </c>
      <c r="M111" s="24" t="s">
        <v>394</v>
      </c>
      <c r="N111" s="24" t="s">
        <v>90</v>
      </c>
      <c r="P111" s="1" t="s">
        <v>411</v>
      </c>
      <c r="Q111" s="1" t="s">
        <v>130</v>
      </c>
    </row>
    <row r="112" spans="5:20" x14ac:dyDescent="0.15">
      <c r="E112" s="4">
        <f t="shared" si="1"/>
        <v>105</v>
      </c>
      <c r="F112" s="24" t="s">
        <v>368</v>
      </c>
      <c r="G112" s="24" t="s">
        <v>7</v>
      </c>
      <c r="H112" s="24" t="s">
        <v>90</v>
      </c>
      <c r="I112" s="24" t="s">
        <v>20</v>
      </c>
      <c r="J112" s="23" t="s">
        <v>417</v>
      </c>
      <c r="K112" s="24">
        <v>6</v>
      </c>
      <c r="L112" s="24" t="s">
        <v>371</v>
      </c>
      <c r="M112" s="24" t="s">
        <v>412</v>
      </c>
      <c r="N112" s="24" t="s">
        <v>90</v>
      </c>
      <c r="P112" s="1" t="s">
        <v>413</v>
      </c>
      <c r="Q112" s="1" t="s">
        <v>130</v>
      </c>
    </row>
    <row r="113" spans="5:17" x14ac:dyDescent="0.15">
      <c r="E113" s="4">
        <f t="shared" si="1"/>
        <v>106</v>
      </c>
      <c r="F113" s="24" t="s">
        <v>375</v>
      </c>
      <c r="G113" s="24" t="s">
        <v>7</v>
      </c>
      <c r="H113" s="24" t="s">
        <v>90</v>
      </c>
      <c r="I113" s="24" t="s">
        <v>20</v>
      </c>
      <c r="J113" s="23" t="s">
        <v>417</v>
      </c>
      <c r="K113" s="24">
        <v>7</v>
      </c>
      <c r="L113" s="24" t="s">
        <v>393</v>
      </c>
      <c r="M113" s="24" t="s">
        <v>414</v>
      </c>
      <c r="N113" s="24" t="s">
        <v>90</v>
      </c>
      <c r="P113" s="1" t="s">
        <v>415</v>
      </c>
      <c r="Q113" s="1" t="s">
        <v>130</v>
      </c>
    </row>
    <row r="114" spans="5:17" x14ac:dyDescent="0.15">
      <c r="E114" s="4">
        <f t="shared" si="1"/>
        <v>107</v>
      </c>
      <c r="F114" s="24" t="s">
        <v>488</v>
      </c>
      <c r="G114" s="24" t="s">
        <v>7</v>
      </c>
      <c r="H114" s="24" t="s">
        <v>90</v>
      </c>
      <c r="I114" s="24" t="s">
        <v>20</v>
      </c>
      <c r="J114" s="23" t="s">
        <v>417</v>
      </c>
      <c r="K114" s="24">
        <v>8</v>
      </c>
      <c r="L114" s="24" t="s">
        <v>839</v>
      </c>
      <c r="M114" s="24" t="s">
        <v>840</v>
      </c>
      <c r="N114" s="24" t="s">
        <v>90</v>
      </c>
      <c r="P114" s="1" t="s">
        <v>841</v>
      </c>
      <c r="Q114" s="1" t="s">
        <v>130</v>
      </c>
    </row>
    <row r="115" spans="5:17" x14ac:dyDescent="0.15">
      <c r="E115" s="4">
        <f t="shared" si="1"/>
        <v>108</v>
      </c>
      <c r="F115" s="24" t="s">
        <v>489</v>
      </c>
      <c r="G115" s="24" t="s">
        <v>7</v>
      </c>
      <c r="H115" s="24" t="s">
        <v>90</v>
      </c>
      <c r="I115" s="24" t="s">
        <v>22</v>
      </c>
      <c r="J115" s="23" t="s">
        <v>417</v>
      </c>
      <c r="K115" s="24">
        <v>1</v>
      </c>
      <c r="L115" s="24" t="s">
        <v>842</v>
      </c>
      <c r="M115" s="24" t="s">
        <v>843</v>
      </c>
      <c r="N115" s="24" t="s">
        <v>90</v>
      </c>
      <c r="P115" s="1" t="s">
        <v>844</v>
      </c>
      <c r="Q115" s="1" t="s">
        <v>138</v>
      </c>
    </row>
    <row r="116" spans="5:17" x14ac:dyDescent="0.15">
      <c r="E116" s="4">
        <f t="shared" si="1"/>
        <v>109</v>
      </c>
      <c r="F116" s="24" t="s">
        <v>490</v>
      </c>
      <c r="G116" s="24" t="s">
        <v>7</v>
      </c>
      <c r="H116" s="24" t="s">
        <v>90</v>
      </c>
      <c r="I116" s="24" t="s">
        <v>22</v>
      </c>
      <c r="J116" s="23" t="s">
        <v>417</v>
      </c>
      <c r="K116" s="24">
        <v>2</v>
      </c>
      <c r="L116" s="24" t="s">
        <v>845</v>
      </c>
      <c r="M116" s="24" t="s">
        <v>846</v>
      </c>
      <c r="N116" s="24" t="s">
        <v>90</v>
      </c>
      <c r="P116" s="1" t="s">
        <v>847</v>
      </c>
      <c r="Q116" s="1" t="s">
        <v>138</v>
      </c>
    </row>
    <row r="117" spans="5:17" x14ac:dyDescent="0.15">
      <c r="E117" s="4">
        <f t="shared" si="1"/>
        <v>110</v>
      </c>
      <c r="F117" s="24" t="s">
        <v>491</v>
      </c>
      <c r="G117" s="24" t="s">
        <v>7</v>
      </c>
      <c r="H117" s="24" t="s">
        <v>90</v>
      </c>
      <c r="I117" s="24" t="s">
        <v>22</v>
      </c>
      <c r="J117" s="23" t="s">
        <v>417</v>
      </c>
      <c r="K117" s="24">
        <v>3</v>
      </c>
      <c r="L117" s="24" t="s">
        <v>848</v>
      </c>
      <c r="M117" s="24" t="s">
        <v>849</v>
      </c>
      <c r="N117" s="24" t="s">
        <v>90</v>
      </c>
      <c r="P117" s="1" t="s">
        <v>850</v>
      </c>
      <c r="Q117" s="1" t="s">
        <v>138</v>
      </c>
    </row>
    <row r="118" spans="5:17" x14ac:dyDescent="0.15">
      <c r="E118" s="4">
        <f t="shared" si="1"/>
        <v>111</v>
      </c>
      <c r="F118" s="24" t="s">
        <v>492</v>
      </c>
      <c r="G118" s="24" t="s">
        <v>7</v>
      </c>
      <c r="H118" s="24" t="s">
        <v>90</v>
      </c>
      <c r="I118" s="24" t="s">
        <v>22</v>
      </c>
      <c r="J118" s="23" t="s">
        <v>417</v>
      </c>
      <c r="K118" s="24">
        <v>4</v>
      </c>
      <c r="L118" s="24" t="s">
        <v>851</v>
      </c>
      <c r="M118" s="24" t="s">
        <v>852</v>
      </c>
      <c r="N118" s="24" t="s">
        <v>90</v>
      </c>
      <c r="P118" s="1" t="s">
        <v>853</v>
      </c>
      <c r="Q118" s="1" t="s">
        <v>138</v>
      </c>
    </row>
    <row r="119" spans="5:17" x14ac:dyDescent="0.15">
      <c r="E119" s="4">
        <f t="shared" si="1"/>
        <v>112</v>
      </c>
      <c r="F119" s="24" t="s">
        <v>493</v>
      </c>
      <c r="G119" s="24" t="s">
        <v>7</v>
      </c>
      <c r="H119" s="24" t="s">
        <v>90</v>
      </c>
      <c r="I119" s="24" t="s">
        <v>22</v>
      </c>
      <c r="J119" s="23" t="s">
        <v>417</v>
      </c>
      <c r="K119" s="24">
        <v>5</v>
      </c>
      <c r="L119" s="24" t="s">
        <v>854</v>
      </c>
      <c r="M119" s="24" t="s">
        <v>855</v>
      </c>
      <c r="N119" s="24" t="s">
        <v>90</v>
      </c>
      <c r="P119" s="1" t="s">
        <v>856</v>
      </c>
      <c r="Q119" s="1" t="s">
        <v>138</v>
      </c>
    </row>
    <row r="120" spans="5:17" x14ac:dyDescent="0.15">
      <c r="E120" s="4">
        <f t="shared" si="1"/>
        <v>113</v>
      </c>
      <c r="F120" s="24" t="s">
        <v>494</v>
      </c>
      <c r="G120" s="24" t="s">
        <v>7</v>
      </c>
      <c r="H120" s="24" t="s">
        <v>90</v>
      </c>
      <c r="I120" s="24" t="s">
        <v>22</v>
      </c>
      <c r="J120" s="23" t="s">
        <v>417</v>
      </c>
      <c r="K120" s="24">
        <v>6</v>
      </c>
      <c r="L120" s="24" t="s">
        <v>857</v>
      </c>
      <c r="M120" s="24" t="s">
        <v>858</v>
      </c>
      <c r="N120" s="24" t="s">
        <v>90</v>
      </c>
      <c r="P120" s="1" t="s">
        <v>859</v>
      </c>
      <c r="Q120" s="1" t="s">
        <v>138</v>
      </c>
    </row>
    <row r="121" spans="5:17" x14ac:dyDescent="0.15">
      <c r="E121" s="4">
        <f t="shared" si="1"/>
        <v>114</v>
      </c>
      <c r="F121" s="24" t="s">
        <v>495</v>
      </c>
      <c r="G121" s="24" t="s">
        <v>7</v>
      </c>
      <c r="H121" s="24" t="s">
        <v>90</v>
      </c>
      <c r="I121" s="24" t="s">
        <v>22</v>
      </c>
      <c r="J121" s="23" t="s">
        <v>417</v>
      </c>
      <c r="K121" s="24">
        <v>7</v>
      </c>
      <c r="L121" s="24" t="s">
        <v>860</v>
      </c>
      <c r="M121" s="24" t="s">
        <v>861</v>
      </c>
      <c r="N121" s="24" t="s">
        <v>90</v>
      </c>
      <c r="P121" s="1" t="s">
        <v>862</v>
      </c>
      <c r="Q121" s="1" t="s">
        <v>138</v>
      </c>
    </row>
    <row r="122" spans="5:17" x14ac:dyDescent="0.15">
      <c r="E122" s="4">
        <f t="shared" si="1"/>
        <v>115</v>
      </c>
      <c r="F122" s="24" t="s">
        <v>496</v>
      </c>
      <c r="G122" s="24" t="s">
        <v>7</v>
      </c>
      <c r="H122" s="24" t="s">
        <v>90</v>
      </c>
      <c r="I122" s="24" t="s">
        <v>22</v>
      </c>
      <c r="J122" s="23" t="s">
        <v>417</v>
      </c>
      <c r="K122" s="24">
        <v>8</v>
      </c>
      <c r="L122" s="24" t="s">
        <v>863</v>
      </c>
      <c r="M122" s="24" t="s">
        <v>864</v>
      </c>
      <c r="N122" s="24" t="s">
        <v>90</v>
      </c>
      <c r="P122" s="1" t="s">
        <v>865</v>
      </c>
      <c r="Q122" s="1" t="s">
        <v>138</v>
      </c>
    </row>
    <row r="123" spans="5:17" x14ac:dyDescent="0.15">
      <c r="E123" s="4">
        <f t="shared" si="1"/>
        <v>116</v>
      </c>
      <c r="F123" s="24" t="s">
        <v>497</v>
      </c>
      <c r="G123" s="24" t="s">
        <v>7</v>
      </c>
      <c r="H123" s="24" t="s">
        <v>90</v>
      </c>
      <c r="I123" s="24" t="s">
        <v>22</v>
      </c>
      <c r="J123" s="23" t="s">
        <v>417</v>
      </c>
      <c r="K123" s="24">
        <v>9</v>
      </c>
      <c r="L123" s="24" t="s">
        <v>866</v>
      </c>
      <c r="M123" s="24" t="s">
        <v>867</v>
      </c>
      <c r="N123" s="24" t="s">
        <v>90</v>
      </c>
      <c r="P123" s="1" t="s">
        <v>868</v>
      </c>
      <c r="Q123" s="1" t="s">
        <v>138</v>
      </c>
    </row>
    <row r="124" spans="5:17" x14ac:dyDescent="0.15">
      <c r="E124" s="4">
        <f t="shared" si="1"/>
        <v>117</v>
      </c>
      <c r="F124" s="24" t="s">
        <v>498</v>
      </c>
      <c r="G124" s="24" t="s">
        <v>7</v>
      </c>
      <c r="H124" s="24" t="s">
        <v>90</v>
      </c>
      <c r="I124" s="24" t="s">
        <v>22</v>
      </c>
      <c r="J124" s="23" t="s">
        <v>417</v>
      </c>
      <c r="K124" s="24">
        <v>10</v>
      </c>
      <c r="L124" s="24" t="s">
        <v>869</v>
      </c>
      <c r="M124" s="24" t="s">
        <v>870</v>
      </c>
      <c r="N124" s="24" t="s">
        <v>90</v>
      </c>
      <c r="P124" s="1" t="s">
        <v>871</v>
      </c>
      <c r="Q124" s="1" t="s">
        <v>138</v>
      </c>
    </row>
    <row r="125" spans="5:17" x14ac:dyDescent="0.15">
      <c r="E125" s="4">
        <f t="shared" si="1"/>
        <v>118</v>
      </c>
      <c r="F125" s="24" t="s">
        <v>499</v>
      </c>
      <c r="G125" s="24" t="s">
        <v>7</v>
      </c>
      <c r="H125" s="24" t="s">
        <v>90</v>
      </c>
      <c r="I125" s="24" t="s">
        <v>22</v>
      </c>
      <c r="J125" s="23" t="s">
        <v>417</v>
      </c>
      <c r="K125" s="24">
        <v>11</v>
      </c>
      <c r="L125" s="24" t="s">
        <v>872</v>
      </c>
      <c r="M125" s="24" t="s">
        <v>873</v>
      </c>
      <c r="N125" s="24" t="s">
        <v>90</v>
      </c>
      <c r="P125" s="1" t="s">
        <v>874</v>
      </c>
      <c r="Q125" s="1" t="s">
        <v>138</v>
      </c>
    </row>
    <row r="126" spans="5:17" x14ac:dyDescent="0.15">
      <c r="E126" s="4">
        <f t="shared" si="1"/>
        <v>119</v>
      </c>
      <c r="F126" s="24" t="s">
        <v>500</v>
      </c>
      <c r="G126" s="24" t="s">
        <v>7</v>
      </c>
      <c r="H126" s="24" t="s">
        <v>90</v>
      </c>
      <c r="I126" s="24" t="s">
        <v>22</v>
      </c>
      <c r="J126" s="23" t="s">
        <v>417</v>
      </c>
      <c r="K126" s="24">
        <v>12</v>
      </c>
      <c r="L126" s="24" t="s">
        <v>875</v>
      </c>
      <c r="M126" s="24" t="s">
        <v>876</v>
      </c>
      <c r="N126" s="24" t="s">
        <v>90</v>
      </c>
      <c r="P126" s="1" t="s">
        <v>877</v>
      </c>
      <c r="Q126" s="1" t="s">
        <v>138</v>
      </c>
    </row>
    <row r="127" spans="5:17" x14ac:dyDescent="0.15">
      <c r="E127" s="4">
        <f t="shared" si="1"/>
        <v>120</v>
      </c>
      <c r="F127" s="24" t="s">
        <v>501</v>
      </c>
      <c r="G127" s="24" t="s">
        <v>7</v>
      </c>
      <c r="H127" s="24" t="s">
        <v>90</v>
      </c>
      <c r="I127" s="24" t="s">
        <v>22</v>
      </c>
      <c r="J127" s="23" t="s">
        <v>417</v>
      </c>
      <c r="K127" s="24">
        <v>13</v>
      </c>
      <c r="L127" s="24" t="s">
        <v>878</v>
      </c>
      <c r="M127" s="24" t="s">
        <v>879</v>
      </c>
      <c r="N127" s="24" t="s">
        <v>90</v>
      </c>
      <c r="P127" s="1" t="s">
        <v>880</v>
      </c>
      <c r="Q127" s="1" t="s">
        <v>138</v>
      </c>
    </row>
    <row r="128" spans="5:17" x14ac:dyDescent="0.15">
      <c r="E128" s="4">
        <f t="shared" si="1"/>
        <v>121</v>
      </c>
      <c r="F128" s="24" t="s">
        <v>502</v>
      </c>
      <c r="G128" s="24" t="s">
        <v>7</v>
      </c>
      <c r="H128" s="24" t="s">
        <v>90</v>
      </c>
      <c r="I128" s="24" t="s">
        <v>22</v>
      </c>
      <c r="J128" s="23" t="s">
        <v>417</v>
      </c>
      <c r="K128" s="24">
        <v>14</v>
      </c>
      <c r="L128" s="24" t="s">
        <v>881</v>
      </c>
      <c r="M128" s="24" t="s">
        <v>882</v>
      </c>
      <c r="N128" s="24" t="s">
        <v>90</v>
      </c>
      <c r="P128" s="1" t="s">
        <v>883</v>
      </c>
      <c r="Q128" s="1" t="s">
        <v>138</v>
      </c>
    </row>
    <row r="129" spans="5:17" x14ac:dyDescent="0.15">
      <c r="E129" s="4">
        <f t="shared" si="1"/>
        <v>122</v>
      </c>
      <c r="F129" s="24" t="s">
        <v>503</v>
      </c>
      <c r="G129" s="24" t="s">
        <v>7</v>
      </c>
      <c r="H129" s="24" t="s">
        <v>90</v>
      </c>
      <c r="I129" s="24" t="s">
        <v>22</v>
      </c>
      <c r="J129" s="23" t="s">
        <v>417</v>
      </c>
      <c r="K129" s="24">
        <v>15</v>
      </c>
      <c r="L129" s="24" t="s">
        <v>884</v>
      </c>
      <c r="M129" s="24" t="s">
        <v>885</v>
      </c>
      <c r="N129" s="24" t="s">
        <v>90</v>
      </c>
      <c r="P129" s="1" t="s">
        <v>886</v>
      </c>
      <c r="Q129" s="1" t="s">
        <v>138</v>
      </c>
    </row>
    <row r="130" spans="5:17" x14ac:dyDescent="0.15">
      <c r="E130" s="4">
        <f t="shared" si="1"/>
        <v>123</v>
      </c>
      <c r="F130" s="24" t="s">
        <v>504</v>
      </c>
      <c r="G130" s="24" t="s">
        <v>7</v>
      </c>
      <c r="H130" s="24" t="s">
        <v>90</v>
      </c>
      <c r="I130" s="24" t="s">
        <v>22</v>
      </c>
      <c r="J130" s="23" t="s">
        <v>417</v>
      </c>
      <c r="K130" s="24">
        <v>16</v>
      </c>
      <c r="L130" s="24" t="s">
        <v>887</v>
      </c>
      <c r="M130" s="24" t="s">
        <v>888</v>
      </c>
      <c r="N130" s="24" t="s">
        <v>90</v>
      </c>
      <c r="P130" s="1" t="s">
        <v>889</v>
      </c>
      <c r="Q130" s="1" t="s">
        <v>138</v>
      </c>
    </row>
    <row r="131" spans="5:17" x14ac:dyDescent="0.15">
      <c r="E131" s="4">
        <f t="shared" si="1"/>
        <v>124</v>
      </c>
      <c r="F131" s="24" t="s">
        <v>505</v>
      </c>
      <c r="G131" s="24" t="s">
        <v>7</v>
      </c>
      <c r="H131" s="24" t="s">
        <v>90</v>
      </c>
      <c r="I131" s="24" t="s">
        <v>22</v>
      </c>
      <c r="J131" s="23" t="s">
        <v>417</v>
      </c>
      <c r="K131" s="24">
        <v>17</v>
      </c>
      <c r="L131" s="24" t="s">
        <v>890</v>
      </c>
      <c r="M131" s="24" t="s">
        <v>891</v>
      </c>
      <c r="N131" s="24" t="s">
        <v>90</v>
      </c>
      <c r="P131" s="1" t="s">
        <v>892</v>
      </c>
      <c r="Q131" s="1" t="s">
        <v>138</v>
      </c>
    </row>
    <row r="132" spans="5:17" x14ac:dyDescent="0.15">
      <c r="E132" s="4">
        <f t="shared" si="1"/>
        <v>125</v>
      </c>
      <c r="F132" s="24" t="s">
        <v>506</v>
      </c>
      <c r="G132" s="24" t="s">
        <v>7</v>
      </c>
      <c r="H132" s="24" t="s">
        <v>90</v>
      </c>
      <c r="I132" s="24" t="s">
        <v>22</v>
      </c>
      <c r="J132" s="23" t="s">
        <v>417</v>
      </c>
      <c r="K132" s="24">
        <v>18</v>
      </c>
      <c r="L132" s="24" t="s">
        <v>893</v>
      </c>
      <c r="M132" s="24" t="s">
        <v>894</v>
      </c>
      <c r="N132" s="24" t="s">
        <v>90</v>
      </c>
      <c r="P132" s="1" t="s">
        <v>895</v>
      </c>
      <c r="Q132" s="1" t="s">
        <v>138</v>
      </c>
    </row>
    <row r="133" spans="5:17" x14ac:dyDescent="0.15">
      <c r="E133" s="4">
        <f t="shared" si="1"/>
        <v>126</v>
      </c>
      <c r="F133" s="24" t="s">
        <v>507</v>
      </c>
      <c r="G133" s="24" t="s">
        <v>7</v>
      </c>
      <c r="H133" s="24" t="s">
        <v>90</v>
      </c>
      <c r="I133" s="24" t="s">
        <v>22</v>
      </c>
      <c r="J133" s="23" t="s">
        <v>417</v>
      </c>
      <c r="K133" s="24">
        <v>19</v>
      </c>
      <c r="L133" s="24" t="s">
        <v>896</v>
      </c>
      <c r="M133" s="24" t="s">
        <v>897</v>
      </c>
      <c r="N133" s="24" t="s">
        <v>90</v>
      </c>
      <c r="P133" s="1" t="s">
        <v>898</v>
      </c>
      <c r="Q133" s="1" t="s">
        <v>138</v>
      </c>
    </row>
    <row r="134" spans="5:17" x14ac:dyDescent="0.15">
      <c r="E134" s="4">
        <f t="shared" si="1"/>
        <v>127</v>
      </c>
      <c r="F134" s="24" t="s">
        <v>508</v>
      </c>
      <c r="G134" s="24" t="s">
        <v>7</v>
      </c>
      <c r="H134" s="24" t="s">
        <v>90</v>
      </c>
      <c r="I134" s="24" t="s">
        <v>22</v>
      </c>
      <c r="J134" s="23" t="s">
        <v>417</v>
      </c>
      <c r="K134" s="24">
        <v>20</v>
      </c>
      <c r="L134" s="24" t="s">
        <v>899</v>
      </c>
      <c r="M134" s="24" t="s">
        <v>900</v>
      </c>
      <c r="N134" s="24" t="s">
        <v>90</v>
      </c>
      <c r="P134" s="1" t="s">
        <v>901</v>
      </c>
      <c r="Q134" s="1" t="s">
        <v>138</v>
      </c>
    </row>
    <row r="135" spans="5:17" x14ac:dyDescent="0.15">
      <c r="E135" s="4">
        <f t="shared" si="1"/>
        <v>128</v>
      </c>
      <c r="F135" s="24" t="s">
        <v>509</v>
      </c>
      <c r="G135" s="24" t="s">
        <v>7</v>
      </c>
      <c r="H135" s="24" t="s">
        <v>90</v>
      </c>
      <c r="I135" s="24" t="s">
        <v>22</v>
      </c>
      <c r="J135" s="23" t="s">
        <v>417</v>
      </c>
      <c r="K135" s="24">
        <v>21</v>
      </c>
      <c r="L135" s="24" t="s">
        <v>902</v>
      </c>
      <c r="M135" s="24" t="s">
        <v>903</v>
      </c>
      <c r="N135" s="24" t="s">
        <v>90</v>
      </c>
      <c r="P135" s="1" t="s">
        <v>904</v>
      </c>
      <c r="Q135" s="1" t="s">
        <v>138</v>
      </c>
    </row>
    <row r="136" spans="5:17" x14ac:dyDescent="0.15">
      <c r="E136" s="4">
        <f t="shared" si="1"/>
        <v>129</v>
      </c>
      <c r="F136" s="24" t="s">
        <v>510</v>
      </c>
      <c r="G136" s="24" t="s">
        <v>7</v>
      </c>
      <c r="H136" s="24" t="s">
        <v>90</v>
      </c>
      <c r="I136" s="24" t="s">
        <v>22</v>
      </c>
      <c r="J136" s="23" t="s">
        <v>417</v>
      </c>
      <c r="K136" s="24">
        <v>22</v>
      </c>
      <c r="L136" s="24" t="s">
        <v>905</v>
      </c>
      <c r="M136" s="24" t="s">
        <v>906</v>
      </c>
      <c r="N136" s="24" t="s">
        <v>90</v>
      </c>
      <c r="P136" s="1" t="s">
        <v>907</v>
      </c>
      <c r="Q136" s="1" t="s">
        <v>138</v>
      </c>
    </row>
    <row r="137" spans="5:17" x14ac:dyDescent="0.15">
      <c r="E137" s="4">
        <f t="shared" ref="E137:E200" si="2">ROW(E137)-ROW($E$7)</f>
        <v>130</v>
      </c>
      <c r="F137" s="24" t="s">
        <v>511</v>
      </c>
      <c r="G137" s="24" t="s">
        <v>7</v>
      </c>
      <c r="H137" s="24" t="s">
        <v>90</v>
      </c>
      <c r="I137" s="24" t="s">
        <v>22</v>
      </c>
      <c r="J137" s="23" t="s">
        <v>417</v>
      </c>
      <c r="K137" s="24">
        <v>23</v>
      </c>
      <c r="L137" s="24" t="s">
        <v>908</v>
      </c>
      <c r="M137" s="24" t="s">
        <v>909</v>
      </c>
      <c r="N137" s="24" t="s">
        <v>90</v>
      </c>
      <c r="P137" s="1" t="s">
        <v>910</v>
      </c>
      <c r="Q137" s="1" t="s">
        <v>138</v>
      </c>
    </row>
    <row r="138" spans="5:17" x14ac:dyDescent="0.15">
      <c r="E138" s="4">
        <f t="shared" si="2"/>
        <v>131</v>
      </c>
      <c r="F138" s="24" t="s">
        <v>512</v>
      </c>
      <c r="G138" s="24" t="s">
        <v>7</v>
      </c>
      <c r="H138" s="24" t="s">
        <v>90</v>
      </c>
      <c r="I138" s="24" t="s">
        <v>22</v>
      </c>
      <c r="J138" s="23" t="s">
        <v>417</v>
      </c>
      <c r="K138" s="24">
        <v>24</v>
      </c>
      <c r="L138" s="24" t="s">
        <v>911</v>
      </c>
      <c r="M138" s="24" t="s">
        <v>912</v>
      </c>
      <c r="N138" s="24" t="s">
        <v>90</v>
      </c>
      <c r="P138" s="1" t="s">
        <v>913</v>
      </c>
      <c r="Q138" s="1" t="s">
        <v>138</v>
      </c>
    </row>
    <row r="139" spans="5:17" x14ac:dyDescent="0.15">
      <c r="E139" s="4">
        <f t="shared" si="2"/>
        <v>132</v>
      </c>
      <c r="F139" s="24" t="s">
        <v>513</v>
      </c>
      <c r="G139" s="24" t="s">
        <v>7</v>
      </c>
      <c r="H139" s="24" t="s">
        <v>90</v>
      </c>
      <c r="I139" s="24" t="s">
        <v>22</v>
      </c>
      <c r="J139" s="23" t="s">
        <v>417</v>
      </c>
      <c r="K139" s="24">
        <v>25</v>
      </c>
      <c r="L139" s="24" t="s">
        <v>914</v>
      </c>
      <c r="M139" s="24" t="s">
        <v>915</v>
      </c>
      <c r="N139" s="24" t="s">
        <v>90</v>
      </c>
      <c r="P139" s="1" t="s">
        <v>916</v>
      </c>
      <c r="Q139" s="1" t="s">
        <v>138</v>
      </c>
    </row>
    <row r="140" spans="5:17" x14ac:dyDescent="0.15">
      <c r="E140" s="4">
        <f t="shared" si="2"/>
        <v>133</v>
      </c>
      <c r="F140" s="24" t="s">
        <v>514</v>
      </c>
      <c r="G140" s="24" t="s">
        <v>7</v>
      </c>
      <c r="H140" s="24" t="s">
        <v>90</v>
      </c>
      <c r="I140" s="24" t="s">
        <v>22</v>
      </c>
      <c r="J140" s="23" t="s">
        <v>417</v>
      </c>
      <c r="K140" s="24">
        <v>26</v>
      </c>
      <c r="L140" s="24" t="s">
        <v>917</v>
      </c>
      <c r="M140" s="24" t="s">
        <v>918</v>
      </c>
      <c r="N140" s="24" t="s">
        <v>90</v>
      </c>
      <c r="P140" s="1" t="s">
        <v>919</v>
      </c>
      <c r="Q140" s="1" t="s">
        <v>138</v>
      </c>
    </row>
    <row r="141" spans="5:17" x14ac:dyDescent="0.15">
      <c r="E141" s="4">
        <f t="shared" si="2"/>
        <v>134</v>
      </c>
      <c r="F141" s="24" t="s">
        <v>515</v>
      </c>
      <c r="G141" s="24" t="s">
        <v>7</v>
      </c>
      <c r="H141" s="24" t="s">
        <v>90</v>
      </c>
      <c r="I141" s="24" t="s">
        <v>22</v>
      </c>
      <c r="J141" s="23" t="s">
        <v>417</v>
      </c>
      <c r="K141" s="24">
        <v>27</v>
      </c>
      <c r="L141" s="24" t="s">
        <v>920</v>
      </c>
      <c r="M141" s="24" t="s">
        <v>921</v>
      </c>
      <c r="N141" s="24" t="s">
        <v>90</v>
      </c>
      <c r="P141" s="1" t="s">
        <v>922</v>
      </c>
      <c r="Q141" s="1" t="s">
        <v>138</v>
      </c>
    </row>
    <row r="142" spans="5:17" x14ac:dyDescent="0.15">
      <c r="E142" s="4">
        <f t="shared" si="2"/>
        <v>135</v>
      </c>
      <c r="F142" s="24" t="s">
        <v>516</v>
      </c>
      <c r="G142" s="24" t="s">
        <v>7</v>
      </c>
      <c r="H142" s="24" t="s">
        <v>90</v>
      </c>
      <c r="I142" s="24" t="s">
        <v>22</v>
      </c>
      <c r="J142" s="23" t="s">
        <v>417</v>
      </c>
      <c r="K142" s="24">
        <v>28</v>
      </c>
      <c r="L142" s="24" t="s">
        <v>923</v>
      </c>
      <c r="M142" s="24" t="s">
        <v>924</v>
      </c>
      <c r="N142" s="24" t="s">
        <v>90</v>
      </c>
      <c r="P142" s="1" t="s">
        <v>925</v>
      </c>
      <c r="Q142" s="1" t="s">
        <v>138</v>
      </c>
    </row>
    <row r="143" spans="5:17" x14ac:dyDescent="0.15">
      <c r="E143" s="4">
        <f t="shared" si="2"/>
        <v>136</v>
      </c>
      <c r="F143" s="24" t="s">
        <v>517</v>
      </c>
      <c r="G143" s="24" t="s">
        <v>7</v>
      </c>
      <c r="H143" s="24" t="s">
        <v>90</v>
      </c>
      <c r="I143" s="24" t="s">
        <v>22</v>
      </c>
      <c r="J143" s="23" t="s">
        <v>417</v>
      </c>
      <c r="K143" s="24">
        <v>29</v>
      </c>
      <c r="L143" s="24" t="s">
        <v>926</v>
      </c>
      <c r="M143" s="24" t="s">
        <v>927</v>
      </c>
      <c r="N143" s="24" t="s">
        <v>90</v>
      </c>
      <c r="P143" s="1" t="s">
        <v>928</v>
      </c>
      <c r="Q143" s="1" t="s">
        <v>138</v>
      </c>
    </row>
    <row r="144" spans="5:17" x14ac:dyDescent="0.15">
      <c r="E144" s="4">
        <f t="shared" si="2"/>
        <v>137</v>
      </c>
      <c r="F144" s="24" t="s">
        <v>518</v>
      </c>
      <c r="G144" s="24" t="s">
        <v>7</v>
      </c>
      <c r="H144" s="24" t="s">
        <v>90</v>
      </c>
      <c r="I144" s="24" t="s">
        <v>22</v>
      </c>
      <c r="J144" s="23" t="s">
        <v>417</v>
      </c>
      <c r="K144" s="24">
        <v>30</v>
      </c>
      <c r="L144" s="24" t="s">
        <v>929</v>
      </c>
      <c r="M144" s="24" t="s">
        <v>930</v>
      </c>
      <c r="N144" s="24" t="s">
        <v>90</v>
      </c>
      <c r="P144" s="1" t="s">
        <v>931</v>
      </c>
      <c r="Q144" s="1" t="s">
        <v>138</v>
      </c>
    </row>
    <row r="145" spans="5:17" x14ac:dyDescent="0.15">
      <c r="E145" s="4">
        <f t="shared" si="2"/>
        <v>138</v>
      </c>
      <c r="F145" s="24" t="s">
        <v>519</v>
      </c>
      <c r="G145" s="24" t="s">
        <v>7</v>
      </c>
      <c r="H145" s="24" t="s">
        <v>90</v>
      </c>
      <c r="I145" s="24" t="s">
        <v>22</v>
      </c>
      <c r="J145" s="23" t="s">
        <v>417</v>
      </c>
      <c r="K145" s="24">
        <v>31</v>
      </c>
      <c r="L145" s="24" t="s">
        <v>932</v>
      </c>
      <c r="M145" s="24" t="s">
        <v>933</v>
      </c>
      <c r="N145" s="24" t="s">
        <v>90</v>
      </c>
      <c r="P145" s="1" t="s">
        <v>934</v>
      </c>
      <c r="Q145" s="1" t="s">
        <v>138</v>
      </c>
    </row>
    <row r="146" spans="5:17" x14ac:dyDescent="0.15">
      <c r="E146" s="4">
        <f t="shared" si="2"/>
        <v>139</v>
      </c>
      <c r="F146" s="24" t="s">
        <v>520</v>
      </c>
      <c r="G146" s="24" t="s">
        <v>7</v>
      </c>
      <c r="H146" s="24" t="s">
        <v>90</v>
      </c>
      <c r="I146" s="24" t="s">
        <v>22</v>
      </c>
      <c r="J146" s="23" t="s">
        <v>417</v>
      </c>
      <c r="K146" s="24">
        <v>32</v>
      </c>
      <c r="L146" s="24" t="s">
        <v>935</v>
      </c>
      <c r="M146" s="24" t="s">
        <v>936</v>
      </c>
      <c r="N146" s="24" t="s">
        <v>90</v>
      </c>
      <c r="P146" s="1" t="s">
        <v>937</v>
      </c>
      <c r="Q146" s="1" t="s">
        <v>138</v>
      </c>
    </row>
    <row r="147" spans="5:17" x14ac:dyDescent="0.15">
      <c r="E147" s="4">
        <f t="shared" si="2"/>
        <v>140</v>
      </c>
      <c r="F147" s="24" t="s">
        <v>521</v>
      </c>
      <c r="G147" s="24" t="s">
        <v>7</v>
      </c>
      <c r="H147" s="24" t="s">
        <v>90</v>
      </c>
      <c r="I147" s="24" t="s">
        <v>22</v>
      </c>
      <c r="J147" s="23" t="s">
        <v>417</v>
      </c>
      <c r="K147" s="24">
        <v>33</v>
      </c>
      <c r="L147" s="24" t="s">
        <v>938</v>
      </c>
      <c r="M147" s="24" t="s">
        <v>939</v>
      </c>
      <c r="N147" s="24" t="s">
        <v>90</v>
      </c>
      <c r="P147" s="1" t="s">
        <v>940</v>
      </c>
      <c r="Q147" s="1" t="s">
        <v>138</v>
      </c>
    </row>
    <row r="148" spans="5:17" x14ac:dyDescent="0.15">
      <c r="E148" s="4">
        <f t="shared" si="2"/>
        <v>141</v>
      </c>
      <c r="F148" s="24" t="s">
        <v>522</v>
      </c>
      <c r="G148" s="24" t="s">
        <v>7</v>
      </c>
      <c r="H148" s="24" t="s">
        <v>90</v>
      </c>
      <c r="I148" s="24" t="s">
        <v>22</v>
      </c>
      <c r="J148" s="23" t="s">
        <v>417</v>
      </c>
      <c r="K148" s="24">
        <v>34</v>
      </c>
      <c r="L148" s="24" t="s">
        <v>941</v>
      </c>
      <c r="M148" s="24" t="s">
        <v>942</v>
      </c>
      <c r="N148" s="24" t="s">
        <v>90</v>
      </c>
      <c r="P148" s="1" t="s">
        <v>943</v>
      </c>
      <c r="Q148" s="1" t="s">
        <v>138</v>
      </c>
    </row>
    <row r="149" spans="5:17" x14ac:dyDescent="0.15">
      <c r="E149" s="4">
        <f t="shared" si="2"/>
        <v>142</v>
      </c>
      <c r="F149" s="24" t="s">
        <v>523</v>
      </c>
      <c r="G149" s="24" t="s">
        <v>7</v>
      </c>
      <c r="H149" s="24" t="s">
        <v>90</v>
      </c>
      <c r="I149" s="24" t="s">
        <v>22</v>
      </c>
      <c r="J149" s="23" t="s">
        <v>417</v>
      </c>
      <c r="K149" s="24">
        <v>35</v>
      </c>
      <c r="L149" s="24" t="s">
        <v>944</v>
      </c>
      <c r="M149" s="24" t="s">
        <v>945</v>
      </c>
      <c r="N149" s="24" t="s">
        <v>90</v>
      </c>
      <c r="P149" s="1" t="s">
        <v>946</v>
      </c>
      <c r="Q149" s="1" t="s">
        <v>138</v>
      </c>
    </row>
    <row r="150" spans="5:17" x14ac:dyDescent="0.15">
      <c r="E150" s="4">
        <f t="shared" si="2"/>
        <v>143</v>
      </c>
      <c r="F150" s="24" t="s">
        <v>524</v>
      </c>
      <c r="G150" s="24" t="s">
        <v>7</v>
      </c>
      <c r="H150" s="24" t="s">
        <v>90</v>
      </c>
      <c r="I150" s="24" t="s">
        <v>22</v>
      </c>
      <c r="J150" s="23" t="s">
        <v>417</v>
      </c>
      <c r="K150" s="24">
        <v>36</v>
      </c>
      <c r="L150" s="24" t="s">
        <v>947</v>
      </c>
      <c r="M150" s="24" t="s">
        <v>948</v>
      </c>
      <c r="N150" s="24" t="s">
        <v>90</v>
      </c>
      <c r="P150" s="1" t="s">
        <v>949</v>
      </c>
      <c r="Q150" s="1" t="s">
        <v>138</v>
      </c>
    </row>
    <row r="151" spans="5:17" x14ac:dyDescent="0.15">
      <c r="E151" s="4">
        <f t="shared" si="2"/>
        <v>144</v>
      </c>
      <c r="F151" s="24" t="s">
        <v>525</v>
      </c>
      <c r="G151" s="24" t="s">
        <v>7</v>
      </c>
      <c r="H151" s="24" t="s">
        <v>90</v>
      </c>
      <c r="I151" s="24" t="s">
        <v>22</v>
      </c>
      <c r="J151" s="23" t="s">
        <v>417</v>
      </c>
      <c r="K151" s="24">
        <v>37</v>
      </c>
      <c r="L151" s="24" t="s">
        <v>950</v>
      </c>
      <c r="M151" s="24" t="s">
        <v>951</v>
      </c>
      <c r="N151" s="24" t="s">
        <v>90</v>
      </c>
      <c r="P151" s="1" t="s">
        <v>952</v>
      </c>
      <c r="Q151" s="1" t="s">
        <v>138</v>
      </c>
    </row>
    <row r="152" spans="5:17" x14ac:dyDescent="0.15">
      <c r="E152" s="4">
        <f t="shared" si="2"/>
        <v>145</v>
      </c>
      <c r="F152" s="24" t="s">
        <v>526</v>
      </c>
      <c r="G152" s="24" t="s">
        <v>7</v>
      </c>
      <c r="H152" s="24" t="s">
        <v>90</v>
      </c>
      <c r="I152" s="24" t="s">
        <v>22</v>
      </c>
      <c r="J152" s="23" t="s">
        <v>417</v>
      </c>
      <c r="K152" s="24">
        <v>38</v>
      </c>
      <c r="L152" s="24" t="s">
        <v>953</v>
      </c>
      <c r="M152" s="24" t="s">
        <v>954</v>
      </c>
      <c r="N152" s="24" t="s">
        <v>90</v>
      </c>
      <c r="P152" s="1" t="s">
        <v>955</v>
      </c>
      <c r="Q152" s="1" t="s">
        <v>138</v>
      </c>
    </row>
    <row r="153" spans="5:17" x14ac:dyDescent="0.15">
      <c r="E153" s="4">
        <f t="shared" si="2"/>
        <v>146</v>
      </c>
      <c r="F153" s="24" t="s">
        <v>527</v>
      </c>
      <c r="G153" s="24" t="s">
        <v>7</v>
      </c>
      <c r="H153" s="24" t="s">
        <v>90</v>
      </c>
      <c r="I153" s="24" t="s">
        <v>22</v>
      </c>
      <c r="J153" s="23" t="s">
        <v>417</v>
      </c>
      <c r="K153" s="24">
        <v>39</v>
      </c>
      <c r="L153" s="24" t="s">
        <v>956</v>
      </c>
      <c r="M153" s="24" t="s">
        <v>957</v>
      </c>
      <c r="N153" s="24" t="s">
        <v>90</v>
      </c>
      <c r="P153" s="1" t="s">
        <v>958</v>
      </c>
      <c r="Q153" s="1" t="s">
        <v>138</v>
      </c>
    </row>
    <row r="154" spans="5:17" x14ac:dyDescent="0.15">
      <c r="E154" s="4">
        <f t="shared" si="2"/>
        <v>147</v>
      </c>
      <c r="F154" s="24" t="s">
        <v>528</v>
      </c>
      <c r="G154" s="24" t="s">
        <v>7</v>
      </c>
      <c r="H154" s="24" t="s">
        <v>90</v>
      </c>
      <c r="I154" s="24" t="s">
        <v>22</v>
      </c>
      <c r="J154" s="23" t="s">
        <v>417</v>
      </c>
      <c r="K154" s="24">
        <v>40</v>
      </c>
      <c r="L154" s="24" t="s">
        <v>959</v>
      </c>
      <c r="M154" s="24" t="s">
        <v>960</v>
      </c>
      <c r="N154" s="24" t="s">
        <v>90</v>
      </c>
      <c r="P154" s="1" t="s">
        <v>961</v>
      </c>
      <c r="Q154" s="1" t="s">
        <v>138</v>
      </c>
    </row>
    <row r="155" spans="5:17" x14ac:dyDescent="0.15">
      <c r="E155" s="4">
        <f t="shared" si="2"/>
        <v>148</v>
      </c>
      <c r="F155" s="24" t="s">
        <v>529</v>
      </c>
      <c r="G155" s="24" t="s">
        <v>7</v>
      </c>
      <c r="H155" s="24" t="s">
        <v>90</v>
      </c>
      <c r="I155" s="24" t="s">
        <v>22</v>
      </c>
      <c r="J155" s="23" t="s">
        <v>417</v>
      </c>
      <c r="K155" s="24">
        <v>41</v>
      </c>
      <c r="L155" s="24" t="s">
        <v>962</v>
      </c>
      <c r="M155" s="24" t="s">
        <v>963</v>
      </c>
      <c r="N155" s="24" t="s">
        <v>90</v>
      </c>
      <c r="P155" s="1" t="s">
        <v>964</v>
      </c>
      <c r="Q155" s="1" t="s">
        <v>138</v>
      </c>
    </row>
    <row r="156" spans="5:17" x14ac:dyDescent="0.15">
      <c r="E156" s="4">
        <f t="shared" si="2"/>
        <v>149</v>
      </c>
      <c r="F156" s="24" t="s">
        <v>530</v>
      </c>
      <c r="G156" s="24" t="s">
        <v>7</v>
      </c>
      <c r="H156" s="24" t="s">
        <v>90</v>
      </c>
      <c r="I156" s="24" t="s">
        <v>22</v>
      </c>
      <c r="J156" s="23" t="s">
        <v>417</v>
      </c>
      <c r="K156" s="24">
        <v>42</v>
      </c>
      <c r="L156" s="24" t="s">
        <v>965</v>
      </c>
      <c r="M156" s="24" t="s">
        <v>966</v>
      </c>
      <c r="N156" s="24" t="s">
        <v>90</v>
      </c>
      <c r="P156" s="1" t="s">
        <v>967</v>
      </c>
      <c r="Q156" s="1" t="s">
        <v>138</v>
      </c>
    </row>
    <row r="157" spans="5:17" x14ac:dyDescent="0.15">
      <c r="E157" s="4">
        <f t="shared" si="2"/>
        <v>150</v>
      </c>
      <c r="F157" s="24" t="s">
        <v>531</v>
      </c>
      <c r="G157" s="24" t="s">
        <v>7</v>
      </c>
      <c r="H157" s="24" t="s">
        <v>90</v>
      </c>
      <c r="I157" s="24" t="s">
        <v>22</v>
      </c>
      <c r="J157" s="23" t="s">
        <v>417</v>
      </c>
      <c r="K157" s="24">
        <v>43</v>
      </c>
      <c r="L157" s="24" t="s">
        <v>968</v>
      </c>
      <c r="M157" s="24" t="s">
        <v>969</v>
      </c>
      <c r="N157" s="24" t="s">
        <v>90</v>
      </c>
      <c r="P157" s="1" t="s">
        <v>970</v>
      </c>
      <c r="Q157" s="1" t="s">
        <v>138</v>
      </c>
    </row>
    <row r="158" spans="5:17" x14ac:dyDescent="0.15">
      <c r="E158" s="4">
        <f t="shared" si="2"/>
        <v>151</v>
      </c>
      <c r="F158" s="24" t="s">
        <v>532</v>
      </c>
      <c r="G158" s="24" t="s">
        <v>7</v>
      </c>
      <c r="H158" s="24" t="s">
        <v>90</v>
      </c>
      <c r="I158" s="24" t="s">
        <v>22</v>
      </c>
      <c r="J158" s="23" t="s">
        <v>417</v>
      </c>
      <c r="K158" s="24">
        <v>44</v>
      </c>
      <c r="L158" s="24" t="s">
        <v>971</v>
      </c>
      <c r="M158" s="24" t="s">
        <v>972</v>
      </c>
      <c r="N158" s="24" t="s">
        <v>90</v>
      </c>
      <c r="P158" s="1" t="s">
        <v>973</v>
      </c>
      <c r="Q158" s="1" t="s">
        <v>138</v>
      </c>
    </row>
    <row r="159" spans="5:17" x14ac:dyDescent="0.15">
      <c r="E159" s="4">
        <f t="shared" si="2"/>
        <v>152</v>
      </c>
      <c r="F159" s="24" t="s">
        <v>533</v>
      </c>
      <c r="G159" s="24" t="s">
        <v>7</v>
      </c>
      <c r="H159" s="24" t="s">
        <v>90</v>
      </c>
      <c r="I159" s="24" t="s">
        <v>22</v>
      </c>
      <c r="J159" s="23" t="s">
        <v>417</v>
      </c>
      <c r="K159" s="24">
        <v>45</v>
      </c>
      <c r="L159" s="24" t="s">
        <v>974</v>
      </c>
      <c r="M159" s="24" t="s">
        <v>975</v>
      </c>
      <c r="N159" s="24" t="s">
        <v>90</v>
      </c>
      <c r="P159" s="1" t="s">
        <v>976</v>
      </c>
      <c r="Q159" s="1" t="s">
        <v>138</v>
      </c>
    </row>
    <row r="160" spans="5:17" x14ac:dyDescent="0.15">
      <c r="E160" s="4">
        <f t="shared" si="2"/>
        <v>153</v>
      </c>
      <c r="F160" s="24" t="s">
        <v>534</v>
      </c>
      <c r="G160" s="24" t="s">
        <v>7</v>
      </c>
      <c r="H160" s="24" t="s">
        <v>90</v>
      </c>
      <c r="I160" s="24" t="s">
        <v>22</v>
      </c>
      <c r="J160" s="23" t="s">
        <v>417</v>
      </c>
      <c r="K160" s="24">
        <v>46</v>
      </c>
      <c r="L160" s="24" t="s">
        <v>977</v>
      </c>
      <c r="M160" s="24" t="s">
        <v>978</v>
      </c>
      <c r="N160" s="24" t="s">
        <v>90</v>
      </c>
      <c r="P160" s="1" t="s">
        <v>979</v>
      </c>
      <c r="Q160" s="1" t="s">
        <v>138</v>
      </c>
    </row>
    <row r="161" spans="5:17" x14ac:dyDescent="0.15">
      <c r="E161" s="4">
        <f t="shared" si="2"/>
        <v>154</v>
      </c>
      <c r="F161" s="24" t="s">
        <v>535</v>
      </c>
      <c r="G161" s="24" t="s">
        <v>7</v>
      </c>
      <c r="H161" s="24" t="s">
        <v>90</v>
      </c>
      <c r="I161" s="24" t="s">
        <v>22</v>
      </c>
      <c r="J161" s="23" t="s">
        <v>417</v>
      </c>
      <c r="K161" s="24">
        <v>47</v>
      </c>
      <c r="L161" s="24" t="s">
        <v>980</v>
      </c>
      <c r="M161" s="24" t="s">
        <v>981</v>
      </c>
      <c r="N161" s="24" t="s">
        <v>90</v>
      </c>
      <c r="P161" s="1" t="s">
        <v>982</v>
      </c>
      <c r="Q161" s="1" t="s">
        <v>138</v>
      </c>
    </row>
    <row r="162" spans="5:17" x14ac:dyDescent="0.15">
      <c r="E162" s="4">
        <f t="shared" si="2"/>
        <v>155</v>
      </c>
      <c r="F162" s="24" t="s">
        <v>536</v>
      </c>
      <c r="G162" s="24" t="s">
        <v>7</v>
      </c>
      <c r="H162" s="24" t="s">
        <v>90</v>
      </c>
      <c r="I162" s="24" t="s">
        <v>22</v>
      </c>
      <c r="J162" s="23" t="s">
        <v>417</v>
      </c>
      <c r="K162" s="24">
        <v>48</v>
      </c>
      <c r="L162" s="24" t="s">
        <v>983</v>
      </c>
      <c r="M162" s="24" t="s">
        <v>984</v>
      </c>
      <c r="N162" s="24" t="s">
        <v>90</v>
      </c>
      <c r="P162" s="1" t="s">
        <v>985</v>
      </c>
      <c r="Q162" s="1" t="s">
        <v>138</v>
      </c>
    </row>
    <row r="163" spans="5:17" x14ac:dyDescent="0.15">
      <c r="E163" s="4">
        <f t="shared" si="2"/>
        <v>156</v>
      </c>
      <c r="F163" s="24" t="s">
        <v>537</v>
      </c>
      <c r="G163" s="24" t="s">
        <v>7</v>
      </c>
      <c r="H163" s="24" t="s">
        <v>90</v>
      </c>
      <c r="I163" s="24" t="s">
        <v>22</v>
      </c>
      <c r="J163" s="23" t="s">
        <v>417</v>
      </c>
      <c r="K163" s="24">
        <v>49</v>
      </c>
      <c r="L163" s="24" t="s">
        <v>986</v>
      </c>
      <c r="M163" s="24" t="s">
        <v>987</v>
      </c>
      <c r="N163" s="24" t="s">
        <v>90</v>
      </c>
      <c r="P163" s="1" t="s">
        <v>988</v>
      </c>
      <c r="Q163" s="1" t="s">
        <v>138</v>
      </c>
    </row>
    <row r="164" spans="5:17" x14ac:dyDescent="0.15">
      <c r="E164" s="4">
        <f t="shared" si="2"/>
        <v>157</v>
      </c>
      <c r="F164" s="24" t="s">
        <v>538</v>
      </c>
      <c r="G164" s="24" t="s">
        <v>7</v>
      </c>
      <c r="H164" s="24" t="s">
        <v>90</v>
      </c>
      <c r="I164" s="24" t="s">
        <v>22</v>
      </c>
      <c r="J164" s="23" t="s">
        <v>417</v>
      </c>
      <c r="K164" s="24">
        <v>50</v>
      </c>
      <c r="L164" s="24" t="s">
        <v>989</v>
      </c>
      <c r="M164" s="24" t="s">
        <v>990</v>
      </c>
      <c r="N164" s="24" t="s">
        <v>90</v>
      </c>
      <c r="P164" s="1" t="s">
        <v>991</v>
      </c>
      <c r="Q164" s="1" t="s">
        <v>138</v>
      </c>
    </row>
    <row r="165" spans="5:17" x14ac:dyDescent="0.15">
      <c r="E165" s="4">
        <f t="shared" si="2"/>
        <v>158</v>
      </c>
      <c r="F165" s="24" t="s">
        <v>539</v>
      </c>
      <c r="G165" s="24" t="s">
        <v>7</v>
      </c>
      <c r="H165" s="24" t="s">
        <v>90</v>
      </c>
      <c r="I165" s="24" t="s">
        <v>22</v>
      </c>
      <c r="J165" s="23" t="s">
        <v>417</v>
      </c>
      <c r="K165" s="24">
        <v>51</v>
      </c>
      <c r="L165" s="24" t="s">
        <v>992</v>
      </c>
      <c r="M165" s="24" t="s">
        <v>993</v>
      </c>
      <c r="N165" s="24" t="s">
        <v>90</v>
      </c>
      <c r="P165" s="1" t="s">
        <v>994</v>
      </c>
      <c r="Q165" s="1" t="s">
        <v>138</v>
      </c>
    </row>
    <row r="166" spans="5:17" x14ac:dyDescent="0.15">
      <c r="E166" s="4">
        <f t="shared" si="2"/>
        <v>159</v>
      </c>
      <c r="F166" s="24" t="s">
        <v>540</v>
      </c>
      <c r="G166" s="24" t="s">
        <v>7</v>
      </c>
      <c r="H166" s="24" t="s">
        <v>90</v>
      </c>
      <c r="I166" s="24" t="s">
        <v>22</v>
      </c>
      <c r="J166" s="23" t="s">
        <v>417</v>
      </c>
      <c r="K166" s="24">
        <v>52</v>
      </c>
      <c r="L166" s="24" t="s">
        <v>995</v>
      </c>
      <c r="M166" s="24" t="s">
        <v>996</v>
      </c>
      <c r="N166" s="24" t="s">
        <v>90</v>
      </c>
      <c r="P166" s="1" t="s">
        <v>997</v>
      </c>
      <c r="Q166" s="1" t="s">
        <v>138</v>
      </c>
    </row>
    <row r="167" spans="5:17" x14ac:dyDescent="0.15">
      <c r="E167" s="4">
        <f t="shared" si="2"/>
        <v>160</v>
      </c>
      <c r="F167" s="24" t="s">
        <v>541</v>
      </c>
      <c r="G167" s="24" t="s">
        <v>7</v>
      </c>
      <c r="H167" s="24" t="s">
        <v>90</v>
      </c>
      <c r="I167" s="24" t="s">
        <v>22</v>
      </c>
      <c r="J167" s="23" t="s">
        <v>417</v>
      </c>
      <c r="K167" s="24">
        <v>53</v>
      </c>
      <c r="L167" s="24" t="s">
        <v>998</v>
      </c>
      <c r="M167" s="24" t="s">
        <v>999</v>
      </c>
      <c r="N167" s="24" t="s">
        <v>90</v>
      </c>
      <c r="P167" s="1" t="s">
        <v>1000</v>
      </c>
      <c r="Q167" s="1" t="s">
        <v>138</v>
      </c>
    </row>
    <row r="168" spans="5:17" x14ac:dyDescent="0.15">
      <c r="E168" s="4">
        <f t="shared" si="2"/>
        <v>161</v>
      </c>
      <c r="F168" s="24" t="s">
        <v>542</v>
      </c>
      <c r="G168" s="24" t="s">
        <v>7</v>
      </c>
      <c r="H168" s="24" t="s">
        <v>90</v>
      </c>
      <c r="I168" s="24" t="s">
        <v>22</v>
      </c>
      <c r="J168" s="23" t="s">
        <v>417</v>
      </c>
      <c r="K168" s="24">
        <v>54</v>
      </c>
      <c r="L168" s="24" t="s">
        <v>1001</v>
      </c>
      <c r="M168" s="24" t="s">
        <v>1002</v>
      </c>
      <c r="N168" s="24" t="s">
        <v>90</v>
      </c>
      <c r="P168" s="1" t="s">
        <v>1003</v>
      </c>
      <c r="Q168" s="1" t="s">
        <v>138</v>
      </c>
    </row>
    <row r="169" spans="5:17" x14ac:dyDescent="0.15">
      <c r="E169" s="4">
        <f t="shared" si="2"/>
        <v>162</v>
      </c>
      <c r="F169" s="24" t="s">
        <v>543</v>
      </c>
      <c r="G169" s="24" t="s">
        <v>7</v>
      </c>
      <c r="H169" s="24" t="s">
        <v>90</v>
      </c>
      <c r="I169" s="24" t="s">
        <v>22</v>
      </c>
      <c r="J169" s="23" t="s">
        <v>417</v>
      </c>
      <c r="K169" s="24">
        <v>55</v>
      </c>
      <c r="L169" s="24" t="s">
        <v>1004</v>
      </c>
      <c r="M169" s="24" t="s">
        <v>1005</v>
      </c>
      <c r="N169" s="24" t="s">
        <v>90</v>
      </c>
      <c r="P169" s="1" t="s">
        <v>1006</v>
      </c>
      <c r="Q169" s="1" t="s">
        <v>138</v>
      </c>
    </row>
    <row r="170" spans="5:17" x14ac:dyDescent="0.15">
      <c r="E170" s="4">
        <f t="shared" si="2"/>
        <v>163</v>
      </c>
      <c r="F170" s="24" t="s">
        <v>544</v>
      </c>
      <c r="G170" s="24" t="s">
        <v>7</v>
      </c>
      <c r="H170" s="24" t="s">
        <v>90</v>
      </c>
      <c r="I170" s="24" t="s">
        <v>22</v>
      </c>
      <c r="J170" s="23" t="s">
        <v>417</v>
      </c>
      <c r="K170" s="24">
        <v>56</v>
      </c>
      <c r="L170" s="24" t="s">
        <v>1007</v>
      </c>
      <c r="M170" s="24" t="s">
        <v>1008</v>
      </c>
      <c r="N170" s="24" t="s">
        <v>90</v>
      </c>
      <c r="P170" s="1" t="s">
        <v>1009</v>
      </c>
      <c r="Q170" s="1" t="s">
        <v>138</v>
      </c>
    </row>
    <row r="171" spans="5:17" x14ac:dyDescent="0.15">
      <c r="E171" s="4">
        <f t="shared" si="2"/>
        <v>164</v>
      </c>
      <c r="F171" s="24" t="s">
        <v>545</v>
      </c>
      <c r="G171" s="24" t="s">
        <v>7</v>
      </c>
      <c r="H171" s="24" t="s">
        <v>90</v>
      </c>
      <c r="I171" s="24" t="s">
        <v>22</v>
      </c>
      <c r="J171" s="23" t="s">
        <v>417</v>
      </c>
      <c r="K171" s="24">
        <v>57</v>
      </c>
      <c r="L171" s="24" t="s">
        <v>1010</v>
      </c>
      <c r="M171" s="24" t="s">
        <v>1011</v>
      </c>
      <c r="N171" s="24" t="s">
        <v>90</v>
      </c>
      <c r="P171" s="1" t="s">
        <v>1012</v>
      </c>
      <c r="Q171" s="1" t="s">
        <v>138</v>
      </c>
    </row>
    <row r="172" spans="5:17" x14ac:dyDescent="0.15">
      <c r="E172" s="4">
        <f t="shared" si="2"/>
        <v>165</v>
      </c>
      <c r="F172" s="24" t="s">
        <v>546</v>
      </c>
      <c r="G172" s="24" t="s">
        <v>7</v>
      </c>
      <c r="H172" s="24" t="s">
        <v>90</v>
      </c>
      <c r="I172" s="24" t="s">
        <v>22</v>
      </c>
      <c r="J172" s="23" t="s">
        <v>417</v>
      </c>
      <c r="K172" s="24">
        <v>58</v>
      </c>
      <c r="L172" s="24" t="s">
        <v>1013</v>
      </c>
      <c r="M172" s="24" t="s">
        <v>1014</v>
      </c>
      <c r="N172" s="24" t="s">
        <v>90</v>
      </c>
      <c r="P172" s="1" t="s">
        <v>1015</v>
      </c>
      <c r="Q172" s="1" t="s">
        <v>138</v>
      </c>
    </row>
    <row r="173" spans="5:17" x14ac:dyDescent="0.15">
      <c r="E173" s="4">
        <f t="shared" si="2"/>
        <v>166</v>
      </c>
      <c r="F173" s="24" t="s">
        <v>547</v>
      </c>
      <c r="G173" s="24" t="s">
        <v>7</v>
      </c>
      <c r="H173" s="24" t="s">
        <v>90</v>
      </c>
      <c r="I173" s="24" t="s">
        <v>22</v>
      </c>
      <c r="J173" s="23" t="s">
        <v>417</v>
      </c>
      <c r="K173" s="24">
        <v>59</v>
      </c>
      <c r="L173" s="24" t="s">
        <v>1016</v>
      </c>
      <c r="M173" s="24" t="s">
        <v>1017</v>
      </c>
      <c r="N173" s="24" t="s">
        <v>90</v>
      </c>
      <c r="P173" s="1" t="s">
        <v>1018</v>
      </c>
      <c r="Q173" s="1" t="s">
        <v>138</v>
      </c>
    </row>
    <row r="174" spans="5:17" x14ac:dyDescent="0.15">
      <c r="E174" s="4">
        <f t="shared" si="2"/>
        <v>167</v>
      </c>
      <c r="F174" s="24" t="s">
        <v>548</v>
      </c>
      <c r="G174" s="24" t="s">
        <v>7</v>
      </c>
      <c r="H174" s="24" t="s">
        <v>90</v>
      </c>
      <c r="I174" s="24" t="s">
        <v>22</v>
      </c>
      <c r="J174" s="23" t="s">
        <v>417</v>
      </c>
      <c r="K174" s="24">
        <v>60</v>
      </c>
      <c r="L174" s="24" t="s">
        <v>1019</v>
      </c>
      <c r="M174" s="24" t="s">
        <v>1020</v>
      </c>
      <c r="N174" s="24" t="s">
        <v>90</v>
      </c>
      <c r="P174" s="1" t="s">
        <v>1021</v>
      </c>
      <c r="Q174" s="1" t="s">
        <v>138</v>
      </c>
    </row>
    <row r="175" spans="5:17" x14ac:dyDescent="0.15">
      <c r="E175" s="4">
        <f t="shared" si="2"/>
        <v>168</v>
      </c>
      <c r="F175" s="24" t="s">
        <v>549</v>
      </c>
      <c r="G175" s="24" t="s">
        <v>7</v>
      </c>
      <c r="H175" s="24" t="s">
        <v>90</v>
      </c>
      <c r="I175" s="24" t="s">
        <v>22</v>
      </c>
      <c r="J175" s="23" t="s">
        <v>417</v>
      </c>
      <c r="K175" s="24">
        <v>61</v>
      </c>
      <c r="L175" s="24" t="s">
        <v>1022</v>
      </c>
      <c r="M175" s="24" t="s">
        <v>1023</v>
      </c>
      <c r="N175" s="24" t="s">
        <v>90</v>
      </c>
      <c r="P175" s="1" t="s">
        <v>1024</v>
      </c>
      <c r="Q175" s="1" t="s">
        <v>138</v>
      </c>
    </row>
    <row r="176" spans="5:17" x14ac:dyDescent="0.15">
      <c r="E176" s="4">
        <f t="shared" si="2"/>
        <v>169</v>
      </c>
      <c r="F176" s="24" t="s">
        <v>550</v>
      </c>
      <c r="G176" s="24" t="s">
        <v>7</v>
      </c>
      <c r="H176" s="24" t="s">
        <v>90</v>
      </c>
      <c r="I176" s="24" t="s">
        <v>22</v>
      </c>
      <c r="J176" s="23" t="s">
        <v>417</v>
      </c>
      <c r="K176" s="24">
        <v>62</v>
      </c>
      <c r="L176" s="24" t="s">
        <v>1025</v>
      </c>
      <c r="M176" s="24" t="s">
        <v>1026</v>
      </c>
      <c r="N176" s="24" t="s">
        <v>90</v>
      </c>
      <c r="P176" s="1" t="s">
        <v>1027</v>
      </c>
      <c r="Q176" s="1" t="s">
        <v>138</v>
      </c>
    </row>
    <row r="177" spans="5:17" x14ac:dyDescent="0.15">
      <c r="E177" s="4">
        <f t="shared" si="2"/>
        <v>170</v>
      </c>
      <c r="F177" s="24" t="s">
        <v>551</v>
      </c>
      <c r="G177" s="24" t="s">
        <v>7</v>
      </c>
      <c r="H177" s="24" t="s">
        <v>90</v>
      </c>
      <c r="I177" s="24" t="s">
        <v>22</v>
      </c>
      <c r="J177" s="23" t="s">
        <v>417</v>
      </c>
      <c r="K177" s="24">
        <v>63</v>
      </c>
      <c r="L177" s="24" t="s">
        <v>1028</v>
      </c>
      <c r="M177" s="24" t="s">
        <v>1029</v>
      </c>
      <c r="N177" s="24" t="s">
        <v>90</v>
      </c>
      <c r="P177" s="1" t="s">
        <v>1030</v>
      </c>
      <c r="Q177" s="1" t="s">
        <v>138</v>
      </c>
    </row>
    <row r="178" spans="5:17" x14ac:dyDescent="0.15">
      <c r="E178" s="4">
        <f t="shared" si="2"/>
        <v>171</v>
      </c>
      <c r="F178" s="24" t="s">
        <v>552</v>
      </c>
      <c r="G178" s="24" t="s">
        <v>7</v>
      </c>
      <c r="H178" s="24" t="s">
        <v>90</v>
      </c>
      <c r="I178" s="24" t="s">
        <v>22</v>
      </c>
      <c r="J178" s="23" t="s">
        <v>417</v>
      </c>
      <c r="K178" s="24">
        <v>64</v>
      </c>
      <c r="L178" s="24" t="s">
        <v>1031</v>
      </c>
      <c r="M178" s="24" t="s">
        <v>1032</v>
      </c>
      <c r="N178" s="24" t="s">
        <v>90</v>
      </c>
      <c r="P178" s="1" t="s">
        <v>1033</v>
      </c>
      <c r="Q178" s="1" t="s">
        <v>138</v>
      </c>
    </row>
    <row r="179" spans="5:17" x14ac:dyDescent="0.15">
      <c r="E179" s="4">
        <f t="shared" si="2"/>
        <v>172</v>
      </c>
      <c r="F179" s="24" t="s">
        <v>553</v>
      </c>
      <c r="G179" s="24" t="s">
        <v>7</v>
      </c>
      <c r="H179" s="24" t="s">
        <v>90</v>
      </c>
      <c r="I179" s="24" t="s">
        <v>22</v>
      </c>
      <c r="J179" s="23" t="s">
        <v>417</v>
      </c>
      <c r="K179" s="24">
        <v>65</v>
      </c>
      <c r="L179" s="24" t="s">
        <v>1034</v>
      </c>
      <c r="M179" s="24" t="s">
        <v>1035</v>
      </c>
      <c r="N179" s="24" t="s">
        <v>90</v>
      </c>
      <c r="P179" s="1" t="s">
        <v>1036</v>
      </c>
      <c r="Q179" s="1" t="s">
        <v>138</v>
      </c>
    </row>
    <row r="180" spans="5:17" x14ac:dyDescent="0.15">
      <c r="E180" s="4">
        <f t="shared" si="2"/>
        <v>173</v>
      </c>
      <c r="F180" s="24" t="s">
        <v>554</v>
      </c>
      <c r="G180" s="24" t="s">
        <v>7</v>
      </c>
      <c r="H180" s="24" t="s">
        <v>90</v>
      </c>
      <c r="I180" s="24" t="s">
        <v>22</v>
      </c>
      <c r="J180" s="23" t="s">
        <v>417</v>
      </c>
      <c r="K180" s="24">
        <v>66</v>
      </c>
      <c r="L180" s="24" t="s">
        <v>1037</v>
      </c>
      <c r="M180" s="24" t="s">
        <v>1038</v>
      </c>
      <c r="N180" s="24" t="s">
        <v>90</v>
      </c>
      <c r="P180" s="1" t="s">
        <v>1039</v>
      </c>
      <c r="Q180" s="1" t="s">
        <v>138</v>
      </c>
    </row>
    <row r="181" spans="5:17" x14ac:dyDescent="0.15">
      <c r="E181" s="4">
        <f t="shared" si="2"/>
        <v>174</v>
      </c>
      <c r="F181" s="24" t="s">
        <v>555</v>
      </c>
      <c r="G181" s="24" t="s">
        <v>7</v>
      </c>
      <c r="H181" s="24" t="s">
        <v>90</v>
      </c>
      <c r="I181" s="24" t="s">
        <v>21</v>
      </c>
      <c r="J181" s="23" t="s">
        <v>417</v>
      </c>
      <c r="K181" s="24">
        <v>1</v>
      </c>
      <c r="L181" s="24" t="s">
        <v>1040</v>
      </c>
      <c r="M181" s="24" t="s">
        <v>1041</v>
      </c>
      <c r="N181" s="24" t="s">
        <v>90</v>
      </c>
      <c r="P181" s="1" t="s">
        <v>1042</v>
      </c>
      <c r="Q181" s="1" t="s">
        <v>135</v>
      </c>
    </row>
    <row r="182" spans="5:17" x14ac:dyDescent="0.15">
      <c r="E182" s="4">
        <f t="shared" si="2"/>
        <v>175</v>
      </c>
      <c r="F182" s="24" t="s">
        <v>556</v>
      </c>
      <c r="G182" s="24" t="s">
        <v>7</v>
      </c>
      <c r="H182" s="24" t="s">
        <v>90</v>
      </c>
      <c r="I182" s="24" t="s">
        <v>20</v>
      </c>
      <c r="J182" s="9" t="s">
        <v>561</v>
      </c>
      <c r="K182" s="24">
        <v>9</v>
      </c>
      <c r="L182" s="24" t="s">
        <v>1043</v>
      </c>
      <c r="M182" s="24" t="s">
        <v>1044</v>
      </c>
      <c r="N182" s="24" t="s">
        <v>90</v>
      </c>
      <c r="P182" s="1" t="s">
        <v>1045</v>
      </c>
      <c r="Q182" s="1" t="s">
        <v>130</v>
      </c>
    </row>
    <row r="183" spans="5:17" x14ac:dyDescent="0.15">
      <c r="E183" s="4">
        <f t="shared" si="2"/>
        <v>176</v>
      </c>
      <c r="F183" s="24" t="s">
        <v>557</v>
      </c>
      <c r="G183" s="24" t="s">
        <v>7</v>
      </c>
      <c r="H183" s="24" t="s">
        <v>90</v>
      </c>
      <c r="I183" s="24" t="s">
        <v>20</v>
      </c>
      <c r="J183" s="9" t="s">
        <v>561</v>
      </c>
      <c r="K183" s="24">
        <v>10</v>
      </c>
      <c r="L183" s="24" t="s">
        <v>1046</v>
      </c>
      <c r="M183" s="24" t="s">
        <v>1047</v>
      </c>
      <c r="N183" s="24" t="s">
        <v>90</v>
      </c>
      <c r="P183" s="1" t="s">
        <v>1048</v>
      </c>
      <c r="Q183" s="1" t="s">
        <v>130</v>
      </c>
    </row>
    <row r="184" spans="5:17" x14ac:dyDescent="0.15">
      <c r="E184" s="4">
        <f t="shared" si="2"/>
        <v>177</v>
      </c>
      <c r="F184" s="24" t="s">
        <v>558</v>
      </c>
      <c r="G184" s="24" t="s">
        <v>11</v>
      </c>
      <c r="H184" s="24" t="s">
        <v>90</v>
      </c>
      <c r="I184" s="24" t="s">
        <v>20</v>
      </c>
      <c r="J184" s="9" t="s">
        <v>562</v>
      </c>
      <c r="K184" s="24">
        <v>4</v>
      </c>
      <c r="L184" s="24" t="s">
        <v>1049</v>
      </c>
      <c r="M184" s="24" t="s">
        <v>1050</v>
      </c>
      <c r="N184" s="24" t="s">
        <v>90</v>
      </c>
      <c r="P184" s="1" t="s">
        <v>1051</v>
      </c>
      <c r="Q184" s="1" t="s">
        <v>132</v>
      </c>
    </row>
    <row r="185" spans="5:17" x14ac:dyDescent="0.15">
      <c r="E185" s="4">
        <f t="shared" si="2"/>
        <v>178</v>
      </c>
      <c r="F185" s="24" t="s">
        <v>559</v>
      </c>
      <c r="G185" s="24" t="s">
        <v>7</v>
      </c>
      <c r="H185" s="24" t="s">
        <v>90</v>
      </c>
      <c r="I185" s="24" t="s">
        <v>20</v>
      </c>
      <c r="J185" s="9" t="s">
        <v>562</v>
      </c>
      <c r="K185" s="24">
        <v>11</v>
      </c>
      <c r="L185" s="24" t="s">
        <v>1052</v>
      </c>
      <c r="M185" s="24" t="s">
        <v>1053</v>
      </c>
      <c r="N185" s="24" t="s">
        <v>90</v>
      </c>
      <c r="P185" s="1" t="s">
        <v>1054</v>
      </c>
      <c r="Q185" s="1" t="s">
        <v>130</v>
      </c>
    </row>
    <row r="186" spans="5:17" x14ac:dyDescent="0.15">
      <c r="E186" s="4">
        <f t="shared" si="2"/>
        <v>179</v>
      </c>
      <c r="F186" s="24" t="s">
        <v>560</v>
      </c>
      <c r="G186" s="24" t="s">
        <v>9</v>
      </c>
      <c r="H186" s="24" t="s">
        <v>90</v>
      </c>
      <c r="I186" s="24" t="s">
        <v>20</v>
      </c>
      <c r="J186" s="9" t="s">
        <v>562</v>
      </c>
      <c r="K186" s="24">
        <v>3</v>
      </c>
      <c r="L186" s="24" t="s">
        <v>1055</v>
      </c>
      <c r="M186" s="24" t="s">
        <v>1056</v>
      </c>
      <c r="N186" s="24" t="s">
        <v>90</v>
      </c>
      <c r="P186" s="1" t="s">
        <v>1057</v>
      </c>
      <c r="Q186" s="1" t="s">
        <v>131</v>
      </c>
    </row>
    <row r="187" spans="5:17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7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7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7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7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7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86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39" t="s">
        <v>78</v>
      </c>
      <c r="M6" s="39"/>
      <c r="N6" s="39" t="s">
        <v>79</v>
      </c>
      <c r="O6" s="39"/>
      <c r="P6" s="39" t="s">
        <v>80</v>
      </c>
      <c r="Q6" s="39"/>
      <c r="R6" s="39" t="s">
        <v>81</v>
      </c>
      <c r="S6" s="39"/>
      <c r="T6" s="2"/>
    </row>
    <row r="7" spans="5:20" x14ac:dyDescent="0.15">
      <c r="E7" s="3" t="s">
        <v>82</v>
      </c>
      <c r="F7" s="3" t="s">
        <v>83</v>
      </c>
      <c r="G7" s="40" t="s">
        <v>84</v>
      </c>
      <c r="H7" s="40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316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318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320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322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285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287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289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291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293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295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297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299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301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303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305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308</v>
      </c>
      <c r="F23" s="4" t="s">
        <v>268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332</v>
      </c>
      <c r="F24" s="4" t="s">
        <v>333</v>
      </c>
      <c r="G24" s="4" t="s">
        <v>9</v>
      </c>
      <c r="H24" s="4" t="s">
        <v>90</v>
      </c>
      <c r="I24" s="4" t="s">
        <v>23</v>
      </c>
      <c r="J24" s="4" t="b">
        <v>0</v>
      </c>
      <c r="K24" s="4" t="b">
        <v>0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336</v>
      </c>
      <c r="F25" s="4" t="s">
        <v>335</v>
      </c>
      <c r="G25" s="4" t="s">
        <v>9</v>
      </c>
      <c r="H25" s="4" t="s">
        <v>90</v>
      </c>
      <c r="I25" s="4" t="s">
        <v>23</v>
      </c>
      <c r="J25" s="4" t="b">
        <v>0</v>
      </c>
      <c r="K25" s="4" t="b">
        <v>0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337</v>
      </c>
      <c r="F26" s="4" t="s">
        <v>338</v>
      </c>
      <c r="G26" s="4" t="s">
        <v>11</v>
      </c>
      <c r="H26" s="4" t="s">
        <v>90</v>
      </c>
      <c r="I26" s="4" t="s">
        <v>22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340</v>
      </c>
      <c r="F27" s="4" t="s">
        <v>341</v>
      </c>
      <c r="G27" s="4" t="s">
        <v>11</v>
      </c>
      <c r="H27" s="4" t="s">
        <v>90</v>
      </c>
      <c r="I27" s="4" t="s">
        <v>23</v>
      </c>
      <c r="J27" s="4" t="b">
        <v>0</v>
      </c>
      <c r="K27" s="4" t="b">
        <v>0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564</v>
      </c>
      <c r="F28" s="4" t="s">
        <v>565</v>
      </c>
      <c r="G28" s="4" t="s">
        <v>11</v>
      </c>
      <c r="H28" s="4" t="s">
        <v>90</v>
      </c>
      <c r="I28" s="4" t="s">
        <v>23</v>
      </c>
      <c r="J28" s="4" t="b">
        <v>0</v>
      </c>
      <c r="K28" s="4" t="b">
        <v>0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567</v>
      </c>
      <c r="F29" s="4" t="s">
        <v>568</v>
      </c>
      <c r="G29" s="4" t="s">
        <v>11</v>
      </c>
      <c r="H29" s="4" t="s">
        <v>90</v>
      </c>
      <c r="I29" s="4" t="s">
        <v>23</v>
      </c>
      <c r="J29" s="4" t="b">
        <v>0</v>
      </c>
      <c r="K29" s="4" t="b">
        <v>0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343</v>
      </c>
      <c r="F30" s="4" t="s">
        <v>344</v>
      </c>
      <c r="G30" s="4" t="s">
        <v>7</v>
      </c>
      <c r="H30" s="4" t="s">
        <v>90</v>
      </c>
      <c r="I30" s="4" t="s">
        <v>23</v>
      </c>
      <c r="J30" s="4" t="b">
        <v>0</v>
      </c>
      <c r="K30" s="4" t="b">
        <v>0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346</v>
      </c>
      <c r="F31" s="4" t="s">
        <v>349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347</v>
      </c>
      <c r="F32" s="4" t="s">
        <v>361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376</v>
      </c>
      <c r="F33" s="4" t="s">
        <v>401</v>
      </c>
      <c r="G33" s="4" t="s">
        <v>9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377</v>
      </c>
      <c r="F34" s="4" t="s">
        <v>403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378</v>
      </c>
      <c r="F35" s="4" t="s">
        <v>405</v>
      </c>
      <c r="G35" s="4" t="s">
        <v>11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379</v>
      </c>
      <c r="F36" s="4" t="s">
        <v>407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380</v>
      </c>
      <c r="F37" s="4" t="s">
        <v>358</v>
      </c>
      <c r="G37" s="4" t="s">
        <v>29</v>
      </c>
      <c r="H37" s="4">
        <v>32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383</v>
      </c>
      <c r="F38" s="4" t="s">
        <v>359</v>
      </c>
      <c r="G38" s="4" t="s">
        <v>29</v>
      </c>
      <c r="H38" s="4">
        <v>32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386</v>
      </c>
      <c r="F39" s="4" t="s">
        <v>387</v>
      </c>
      <c r="G39" s="4" t="s">
        <v>29</v>
      </c>
      <c r="H39" s="4">
        <v>28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390</v>
      </c>
      <c r="F40" s="4" t="s">
        <v>391</v>
      </c>
      <c r="G40" s="4" t="s">
        <v>29</v>
      </c>
      <c r="H40" s="4">
        <v>28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570</v>
      </c>
      <c r="F41" s="4" t="s">
        <v>571</v>
      </c>
      <c r="G41" s="4" t="s">
        <v>11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573</v>
      </c>
      <c r="F42" s="4" t="s">
        <v>574</v>
      </c>
      <c r="G42" s="4" t="s">
        <v>29</v>
      </c>
      <c r="H42" s="4">
        <v>28</v>
      </c>
      <c r="I42" s="4" t="s">
        <v>22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577</v>
      </c>
      <c r="F43" s="4" t="s">
        <v>578</v>
      </c>
      <c r="G43" s="4" t="s">
        <v>29</v>
      </c>
      <c r="H43" s="4">
        <v>32</v>
      </c>
      <c r="I43" s="4" t="s">
        <v>22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581</v>
      </c>
      <c r="F44" s="4" t="s">
        <v>582</v>
      </c>
      <c r="G44" s="4" t="s">
        <v>29</v>
      </c>
      <c r="H44" s="4">
        <v>8</v>
      </c>
      <c r="I44" s="4" t="s">
        <v>22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585</v>
      </c>
      <c r="F45" s="4" t="s">
        <v>586</v>
      </c>
      <c r="G45" s="4" t="s">
        <v>29</v>
      </c>
      <c r="H45" s="4">
        <v>8</v>
      </c>
      <c r="I45" s="4" t="s">
        <v>22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589</v>
      </c>
      <c r="F46" s="4" t="s">
        <v>590</v>
      </c>
      <c r="G46" s="4" t="s">
        <v>29</v>
      </c>
      <c r="H46" s="4">
        <v>8</v>
      </c>
      <c r="I46" s="4" t="s">
        <v>22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593</v>
      </c>
      <c r="F47" s="4" t="s">
        <v>594</v>
      </c>
      <c r="G47" s="4" t="s">
        <v>29</v>
      </c>
      <c r="H47" s="4">
        <v>8</v>
      </c>
      <c r="I47" s="4" t="s">
        <v>22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597</v>
      </c>
      <c r="F48" s="4" t="s">
        <v>598</v>
      </c>
      <c r="G48" s="4" t="s">
        <v>29</v>
      </c>
      <c r="H48" s="4">
        <v>8</v>
      </c>
      <c r="I48" s="4" t="s">
        <v>22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601</v>
      </c>
      <c r="F49" s="4" t="s">
        <v>602</v>
      </c>
      <c r="G49" s="4" t="s">
        <v>29</v>
      </c>
      <c r="H49" s="4">
        <v>8</v>
      </c>
      <c r="I49" s="4" t="s">
        <v>22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605</v>
      </c>
      <c r="F50" s="4" t="s">
        <v>606</v>
      </c>
      <c r="G50" s="4" t="s">
        <v>29</v>
      </c>
      <c r="H50" s="4">
        <v>8</v>
      </c>
      <c r="I50" s="4" t="s">
        <v>22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609</v>
      </c>
      <c r="F51" s="4" t="s">
        <v>610</v>
      </c>
      <c r="G51" s="4" t="s">
        <v>29</v>
      </c>
      <c r="H51" s="4">
        <v>8</v>
      </c>
      <c r="I51" s="4" t="s">
        <v>22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613</v>
      </c>
      <c r="F52" s="4" t="s">
        <v>614</v>
      </c>
      <c r="G52" s="4" t="s">
        <v>29</v>
      </c>
      <c r="H52" s="4">
        <v>8</v>
      </c>
      <c r="I52" s="4" t="s">
        <v>22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617</v>
      </c>
      <c r="F53" s="4" t="s">
        <v>618</v>
      </c>
      <c r="G53" s="4" t="s">
        <v>29</v>
      </c>
      <c r="H53" s="4">
        <v>8</v>
      </c>
      <c r="I53" s="4" t="s">
        <v>22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621</v>
      </c>
      <c r="F54" s="4" t="s">
        <v>622</v>
      </c>
      <c r="G54" s="4" t="s">
        <v>29</v>
      </c>
      <c r="H54" s="4">
        <v>8</v>
      </c>
      <c r="I54" s="4" t="s">
        <v>22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625</v>
      </c>
      <c r="F55" s="4" t="s">
        <v>626</v>
      </c>
      <c r="G55" s="4" t="s">
        <v>29</v>
      </c>
      <c r="H55" s="4">
        <v>8</v>
      </c>
      <c r="I55" s="4" t="s">
        <v>22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629</v>
      </c>
      <c r="F56" s="4" t="s">
        <v>630</v>
      </c>
      <c r="G56" s="4" t="s">
        <v>29</v>
      </c>
      <c r="H56" s="4">
        <v>8</v>
      </c>
      <c r="I56" s="4" t="s">
        <v>22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633</v>
      </c>
      <c r="F57" s="4" t="s">
        <v>634</v>
      </c>
      <c r="G57" s="4" t="s">
        <v>29</v>
      </c>
      <c r="H57" s="4">
        <v>8</v>
      </c>
      <c r="I57" s="4" t="s">
        <v>22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637</v>
      </c>
      <c r="F58" s="4" t="s">
        <v>638</v>
      </c>
      <c r="G58" s="4" t="s">
        <v>29</v>
      </c>
      <c r="H58" s="4">
        <v>8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641</v>
      </c>
      <c r="F59" s="4" t="s">
        <v>642</v>
      </c>
      <c r="G59" s="4" t="s">
        <v>29</v>
      </c>
      <c r="H59" s="4">
        <v>8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645</v>
      </c>
      <c r="F60" s="4" t="s">
        <v>646</v>
      </c>
      <c r="G60" s="4" t="s">
        <v>29</v>
      </c>
      <c r="H60" s="4">
        <v>8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649</v>
      </c>
      <c r="F61" s="4" t="s">
        <v>650</v>
      </c>
      <c r="G61" s="4" t="s">
        <v>29</v>
      </c>
      <c r="H61" s="4">
        <v>8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653</v>
      </c>
      <c r="F62" s="4" t="s">
        <v>654</v>
      </c>
      <c r="G62" s="4" t="s">
        <v>29</v>
      </c>
      <c r="H62" s="4">
        <v>8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657</v>
      </c>
      <c r="F63" s="4" t="s">
        <v>658</v>
      </c>
      <c r="G63" s="4" t="s">
        <v>29</v>
      </c>
      <c r="H63" s="4">
        <v>8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661</v>
      </c>
      <c r="F64" s="4" t="s">
        <v>662</v>
      </c>
      <c r="G64" s="4" t="s">
        <v>29</v>
      </c>
      <c r="H64" s="4">
        <v>8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665</v>
      </c>
      <c r="F65" s="4" t="s">
        <v>666</v>
      </c>
      <c r="G65" s="4" t="s">
        <v>29</v>
      </c>
      <c r="H65" s="4">
        <v>12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669</v>
      </c>
      <c r="F66" s="4" t="s">
        <v>670</v>
      </c>
      <c r="G66" s="4" t="s">
        <v>29</v>
      </c>
      <c r="H66" s="4">
        <v>12</v>
      </c>
      <c r="I66" s="4" t="s">
        <v>22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673</v>
      </c>
      <c r="F67" s="4" t="s">
        <v>674</v>
      </c>
      <c r="G67" s="4" t="s">
        <v>29</v>
      </c>
      <c r="H67" s="4">
        <v>12</v>
      </c>
      <c r="I67" s="4" t="s">
        <v>22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677</v>
      </c>
      <c r="F68" s="4" t="s">
        <v>678</v>
      </c>
      <c r="G68" s="4" t="s">
        <v>29</v>
      </c>
      <c r="H68" s="4">
        <v>12</v>
      </c>
      <c r="I68" s="4" t="s">
        <v>22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681</v>
      </c>
      <c r="F69" s="4" t="s">
        <v>682</v>
      </c>
      <c r="G69" s="4" t="s">
        <v>29</v>
      </c>
      <c r="H69" s="4">
        <v>12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685</v>
      </c>
      <c r="F70" s="4" t="s">
        <v>686</v>
      </c>
      <c r="G70" s="4" t="s">
        <v>29</v>
      </c>
      <c r="H70" s="4">
        <v>12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689</v>
      </c>
      <c r="F71" s="4" t="s">
        <v>690</v>
      </c>
      <c r="G71" s="4" t="s">
        <v>29</v>
      </c>
      <c r="H71" s="4">
        <v>12</v>
      </c>
      <c r="I71" s="4" t="s">
        <v>22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693</v>
      </c>
      <c r="F72" s="4" t="s">
        <v>694</v>
      </c>
      <c r="G72" s="4" t="s">
        <v>29</v>
      </c>
      <c r="H72" s="4">
        <v>12</v>
      </c>
      <c r="I72" s="4" t="s">
        <v>22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697</v>
      </c>
      <c r="F73" s="4" t="s">
        <v>698</v>
      </c>
      <c r="G73" s="4" t="s">
        <v>29</v>
      </c>
      <c r="H73" s="4">
        <v>12</v>
      </c>
      <c r="I73" s="4" t="s">
        <v>22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701</v>
      </c>
      <c r="F74" s="4" t="s">
        <v>702</v>
      </c>
      <c r="G74" s="4" t="s">
        <v>29</v>
      </c>
      <c r="H74" s="4">
        <v>12</v>
      </c>
      <c r="I74" s="4" t="s">
        <v>22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705</v>
      </c>
      <c r="F75" s="4" t="s">
        <v>706</v>
      </c>
      <c r="G75" s="4" t="s">
        <v>29</v>
      </c>
      <c r="H75" s="4">
        <v>12</v>
      </c>
      <c r="I75" s="4" t="s">
        <v>22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709</v>
      </c>
      <c r="F76" s="4" t="s">
        <v>710</v>
      </c>
      <c r="G76" s="4" t="s">
        <v>29</v>
      </c>
      <c r="H76" s="4">
        <v>12</v>
      </c>
      <c r="I76" s="4" t="s">
        <v>22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713</v>
      </c>
      <c r="F77" s="4" t="s">
        <v>714</v>
      </c>
      <c r="G77" s="4" t="s">
        <v>29</v>
      </c>
      <c r="H77" s="4">
        <v>12</v>
      </c>
      <c r="I77" s="4" t="s">
        <v>22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717</v>
      </c>
      <c r="F78" s="4" t="s">
        <v>718</v>
      </c>
      <c r="G78" s="4" t="s">
        <v>29</v>
      </c>
      <c r="H78" s="4">
        <v>12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721</v>
      </c>
      <c r="F79" s="4" t="s">
        <v>722</v>
      </c>
      <c r="G79" s="4" t="s">
        <v>29</v>
      </c>
      <c r="H79" s="4">
        <v>12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725</v>
      </c>
      <c r="F80" s="4" t="s">
        <v>726</v>
      </c>
      <c r="G80" s="4" t="s">
        <v>29</v>
      </c>
      <c r="H80" s="4">
        <v>12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729</v>
      </c>
      <c r="F81" s="4" t="s">
        <v>730</v>
      </c>
      <c r="G81" s="4" t="s">
        <v>29</v>
      </c>
      <c r="H81" s="4">
        <v>12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733</v>
      </c>
      <c r="F82" s="4" t="s">
        <v>734</v>
      </c>
      <c r="G82" s="4" t="s">
        <v>29</v>
      </c>
      <c r="H82" s="4">
        <v>12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737</v>
      </c>
      <c r="F83" s="4" t="s">
        <v>738</v>
      </c>
      <c r="G83" s="4" t="s">
        <v>29</v>
      </c>
      <c r="H83" s="4">
        <v>12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741</v>
      </c>
      <c r="F84" s="4" t="s">
        <v>742</v>
      </c>
      <c r="G84" s="4" t="s">
        <v>29</v>
      </c>
      <c r="H84" s="4">
        <v>12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745</v>
      </c>
      <c r="F85" s="4" t="s">
        <v>746</v>
      </c>
      <c r="G85" s="4" t="s">
        <v>29</v>
      </c>
      <c r="H85" s="4">
        <v>12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749</v>
      </c>
      <c r="F86" s="4" t="s">
        <v>750</v>
      </c>
      <c r="G86" s="4" t="s">
        <v>29</v>
      </c>
      <c r="H86" s="4">
        <v>32</v>
      </c>
      <c r="I86" s="4" t="s">
        <v>22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753</v>
      </c>
      <c r="F87" s="4" t="s">
        <v>754</v>
      </c>
      <c r="G87" s="4" t="s">
        <v>29</v>
      </c>
      <c r="H87" s="4">
        <v>32</v>
      </c>
      <c r="I87" s="4" t="s">
        <v>22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757</v>
      </c>
      <c r="F88" s="4" t="s">
        <v>758</v>
      </c>
      <c r="G88" s="4" t="s">
        <v>29</v>
      </c>
      <c r="H88" s="4">
        <v>32</v>
      </c>
      <c r="I88" s="4" t="s">
        <v>22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761</v>
      </c>
      <c r="F89" s="4" t="s">
        <v>762</v>
      </c>
      <c r="G89" s="4" t="s">
        <v>29</v>
      </c>
      <c r="H89" s="4">
        <v>32</v>
      </c>
      <c r="I89" s="4" t="s">
        <v>22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765</v>
      </c>
      <c r="F90" s="4" t="s">
        <v>766</v>
      </c>
      <c r="G90" s="4" t="s">
        <v>29</v>
      </c>
      <c r="H90" s="4">
        <v>32</v>
      </c>
      <c r="I90" s="4" t="s">
        <v>22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769</v>
      </c>
      <c r="F91" s="4" t="s">
        <v>770</v>
      </c>
      <c r="G91" s="4" t="s">
        <v>29</v>
      </c>
      <c r="H91" s="4">
        <v>32</v>
      </c>
      <c r="I91" s="4" t="s">
        <v>22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773</v>
      </c>
      <c r="F92" s="4" t="s">
        <v>774</v>
      </c>
      <c r="G92" s="4" t="s">
        <v>29</v>
      </c>
      <c r="H92" s="4">
        <v>32</v>
      </c>
      <c r="I92" s="4" t="s">
        <v>22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777</v>
      </c>
      <c r="F93" s="4" t="s">
        <v>778</v>
      </c>
      <c r="G93" s="4" t="s">
        <v>29</v>
      </c>
      <c r="H93" s="4">
        <v>32</v>
      </c>
      <c r="I93" s="4" t="s">
        <v>22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781</v>
      </c>
      <c r="F94" s="4" t="s">
        <v>782</v>
      </c>
      <c r="G94" s="4" t="s">
        <v>29</v>
      </c>
      <c r="H94" s="4">
        <v>32</v>
      </c>
      <c r="I94" s="4" t="s">
        <v>22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785</v>
      </c>
      <c r="F95" s="4" t="s">
        <v>786</v>
      </c>
      <c r="G95" s="4" t="s">
        <v>29</v>
      </c>
      <c r="H95" s="4">
        <v>32</v>
      </c>
      <c r="I95" s="4" t="s">
        <v>22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789</v>
      </c>
      <c r="F96" s="4" t="s">
        <v>790</v>
      </c>
      <c r="G96" s="4" t="s">
        <v>29</v>
      </c>
      <c r="H96" s="4">
        <v>32</v>
      </c>
      <c r="I96" s="4" t="s">
        <v>22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793</v>
      </c>
      <c r="F97" s="4" t="s">
        <v>794</v>
      </c>
      <c r="G97" s="4" t="s">
        <v>29</v>
      </c>
      <c r="H97" s="4">
        <v>32</v>
      </c>
      <c r="I97" s="4" t="s">
        <v>22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797</v>
      </c>
      <c r="F98" s="4" t="s">
        <v>798</v>
      </c>
      <c r="G98" s="4" t="s">
        <v>29</v>
      </c>
      <c r="H98" s="4">
        <v>32</v>
      </c>
      <c r="I98" s="4" t="s">
        <v>22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801</v>
      </c>
      <c r="F99" s="4" t="s">
        <v>802</v>
      </c>
      <c r="G99" s="4" t="s">
        <v>29</v>
      </c>
      <c r="H99" s="4">
        <v>32</v>
      </c>
      <c r="I99" s="4" t="s">
        <v>22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805</v>
      </c>
      <c r="F100" s="4" t="s">
        <v>806</v>
      </c>
      <c r="G100" s="4" t="s">
        <v>29</v>
      </c>
      <c r="H100" s="4">
        <v>32</v>
      </c>
      <c r="I100" s="4" t="s">
        <v>22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809</v>
      </c>
      <c r="F101" s="4" t="s">
        <v>810</v>
      </c>
      <c r="G101" s="4" t="s">
        <v>29</v>
      </c>
      <c r="H101" s="4">
        <v>32</v>
      </c>
      <c r="I101" s="4" t="s">
        <v>22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813</v>
      </c>
      <c r="F102" s="4" t="s">
        <v>814</v>
      </c>
      <c r="G102" s="4" t="s">
        <v>29</v>
      </c>
      <c r="H102" s="4">
        <v>32</v>
      </c>
      <c r="I102" s="4" t="s">
        <v>22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817</v>
      </c>
      <c r="F103" s="4" t="s">
        <v>818</v>
      </c>
      <c r="G103" s="4" t="s">
        <v>29</v>
      </c>
      <c r="H103" s="4">
        <v>32</v>
      </c>
      <c r="I103" s="4" t="s">
        <v>22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821</v>
      </c>
      <c r="F104" s="4" t="s">
        <v>822</v>
      </c>
      <c r="G104" s="4" t="s">
        <v>29</v>
      </c>
      <c r="H104" s="4">
        <v>32</v>
      </c>
      <c r="I104" s="4" t="s">
        <v>22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825</v>
      </c>
      <c r="F105" s="4" t="s">
        <v>826</v>
      </c>
      <c r="G105" s="4" t="s">
        <v>29</v>
      </c>
      <c r="H105" s="4">
        <v>32</v>
      </c>
      <c r="I105" s="4" t="s">
        <v>22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829</v>
      </c>
      <c r="F106" s="4" t="s">
        <v>830</v>
      </c>
      <c r="G106" s="4" t="s">
        <v>29</v>
      </c>
      <c r="H106" s="4">
        <v>32</v>
      </c>
      <c r="I106" s="4" t="s">
        <v>22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833</v>
      </c>
      <c r="F107" s="4" t="s">
        <v>834</v>
      </c>
      <c r="G107" s="4" t="s">
        <v>29</v>
      </c>
      <c r="H107" s="4">
        <v>8</v>
      </c>
      <c r="I107" s="4" t="s">
        <v>22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836</v>
      </c>
      <c r="F108" s="4" t="s">
        <v>837</v>
      </c>
      <c r="G108" s="4" t="s">
        <v>11</v>
      </c>
      <c r="H108" s="4" t="s">
        <v>90</v>
      </c>
      <c r="I108" s="4" t="s">
        <v>21</v>
      </c>
      <c r="J108" s="4" t="b">
        <v>1</v>
      </c>
      <c r="K108" s="4" t="b">
        <v>0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348</v>
      </c>
      <c r="F109" s="4" t="s">
        <v>370</v>
      </c>
      <c r="G109" s="4" t="s">
        <v>7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360</v>
      </c>
      <c r="F110" s="4" t="s">
        <v>372</v>
      </c>
      <c r="G110" s="4" t="s">
        <v>7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369</v>
      </c>
      <c r="F111" s="4" t="s">
        <v>394</v>
      </c>
      <c r="G111" s="4" t="s">
        <v>7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371</v>
      </c>
      <c r="F112" s="4" t="s">
        <v>412</v>
      </c>
      <c r="G112" s="4" t="s">
        <v>7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393</v>
      </c>
      <c r="F113" s="4" t="s">
        <v>414</v>
      </c>
      <c r="G113" s="4" t="s">
        <v>7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839</v>
      </c>
      <c r="F114" s="4" t="s">
        <v>840</v>
      </c>
      <c r="G114" s="4" t="s">
        <v>7</v>
      </c>
      <c r="H114" s="4" t="s">
        <v>90</v>
      </c>
      <c r="I114" s="4" t="s">
        <v>20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842</v>
      </c>
      <c r="F115" s="4" t="s">
        <v>843</v>
      </c>
      <c r="G115" s="4" t="s">
        <v>7</v>
      </c>
      <c r="H115" s="4" t="s">
        <v>90</v>
      </c>
      <c r="I115" s="4" t="s">
        <v>22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845</v>
      </c>
      <c r="F116" s="4" t="s">
        <v>846</v>
      </c>
      <c r="G116" s="4" t="s">
        <v>7</v>
      </c>
      <c r="H116" s="4" t="s">
        <v>90</v>
      </c>
      <c r="I116" s="4" t="s">
        <v>22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848</v>
      </c>
      <c r="F117" s="4" t="s">
        <v>849</v>
      </c>
      <c r="G117" s="4" t="s">
        <v>7</v>
      </c>
      <c r="H117" s="4" t="s">
        <v>90</v>
      </c>
      <c r="I117" s="4" t="s">
        <v>22</v>
      </c>
      <c r="J117" s="4" t="b">
        <v>1</v>
      </c>
      <c r="K117" s="4" t="b">
        <v>1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851</v>
      </c>
      <c r="F118" s="4" t="s">
        <v>852</v>
      </c>
      <c r="G118" s="4" t="s">
        <v>7</v>
      </c>
      <c r="H118" s="4" t="s">
        <v>90</v>
      </c>
      <c r="I118" s="4" t="s">
        <v>22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854</v>
      </c>
      <c r="F119" s="4" t="s">
        <v>855</v>
      </c>
      <c r="G119" s="4" t="s">
        <v>7</v>
      </c>
      <c r="H119" s="4" t="s">
        <v>90</v>
      </c>
      <c r="I119" s="4" t="s">
        <v>22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857</v>
      </c>
      <c r="F120" s="4" t="s">
        <v>858</v>
      </c>
      <c r="G120" s="4" t="s">
        <v>7</v>
      </c>
      <c r="H120" s="4" t="s">
        <v>90</v>
      </c>
      <c r="I120" s="4" t="s">
        <v>22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860</v>
      </c>
      <c r="F121" s="4" t="s">
        <v>861</v>
      </c>
      <c r="G121" s="4" t="s">
        <v>7</v>
      </c>
      <c r="H121" s="4" t="s">
        <v>90</v>
      </c>
      <c r="I121" s="4" t="s">
        <v>22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863</v>
      </c>
      <c r="F122" s="4" t="s">
        <v>864</v>
      </c>
      <c r="G122" s="4" t="s">
        <v>7</v>
      </c>
      <c r="H122" s="4" t="s">
        <v>90</v>
      </c>
      <c r="I122" s="4" t="s">
        <v>22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866</v>
      </c>
      <c r="F123" s="4" t="s">
        <v>867</v>
      </c>
      <c r="G123" s="4" t="s">
        <v>7</v>
      </c>
      <c r="H123" s="4" t="s">
        <v>90</v>
      </c>
      <c r="I123" s="4" t="s">
        <v>22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869</v>
      </c>
      <c r="F124" s="4" t="s">
        <v>870</v>
      </c>
      <c r="G124" s="4" t="s">
        <v>7</v>
      </c>
      <c r="H124" s="4" t="s">
        <v>90</v>
      </c>
      <c r="I124" s="4" t="s">
        <v>22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872</v>
      </c>
      <c r="F125" s="4" t="s">
        <v>873</v>
      </c>
      <c r="G125" s="4" t="s">
        <v>7</v>
      </c>
      <c r="H125" s="4" t="s">
        <v>90</v>
      </c>
      <c r="I125" s="4" t="s">
        <v>22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875</v>
      </c>
      <c r="F126" s="4" t="s">
        <v>876</v>
      </c>
      <c r="G126" s="4" t="s">
        <v>7</v>
      </c>
      <c r="H126" s="4" t="s">
        <v>90</v>
      </c>
      <c r="I126" s="4" t="s">
        <v>22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878</v>
      </c>
      <c r="F127" s="4" t="s">
        <v>879</v>
      </c>
      <c r="G127" s="4" t="s">
        <v>7</v>
      </c>
      <c r="H127" s="4" t="s">
        <v>90</v>
      </c>
      <c r="I127" s="4" t="s">
        <v>22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881</v>
      </c>
      <c r="F128" s="4" t="s">
        <v>882</v>
      </c>
      <c r="G128" s="4" t="s">
        <v>7</v>
      </c>
      <c r="H128" s="4" t="s">
        <v>90</v>
      </c>
      <c r="I128" s="4" t="s">
        <v>22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884</v>
      </c>
      <c r="F129" s="4" t="s">
        <v>885</v>
      </c>
      <c r="G129" s="4" t="s">
        <v>7</v>
      </c>
      <c r="H129" s="4" t="s">
        <v>90</v>
      </c>
      <c r="I129" s="4" t="s">
        <v>22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887</v>
      </c>
      <c r="F130" s="4" t="s">
        <v>888</v>
      </c>
      <c r="G130" s="4" t="s">
        <v>7</v>
      </c>
      <c r="H130" s="4" t="s">
        <v>90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890</v>
      </c>
      <c r="F131" s="4" t="s">
        <v>891</v>
      </c>
      <c r="G131" s="4" t="s">
        <v>7</v>
      </c>
      <c r="H131" s="4" t="s">
        <v>90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893</v>
      </c>
      <c r="F132" s="4" t="s">
        <v>894</v>
      </c>
      <c r="G132" s="4" t="s">
        <v>7</v>
      </c>
      <c r="H132" s="4" t="s">
        <v>90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896</v>
      </c>
      <c r="F133" s="4" t="s">
        <v>897</v>
      </c>
      <c r="G133" s="4" t="s">
        <v>7</v>
      </c>
      <c r="H133" s="4" t="s">
        <v>90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899</v>
      </c>
      <c r="F134" s="4" t="s">
        <v>900</v>
      </c>
      <c r="G134" s="4" t="s">
        <v>7</v>
      </c>
      <c r="H134" s="4" t="s">
        <v>90</v>
      </c>
      <c r="I134" s="4" t="s">
        <v>22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902</v>
      </c>
      <c r="F135" s="4" t="s">
        <v>903</v>
      </c>
      <c r="G135" s="4" t="s">
        <v>7</v>
      </c>
      <c r="H135" s="4" t="s">
        <v>90</v>
      </c>
      <c r="I135" s="4" t="s">
        <v>22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905</v>
      </c>
      <c r="F136" s="4" t="s">
        <v>906</v>
      </c>
      <c r="G136" s="4" t="s">
        <v>7</v>
      </c>
      <c r="H136" s="4" t="s">
        <v>90</v>
      </c>
      <c r="I136" s="4" t="s">
        <v>22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908</v>
      </c>
      <c r="F137" s="4" t="s">
        <v>909</v>
      </c>
      <c r="G137" s="4" t="s">
        <v>7</v>
      </c>
      <c r="H137" s="4" t="s">
        <v>90</v>
      </c>
      <c r="I137" s="4" t="s">
        <v>22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911</v>
      </c>
      <c r="F138" s="4" t="s">
        <v>912</v>
      </c>
      <c r="G138" s="4" t="s">
        <v>7</v>
      </c>
      <c r="H138" s="4" t="s">
        <v>90</v>
      </c>
      <c r="I138" s="4" t="s">
        <v>22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914</v>
      </c>
      <c r="F139" s="4" t="s">
        <v>915</v>
      </c>
      <c r="G139" s="4" t="s">
        <v>7</v>
      </c>
      <c r="H139" s="4" t="s">
        <v>90</v>
      </c>
      <c r="I139" s="4" t="s">
        <v>22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917</v>
      </c>
      <c r="F140" s="4" t="s">
        <v>918</v>
      </c>
      <c r="G140" s="4" t="s">
        <v>7</v>
      </c>
      <c r="H140" s="4" t="s">
        <v>90</v>
      </c>
      <c r="I140" s="4" t="s">
        <v>22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920</v>
      </c>
      <c r="F141" s="4" t="s">
        <v>921</v>
      </c>
      <c r="G141" s="4" t="s">
        <v>7</v>
      </c>
      <c r="H141" s="4" t="s">
        <v>90</v>
      </c>
      <c r="I141" s="4" t="s">
        <v>22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923</v>
      </c>
      <c r="F142" s="4" t="s">
        <v>924</v>
      </c>
      <c r="G142" s="4" t="s">
        <v>7</v>
      </c>
      <c r="H142" s="4" t="s">
        <v>90</v>
      </c>
      <c r="I142" s="4" t="s">
        <v>22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926</v>
      </c>
      <c r="F143" s="4" t="s">
        <v>927</v>
      </c>
      <c r="G143" s="4" t="s">
        <v>7</v>
      </c>
      <c r="H143" s="4" t="s">
        <v>90</v>
      </c>
      <c r="I143" s="4" t="s">
        <v>22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929</v>
      </c>
      <c r="F144" s="4" t="s">
        <v>930</v>
      </c>
      <c r="G144" s="4" t="s">
        <v>7</v>
      </c>
      <c r="H144" s="4" t="s">
        <v>90</v>
      </c>
      <c r="I144" s="4" t="s">
        <v>22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932</v>
      </c>
      <c r="F145" s="4" t="s">
        <v>933</v>
      </c>
      <c r="G145" s="4" t="s">
        <v>7</v>
      </c>
      <c r="H145" s="4" t="s">
        <v>90</v>
      </c>
      <c r="I145" s="4" t="s">
        <v>22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935</v>
      </c>
      <c r="F146" s="4" t="s">
        <v>936</v>
      </c>
      <c r="G146" s="4" t="s">
        <v>7</v>
      </c>
      <c r="H146" s="4" t="s">
        <v>90</v>
      </c>
      <c r="I146" s="4" t="s">
        <v>22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938</v>
      </c>
      <c r="F147" s="4" t="s">
        <v>939</v>
      </c>
      <c r="G147" s="4" t="s">
        <v>7</v>
      </c>
      <c r="H147" s="4" t="s">
        <v>90</v>
      </c>
      <c r="I147" s="4" t="s">
        <v>22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941</v>
      </c>
      <c r="F148" s="4" t="s">
        <v>942</v>
      </c>
      <c r="G148" s="4" t="s">
        <v>7</v>
      </c>
      <c r="H148" s="4" t="s">
        <v>90</v>
      </c>
      <c r="I148" s="4" t="s">
        <v>22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944</v>
      </c>
      <c r="F149" s="4" t="s">
        <v>945</v>
      </c>
      <c r="G149" s="4" t="s">
        <v>7</v>
      </c>
      <c r="H149" s="4" t="s">
        <v>90</v>
      </c>
      <c r="I149" s="4" t="s">
        <v>22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947</v>
      </c>
      <c r="F150" s="4" t="s">
        <v>948</v>
      </c>
      <c r="G150" s="4" t="s">
        <v>7</v>
      </c>
      <c r="H150" s="4" t="s">
        <v>90</v>
      </c>
      <c r="I150" s="4" t="s">
        <v>22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950</v>
      </c>
      <c r="F151" s="4" t="s">
        <v>951</v>
      </c>
      <c r="G151" s="4" t="s">
        <v>7</v>
      </c>
      <c r="H151" s="4" t="s">
        <v>90</v>
      </c>
      <c r="I151" s="4" t="s">
        <v>22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953</v>
      </c>
      <c r="F152" s="4" t="s">
        <v>954</v>
      </c>
      <c r="G152" s="4" t="s">
        <v>7</v>
      </c>
      <c r="H152" s="4" t="s">
        <v>90</v>
      </c>
      <c r="I152" s="4" t="s">
        <v>22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956</v>
      </c>
      <c r="F153" s="4" t="s">
        <v>957</v>
      </c>
      <c r="G153" s="4" t="s">
        <v>7</v>
      </c>
      <c r="H153" s="4" t="s">
        <v>90</v>
      </c>
      <c r="I153" s="4" t="s">
        <v>22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959</v>
      </c>
      <c r="F154" s="4" t="s">
        <v>960</v>
      </c>
      <c r="G154" s="4" t="s">
        <v>7</v>
      </c>
      <c r="H154" s="4" t="s">
        <v>90</v>
      </c>
      <c r="I154" s="4" t="s">
        <v>22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962</v>
      </c>
      <c r="F155" s="4" t="s">
        <v>963</v>
      </c>
      <c r="G155" s="4" t="s">
        <v>7</v>
      </c>
      <c r="H155" s="4" t="s">
        <v>90</v>
      </c>
      <c r="I155" s="4" t="s">
        <v>22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965</v>
      </c>
      <c r="F156" s="4" t="s">
        <v>966</v>
      </c>
      <c r="G156" s="4" t="s">
        <v>7</v>
      </c>
      <c r="H156" s="4" t="s">
        <v>90</v>
      </c>
      <c r="I156" s="4" t="s">
        <v>22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968</v>
      </c>
      <c r="F157" s="4" t="s">
        <v>969</v>
      </c>
      <c r="G157" s="4" t="s">
        <v>7</v>
      </c>
      <c r="H157" s="4" t="s">
        <v>90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971</v>
      </c>
      <c r="F158" s="4" t="s">
        <v>972</v>
      </c>
      <c r="G158" s="4" t="s">
        <v>7</v>
      </c>
      <c r="H158" s="4" t="s">
        <v>90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974</v>
      </c>
      <c r="F159" s="4" t="s">
        <v>975</v>
      </c>
      <c r="G159" s="4" t="s">
        <v>7</v>
      </c>
      <c r="H159" s="4" t="s">
        <v>90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977</v>
      </c>
      <c r="F160" s="4" t="s">
        <v>978</v>
      </c>
      <c r="G160" s="4" t="s">
        <v>7</v>
      </c>
      <c r="H160" s="4" t="s">
        <v>90</v>
      </c>
      <c r="I160" s="4" t="s">
        <v>22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980</v>
      </c>
      <c r="F161" s="4" t="s">
        <v>981</v>
      </c>
      <c r="G161" s="4" t="s">
        <v>7</v>
      </c>
      <c r="H161" s="4" t="s">
        <v>90</v>
      </c>
      <c r="I161" s="4" t="s">
        <v>22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983</v>
      </c>
      <c r="F162" s="4" t="s">
        <v>984</v>
      </c>
      <c r="G162" s="4" t="s">
        <v>7</v>
      </c>
      <c r="H162" s="4" t="s">
        <v>90</v>
      </c>
      <c r="I162" s="4" t="s">
        <v>22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986</v>
      </c>
      <c r="F163" s="4" t="s">
        <v>987</v>
      </c>
      <c r="G163" s="4" t="s">
        <v>7</v>
      </c>
      <c r="H163" s="4" t="s">
        <v>90</v>
      </c>
      <c r="I163" s="4" t="s">
        <v>22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989</v>
      </c>
      <c r="F164" s="4" t="s">
        <v>990</v>
      </c>
      <c r="G164" s="4" t="s">
        <v>7</v>
      </c>
      <c r="H164" s="4" t="s">
        <v>90</v>
      </c>
      <c r="I164" s="4" t="s">
        <v>22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992</v>
      </c>
      <c r="F165" s="4" t="s">
        <v>993</v>
      </c>
      <c r="G165" s="4" t="s">
        <v>7</v>
      </c>
      <c r="H165" s="4" t="s">
        <v>90</v>
      </c>
      <c r="I165" s="4" t="s">
        <v>22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995</v>
      </c>
      <c r="F166" s="4" t="s">
        <v>996</v>
      </c>
      <c r="G166" s="4" t="s">
        <v>7</v>
      </c>
      <c r="H166" s="4" t="s">
        <v>90</v>
      </c>
      <c r="I166" s="4" t="s">
        <v>22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998</v>
      </c>
      <c r="F167" s="4" t="s">
        <v>999</v>
      </c>
      <c r="G167" s="4" t="s">
        <v>7</v>
      </c>
      <c r="H167" s="4" t="s">
        <v>90</v>
      </c>
      <c r="I167" s="4" t="s">
        <v>22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1001</v>
      </c>
      <c r="F168" s="4" t="s">
        <v>1002</v>
      </c>
      <c r="G168" s="4" t="s">
        <v>7</v>
      </c>
      <c r="H168" s="4" t="s">
        <v>90</v>
      </c>
      <c r="I168" s="4" t="s">
        <v>22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1004</v>
      </c>
      <c r="F169" s="4" t="s">
        <v>1005</v>
      </c>
      <c r="G169" s="4" t="s">
        <v>7</v>
      </c>
      <c r="H169" s="4" t="s">
        <v>90</v>
      </c>
      <c r="I169" s="4" t="s">
        <v>22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1007</v>
      </c>
      <c r="F170" s="4" t="s">
        <v>1008</v>
      </c>
      <c r="G170" s="4" t="s">
        <v>7</v>
      </c>
      <c r="H170" s="4" t="s">
        <v>90</v>
      </c>
      <c r="I170" s="4" t="s">
        <v>22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1010</v>
      </c>
      <c r="F171" s="4" t="s">
        <v>1011</v>
      </c>
      <c r="G171" s="4" t="s">
        <v>7</v>
      </c>
      <c r="H171" s="4" t="s">
        <v>90</v>
      </c>
      <c r="I171" s="4" t="s">
        <v>22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1013</v>
      </c>
      <c r="F172" s="4" t="s">
        <v>1014</v>
      </c>
      <c r="G172" s="4" t="s">
        <v>7</v>
      </c>
      <c r="H172" s="4" t="s">
        <v>90</v>
      </c>
      <c r="I172" s="4" t="s">
        <v>22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1016</v>
      </c>
      <c r="F173" s="4" t="s">
        <v>1017</v>
      </c>
      <c r="G173" s="4" t="s">
        <v>7</v>
      </c>
      <c r="H173" s="4" t="s">
        <v>90</v>
      </c>
      <c r="I173" s="4" t="s">
        <v>22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1019</v>
      </c>
      <c r="F174" s="4" t="s">
        <v>1020</v>
      </c>
      <c r="G174" s="4" t="s">
        <v>7</v>
      </c>
      <c r="H174" s="4" t="s">
        <v>90</v>
      </c>
      <c r="I174" s="4" t="s">
        <v>22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1022</v>
      </c>
      <c r="F175" s="4" t="s">
        <v>1023</v>
      </c>
      <c r="G175" s="4" t="s">
        <v>7</v>
      </c>
      <c r="H175" s="4" t="s">
        <v>90</v>
      </c>
      <c r="I175" s="4" t="s">
        <v>22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1025</v>
      </c>
      <c r="F176" s="4" t="s">
        <v>1026</v>
      </c>
      <c r="G176" s="4" t="s">
        <v>7</v>
      </c>
      <c r="H176" s="4" t="s">
        <v>90</v>
      </c>
      <c r="I176" s="4" t="s">
        <v>22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1028</v>
      </c>
      <c r="F177" s="4" t="s">
        <v>1029</v>
      </c>
      <c r="G177" s="4" t="s">
        <v>7</v>
      </c>
      <c r="H177" s="4" t="s">
        <v>90</v>
      </c>
      <c r="I177" s="4" t="s">
        <v>22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1031</v>
      </c>
      <c r="F178" s="4" t="s">
        <v>1032</v>
      </c>
      <c r="G178" s="4" t="s">
        <v>7</v>
      </c>
      <c r="H178" s="4" t="s">
        <v>90</v>
      </c>
      <c r="I178" s="4" t="s">
        <v>22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1034</v>
      </c>
      <c r="F179" s="4" t="s">
        <v>1035</v>
      </c>
      <c r="G179" s="4" t="s">
        <v>7</v>
      </c>
      <c r="H179" s="4" t="s">
        <v>90</v>
      </c>
      <c r="I179" s="4" t="s">
        <v>22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1037</v>
      </c>
      <c r="F180" s="4" t="s">
        <v>1038</v>
      </c>
      <c r="G180" s="4" t="s">
        <v>7</v>
      </c>
      <c r="H180" s="4" t="s">
        <v>90</v>
      </c>
      <c r="I180" s="4" t="s">
        <v>22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1040</v>
      </c>
      <c r="F181" s="4" t="s">
        <v>1041</v>
      </c>
      <c r="G181" s="4" t="s">
        <v>7</v>
      </c>
      <c r="H181" s="4" t="s">
        <v>90</v>
      </c>
      <c r="I181" s="4" t="s">
        <v>21</v>
      </c>
      <c r="J181" s="4" t="b">
        <v>1</v>
      </c>
      <c r="K181" s="4" t="b">
        <v>0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1043</v>
      </c>
      <c r="F182" s="4" t="s">
        <v>1044</v>
      </c>
      <c r="G182" s="4" t="s">
        <v>7</v>
      </c>
      <c r="H182" s="4" t="s">
        <v>90</v>
      </c>
      <c r="I182" s="4" t="s">
        <v>20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1046</v>
      </c>
      <c r="F183" s="4" t="s">
        <v>1047</v>
      </c>
      <c r="G183" s="4" t="s">
        <v>7</v>
      </c>
      <c r="H183" s="4" t="s">
        <v>90</v>
      </c>
      <c r="I183" s="4" t="s">
        <v>20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1049</v>
      </c>
      <c r="F184" s="4" t="s">
        <v>1050</v>
      </c>
      <c r="G184" s="4" t="s">
        <v>11</v>
      </c>
      <c r="H184" s="4" t="s">
        <v>90</v>
      </c>
      <c r="I184" s="4" t="s">
        <v>20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1052</v>
      </c>
      <c r="F185" s="4" t="s">
        <v>1053</v>
      </c>
      <c r="G185" s="4" t="s">
        <v>7</v>
      </c>
      <c r="H185" s="4" t="s">
        <v>90</v>
      </c>
      <c r="I185" s="4" t="s">
        <v>20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1055</v>
      </c>
      <c r="F186" s="4" t="s">
        <v>1056</v>
      </c>
      <c r="G186" s="4" t="s">
        <v>9</v>
      </c>
      <c r="H186" s="4" t="s">
        <v>90</v>
      </c>
      <c r="I186" s="4" t="s">
        <v>20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12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(12U)</v>
      </c>
      <c r="M8" s="1" t="str">
        <f>$M$3&amp;J8&amp;$M$4</f>
        <v>##TOOL_OUT#RIM_MOD_3B_SIZE##</v>
      </c>
      <c r="N8" s="1">
        <v>12</v>
      </c>
    </row>
    <row r="9" spans="2:14" x14ac:dyDescent="0.15">
      <c r="E9" s="4">
        <f>ROW(E9)-ROW($E$7)</f>
        <v>2</v>
      </c>
      <c r="F9" s="4" t="s">
        <v>57</v>
      </c>
      <c r="G9" s="4">
        <v>2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(2U)</v>
      </c>
      <c r="M9" s="1" t="str">
        <f t="shared" ref="M9:M28" si="1">$M$3&amp;J9&amp;$M$4</f>
        <v>##TOOL_OUT#RIM_MOD_1B2C_SIZE##</v>
      </c>
      <c r="N9" s="1">
        <v>514</v>
      </c>
    </row>
    <row r="10" spans="2:14" x14ac:dyDescent="0.15">
      <c r="E10" s="4">
        <f>ROW(E10)-ROW($E$7)</f>
        <v>3</v>
      </c>
      <c r="F10" s="4" t="s">
        <v>58</v>
      </c>
      <c r="G10" s="4">
        <v>67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(67U)</v>
      </c>
      <c r="M10" s="1" t="str">
        <f t="shared" si="1"/>
        <v>##TOOL_OUT#RIM_MOD_1B_SIZE##</v>
      </c>
      <c r="N10" s="1">
        <v>1091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5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(5U)</v>
      </c>
      <c r="M16" s="1" t="str">
        <f t="shared" si="1"/>
        <v>##TOOL_OUT#RIM_MOD_3B_SIZE##</v>
      </c>
      <c r="N16" s="1">
        <v>32773</v>
      </c>
    </row>
    <row r="17" spans="5:14" x14ac:dyDescent="0.15">
      <c r="E17" s="4">
        <f t="shared" si="2"/>
        <v>10</v>
      </c>
      <c r="F17" s="4" t="s">
        <v>65</v>
      </c>
      <c r="G17" s="4">
        <v>2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(2U)</v>
      </c>
      <c r="M17" s="1" t="str">
        <f t="shared" si="1"/>
        <v>##TOOL_OUT#RIM_MOD_1B2C_SIZE##</v>
      </c>
      <c r="N17" s="1">
        <v>33282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4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(4U)</v>
      </c>
      <c r="M19" s="1" t="str">
        <f t="shared" si="1"/>
        <v>##TOOL_OUT#RIM_MOD_3C_SIZE##</v>
      </c>
      <c r="N19" s="1">
        <v>34308</v>
      </c>
    </row>
    <row r="20" spans="5:14" x14ac:dyDescent="0.15">
      <c r="E20" s="4">
        <f t="shared" si="2"/>
        <v>13</v>
      </c>
      <c r="F20" s="4" t="s">
        <v>68</v>
      </c>
      <c r="G20" s="4">
        <v>5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(5U)</v>
      </c>
      <c r="M20" s="1" t="str">
        <f t="shared" si="1"/>
        <v>##TOOL_OUT#RIM_MOD_3B_SIZE##</v>
      </c>
      <c r="N20" s="1">
        <v>49157</v>
      </c>
    </row>
    <row r="21" spans="5:14" x14ac:dyDescent="0.15">
      <c r="E21" s="4">
        <f t="shared" si="2"/>
        <v>14</v>
      </c>
      <c r="F21" s="4" t="s">
        <v>69</v>
      </c>
      <c r="G21" s="4">
        <v>67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(67U)</v>
      </c>
      <c r="M21" s="1" t="str">
        <f t="shared" si="1"/>
        <v>##TOOL_OUT#RIM_MOD_1B_SIZE##</v>
      </c>
      <c r="N21" s="1">
        <v>50243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31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(31U)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291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(291U)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32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32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274"/>
  <sheetViews>
    <sheetView showGridLines="0" workbookViewId="0"/>
  </sheetViews>
  <sheetFormatPr defaultRowHeight="13.5" x14ac:dyDescent="0.15"/>
  <sheetData>
    <row r="1" spans="1:3" x14ac:dyDescent="0.15">
      <c r="A1">
        <v>274</v>
      </c>
      <c r="B1" t="s">
        <v>317</v>
      </c>
      <c r="C1" t="s">
        <v>130</v>
      </c>
    </row>
    <row r="2" spans="1:3" x14ac:dyDescent="0.15">
      <c r="B2" t="s">
        <v>319</v>
      </c>
      <c r="C2" t="s">
        <v>131</v>
      </c>
    </row>
    <row r="3" spans="1:3" x14ac:dyDescent="0.15">
      <c r="B3" t="s">
        <v>321</v>
      </c>
      <c r="C3" t="s">
        <v>132</v>
      </c>
    </row>
    <row r="4" spans="1:3" x14ac:dyDescent="0.15">
      <c r="B4" t="s">
        <v>323</v>
      </c>
      <c r="C4" t="s">
        <v>133</v>
      </c>
    </row>
    <row r="5" spans="1:3" x14ac:dyDescent="0.15">
      <c r="B5" t="s">
        <v>286</v>
      </c>
      <c r="C5" t="s">
        <v>135</v>
      </c>
    </row>
    <row r="6" spans="1:3" x14ac:dyDescent="0.15">
      <c r="B6" t="s">
        <v>288</v>
      </c>
      <c r="C6" t="s">
        <v>136</v>
      </c>
    </row>
    <row r="7" spans="1:3" x14ac:dyDescent="0.15">
      <c r="B7" t="s">
        <v>290</v>
      </c>
      <c r="C7" t="s">
        <v>137</v>
      </c>
    </row>
    <row r="8" spans="1:3" x14ac:dyDescent="0.15">
      <c r="B8" t="s">
        <v>292</v>
      </c>
      <c r="C8" t="s">
        <v>138</v>
      </c>
    </row>
    <row r="9" spans="1:3" x14ac:dyDescent="0.15">
      <c r="B9" t="s">
        <v>294</v>
      </c>
      <c r="C9" t="s">
        <v>139</v>
      </c>
    </row>
    <row r="10" spans="1:3" x14ac:dyDescent="0.15">
      <c r="B10" t="s">
        <v>296</v>
      </c>
      <c r="C10" t="s">
        <v>140</v>
      </c>
    </row>
    <row r="11" spans="1:3" x14ac:dyDescent="0.15">
      <c r="B11" t="s">
        <v>298</v>
      </c>
      <c r="C11" t="s">
        <v>141</v>
      </c>
    </row>
    <row r="12" spans="1:3" x14ac:dyDescent="0.15">
      <c r="B12" t="s">
        <v>300</v>
      </c>
      <c r="C12" t="s">
        <v>143</v>
      </c>
    </row>
    <row r="13" spans="1:3" x14ac:dyDescent="0.15">
      <c r="B13" t="s">
        <v>302</v>
      </c>
      <c r="C13" t="s">
        <v>153</v>
      </c>
    </row>
    <row r="14" spans="1:3" x14ac:dyDescent="0.15">
      <c r="B14" t="s">
        <v>304</v>
      </c>
      <c r="C14" t="s">
        <v>144</v>
      </c>
    </row>
    <row r="15" spans="1:3" x14ac:dyDescent="0.15">
      <c r="B15" t="s">
        <v>306</v>
      </c>
      <c r="C15" t="s">
        <v>154</v>
      </c>
    </row>
    <row r="16" spans="1:3" x14ac:dyDescent="0.15">
      <c r="B16" t="s">
        <v>309</v>
      </c>
      <c r="C16" t="s">
        <v>154</v>
      </c>
    </row>
    <row r="17" spans="2:3" x14ac:dyDescent="0.15">
      <c r="B17" t="s">
        <v>334</v>
      </c>
      <c r="C17" t="s">
        <v>153</v>
      </c>
    </row>
    <row r="18" spans="2:3" x14ac:dyDescent="0.15">
      <c r="B18" t="s">
        <v>351</v>
      </c>
      <c r="C18" t="s">
        <v>153</v>
      </c>
    </row>
    <row r="19" spans="2:3" x14ac:dyDescent="0.15">
      <c r="B19" t="s">
        <v>339</v>
      </c>
      <c r="C19" t="s">
        <v>140</v>
      </c>
    </row>
    <row r="20" spans="2:3" x14ac:dyDescent="0.15">
      <c r="B20" t="s">
        <v>342</v>
      </c>
      <c r="C20" t="s">
        <v>144</v>
      </c>
    </row>
    <row r="21" spans="2:3" x14ac:dyDescent="0.15">
      <c r="B21" t="s">
        <v>566</v>
      </c>
      <c r="C21" t="s">
        <v>144</v>
      </c>
    </row>
    <row r="22" spans="2:3" x14ac:dyDescent="0.15">
      <c r="B22" t="s">
        <v>569</v>
      </c>
      <c r="C22" t="s">
        <v>144</v>
      </c>
    </row>
    <row r="23" spans="2:3" x14ac:dyDescent="0.15">
      <c r="B23" t="s">
        <v>345</v>
      </c>
      <c r="C23" t="s">
        <v>143</v>
      </c>
    </row>
    <row r="24" spans="2:3" x14ac:dyDescent="0.15">
      <c r="B24" t="s">
        <v>399</v>
      </c>
      <c r="C24" t="s">
        <v>130</v>
      </c>
    </row>
    <row r="25" spans="2:3" x14ac:dyDescent="0.15">
      <c r="B25" t="s">
        <v>400</v>
      </c>
      <c r="C25" t="s">
        <v>130</v>
      </c>
    </row>
    <row r="26" spans="2:3" x14ac:dyDescent="0.15">
      <c r="B26" t="s">
        <v>402</v>
      </c>
      <c r="C26" t="s">
        <v>131</v>
      </c>
    </row>
    <row r="27" spans="2:3" x14ac:dyDescent="0.15">
      <c r="B27" t="s">
        <v>404</v>
      </c>
      <c r="C27" t="s">
        <v>131</v>
      </c>
    </row>
    <row r="28" spans="2:3" x14ac:dyDescent="0.15">
      <c r="B28" t="s">
        <v>406</v>
      </c>
      <c r="C28" t="s">
        <v>132</v>
      </c>
    </row>
    <row r="29" spans="2:3" x14ac:dyDescent="0.15">
      <c r="B29" t="s">
        <v>408</v>
      </c>
      <c r="C29" t="s">
        <v>132</v>
      </c>
    </row>
    <row r="30" spans="2:3" x14ac:dyDescent="0.15">
      <c r="B30" t="s">
        <v>381</v>
      </c>
      <c r="C30" t="s">
        <v>133</v>
      </c>
    </row>
    <row r="31" spans="2:3" x14ac:dyDescent="0.15">
      <c r="B31" t="s">
        <v>384</v>
      </c>
      <c r="C31" t="s">
        <v>133</v>
      </c>
    </row>
    <row r="32" spans="2:3" x14ac:dyDescent="0.15">
      <c r="B32" t="s">
        <v>388</v>
      </c>
      <c r="C32" t="s">
        <v>133</v>
      </c>
    </row>
    <row r="33" spans="2:3" x14ac:dyDescent="0.15">
      <c r="B33" t="s">
        <v>392</v>
      </c>
      <c r="C33" t="s">
        <v>133</v>
      </c>
    </row>
    <row r="34" spans="2:3" x14ac:dyDescent="0.15">
      <c r="B34" t="s">
        <v>572</v>
      </c>
      <c r="C34" t="s">
        <v>132</v>
      </c>
    </row>
    <row r="35" spans="2:3" x14ac:dyDescent="0.15">
      <c r="B35" t="s">
        <v>575</v>
      </c>
      <c r="C35" t="s">
        <v>141</v>
      </c>
    </row>
    <row r="36" spans="2:3" x14ac:dyDescent="0.15">
      <c r="B36" t="s">
        <v>579</v>
      </c>
      <c r="C36" t="s">
        <v>141</v>
      </c>
    </row>
    <row r="37" spans="2:3" x14ac:dyDescent="0.15">
      <c r="B37" t="s">
        <v>583</v>
      </c>
      <c r="C37" t="s">
        <v>141</v>
      </c>
    </row>
    <row r="38" spans="2:3" x14ac:dyDescent="0.15">
      <c r="B38" t="s">
        <v>587</v>
      </c>
      <c r="C38" t="s">
        <v>141</v>
      </c>
    </row>
    <row r="39" spans="2:3" x14ac:dyDescent="0.15">
      <c r="B39" t="s">
        <v>591</v>
      </c>
      <c r="C39" t="s">
        <v>141</v>
      </c>
    </row>
    <row r="40" spans="2:3" x14ac:dyDescent="0.15">
      <c r="B40" t="s">
        <v>595</v>
      </c>
      <c r="C40" t="s">
        <v>141</v>
      </c>
    </row>
    <row r="41" spans="2:3" x14ac:dyDescent="0.15">
      <c r="B41" t="s">
        <v>599</v>
      </c>
      <c r="C41" t="s">
        <v>141</v>
      </c>
    </row>
    <row r="42" spans="2:3" x14ac:dyDescent="0.15">
      <c r="B42" t="s">
        <v>603</v>
      </c>
      <c r="C42" t="s">
        <v>141</v>
      </c>
    </row>
    <row r="43" spans="2:3" x14ac:dyDescent="0.15">
      <c r="B43" t="s">
        <v>607</v>
      </c>
      <c r="C43" t="s">
        <v>141</v>
      </c>
    </row>
    <row r="44" spans="2:3" x14ac:dyDescent="0.15">
      <c r="B44" t="s">
        <v>611</v>
      </c>
      <c r="C44" t="s">
        <v>141</v>
      </c>
    </row>
    <row r="45" spans="2:3" x14ac:dyDescent="0.15">
      <c r="B45" t="s">
        <v>615</v>
      </c>
      <c r="C45" t="s">
        <v>141</v>
      </c>
    </row>
    <row r="46" spans="2:3" x14ac:dyDescent="0.15">
      <c r="B46" t="s">
        <v>619</v>
      </c>
      <c r="C46" t="s">
        <v>141</v>
      </c>
    </row>
    <row r="47" spans="2:3" x14ac:dyDescent="0.15">
      <c r="B47" t="s">
        <v>623</v>
      </c>
      <c r="C47" t="s">
        <v>141</v>
      </c>
    </row>
    <row r="48" spans="2:3" x14ac:dyDescent="0.15">
      <c r="B48" t="s">
        <v>627</v>
      </c>
      <c r="C48" t="s">
        <v>141</v>
      </c>
    </row>
    <row r="49" spans="2:3" x14ac:dyDescent="0.15">
      <c r="B49" t="s">
        <v>631</v>
      </c>
      <c r="C49" t="s">
        <v>141</v>
      </c>
    </row>
    <row r="50" spans="2:3" x14ac:dyDescent="0.15">
      <c r="B50" t="s">
        <v>635</v>
      </c>
      <c r="C50" t="s">
        <v>141</v>
      </c>
    </row>
    <row r="51" spans="2:3" x14ac:dyDescent="0.15">
      <c r="B51" t="s">
        <v>639</v>
      </c>
      <c r="C51" t="s">
        <v>141</v>
      </c>
    </row>
    <row r="52" spans="2:3" x14ac:dyDescent="0.15">
      <c r="B52" t="s">
        <v>643</v>
      </c>
      <c r="C52" t="s">
        <v>141</v>
      </c>
    </row>
    <row r="53" spans="2:3" x14ac:dyDescent="0.15">
      <c r="B53" t="s">
        <v>647</v>
      </c>
      <c r="C53" t="s">
        <v>141</v>
      </c>
    </row>
    <row r="54" spans="2:3" x14ac:dyDescent="0.15">
      <c r="B54" t="s">
        <v>651</v>
      </c>
      <c r="C54" t="s">
        <v>141</v>
      </c>
    </row>
    <row r="55" spans="2:3" x14ac:dyDescent="0.15">
      <c r="B55" t="s">
        <v>655</v>
      </c>
      <c r="C55" t="s">
        <v>141</v>
      </c>
    </row>
    <row r="56" spans="2:3" x14ac:dyDescent="0.15">
      <c r="B56" t="s">
        <v>659</v>
      </c>
      <c r="C56" t="s">
        <v>141</v>
      </c>
    </row>
    <row r="57" spans="2:3" x14ac:dyDescent="0.15">
      <c r="B57" t="s">
        <v>663</v>
      </c>
      <c r="C57" t="s">
        <v>141</v>
      </c>
    </row>
    <row r="58" spans="2:3" x14ac:dyDescent="0.15">
      <c r="B58" t="s">
        <v>667</v>
      </c>
      <c r="C58" t="s">
        <v>141</v>
      </c>
    </row>
    <row r="59" spans="2:3" x14ac:dyDescent="0.15">
      <c r="B59" t="s">
        <v>671</v>
      </c>
      <c r="C59" t="s">
        <v>141</v>
      </c>
    </row>
    <row r="60" spans="2:3" x14ac:dyDescent="0.15">
      <c r="B60" t="s">
        <v>675</v>
      </c>
      <c r="C60" t="s">
        <v>141</v>
      </c>
    </row>
    <row r="61" spans="2:3" x14ac:dyDescent="0.15">
      <c r="B61" t="s">
        <v>679</v>
      </c>
      <c r="C61" t="s">
        <v>141</v>
      </c>
    </row>
    <row r="62" spans="2:3" x14ac:dyDescent="0.15">
      <c r="B62" t="s">
        <v>683</v>
      </c>
      <c r="C62" t="s">
        <v>141</v>
      </c>
    </row>
    <row r="63" spans="2:3" x14ac:dyDescent="0.15">
      <c r="B63" t="s">
        <v>687</v>
      </c>
      <c r="C63" t="s">
        <v>141</v>
      </c>
    </row>
    <row r="64" spans="2:3" x14ac:dyDescent="0.15">
      <c r="B64" t="s">
        <v>691</v>
      </c>
      <c r="C64" t="s">
        <v>141</v>
      </c>
    </row>
    <row r="65" spans="2:3" x14ac:dyDescent="0.15">
      <c r="B65" t="s">
        <v>695</v>
      </c>
      <c r="C65" t="s">
        <v>141</v>
      </c>
    </row>
    <row r="66" spans="2:3" x14ac:dyDescent="0.15">
      <c r="B66" t="s">
        <v>699</v>
      </c>
      <c r="C66" t="s">
        <v>141</v>
      </c>
    </row>
    <row r="67" spans="2:3" x14ac:dyDescent="0.15">
      <c r="B67" t="s">
        <v>703</v>
      </c>
      <c r="C67" t="s">
        <v>141</v>
      </c>
    </row>
    <row r="68" spans="2:3" x14ac:dyDescent="0.15">
      <c r="B68" t="s">
        <v>707</v>
      </c>
      <c r="C68" t="s">
        <v>141</v>
      </c>
    </row>
    <row r="69" spans="2:3" x14ac:dyDescent="0.15">
      <c r="B69" t="s">
        <v>711</v>
      </c>
      <c r="C69" t="s">
        <v>141</v>
      </c>
    </row>
    <row r="70" spans="2:3" x14ac:dyDescent="0.15">
      <c r="B70" t="s">
        <v>715</v>
      </c>
      <c r="C70" t="s">
        <v>141</v>
      </c>
    </row>
    <row r="71" spans="2:3" x14ac:dyDescent="0.15">
      <c r="B71" t="s">
        <v>719</v>
      </c>
      <c r="C71" t="s">
        <v>141</v>
      </c>
    </row>
    <row r="72" spans="2:3" x14ac:dyDescent="0.15">
      <c r="B72" t="s">
        <v>723</v>
      </c>
      <c r="C72" t="s">
        <v>141</v>
      </c>
    </row>
    <row r="73" spans="2:3" x14ac:dyDescent="0.15">
      <c r="B73" t="s">
        <v>727</v>
      </c>
      <c r="C73" t="s">
        <v>141</v>
      </c>
    </row>
    <row r="74" spans="2:3" x14ac:dyDescent="0.15">
      <c r="B74" t="s">
        <v>731</v>
      </c>
      <c r="C74" t="s">
        <v>141</v>
      </c>
    </row>
    <row r="75" spans="2:3" x14ac:dyDescent="0.15">
      <c r="B75" t="s">
        <v>735</v>
      </c>
      <c r="C75" t="s">
        <v>141</v>
      </c>
    </row>
    <row r="76" spans="2:3" x14ac:dyDescent="0.15">
      <c r="B76" t="s">
        <v>739</v>
      </c>
      <c r="C76" t="s">
        <v>141</v>
      </c>
    </row>
    <row r="77" spans="2:3" x14ac:dyDescent="0.15">
      <c r="B77" t="s">
        <v>743</v>
      </c>
      <c r="C77" t="s">
        <v>141</v>
      </c>
    </row>
    <row r="78" spans="2:3" x14ac:dyDescent="0.15">
      <c r="B78" t="s">
        <v>747</v>
      </c>
      <c r="C78" t="s">
        <v>141</v>
      </c>
    </row>
    <row r="79" spans="2:3" x14ac:dyDescent="0.15">
      <c r="B79" t="s">
        <v>751</v>
      </c>
      <c r="C79" t="s">
        <v>141</v>
      </c>
    </row>
    <row r="80" spans="2:3" x14ac:dyDescent="0.15">
      <c r="B80" t="s">
        <v>755</v>
      </c>
      <c r="C80" t="s">
        <v>141</v>
      </c>
    </row>
    <row r="81" spans="2:3" x14ac:dyDescent="0.15">
      <c r="B81" t="s">
        <v>759</v>
      </c>
      <c r="C81" t="s">
        <v>141</v>
      </c>
    </row>
    <row r="82" spans="2:3" x14ac:dyDescent="0.15">
      <c r="B82" t="s">
        <v>763</v>
      </c>
      <c r="C82" t="s">
        <v>141</v>
      </c>
    </row>
    <row r="83" spans="2:3" x14ac:dyDescent="0.15">
      <c r="B83" t="s">
        <v>767</v>
      </c>
      <c r="C83" t="s">
        <v>141</v>
      </c>
    </row>
    <row r="84" spans="2:3" x14ac:dyDescent="0.15">
      <c r="B84" t="s">
        <v>771</v>
      </c>
      <c r="C84" t="s">
        <v>141</v>
      </c>
    </row>
    <row r="85" spans="2:3" x14ac:dyDescent="0.15">
      <c r="B85" t="s">
        <v>775</v>
      </c>
      <c r="C85" t="s">
        <v>141</v>
      </c>
    </row>
    <row r="86" spans="2:3" x14ac:dyDescent="0.15">
      <c r="B86" t="s">
        <v>779</v>
      </c>
      <c r="C86" t="s">
        <v>141</v>
      </c>
    </row>
    <row r="87" spans="2:3" x14ac:dyDescent="0.15">
      <c r="B87" t="s">
        <v>783</v>
      </c>
      <c r="C87" t="s">
        <v>141</v>
      </c>
    </row>
    <row r="88" spans="2:3" x14ac:dyDescent="0.15">
      <c r="B88" t="s">
        <v>787</v>
      </c>
      <c r="C88" t="s">
        <v>141</v>
      </c>
    </row>
    <row r="89" spans="2:3" x14ac:dyDescent="0.15">
      <c r="B89" t="s">
        <v>791</v>
      </c>
      <c r="C89" t="s">
        <v>141</v>
      </c>
    </row>
    <row r="90" spans="2:3" x14ac:dyDescent="0.15">
      <c r="B90" t="s">
        <v>795</v>
      </c>
      <c r="C90" t="s">
        <v>141</v>
      </c>
    </row>
    <row r="91" spans="2:3" x14ac:dyDescent="0.15">
      <c r="B91" t="s">
        <v>799</v>
      </c>
      <c r="C91" t="s">
        <v>141</v>
      </c>
    </row>
    <row r="92" spans="2:3" x14ac:dyDescent="0.15">
      <c r="B92" t="s">
        <v>803</v>
      </c>
      <c r="C92" t="s">
        <v>141</v>
      </c>
    </row>
    <row r="93" spans="2:3" x14ac:dyDescent="0.15">
      <c r="B93" t="s">
        <v>807</v>
      </c>
      <c r="C93" t="s">
        <v>141</v>
      </c>
    </row>
    <row r="94" spans="2:3" x14ac:dyDescent="0.15">
      <c r="B94" t="s">
        <v>811</v>
      </c>
      <c r="C94" t="s">
        <v>141</v>
      </c>
    </row>
    <row r="95" spans="2:3" x14ac:dyDescent="0.15">
      <c r="B95" t="s">
        <v>815</v>
      </c>
      <c r="C95" t="s">
        <v>141</v>
      </c>
    </row>
    <row r="96" spans="2:3" x14ac:dyDescent="0.15">
      <c r="B96" t="s">
        <v>819</v>
      </c>
      <c r="C96" t="s">
        <v>141</v>
      </c>
    </row>
    <row r="97" spans="2:3" x14ac:dyDescent="0.15">
      <c r="B97" t="s">
        <v>823</v>
      </c>
      <c r="C97" t="s">
        <v>141</v>
      </c>
    </row>
    <row r="98" spans="2:3" x14ac:dyDescent="0.15">
      <c r="B98" t="s">
        <v>827</v>
      </c>
      <c r="C98" t="s">
        <v>141</v>
      </c>
    </row>
    <row r="99" spans="2:3" x14ac:dyDescent="0.15">
      <c r="B99" t="s">
        <v>831</v>
      </c>
      <c r="C99" t="s">
        <v>141</v>
      </c>
    </row>
    <row r="100" spans="2:3" x14ac:dyDescent="0.15">
      <c r="B100" t="s">
        <v>835</v>
      </c>
      <c r="C100" t="s">
        <v>141</v>
      </c>
    </row>
    <row r="101" spans="2:3" x14ac:dyDescent="0.15">
      <c r="B101" t="s">
        <v>838</v>
      </c>
      <c r="C101" t="s">
        <v>137</v>
      </c>
    </row>
    <row r="102" spans="2:3" x14ac:dyDescent="0.15">
      <c r="B102" t="s">
        <v>409</v>
      </c>
      <c r="C102" t="s">
        <v>130</v>
      </c>
    </row>
    <row r="103" spans="2:3" x14ac:dyDescent="0.15">
      <c r="B103" t="s">
        <v>410</v>
      </c>
      <c r="C103" t="s">
        <v>130</v>
      </c>
    </row>
    <row r="104" spans="2:3" x14ac:dyDescent="0.15">
      <c r="B104" t="s">
        <v>411</v>
      </c>
      <c r="C104" t="s">
        <v>130</v>
      </c>
    </row>
    <row r="105" spans="2:3" x14ac:dyDescent="0.15">
      <c r="B105" t="s">
        <v>413</v>
      </c>
      <c r="C105" t="s">
        <v>130</v>
      </c>
    </row>
    <row r="106" spans="2:3" x14ac:dyDescent="0.15">
      <c r="B106" t="s">
        <v>415</v>
      </c>
      <c r="C106" t="s">
        <v>130</v>
      </c>
    </row>
    <row r="107" spans="2:3" x14ac:dyDescent="0.15">
      <c r="B107" t="s">
        <v>841</v>
      </c>
      <c r="C107" t="s">
        <v>130</v>
      </c>
    </row>
    <row r="108" spans="2:3" x14ac:dyDescent="0.15">
      <c r="B108" t="s">
        <v>844</v>
      </c>
      <c r="C108" t="s">
        <v>138</v>
      </c>
    </row>
    <row r="109" spans="2:3" x14ac:dyDescent="0.15">
      <c r="B109" t="s">
        <v>847</v>
      </c>
      <c r="C109" t="s">
        <v>138</v>
      </c>
    </row>
    <row r="110" spans="2:3" x14ac:dyDescent="0.15">
      <c r="B110" t="s">
        <v>850</v>
      </c>
      <c r="C110" t="s">
        <v>138</v>
      </c>
    </row>
    <row r="111" spans="2:3" x14ac:dyDescent="0.15">
      <c r="B111" t="s">
        <v>853</v>
      </c>
      <c r="C111" t="s">
        <v>138</v>
      </c>
    </row>
    <row r="112" spans="2:3" x14ac:dyDescent="0.15">
      <c r="B112" t="s">
        <v>856</v>
      </c>
      <c r="C112" t="s">
        <v>138</v>
      </c>
    </row>
    <row r="113" spans="2:3" x14ac:dyDescent="0.15">
      <c r="B113" t="s">
        <v>859</v>
      </c>
      <c r="C113" t="s">
        <v>138</v>
      </c>
    </row>
    <row r="114" spans="2:3" x14ac:dyDescent="0.15">
      <c r="B114" t="s">
        <v>862</v>
      </c>
      <c r="C114" t="s">
        <v>138</v>
      </c>
    </row>
    <row r="115" spans="2:3" x14ac:dyDescent="0.15">
      <c r="B115" t="s">
        <v>865</v>
      </c>
      <c r="C115" t="s">
        <v>138</v>
      </c>
    </row>
    <row r="116" spans="2:3" x14ac:dyDescent="0.15">
      <c r="B116" t="s">
        <v>868</v>
      </c>
      <c r="C116" t="s">
        <v>138</v>
      </c>
    </row>
    <row r="117" spans="2:3" x14ac:dyDescent="0.15">
      <c r="B117" t="s">
        <v>871</v>
      </c>
      <c r="C117" t="s">
        <v>138</v>
      </c>
    </row>
    <row r="118" spans="2:3" x14ac:dyDescent="0.15">
      <c r="B118" t="s">
        <v>874</v>
      </c>
      <c r="C118" t="s">
        <v>138</v>
      </c>
    </row>
    <row r="119" spans="2:3" x14ac:dyDescent="0.15">
      <c r="B119" t="s">
        <v>877</v>
      </c>
      <c r="C119" t="s">
        <v>138</v>
      </c>
    </row>
    <row r="120" spans="2:3" x14ac:dyDescent="0.15">
      <c r="B120" t="s">
        <v>880</v>
      </c>
      <c r="C120" t="s">
        <v>138</v>
      </c>
    </row>
    <row r="121" spans="2:3" x14ac:dyDescent="0.15">
      <c r="B121" t="s">
        <v>883</v>
      </c>
      <c r="C121" t="s">
        <v>138</v>
      </c>
    </row>
    <row r="122" spans="2:3" x14ac:dyDescent="0.15">
      <c r="B122" t="s">
        <v>886</v>
      </c>
      <c r="C122" t="s">
        <v>138</v>
      </c>
    </row>
    <row r="123" spans="2:3" x14ac:dyDescent="0.15">
      <c r="B123" t="s">
        <v>889</v>
      </c>
      <c r="C123" t="s">
        <v>138</v>
      </c>
    </row>
    <row r="124" spans="2:3" x14ac:dyDescent="0.15">
      <c r="B124" t="s">
        <v>892</v>
      </c>
      <c r="C124" t="s">
        <v>138</v>
      </c>
    </row>
    <row r="125" spans="2:3" x14ac:dyDescent="0.15">
      <c r="B125" t="s">
        <v>895</v>
      </c>
      <c r="C125" t="s">
        <v>138</v>
      </c>
    </row>
    <row r="126" spans="2:3" x14ac:dyDescent="0.15">
      <c r="B126" t="s">
        <v>898</v>
      </c>
      <c r="C126" t="s">
        <v>138</v>
      </c>
    </row>
    <row r="127" spans="2:3" x14ac:dyDescent="0.15">
      <c r="B127" t="s">
        <v>901</v>
      </c>
      <c r="C127" t="s">
        <v>138</v>
      </c>
    </row>
    <row r="128" spans="2:3" x14ac:dyDescent="0.15">
      <c r="B128" t="s">
        <v>904</v>
      </c>
      <c r="C128" t="s">
        <v>138</v>
      </c>
    </row>
    <row r="129" spans="2:3" x14ac:dyDescent="0.15">
      <c r="B129" t="s">
        <v>907</v>
      </c>
      <c r="C129" t="s">
        <v>138</v>
      </c>
    </row>
    <row r="130" spans="2:3" x14ac:dyDescent="0.15">
      <c r="B130" t="s">
        <v>910</v>
      </c>
      <c r="C130" t="s">
        <v>138</v>
      </c>
    </row>
    <row r="131" spans="2:3" x14ac:dyDescent="0.15">
      <c r="B131" t="s">
        <v>913</v>
      </c>
      <c r="C131" t="s">
        <v>138</v>
      </c>
    </row>
    <row r="132" spans="2:3" x14ac:dyDescent="0.15">
      <c r="B132" t="s">
        <v>916</v>
      </c>
      <c r="C132" t="s">
        <v>138</v>
      </c>
    </row>
    <row r="133" spans="2:3" x14ac:dyDescent="0.15">
      <c r="B133" t="s">
        <v>919</v>
      </c>
      <c r="C133" t="s">
        <v>138</v>
      </c>
    </row>
    <row r="134" spans="2:3" x14ac:dyDescent="0.15">
      <c r="B134" t="s">
        <v>922</v>
      </c>
      <c r="C134" t="s">
        <v>138</v>
      </c>
    </row>
    <row r="135" spans="2:3" x14ac:dyDescent="0.15">
      <c r="B135" t="s">
        <v>925</v>
      </c>
      <c r="C135" t="s">
        <v>138</v>
      </c>
    </row>
    <row r="136" spans="2:3" x14ac:dyDescent="0.15">
      <c r="B136" t="s">
        <v>928</v>
      </c>
      <c r="C136" t="s">
        <v>138</v>
      </c>
    </row>
    <row r="137" spans="2:3" x14ac:dyDescent="0.15">
      <c r="B137" t="s">
        <v>931</v>
      </c>
      <c r="C137" t="s">
        <v>138</v>
      </c>
    </row>
    <row r="138" spans="2:3" x14ac:dyDescent="0.15">
      <c r="B138" t="s">
        <v>934</v>
      </c>
      <c r="C138" t="s">
        <v>138</v>
      </c>
    </row>
    <row r="139" spans="2:3" x14ac:dyDescent="0.15">
      <c r="B139" t="s">
        <v>937</v>
      </c>
      <c r="C139" t="s">
        <v>138</v>
      </c>
    </row>
    <row r="140" spans="2:3" x14ac:dyDescent="0.15">
      <c r="B140" t="s">
        <v>940</v>
      </c>
      <c r="C140" t="s">
        <v>138</v>
      </c>
    </row>
    <row r="141" spans="2:3" x14ac:dyDescent="0.15">
      <c r="B141" t="s">
        <v>943</v>
      </c>
      <c r="C141" t="s">
        <v>138</v>
      </c>
    </row>
    <row r="142" spans="2:3" x14ac:dyDescent="0.15">
      <c r="B142" t="s">
        <v>946</v>
      </c>
      <c r="C142" t="s">
        <v>138</v>
      </c>
    </row>
    <row r="143" spans="2:3" x14ac:dyDescent="0.15">
      <c r="B143" t="s">
        <v>949</v>
      </c>
      <c r="C143" t="s">
        <v>138</v>
      </c>
    </row>
    <row r="144" spans="2:3" x14ac:dyDescent="0.15">
      <c r="B144" t="s">
        <v>952</v>
      </c>
      <c r="C144" t="s">
        <v>138</v>
      </c>
    </row>
    <row r="145" spans="2:3" x14ac:dyDescent="0.15">
      <c r="B145" t="s">
        <v>955</v>
      </c>
      <c r="C145" t="s">
        <v>138</v>
      </c>
    </row>
    <row r="146" spans="2:3" x14ac:dyDescent="0.15">
      <c r="B146" t="s">
        <v>958</v>
      </c>
      <c r="C146" t="s">
        <v>138</v>
      </c>
    </row>
    <row r="147" spans="2:3" x14ac:dyDescent="0.15">
      <c r="B147" t="s">
        <v>961</v>
      </c>
      <c r="C147" t="s">
        <v>138</v>
      </c>
    </row>
    <row r="148" spans="2:3" x14ac:dyDescent="0.15">
      <c r="B148" t="s">
        <v>964</v>
      </c>
      <c r="C148" t="s">
        <v>138</v>
      </c>
    </row>
    <row r="149" spans="2:3" x14ac:dyDescent="0.15">
      <c r="B149" t="s">
        <v>967</v>
      </c>
      <c r="C149" t="s">
        <v>138</v>
      </c>
    </row>
    <row r="150" spans="2:3" x14ac:dyDescent="0.15">
      <c r="B150" t="s">
        <v>970</v>
      </c>
      <c r="C150" t="s">
        <v>138</v>
      </c>
    </row>
    <row r="151" spans="2:3" x14ac:dyDescent="0.15">
      <c r="B151" t="s">
        <v>973</v>
      </c>
      <c r="C151" t="s">
        <v>138</v>
      </c>
    </row>
    <row r="152" spans="2:3" x14ac:dyDescent="0.15">
      <c r="B152" t="s">
        <v>976</v>
      </c>
      <c r="C152" t="s">
        <v>138</v>
      </c>
    </row>
    <row r="153" spans="2:3" x14ac:dyDescent="0.15">
      <c r="B153" t="s">
        <v>979</v>
      </c>
      <c r="C153" t="s">
        <v>138</v>
      </c>
    </row>
    <row r="154" spans="2:3" x14ac:dyDescent="0.15">
      <c r="B154" t="s">
        <v>982</v>
      </c>
      <c r="C154" t="s">
        <v>138</v>
      </c>
    </row>
    <row r="155" spans="2:3" x14ac:dyDescent="0.15">
      <c r="B155" t="s">
        <v>985</v>
      </c>
      <c r="C155" t="s">
        <v>138</v>
      </c>
    </row>
    <row r="156" spans="2:3" x14ac:dyDescent="0.15">
      <c r="B156" t="s">
        <v>988</v>
      </c>
      <c r="C156" t="s">
        <v>138</v>
      </c>
    </row>
    <row r="157" spans="2:3" x14ac:dyDescent="0.15">
      <c r="B157" t="s">
        <v>991</v>
      </c>
      <c r="C157" t="s">
        <v>138</v>
      </c>
    </row>
    <row r="158" spans="2:3" x14ac:dyDescent="0.15">
      <c r="B158" t="s">
        <v>994</v>
      </c>
      <c r="C158" t="s">
        <v>138</v>
      </c>
    </row>
    <row r="159" spans="2:3" x14ac:dyDescent="0.15">
      <c r="B159" t="s">
        <v>997</v>
      </c>
      <c r="C159" t="s">
        <v>138</v>
      </c>
    </row>
    <row r="160" spans="2:3" x14ac:dyDescent="0.15">
      <c r="B160" t="s">
        <v>1000</v>
      </c>
      <c r="C160" t="s">
        <v>138</v>
      </c>
    </row>
    <row r="161" spans="2:3" x14ac:dyDescent="0.15">
      <c r="B161" t="s">
        <v>1003</v>
      </c>
      <c r="C161" t="s">
        <v>138</v>
      </c>
    </row>
    <row r="162" spans="2:3" x14ac:dyDescent="0.15">
      <c r="B162" t="s">
        <v>1006</v>
      </c>
      <c r="C162" t="s">
        <v>138</v>
      </c>
    </row>
    <row r="163" spans="2:3" x14ac:dyDescent="0.15">
      <c r="B163" t="s">
        <v>1009</v>
      </c>
      <c r="C163" t="s">
        <v>138</v>
      </c>
    </row>
    <row r="164" spans="2:3" x14ac:dyDescent="0.15">
      <c r="B164" t="s">
        <v>1012</v>
      </c>
      <c r="C164" t="s">
        <v>138</v>
      </c>
    </row>
    <row r="165" spans="2:3" x14ac:dyDescent="0.15">
      <c r="B165" t="s">
        <v>1015</v>
      </c>
      <c r="C165" t="s">
        <v>138</v>
      </c>
    </row>
    <row r="166" spans="2:3" x14ac:dyDescent="0.15">
      <c r="B166" t="s">
        <v>1018</v>
      </c>
      <c r="C166" t="s">
        <v>138</v>
      </c>
    </row>
    <row r="167" spans="2:3" x14ac:dyDescent="0.15">
      <c r="B167" t="s">
        <v>1021</v>
      </c>
      <c r="C167" t="s">
        <v>138</v>
      </c>
    </row>
    <row r="168" spans="2:3" x14ac:dyDescent="0.15">
      <c r="B168" t="s">
        <v>1024</v>
      </c>
      <c r="C168" t="s">
        <v>138</v>
      </c>
    </row>
    <row r="169" spans="2:3" x14ac:dyDescent="0.15">
      <c r="B169" t="s">
        <v>1027</v>
      </c>
      <c r="C169" t="s">
        <v>138</v>
      </c>
    </row>
    <row r="170" spans="2:3" x14ac:dyDescent="0.15">
      <c r="B170" t="s">
        <v>1030</v>
      </c>
      <c r="C170" t="s">
        <v>138</v>
      </c>
    </row>
    <row r="171" spans="2:3" x14ac:dyDescent="0.15">
      <c r="B171" t="s">
        <v>1033</v>
      </c>
      <c r="C171" t="s">
        <v>138</v>
      </c>
    </row>
    <row r="172" spans="2:3" x14ac:dyDescent="0.15">
      <c r="B172" t="s">
        <v>1036</v>
      </c>
      <c r="C172" t="s">
        <v>138</v>
      </c>
    </row>
    <row r="173" spans="2:3" x14ac:dyDescent="0.15">
      <c r="B173" t="s">
        <v>1039</v>
      </c>
      <c r="C173" t="s">
        <v>138</v>
      </c>
    </row>
    <row r="174" spans="2:3" x14ac:dyDescent="0.15">
      <c r="B174" t="s">
        <v>1042</v>
      </c>
      <c r="C174" t="s">
        <v>135</v>
      </c>
    </row>
    <row r="175" spans="2:3" x14ac:dyDescent="0.15">
      <c r="B175" t="s">
        <v>1045</v>
      </c>
      <c r="C175" t="s">
        <v>130</v>
      </c>
    </row>
    <row r="176" spans="2:3" x14ac:dyDescent="0.15">
      <c r="B176" t="s">
        <v>1048</v>
      </c>
      <c r="C176" t="s">
        <v>130</v>
      </c>
    </row>
    <row r="177" spans="2:3" x14ac:dyDescent="0.15">
      <c r="B177" t="s">
        <v>1051</v>
      </c>
      <c r="C177" t="s">
        <v>132</v>
      </c>
    </row>
    <row r="178" spans="2:3" x14ac:dyDescent="0.15">
      <c r="B178" t="s">
        <v>1054</v>
      </c>
      <c r="C178" t="s">
        <v>130</v>
      </c>
    </row>
    <row r="179" spans="2:3" x14ac:dyDescent="0.15">
      <c r="B179" t="s">
        <v>1057</v>
      </c>
      <c r="C179" t="s">
        <v>131</v>
      </c>
    </row>
    <row r="180" spans="2:3" x14ac:dyDescent="0.15">
      <c r="B180" t="s">
        <v>357</v>
      </c>
      <c r="C180" t="s">
        <v>134</v>
      </c>
    </row>
    <row r="181" spans="2:3" x14ac:dyDescent="0.15">
      <c r="B181" t="s">
        <v>563</v>
      </c>
      <c r="C181" t="s">
        <v>142</v>
      </c>
    </row>
    <row r="182" spans="2:3" x14ac:dyDescent="0.15">
      <c r="B182" t="s">
        <v>307</v>
      </c>
      <c r="C182" t="s">
        <v>155</v>
      </c>
    </row>
    <row r="183" spans="2:3" x14ac:dyDescent="0.15">
      <c r="B183" t="s">
        <v>310</v>
      </c>
      <c r="C183" t="s">
        <v>155</v>
      </c>
    </row>
    <row r="184" spans="2:3" x14ac:dyDescent="0.15">
      <c r="B184" t="s">
        <v>382</v>
      </c>
      <c r="C184" t="s">
        <v>134</v>
      </c>
    </row>
    <row r="185" spans="2:3" x14ac:dyDescent="0.15">
      <c r="B185" t="s">
        <v>385</v>
      </c>
      <c r="C185" t="s">
        <v>134</v>
      </c>
    </row>
    <row r="186" spans="2:3" x14ac:dyDescent="0.15">
      <c r="B186" t="s">
        <v>389</v>
      </c>
      <c r="C186" t="s">
        <v>134</v>
      </c>
    </row>
    <row r="187" spans="2:3" x14ac:dyDescent="0.15">
      <c r="B187" t="s">
        <v>395</v>
      </c>
      <c r="C187" t="s">
        <v>134</v>
      </c>
    </row>
    <row r="188" spans="2:3" x14ac:dyDescent="0.15">
      <c r="B188" t="s">
        <v>576</v>
      </c>
      <c r="C188" t="s">
        <v>142</v>
      </c>
    </row>
    <row r="189" spans="2:3" x14ac:dyDescent="0.15">
      <c r="B189" t="s">
        <v>580</v>
      </c>
      <c r="C189" t="s">
        <v>142</v>
      </c>
    </row>
    <row r="190" spans="2:3" x14ac:dyDescent="0.15">
      <c r="B190" t="s">
        <v>584</v>
      </c>
      <c r="C190" t="s">
        <v>142</v>
      </c>
    </row>
    <row r="191" spans="2:3" x14ac:dyDescent="0.15">
      <c r="B191" t="s">
        <v>588</v>
      </c>
      <c r="C191" t="s">
        <v>142</v>
      </c>
    </row>
    <row r="192" spans="2:3" x14ac:dyDescent="0.15">
      <c r="B192" t="s">
        <v>592</v>
      </c>
      <c r="C192" t="s">
        <v>142</v>
      </c>
    </row>
    <row r="193" spans="2:3" x14ac:dyDescent="0.15">
      <c r="B193" t="s">
        <v>596</v>
      </c>
      <c r="C193" t="s">
        <v>142</v>
      </c>
    </row>
    <row r="194" spans="2:3" x14ac:dyDescent="0.15">
      <c r="B194" t="s">
        <v>600</v>
      </c>
      <c r="C194" t="s">
        <v>142</v>
      </c>
    </row>
    <row r="195" spans="2:3" x14ac:dyDescent="0.15">
      <c r="B195" t="s">
        <v>604</v>
      </c>
      <c r="C195" t="s">
        <v>142</v>
      </c>
    </row>
    <row r="196" spans="2:3" x14ac:dyDescent="0.15">
      <c r="B196" t="s">
        <v>608</v>
      </c>
      <c r="C196" t="s">
        <v>142</v>
      </c>
    </row>
    <row r="197" spans="2:3" x14ac:dyDescent="0.15">
      <c r="B197" t="s">
        <v>612</v>
      </c>
      <c r="C197" t="s">
        <v>142</v>
      </c>
    </row>
    <row r="198" spans="2:3" x14ac:dyDescent="0.15">
      <c r="B198" t="s">
        <v>616</v>
      </c>
      <c r="C198" t="s">
        <v>142</v>
      </c>
    </row>
    <row r="199" spans="2:3" x14ac:dyDescent="0.15">
      <c r="B199" t="s">
        <v>620</v>
      </c>
      <c r="C199" t="s">
        <v>142</v>
      </c>
    </row>
    <row r="200" spans="2:3" x14ac:dyDescent="0.15">
      <c r="B200" t="s">
        <v>624</v>
      </c>
      <c r="C200" t="s">
        <v>142</v>
      </c>
    </row>
    <row r="201" spans="2:3" x14ac:dyDescent="0.15">
      <c r="B201" t="s">
        <v>628</v>
      </c>
      <c r="C201" t="s">
        <v>142</v>
      </c>
    </row>
    <row r="202" spans="2:3" x14ac:dyDescent="0.15">
      <c r="B202" t="s">
        <v>632</v>
      </c>
      <c r="C202" t="s">
        <v>142</v>
      </c>
    </row>
    <row r="203" spans="2:3" x14ac:dyDescent="0.15">
      <c r="B203" t="s">
        <v>636</v>
      </c>
      <c r="C203" t="s">
        <v>142</v>
      </c>
    </row>
    <row r="204" spans="2:3" x14ac:dyDescent="0.15">
      <c r="B204" t="s">
        <v>640</v>
      </c>
      <c r="C204" t="s">
        <v>142</v>
      </c>
    </row>
    <row r="205" spans="2:3" x14ac:dyDescent="0.15">
      <c r="B205" t="s">
        <v>644</v>
      </c>
      <c r="C205" t="s">
        <v>142</v>
      </c>
    </row>
    <row r="206" spans="2:3" x14ac:dyDescent="0.15">
      <c r="B206" t="s">
        <v>648</v>
      </c>
      <c r="C206" t="s">
        <v>142</v>
      </c>
    </row>
    <row r="207" spans="2:3" x14ac:dyDescent="0.15">
      <c r="B207" t="s">
        <v>652</v>
      </c>
      <c r="C207" t="s">
        <v>142</v>
      </c>
    </row>
    <row r="208" spans="2:3" x14ac:dyDescent="0.15">
      <c r="B208" t="s">
        <v>656</v>
      </c>
      <c r="C208" t="s">
        <v>142</v>
      </c>
    </row>
    <row r="209" spans="2:3" x14ac:dyDescent="0.15">
      <c r="B209" t="s">
        <v>660</v>
      </c>
      <c r="C209" t="s">
        <v>142</v>
      </c>
    </row>
    <row r="210" spans="2:3" x14ac:dyDescent="0.15">
      <c r="B210" t="s">
        <v>664</v>
      </c>
      <c r="C210" t="s">
        <v>142</v>
      </c>
    </row>
    <row r="211" spans="2:3" x14ac:dyDescent="0.15">
      <c r="B211" t="s">
        <v>668</v>
      </c>
      <c r="C211" t="s">
        <v>142</v>
      </c>
    </row>
    <row r="212" spans="2:3" x14ac:dyDescent="0.15">
      <c r="B212" t="s">
        <v>672</v>
      </c>
      <c r="C212" t="s">
        <v>142</v>
      </c>
    </row>
    <row r="213" spans="2:3" x14ac:dyDescent="0.15">
      <c r="B213" t="s">
        <v>676</v>
      </c>
      <c r="C213" t="s">
        <v>142</v>
      </c>
    </row>
    <row r="214" spans="2:3" x14ac:dyDescent="0.15">
      <c r="B214" t="s">
        <v>680</v>
      </c>
      <c r="C214" t="s">
        <v>142</v>
      </c>
    </row>
    <row r="215" spans="2:3" x14ac:dyDescent="0.15">
      <c r="B215" t="s">
        <v>684</v>
      </c>
      <c r="C215" t="s">
        <v>142</v>
      </c>
    </row>
    <row r="216" spans="2:3" x14ac:dyDescent="0.15">
      <c r="B216" t="s">
        <v>688</v>
      </c>
      <c r="C216" t="s">
        <v>142</v>
      </c>
    </row>
    <row r="217" spans="2:3" x14ac:dyDescent="0.15">
      <c r="B217" t="s">
        <v>692</v>
      </c>
      <c r="C217" t="s">
        <v>142</v>
      </c>
    </row>
    <row r="218" spans="2:3" x14ac:dyDescent="0.15">
      <c r="B218" t="s">
        <v>696</v>
      </c>
      <c r="C218" t="s">
        <v>142</v>
      </c>
    </row>
    <row r="219" spans="2:3" x14ac:dyDescent="0.15">
      <c r="B219" t="s">
        <v>700</v>
      </c>
      <c r="C219" t="s">
        <v>142</v>
      </c>
    </row>
    <row r="220" spans="2:3" x14ac:dyDescent="0.15">
      <c r="B220" t="s">
        <v>704</v>
      </c>
      <c r="C220" t="s">
        <v>142</v>
      </c>
    </row>
    <row r="221" spans="2:3" x14ac:dyDescent="0.15">
      <c r="B221" t="s">
        <v>708</v>
      </c>
      <c r="C221" t="s">
        <v>142</v>
      </c>
    </row>
    <row r="222" spans="2:3" x14ac:dyDescent="0.15">
      <c r="B222" t="s">
        <v>712</v>
      </c>
      <c r="C222" t="s">
        <v>142</v>
      </c>
    </row>
    <row r="223" spans="2:3" x14ac:dyDescent="0.15">
      <c r="B223" t="s">
        <v>716</v>
      </c>
      <c r="C223" t="s">
        <v>142</v>
      </c>
    </row>
    <row r="224" spans="2:3" x14ac:dyDescent="0.15">
      <c r="B224" t="s">
        <v>720</v>
      </c>
      <c r="C224" t="s">
        <v>142</v>
      </c>
    </row>
    <row r="225" spans="2:3" x14ac:dyDescent="0.15">
      <c r="B225" t="s">
        <v>724</v>
      </c>
      <c r="C225" t="s">
        <v>142</v>
      </c>
    </row>
    <row r="226" spans="2:3" x14ac:dyDescent="0.15">
      <c r="B226" t="s">
        <v>728</v>
      </c>
      <c r="C226" t="s">
        <v>142</v>
      </c>
    </row>
    <row r="227" spans="2:3" x14ac:dyDescent="0.15">
      <c r="B227" t="s">
        <v>732</v>
      </c>
      <c r="C227" t="s">
        <v>142</v>
      </c>
    </row>
    <row r="228" spans="2:3" x14ac:dyDescent="0.15">
      <c r="B228" t="s">
        <v>736</v>
      </c>
      <c r="C228" t="s">
        <v>142</v>
      </c>
    </row>
    <row r="229" spans="2:3" x14ac:dyDescent="0.15">
      <c r="B229" t="s">
        <v>740</v>
      </c>
      <c r="C229" t="s">
        <v>142</v>
      </c>
    </row>
    <row r="230" spans="2:3" x14ac:dyDescent="0.15">
      <c r="B230" t="s">
        <v>744</v>
      </c>
      <c r="C230" t="s">
        <v>142</v>
      </c>
    </row>
    <row r="231" spans="2:3" x14ac:dyDescent="0.15">
      <c r="B231" t="s">
        <v>748</v>
      </c>
      <c r="C231" t="s">
        <v>142</v>
      </c>
    </row>
    <row r="232" spans="2:3" x14ac:dyDescent="0.15">
      <c r="B232" t="s">
        <v>752</v>
      </c>
      <c r="C232" t="s">
        <v>142</v>
      </c>
    </row>
    <row r="233" spans="2:3" x14ac:dyDescent="0.15">
      <c r="B233" t="s">
        <v>756</v>
      </c>
      <c r="C233" t="s">
        <v>142</v>
      </c>
    </row>
    <row r="234" spans="2:3" x14ac:dyDescent="0.15">
      <c r="B234" t="s">
        <v>760</v>
      </c>
      <c r="C234" t="s">
        <v>142</v>
      </c>
    </row>
    <row r="235" spans="2:3" x14ac:dyDescent="0.15">
      <c r="B235" t="s">
        <v>764</v>
      </c>
      <c r="C235" t="s">
        <v>142</v>
      </c>
    </row>
    <row r="236" spans="2:3" x14ac:dyDescent="0.15">
      <c r="B236" t="s">
        <v>768</v>
      </c>
      <c r="C236" t="s">
        <v>142</v>
      </c>
    </row>
    <row r="237" spans="2:3" x14ac:dyDescent="0.15">
      <c r="B237" t="s">
        <v>772</v>
      </c>
      <c r="C237" t="s">
        <v>142</v>
      </c>
    </row>
    <row r="238" spans="2:3" x14ac:dyDescent="0.15">
      <c r="B238" t="s">
        <v>776</v>
      </c>
      <c r="C238" t="s">
        <v>142</v>
      </c>
    </row>
    <row r="239" spans="2:3" x14ac:dyDescent="0.15">
      <c r="B239" t="s">
        <v>780</v>
      </c>
      <c r="C239" t="s">
        <v>142</v>
      </c>
    </row>
    <row r="240" spans="2:3" x14ac:dyDescent="0.15">
      <c r="B240" t="s">
        <v>784</v>
      </c>
      <c r="C240" t="s">
        <v>142</v>
      </c>
    </row>
    <row r="241" spans="2:3" x14ac:dyDescent="0.15">
      <c r="B241" t="s">
        <v>788</v>
      </c>
      <c r="C241" t="s">
        <v>142</v>
      </c>
    </row>
    <row r="242" spans="2:3" x14ac:dyDescent="0.15">
      <c r="B242" t="s">
        <v>792</v>
      </c>
      <c r="C242" t="s">
        <v>142</v>
      </c>
    </row>
    <row r="243" spans="2:3" x14ac:dyDescent="0.15">
      <c r="B243" t="s">
        <v>796</v>
      </c>
      <c r="C243" t="s">
        <v>142</v>
      </c>
    </row>
    <row r="244" spans="2:3" x14ac:dyDescent="0.15">
      <c r="B244" t="s">
        <v>800</v>
      </c>
      <c r="C244" t="s">
        <v>142</v>
      </c>
    </row>
    <row r="245" spans="2:3" x14ac:dyDescent="0.15">
      <c r="B245" t="s">
        <v>804</v>
      </c>
      <c r="C245" t="s">
        <v>142</v>
      </c>
    </row>
    <row r="246" spans="2:3" x14ac:dyDescent="0.15">
      <c r="B246" t="s">
        <v>808</v>
      </c>
      <c r="C246" t="s">
        <v>142</v>
      </c>
    </row>
    <row r="247" spans="2:3" x14ac:dyDescent="0.15">
      <c r="B247" t="s">
        <v>812</v>
      </c>
      <c r="C247" t="s">
        <v>142</v>
      </c>
    </row>
    <row r="248" spans="2:3" x14ac:dyDescent="0.15">
      <c r="B248" t="s">
        <v>816</v>
      </c>
      <c r="C248" t="s">
        <v>142</v>
      </c>
    </row>
    <row r="249" spans="2:3" x14ac:dyDescent="0.15">
      <c r="B249" t="s">
        <v>820</v>
      </c>
      <c r="C249" t="s">
        <v>142</v>
      </c>
    </row>
    <row r="250" spans="2:3" x14ac:dyDescent="0.15">
      <c r="B250" t="s">
        <v>824</v>
      </c>
      <c r="C250" t="s">
        <v>142</v>
      </c>
    </row>
    <row r="251" spans="2:3" x14ac:dyDescent="0.15">
      <c r="B251" t="s">
        <v>828</v>
      </c>
      <c r="C251" t="s">
        <v>142</v>
      </c>
    </row>
    <row r="252" spans="2:3" x14ac:dyDescent="0.15">
      <c r="B252" t="s">
        <v>832</v>
      </c>
      <c r="C252" t="s">
        <v>142</v>
      </c>
    </row>
    <row r="253" spans="2:3" x14ac:dyDescent="0.15">
      <c r="B253" t="s">
        <v>1058</v>
      </c>
      <c r="C253" t="s">
        <v>142</v>
      </c>
    </row>
    <row r="254" spans="2:3" x14ac:dyDescent="0.15">
      <c r="B254" t="s">
        <v>1060</v>
      </c>
      <c r="C254" t="s">
        <v>93</v>
      </c>
    </row>
    <row r="255" spans="2:3" x14ac:dyDescent="0.15">
      <c r="B255" t="s">
        <v>1061</v>
      </c>
      <c r="C255" t="s">
        <v>94</v>
      </c>
    </row>
    <row r="256" spans="2:3" x14ac:dyDescent="0.15">
      <c r="B256" t="s">
        <v>1062</v>
      </c>
      <c r="C256" t="s">
        <v>95</v>
      </c>
    </row>
    <row r="257" spans="2:3" x14ac:dyDescent="0.15">
      <c r="B257" t="s">
        <v>352</v>
      </c>
      <c r="C257" t="s">
        <v>96</v>
      </c>
    </row>
    <row r="258" spans="2:3" x14ac:dyDescent="0.15">
      <c r="B258" t="s">
        <v>1063</v>
      </c>
      <c r="C258" t="s">
        <v>93</v>
      </c>
    </row>
    <row r="259" spans="2:3" x14ac:dyDescent="0.15">
      <c r="B259" t="s">
        <v>416</v>
      </c>
      <c r="C259" t="s">
        <v>94</v>
      </c>
    </row>
    <row r="260" spans="2:3" x14ac:dyDescent="0.15">
      <c r="B260" t="s">
        <v>267</v>
      </c>
      <c r="C260" t="s">
        <v>95</v>
      </c>
    </row>
    <row r="261" spans="2:3" x14ac:dyDescent="0.15">
      <c r="B261" t="s">
        <v>353</v>
      </c>
      <c r="C261" t="s">
        <v>96</v>
      </c>
    </row>
    <row r="262" spans="2:3" x14ac:dyDescent="0.15">
      <c r="B262" t="s">
        <v>1064</v>
      </c>
      <c r="C262" t="s">
        <v>93</v>
      </c>
    </row>
    <row r="263" spans="2:3" x14ac:dyDescent="0.15">
      <c r="B263" t="s">
        <v>1065</v>
      </c>
      <c r="C263" t="s">
        <v>94</v>
      </c>
    </row>
    <row r="264" spans="2:3" x14ac:dyDescent="0.15">
      <c r="B264" t="s">
        <v>350</v>
      </c>
      <c r="C264" t="s">
        <v>95</v>
      </c>
    </row>
    <row r="265" spans="2:3" x14ac:dyDescent="0.15">
      <c r="B265" t="s">
        <v>1066</v>
      </c>
      <c r="C265" t="s">
        <v>96</v>
      </c>
    </row>
    <row r="266" spans="2:3" x14ac:dyDescent="0.15">
      <c r="B266" t="s">
        <v>397</v>
      </c>
      <c r="C266" t="s">
        <v>93</v>
      </c>
    </row>
    <row r="267" spans="2:3" x14ac:dyDescent="0.15">
      <c r="B267" t="s">
        <v>1067</v>
      </c>
      <c r="C267" t="s">
        <v>95</v>
      </c>
    </row>
    <row r="268" spans="2:3" x14ac:dyDescent="0.15">
      <c r="B268" t="s">
        <v>269</v>
      </c>
      <c r="C268" t="s">
        <v>96</v>
      </c>
    </row>
    <row r="269" spans="2:3" x14ac:dyDescent="0.15">
      <c r="B269" t="s">
        <v>398</v>
      </c>
      <c r="C269" t="s">
        <v>97</v>
      </c>
    </row>
    <row r="270" spans="2:3" x14ac:dyDescent="0.15">
      <c r="B270" t="s">
        <v>1068</v>
      </c>
      <c r="C270" t="s">
        <v>98</v>
      </c>
    </row>
    <row r="271" spans="2:3" x14ac:dyDescent="0.15">
      <c r="B271" t="s">
        <v>270</v>
      </c>
      <c r="C271" t="s">
        <v>99</v>
      </c>
    </row>
    <row r="272" spans="2:3" x14ac:dyDescent="0.15">
      <c r="B272" t="s">
        <v>362</v>
      </c>
      <c r="C272" t="s">
        <v>100</v>
      </c>
    </row>
    <row r="273" spans="2:3" x14ac:dyDescent="0.15">
      <c r="B273" t="s">
        <v>1069</v>
      </c>
      <c r="C273" t="s">
        <v>101</v>
      </c>
    </row>
    <row r="274" spans="2:3" x14ac:dyDescent="0.15">
      <c r="B274" t="s">
        <v>271</v>
      </c>
      <c r="C274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Takehisa Inoue (井上 岳久)</cp:lastModifiedBy>
  <dcterms:created xsi:type="dcterms:W3CDTF">2014-12-23T06:27:41Z</dcterms:created>
  <dcterms:modified xsi:type="dcterms:W3CDTF">2026-01-29T09:43:41Z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