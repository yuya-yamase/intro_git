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E17A1C03-D78C-4B13-9693-58C1D71F551C}" xr6:coauthVersionLast="47" xr6:coauthVersionMax="47" xr10:uidLastSave="{00000000-0000-0000-0000-000000000000}"/>
  <bookViews>
    <workbookView xWindow="-14265" yWindow="-16320" windowWidth="29040" windowHeight="15720" xr2:uid="{00000000-000D-0000-FFFF-FFFF00000000}"/>
  </bookViews>
  <sheets>
    <sheet name="表紙（承認欄）" sheetId="26" r:id="rId1"/>
    <sheet name="表紙" sheetId="1" r:id="rId2"/>
    <sheet name="はじめに" sheetId="10" r:id="rId3"/>
    <sheet name="Matrix" sheetId="4" r:id="rId4"/>
    <sheet name="Config_IF" sheetId="11" r:id="rId5"/>
    <sheet name="CH_Design" sheetId="5" r:id="rId6"/>
    <sheet name="C_TRCOFF" sheetId="8" r:id="rId7"/>
    <sheet name="Reference" sheetId="24" r:id="rId8"/>
    <sheet name="History" sheetId="25"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6" l="1"/>
  <c r="D3" i="1"/>
  <c r="C2" i="25"/>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U10" i="8"/>
  <c r="AU11" i="8"/>
  <c r="AS46" i="8"/>
  <c r="AS67" i="8"/>
  <c r="AS52" i="8"/>
  <c r="AR55" i="8"/>
  <c r="AR60" i="8"/>
  <c r="AL182" i="8"/>
  <c r="AR34" i="8"/>
  <c r="AM121" i="8"/>
  <c r="AN122" i="8"/>
  <c r="AR57" i="8"/>
  <c r="AO189" i="8"/>
  <c r="AM163" i="8"/>
  <c r="AQ153" i="8"/>
  <c r="AS23" i="8" s="1"/>
  <c r="AQ155" i="8"/>
  <c r="AS26" i="8" s="1"/>
  <c r="AQ157" i="8"/>
  <c r="AS27" i="8" s="1"/>
  <c r="AR47" i="8"/>
  <c r="AS34" i="8"/>
  <c r="AS40" i="8"/>
  <c r="AS65" i="8"/>
  <c r="AO138" i="8"/>
  <c r="AM138" i="8"/>
  <c r="AM195" i="8"/>
  <c r="AM89" i="8"/>
  <c r="AR39" i="8"/>
  <c r="AS29"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7" i="8" l="1"/>
  <c r="AR12" i="8" s="1"/>
  <c r="AQ141" i="8"/>
  <c r="AQ140" i="8"/>
  <c r="AQ78" i="8"/>
  <c r="AS25" i="8"/>
  <c r="AQ142" i="8"/>
  <c r="AS12" i="8" s="1"/>
  <c r="AQ75" i="8"/>
  <c r="AQ76" i="8"/>
  <c r="AR11" i="8" s="1"/>
  <c r="AS28" i="8"/>
  <c r="AS24" i="8"/>
  <c r="AR20" i="8"/>
  <c r="AS20" i="8"/>
  <c r="AS19" i="8"/>
  <c r="AR19" i="8"/>
  <c r="AS17" i="8"/>
  <c r="AQ74" i="8"/>
  <c r="AQ139" i="8"/>
  <c r="AS9" i="8" s="1"/>
  <c r="AQ138" i="8"/>
  <c r="AQ73" i="8"/>
  <c r="AR17" i="8"/>
  <c r="AR16" i="8"/>
  <c r="AR18" i="8"/>
  <c r="AS16" i="8"/>
  <c r="AS18" i="8"/>
  <c r="AR22" i="8"/>
  <c r="AR21" i="8"/>
  <c r="AS21" i="8"/>
  <c r="AS22" i="8"/>
  <c r="AQ79" i="8"/>
  <c r="AQ144" i="8"/>
  <c r="AS14" i="8" s="1"/>
  <c r="AQ137" i="8"/>
  <c r="AQ72" i="8"/>
  <c r="AQ71" i="8"/>
  <c r="AR6" i="8" s="1"/>
  <c r="AQ136" i="8"/>
  <c r="AS6" i="8" s="1"/>
  <c r="B136" i="8"/>
  <c r="B71" i="8"/>
  <c r="D7" i="4"/>
  <c r="M13" i="4"/>
  <c r="N13" i="4" s="1"/>
  <c r="AR13" i="8" l="1"/>
  <c r="AS11" i="8"/>
  <c r="AS13" i="8"/>
  <c r="AR14" i="8"/>
  <c r="AS7" i="8"/>
  <c r="AS8" i="8"/>
  <c r="AR9" i="8"/>
  <c r="AR10" i="8"/>
  <c r="AS10" i="8"/>
  <c r="AR8" i="8"/>
  <c r="AR15" i="8"/>
  <c r="AS15" i="8"/>
  <c r="AR7" i="8"/>
  <c r="D5" i="4"/>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T5" i="8" l="1"/>
  <c r="AS5" i="8"/>
  <c r="AR5" i="8"/>
  <c r="AV5" i="8"/>
  <c r="B14"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AH3" authorId="0" shapeId="0" xr:uid="{00000000-0006-0000-0500-000001000000}">
      <text>
        <r>
          <rPr>
            <b/>
            <sz val="9"/>
            <color indexed="81"/>
            <rFont val="MS P ゴシック"/>
            <family val="3"/>
            <charset val="128"/>
          </rPr>
          <t>IG状態を考慮した通信状態を取得
下位1bitをマスク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<sst xmlns="http://schemas.openxmlformats.org/spreadsheetml/2006/main" count="2566" uniqueCount="306">
  <si>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</si>
  <si>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</si>
  <si>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</si>
  <si>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</si>
  <si>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</si>
  <si>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</si>
  <si>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</si>
  <si>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</si>
  <si>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</si>
  <si>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</si>
  <si>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</si>
  <si>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</si>
  <si>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</si>
  <si>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</si>
  <si>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</si>
  <si>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</si>
  <si>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</si>
  <si>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</si>
  <si>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</si>
  <si>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</si>
  <si>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</si>
  <si>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</si>
  <si>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</si>
  <si>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</si>
  <si>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</si>
  <si>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</si>
  <si>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</si>
  <si>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</si>
  <si>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</si>
  <si>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</si>
  <si>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</si>
  <si>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</si>
  <si>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</si>
  <si>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</si>
  <si>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</si>
  <si>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</si>
  <si>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</si>
  <si>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</si>
  <si>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</si>
  <si>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</si>
  <si>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</si>
  <si>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</si>
  <si>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</si>
  <si>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</si>
  <si>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</si>
  <si>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</si>
  <si>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</si>
  <si>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</si>
  <si>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</si>
  <si>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</si>
  <si>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</si>
  <si>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</si>
  <si>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</si>
  <si>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</si>
  <si>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</si>
  <si>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</si>
  <si>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</si>
  <si>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</si>
  <si>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</si>
  <si>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</si>
  <si>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</si>
  <si>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</si>
  <si>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</si>
  <si>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</si>
  <si>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</si>
  <si>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</si>
  <si>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</si>
  <si>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</si>
  <si>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</si>
  <si>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</si>
  <si>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</si>
  <si>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</si>
  <si>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</si>
  <si>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</si>
  <si>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</si>
  <si>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</si>
  <si>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</si>
  <si>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</si>
  <si>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</si>
  <si>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</si>
  <si>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</si>
  <si>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</si>
  <si>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</si>
  <si>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</si>
  <si>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</si>
  <si>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</si>
  <si>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</si>
  <si>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</si>
  <si>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</si>
  <si>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</si>
  <si>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</si>
  <si>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</si>
  <si>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</si>
  <si>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</si>
  <si>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</si>
  <si>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</si>
  <si>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</si>
  <si>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</si>
  <si>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</si>
  <si>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</si>
  <si>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</si>
  <si>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</si>
  <si>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</si>
  <si>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</si>
  <si>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</si>
  <si>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</si>
  <si>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</si>
  <si>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</si>
  <si>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</si>
  <si>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</si>
  <si>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</si>
  <si>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</si>
  <si>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</si>
  <si>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</si>
  <si>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</si>
  <si>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</si>
  <si>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</si>
  <si>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</si>
  <si>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</si>
  <si>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</si>
  <si>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</si>
  <si>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</si>
  <si>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</si>
  <si>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</si>
  <si>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</si>
  <si>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</si>
  <si>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</si>
  <si>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</si>
  <si>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</si>
  <si>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</si>
  <si>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</si>
  <si>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</si>
  <si>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</si>
  <si>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</si>
  <si>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</si>
  <si>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</si>
  <si>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</si>
  <si>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</si>
  <si>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</si>
  <si>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</si>
  <si>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</si>
  <si>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</si>
  <si>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</si>
  <si>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</si>
  <si>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</si>
  <si>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</si>
  <si>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</si>
  <si>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</si>
  <si>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</si>
  <si>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</si>
  <si>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</si>
  <si>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</si>
  <si>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</si>
  <si>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</si>
  <si>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</si>
  <si>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</si>
  <si>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</si>
  <si>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</si>
  <si>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</si>
  <si>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</si>
  <si>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</si>
  <si>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</si>
  <si>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</si>
  <si>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</si>
  <si>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</si>
  <si>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</si>
  <si>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</si>
  <si>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</si>
  <si>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</si>
  <si>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</si>
  <si>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</si>
  <si>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</si>
  <si>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</si>
  <si>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</si>
  <si>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</si>
  <si>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</si>
  <si>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</si>
  <si>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</si>
  <si>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</si>
  <si>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</si>
  <si>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</si>
  <si>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</si>
  <si>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</si>
  <si>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</si>
  <si>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</si>
  <si>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</si>
  <si>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</si>
  <si>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</si>
  <si>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</si>
  <si>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</si>
  <si>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</si>
  <si>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</si>
  <si>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</si>
  <si>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</si>
  <si>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NULL</t>
  </si>
  <si>
    <t>Index Table</t>
  </si>
  <si>
    <t>Index</t>
  </si>
  <si>
    <t>[reserved]</t>
    <phoneticPr fontId="2"/>
  </si>
  <si>
    <t>×</t>
    <phoneticPr fontId="2"/>
  </si>
  <si>
    <t>×</t>
    <phoneticPr fontId="2"/>
  </si>
  <si>
    <t>×</t>
    <phoneticPr fontId="2"/>
  </si>
  <si>
    <t>×</t>
    <phoneticPr fontId="2"/>
  </si>
  <si>
    <t>CAN</t>
  </si>
  <si>
    <t>-</t>
    <phoneticPr fontId="2"/>
  </si>
  <si>
    <t>IGN_ON</t>
    <phoneticPr fontId="2"/>
  </si>
  <si>
    <t>IGN_OFF</t>
    <phoneticPr fontId="2"/>
  </si>
  <si>
    <t>Table Type</t>
    <phoneticPr fontId="2"/>
  </si>
  <si>
    <t>入力</t>
    <phoneticPr fontId="2"/>
  </si>
  <si>
    <t>REQ</t>
    <phoneticPr fontId="2"/>
  </si>
  <si>
    <t>ALERT_CH_C_TRCOFF</t>
    <phoneticPr fontId="2"/>
  </si>
  <si>
    <t>-</t>
    <phoneticPr fontId="2"/>
  </si>
  <si>
    <t>-</t>
    <phoneticPr fontId="2"/>
  </si>
  <si>
    <t>-</t>
    <phoneticPr fontId="2"/>
  </si>
  <si>
    <t>-</t>
    <phoneticPr fontId="2"/>
  </si>
  <si>
    <t>-</t>
    <phoneticPr fontId="2"/>
  </si>
  <si>
    <t>IG</t>
    <phoneticPr fontId="2"/>
  </si>
  <si>
    <t>IG</t>
    <phoneticPr fontId="2"/>
  </si>
  <si>
    <t>ALERT_VOM_IGN_ON</t>
    <phoneticPr fontId="2"/>
  </si>
  <si>
    <t>RWT_EN</t>
    <phoneticPr fontId="2"/>
  </si>
  <si>
    <t>VCS_ON</t>
    <phoneticPr fontId="2"/>
  </si>
  <si>
    <t>IGN_OFF_WT</t>
    <phoneticPr fontId="2"/>
  </si>
  <si>
    <t>BAT_WT</t>
    <phoneticPr fontId="2"/>
  </si>
  <si>
    <t>BAT_AO</t>
    <phoneticPr fontId="2"/>
  </si>
  <si>
    <t>TRCOFF</t>
  </si>
  <si>
    <t>0b/
1b</t>
    <phoneticPr fontId="2"/>
  </si>
  <si>
    <t>0b/
1b</t>
    <phoneticPr fontId="2"/>
  </si>
  <si>
    <t>0b/
1b</t>
    <phoneticPr fontId="2"/>
  </si>
  <si>
    <t>0b/
1b</t>
    <phoneticPr fontId="2"/>
  </si>
  <si>
    <t>通常(0b)/
未受信(1b)</t>
    <rPh sb="0" eb="2">
      <t>ツウジョウ</t>
    </rPh>
    <phoneticPr fontId="2"/>
  </si>
  <si>
    <t>消灯(0b)/
点灯(1b)</t>
    <rPh sb="0" eb="2">
      <t>ショウトウ</t>
    </rPh>
    <phoneticPr fontId="2"/>
  </si>
  <si>
    <t>点灯/
-</t>
    <phoneticPr fontId="2"/>
  </si>
  <si>
    <t>0b</t>
    <phoneticPr fontId="2"/>
  </si>
  <si>
    <t>0b</t>
    <phoneticPr fontId="2"/>
  </si>
  <si>
    <t>0b</t>
    <phoneticPr fontId="2"/>
  </si>
  <si>
    <t>UNKNOWN</t>
    <phoneticPr fontId="2"/>
  </si>
  <si>
    <t>0b</t>
    <phoneticPr fontId="2"/>
  </si>
  <si>
    <t>1b</t>
    <phoneticPr fontId="2"/>
  </si>
  <si>
    <t>MALFUNC</t>
    <phoneticPr fontId="2"/>
  </si>
  <si>
    <t>点灯</t>
    <rPh sb="0" eb="2">
      <t>テントウ</t>
    </rPh>
    <phoneticPr fontId="2"/>
  </si>
  <si>
    <t>1b</t>
    <phoneticPr fontId="2"/>
  </si>
  <si>
    <t>UNKNOWN</t>
    <phoneticPr fontId="2"/>
  </si>
  <si>
    <t>-</t>
    <phoneticPr fontId="2"/>
  </si>
  <si>
    <t>1b</t>
    <phoneticPr fontId="2"/>
  </si>
  <si>
    <t>UNKNOWN</t>
    <phoneticPr fontId="2"/>
  </si>
  <si>
    <t>IG-OFF</t>
    <phoneticPr fontId="2"/>
  </si>
  <si>
    <t>*b</t>
    <phoneticPr fontId="2"/>
  </si>
  <si>
    <t>*b</t>
    <phoneticPr fontId="2"/>
  </si>
  <si>
    <t>UNKNOWN</t>
    <phoneticPr fontId="2"/>
  </si>
  <si>
    <t>-</t>
    <phoneticPr fontId="2"/>
  </si>
  <si>
    <t>MALFUNC</t>
  </si>
  <si>
    <t>TRCOFF</t>
    <phoneticPr fontId="2"/>
  </si>
  <si>
    <t>1.1.0</t>
    <phoneticPr fontId="2"/>
  </si>
  <si>
    <t>×</t>
  </si>
  <si>
    <t>UNKNOWN/
MALFUNC</t>
    <phoneticPr fontId="2"/>
  </si>
  <si>
    <t>ON</t>
  </si>
  <si>
    <t>MALFUNC</t>
    <phoneticPr fontId="2"/>
  </si>
  <si>
    <t>森</t>
    <rPh sb="0" eb="1">
      <t>モリ</t>
    </rPh>
    <phoneticPr fontId="2"/>
  </si>
  <si>
    <t>通常 + 消灯</t>
    <rPh sb="0" eb="2">
      <t>ツウジョウ</t>
    </rPh>
    <rPh sb="5" eb="7">
      <t>ショウトウ</t>
    </rPh>
    <phoneticPr fontId="2"/>
  </si>
  <si>
    <t>通常 + 点灯</t>
    <rPh sb="0" eb="2">
      <t>ツウジョウ</t>
    </rPh>
    <rPh sb="5" eb="7">
      <t>テントウ</t>
    </rPh>
    <phoneticPr fontId="2"/>
  </si>
  <si>
    <t>未受信 + 消灯</t>
    <rPh sb="0" eb="1">
      <t>ミ</t>
    </rPh>
    <rPh sb="1" eb="3">
      <t>ジュシン</t>
    </rPh>
    <rPh sb="6" eb="8">
      <t>ショウトウ</t>
    </rPh>
    <phoneticPr fontId="2"/>
  </si>
  <si>
    <t>未受信 + 点灯</t>
    <rPh sb="0" eb="1">
      <t>ミ</t>
    </rPh>
    <rPh sb="1" eb="3">
      <t>ジュシン</t>
    </rPh>
    <rPh sb="6" eb="8">
      <t>テントウ</t>
    </rPh>
    <phoneticPr fontId="2"/>
  </si>
  <si>
    <t>800B CV-R対応
[Referenceシート]
・バルブチェックマスク判定削除
[CH_Designシート]
・REQ：PRMRYCHK削除
・Valueを変更
[C_TRCOFFシート]
・バルブチェックマスク判定削除</t>
    <rPh sb="9" eb="11">
      <t>タイオウ</t>
    </rPh>
    <rPh sb="38" eb="40">
      <t>ハンテイ</t>
    </rPh>
    <rPh sb="40" eb="42">
      <t>サクジョ</t>
    </rPh>
    <rPh sb="71" eb="73">
      <t>サクジョ</t>
    </rPh>
    <rPh sb="81" eb="83">
      <t>ヘンコウ</t>
    </rPh>
    <phoneticPr fontId="2"/>
  </si>
  <si>
    <t>鈴木直行</t>
    <rPh sb="0" eb="4">
      <t>スズキナオユキ</t>
    </rPh>
    <phoneticPr fontId="2"/>
  </si>
  <si>
    <t>葛西</t>
    <rPh sb="0" eb="2">
      <t>カサイ</t>
    </rPh>
    <phoneticPr fontId="2"/>
  </si>
  <si>
    <t>鈴木大助</t>
    <rPh sb="0" eb="2">
      <t>スズキ</t>
    </rPh>
    <rPh sb="2" eb="4">
      <t>ダイスケ</t>
    </rPh>
    <phoneticPr fontId="2"/>
  </si>
  <si>
    <t>1.2.0</t>
    <phoneticPr fontId="2"/>
  </si>
  <si>
    <t>高橋勝</t>
    <rPh sb="0" eb="3">
      <t>タカハシカツ</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</si>
  <si>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</si>
  <si>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</si>
  <si>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</si>
  <si>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</si>
  <si>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</si>
  <si>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</si>
  <si>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</si>
  <si>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</si>
  <si>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</si>
  <si>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(流用元：alert_C_TRCOFF-CSTD-0-01-A-C0.xlsx)
面企画#2 1A対応
[Matrix]シート
・対象仕様書変更
・ロケーション変更
[Reference]シート
・キャプチャを差し替え
・吹き出しコメント修正</t>
    <phoneticPr fontId="2"/>
  </si>
  <si>
    <t>TT判定</t>
    <rPh sb="2" eb="4">
      <t>ハンテイ</t>
    </rPh>
    <phoneticPr fontId="2"/>
  </si>
  <si>
    <t>承認欄 [DT]</t>
    <phoneticPr fontId="2"/>
  </si>
  <si>
    <t>承認者</t>
    <phoneticPr fontId="2"/>
  </si>
  <si>
    <t>1.3.0</t>
    <phoneticPr fontId="2"/>
  </si>
  <si>
    <t>19PFv3 CV対応
[Matrix]シート
・対象仕様書変更
・ロケーション変更
・CH名変更"-"⇒"TT
・CH新規追加"PD"
[CH_Design]シート
・REQ1件新規追加(PD用)
[C_TRCOFF]シート
・シート名変更("TT"シート)
[PD]シート
・新規作成
[Reference]シート
・キャプチャを差し替え
・吹き出しコメント修正
・新規CHのテーブル追加</t>
    <rPh sb="9" eb="11">
      <t>タイオウ</t>
    </rPh>
    <rPh sb="46" eb="47">
      <t>メイ</t>
    </rPh>
    <rPh sb="47" eb="49">
      <t>ヘンコウ</t>
    </rPh>
    <rPh sb="60" eb="62">
      <t>シンキ</t>
    </rPh>
    <rPh sb="62" eb="64">
      <t>ツイカ</t>
    </rPh>
    <rPh sb="89" eb="90">
      <t>ケン</t>
    </rPh>
    <rPh sb="90" eb="92">
      <t>シンキ</t>
    </rPh>
    <rPh sb="92" eb="94">
      <t>ツイカ</t>
    </rPh>
    <rPh sb="97" eb="98">
      <t>ヨウ</t>
    </rPh>
    <rPh sb="118" eb="119">
      <t>メイ</t>
    </rPh>
    <rPh sb="119" eb="121">
      <t>ヘンコウ</t>
    </rPh>
    <rPh sb="140" eb="142">
      <t>シンキ</t>
    </rPh>
    <rPh sb="142" eb="144">
      <t>サクセイ</t>
    </rPh>
    <rPh sb="185" eb="187">
      <t>シンキ</t>
    </rPh>
    <rPh sb="194" eb="196">
      <t>ツイカ</t>
    </rPh>
    <phoneticPr fontId="2"/>
  </si>
  <si>
    <t>5.5.0</t>
  </si>
  <si>
    <t>DT渡邊駿</t>
    <rPh sb="2" eb="4">
      <t>ワタナベ</t>
    </rPh>
    <rPh sb="4" eb="5">
      <t>シュン</t>
    </rPh>
    <phoneticPr fontId="2"/>
  </si>
  <si>
    <t>MET-C_TRCOFF-CSTD-1-00-A-C0.xlsm</t>
    <phoneticPr fontId="2"/>
  </si>
  <si>
    <t>https://svn.geniie.net/bevs3/bevs3cdc/仕様書/MET/%231/tags/00.Product/v0.1.0/制御仕様/MET-C_TRCOFF-CSTD-1-00-A-C0/</t>
    <phoneticPr fontId="2"/>
  </si>
  <si>
    <t>DDM1S17_STS</t>
    <phoneticPr fontId="2"/>
  </si>
  <si>
    <t>1.3.1</t>
    <phoneticPr fontId="2"/>
  </si>
  <si>
    <t>DTPH Kiko</t>
  </si>
  <si>
    <t>ALERT_CH_C_TRCOFF</t>
  </si>
  <si>
    <t>BEVシス検ADAS
課題対応（BEV3CDCMET-2941）
[Matrix]シート
・CH Nameの記載を変更
（TT→-）
[CH_Design]シート
・ALERT CHの記載を変更
（ALERT_CH_C_TRCOFF_TT→ALERT_CH_C_TRCOFF）
[C_TRCOFF]シート
・シート名変更（TT→C_TRCOFF）</t>
    <rPh sb="11" eb="13">
      <t>カダイ</t>
    </rPh>
    <rPh sb="13" eb="15">
      <t>タイオウ</t>
    </rPh>
    <rPh sb="158" eb="159">
      <t>メイ</t>
    </rPh>
    <rPh sb="159" eb="161">
      <t>ヘンコウ</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</si>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</sst>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5" fillId="12" borderId="61" xfId="0" applyFont="1" applyFill="1" applyBorder="1" applyAlignment="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20" borderId="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30" xfId="0" applyBorder="1">
      <alignment vertical="center"/>
    </xf>
    <xf numFmtId="0" fontId="0" fillId="0" borderId="27" xfId="0" quotePrefix="1" applyBorder="1">
      <alignment vertical="center"/>
    </xf>
    <xf numFmtId="0" fontId="0" fillId="14" borderId="30" xfId="0" applyFill="1" applyBorder="1">
      <alignment vertical="center"/>
    </xf>
    <xf numFmtId="0" fontId="0" fillId="0" borderId="27" xfId="0" applyBorder="1">
      <alignment vertical="center"/>
    </xf>
    <xf numFmtId="0" fontId="0" fillId="0" borderId="76" xfId="0" applyBorder="1" applyAlignment="1">
      <alignment vertical="center" wrapText="1"/>
    </xf>
    <xf numFmtId="0" fontId="0" fillId="15" borderId="16" xfId="0" applyFill="1" applyBorder="1">
      <alignment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0" fillId="22" borderId="30" xfId="0" applyFill="1" applyBorder="1" applyAlignment="1" applyProtection="1">
      <alignment horizontal="center" vertical="center" textRotation="90"/>
    </xf>
    <xf numFmtId="0" fontId="0" fillId="0" borderId="12" xfId="0" applyBorder="1" applyAlignment="1">
      <alignment vertical="center"/>
    </xf>
    <xf numFmtId="0" fontId="0" fillId="0" borderId="2" xfId="0" applyFill="1" applyBorder="1">
      <alignment vertical="center"/>
    </xf>
    <xf numFmtId="0" fontId="0" fillId="18" borderId="30" xfId="0" applyFill="1" applyBorder="1" applyAlignment="1">
      <alignment vertical="center" textRotation="255"/>
    </xf>
    <xf numFmtId="0" fontId="0" fillId="0" borderId="31" xfId="0" applyBorder="1" applyAlignment="1">
      <alignment vertical="center" wrapText="1"/>
    </xf>
    <xf numFmtId="0" fontId="0" fillId="0" borderId="9" xfId="0" applyFill="1" applyBorder="1" applyAlignment="1">
      <alignment horizontal="center" vertical="center"/>
    </xf>
    <xf numFmtId="0" fontId="0" fillId="22" borderId="2" xfId="0" applyFill="1" applyBorder="1" applyAlignment="1" applyProtection="1">
      <alignment horizontal="center" vertical="center" textRotation="90"/>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19" fillId="0" borderId="0" xfId="0" applyFont="1">
      <alignment vertical="center"/>
    </xf>
    <xf numFmtId="0" fontId="10" fillId="0" borderId="2" xfId="0" applyFont="1" applyFill="1" applyBorder="1" applyAlignment="1">
      <alignment horizontal="center" vertical="center"/>
    </xf>
    <xf numFmtId="0" fontId="17" fillId="0" borderId="16" xfId="0" applyFont="1" applyFill="1" applyBorder="1" applyAlignment="1">
      <alignment vertical="center" wrapText="1"/>
    </xf>
    <xf numFmtId="0" fontId="0" fillId="4" borderId="17" xfId="0" applyFill="1" applyBorder="1">
      <alignment vertical="center"/>
    </xf>
    <xf numFmtId="0" fontId="0" fillId="4" borderId="31" xfId="0" applyFill="1" applyBorder="1">
      <alignment vertical="center"/>
    </xf>
    <xf numFmtId="0" fontId="0" fillId="0" borderId="25" xfId="0" applyBorder="1">
      <alignment vertical="center"/>
    </xf>
    <xf numFmtId="0" fontId="0" fillId="0" borderId="26" xfId="0" applyBorder="1">
      <alignment vertical="center"/>
    </xf>
    <xf numFmtId="0" fontId="0" fillId="0" borderId="61" xfId="0" applyBorder="1">
      <alignment vertical="center"/>
    </xf>
    <xf numFmtId="0" fontId="0" fillId="0" borderId="64" xfId="0" applyBorder="1">
      <alignment vertical="center"/>
    </xf>
    <xf numFmtId="0" fontId="10" fillId="0" borderId="78" xfId="0" applyFont="1" applyBorder="1">
      <alignment vertical="center"/>
    </xf>
    <xf numFmtId="0" fontId="10" fillId="0" borderId="61" xfId="0" applyFont="1" applyBorder="1" applyAlignment="1">
      <alignment vertical="center" wrapText="1"/>
    </xf>
    <xf numFmtId="0" fontId="17" fillId="0" borderId="61" xfId="0" applyFont="1" applyBorder="1">
      <alignment vertical="center"/>
    </xf>
    <xf numFmtId="0" fontId="17" fillId="0" borderId="62" xfId="0" applyFont="1" applyBorder="1">
      <alignment vertical="center"/>
    </xf>
    <xf numFmtId="14" fontId="17" fillId="0" borderId="79" xfId="0" applyNumberFormat="1" applyFont="1" applyBorder="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7"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7" xfId="0" applyFill="1" applyBorder="1" applyAlignment="1">
      <alignment horizontal="left" vertical="center"/>
    </xf>
    <xf numFmtId="0" fontId="0" fillId="18" borderId="30" xfId="0" applyFill="1" applyBorder="1" applyAlignment="1">
      <alignment horizontal="lef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cellXfs>
  <cellStyles count="3">
    <cellStyle name="ハイパーリンク" xfId="1" builtinId="8"/>
    <cellStyle name="標準" xfId="0" builtinId="0"/>
    <cellStyle name="標準 3 3 4 3" xfId="2" xr:uid="{DC9BA5C9-E3A4-40BF-9432-64CEB3C172DC}"/>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E08994CD-DE2E-4781-922E-A61078BF046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350E2A7F-C92D-4805-94BF-D7A134C2557A}"/>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F3C966DF-10C8-4EF7-B278-728E80CFBA8C}"/>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EBABAA89-236F-4B93-91CD-6772EC475FB8}"/>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18</xdr:col>
      <xdr:colOff>347382</xdr:colOff>
      <xdr:row>61</xdr:row>
      <xdr:rowOff>112058</xdr:rowOff>
    </xdr:from>
    <xdr:to>
      <xdr:col>43</xdr:col>
      <xdr:colOff>4101</xdr:colOff>
      <xdr:row>112</xdr:row>
      <xdr:rowOff>156881</xdr:rowOff>
    </xdr:to>
    <xdr:grpSp>
      <xdr:nvGrpSpPr>
        <xdr:cNvPr id="8" name="グループ化 7">
          <a:extLst>
            <a:ext uri="{FF2B5EF4-FFF2-40B4-BE49-F238E27FC236}">
              <a16:creationId xmlns:a16="http://schemas.microsoft.com/office/drawing/2014/main" id="{F3E29A6B-BEF9-4616-9254-809009324293}"/>
            </a:ext>
          </a:extLst>
        </xdr:cNvPr>
        <xdr:cNvGrpSpPr/>
      </xdr:nvGrpSpPr>
      <xdr:grpSpPr>
        <a:xfrm>
          <a:off x="13780807" y="12513608"/>
          <a:ext cx="14896719" cy="8306173"/>
          <a:chOff x="15329647" y="17850971"/>
          <a:chExt cx="17930232" cy="10185684"/>
        </a:xfrm>
      </xdr:grpSpPr>
      <xdr:pic>
        <xdr:nvPicPr>
          <xdr:cNvPr id="10" name="図 9">
            <a:extLst>
              <a:ext uri="{FF2B5EF4-FFF2-40B4-BE49-F238E27FC236}">
                <a16:creationId xmlns:a16="http://schemas.microsoft.com/office/drawing/2014/main" id="{610061ED-617E-EDB0-94C5-8F803CCBF9CD}"/>
              </a:ext>
            </a:extLst>
          </xdr:cNvPr>
          <xdr:cNvPicPr>
            <a:picLocks noChangeAspect="1"/>
          </xdr:cNvPicPr>
        </xdr:nvPicPr>
        <xdr:blipFill>
          <a:blip xmlns:r="http://schemas.openxmlformats.org/officeDocument/2006/relationships" r:embed="rId1"/>
          <a:stretch>
            <a:fillRect/>
          </a:stretch>
        </xdr:blipFill>
        <xdr:spPr>
          <a:xfrm>
            <a:off x="15329647" y="23330648"/>
            <a:ext cx="17919026" cy="4706007"/>
          </a:xfrm>
          <a:prstGeom prst="rect">
            <a:avLst/>
          </a:prstGeom>
        </xdr:spPr>
      </xdr:pic>
      <xdr:pic>
        <xdr:nvPicPr>
          <xdr:cNvPr id="11" name="図 10">
            <a:extLst>
              <a:ext uri="{FF2B5EF4-FFF2-40B4-BE49-F238E27FC236}">
                <a16:creationId xmlns:a16="http://schemas.microsoft.com/office/drawing/2014/main" id="{14CC5A43-A7CD-BB9A-5208-99236A52B68E}"/>
              </a:ext>
            </a:extLst>
          </xdr:cNvPr>
          <xdr:cNvPicPr>
            <a:picLocks noChangeAspect="1"/>
          </xdr:cNvPicPr>
        </xdr:nvPicPr>
        <xdr:blipFill>
          <a:blip xmlns:r="http://schemas.openxmlformats.org/officeDocument/2006/relationships" r:embed="rId2"/>
          <a:stretch>
            <a:fillRect/>
          </a:stretch>
        </xdr:blipFill>
        <xdr:spPr>
          <a:xfrm>
            <a:off x="15340853" y="17850971"/>
            <a:ext cx="17919026" cy="5506218"/>
          </a:xfrm>
          <a:prstGeom prst="rect">
            <a:avLst/>
          </a:prstGeom>
        </xdr:spPr>
      </xdr:pic>
    </xdr:grpSp>
    <xdr:clientData/>
  </xdr:twoCellAnchor>
  <xdr:twoCellAnchor editAs="oneCell">
    <xdr:from>
      <xdr:col>19</xdr:col>
      <xdr:colOff>44823</xdr:colOff>
      <xdr:row>3</xdr:row>
      <xdr:rowOff>123266</xdr:rowOff>
    </xdr:from>
    <xdr:to>
      <xdr:col>40</xdr:col>
      <xdr:colOff>8161</xdr:colOff>
      <xdr:row>17</xdr:row>
      <xdr:rowOff>108815</xdr:rowOff>
    </xdr:to>
    <xdr:pic>
      <xdr:nvPicPr>
        <xdr:cNvPr id="9" name="図 8">
          <a:extLst>
            <a:ext uri="{FF2B5EF4-FFF2-40B4-BE49-F238E27FC236}">
              <a16:creationId xmlns:a16="http://schemas.microsoft.com/office/drawing/2014/main" id="{B580EFC4-AC82-B0BB-D2E3-32FDC8EC120A}"/>
            </a:ext>
          </a:extLst>
        </xdr:cNvPr>
        <xdr:cNvPicPr>
          <a:picLocks noChangeAspect="1"/>
        </xdr:cNvPicPr>
      </xdr:nvPicPr>
      <xdr:blipFill>
        <a:blip xmlns:r="http://schemas.openxmlformats.org/officeDocument/2006/relationships" r:embed="rId3"/>
        <a:stretch>
          <a:fillRect/>
        </a:stretch>
      </xdr:blipFill>
      <xdr:spPr>
        <a:xfrm>
          <a:off x="15385676" y="672354"/>
          <a:ext cx="14318073" cy="4848902"/>
        </a:xfrm>
        <a:prstGeom prst="rect">
          <a:avLst/>
        </a:prstGeom>
      </xdr:spPr>
    </xdr:pic>
    <xdr:clientData/>
  </xdr:twoCellAnchor>
  <xdr:twoCellAnchor editAs="absolute">
    <xdr:from>
      <xdr:col>19</xdr:col>
      <xdr:colOff>0</xdr:colOff>
      <xdr:row>18</xdr:row>
      <xdr:rowOff>26197</xdr:rowOff>
    </xdr:from>
    <xdr:to>
      <xdr:col>42</xdr:col>
      <xdr:colOff>78441</xdr:colOff>
      <xdr:row>33</xdr:row>
      <xdr:rowOff>145920</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4"/>
        <a:stretch>
          <a:fillRect/>
        </a:stretch>
      </xdr:blipFill>
      <xdr:spPr>
        <a:xfrm>
          <a:off x="15340853" y="5606726"/>
          <a:ext cx="15800294" cy="2641047"/>
        </a:xfrm>
        <a:prstGeom prst="rect">
          <a:avLst/>
        </a:prstGeom>
      </xdr:spPr>
    </xdr:pic>
    <xdr:clientData/>
  </xdr:twoCellAnchor>
  <xdr:twoCellAnchor editAs="absolute">
    <xdr:from>
      <xdr:col>29</xdr:col>
      <xdr:colOff>0</xdr:colOff>
      <xdr:row>35</xdr:row>
      <xdr:rowOff>2802</xdr:rowOff>
    </xdr:from>
    <xdr:to>
      <xdr:col>37</xdr:col>
      <xdr:colOff>447380</xdr:colOff>
      <xdr:row>45</xdr:row>
      <xdr:rowOff>71683</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5"/>
        <a:stretch>
          <a:fillRect/>
        </a:stretch>
      </xdr:blipFill>
      <xdr:spPr>
        <a:xfrm>
          <a:off x="22176441" y="8438029"/>
          <a:ext cx="5915851" cy="1762371"/>
        </a:xfrm>
        <a:prstGeom prst="rect">
          <a:avLst/>
        </a:prstGeom>
      </xdr:spPr>
    </xdr:pic>
    <xdr:clientData/>
  </xdr:twoCellAnchor>
  <xdr:twoCellAnchor editAs="absolute">
    <xdr:from>
      <xdr:col>19</xdr:col>
      <xdr:colOff>11206</xdr:colOff>
      <xdr:row>35</xdr:row>
      <xdr:rowOff>36420</xdr:rowOff>
    </xdr:from>
    <xdr:to>
      <xdr:col>27</xdr:col>
      <xdr:colOff>458586</xdr:colOff>
      <xdr:row>45</xdr:row>
      <xdr:rowOff>95775</xdr:rowOff>
    </xdr:to>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6"/>
        <a:stretch>
          <a:fillRect/>
        </a:stretch>
      </xdr:blipFill>
      <xdr:spPr>
        <a:xfrm>
          <a:off x="15352059" y="8474449"/>
          <a:ext cx="5915851" cy="1740238"/>
        </a:xfrm>
        <a:prstGeom prst="rect">
          <a:avLst/>
        </a:prstGeom>
      </xdr:spPr>
    </xdr:pic>
    <xdr:clientData/>
  </xdr:twoCellAnchor>
  <xdr:twoCellAnchor editAs="absolute">
    <xdr:from>
      <xdr:col>19</xdr:col>
      <xdr:colOff>0</xdr:colOff>
      <xdr:row>46</xdr:row>
      <xdr:rowOff>89648</xdr:rowOff>
    </xdr:from>
    <xdr:to>
      <xdr:col>24</xdr:col>
      <xdr:colOff>116474</xdr:colOff>
      <xdr:row>51</xdr:row>
      <xdr:rowOff>36813</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7"/>
        <a:stretch>
          <a:fillRect/>
        </a:stretch>
      </xdr:blipFill>
      <xdr:spPr>
        <a:xfrm>
          <a:off x="15340853" y="10399060"/>
          <a:ext cx="3534268" cy="800212"/>
        </a:xfrm>
        <a:prstGeom prst="rect">
          <a:avLst/>
        </a:prstGeom>
      </xdr:spPr>
    </xdr:pic>
    <xdr:clientData/>
  </xdr:twoCellAnchor>
  <xdr:twoCellAnchor>
    <xdr:from>
      <xdr:col>1</xdr:col>
      <xdr:colOff>114460</xdr:colOff>
      <xdr:row>15</xdr:row>
      <xdr:rowOff>114458</xdr:rowOff>
    </xdr:from>
    <xdr:to>
      <xdr:col>3</xdr:col>
      <xdr:colOff>119743</xdr:colOff>
      <xdr:row>19</xdr:row>
      <xdr:rowOff>127266</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794817" y="5244351"/>
          <a:ext cx="2958033" cy="720379"/>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163286</xdr:colOff>
      <xdr:row>14</xdr:row>
      <xdr:rowOff>141675</xdr:rowOff>
    </xdr:from>
    <xdr:to>
      <xdr:col>12</xdr:col>
      <xdr:colOff>1351108</xdr:colOff>
      <xdr:row>20</xdr:row>
      <xdr:rowOff>52029</xdr:rowOff>
    </xdr:to>
    <xdr:sp macro="" textlink="">
      <xdr:nvSpPr>
        <xdr:cNvPr id="4" name="線吹き出し 1 (枠付き) 3">
          <a:extLst>
            <a:ext uri="{FF2B5EF4-FFF2-40B4-BE49-F238E27FC236}">
              <a16:creationId xmlns:a16="http://schemas.microsoft.com/office/drawing/2014/main" id="{00000000-0008-0000-0600-000004000000}"/>
            </a:ext>
          </a:extLst>
        </xdr:cNvPr>
        <xdr:cNvSpPr/>
      </xdr:nvSpPr>
      <xdr:spPr>
        <a:xfrm>
          <a:off x="6898822" y="5094675"/>
          <a:ext cx="2698215" cy="971711"/>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19</xdr:col>
      <xdr:colOff>547247</xdr:colOff>
      <xdr:row>7</xdr:row>
      <xdr:rowOff>324970</xdr:rowOff>
    </xdr:from>
    <xdr:to>
      <xdr:col>48</xdr:col>
      <xdr:colOff>18887</xdr:colOff>
      <xdr:row>111</xdr:row>
      <xdr:rowOff>44822</xdr:rowOff>
    </xdr:to>
    <xdr:grpSp>
      <xdr:nvGrpSpPr>
        <xdr:cNvPr id="78" name="グループ化 77">
          <a:extLst>
            <a:ext uri="{FF2B5EF4-FFF2-40B4-BE49-F238E27FC236}">
              <a16:creationId xmlns:a16="http://schemas.microsoft.com/office/drawing/2014/main" id="{00000000-0008-0000-0600-00004E000000}"/>
            </a:ext>
          </a:extLst>
        </xdr:cNvPr>
        <xdr:cNvGrpSpPr/>
      </xdr:nvGrpSpPr>
      <xdr:grpSpPr>
        <a:xfrm>
          <a:off x="14583922" y="1667995"/>
          <a:ext cx="17153215" cy="18877802"/>
          <a:chOff x="16966933" y="1566571"/>
          <a:chExt cx="19558166" cy="19531575"/>
        </a:xfrm>
      </xdr:grpSpPr>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6966933" y="8491541"/>
            <a:ext cx="1003761" cy="253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2873635" y="10247042"/>
            <a:ext cx="1307240" cy="403457"/>
          </a:xfrm>
          <a:prstGeom prst="borderCallout1">
            <a:avLst>
              <a:gd name="adj1" fmla="val 42429"/>
              <a:gd name="adj2" fmla="val -3670"/>
              <a:gd name="adj3" fmla="val -402868"/>
              <a:gd name="adj4" fmla="val -3721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3905811" y="8525158"/>
            <a:ext cx="1079164" cy="253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1" name="直線コネクタ 40">
            <a:extLst>
              <a:ext uri="{FF2B5EF4-FFF2-40B4-BE49-F238E27FC236}">
                <a16:creationId xmlns:a16="http://schemas.microsoft.com/office/drawing/2014/main" id="{00000000-0008-0000-0600-000029000000}"/>
              </a:ext>
            </a:extLst>
          </xdr:cNvPr>
          <xdr:cNvCxnSpPr>
            <a:stCxn id="39" idx="0"/>
            <a:endCxn id="40" idx="2"/>
          </xdr:cNvCxnSpPr>
        </xdr:nvCxnSpPr>
        <xdr:spPr>
          <a:xfrm flipV="1">
            <a:off x="24180875" y="8778331"/>
            <a:ext cx="264518" cy="1670440"/>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21421452" y="3841334"/>
            <a:ext cx="1143871" cy="14996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24479275" y="3841334"/>
            <a:ext cx="1428909" cy="15222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6874246" y="3841334"/>
            <a:ext cx="817271" cy="15000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25301323" y="5929771"/>
            <a:ext cx="2620768" cy="8339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27668799" y="1566571"/>
            <a:ext cx="3263195" cy="1850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16992334" y="10450879"/>
            <a:ext cx="967078" cy="286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20739774" y="10443924"/>
            <a:ext cx="1307240" cy="413663"/>
          </a:xfrm>
          <a:prstGeom prst="borderCallout1">
            <a:avLst>
              <a:gd name="adj1" fmla="val 42429"/>
              <a:gd name="adj2" fmla="val -3670"/>
              <a:gd name="adj3" fmla="val 37741"/>
              <a:gd name="adj4" fmla="val -2138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9243144" y="6612304"/>
            <a:ext cx="3160715" cy="614950"/>
          </a:xfrm>
          <a:prstGeom prst="borderCallout1">
            <a:avLst>
              <a:gd name="adj1" fmla="val 38295"/>
              <a:gd name="adj2" fmla="val -1002"/>
              <a:gd name="adj3" fmla="val -8265"/>
              <a:gd name="adj4" fmla="val -10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28226479" y="3390370"/>
            <a:ext cx="1629619" cy="486490"/>
          </a:xfrm>
          <a:prstGeom prst="borderCallout1">
            <a:avLst>
              <a:gd name="adj1" fmla="val 38295"/>
              <a:gd name="adj2" fmla="val -1002"/>
              <a:gd name="adj3" fmla="val 356452"/>
              <a:gd name="adj4" fmla="val -34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6360716" y="3376187"/>
            <a:ext cx="1311101" cy="594473"/>
          </a:xfrm>
          <a:prstGeom prst="borderCallout1">
            <a:avLst>
              <a:gd name="adj1" fmla="val 38295"/>
              <a:gd name="adj2" fmla="val -1002"/>
              <a:gd name="adj3" fmla="val 194350"/>
              <a:gd name="adj4" fmla="val -40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3215432" y="3373676"/>
            <a:ext cx="1307239" cy="465799"/>
          </a:xfrm>
          <a:prstGeom prst="borderCallout1">
            <a:avLst>
              <a:gd name="adj1" fmla="val 42429"/>
              <a:gd name="adj2" fmla="val -3670"/>
              <a:gd name="adj3" fmla="val 125573"/>
              <a:gd name="adj4" fmla="val -493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4558364" y="13130568"/>
            <a:ext cx="4460646" cy="7967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33380933" y="11831542"/>
            <a:ext cx="3144166" cy="1861543"/>
          </a:xfrm>
          <a:prstGeom prst="borderCallout1">
            <a:avLst>
              <a:gd name="adj1" fmla="val 52664"/>
              <a:gd name="adj2" fmla="val -1002"/>
              <a:gd name="adj3" fmla="val 84753"/>
              <a:gd name="adj4" fmla="val -138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8</xdr:col>
      <xdr:colOff>27215</xdr:colOff>
      <xdr:row>0</xdr:row>
      <xdr:rowOff>40821</xdr:rowOff>
    </xdr:from>
    <xdr:to>
      <xdr:col>12</xdr:col>
      <xdr:colOff>578704</xdr:colOff>
      <xdr:row>2</xdr:row>
      <xdr:rowOff>128469</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4953001" y="40821"/>
          <a:ext cx="3395382" cy="455041"/>
        </a:xfrm>
        <a:prstGeom prst="borderCallout1">
          <a:avLst>
            <a:gd name="adj1" fmla="val 38295"/>
            <a:gd name="adj2" fmla="val -1002"/>
            <a:gd name="adj3" fmla="val 9223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44824</xdr:colOff>
      <xdr:row>40</xdr:row>
      <xdr:rowOff>123265</xdr:rowOff>
    </xdr:from>
    <xdr:to>
      <xdr:col>24</xdr:col>
      <xdr:colOff>0</xdr:colOff>
      <xdr:row>46</xdr:row>
      <xdr:rowOff>150530</xdr:rowOff>
    </xdr:to>
    <xdr:pic>
      <xdr:nvPicPr>
        <xdr:cNvPr id="2" name="図 1">
          <a:extLst>
            <a:ext uri="{FF2B5EF4-FFF2-40B4-BE49-F238E27FC236}">
              <a16:creationId xmlns:a16="http://schemas.microsoft.com/office/drawing/2014/main" id="{6B757F95-AFAB-48AC-2CF3-485A6E7E00D9}"/>
            </a:ext>
          </a:extLst>
        </xdr:cNvPr>
        <xdr:cNvPicPr>
          <a:picLocks noChangeAspect="1"/>
        </xdr:cNvPicPr>
      </xdr:nvPicPr>
      <xdr:blipFill>
        <a:blip xmlns:r="http://schemas.openxmlformats.org/officeDocument/2006/relationships" r:embed="rId8"/>
        <a:stretch>
          <a:fillRect/>
        </a:stretch>
      </xdr:blipFill>
      <xdr:spPr>
        <a:xfrm>
          <a:off x="15385677" y="11575677"/>
          <a:ext cx="3372970" cy="1035794"/>
        </a:xfrm>
        <a:prstGeom prst="rect">
          <a:avLst/>
        </a:prstGeom>
      </xdr:spPr>
    </xdr:pic>
    <xdr:clientData/>
  </xdr:twoCellAnchor>
  <xdr:twoCellAnchor>
    <xdr:from>
      <xdr:col>20</xdr:col>
      <xdr:colOff>56029</xdr:colOff>
      <xdr:row>42</xdr:row>
      <xdr:rowOff>78441</xdr:rowOff>
    </xdr:from>
    <xdr:to>
      <xdr:col>21</xdr:col>
      <xdr:colOff>326528</xdr:colOff>
      <xdr:row>44</xdr:row>
      <xdr:rowOff>28463</xdr:rowOff>
    </xdr:to>
    <xdr:sp macro="" textlink="">
      <xdr:nvSpPr>
        <xdr:cNvPr id="6" name="正方形/長方形 5">
          <a:extLst>
            <a:ext uri="{FF2B5EF4-FFF2-40B4-BE49-F238E27FC236}">
              <a16:creationId xmlns:a16="http://schemas.microsoft.com/office/drawing/2014/main" id="{9E24E6CD-7A12-403F-8BFF-49B4EB62E6CB}"/>
            </a:ext>
          </a:extLst>
        </xdr:cNvPr>
        <xdr:cNvSpPr/>
      </xdr:nvSpPr>
      <xdr:spPr>
        <a:xfrm>
          <a:off x="16080441" y="11867029"/>
          <a:ext cx="954058" cy="2861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201705</xdr:colOff>
      <xdr:row>42</xdr:row>
      <xdr:rowOff>112060</xdr:rowOff>
    </xdr:from>
    <xdr:to>
      <xdr:col>27</xdr:col>
      <xdr:colOff>246529</xdr:colOff>
      <xdr:row>45</xdr:row>
      <xdr:rowOff>21464</xdr:rowOff>
    </xdr:to>
    <xdr:sp macro="" textlink="">
      <xdr:nvSpPr>
        <xdr:cNvPr id="7" name="線吹き出し 1 (枠付き) 51">
          <a:extLst>
            <a:ext uri="{FF2B5EF4-FFF2-40B4-BE49-F238E27FC236}">
              <a16:creationId xmlns:a16="http://schemas.microsoft.com/office/drawing/2014/main" id="{F6714821-3E37-4589-B9CA-8BCE14517EAB}"/>
            </a:ext>
          </a:extLst>
        </xdr:cNvPr>
        <xdr:cNvSpPr/>
      </xdr:nvSpPr>
      <xdr:spPr>
        <a:xfrm>
          <a:off x="19643911" y="11900648"/>
          <a:ext cx="1411942" cy="413669"/>
        </a:xfrm>
        <a:prstGeom prst="borderCallout1">
          <a:avLst>
            <a:gd name="adj1" fmla="val 42429"/>
            <a:gd name="adj2" fmla="val -3670"/>
            <a:gd name="adj3" fmla="val 40450"/>
            <a:gd name="adj4" fmla="val -200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313765</xdr:colOff>
      <xdr:row>7</xdr:row>
      <xdr:rowOff>89647</xdr:rowOff>
    </xdr:from>
    <xdr:to>
      <xdr:col>49</xdr:col>
      <xdr:colOff>601550</xdr:colOff>
      <xdr:row>7</xdr:row>
      <xdr:rowOff>896926</xdr:rowOff>
    </xdr:to>
    <xdr:sp macro="" textlink="">
      <xdr:nvSpPr>
        <xdr:cNvPr id="18" name="線吹き出し 1 (枠付き) 48">
          <a:extLst>
            <a:ext uri="{FF2B5EF4-FFF2-40B4-BE49-F238E27FC236}">
              <a16:creationId xmlns:a16="http://schemas.microsoft.com/office/drawing/2014/main" id="{1A2D3EE4-E6C4-476A-9CC4-E5BBF3FA9588}"/>
            </a:ext>
          </a:extLst>
        </xdr:cNvPr>
        <xdr:cNvSpPr/>
      </xdr:nvSpPr>
      <xdr:spPr>
        <a:xfrm>
          <a:off x="30009353" y="1490382"/>
          <a:ext cx="6439815" cy="807279"/>
        </a:xfrm>
        <a:prstGeom prst="borderCallout1">
          <a:avLst>
            <a:gd name="adj1" fmla="val 48645"/>
            <a:gd name="adj2" fmla="val -635"/>
            <a:gd name="adj3" fmla="val 99787"/>
            <a:gd name="adj4" fmla="val -82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アプリでは意識しない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シンボルの切り替えは描画側責務の認識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2060191</xdr:colOff>
      <xdr:row>16</xdr:row>
      <xdr:rowOff>2</xdr:rowOff>
    </xdr:from>
    <xdr:to>
      <xdr:col>18</xdr:col>
      <xdr:colOff>568329</xdr:colOff>
      <xdr:row>23</xdr:row>
      <xdr:rowOff>30446</xdr:rowOff>
    </xdr:to>
    <xdr:sp macro="" textlink="">
      <xdr:nvSpPr>
        <xdr:cNvPr id="5" name="線吹き出し 1 (枠付き) 3">
          <a:extLst>
            <a:ext uri="{FF2B5EF4-FFF2-40B4-BE49-F238E27FC236}">
              <a16:creationId xmlns:a16="http://schemas.microsoft.com/office/drawing/2014/main" id="{A56A3058-91A1-4D0A-8FBF-115355A5CB15}"/>
            </a:ext>
          </a:extLst>
        </xdr:cNvPr>
        <xdr:cNvSpPr/>
      </xdr:nvSpPr>
      <xdr:spPr>
        <a:xfrm>
          <a:off x="11589843" y="5145404"/>
          <a:ext cx="2253017" cy="1167102"/>
        </a:xfrm>
        <a:prstGeom prst="borderCallout1">
          <a:avLst>
            <a:gd name="adj1" fmla="val 52087"/>
            <a:gd name="adj2" fmla="val 100142"/>
            <a:gd name="adj3" fmla="val 80976"/>
            <a:gd name="adj4" fmla="val 318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仕様の表記が誤っているが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表より以下となる。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DDM1S17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548031</xdr:colOff>
      <xdr:row>20</xdr:row>
      <xdr:rowOff>131934</xdr:rowOff>
    </xdr:from>
    <xdr:to>
      <xdr:col>28</xdr:col>
      <xdr:colOff>426246</xdr:colOff>
      <xdr:row>26</xdr:row>
      <xdr:rowOff>0</xdr:rowOff>
    </xdr:to>
    <xdr:sp macro="" textlink="">
      <xdr:nvSpPr>
        <xdr:cNvPr id="13" name="正方形/長方形 12">
          <a:extLst>
            <a:ext uri="{FF2B5EF4-FFF2-40B4-BE49-F238E27FC236}">
              <a16:creationId xmlns:a16="http://schemas.microsoft.com/office/drawing/2014/main" id="{C7C32557-42AC-4974-B1C2-5B6B64BE14BD}"/>
            </a:ext>
          </a:extLst>
        </xdr:cNvPr>
        <xdr:cNvSpPr/>
      </xdr:nvSpPr>
      <xdr:spPr>
        <a:xfrm>
          <a:off x="18775139" y="5926855"/>
          <a:ext cx="1116359" cy="8423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5F132-862A-47B0-AA69-A82D5E603AE9}">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290" customWidth="1"/>
    <col min="53" max="16384" width="8.81640625" style="29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91"/>
    </row>
    <row r="11" spans="6:20" ht="13.15" customHeight="1"/>
    <row r="12" spans="6:20" ht="13.15" customHeight="1"/>
    <row r="13" spans="6:20" ht="13.15" customHeight="1">
      <c r="T13" s="292" t="str">
        <f ca="1">MID(CELL("filename",A1),FIND("[",CELL("filename",A1))+1,FIND("]",CELL("filename",A1))-FIND("[",CELL("filename",A1))-1)</f>
        <v>alert_C_TRCOFF-CSTD-1-00-A-C0.xlsx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93"/>
      <c r="V32" s="293"/>
    </row>
    <row r="33" spans="3:39" ht="13.15" customHeight="1">
      <c r="M33" s="294"/>
      <c r="N33" s="294"/>
      <c r="O33" s="294"/>
      <c r="P33" s="294"/>
      <c r="Q33" s="294"/>
      <c r="AF33" s="294"/>
      <c r="AG33" s="294"/>
      <c r="AH33" s="294"/>
      <c r="AI33" s="294"/>
      <c r="AJ33" s="294"/>
    </row>
    <row r="34" spans="3:39" ht="13.15" customHeight="1">
      <c r="Y34" s="139" t="s">
        <v>291</v>
      </c>
    </row>
    <row r="35" spans="3:39" ht="13.15" customHeight="1">
      <c r="Y35" s="295" t="s">
        <v>292</v>
      </c>
      <c r="Z35" s="296"/>
      <c r="AA35" s="296"/>
      <c r="AB35" s="296"/>
      <c r="AC35" s="297"/>
      <c r="AD35" s="295" t="s">
        <v>293</v>
      </c>
      <c r="AE35" s="296"/>
      <c r="AF35" s="296"/>
      <c r="AG35" s="296"/>
      <c r="AH35" s="297"/>
      <c r="AI35" s="295" t="s">
        <v>294</v>
      </c>
      <c r="AJ35" s="296"/>
      <c r="AK35" s="296"/>
      <c r="AL35" s="296"/>
      <c r="AM35" s="297"/>
    </row>
    <row r="36" spans="3:39" ht="13.15" customHeight="1">
      <c r="D36" s="294"/>
      <c r="E36" s="298"/>
      <c r="F36" s="294"/>
      <c r="G36" s="294"/>
      <c r="I36" s="294"/>
      <c r="J36" s="298"/>
      <c r="K36" s="294"/>
      <c r="L36" s="294"/>
      <c r="M36" s="294"/>
      <c r="N36" s="294"/>
      <c r="O36" s="298"/>
      <c r="P36" s="294"/>
      <c r="Q36" s="294"/>
      <c r="W36" s="294"/>
      <c r="X36" s="298"/>
      <c r="Y36" s="299"/>
      <c r="Z36" s="300"/>
      <c r="AA36" s="300"/>
      <c r="AB36" s="300"/>
      <c r="AC36" s="301"/>
      <c r="AD36" s="299"/>
      <c r="AE36" s="300"/>
      <c r="AF36" s="300"/>
      <c r="AG36" s="300"/>
      <c r="AH36" s="301"/>
      <c r="AI36" s="299"/>
      <c r="AJ36" s="300"/>
      <c r="AK36" s="300"/>
      <c r="AL36" s="300"/>
      <c r="AM36" s="301"/>
    </row>
    <row r="37" spans="3:39" ht="13.15" customHeight="1">
      <c r="Y37" s="302"/>
      <c r="AC37" s="303"/>
      <c r="AD37" s="302"/>
      <c r="AH37" s="303"/>
      <c r="AI37" s="302"/>
      <c r="AM37" s="303"/>
    </row>
    <row r="38" spans="3:39" ht="13.15" customHeight="1">
      <c r="Y38" s="302"/>
      <c r="Z38" s="294"/>
      <c r="AA38" s="298" t="s">
        <v>295</v>
      </c>
      <c r="AB38" s="294"/>
      <c r="AC38" s="304"/>
      <c r="AD38" s="302"/>
      <c r="AE38" s="294"/>
      <c r="AF38" s="298" t="s">
        <v>296</v>
      </c>
      <c r="AG38" s="294"/>
      <c r="AH38" s="304"/>
      <c r="AI38" s="305"/>
      <c r="AJ38" s="294"/>
      <c r="AK38" s="298" t="s">
        <v>297</v>
      </c>
      <c r="AL38" s="294"/>
      <c r="AM38" s="304"/>
    </row>
    <row r="39" spans="3:39" ht="13.15" customHeight="1">
      <c r="Y39" s="302"/>
      <c r="AC39" s="303"/>
      <c r="AD39" s="302"/>
      <c r="AH39" s="303"/>
      <c r="AI39" s="302"/>
      <c r="AM39" s="303"/>
    </row>
    <row r="40" spans="3:39" ht="13.15" customHeight="1">
      <c r="C40" s="293"/>
      <c r="V40" s="293"/>
      <c r="Y40" s="306"/>
      <c r="Z40" s="307"/>
      <c r="AA40" s="307"/>
      <c r="AB40" s="307"/>
      <c r="AC40" s="308"/>
      <c r="AD40" s="306"/>
      <c r="AE40" s="307"/>
      <c r="AF40" s="307"/>
      <c r="AG40" s="307"/>
      <c r="AH40" s="308"/>
      <c r="AI40" s="306"/>
      <c r="AJ40" s="307"/>
      <c r="AK40" s="307"/>
      <c r="AL40" s="307"/>
      <c r="AM40" s="308"/>
    </row>
    <row r="41" spans="3:39" ht="13.15" customHeight="1"/>
    <row r="42" spans="3:39" ht="13.15" customHeight="1">
      <c r="Y42" s="293" t="s">
        <v>298</v>
      </c>
    </row>
    <row r="43" spans="3:39" ht="13.15" customHeight="1">
      <c r="Y43" s="295" t="s">
        <v>292</v>
      </c>
      <c r="Z43" s="296"/>
      <c r="AA43" s="296"/>
      <c r="AB43" s="296"/>
      <c r="AC43" s="297"/>
      <c r="AD43" s="295" t="s">
        <v>293</v>
      </c>
      <c r="AE43" s="296"/>
      <c r="AF43" s="296"/>
      <c r="AG43" s="296"/>
      <c r="AH43" s="297"/>
      <c r="AI43" s="295" t="s">
        <v>294</v>
      </c>
      <c r="AJ43" s="296"/>
      <c r="AK43" s="296"/>
      <c r="AL43" s="296"/>
      <c r="AM43" s="297"/>
    </row>
    <row r="44" spans="3:39" ht="13.15" customHeight="1">
      <c r="D44" s="294"/>
      <c r="E44" s="298"/>
      <c r="F44" s="294"/>
      <c r="G44" s="294"/>
      <c r="H44" s="294"/>
      <c r="I44" s="294"/>
      <c r="J44" s="298"/>
      <c r="K44" s="294"/>
      <c r="L44" s="294"/>
      <c r="M44" s="294"/>
      <c r="N44" s="294"/>
      <c r="O44" s="298"/>
      <c r="P44" s="294"/>
      <c r="Q44" s="294"/>
      <c r="W44" s="294"/>
      <c r="X44" s="298"/>
      <c r="Y44" s="299"/>
      <c r="Z44" s="300"/>
      <c r="AA44" s="300"/>
      <c r="AB44" s="300"/>
      <c r="AC44" s="301"/>
      <c r="AD44" s="300"/>
      <c r="AE44" s="300"/>
      <c r="AF44" s="300"/>
      <c r="AG44" s="300"/>
      <c r="AH44" s="301"/>
      <c r="AI44" s="299"/>
      <c r="AJ44" s="300"/>
      <c r="AK44" s="300"/>
      <c r="AL44" s="300"/>
      <c r="AM44" s="301"/>
    </row>
    <row r="45" spans="3:39" ht="13.15" customHeight="1">
      <c r="Y45" s="302"/>
      <c r="AC45" s="303"/>
      <c r="AH45" s="303"/>
      <c r="AI45" s="302"/>
      <c r="AM45" s="303"/>
    </row>
    <row r="46" spans="3:39" ht="13.15" customHeight="1">
      <c r="Y46" s="302"/>
      <c r="Z46" s="294"/>
      <c r="AA46" s="298" t="s">
        <v>299</v>
      </c>
      <c r="AB46" s="294"/>
      <c r="AC46" s="304"/>
      <c r="AD46" s="294"/>
      <c r="AE46" s="294"/>
      <c r="AF46" s="298" t="s">
        <v>300</v>
      </c>
      <c r="AG46" s="294"/>
      <c r="AH46" s="304"/>
      <c r="AI46" s="305"/>
      <c r="AJ46" s="294"/>
      <c r="AK46" s="298" t="s">
        <v>301</v>
      </c>
      <c r="AL46" s="294"/>
      <c r="AM46" s="304"/>
    </row>
    <row r="47" spans="3:39" ht="13.15" customHeight="1">
      <c r="Y47" s="302"/>
      <c r="AC47" s="303"/>
      <c r="AH47" s="303"/>
      <c r="AI47" s="302"/>
      <c r="AM47" s="303"/>
    </row>
    <row r="48" spans="3:39" ht="13.15" customHeight="1">
      <c r="C48" s="293"/>
      <c r="V48" s="293"/>
      <c r="Y48" s="306"/>
      <c r="Z48" s="307"/>
      <c r="AA48" s="307"/>
      <c r="AB48" s="307"/>
      <c r="AC48" s="308"/>
      <c r="AD48" s="307"/>
      <c r="AE48" s="307"/>
      <c r="AF48" s="307"/>
      <c r="AG48" s="307"/>
      <c r="AH48" s="308"/>
      <c r="AI48" s="306"/>
      <c r="AJ48" s="307"/>
      <c r="AK48" s="307"/>
      <c r="AL48" s="307"/>
      <c r="AM48" s="308"/>
    </row>
    <row r="49" spans="4:39" ht="13.15" customHeight="1"/>
    <row r="50" spans="4:39" ht="13.15" customHeight="1">
      <c r="Y50" s="293" t="s">
        <v>302</v>
      </c>
    </row>
    <row r="51" spans="4:39" ht="13.15" customHeight="1">
      <c r="Y51" s="295" t="s">
        <v>292</v>
      </c>
      <c r="Z51" s="296"/>
      <c r="AA51" s="296"/>
      <c r="AB51" s="296"/>
      <c r="AC51" s="297"/>
      <c r="AD51" s="295" t="s">
        <v>293</v>
      </c>
      <c r="AE51" s="296"/>
      <c r="AF51" s="296"/>
      <c r="AG51" s="296"/>
      <c r="AH51" s="297"/>
      <c r="AI51" s="295" t="s">
        <v>294</v>
      </c>
      <c r="AJ51" s="296"/>
      <c r="AK51" s="296"/>
      <c r="AL51" s="296"/>
      <c r="AM51" s="297"/>
    </row>
    <row r="52" spans="4:39" ht="13.15" customHeight="1">
      <c r="D52" s="294"/>
      <c r="E52" s="298"/>
      <c r="F52" s="294"/>
      <c r="G52" s="294"/>
      <c r="H52" s="294"/>
      <c r="I52" s="294"/>
      <c r="J52" s="298"/>
      <c r="K52" s="294"/>
      <c r="L52" s="294"/>
      <c r="M52" s="294"/>
      <c r="N52" s="294"/>
      <c r="O52" s="298"/>
      <c r="P52" s="294"/>
      <c r="Q52" s="294"/>
      <c r="W52" s="294"/>
      <c r="X52" s="298"/>
      <c r="Y52" s="299"/>
      <c r="Z52" s="300"/>
      <c r="AA52" s="300"/>
      <c r="AB52" s="300"/>
      <c r="AC52" s="301"/>
      <c r="AD52" s="300"/>
      <c r="AE52" s="300"/>
      <c r="AF52" s="300"/>
      <c r="AG52" s="300"/>
      <c r="AH52" s="301"/>
      <c r="AI52" s="299"/>
      <c r="AJ52" s="300"/>
      <c r="AK52" s="300"/>
      <c r="AL52" s="300"/>
      <c r="AM52" s="301"/>
    </row>
    <row r="53" spans="4:39" ht="13.15" customHeight="1">
      <c r="Y53" s="302"/>
      <c r="AC53" s="303"/>
      <c r="AH53" s="303"/>
      <c r="AI53" s="302"/>
      <c r="AM53" s="303"/>
    </row>
    <row r="54" spans="4:39" ht="13.15" customHeight="1">
      <c r="Y54" s="302"/>
      <c r="Z54" s="294"/>
      <c r="AA54" s="298" t="s">
        <v>303</v>
      </c>
      <c r="AB54" s="294"/>
      <c r="AC54" s="304"/>
      <c r="AD54" s="294"/>
      <c r="AE54" s="294"/>
      <c r="AF54" s="298" t="s">
        <v>304</v>
      </c>
      <c r="AG54" s="294"/>
      <c r="AH54" s="304"/>
      <c r="AI54" s="305"/>
      <c r="AJ54" s="294"/>
      <c r="AK54" s="298" t="s">
        <v>297</v>
      </c>
      <c r="AL54" s="294"/>
      <c r="AM54" s="304"/>
    </row>
    <row r="55" spans="4:39" ht="13.15" customHeight="1">
      <c r="Y55" s="302"/>
      <c r="AC55" s="303"/>
      <c r="AH55" s="303"/>
      <c r="AI55" s="302"/>
      <c r="AM55" s="303"/>
    </row>
    <row r="56" spans="4:39" ht="13.15" customHeight="1">
      <c r="Y56" s="306"/>
      <c r="Z56" s="307"/>
      <c r="AA56" s="307"/>
      <c r="AB56" s="307"/>
      <c r="AC56" s="308"/>
      <c r="AD56" s="307"/>
      <c r="AE56" s="307"/>
      <c r="AF56" s="307"/>
      <c r="AG56" s="307"/>
      <c r="AH56" s="308"/>
      <c r="AI56" s="306"/>
      <c r="AJ56" s="307"/>
      <c r="AK56" s="307"/>
      <c r="AL56" s="307"/>
      <c r="AM56" s="308"/>
    </row>
    <row r="57" spans="4:39" ht="13.15" customHeight="1">
      <c r="AK57" s="290" t="s">
        <v>305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18" width="13.08984375" hidden="1" customWidth="1"/>
    <col min="19" max="22" width="0" hidden="1" customWidth="1"/>
    <col min="23" max="23" width="11.1796875" bestFit="1" customWidth="1"/>
    <col min="24" max="24" width="12.6328125" bestFit="1" customWidth="1"/>
  </cols>
  <sheetData>
    <row r="2" spans="2:24" ht="25.5" customHeight="1">
      <c r="C2" s="6"/>
      <c r="D2" s="6"/>
      <c r="E2" s="6"/>
      <c r="F2" s="6"/>
      <c r="H2" s="7" t="s">
        <v>13</v>
      </c>
      <c r="I2" s="233" t="s">
        <v>14</v>
      </c>
      <c r="J2" s="233"/>
      <c r="K2" s="233"/>
      <c r="L2" s="233"/>
      <c r="M2" s="233"/>
      <c r="N2" s="233"/>
      <c r="O2" s="233"/>
      <c r="P2" s="233"/>
      <c r="Q2" s="233"/>
      <c r="R2" s="233"/>
    </row>
    <row r="3" spans="2:24" ht="25.5" customHeight="1">
      <c r="C3" s="6"/>
      <c r="D3" s="10" t="str">
        <f ca="1">REPLACE(LEFT(CELL("filename",$B$1),FIND(".xls",CELL("filename",$B$1))-1),1,FIND("[",CELL("filename",$B$1)),)</f>
        <v>alert_C_TRCOFF-CSTD-1-00-A-C0</v>
      </c>
      <c r="E3" s="6"/>
      <c r="F3" s="6"/>
      <c r="H3" s="8" t="s">
        <v>166</v>
      </c>
      <c r="I3" s="234" t="s">
        <v>190</v>
      </c>
      <c r="J3" s="235"/>
      <c r="K3" s="235"/>
      <c r="L3" s="235"/>
      <c r="M3" s="235"/>
      <c r="N3" s="235"/>
      <c r="O3" s="235"/>
      <c r="P3" s="235"/>
      <c r="Q3" s="235"/>
      <c r="R3" s="235"/>
    </row>
    <row r="4" spans="2:24" ht="25.5" customHeight="1">
      <c r="C4" s="6"/>
      <c r="D4" s="6"/>
      <c r="E4" s="21" t="str">
        <f>DGET(B8:C15,"Ver.",H4:H5)</f>
        <v>1.3.0</v>
      </c>
      <c r="F4" s="6"/>
      <c r="H4" s="9" t="s">
        <v>16</v>
      </c>
    </row>
    <row r="5" spans="2:24" ht="25.5" customHeight="1">
      <c r="C5" s="6"/>
      <c r="D5" s="6"/>
      <c r="E5" s="6"/>
      <c r="F5" s="6"/>
      <c r="H5" s="11">
        <f>MAX(B9:B15)</f>
        <v>4</v>
      </c>
    </row>
    <row r="6" spans="2:24" ht="13.5" thickBot="1"/>
    <row r="7" spans="2:24">
      <c r="C7" s="239" t="s">
        <v>0</v>
      </c>
      <c r="D7" s="240"/>
      <c r="E7" s="241" t="s">
        <v>2</v>
      </c>
      <c r="F7" s="241"/>
      <c r="G7" s="242" t="s">
        <v>5</v>
      </c>
      <c r="H7" s="242"/>
      <c r="I7" s="242"/>
      <c r="J7" s="242"/>
      <c r="K7" s="242"/>
      <c r="L7" s="242"/>
      <c r="M7" s="243" t="s">
        <v>12</v>
      </c>
      <c r="N7" s="243"/>
      <c r="O7" s="243"/>
      <c r="P7" s="243"/>
      <c r="Q7" s="243"/>
      <c r="R7" s="243"/>
      <c r="S7" s="236" t="s">
        <v>278</v>
      </c>
      <c r="T7" s="237"/>
      <c r="U7" s="237"/>
      <c r="V7" s="237"/>
      <c r="W7" s="237"/>
      <c r="X7" s="238"/>
    </row>
    <row r="8" spans="2:24" ht="26.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23" t="s">
        <v>279</v>
      </c>
      <c r="T8" s="16" t="s">
        <v>7</v>
      </c>
      <c r="U8" s="16" t="s">
        <v>8</v>
      </c>
      <c r="V8" s="16" t="s">
        <v>9</v>
      </c>
      <c r="W8" s="16" t="s">
        <v>10</v>
      </c>
      <c r="X8" s="222" t="s">
        <v>11</v>
      </c>
    </row>
    <row r="9" spans="2:24" ht="13.5" thickTop="1">
      <c r="B9" s="9">
        <f>IF(C9=0,0,ROW()-ROW($B$8))</f>
        <v>1</v>
      </c>
      <c r="C9" s="12" t="s">
        <v>15</v>
      </c>
      <c r="D9" s="13" t="s">
        <v>20</v>
      </c>
      <c r="E9" s="13" t="s">
        <v>31</v>
      </c>
      <c r="F9" s="13" t="s">
        <v>189</v>
      </c>
      <c r="G9" s="13" t="s">
        <v>31</v>
      </c>
      <c r="H9" s="13" t="s">
        <v>31</v>
      </c>
      <c r="I9" s="13" t="s">
        <v>31</v>
      </c>
      <c r="J9" s="13" t="s">
        <v>31</v>
      </c>
      <c r="K9" s="13" t="s">
        <v>31</v>
      </c>
      <c r="L9" s="13" t="s">
        <v>31</v>
      </c>
      <c r="M9" s="13" t="s">
        <v>262</v>
      </c>
      <c r="N9" s="215">
        <v>43943</v>
      </c>
      <c r="O9" s="13" t="s">
        <v>264</v>
      </c>
      <c r="P9" s="215">
        <v>43943</v>
      </c>
      <c r="Q9" s="13" t="s">
        <v>263</v>
      </c>
      <c r="R9" s="215">
        <v>43923</v>
      </c>
      <c r="S9" s="224" t="s">
        <v>31</v>
      </c>
      <c r="T9" s="13" t="s">
        <v>31</v>
      </c>
      <c r="U9" s="13" t="s">
        <v>31</v>
      </c>
      <c r="V9" s="13" t="s">
        <v>31</v>
      </c>
      <c r="W9" s="13" t="s">
        <v>31</v>
      </c>
      <c r="X9" s="216" t="s">
        <v>31</v>
      </c>
    </row>
    <row r="10" spans="2:24" ht="104">
      <c r="B10" s="9">
        <f t="shared" ref="B10:B14" si="0">IF(C10=0,0,ROW()-ROW($B$8))</f>
        <v>2</v>
      </c>
      <c r="C10" s="2" t="s">
        <v>251</v>
      </c>
      <c r="D10" s="217" t="s">
        <v>261</v>
      </c>
      <c r="E10" s="13" t="s">
        <v>31</v>
      </c>
      <c r="F10" s="13" t="s">
        <v>189</v>
      </c>
      <c r="G10" s="13" t="s">
        <v>31</v>
      </c>
      <c r="H10" s="13" t="s">
        <v>31</v>
      </c>
      <c r="I10" s="13" t="s">
        <v>31</v>
      </c>
      <c r="J10" s="13" t="s">
        <v>31</v>
      </c>
      <c r="K10" s="13" t="s">
        <v>31</v>
      </c>
      <c r="L10" s="13" t="s">
        <v>31</v>
      </c>
      <c r="M10" s="1" t="s">
        <v>262</v>
      </c>
      <c r="N10" s="218">
        <v>44064</v>
      </c>
      <c r="O10" s="1" t="s">
        <v>264</v>
      </c>
      <c r="P10" s="218">
        <v>44064</v>
      </c>
      <c r="Q10" s="1" t="s">
        <v>256</v>
      </c>
      <c r="R10" s="218">
        <v>44064</v>
      </c>
      <c r="S10" s="194" t="s">
        <v>31</v>
      </c>
      <c r="T10" s="1" t="s">
        <v>31</v>
      </c>
      <c r="U10" s="1" t="s">
        <v>31</v>
      </c>
      <c r="V10" s="1" t="s">
        <v>31</v>
      </c>
      <c r="W10" s="1" t="s">
        <v>31</v>
      </c>
      <c r="X10" s="65" t="s">
        <v>31</v>
      </c>
    </row>
    <row r="11" spans="2:24" ht="117">
      <c r="B11" s="9">
        <f t="shared" si="0"/>
        <v>3</v>
      </c>
      <c r="C11" s="2" t="s">
        <v>265</v>
      </c>
      <c r="D11" s="217" t="s">
        <v>276</v>
      </c>
      <c r="E11" s="13" t="s">
        <v>31</v>
      </c>
      <c r="F11" s="13" t="s">
        <v>189</v>
      </c>
      <c r="G11" s="13" t="s">
        <v>31</v>
      </c>
      <c r="H11" s="13" t="s">
        <v>31</v>
      </c>
      <c r="I11" s="13" t="s">
        <v>31</v>
      </c>
      <c r="J11" s="13" t="s">
        <v>31</v>
      </c>
      <c r="K11" s="13" t="s">
        <v>31</v>
      </c>
      <c r="L11" s="13" t="s">
        <v>31</v>
      </c>
      <c r="M11" s="1"/>
      <c r="N11" s="1"/>
      <c r="O11" s="1"/>
      <c r="P11" s="1"/>
      <c r="Q11" s="1" t="s">
        <v>266</v>
      </c>
      <c r="R11" s="218">
        <v>44575</v>
      </c>
      <c r="S11" s="194" t="s">
        <v>31</v>
      </c>
      <c r="T11" s="1" t="s">
        <v>31</v>
      </c>
      <c r="U11" s="1" t="s">
        <v>31</v>
      </c>
      <c r="V11" s="1" t="s">
        <v>31</v>
      </c>
      <c r="W11" s="1" t="s">
        <v>31</v>
      </c>
      <c r="X11" s="65" t="s">
        <v>31</v>
      </c>
    </row>
    <row r="12" spans="2:24" ht="208">
      <c r="B12" s="9">
        <f t="shared" si="0"/>
        <v>4</v>
      </c>
      <c r="C12" s="2" t="s">
        <v>280</v>
      </c>
      <c r="D12" s="217" t="s">
        <v>281</v>
      </c>
      <c r="E12" s="1" t="s">
        <v>31</v>
      </c>
      <c r="F12" s="1" t="s">
        <v>282</v>
      </c>
      <c r="G12" s="1" t="s">
        <v>31</v>
      </c>
      <c r="H12" s="1" t="s">
        <v>31</v>
      </c>
      <c r="I12" s="1" t="s">
        <v>31</v>
      </c>
      <c r="J12" s="1" t="s">
        <v>31</v>
      </c>
      <c r="K12" s="1" t="s">
        <v>31</v>
      </c>
      <c r="L12" s="1" t="s">
        <v>31</v>
      </c>
      <c r="M12" s="1" t="s">
        <v>31</v>
      </c>
      <c r="N12" s="1" t="s">
        <v>31</v>
      </c>
      <c r="O12" s="1" t="s">
        <v>31</v>
      </c>
      <c r="P12" s="1" t="s">
        <v>31</v>
      </c>
      <c r="Q12" s="1" t="s">
        <v>31</v>
      </c>
      <c r="R12" s="1" t="s">
        <v>31</v>
      </c>
      <c r="S12" s="194"/>
      <c r="T12" s="1"/>
      <c r="U12" s="1"/>
      <c r="V12" s="1"/>
      <c r="W12" s="1" t="s">
        <v>283</v>
      </c>
      <c r="X12" s="216">
        <v>45348</v>
      </c>
    </row>
    <row r="13" spans="2:24" ht="143">
      <c r="C13" s="228" t="s">
        <v>287</v>
      </c>
      <c r="D13" s="229" t="s">
        <v>290</v>
      </c>
      <c r="E13" s="230" t="s">
        <v>31</v>
      </c>
      <c r="F13" s="230" t="s">
        <v>31</v>
      </c>
      <c r="G13" s="226"/>
      <c r="H13" s="226"/>
      <c r="I13" s="226"/>
      <c r="J13" s="226"/>
      <c r="K13" s="226"/>
      <c r="L13" s="226"/>
      <c r="M13" s="226"/>
      <c r="N13" s="226"/>
      <c r="O13" s="226"/>
      <c r="P13" s="226"/>
      <c r="Q13" s="226"/>
      <c r="R13" s="226"/>
      <c r="S13" s="227"/>
      <c r="T13" s="226"/>
      <c r="U13" s="226"/>
      <c r="V13" s="226"/>
      <c r="W13" s="231" t="s">
        <v>288</v>
      </c>
      <c r="X13" s="232">
        <v>46009</v>
      </c>
    </row>
    <row r="14" spans="2:24" ht="13.5" thickBot="1">
      <c r="B14" s="9">
        <f t="shared" si="0"/>
        <v>0</v>
      </c>
      <c r="C14" s="3"/>
      <c r="D14" s="4"/>
      <c r="E14" s="4"/>
      <c r="F14" s="4"/>
      <c r="G14" s="4"/>
      <c r="H14" s="4"/>
      <c r="I14" s="4"/>
      <c r="J14" s="4"/>
      <c r="K14" s="4"/>
      <c r="L14" s="4"/>
      <c r="M14" s="4"/>
      <c r="N14" s="4"/>
      <c r="O14" s="4"/>
      <c r="P14" s="4"/>
      <c r="Q14" s="4"/>
      <c r="R14" s="4"/>
      <c r="S14" s="225"/>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39" t="s">
        <v>125</v>
      </c>
    </row>
    <row r="3" spans="2:5">
      <c r="C3" t="s">
        <v>135</v>
      </c>
    </row>
    <row r="6" spans="2:5" ht="13.5" thickBot="1">
      <c r="B6" s="139" t="s">
        <v>126</v>
      </c>
      <c r="C6" s="139"/>
    </row>
    <row r="7" spans="2:5" ht="13.5" thickBot="1">
      <c r="C7" s="66" t="s">
        <v>128</v>
      </c>
      <c r="D7" s="74"/>
      <c r="E7" s="67" t="s">
        <v>136</v>
      </c>
    </row>
    <row r="8" spans="2:5" ht="20.25" customHeight="1" thickTop="1">
      <c r="C8" s="143">
        <v>0</v>
      </c>
      <c r="D8" s="75" t="s">
        <v>137</v>
      </c>
      <c r="E8" s="142" t="s">
        <v>272</v>
      </c>
    </row>
    <row r="9" spans="2:5">
      <c r="C9" s="149"/>
      <c r="D9" s="151"/>
      <c r="E9" s="150"/>
    </row>
    <row r="10" spans="2:5" ht="13.5" thickBot="1">
      <c r="C10" s="147"/>
      <c r="D10" s="77"/>
      <c r="E10" s="5"/>
    </row>
    <row r="11" spans="2:5">
      <c r="C11" s="145"/>
    </row>
    <row r="12" spans="2:5" ht="13.5" thickBot="1">
      <c r="B12" s="140" t="s">
        <v>127</v>
      </c>
      <c r="C12" s="73"/>
      <c r="D12" s="73"/>
    </row>
    <row r="13" spans="2:5" ht="13.5" thickBot="1">
      <c r="B13" s="141"/>
      <c r="C13" s="146" t="s">
        <v>128</v>
      </c>
      <c r="D13" s="74" t="s">
        <v>129</v>
      </c>
      <c r="E13" s="67" t="s">
        <v>130</v>
      </c>
    </row>
    <row r="14" spans="2:5" ht="13.5" thickTop="1">
      <c r="C14" s="143">
        <v>0</v>
      </c>
      <c r="D14" s="75" t="s">
        <v>142</v>
      </c>
      <c r="E14" s="148" t="s">
        <v>143</v>
      </c>
    </row>
    <row r="15" spans="2:5">
      <c r="C15" s="144">
        <v>1</v>
      </c>
      <c r="D15" s="76" t="s">
        <v>23</v>
      </c>
      <c r="E15" s="65" t="s">
        <v>131</v>
      </c>
    </row>
    <row r="16" spans="2:5">
      <c r="C16" s="144">
        <v>2</v>
      </c>
      <c r="D16" s="76" t="s">
        <v>24</v>
      </c>
      <c r="E16" s="65" t="s">
        <v>132</v>
      </c>
    </row>
    <row r="17" spans="2:5">
      <c r="C17" s="144">
        <v>3</v>
      </c>
      <c r="D17" s="76" t="s">
        <v>25</v>
      </c>
      <c r="E17" s="65" t="s">
        <v>133</v>
      </c>
    </row>
    <row r="18" spans="2:5">
      <c r="C18" s="144">
        <v>4</v>
      </c>
      <c r="D18" s="76" t="s">
        <v>26</v>
      </c>
      <c r="E18" s="65" t="s">
        <v>134</v>
      </c>
    </row>
    <row r="19" spans="2:5">
      <c r="C19" s="144">
        <v>5</v>
      </c>
      <c r="D19" s="76" t="s">
        <v>144</v>
      </c>
      <c r="E19" s="65" t="s">
        <v>146</v>
      </c>
    </row>
    <row r="20" spans="2:5">
      <c r="C20" s="144">
        <v>6</v>
      </c>
      <c r="D20" s="76" t="s">
        <v>150</v>
      </c>
      <c r="E20" s="65" t="s">
        <v>161</v>
      </c>
    </row>
    <row r="21" spans="2:5" ht="13.5" thickBot="1">
      <c r="C21" s="147"/>
      <c r="D21" s="77"/>
      <c r="E21" s="5"/>
    </row>
    <row r="24" spans="2:5" ht="13.5" thickBot="1">
      <c r="B24" s="139" t="s">
        <v>138</v>
      </c>
    </row>
    <row r="25" spans="2:5" ht="13.5" thickBot="1">
      <c r="C25" s="146" t="s">
        <v>128</v>
      </c>
      <c r="D25" s="74" t="s">
        <v>129</v>
      </c>
      <c r="E25" s="67" t="s">
        <v>130</v>
      </c>
    </row>
    <row r="26" spans="2:5" ht="30.75" customHeight="1" thickTop="1">
      <c r="C26" s="143">
        <v>0</v>
      </c>
      <c r="D26" s="75" t="s">
        <v>139</v>
      </c>
      <c r="E26" s="148" t="s">
        <v>147</v>
      </c>
    </row>
    <row r="27" spans="2:5" ht="120.15" customHeight="1">
      <c r="C27" s="144">
        <v>1</v>
      </c>
      <c r="D27" s="76" t="s">
        <v>163</v>
      </c>
      <c r="E27" s="78" t="s">
        <v>165</v>
      </c>
    </row>
    <row r="28" spans="2:5" ht="81" customHeight="1">
      <c r="C28" s="144">
        <v>2</v>
      </c>
      <c r="D28" s="76" t="s">
        <v>160</v>
      </c>
      <c r="E28" s="78" t="s">
        <v>170</v>
      </c>
    </row>
    <row r="29" spans="2:5" ht="45" customHeight="1">
      <c r="C29" s="144">
        <v>3</v>
      </c>
      <c r="D29" s="76" t="s">
        <v>145</v>
      </c>
      <c r="E29" s="78" t="s">
        <v>148</v>
      </c>
    </row>
    <row r="30" spans="2:5" ht="16.5" customHeight="1">
      <c r="C30" s="144">
        <v>4</v>
      </c>
      <c r="D30" s="76" t="s">
        <v>140</v>
      </c>
      <c r="E30" s="65" t="s">
        <v>153</v>
      </c>
    </row>
    <row r="31" spans="2:5" ht="16.5" customHeight="1">
      <c r="C31" s="144">
        <v>5</v>
      </c>
      <c r="D31" s="76" t="s">
        <v>141</v>
      </c>
      <c r="E31" s="65" t="s">
        <v>149</v>
      </c>
    </row>
    <row r="32" spans="2:5">
      <c r="C32" s="144"/>
      <c r="D32" s="76"/>
      <c r="E32" s="65"/>
    </row>
    <row r="33" spans="2:5">
      <c r="C33" s="144"/>
      <c r="D33" s="76"/>
      <c r="E33" s="65"/>
    </row>
    <row r="34" spans="2:5" ht="13.5" thickBot="1">
      <c r="C34" s="147"/>
      <c r="D34" s="77"/>
      <c r="E34" s="5"/>
    </row>
    <row r="37" spans="2:5" ht="13.5" thickBot="1">
      <c r="B37" s="139" t="s">
        <v>157</v>
      </c>
    </row>
    <row r="38" spans="2:5">
      <c r="C38" s="244"/>
      <c r="D38" s="245"/>
      <c r="E38" s="100" t="s">
        <v>115</v>
      </c>
    </row>
    <row r="39" spans="2:5" ht="13.5" thickBot="1">
      <c r="C39" s="246"/>
      <c r="D39" s="247"/>
      <c r="E39" s="5"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73" t="s">
        <v>19</v>
      </c>
      <c r="C2" s="274"/>
      <c r="D2" s="261" t="s">
        <v>284</v>
      </c>
      <c r="E2" s="262"/>
      <c r="F2" s="262"/>
      <c r="G2" s="262"/>
      <c r="H2" s="263"/>
    </row>
    <row r="3" spans="2:14">
      <c r="B3" s="248" t="s">
        <v>113</v>
      </c>
      <c r="C3" s="249"/>
      <c r="D3" s="264" t="s">
        <v>285</v>
      </c>
      <c r="E3" s="265"/>
      <c r="F3" s="265"/>
      <c r="G3" s="265"/>
      <c r="H3" s="266"/>
    </row>
    <row r="4" spans="2:14" ht="13.5" thickBot="1">
      <c r="B4" s="259" t="s">
        <v>18</v>
      </c>
      <c r="C4" s="260"/>
      <c r="D4" s="267" t="str">
        <f ca="1">表紙!D3&amp;".c"</f>
        <v>alert_C_TRCOFF-CSTD-1-00-A-C0.c</v>
      </c>
      <c r="E4" s="268"/>
      <c r="F4" s="268"/>
      <c r="G4" s="268"/>
      <c r="H4" s="269"/>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73" t="s">
        <v>36</v>
      </c>
      <c r="C6" s="274"/>
      <c r="D6" s="270" t="str">
        <f ca="1">MID(D4, LEN("alert_") + 1, FIND("-",D4,1) - LEN("alert_") - 1)</f>
        <v>C_TRCOFF</v>
      </c>
      <c r="E6" s="271"/>
      <c r="F6" s="271"/>
      <c r="G6" s="271"/>
      <c r="H6" s="272"/>
    </row>
    <row r="7" spans="2:14">
      <c r="B7" s="248" t="s">
        <v>37</v>
      </c>
      <c r="C7" s="249"/>
      <c r="D7" s="250">
        <f>COUNTA($D$13:$D$37)</f>
        <v>1</v>
      </c>
      <c r="E7" s="251"/>
      <c r="F7" s="251"/>
      <c r="G7" s="251"/>
      <c r="H7" s="252"/>
    </row>
    <row r="8" spans="2:14">
      <c r="B8" s="248" t="s">
        <v>92</v>
      </c>
      <c r="C8" s="249"/>
      <c r="D8" s="250" t="str">
        <f ca="1">"st_gp_ALERT_"&amp;UPPER(D6)&amp;"_MTRX"</f>
        <v>st_gp_ALERT_C_TRCOFF_MTRX</v>
      </c>
      <c r="E8" s="251"/>
      <c r="F8" s="251"/>
      <c r="G8" s="251"/>
      <c r="H8" s="252"/>
    </row>
    <row r="9" spans="2:14">
      <c r="B9" s="248" t="s">
        <v>38</v>
      </c>
      <c r="C9" s="249"/>
      <c r="D9" s="253" t="s">
        <v>194</v>
      </c>
      <c r="E9" s="254"/>
      <c r="F9" s="254"/>
      <c r="G9" s="254"/>
      <c r="H9" s="255"/>
    </row>
    <row r="10" spans="2:14" ht="13.5" thickBot="1">
      <c r="B10" s="259" t="s">
        <v>44</v>
      </c>
      <c r="C10" s="260"/>
      <c r="D10" s="256"/>
      <c r="E10" s="257"/>
      <c r="F10" s="257"/>
      <c r="G10" s="257"/>
      <c r="H10" s="258"/>
    </row>
    <row r="11" spans="2:14" ht="13.5" thickBot="1"/>
    <row r="12" spans="2:14" ht="13.5" thickBot="1">
      <c r="B12" s="130" t="s">
        <v>34</v>
      </c>
      <c r="C12" s="92" t="s">
        <v>43</v>
      </c>
      <c r="D12" s="93" t="s">
        <v>35</v>
      </c>
      <c r="E12" s="93" t="s">
        <v>39</v>
      </c>
      <c r="F12" s="93" t="s">
        <v>40</v>
      </c>
      <c r="G12" s="93" t="s">
        <v>41</v>
      </c>
      <c r="H12" s="94" t="s">
        <v>42</v>
      </c>
      <c r="I12" s="135" t="s">
        <v>51</v>
      </c>
      <c r="K12" s="36" t="s">
        <v>45</v>
      </c>
      <c r="L12" s="36" t="s">
        <v>38</v>
      </c>
      <c r="M12" t="s">
        <v>84</v>
      </c>
    </row>
    <row r="13" spans="2:14" ht="13.5" thickTop="1">
      <c r="B13" s="95">
        <v>1</v>
      </c>
      <c r="C13" s="184" t="s">
        <v>203</v>
      </c>
      <c r="D13" s="185" t="s">
        <v>48</v>
      </c>
      <c r="E13" s="185" t="s">
        <v>156</v>
      </c>
      <c r="F13" s="42" t="str">
        <f t="shared" ref="F13:F37" ca="1" si="0">IF($D13&lt;&gt;"","u4_s_Alert"&amp;UPPER(LEFT($D$6,1))&amp;LOWER(MID($D$6,2,100))&amp;IF($D$7=1,"",N13)&amp;"Srcchk","")</f>
        <v>u4_s_AlertC_trcoffSrcchk</v>
      </c>
      <c r="G13" s="42" t="str">
        <f t="shared" ref="G13:G37" si="1">IF($D13&lt;&gt;"",IF($E13="○","vd_s_Alert"&amp;UPPER(LEFT($D$6,1))&amp;LOWER(MID($D$6,2,100))&amp;IF($D$7=1,"",N13)&amp;"RwTx","NULL"),"")</f>
        <v>NULL</v>
      </c>
      <c r="H13" s="99" t="str">
        <f ca="1">IF($D13&lt;&gt;"","ALERT_CH_"&amp;UPPER($D$6)&amp;IF($D$7=1,"","_"&amp;UPPER($C13)),"")</f>
        <v>ALERT_CH_C_TRCOFF</v>
      </c>
      <c r="I13" s="136" t="str">
        <f ca="1">IF($D13&lt;&gt;"","ALERT_REQ_"&amp;UPPER($D$6)&amp;IF($D$7=1,"","_"&amp;UPPER($C13)),"")</f>
        <v>ALERT_REQ_C_TRCOFF</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5">
        <v>2</v>
      </c>
      <c r="C14" s="187"/>
      <c r="D14" s="188"/>
      <c r="E14" s="188"/>
      <c r="F14" s="37" t="str">
        <f t="shared" si="0"/>
        <v/>
      </c>
      <c r="G14" s="37" t="str">
        <f t="shared" si="1"/>
        <v/>
      </c>
      <c r="H14" s="58" t="str">
        <f t="shared" ref="H14:H37" si="4">IF($D14&lt;&gt;"","ALERT_CH_"&amp;UPPER($D$6)&amp;IF($D$7=1,"","_"&amp;UPPER($C14)),"")</f>
        <v/>
      </c>
      <c r="I14" s="137" t="str">
        <f t="shared" ref="I14:I37" si="5">IF($D14&lt;&gt;"","ALERT_REQ_"&amp;UPPER($D$6)&amp;IF($D$7=1,"","_"&amp;UPPER($C14)),"")</f>
        <v/>
      </c>
      <c r="K14" t="s">
        <v>47</v>
      </c>
      <c r="L14" t="str">
        <f ca="1">"vd_g_Alert"&amp;UPPER(LEFT(D6,1))&amp;LOWER(MID(D6,2,100))&amp;"Init"</f>
        <v>vd_g_AlertC_trcoffInit</v>
      </c>
      <c r="M14" t="e">
        <f t="shared" si="2"/>
        <v>#VALUE!</v>
      </c>
      <c r="N14" t="str">
        <f t="shared" si="3"/>
        <v/>
      </c>
    </row>
    <row r="15" spans="2:14">
      <c r="B15" s="85">
        <v>3</v>
      </c>
      <c r="C15" s="133"/>
      <c r="D15" s="134"/>
      <c r="E15" s="134"/>
      <c r="F15" s="37" t="str">
        <f t="shared" si="0"/>
        <v/>
      </c>
      <c r="G15" s="37" t="str">
        <f t="shared" si="1"/>
        <v/>
      </c>
      <c r="H15" s="58" t="str">
        <f t="shared" si="4"/>
        <v/>
      </c>
      <c r="I15" s="137" t="str">
        <f t="shared" si="5"/>
        <v/>
      </c>
      <c r="K15" t="s">
        <v>117</v>
      </c>
      <c r="M15" t="e">
        <f t="shared" si="2"/>
        <v>#VALUE!</v>
      </c>
      <c r="N15" t="str">
        <f t="shared" si="3"/>
        <v/>
      </c>
    </row>
    <row r="16" spans="2:14">
      <c r="B16" s="85">
        <v>4</v>
      </c>
      <c r="C16" s="133"/>
      <c r="D16" s="134"/>
      <c r="E16" s="134"/>
      <c r="F16" s="37" t="str">
        <f t="shared" si="0"/>
        <v/>
      </c>
      <c r="G16" s="37" t="str">
        <f t="shared" si="1"/>
        <v/>
      </c>
      <c r="H16" s="58" t="str">
        <f t="shared" si="4"/>
        <v/>
      </c>
      <c r="I16" s="137" t="str">
        <f t="shared" si="5"/>
        <v/>
      </c>
      <c r="K16" t="s">
        <v>118</v>
      </c>
      <c r="M16" t="e">
        <f t="shared" si="2"/>
        <v>#VALUE!</v>
      </c>
      <c r="N16" t="str">
        <f t="shared" si="3"/>
        <v/>
      </c>
    </row>
    <row r="17" spans="2:14">
      <c r="B17" s="85">
        <v>5</v>
      </c>
      <c r="C17" s="133"/>
      <c r="D17" s="134"/>
      <c r="E17" s="134"/>
      <c r="F17" s="37" t="str">
        <f t="shared" si="0"/>
        <v/>
      </c>
      <c r="G17" s="37" t="str">
        <f t="shared" si="1"/>
        <v/>
      </c>
      <c r="H17" s="58" t="str">
        <f t="shared" si="4"/>
        <v/>
      </c>
      <c r="I17" s="137" t="str">
        <f t="shared" si="5"/>
        <v/>
      </c>
      <c r="K17" t="s">
        <v>48</v>
      </c>
      <c r="M17" t="e">
        <f t="shared" si="2"/>
        <v>#VALUE!</v>
      </c>
      <c r="N17" t="str">
        <f t="shared" si="3"/>
        <v/>
      </c>
    </row>
    <row r="18" spans="2:14">
      <c r="B18" s="85">
        <v>6</v>
      </c>
      <c r="C18" s="133"/>
      <c r="D18" s="134"/>
      <c r="E18" s="134"/>
      <c r="F18" s="37" t="str">
        <f t="shared" si="0"/>
        <v/>
      </c>
      <c r="G18" s="37" t="str">
        <f t="shared" si="1"/>
        <v/>
      </c>
      <c r="H18" s="58" t="str">
        <f t="shared" si="4"/>
        <v/>
      </c>
      <c r="I18" s="137" t="str">
        <f t="shared" si="5"/>
        <v/>
      </c>
      <c r="K18" t="s">
        <v>49</v>
      </c>
      <c r="M18" t="e">
        <f t="shared" si="2"/>
        <v>#VALUE!</v>
      </c>
      <c r="N18" t="str">
        <f t="shared" si="3"/>
        <v/>
      </c>
    </row>
    <row r="19" spans="2:14">
      <c r="B19" s="85">
        <v>7</v>
      </c>
      <c r="C19" s="133"/>
      <c r="D19" s="134"/>
      <c r="E19" s="134"/>
      <c r="F19" s="37" t="str">
        <f t="shared" si="0"/>
        <v/>
      </c>
      <c r="G19" s="37" t="str">
        <f t="shared" si="1"/>
        <v/>
      </c>
      <c r="H19" s="58" t="str">
        <f t="shared" si="4"/>
        <v/>
      </c>
      <c r="I19" s="137" t="str">
        <f t="shared" si="5"/>
        <v/>
      </c>
      <c r="K19" t="s">
        <v>49</v>
      </c>
      <c r="M19" t="e">
        <f t="shared" si="2"/>
        <v>#VALUE!</v>
      </c>
      <c r="N19" t="str">
        <f t="shared" si="3"/>
        <v/>
      </c>
    </row>
    <row r="20" spans="2:14">
      <c r="B20" s="85">
        <v>8</v>
      </c>
      <c r="C20" s="133"/>
      <c r="D20" s="134"/>
      <c r="E20" s="134"/>
      <c r="F20" s="37" t="str">
        <f t="shared" si="0"/>
        <v/>
      </c>
      <c r="G20" s="37" t="str">
        <f t="shared" si="1"/>
        <v/>
      </c>
      <c r="H20" s="58" t="str">
        <f t="shared" si="4"/>
        <v/>
      </c>
      <c r="I20" s="137" t="str">
        <f t="shared" si="5"/>
        <v/>
      </c>
      <c r="K20" t="s">
        <v>49</v>
      </c>
      <c r="M20" t="e">
        <f t="shared" si="2"/>
        <v>#VALUE!</v>
      </c>
      <c r="N20" t="str">
        <f t="shared" si="3"/>
        <v/>
      </c>
    </row>
    <row r="21" spans="2:14">
      <c r="B21" s="85">
        <v>9</v>
      </c>
      <c r="C21" s="133"/>
      <c r="D21" s="134"/>
      <c r="E21" s="134"/>
      <c r="F21" s="37" t="str">
        <f t="shared" si="0"/>
        <v/>
      </c>
      <c r="G21" s="37" t="str">
        <f t="shared" si="1"/>
        <v/>
      </c>
      <c r="H21" s="58" t="str">
        <f t="shared" si="4"/>
        <v/>
      </c>
      <c r="I21" s="137" t="str">
        <f t="shared" si="5"/>
        <v/>
      </c>
      <c r="K21" t="s">
        <v>49</v>
      </c>
      <c r="M21" t="e">
        <f t="shared" si="2"/>
        <v>#VALUE!</v>
      </c>
      <c r="N21" t="str">
        <f t="shared" si="3"/>
        <v/>
      </c>
    </row>
    <row r="22" spans="2:14">
      <c r="B22" s="85">
        <v>10</v>
      </c>
      <c r="C22" s="133"/>
      <c r="D22" s="134"/>
      <c r="E22" s="134"/>
      <c r="F22" s="37" t="str">
        <f t="shared" si="0"/>
        <v/>
      </c>
      <c r="G22" s="37" t="str">
        <f t="shared" si="1"/>
        <v/>
      </c>
      <c r="H22" s="58" t="str">
        <f t="shared" si="4"/>
        <v/>
      </c>
      <c r="I22" s="137" t="str">
        <f t="shared" si="5"/>
        <v/>
      </c>
      <c r="K22" t="s">
        <v>49</v>
      </c>
      <c r="M22" t="e">
        <f t="shared" si="2"/>
        <v>#VALUE!</v>
      </c>
      <c r="N22" t="str">
        <f t="shared" si="3"/>
        <v/>
      </c>
    </row>
    <row r="23" spans="2:14">
      <c r="B23" s="85">
        <v>11</v>
      </c>
      <c r="C23" s="133"/>
      <c r="D23" s="134"/>
      <c r="E23" s="134"/>
      <c r="F23" s="37" t="str">
        <f t="shared" si="0"/>
        <v/>
      </c>
      <c r="G23" s="37" t="str">
        <f t="shared" si="1"/>
        <v/>
      </c>
      <c r="H23" s="58" t="str">
        <f t="shared" si="4"/>
        <v/>
      </c>
      <c r="I23" s="137" t="str">
        <f t="shared" si="5"/>
        <v/>
      </c>
      <c r="K23" t="s">
        <v>49</v>
      </c>
      <c r="M23" t="e">
        <f t="shared" si="2"/>
        <v>#VALUE!</v>
      </c>
      <c r="N23" t="str">
        <f t="shared" si="3"/>
        <v/>
      </c>
    </row>
    <row r="24" spans="2:14">
      <c r="B24" s="85">
        <v>12</v>
      </c>
      <c r="C24" s="133"/>
      <c r="D24" s="134"/>
      <c r="E24" s="134"/>
      <c r="F24" s="37" t="str">
        <f t="shared" si="0"/>
        <v/>
      </c>
      <c r="G24" s="37" t="str">
        <f t="shared" si="1"/>
        <v/>
      </c>
      <c r="H24" s="58" t="str">
        <f t="shared" si="4"/>
        <v/>
      </c>
      <c r="I24" s="137" t="str">
        <f t="shared" si="5"/>
        <v/>
      </c>
      <c r="K24" t="s">
        <v>49</v>
      </c>
      <c r="M24" t="e">
        <f t="shared" si="2"/>
        <v>#VALUE!</v>
      </c>
      <c r="N24" t="str">
        <f t="shared" si="3"/>
        <v/>
      </c>
    </row>
    <row r="25" spans="2:14">
      <c r="B25" s="85">
        <v>13</v>
      </c>
      <c r="C25" s="133"/>
      <c r="D25" s="134"/>
      <c r="E25" s="134"/>
      <c r="F25" s="37" t="str">
        <f t="shared" si="0"/>
        <v/>
      </c>
      <c r="G25" s="37" t="str">
        <f t="shared" si="1"/>
        <v/>
      </c>
      <c r="H25" s="58" t="str">
        <f t="shared" si="4"/>
        <v/>
      </c>
      <c r="I25" s="137" t="str">
        <f t="shared" si="5"/>
        <v/>
      </c>
      <c r="K25" t="s">
        <v>49</v>
      </c>
      <c r="M25" t="e">
        <f t="shared" si="2"/>
        <v>#VALUE!</v>
      </c>
      <c r="N25" t="str">
        <f t="shared" si="3"/>
        <v/>
      </c>
    </row>
    <row r="26" spans="2:14">
      <c r="B26" s="85">
        <v>14</v>
      </c>
      <c r="C26" s="133"/>
      <c r="D26" s="134"/>
      <c r="E26" s="134"/>
      <c r="F26" s="37" t="str">
        <f t="shared" si="0"/>
        <v/>
      </c>
      <c r="G26" s="37" t="str">
        <f t="shared" si="1"/>
        <v/>
      </c>
      <c r="H26" s="58" t="str">
        <f t="shared" si="4"/>
        <v/>
      </c>
      <c r="I26" s="137" t="str">
        <f t="shared" si="5"/>
        <v/>
      </c>
      <c r="K26" t="s">
        <v>49</v>
      </c>
      <c r="M26" t="e">
        <f t="shared" si="2"/>
        <v>#VALUE!</v>
      </c>
      <c r="N26" t="str">
        <f t="shared" si="3"/>
        <v/>
      </c>
    </row>
    <row r="27" spans="2:14">
      <c r="B27" s="85">
        <v>15</v>
      </c>
      <c r="C27" s="133"/>
      <c r="D27" s="134"/>
      <c r="E27" s="134"/>
      <c r="F27" s="37" t="str">
        <f t="shared" si="0"/>
        <v/>
      </c>
      <c r="G27" s="37" t="str">
        <f t="shared" si="1"/>
        <v/>
      </c>
      <c r="H27" s="58" t="str">
        <f t="shared" si="4"/>
        <v/>
      </c>
      <c r="I27" s="137" t="str">
        <f t="shared" si="5"/>
        <v/>
      </c>
      <c r="K27" t="s">
        <v>49</v>
      </c>
      <c r="M27" t="e">
        <f t="shared" si="2"/>
        <v>#VALUE!</v>
      </c>
      <c r="N27" t="str">
        <f t="shared" si="3"/>
        <v/>
      </c>
    </row>
    <row r="28" spans="2:14">
      <c r="B28" s="85">
        <v>16</v>
      </c>
      <c r="C28" s="133"/>
      <c r="D28" s="134"/>
      <c r="E28" s="134"/>
      <c r="F28" s="37" t="str">
        <f t="shared" si="0"/>
        <v/>
      </c>
      <c r="G28" s="37" t="str">
        <f t="shared" si="1"/>
        <v/>
      </c>
      <c r="H28" s="58" t="str">
        <f t="shared" si="4"/>
        <v/>
      </c>
      <c r="I28" s="137" t="str">
        <f t="shared" si="5"/>
        <v/>
      </c>
      <c r="K28" t="s">
        <v>49</v>
      </c>
      <c r="M28" t="e">
        <f t="shared" si="2"/>
        <v>#VALUE!</v>
      </c>
      <c r="N28" t="str">
        <f t="shared" si="3"/>
        <v/>
      </c>
    </row>
    <row r="29" spans="2:14">
      <c r="B29" s="85">
        <v>17</v>
      </c>
      <c r="C29" s="133"/>
      <c r="D29" s="134"/>
      <c r="E29" s="134"/>
      <c r="F29" s="37" t="str">
        <f t="shared" si="0"/>
        <v/>
      </c>
      <c r="G29" s="37" t="str">
        <f t="shared" si="1"/>
        <v/>
      </c>
      <c r="H29" s="58" t="str">
        <f t="shared" si="4"/>
        <v/>
      </c>
      <c r="I29" s="137" t="str">
        <f t="shared" si="5"/>
        <v/>
      </c>
      <c r="K29" t="s">
        <v>49</v>
      </c>
      <c r="M29" t="e">
        <f t="shared" si="2"/>
        <v>#VALUE!</v>
      </c>
      <c r="N29" t="str">
        <f t="shared" si="3"/>
        <v/>
      </c>
    </row>
    <row r="30" spans="2:14">
      <c r="B30" s="85">
        <v>18</v>
      </c>
      <c r="C30" s="133"/>
      <c r="D30" s="134"/>
      <c r="E30" s="134"/>
      <c r="F30" s="37" t="str">
        <f t="shared" si="0"/>
        <v/>
      </c>
      <c r="G30" s="37" t="str">
        <f t="shared" si="1"/>
        <v/>
      </c>
      <c r="H30" s="58" t="str">
        <f t="shared" si="4"/>
        <v/>
      </c>
      <c r="I30" s="137" t="str">
        <f t="shared" si="5"/>
        <v/>
      </c>
      <c r="K30" t="s">
        <v>49</v>
      </c>
      <c r="M30" t="e">
        <f t="shared" si="2"/>
        <v>#VALUE!</v>
      </c>
      <c r="N30" t="str">
        <f t="shared" si="3"/>
        <v/>
      </c>
    </row>
    <row r="31" spans="2:14">
      <c r="B31" s="85">
        <v>19</v>
      </c>
      <c r="C31" s="133"/>
      <c r="D31" s="134"/>
      <c r="E31" s="134"/>
      <c r="F31" s="37" t="str">
        <f t="shared" si="0"/>
        <v/>
      </c>
      <c r="G31" s="37" t="str">
        <f t="shared" si="1"/>
        <v/>
      </c>
      <c r="H31" s="58" t="str">
        <f t="shared" si="4"/>
        <v/>
      </c>
      <c r="I31" s="137" t="str">
        <f t="shared" si="5"/>
        <v/>
      </c>
      <c r="K31" t="s">
        <v>49</v>
      </c>
      <c r="M31" t="e">
        <f t="shared" si="2"/>
        <v>#VALUE!</v>
      </c>
      <c r="N31" t="str">
        <f t="shared" si="3"/>
        <v/>
      </c>
    </row>
    <row r="32" spans="2:14">
      <c r="B32" s="85">
        <v>20</v>
      </c>
      <c r="C32" s="133"/>
      <c r="D32" s="134"/>
      <c r="E32" s="134"/>
      <c r="F32" s="37" t="str">
        <f t="shared" si="0"/>
        <v/>
      </c>
      <c r="G32" s="37" t="str">
        <f t="shared" si="1"/>
        <v/>
      </c>
      <c r="H32" s="58" t="str">
        <f t="shared" si="4"/>
        <v/>
      </c>
      <c r="I32" s="137" t="str">
        <f t="shared" si="5"/>
        <v/>
      </c>
      <c r="K32" t="s">
        <v>49</v>
      </c>
      <c r="M32" t="e">
        <f t="shared" si="2"/>
        <v>#VALUE!</v>
      </c>
      <c r="N32" t="str">
        <f t="shared" si="3"/>
        <v/>
      </c>
    </row>
    <row r="33" spans="2:14">
      <c r="B33" s="85">
        <v>21</v>
      </c>
      <c r="C33" s="133"/>
      <c r="D33" s="134"/>
      <c r="E33" s="134"/>
      <c r="F33" s="37" t="str">
        <f t="shared" si="0"/>
        <v/>
      </c>
      <c r="G33" s="37" t="str">
        <f t="shared" si="1"/>
        <v/>
      </c>
      <c r="H33" s="58" t="str">
        <f t="shared" si="4"/>
        <v/>
      </c>
      <c r="I33" s="137" t="str">
        <f t="shared" si="5"/>
        <v/>
      </c>
      <c r="K33" t="s">
        <v>49</v>
      </c>
      <c r="M33" t="e">
        <f t="shared" si="2"/>
        <v>#VALUE!</v>
      </c>
      <c r="N33" t="str">
        <f t="shared" si="3"/>
        <v/>
      </c>
    </row>
    <row r="34" spans="2:14">
      <c r="B34" s="85">
        <v>22</v>
      </c>
      <c r="C34" s="133"/>
      <c r="D34" s="134"/>
      <c r="E34" s="134"/>
      <c r="F34" s="37" t="str">
        <f t="shared" si="0"/>
        <v/>
      </c>
      <c r="G34" s="37" t="str">
        <f t="shared" si="1"/>
        <v/>
      </c>
      <c r="H34" s="58" t="str">
        <f t="shared" si="4"/>
        <v/>
      </c>
      <c r="I34" s="137" t="str">
        <f t="shared" si="5"/>
        <v/>
      </c>
      <c r="K34" t="s">
        <v>49</v>
      </c>
      <c r="M34" t="e">
        <f t="shared" si="2"/>
        <v>#VALUE!</v>
      </c>
      <c r="N34" t="str">
        <f t="shared" si="3"/>
        <v/>
      </c>
    </row>
    <row r="35" spans="2:14">
      <c r="B35" s="85">
        <v>23</v>
      </c>
      <c r="C35" s="133"/>
      <c r="D35" s="134"/>
      <c r="E35" s="134"/>
      <c r="F35" s="37" t="str">
        <f t="shared" si="0"/>
        <v/>
      </c>
      <c r="G35" s="37" t="str">
        <f t="shared" si="1"/>
        <v/>
      </c>
      <c r="H35" s="58" t="str">
        <f t="shared" si="4"/>
        <v/>
      </c>
      <c r="I35" s="137" t="str">
        <f t="shared" si="5"/>
        <v/>
      </c>
      <c r="K35" t="s">
        <v>49</v>
      </c>
      <c r="M35" t="e">
        <f t="shared" si="2"/>
        <v>#VALUE!</v>
      </c>
      <c r="N35" t="str">
        <f t="shared" si="3"/>
        <v/>
      </c>
    </row>
    <row r="36" spans="2:14">
      <c r="B36" s="85">
        <v>24</v>
      </c>
      <c r="C36" s="133"/>
      <c r="D36" s="134"/>
      <c r="E36" s="134"/>
      <c r="F36" s="37" t="str">
        <f t="shared" si="0"/>
        <v/>
      </c>
      <c r="G36" s="37" t="str">
        <f t="shared" si="1"/>
        <v/>
      </c>
      <c r="H36" s="58" t="str">
        <f t="shared" si="4"/>
        <v/>
      </c>
      <c r="I36" s="137" t="str">
        <f t="shared" si="5"/>
        <v/>
      </c>
      <c r="K36" t="s">
        <v>49</v>
      </c>
      <c r="M36" t="e">
        <f t="shared" si="2"/>
        <v>#VALUE!</v>
      </c>
      <c r="N36" t="str">
        <f t="shared" si="3"/>
        <v/>
      </c>
    </row>
    <row r="37" spans="2:14" ht="13.5" thickBot="1">
      <c r="B37" s="86">
        <v>25</v>
      </c>
      <c r="C37" s="131"/>
      <c r="D37" s="132"/>
      <c r="E37" s="132"/>
      <c r="F37" s="45" t="str">
        <f t="shared" si="0"/>
        <v/>
      </c>
      <c r="G37" s="45" t="str">
        <f t="shared" si="1"/>
        <v/>
      </c>
      <c r="H37" s="59" t="str">
        <f t="shared" si="4"/>
        <v/>
      </c>
      <c r="I37" s="13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7" operator="containsText" text="NG">
      <formula>NOT(ISERROR(SEARCH("NG",D5)))</formula>
    </cfRule>
  </conditionalFormatting>
  <conditionalFormatting sqref="D6">
    <cfRule type="expression" dxfId="4" priority="9">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37" sqref="E37"/>
    </sheetView>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182</v>
      </c>
      <c r="O2" t="s">
        <v>184</v>
      </c>
    </row>
    <row r="3" spans="2:18" ht="13.5" thickBot="1">
      <c r="B3" s="130" t="s">
        <v>34</v>
      </c>
      <c r="C3" s="93" t="s">
        <v>172</v>
      </c>
      <c r="D3" s="93" t="s">
        <v>178</v>
      </c>
      <c r="E3" s="94" t="s">
        <v>179</v>
      </c>
      <c r="F3" s="172" t="s">
        <v>174</v>
      </c>
      <c r="G3" s="169" t="s">
        <v>187</v>
      </c>
      <c r="H3" s="36"/>
      <c r="I3" s="36"/>
      <c r="J3" s="36"/>
      <c r="K3" s="36"/>
      <c r="L3" s="36"/>
      <c r="M3" s="36"/>
      <c r="O3" s="130" t="s">
        <v>34</v>
      </c>
      <c r="P3" s="168" t="s">
        <v>168</v>
      </c>
      <c r="Q3" s="168" t="s">
        <v>181</v>
      </c>
      <c r="R3" s="169" t="s">
        <v>174</v>
      </c>
    </row>
    <row r="4" spans="2:18" ht="13.5" hidden="1" thickTop="1">
      <c r="B4" s="160">
        <v>0</v>
      </c>
      <c r="C4" s="161" t="s">
        <v>158</v>
      </c>
      <c r="D4" s="161"/>
      <c r="E4" s="162"/>
      <c r="F4" s="173"/>
      <c r="G4" s="174"/>
      <c r="H4" s="36"/>
      <c r="I4" s="36"/>
      <c r="J4" s="36"/>
      <c r="K4" s="36"/>
      <c r="L4" s="36"/>
      <c r="M4" s="36"/>
      <c r="O4" s="170">
        <v>0</v>
      </c>
      <c r="P4" s="167" t="s">
        <v>158</v>
      </c>
      <c r="Q4" s="167" t="s">
        <v>158</v>
      </c>
      <c r="R4" s="127"/>
    </row>
    <row r="5" spans="2:18" ht="13.5" thickTop="1">
      <c r="B5" s="163">
        <v>1</v>
      </c>
      <c r="C5" s="134"/>
      <c r="D5" s="22"/>
      <c r="E5" s="58" t="str">
        <f>IF($C5&lt;&gt;"","ALERT_" &amp; D5 &amp; "_ID_"&amp;UPPER(Matrix!$D$6) &amp; "_" &amp; $C5,"")</f>
        <v/>
      </c>
      <c r="F5" s="102"/>
      <c r="G5" s="58" t="str">
        <f>IF(E5&lt;&gt;"",LEN(E5),"")</f>
        <v/>
      </c>
      <c r="O5" s="163">
        <v>1</v>
      </c>
      <c r="P5" s="134"/>
      <c r="Q5" s="134"/>
      <c r="R5" s="103"/>
    </row>
    <row r="6" spans="2:18">
      <c r="B6" s="163">
        <v>2</v>
      </c>
      <c r="C6" s="134"/>
      <c r="D6" s="22"/>
      <c r="E6" s="58" t="str">
        <f>IF($C6&lt;&gt;"","ALERT_" &amp; D6 &amp; "_ID_"&amp;UPPER(Matrix!$D$6) &amp; "_" &amp; $C6,"")</f>
        <v/>
      </c>
      <c r="F6" s="102"/>
      <c r="G6" s="58" t="str">
        <f t="shared" ref="G6:G29" si="0">IF(E6&lt;&gt;"",LEN(E6),"")</f>
        <v/>
      </c>
      <c r="O6" s="163">
        <v>2</v>
      </c>
      <c r="P6" s="134"/>
      <c r="Q6" s="134"/>
      <c r="R6" s="103"/>
    </row>
    <row r="7" spans="2:18">
      <c r="B7" s="163">
        <v>3</v>
      </c>
      <c r="C7" s="134"/>
      <c r="D7" s="22"/>
      <c r="E7" s="58" t="str">
        <f>IF($C7&lt;&gt;"","ALERT_" &amp; D7 &amp; "_ID_"&amp;UPPER(Matrix!$D$6) &amp; "_" &amp; $C7,"")</f>
        <v/>
      </c>
      <c r="F7" s="102"/>
      <c r="G7" s="58" t="str">
        <f t="shared" si="0"/>
        <v/>
      </c>
      <c r="O7" s="163">
        <v>3</v>
      </c>
      <c r="P7" s="134"/>
      <c r="Q7" s="134"/>
      <c r="R7" s="103"/>
    </row>
    <row r="8" spans="2:18">
      <c r="B8" s="163">
        <v>4</v>
      </c>
      <c r="C8" s="134"/>
      <c r="D8" s="22"/>
      <c r="E8" s="58" t="str">
        <f>IF($C8&lt;&gt;"","ALERT_" &amp; D8 &amp; "_ID_"&amp;UPPER(Matrix!$D$6) &amp; "_" &amp; $C8,"")</f>
        <v/>
      </c>
      <c r="F8" s="102"/>
      <c r="G8" s="58" t="str">
        <f t="shared" si="0"/>
        <v/>
      </c>
      <c r="O8" s="163">
        <v>4</v>
      </c>
      <c r="P8" s="134"/>
      <c r="Q8" s="134"/>
      <c r="R8" s="103"/>
    </row>
    <row r="9" spans="2:18">
      <c r="B9" s="163">
        <v>5</v>
      </c>
      <c r="C9" s="134"/>
      <c r="D9" s="22"/>
      <c r="E9" s="58" t="str">
        <f>IF($C9&lt;&gt;"","ALERT_" &amp; D9 &amp; "_ID_"&amp;UPPER(Matrix!$D$6) &amp; "_" &amp; $C9,"")</f>
        <v/>
      </c>
      <c r="F9" s="102"/>
      <c r="G9" s="58" t="str">
        <f t="shared" si="0"/>
        <v/>
      </c>
      <c r="O9" s="163">
        <v>5</v>
      </c>
      <c r="P9" s="134"/>
      <c r="Q9" s="134"/>
      <c r="R9" s="103"/>
    </row>
    <row r="10" spans="2:18">
      <c r="B10" s="163">
        <v>6</v>
      </c>
      <c r="C10" s="134"/>
      <c r="D10" s="22"/>
      <c r="E10" s="58" t="str">
        <f>IF($C10&lt;&gt;"","ALERT_" &amp; D10 &amp; "_ID_"&amp;UPPER(Matrix!$D$6) &amp; "_" &amp; $C10,"")</f>
        <v/>
      </c>
      <c r="F10" s="102"/>
      <c r="G10" s="58" t="str">
        <f t="shared" si="0"/>
        <v/>
      </c>
      <c r="O10" s="163">
        <v>6</v>
      </c>
      <c r="P10" s="134"/>
      <c r="Q10" s="134"/>
      <c r="R10" s="103"/>
    </row>
    <row r="11" spans="2:18">
      <c r="B11" s="163">
        <v>7</v>
      </c>
      <c r="C11" s="134"/>
      <c r="D11" s="22"/>
      <c r="E11" s="58" t="str">
        <f>IF($C11&lt;&gt;"","ALERT_" &amp; D11 &amp; "_ID_"&amp;UPPER(Matrix!$D$6) &amp; "_" &amp; $C11,"")</f>
        <v/>
      </c>
      <c r="F11" s="102"/>
      <c r="G11" s="58" t="str">
        <f t="shared" si="0"/>
        <v/>
      </c>
      <c r="O11" s="163">
        <v>7</v>
      </c>
      <c r="P11" s="134"/>
      <c r="Q11" s="134"/>
      <c r="R11" s="103"/>
    </row>
    <row r="12" spans="2:18">
      <c r="B12" s="163">
        <v>8</v>
      </c>
      <c r="C12" s="134"/>
      <c r="D12" s="22"/>
      <c r="E12" s="58" t="str">
        <f>IF($C12&lt;&gt;"","ALERT_" &amp; D12 &amp; "_ID_"&amp;UPPER(Matrix!$D$6) &amp; "_" &amp; $C12,"")</f>
        <v/>
      </c>
      <c r="F12" s="102"/>
      <c r="G12" s="58" t="str">
        <f t="shared" si="0"/>
        <v/>
      </c>
      <c r="O12" s="163">
        <v>8</v>
      </c>
      <c r="P12" s="134"/>
      <c r="Q12" s="134"/>
      <c r="R12" s="103"/>
    </row>
    <row r="13" spans="2:18">
      <c r="B13" s="163">
        <v>9</v>
      </c>
      <c r="C13" s="134"/>
      <c r="D13" s="22"/>
      <c r="E13" s="58" t="str">
        <f>IF($C13&lt;&gt;"","ALERT_" &amp; D13 &amp; "_ID_"&amp;UPPER(Matrix!$D$6) &amp; "_" &amp; $C13,"")</f>
        <v/>
      </c>
      <c r="F13" s="102"/>
      <c r="G13" s="58" t="str">
        <f t="shared" si="0"/>
        <v/>
      </c>
      <c r="O13" s="163">
        <v>9</v>
      </c>
      <c r="P13" s="134"/>
      <c r="Q13" s="134"/>
      <c r="R13" s="103"/>
    </row>
    <row r="14" spans="2:18">
      <c r="B14" s="163">
        <v>10</v>
      </c>
      <c r="C14" s="134"/>
      <c r="D14" s="22"/>
      <c r="E14" s="58" t="str">
        <f>IF($C14&lt;&gt;"","ALERT_" &amp; D14 &amp; "_ID_"&amp;UPPER(Matrix!$D$6) &amp; "_" &amp; $C14,"")</f>
        <v/>
      </c>
      <c r="F14" s="102"/>
      <c r="G14" s="58" t="str">
        <f t="shared" si="0"/>
        <v/>
      </c>
      <c r="O14" s="163">
        <v>10</v>
      </c>
      <c r="P14" s="134"/>
      <c r="Q14" s="134"/>
      <c r="R14" s="103"/>
    </row>
    <row r="15" spans="2:18">
      <c r="B15" s="163">
        <v>11</v>
      </c>
      <c r="C15" s="134"/>
      <c r="D15" s="22"/>
      <c r="E15" s="58" t="str">
        <f>IF($C15&lt;&gt;"","ALERT_" &amp; D15 &amp; "_ID_"&amp;UPPER(Matrix!$D$6) &amp; "_" &amp; $C15,"")</f>
        <v/>
      </c>
      <c r="F15" s="102"/>
      <c r="G15" s="58" t="str">
        <f t="shared" si="0"/>
        <v/>
      </c>
      <c r="O15" s="163">
        <v>11</v>
      </c>
      <c r="P15" s="134"/>
      <c r="Q15" s="134"/>
      <c r="R15" s="103"/>
    </row>
    <row r="16" spans="2:18">
      <c r="B16" s="163">
        <v>12</v>
      </c>
      <c r="C16" s="134"/>
      <c r="D16" s="22"/>
      <c r="E16" s="58" t="str">
        <f>IF($C16&lt;&gt;"","ALERT_" &amp; D16 &amp; "_ID_"&amp;UPPER(Matrix!$D$6) &amp; "_" &amp; $C16,"")</f>
        <v/>
      </c>
      <c r="F16" s="102"/>
      <c r="G16" s="58" t="str">
        <f t="shared" si="0"/>
        <v/>
      </c>
      <c r="O16" s="163">
        <v>12</v>
      </c>
      <c r="P16" s="134"/>
      <c r="Q16" s="134"/>
      <c r="R16" s="103"/>
    </row>
    <row r="17" spans="2:18">
      <c r="B17" s="163">
        <v>13</v>
      </c>
      <c r="C17" s="134"/>
      <c r="D17" s="22"/>
      <c r="E17" s="58" t="str">
        <f>IF($C17&lt;&gt;"","ALERT_" &amp; D17 &amp; "_ID_"&amp;UPPER(Matrix!$D$6) &amp; "_" &amp; $C17,"")</f>
        <v/>
      </c>
      <c r="F17" s="102"/>
      <c r="G17" s="58" t="str">
        <f t="shared" si="0"/>
        <v/>
      </c>
      <c r="O17" s="163">
        <v>13</v>
      </c>
      <c r="P17" s="134"/>
      <c r="Q17" s="134"/>
      <c r="R17" s="103"/>
    </row>
    <row r="18" spans="2:18">
      <c r="B18" s="163">
        <v>14</v>
      </c>
      <c r="C18" s="134"/>
      <c r="D18" s="22"/>
      <c r="E18" s="58" t="str">
        <f>IF($C18&lt;&gt;"","ALERT_" &amp; D18 &amp; "_ID_"&amp;UPPER(Matrix!$D$6) &amp; "_" &amp; $C18,"")</f>
        <v/>
      </c>
      <c r="F18" s="102"/>
      <c r="G18" s="58" t="str">
        <f t="shared" si="0"/>
        <v/>
      </c>
      <c r="O18" s="163">
        <v>14</v>
      </c>
      <c r="P18" s="134"/>
      <c r="Q18" s="134"/>
      <c r="R18" s="103"/>
    </row>
    <row r="19" spans="2:18">
      <c r="B19" s="163">
        <v>15</v>
      </c>
      <c r="C19" s="134"/>
      <c r="D19" s="22"/>
      <c r="E19" s="58" t="str">
        <f>IF($C19&lt;&gt;"","ALERT_" &amp; D19 &amp; "_ID_"&amp;UPPER(Matrix!$D$6) &amp; "_" &amp; $C19,"")</f>
        <v/>
      </c>
      <c r="F19" s="102"/>
      <c r="G19" s="58" t="str">
        <f t="shared" si="0"/>
        <v/>
      </c>
      <c r="O19" s="163">
        <v>15</v>
      </c>
      <c r="P19" s="134"/>
      <c r="Q19" s="134"/>
      <c r="R19" s="103"/>
    </row>
    <row r="20" spans="2:18">
      <c r="B20" s="163">
        <v>16</v>
      </c>
      <c r="C20" s="134"/>
      <c r="D20" s="22"/>
      <c r="E20" s="58" t="str">
        <f>IF($C20&lt;&gt;"","ALERT_" &amp; D20 &amp; "_ID_"&amp;UPPER(Matrix!$D$6) &amp; "_" &amp; $C20,"")</f>
        <v/>
      </c>
      <c r="F20" s="102"/>
      <c r="G20" s="58" t="str">
        <f t="shared" si="0"/>
        <v/>
      </c>
      <c r="O20" s="163">
        <v>16</v>
      </c>
      <c r="P20" s="134"/>
      <c r="Q20" s="134"/>
      <c r="R20" s="103"/>
    </row>
    <row r="21" spans="2:18">
      <c r="B21" s="163">
        <v>17</v>
      </c>
      <c r="C21" s="134"/>
      <c r="D21" s="22"/>
      <c r="E21" s="58" t="str">
        <f>IF($C21&lt;&gt;"","ALERT_" &amp; D21 &amp; "_ID_"&amp;UPPER(Matrix!$D$6) &amp; "_" &amp; $C21,"")</f>
        <v/>
      </c>
      <c r="F21" s="102"/>
      <c r="G21" s="58" t="str">
        <f t="shared" si="0"/>
        <v/>
      </c>
      <c r="O21" s="163">
        <v>17</v>
      </c>
      <c r="P21" s="134"/>
      <c r="Q21" s="134"/>
      <c r="R21" s="103"/>
    </row>
    <row r="22" spans="2:18">
      <c r="B22" s="163">
        <v>18</v>
      </c>
      <c r="C22" s="134"/>
      <c r="D22" s="22"/>
      <c r="E22" s="58" t="str">
        <f>IF($C22&lt;&gt;"","ALERT_" &amp; D22 &amp; "_ID_"&amp;UPPER(Matrix!$D$6) &amp; "_" &amp; $C22,"")</f>
        <v/>
      </c>
      <c r="F22" s="102"/>
      <c r="G22" s="58" t="str">
        <f t="shared" si="0"/>
        <v/>
      </c>
      <c r="O22" s="163">
        <v>18</v>
      </c>
      <c r="P22" s="134"/>
      <c r="Q22" s="134"/>
      <c r="R22" s="103"/>
    </row>
    <row r="23" spans="2:18">
      <c r="B23" s="163">
        <v>19</v>
      </c>
      <c r="C23" s="134"/>
      <c r="D23" s="22"/>
      <c r="E23" s="58" t="str">
        <f>IF($C23&lt;&gt;"","ALERT_" &amp; D23 &amp; "_ID_"&amp;UPPER(Matrix!$D$6) &amp; "_" &amp; $C23,"")</f>
        <v/>
      </c>
      <c r="F23" s="102"/>
      <c r="G23" s="58" t="str">
        <f t="shared" si="0"/>
        <v/>
      </c>
      <c r="O23" s="163">
        <v>19</v>
      </c>
      <c r="P23" s="134"/>
      <c r="Q23" s="134"/>
      <c r="R23" s="103"/>
    </row>
    <row r="24" spans="2:18">
      <c r="B24" s="163">
        <v>20</v>
      </c>
      <c r="C24" s="134"/>
      <c r="D24" s="22"/>
      <c r="E24" s="58" t="str">
        <f>IF($C24&lt;&gt;"","ALERT_" &amp; D24 &amp; "_ID_"&amp;UPPER(Matrix!$D$6) &amp; "_" &amp; $C24,"")</f>
        <v/>
      </c>
      <c r="F24" s="102"/>
      <c r="G24" s="58" t="str">
        <f t="shared" si="0"/>
        <v/>
      </c>
      <c r="O24" s="163">
        <v>20</v>
      </c>
      <c r="P24" s="134"/>
      <c r="Q24" s="134"/>
      <c r="R24" s="103"/>
    </row>
    <row r="25" spans="2:18">
      <c r="B25" s="163">
        <v>21</v>
      </c>
      <c r="C25" s="134"/>
      <c r="D25" s="22"/>
      <c r="E25" s="58" t="str">
        <f>IF($C25&lt;&gt;"","ALERT_" &amp; D25 &amp; "_ID_"&amp;UPPER(Matrix!$D$6) &amp; "_" &amp; $C25,"")</f>
        <v/>
      </c>
      <c r="F25" s="102"/>
      <c r="G25" s="58" t="str">
        <f t="shared" si="0"/>
        <v/>
      </c>
      <c r="O25" s="163">
        <v>21</v>
      </c>
      <c r="P25" s="134"/>
      <c r="Q25" s="134"/>
      <c r="R25" s="103"/>
    </row>
    <row r="26" spans="2:18">
      <c r="B26" s="163">
        <v>22</v>
      </c>
      <c r="C26" s="134"/>
      <c r="D26" s="22"/>
      <c r="E26" s="58" t="str">
        <f>IF($C26&lt;&gt;"","ALERT_" &amp; D26 &amp; "_ID_"&amp;UPPER(Matrix!$D$6) &amp; "_" &amp; $C26,"")</f>
        <v/>
      </c>
      <c r="F26" s="102"/>
      <c r="G26" s="58" t="str">
        <f t="shared" si="0"/>
        <v/>
      </c>
      <c r="O26" s="163">
        <v>22</v>
      </c>
      <c r="P26" s="134"/>
      <c r="Q26" s="134"/>
      <c r="R26" s="103"/>
    </row>
    <row r="27" spans="2:18">
      <c r="B27" s="163">
        <v>23</v>
      </c>
      <c r="C27" s="134"/>
      <c r="D27" s="22"/>
      <c r="E27" s="58" t="str">
        <f>IF($C27&lt;&gt;"","ALERT_" &amp; D27 &amp; "_ID_"&amp;UPPER(Matrix!$D$6) &amp; "_" &amp; $C27,"")</f>
        <v/>
      </c>
      <c r="F27" s="102"/>
      <c r="G27" s="58" t="str">
        <f t="shared" si="0"/>
        <v/>
      </c>
      <c r="O27" s="163">
        <v>23</v>
      </c>
      <c r="P27" s="134"/>
      <c r="Q27" s="134"/>
      <c r="R27" s="103"/>
    </row>
    <row r="28" spans="2:18">
      <c r="B28" s="163">
        <v>24</v>
      </c>
      <c r="C28" s="134"/>
      <c r="D28" s="22"/>
      <c r="E28" s="58" t="str">
        <f>IF($C28&lt;&gt;"","ALERT_" &amp; D28 &amp; "_ID_"&amp;UPPER(Matrix!$D$6) &amp; "_" &amp; $C28,"")</f>
        <v/>
      </c>
      <c r="F28" s="102"/>
      <c r="G28" s="58" t="str">
        <f t="shared" si="0"/>
        <v/>
      </c>
      <c r="O28" s="163">
        <v>24</v>
      </c>
      <c r="P28" s="134"/>
      <c r="Q28" s="134"/>
      <c r="R28" s="103"/>
    </row>
    <row r="29" spans="2:18" ht="13.5" thickBot="1">
      <c r="B29" s="164">
        <v>25</v>
      </c>
      <c r="C29" s="132"/>
      <c r="D29" s="44"/>
      <c r="E29" s="59" t="str">
        <f>IF($C29&lt;&gt;"","ALERT_" &amp; D29 &amp; "_ID_"&amp;UPPER(Matrix!$D$6) &amp; "_" &amp; $C29,"")</f>
        <v/>
      </c>
      <c r="F29" s="104"/>
      <c r="G29" s="59" t="str">
        <f t="shared" si="0"/>
        <v/>
      </c>
      <c r="O29" s="164">
        <v>25</v>
      </c>
      <c r="P29" s="132"/>
      <c r="Q29" s="132"/>
      <c r="R29" s="105"/>
    </row>
    <row r="32" spans="2:18" ht="13.5" thickBot="1">
      <c r="B32" t="s">
        <v>183</v>
      </c>
      <c r="O32" t="s">
        <v>180</v>
      </c>
    </row>
    <row r="33" spans="2:18" ht="13.5" thickBot="1">
      <c r="B33" s="130" t="s">
        <v>34</v>
      </c>
      <c r="C33" s="93" t="s">
        <v>172</v>
      </c>
      <c r="D33" s="93" t="s">
        <v>177</v>
      </c>
      <c r="E33" s="94" t="s">
        <v>175</v>
      </c>
      <c r="F33" s="169" t="s">
        <v>176</v>
      </c>
      <c r="G33" s="169" t="s">
        <v>187</v>
      </c>
      <c r="O33" s="130" t="s">
        <v>34</v>
      </c>
      <c r="P33" s="168" t="s">
        <v>169</v>
      </c>
      <c r="Q33" s="168" t="s">
        <v>185</v>
      </c>
      <c r="R33" s="169" t="s">
        <v>173</v>
      </c>
    </row>
    <row r="34" spans="2:18" ht="13.5" hidden="1" thickTop="1">
      <c r="B34" s="160">
        <v>0</v>
      </c>
      <c r="C34" s="161" t="s">
        <v>158</v>
      </c>
      <c r="D34" s="161"/>
      <c r="E34" s="162"/>
      <c r="F34" s="171" t="s">
        <v>158</v>
      </c>
      <c r="G34" s="174"/>
      <c r="O34" s="170">
        <v>0</v>
      </c>
      <c r="P34" s="167" t="s">
        <v>158</v>
      </c>
      <c r="Q34" s="167" t="s">
        <v>158</v>
      </c>
      <c r="R34" s="171" t="s">
        <v>158</v>
      </c>
    </row>
    <row r="35" spans="2:18" ht="13.5" thickTop="1">
      <c r="B35" s="163">
        <v>1</v>
      </c>
      <c r="C35" s="134"/>
      <c r="D35" s="22"/>
      <c r="E35" s="58" t="str">
        <f>IF($C35&lt;&gt;"","ALERT_" &amp; UPPER(Matrix!$D$6) &amp; "_" &amp; $C35,"")</f>
        <v/>
      </c>
      <c r="F35" s="165"/>
      <c r="G35" s="58" t="str">
        <f>IF(E35&lt;&gt;"",LEN(E35),"")</f>
        <v/>
      </c>
      <c r="O35" s="163">
        <v>1</v>
      </c>
      <c r="P35" s="134"/>
      <c r="Q35" s="134"/>
      <c r="R35" s="165"/>
    </row>
    <row r="36" spans="2:18">
      <c r="B36" s="163">
        <v>2</v>
      </c>
      <c r="C36" s="134"/>
      <c r="D36" s="22"/>
      <c r="E36" s="58" t="str">
        <f>IF($C36&lt;&gt;"","ALERT_" &amp; UPPER(Matrix!$D$6) &amp; "_" &amp; $C36,"")</f>
        <v/>
      </c>
      <c r="F36" s="165"/>
      <c r="G36" s="58" t="str">
        <f>IF(E36&lt;&gt;"",LEN(E36),"")</f>
        <v/>
      </c>
      <c r="O36" s="163">
        <v>2</v>
      </c>
      <c r="P36" s="134"/>
      <c r="Q36" s="134"/>
      <c r="R36" s="165"/>
    </row>
    <row r="37" spans="2:18">
      <c r="B37" s="163">
        <v>3</v>
      </c>
      <c r="C37" s="134"/>
      <c r="D37" s="22"/>
      <c r="E37" s="58" t="str">
        <f>IF($C37&lt;&gt;"","ALERT_" &amp; UPPER(Matrix!$D$6) &amp; "_" &amp; $C37,"")</f>
        <v/>
      </c>
      <c r="F37" s="165"/>
      <c r="G37" s="58" t="str">
        <f>IF(E37&lt;&gt;"",LEN(E37),"")</f>
        <v/>
      </c>
      <c r="O37" s="163">
        <v>3</v>
      </c>
      <c r="P37" s="134"/>
      <c r="Q37" s="134"/>
      <c r="R37" s="165"/>
    </row>
    <row r="38" spans="2:18">
      <c r="B38" s="163">
        <v>4</v>
      </c>
      <c r="C38" s="134"/>
      <c r="D38" s="22"/>
      <c r="E38" s="58" t="str">
        <f>IF($C38&lt;&gt;"","ALERT_" &amp; UPPER(Matrix!$D$6) &amp; "_" &amp; $C38,"")</f>
        <v/>
      </c>
      <c r="F38" s="165"/>
      <c r="G38" s="58" t="str">
        <f t="shared" ref="G38:G59" si="1">IF(E38&lt;&gt;"",LEN(E38),"")</f>
        <v/>
      </c>
      <c r="O38" s="163">
        <v>4</v>
      </c>
      <c r="P38" s="134"/>
      <c r="Q38" s="134"/>
      <c r="R38" s="165"/>
    </row>
    <row r="39" spans="2:18">
      <c r="B39" s="163">
        <v>5</v>
      </c>
      <c r="C39" s="134"/>
      <c r="D39" s="22"/>
      <c r="E39" s="58" t="str">
        <f>IF($C39&lt;&gt;"","ALERT_" &amp; UPPER(Matrix!$D$6) &amp; "_" &amp; $C39,"")</f>
        <v/>
      </c>
      <c r="F39" s="165"/>
      <c r="G39" s="58" t="str">
        <f t="shared" si="1"/>
        <v/>
      </c>
      <c r="O39" s="163">
        <v>5</v>
      </c>
      <c r="P39" s="134"/>
      <c r="Q39" s="134"/>
      <c r="R39" s="165"/>
    </row>
    <row r="40" spans="2:18">
      <c r="B40" s="163">
        <v>6</v>
      </c>
      <c r="C40" s="134"/>
      <c r="D40" s="22"/>
      <c r="E40" s="58" t="str">
        <f>IF($C40&lt;&gt;"","ALERT_" &amp; UPPER(Matrix!$D$6) &amp; "_" &amp; $C40,"")</f>
        <v/>
      </c>
      <c r="F40" s="165"/>
      <c r="G40" s="58" t="str">
        <f t="shared" si="1"/>
        <v/>
      </c>
      <c r="O40" s="163">
        <v>6</v>
      </c>
      <c r="P40" s="134"/>
      <c r="Q40" s="134"/>
      <c r="R40" s="165"/>
    </row>
    <row r="41" spans="2:18">
      <c r="B41" s="163">
        <v>7</v>
      </c>
      <c r="C41" s="134"/>
      <c r="D41" s="22"/>
      <c r="E41" s="58" t="str">
        <f>IF($C41&lt;&gt;"","ALERT_" &amp; UPPER(Matrix!$D$6) &amp; "_" &amp; $C41,"")</f>
        <v/>
      </c>
      <c r="F41" s="165"/>
      <c r="G41" s="58" t="str">
        <f t="shared" si="1"/>
        <v/>
      </c>
      <c r="O41" s="163">
        <v>7</v>
      </c>
      <c r="P41" s="134"/>
      <c r="Q41" s="134"/>
      <c r="R41" s="165"/>
    </row>
    <row r="42" spans="2:18">
      <c r="B42" s="163">
        <v>8</v>
      </c>
      <c r="C42" s="134"/>
      <c r="D42" s="22"/>
      <c r="E42" s="58" t="str">
        <f>IF($C42&lt;&gt;"","ALERT_" &amp; UPPER(Matrix!$D$6) &amp; "_" &amp; $C42,"")</f>
        <v/>
      </c>
      <c r="F42" s="165"/>
      <c r="G42" s="58" t="str">
        <f t="shared" si="1"/>
        <v/>
      </c>
      <c r="O42" s="163">
        <v>8</v>
      </c>
      <c r="P42" s="134"/>
      <c r="Q42" s="134"/>
      <c r="R42" s="165"/>
    </row>
    <row r="43" spans="2:18">
      <c r="B43" s="163">
        <v>9</v>
      </c>
      <c r="C43" s="134"/>
      <c r="D43" s="22"/>
      <c r="E43" s="58" t="str">
        <f>IF($C43&lt;&gt;"","ALERT_" &amp; UPPER(Matrix!$D$6) &amp; "_" &amp; $C43,"")</f>
        <v/>
      </c>
      <c r="F43" s="165"/>
      <c r="G43" s="58" t="str">
        <f t="shared" si="1"/>
        <v/>
      </c>
      <c r="O43" s="163">
        <v>9</v>
      </c>
      <c r="P43" s="134"/>
      <c r="Q43" s="134"/>
      <c r="R43" s="165"/>
    </row>
    <row r="44" spans="2:18">
      <c r="B44" s="163">
        <v>10</v>
      </c>
      <c r="C44" s="134"/>
      <c r="D44" s="22"/>
      <c r="E44" s="58" t="str">
        <f>IF($C44&lt;&gt;"","ALERT_" &amp; UPPER(Matrix!$D$6) &amp; "_" &amp; $C44,"")</f>
        <v/>
      </c>
      <c r="F44" s="165"/>
      <c r="G44" s="58" t="str">
        <f t="shared" si="1"/>
        <v/>
      </c>
      <c r="O44" s="163">
        <v>10</v>
      </c>
      <c r="P44" s="134"/>
      <c r="Q44" s="134"/>
      <c r="R44" s="165"/>
    </row>
    <row r="45" spans="2:18">
      <c r="B45" s="163">
        <v>11</v>
      </c>
      <c r="C45" s="134"/>
      <c r="D45" s="22"/>
      <c r="E45" s="58" t="str">
        <f>IF($C45&lt;&gt;"","ALERT_" &amp; UPPER(Matrix!$D$6) &amp; "_" &amp; $C45,"")</f>
        <v/>
      </c>
      <c r="F45" s="165"/>
      <c r="G45" s="58" t="str">
        <f t="shared" si="1"/>
        <v/>
      </c>
      <c r="O45" s="163">
        <v>11</v>
      </c>
      <c r="P45" s="134"/>
      <c r="Q45" s="134"/>
      <c r="R45" s="165"/>
    </row>
    <row r="46" spans="2:18">
      <c r="B46" s="163">
        <v>12</v>
      </c>
      <c r="C46" s="134"/>
      <c r="D46" s="22"/>
      <c r="E46" s="58" t="str">
        <f>IF($C46&lt;&gt;"","ALERT_" &amp; UPPER(Matrix!$D$6) &amp; "_" &amp; $C46,"")</f>
        <v/>
      </c>
      <c r="F46" s="165"/>
      <c r="G46" s="58" t="str">
        <f t="shared" si="1"/>
        <v/>
      </c>
      <c r="O46" s="163">
        <v>12</v>
      </c>
      <c r="P46" s="134"/>
      <c r="Q46" s="134"/>
      <c r="R46" s="165"/>
    </row>
    <row r="47" spans="2:18">
      <c r="B47" s="163">
        <v>13</v>
      </c>
      <c r="C47" s="134"/>
      <c r="D47" s="22"/>
      <c r="E47" s="58" t="str">
        <f>IF($C47&lt;&gt;"","ALERT_" &amp; UPPER(Matrix!$D$6) &amp; "_" &amp; $C47,"")</f>
        <v/>
      </c>
      <c r="F47" s="165"/>
      <c r="G47" s="58" t="str">
        <f t="shared" si="1"/>
        <v/>
      </c>
      <c r="O47" s="163">
        <v>13</v>
      </c>
      <c r="P47" s="134"/>
      <c r="Q47" s="134"/>
      <c r="R47" s="165"/>
    </row>
    <row r="48" spans="2:18">
      <c r="B48" s="163">
        <v>14</v>
      </c>
      <c r="C48" s="134"/>
      <c r="D48" s="22"/>
      <c r="E48" s="58" t="str">
        <f>IF($C48&lt;&gt;"","ALERT_" &amp; UPPER(Matrix!$D$6) &amp; "_" &amp; $C48,"")</f>
        <v/>
      </c>
      <c r="F48" s="165"/>
      <c r="G48" s="58" t="str">
        <f t="shared" si="1"/>
        <v/>
      </c>
      <c r="O48" s="163">
        <v>14</v>
      </c>
      <c r="P48" s="134"/>
      <c r="Q48" s="134"/>
      <c r="R48" s="165"/>
    </row>
    <row r="49" spans="2:18">
      <c r="B49" s="163">
        <v>15</v>
      </c>
      <c r="C49" s="134"/>
      <c r="D49" s="22"/>
      <c r="E49" s="58" t="str">
        <f>IF($C49&lt;&gt;"","ALERT_" &amp; UPPER(Matrix!$D$6) &amp; "_" &amp; $C49,"")</f>
        <v/>
      </c>
      <c r="F49" s="165"/>
      <c r="G49" s="58" t="str">
        <f t="shared" si="1"/>
        <v/>
      </c>
      <c r="O49" s="163">
        <v>15</v>
      </c>
      <c r="P49" s="134"/>
      <c r="Q49" s="134"/>
      <c r="R49" s="165"/>
    </row>
    <row r="50" spans="2:18">
      <c r="B50" s="163">
        <v>16</v>
      </c>
      <c r="C50" s="134"/>
      <c r="D50" s="22"/>
      <c r="E50" s="58" t="str">
        <f>IF($C50&lt;&gt;"","ALERT_" &amp; UPPER(Matrix!$D$6) &amp; "_" &amp; $C50,"")</f>
        <v/>
      </c>
      <c r="F50" s="165"/>
      <c r="G50" s="58" t="str">
        <f t="shared" si="1"/>
        <v/>
      </c>
      <c r="O50" s="163">
        <v>16</v>
      </c>
      <c r="P50" s="134"/>
      <c r="Q50" s="134"/>
      <c r="R50" s="165"/>
    </row>
    <row r="51" spans="2:18">
      <c r="B51" s="163">
        <v>17</v>
      </c>
      <c r="C51" s="134"/>
      <c r="D51" s="22"/>
      <c r="E51" s="58" t="str">
        <f>IF($C51&lt;&gt;"","ALERT_" &amp; UPPER(Matrix!$D$6) &amp; "_" &amp; $C51,"")</f>
        <v/>
      </c>
      <c r="F51" s="165"/>
      <c r="G51" s="58" t="str">
        <f t="shared" si="1"/>
        <v/>
      </c>
      <c r="O51" s="163">
        <v>17</v>
      </c>
      <c r="P51" s="134"/>
      <c r="Q51" s="134"/>
      <c r="R51" s="165"/>
    </row>
    <row r="52" spans="2:18">
      <c r="B52" s="163">
        <v>18</v>
      </c>
      <c r="C52" s="134"/>
      <c r="D52" s="22"/>
      <c r="E52" s="58" t="str">
        <f>IF($C52&lt;&gt;"","ALERT_" &amp; UPPER(Matrix!$D$6) &amp; "_" &amp; $C52,"")</f>
        <v/>
      </c>
      <c r="F52" s="165"/>
      <c r="G52" s="58" t="str">
        <f t="shared" si="1"/>
        <v/>
      </c>
      <c r="O52" s="163">
        <v>18</v>
      </c>
      <c r="P52" s="134"/>
      <c r="Q52" s="134"/>
      <c r="R52" s="165"/>
    </row>
    <row r="53" spans="2:18">
      <c r="B53" s="163">
        <v>19</v>
      </c>
      <c r="C53" s="134"/>
      <c r="D53" s="22"/>
      <c r="E53" s="58" t="str">
        <f>IF($C53&lt;&gt;"","ALERT_" &amp; UPPER(Matrix!$D$6) &amp; "_" &amp; $C53,"")</f>
        <v/>
      </c>
      <c r="F53" s="165"/>
      <c r="G53" s="58" t="str">
        <f t="shared" si="1"/>
        <v/>
      </c>
      <c r="O53" s="163">
        <v>19</v>
      </c>
      <c r="P53" s="134"/>
      <c r="Q53" s="134"/>
      <c r="R53" s="165"/>
    </row>
    <row r="54" spans="2:18">
      <c r="B54" s="163">
        <v>20</v>
      </c>
      <c r="C54" s="134"/>
      <c r="D54" s="22"/>
      <c r="E54" s="58" t="str">
        <f>IF($C54&lt;&gt;"","ALERT_" &amp; UPPER(Matrix!$D$6) &amp; "_" &amp; $C54,"")</f>
        <v/>
      </c>
      <c r="F54" s="165"/>
      <c r="G54" s="58" t="str">
        <f t="shared" si="1"/>
        <v/>
      </c>
      <c r="O54" s="163">
        <v>20</v>
      </c>
      <c r="P54" s="134"/>
      <c r="Q54" s="134"/>
      <c r="R54" s="165"/>
    </row>
    <row r="55" spans="2:18">
      <c r="B55" s="163">
        <v>21</v>
      </c>
      <c r="C55" s="134"/>
      <c r="D55" s="22"/>
      <c r="E55" s="58" t="str">
        <f>IF($C55&lt;&gt;"","ALERT_" &amp; UPPER(Matrix!$D$6) &amp; "_" &amp; $C55,"")</f>
        <v/>
      </c>
      <c r="F55" s="165"/>
      <c r="G55" s="58" t="str">
        <f t="shared" si="1"/>
        <v/>
      </c>
      <c r="O55" s="163">
        <v>21</v>
      </c>
      <c r="P55" s="134"/>
      <c r="Q55" s="134"/>
      <c r="R55" s="165"/>
    </row>
    <row r="56" spans="2:18">
      <c r="B56" s="163">
        <v>22</v>
      </c>
      <c r="C56" s="134"/>
      <c r="D56" s="22"/>
      <c r="E56" s="58" t="str">
        <f>IF($C56&lt;&gt;"","ALERT_" &amp; UPPER(Matrix!$D$6) &amp; "_" &amp; $C56,"")</f>
        <v/>
      </c>
      <c r="F56" s="165"/>
      <c r="G56" s="58" t="str">
        <f t="shared" si="1"/>
        <v/>
      </c>
      <c r="O56" s="163">
        <v>22</v>
      </c>
      <c r="P56" s="134"/>
      <c r="Q56" s="134"/>
      <c r="R56" s="165"/>
    </row>
    <row r="57" spans="2:18">
      <c r="B57" s="163">
        <v>23</v>
      </c>
      <c r="C57" s="134"/>
      <c r="D57" s="22"/>
      <c r="E57" s="58" t="str">
        <f>IF($C57&lt;&gt;"","ALERT_" &amp; UPPER(Matrix!$D$6) &amp; "_" &amp; $C57,"")</f>
        <v/>
      </c>
      <c r="F57" s="165"/>
      <c r="G57" s="58" t="str">
        <f t="shared" si="1"/>
        <v/>
      </c>
      <c r="O57" s="163">
        <v>23</v>
      </c>
      <c r="P57" s="134"/>
      <c r="Q57" s="134"/>
      <c r="R57" s="165"/>
    </row>
    <row r="58" spans="2:18">
      <c r="B58" s="163">
        <v>24</v>
      </c>
      <c r="C58" s="134"/>
      <c r="D58" s="22"/>
      <c r="E58" s="58" t="str">
        <f>IF($C58&lt;&gt;"","ALERT_" &amp; UPPER(Matrix!$D$6) &amp; "_" &amp; $C58,"")</f>
        <v/>
      </c>
      <c r="F58" s="165"/>
      <c r="G58" s="58" t="str">
        <f t="shared" si="1"/>
        <v/>
      </c>
      <c r="O58" s="163">
        <v>24</v>
      </c>
      <c r="P58" s="134"/>
      <c r="Q58" s="134"/>
      <c r="R58" s="165"/>
    </row>
    <row r="59" spans="2:18" ht="13.5" thickBot="1">
      <c r="B59" s="164">
        <v>25</v>
      </c>
      <c r="C59" s="132"/>
      <c r="D59" s="44"/>
      <c r="E59" s="59" t="str">
        <f>IF($C59&lt;&gt;"","ALERT_" &amp; UPPER(Matrix!$D$6) &amp; "_" &amp; $C59,"")</f>
        <v/>
      </c>
      <c r="F59" s="166"/>
      <c r="G59" s="59" t="str">
        <f t="shared" si="1"/>
        <v/>
      </c>
      <c r="O59" s="164">
        <v>25</v>
      </c>
      <c r="P59" s="132"/>
      <c r="Q59" s="132"/>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79" t="s">
        <v>101</v>
      </c>
    </row>
    <row r="2" spans="2:21" ht="13.5" thickBot="1">
      <c r="B2" s="87" t="s">
        <v>58</v>
      </c>
      <c r="C2" s="88" t="s">
        <v>119</v>
      </c>
      <c r="D2" s="89" t="s">
        <v>52</v>
      </c>
      <c r="E2" s="90" t="s">
        <v>53</v>
      </c>
      <c r="F2" s="91" t="s">
        <v>23</v>
      </c>
      <c r="G2" s="90" t="s">
        <v>54</v>
      </c>
      <c r="H2" s="91" t="s">
        <v>25</v>
      </c>
      <c r="I2" s="90" t="s">
        <v>55</v>
      </c>
      <c r="J2" s="91" t="s">
        <v>155</v>
      </c>
      <c r="K2" s="90" t="s">
        <v>56</v>
      </c>
      <c r="L2" s="91" t="s">
        <v>26</v>
      </c>
      <c r="M2" s="88" t="s">
        <v>57</v>
      </c>
      <c r="N2" s="91" t="s">
        <v>114</v>
      </c>
      <c r="O2" s="108" t="s">
        <v>80</v>
      </c>
    </row>
    <row r="3" spans="2:21" ht="14" hidden="1" thickTop="1" thickBot="1">
      <c r="B3" s="23"/>
      <c r="C3" s="41" t="s">
        <v>105</v>
      </c>
      <c r="D3" s="101"/>
      <c r="E3" s="12"/>
      <c r="F3" s="14"/>
      <c r="G3" s="12"/>
      <c r="H3" s="14"/>
      <c r="I3" s="12"/>
      <c r="J3" s="14"/>
      <c r="K3" s="12"/>
      <c r="L3" s="14"/>
      <c r="M3" s="42"/>
      <c r="N3" s="99"/>
      <c r="O3" s="109"/>
      <c r="U3" s="83" t="s">
        <v>95</v>
      </c>
    </row>
    <row r="4" spans="2:21" ht="13.5" thickTop="1">
      <c r="B4" s="98" t="s">
        <v>289</v>
      </c>
      <c r="C4" s="96" t="s">
        <v>249</v>
      </c>
      <c r="D4" s="106">
        <v>0</v>
      </c>
      <c r="E4" s="175" t="s">
        <v>123</v>
      </c>
      <c r="F4" s="176" t="s">
        <v>254</v>
      </c>
      <c r="G4" s="175" t="s">
        <v>123</v>
      </c>
      <c r="H4" s="176" t="s">
        <v>31</v>
      </c>
      <c r="I4" s="175" t="s">
        <v>123</v>
      </c>
      <c r="J4" s="176" t="s">
        <v>203</v>
      </c>
      <c r="K4" s="175" t="s">
        <v>123</v>
      </c>
      <c r="L4" s="176" t="s">
        <v>31</v>
      </c>
      <c r="M4" s="42">
        <f ca="1">LEN(N4)</f>
        <v>26</v>
      </c>
      <c r="N4" s="99" t="str">
        <f ca="1">VLOOKUP($B4,Matrix!$H$13:$I$37,2,FALSE)&amp;"_"&amp;C4</f>
        <v>ALERT_REQ_C_TRCOFF_MALFUNC</v>
      </c>
      <c r="O4" s="109" t="str">
        <f t="shared" ref="O4:O35" ca="1" si="0">"#define "&amp;N4&amp;REPT(" ",48-M4)&amp;"("&amp;D4&amp;"U)"</f>
        <v>#define ALERT_REQ_C_TRCOFF_MALFUNC                      (0U)</v>
      </c>
      <c r="U4" s="83" t="s">
        <v>95</v>
      </c>
    </row>
    <row r="5" spans="2:21">
      <c r="B5" s="98"/>
      <c r="C5" s="97"/>
      <c r="D5" s="107"/>
      <c r="E5" s="98"/>
      <c r="F5" s="177"/>
      <c r="G5" s="98"/>
      <c r="H5" s="177"/>
      <c r="I5" s="98"/>
      <c r="J5" s="177"/>
      <c r="K5" s="98"/>
      <c r="L5" s="177"/>
      <c r="M5" s="37" t="e">
        <f t="shared" ref="M5:M68" ca="1" si="1">LEN(N5)</f>
        <v>#N/A</v>
      </c>
      <c r="N5" s="99" t="e">
        <f ca="1">VLOOKUP($B5,Matrix!$H$13:$I$37,2,FALSE)&amp;"_"&amp;C5</f>
        <v>#N/A</v>
      </c>
      <c r="O5" s="110" t="e">
        <f t="shared" ca="1" si="0"/>
        <v>#N/A</v>
      </c>
      <c r="U5" s="81" t="s">
        <v>96</v>
      </c>
    </row>
    <row r="6" spans="2:21">
      <c r="B6" s="98"/>
      <c r="C6" s="96"/>
      <c r="D6" s="106"/>
      <c r="E6" s="98"/>
      <c r="F6" s="177"/>
      <c r="G6" s="98"/>
      <c r="H6" s="177"/>
      <c r="I6" s="98"/>
      <c r="J6" s="177"/>
      <c r="K6" s="98"/>
      <c r="L6" s="177"/>
      <c r="M6" s="37" t="e">
        <f t="shared" ca="1" si="1"/>
        <v>#N/A</v>
      </c>
      <c r="N6" s="99" t="e">
        <f ca="1">VLOOKUP($B6,Matrix!$H$13:$I$37,2,FALSE)&amp;"_"&amp;C6</f>
        <v>#N/A</v>
      </c>
      <c r="O6" s="110" t="e">
        <f t="shared" ca="1" si="0"/>
        <v>#N/A</v>
      </c>
      <c r="U6" s="26" t="s">
        <v>97</v>
      </c>
    </row>
    <row r="7" spans="2:21">
      <c r="B7" s="98"/>
      <c r="C7" s="97"/>
      <c r="D7" s="107"/>
      <c r="E7" s="98"/>
      <c r="F7" s="177"/>
      <c r="G7" s="98"/>
      <c r="H7" s="177"/>
      <c r="I7" s="98"/>
      <c r="J7" s="177"/>
      <c r="K7" s="98"/>
      <c r="L7" s="177"/>
      <c r="M7" s="37" t="e">
        <f t="shared" ca="1" si="1"/>
        <v>#N/A</v>
      </c>
      <c r="N7" s="99" t="e">
        <f ca="1">VLOOKUP($B7,Matrix!$H$13:$I$37,2,FALSE)&amp;"_"&amp;C7</f>
        <v>#N/A</v>
      </c>
      <c r="O7" s="110" t="e">
        <f t="shared" ca="1" si="0"/>
        <v>#N/A</v>
      </c>
      <c r="U7" s="26" t="s">
        <v>98</v>
      </c>
    </row>
    <row r="8" spans="2:21">
      <c r="B8" s="98"/>
      <c r="C8" s="97"/>
      <c r="D8" s="107"/>
      <c r="E8" s="98"/>
      <c r="F8" s="177"/>
      <c r="G8" s="98"/>
      <c r="H8" s="177"/>
      <c r="I8" s="98"/>
      <c r="J8" s="177"/>
      <c r="K8" s="98"/>
      <c r="L8" s="177"/>
      <c r="M8" s="37" t="e">
        <f t="shared" ca="1" si="1"/>
        <v>#N/A</v>
      </c>
      <c r="N8" s="99" t="e">
        <f ca="1">VLOOKUP($B8,Matrix!$H$13:$I$37,2,FALSE)&amp;"_"&amp;C8</f>
        <v>#N/A</v>
      </c>
      <c r="O8" s="110" t="e">
        <f t="shared" ca="1" si="0"/>
        <v>#N/A</v>
      </c>
      <c r="U8" s="26" t="s">
        <v>99</v>
      </c>
    </row>
    <row r="9" spans="2:21">
      <c r="B9" s="98"/>
      <c r="C9" s="97"/>
      <c r="D9" s="107"/>
      <c r="E9" s="98"/>
      <c r="F9" s="177"/>
      <c r="G9" s="98"/>
      <c r="H9" s="177"/>
      <c r="I9" s="98"/>
      <c r="J9" s="177"/>
      <c r="K9" s="98"/>
      <c r="L9" s="177"/>
      <c r="M9" s="37" t="e">
        <f t="shared" ca="1" si="1"/>
        <v>#N/A</v>
      </c>
      <c r="N9" s="99" t="e">
        <f ca="1">VLOOKUP($B9,Matrix!$H$13:$I$37,2,FALSE)&amp;"_"&amp;C9</f>
        <v>#N/A</v>
      </c>
      <c r="O9" s="110" t="e">
        <f t="shared" ca="1" si="0"/>
        <v>#N/A</v>
      </c>
      <c r="U9" s="26" t="s">
        <v>100</v>
      </c>
    </row>
    <row r="10" spans="2:21">
      <c r="B10" s="98"/>
      <c r="C10" s="97"/>
      <c r="D10" s="107"/>
      <c r="E10" s="98"/>
      <c r="F10" s="177"/>
      <c r="G10" s="98"/>
      <c r="H10" s="177"/>
      <c r="I10" s="98"/>
      <c r="J10" s="177"/>
      <c r="K10" s="98"/>
      <c r="L10" s="177"/>
      <c r="M10" s="37" t="e">
        <f t="shared" ca="1" si="1"/>
        <v>#N/A</v>
      </c>
      <c r="N10" s="99" t="e">
        <f ca="1">VLOOKUP($B10,Matrix!$H$13:$I$37,2,FALSE)&amp;"_"&amp;C10</f>
        <v>#N/A</v>
      </c>
      <c r="O10" s="110" t="e">
        <f t="shared" ca="1" si="0"/>
        <v>#N/A</v>
      </c>
      <c r="U10" s="26"/>
    </row>
    <row r="11" spans="2:21">
      <c r="B11" s="98"/>
      <c r="C11" s="97"/>
      <c r="D11" s="107"/>
      <c r="E11" s="98"/>
      <c r="F11" s="177"/>
      <c r="G11" s="98"/>
      <c r="H11" s="177"/>
      <c r="I11" s="98"/>
      <c r="J11" s="177"/>
      <c r="K11" s="98"/>
      <c r="L11" s="177"/>
      <c r="M11" s="37" t="e">
        <f t="shared" ca="1" si="1"/>
        <v>#N/A</v>
      </c>
      <c r="N11" s="99" t="e">
        <f ca="1">VLOOKUP($B11,Matrix!$H$13:$I$37,2,FALSE)&amp;"_"&amp;C11</f>
        <v>#N/A</v>
      </c>
      <c r="O11" s="110" t="e">
        <f t="shared" ca="1" si="0"/>
        <v>#N/A</v>
      </c>
      <c r="U11" s="26"/>
    </row>
    <row r="12" spans="2:21">
      <c r="B12" s="98"/>
      <c r="C12" s="97"/>
      <c r="D12" s="107"/>
      <c r="E12" s="98"/>
      <c r="F12" s="177"/>
      <c r="G12" s="98"/>
      <c r="H12" s="177"/>
      <c r="I12" s="98"/>
      <c r="J12" s="177"/>
      <c r="K12" s="98"/>
      <c r="L12" s="177"/>
      <c r="M12" s="37" t="e">
        <f t="shared" ca="1" si="1"/>
        <v>#N/A</v>
      </c>
      <c r="N12" s="99" t="e">
        <f ca="1">VLOOKUP($B12,Matrix!$H$13:$I$37,2,FALSE)&amp;"_"&amp;C12</f>
        <v>#N/A</v>
      </c>
      <c r="O12" s="110" t="e">
        <f t="shared" ca="1" si="0"/>
        <v>#N/A</v>
      </c>
      <c r="U12" s="26"/>
    </row>
    <row r="13" spans="2:21" ht="13.5" thickBot="1">
      <c r="B13" s="98"/>
      <c r="C13" s="97"/>
      <c r="D13" s="107"/>
      <c r="E13" s="98"/>
      <c r="F13" s="177"/>
      <c r="G13" s="98"/>
      <c r="H13" s="177"/>
      <c r="I13" s="98"/>
      <c r="J13" s="177"/>
      <c r="K13" s="98"/>
      <c r="L13" s="177"/>
      <c r="M13" s="37" t="e">
        <f t="shared" ca="1" si="1"/>
        <v>#N/A</v>
      </c>
      <c r="N13" s="99" t="e">
        <f ca="1">VLOOKUP($B13,Matrix!$H$13:$I$37,2,FALSE)&amp;"_"&amp;C13</f>
        <v>#N/A</v>
      </c>
      <c r="O13" s="110" t="e">
        <f t="shared" ca="1" si="0"/>
        <v>#N/A</v>
      </c>
      <c r="U13" s="82"/>
    </row>
    <row r="14" spans="2:21">
      <c r="B14" s="98"/>
      <c r="C14" s="97"/>
      <c r="D14" s="107"/>
      <c r="E14" s="98"/>
      <c r="F14" s="177"/>
      <c r="G14" s="98"/>
      <c r="H14" s="177"/>
      <c r="I14" s="98"/>
      <c r="J14" s="177"/>
      <c r="K14" s="98"/>
      <c r="L14" s="177"/>
      <c r="M14" s="37" t="e">
        <f t="shared" ca="1" si="1"/>
        <v>#N/A</v>
      </c>
      <c r="N14" s="99" t="e">
        <f ca="1">VLOOKUP($B14,Matrix!$H$13:$I$37,2,FALSE)&amp;"_"&amp;C14</f>
        <v>#N/A</v>
      </c>
      <c r="O14" s="110" t="e">
        <f t="shared" ca="1" si="0"/>
        <v>#N/A</v>
      </c>
    </row>
    <row r="15" spans="2:21">
      <c r="B15" s="23"/>
      <c r="C15" s="22"/>
      <c r="D15" s="102"/>
      <c r="E15" s="23"/>
      <c r="F15" s="103"/>
      <c r="G15" s="23"/>
      <c r="H15" s="103"/>
      <c r="I15" s="23"/>
      <c r="J15" s="103"/>
      <c r="K15" s="23"/>
      <c r="L15" s="103"/>
      <c r="M15" s="37" t="e">
        <f t="shared" ca="1" si="1"/>
        <v>#N/A</v>
      </c>
      <c r="N15" s="99" t="e">
        <f ca="1">VLOOKUP($B15,Matrix!$H$13:$I$37,2,FALSE)&amp;"_"&amp;C15</f>
        <v>#N/A</v>
      </c>
      <c r="O15" s="110" t="e">
        <f t="shared" ca="1" si="0"/>
        <v>#N/A</v>
      </c>
    </row>
    <row r="16" spans="2:21">
      <c r="B16" s="23"/>
      <c r="C16" s="22"/>
      <c r="D16" s="102"/>
      <c r="E16" s="23"/>
      <c r="F16" s="103"/>
      <c r="G16" s="23"/>
      <c r="H16" s="103"/>
      <c r="I16" s="23"/>
      <c r="J16" s="103"/>
      <c r="K16" s="23"/>
      <c r="L16" s="103"/>
      <c r="M16" s="37" t="e">
        <f t="shared" ca="1" si="1"/>
        <v>#N/A</v>
      </c>
      <c r="N16" s="99" t="e">
        <f ca="1">VLOOKUP($B16,Matrix!$H$13:$I$37,2,FALSE)&amp;"_"&amp;C16</f>
        <v>#N/A</v>
      </c>
      <c r="O16" s="110" t="e">
        <f t="shared" ca="1" si="0"/>
        <v>#N/A</v>
      </c>
    </row>
    <row r="17" spans="2:15">
      <c r="B17" s="23"/>
      <c r="C17" s="22"/>
      <c r="D17" s="102"/>
      <c r="E17" s="23"/>
      <c r="F17" s="103"/>
      <c r="G17" s="23"/>
      <c r="H17" s="103"/>
      <c r="I17" s="23"/>
      <c r="J17" s="103"/>
      <c r="K17" s="23"/>
      <c r="L17" s="103"/>
      <c r="M17" s="37" t="e">
        <f t="shared" ca="1" si="1"/>
        <v>#N/A</v>
      </c>
      <c r="N17" s="99" t="e">
        <f ca="1">VLOOKUP($B17,Matrix!$H$13:$I$37,2,FALSE)&amp;"_"&amp;C17</f>
        <v>#N/A</v>
      </c>
      <c r="O17" s="110" t="e">
        <f t="shared" ca="1" si="0"/>
        <v>#N/A</v>
      </c>
    </row>
    <row r="18" spans="2:15">
      <c r="B18" s="23"/>
      <c r="C18" s="22"/>
      <c r="D18" s="102"/>
      <c r="E18" s="23"/>
      <c r="F18" s="103"/>
      <c r="G18" s="23"/>
      <c r="H18" s="103"/>
      <c r="I18" s="23"/>
      <c r="J18" s="103"/>
      <c r="K18" s="23"/>
      <c r="L18" s="103"/>
      <c r="M18" s="37" t="e">
        <f t="shared" ca="1" si="1"/>
        <v>#N/A</v>
      </c>
      <c r="N18" s="99" t="e">
        <f ca="1">VLOOKUP($B18,Matrix!$H$13:$I$37,2,FALSE)&amp;"_"&amp;C18</f>
        <v>#N/A</v>
      </c>
      <c r="O18" s="110" t="e">
        <f t="shared" ca="1" si="0"/>
        <v>#N/A</v>
      </c>
    </row>
    <row r="19" spans="2:15">
      <c r="B19" s="23"/>
      <c r="C19" s="22"/>
      <c r="D19" s="102"/>
      <c r="E19" s="23"/>
      <c r="F19" s="103"/>
      <c r="G19" s="23"/>
      <c r="H19" s="103"/>
      <c r="I19" s="23"/>
      <c r="J19" s="103"/>
      <c r="K19" s="23"/>
      <c r="L19" s="103"/>
      <c r="M19" s="37" t="e">
        <f t="shared" ca="1" si="1"/>
        <v>#N/A</v>
      </c>
      <c r="N19" s="99" t="e">
        <f ca="1">VLOOKUP($B19,Matrix!$H$13:$I$37,2,FALSE)&amp;"_"&amp;C19</f>
        <v>#N/A</v>
      </c>
      <c r="O19" s="110" t="e">
        <f t="shared" ca="1" si="0"/>
        <v>#N/A</v>
      </c>
    </row>
    <row r="20" spans="2:15">
      <c r="B20" s="23"/>
      <c r="C20" s="22"/>
      <c r="D20" s="102"/>
      <c r="E20" s="23"/>
      <c r="F20" s="103"/>
      <c r="G20" s="23"/>
      <c r="H20" s="103"/>
      <c r="I20" s="23"/>
      <c r="J20" s="103"/>
      <c r="K20" s="23"/>
      <c r="L20" s="103"/>
      <c r="M20" s="37" t="e">
        <f t="shared" ca="1" si="1"/>
        <v>#N/A</v>
      </c>
      <c r="N20" s="99" t="e">
        <f ca="1">VLOOKUP($B20,Matrix!$H$13:$I$37,2,FALSE)&amp;"_"&amp;C20</f>
        <v>#N/A</v>
      </c>
      <c r="O20" s="110" t="e">
        <f t="shared" ca="1" si="0"/>
        <v>#N/A</v>
      </c>
    </row>
    <row r="21" spans="2:15">
      <c r="B21" s="23"/>
      <c r="C21" s="22"/>
      <c r="D21" s="102"/>
      <c r="E21" s="23"/>
      <c r="F21" s="103"/>
      <c r="G21" s="23"/>
      <c r="H21" s="103"/>
      <c r="I21" s="23"/>
      <c r="J21" s="103"/>
      <c r="K21" s="23"/>
      <c r="L21" s="103"/>
      <c r="M21" s="37" t="e">
        <f t="shared" ca="1" si="1"/>
        <v>#N/A</v>
      </c>
      <c r="N21" s="99" t="e">
        <f ca="1">VLOOKUP($B21,Matrix!$H$13:$I$37,2,FALSE)&amp;"_"&amp;C21</f>
        <v>#N/A</v>
      </c>
      <c r="O21" s="110" t="e">
        <f t="shared" ca="1" si="0"/>
        <v>#N/A</v>
      </c>
    </row>
    <row r="22" spans="2:15">
      <c r="B22" s="23"/>
      <c r="C22" s="22"/>
      <c r="D22" s="102"/>
      <c r="E22" s="23"/>
      <c r="F22" s="103"/>
      <c r="G22" s="23"/>
      <c r="H22" s="103"/>
      <c r="I22" s="23"/>
      <c r="J22" s="103"/>
      <c r="K22" s="23"/>
      <c r="L22" s="103"/>
      <c r="M22" s="37" t="e">
        <f t="shared" ca="1" si="1"/>
        <v>#N/A</v>
      </c>
      <c r="N22" s="99" t="e">
        <f ca="1">VLOOKUP($B22,Matrix!$H$13:$I$37,2,FALSE)&amp;"_"&amp;C22</f>
        <v>#N/A</v>
      </c>
      <c r="O22" s="110" t="e">
        <f t="shared" ca="1" si="0"/>
        <v>#N/A</v>
      </c>
    </row>
    <row r="23" spans="2:15">
      <c r="B23" s="23"/>
      <c r="C23" s="22"/>
      <c r="D23" s="102"/>
      <c r="E23" s="23"/>
      <c r="F23" s="103"/>
      <c r="G23" s="23"/>
      <c r="H23" s="103"/>
      <c r="I23" s="23"/>
      <c r="J23" s="103"/>
      <c r="K23" s="23"/>
      <c r="L23" s="103"/>
      <c r="M23" s="37" t="e">
        <f t="shared" ca="1" si="1"/>
        <v>#N/A</v>
      </c>
      <c r="N23" s="99" t="e">
        <f ca="1">VLOOKUP($B23,Matrix!$H$13:$I$37,2,FALSE)&amp;"_"&amp;C23</f>
        <v>#N/A</v>
      </c>
      <c r="O23" s="110" t="e">
        <f t="shared" ca="1" si="0"/>
        <v>#N/A</v>
      </c>
    </row>
    <row r="24" spans="2:15">
      <c r="B24" s="23"/>
      <c r="C24" s="22"/>
      <c r="D24" s="102"/>
      <c r="E24" s="23"/>
      <c r="F24" s="103"/>
      <c r="G24" s="23"/>
      <c r="H24" s="103"/>
      <c r="I24" s="23"/>
      <c r="J24" s="103"/>
      <c r="K24" s="23"/>
      <c r="L24" s="103"/>
      <c r="M24" s="37" t="e">
        <f t="shared" ca="1" si="1"/>
        <v>#N/A</v>
      </c>
      <c r="N24" s="99" t="e">
        <f ca="1">VLOOKUP($B24,Matrix!$H$13:$I$37,2,FALSE)&amp;"_"&amp;C24</f>
        <v>#N/A</v>
      </c>
      <c r="O24" s="110" t="e">
        <f t="shared" ca="1" si="0"/>
        <v>#N/A</v>
      </c>
    </row>
    <row r="25" spans="2:15">
      <c r="B25" s="23"/>
      <c r="C25" s="22"/>
      <c r="D25" s="102"/>
      <c r="E25" s="23"/>
      <c r="F25" s="103"/>
      <c r="G25" s="23"/>
      <c r="H25" s="103"/>
      <c r="I25" s="23"/>
      <c r="J25" s="103"/>
      <c r="K25" s="23"/>
      <c r="L25" s="103"/>
      <c r="M25" s="37" t="e">
        <f t="shared" ca="1" si="1"/>
        <v>#N/A</v>
      </c>
      <c r="N25" s="99" t="e">
        <f ca="1">VLOOKUP($B25,Matrix!$H$13:$I$37,2,FALSE)&amp;"_"&amp;C25</f>
        <v>#N/A</v>
      </c>
      <c r="O25" s="110" t="e">
        <f t="shared" ca="1" si="0"/>
        <v>#N/A</v>
      </c>
    </row>
    <row r="26" spans="2:15">
      <c r="B26" s="23"/>
      <c r="C26" s="22"/>
      <c r="D26" s="102"/>
      <c r="E26" s="23"/>
      <c r="F26" s="103"/>
      <c r="G26" s="23"/>
      <c r="H26" s="103"/>
      <c r="I26" s="23"/>
      <c r="J26" s="103"/>
      <c r="K26" s="23"/>
      <c r="L26" s="103"/>
      <c r="M26" s="37" t="e">
        <f t="shared" ca="1" si="1"/>
        <v>#N/A</v>
      </c>
      <c r="N26" s="99" t="e">
        <f ca="1">VLOOKUP($B26,Matrix!$H$13:$I$37,2,FALSE)&amp;"_"&amp;C26</f>
        <v>#N/A</v>
      </c>
      <c r="O26" s="110" t="e">
        <f t="shared" ca="1" si="0"/>
        <v>#N/A</v>
      </c>
    </row>
    <row r="27" spans="2:15">
      <c r="B27" s="23"/>
      <c r="C27" s="22"/>
      <c r="D27" s="102"/>
      <c r="E27" s="23"/>
      <c r="F27" s="103"/>
      <c r="G27" s="23"/>
      <c r="H27" s="103"/>
      <c r="I27" s="23"/>
      <c r="J27" s="103"/>
      <c r="K27" s="23"/>
      <c r="L27" s="103"/>
      <c r="M27" s="37" t="e">
        <f t="shared" ca="1" si="1"/>
        <v>#N/A</v>
      </c>
      <c r="N27" s="99" t="e">
        <f ca="1">VLOOKUP($B27,Matrix!$H$13:$I$37,2,FALSE)&amp;"_"&amp;C27</f>
        <v>#N/A</v>
      </c>
      <c r="O27" s="110" t="e">
        <f t="shared" ca="1" si="0"/>
        <v>#N/A</v>
      </c>
    </row>
    <row r="28" spans="2:15">
      <c r="B28" s="23"/>
      <c r="C28" s="22"/>
      <c r="D28" s="102"/>
      <c r="E28" s="23"/>
      <c r="F28" s="103"/>
      <c r="G28" s="23"/>
      <c r="H28" s="103"/>
      <c r="I28" s="23"/>
      <c r="J28" s="103"/>
      <c r="K28" s="23"/>
      <c r="L28" s="103"/>
      <c r="M28" s="37" t="e">
        <f t="shared" ca="1" si="1"/>
        <v>#N/A</v>
      </c>
      <c r="N28" s="99" t="e">
        <f ca="1">VLOOKUP($B28,Matrix!$H$13:$I$37,2,FALSE)&amp;"_"&amp;C28</f>
        <v>#N/A</v>
      </c>
      <c r="O28" s="110" t="e">
        <f t="shared" ca="1" si="0"/>
        <v>#N/A</v>
      </c>
    </row>
    <row r="29" spans="2:15">
      <c r="B29" s="23"/>
      <c r="C29" s="22"/>
      <c r="D29" s="102"/>
      <c r="E29" s="23"/>
      <c r="F29" s="103"/>
      <c r="G29" s="23"/>
      <c r="H29" s="103"/>
      <c r="I29" s="23"/>
      <c r="J29" s="103"/>
      <c r="K29" s="23"/>
      <c r="L29" s="103"/>
      <c r="M29" s="37" t="e">
        <f t="shared" ca="1" si="1"/>
        <v>#N/A</v>
      </c>
      <c r="N29" s="99" t="e">
        <f ca="1">VLOOKUP($B29,Matrix!$H$13:$I$37,2,FALSE)&amp;"_"&amp;C29</f>
        <v>#N/A</v>
      </c>
      <c r="O29" s="110" t="e">
        <f t="shared" ca="1" si="0"/>
        <v>#N/A</v>
      </c>
    </row>
    <row r="30" spans="2:15">
      <c r="B30" s="23"/>
      <c r="C30" s="22"/>
      <c r="D30" s="102"/>
      <c r="E30" s="23"/>
      <c r="F30" s="103"/>
      <c r="G30" s="23"/>
      <c r="H30" s="103"/>
      <c r="I30" s="23"/>
      <c r="J30" s="103"/>
      <c r="K30" s="23"/>
      <c r="L30" s="103"/>
      <c r="M30" s="37" t="e">
        <f t="shared" ca="1" si="1"/>
        <v>#N/A</v>
      </c>
      <c r="N30" s="99" t="e">
        <f ca="1">VLOOKUP($B30,Matrix!$H$13:$I$37,2,FALSE)&amp;"_"&amp;C30</f>
        <v>#N/A</v>
      </c>
      <c r="O30" s="110" t="e">
        <f t="shared" ca="1" si="0"/>
        <v>#N/A</v>
      </c>
    </row>
    <row r="31" spans="2:15">
      <c r="B31" s="23"/>
      <c r="C31" s="22"/>
      <c r="D31" s="102"/>
      <c r="E31" s="23"/>
      <c r="F31" s="103"/>
      <c r="G31" s="23"/>
      <c r="H31" s="103"/>
      <c r="I31" s="23"/>
      <c r="J31" s="103"/>
      <c r="K31" s="23"/>
      <c r="L31" s="103"/>
      <c r="M31" s="37" t="e">
        <f t="shared" ca="1" si="1"/>
        <v>#N/A</v>
      </c>
      <c r="N31" s="99" t="e">
        <f ca="1">VLOOKUP($B31,Matrix!$H$13:$I$37,2,FALSE)&amp;"_"&amp;C31</f>
        <v>#N/A</v>
      </c>
      <c r="O31" s="110" t="e">
        <f t="shared" ca="1" si="0"/>
        <v>#N/A</v>
      </c>
    </row>
    <row r="32" spans="2:15">
      <c r="B32" s="23"/>
      <c r="C32" s="22"/>
      <c r="D32" s="102"/>
      <c r="E32" s="23"/>
      <c r="F32" s="103"/>
      <c r="G32" s="23"/>
      <c r="H32" s="103"/>
      <c r="I32" s="23"/>
      <c r="J32" s="103"/>
      <c r="K32" s="23"/>
      <c r="L32" s="103"/>
      <c r="M32" s="37" t="e">
        <f t="shared" ca="1" si="1"/>
        <v>#N/A</v>
      </c>
      <c r="N32" s="99" t="e">
        <f ca="1">VLOOKUP($B32,Matrix!$H$13:$I$37,2,FALSE)&amp;"_"&amp;C32</f>
        <v>#N/A</v>
      </c>
      <c r="O32" s="110" t="e">
        <f t="shared" ca="1" si="0"/>
        <v>#N/A</v>
      </c>
    </row>
    <row r="33" spans="2:15">
      <c r="B33" s="23"/>
      <c r="C33" s="22"/>
      <c r="D33" s="102"/>
      <c r="E33" s="23"/>
      <c r="F33" s="103"/>
      <c r="G33" s="23"/>
      <c r="H33" s="103"/>
      <c r="I33" s="23"/>
      <c r="J33" s="103"/>
      <c r="K33" s="23"/>
      <c r="L33" s="103"/>
      <c r="M33" s="37" t="e">
        <f t="shared" ca="1" si="1"/>
        <v>#N/A</v>
      </c>
      <c r="N33" s="99" t="e">
        <f ca="1">VLOOKUP($B33,Matrix!$H$13:$I$37,2,FALSE)&amp;"_"&amp;C33</f>
        <v>#N/A</v>
      </c>
      <c r="O33" s="110" t="e">
        <f t="shared" ca="1" si="0"/>
        <v>#N/A</v>
      </c>
    </row>
    <row r="34" spans="2:15">
      <c r="B34" s="23"/>
      <c r="C34" s="22"/>
      <c r="D34" s="102"/>
      <c r="E34" s="23"/>
      <c r="F34" s="103"/>
      <c r="G34" s="23"/>
      <c r="H34" s="103"/>
      <c r="I34" s="23"/>
      <c r="J34" s="103"/>
      <c r="K34" s="23"/>
      <c r="L34" s="103"/>
      <c r="M34" s="37" t="e">
        <f t="shared" ca="1" si="1"/>
        <v>#N/A</v>
      </c>
      <c r="N34" s="99" t="e">
        <f ca="1">VLOOKUP($B34,Matrix!$H$13:$I$37,2,FALSE)&amp;"_"&amp;C34</f>
        <v>#N/A</v>
      </c>
      <c r="O34" s="110" t="e">
        <f t="shared" ca="1" si="0"/>
        <v>#N/A</v>
      </c>
    </row>
    <row r="35" spans="2:15">
      <c r="B35" s="23"/>
      <c r="C35" s="22"/>
      <c r="D35" s="102"/>
      <c r="E35" s="23"/>
      <c r="F35" s="103"/>
      <c r="G35" s="23"/>
      <c r="H35" s="103"/>
      <c r="I35" s="23"/>
      <c r="J35" s="103"/>
      <c r="K35" s="23"/>
      <c r="L35" s="103"/>
      <c r="M35" s="37" t="e">
        <f t="shared" ca="1" si="1"/>
        <v>#N/A</v>
      </c>
      <c r="N35" s="99" t="e">
        <f ca="1">VLOOKUP($B35,Matrix!$H$13:$I$37,2,FALSE)&amp;"_"&amp;C35</f>
        <v>#N/A</v>
      </c>
      <c r="O35" s="110" t="e">
        <f t="shared" ca="1" si="0"/>
        <v>#N/A</v>
      </c>
    </row>
    <row r="36" spans="2:15">
      <c r="B36" s="23"/>
      <c r="C36" s="22"/>
      <c r="D36" s="102"/>
      <c r="E36" s="23"/>
      <c r="F36" s="103"/>
      <c r="G36" s="23"/>
      <c r="H36" s="103"/>
      <c r="I36" s="23"/>
      <c r="J36" s="103"/>
      <c r="K36" s="23"/>
      <c r="L36" s="103"/>
      <c r="M36" s="37" t="e">
        <f t="shared" ca="1" si="1"/>
        <v>#N/A</v>
      </c>
      <c r="N36" s="99" t="e">
        <f ca="1">VLOOKUP($B36,Matrix!$H$13:$I$37,2,FALSE)&amp;"_"&amp;C36</f>
        <v>#N/A</v>
      </c>
      <c r="O36" s="110" t="e">
        <f t="shared" ref="O36:O67" ca="1" si="2">"#define "&amp;N36&amp;REPT(" ",48-M36)&amp;"("&amp;D36&amp;"U)"</f>
        <v>#N/A</v>
      </c>
    </row>
    <row r="37" spans="2:15">
      <c r="B37" s="23"/>
      <c r="C37" s="22"/>
      <c r="D37" s="102"/>
      <c r="E37" s="23"/>
      <c r="F37" s="103"/>
      <c r="G37" s="23"/>
      <c r="H37" s="103"/>
      <c r="I37" s="23"/>
      <c r="J37" s="103"/>
      <c r="K37" s="23"/>
      <c r="L37" s="103"/>
      <c r="M37" s="37" t="e">
        <f t="shared" ca="1" si="1"/>
        <v>#N/A</v>
      </c>
      <c r="N37" s="99" t="e">
        <f ca="1">VLOOKUP($B37,Matrix!$H$13:$I$37,2,FALSE)&amp;"_"&amp;C37</f>
        <v>#N/A</v>
      </c>
      <c r="O37" s="110" t="e">
        <f t="shared" ca="1" si="2"/>
        <v>#N/A</v>
      </c>
    </row>
    <row r="38" spans="2:15">
      <c r="B38" s="23"/>
      <c r="C38" s="22"/>
      <c r="D38" s="102"/>
      <c r="E38" s="23"/>
      <c r="F38" s="103"/>
      <c r="G38" s="23"/>
      <c r="H38" s="103"/>
      <c r="I38" s="23"/>
      <c r="J38" s="103"/>
      <c r="K38" s="23"/>
      <c r="L38" s="103"/>
      <c r="M38" s="37" t="e">
        <f t="shared" ca="1" si="1"/>
        <v>#N/A</v>
      </c>
      <c r="N38" s="99" t="e">
        <f ca="1">VLOOKUP($B38,Matrix!$H$13:$I$37,2,FALSE)&amp;"_"&amp;C38</f>
        <v>#N/A</v>
      </c>
      <c r="O38" s="110" t="e">
        <f t="shared" ca="1" si="2"/>
        <v>#N/A</v>
      </c>
    </row>
    <row r="39" spans="2:15">
      <c r="B39" s="23"/>
      <c r="C39" s="22"/>
      <c r="D39" s="102"/>
      <c r="E39" s="23"/>
      <c r="F39" s="103"/>
      <c r="G39" s="23"/>
      <c r="H39" s="103"/>
      <c r="I39" s="23"/>
      <c r="J39" s="103"/>
      <c r="K39" s="23"/>
      <c r="L39" s="103"/>
      <c r="M39" s="37" t="e">
        <f t="shared" ca="1" si="1"/>
        <v>#N/A</v>
      </c>
      <c r="N39" s="99" t="e">
        <f ca="1">VLOOKUP($B39,Matrix!$H$13:$I$37,2,FALSE)&amp;"_"&amp;C39</f>
        <v>#N/A</v>
      </c>
      <c r="O39" s="110" t="e">
        <f t="shared" ca="1" si="2"/>
        <v>#N/A</v>
      </c>
    </row>
    <row r="40" spans="2:15">
      <c r="B40" s="23"/>
      <c r="C40" s="22"/>
      <c r="D40" s="102"/>
      <c r="E40" s="23"/>
      <c r="F40" s="103"/>
      <c r="G40" s="23"/>
      <c r="H40" s="103"/>
      <c r="I40" s="23"/>
      <c r="J40" s="103"/>
      <c r="K40" s="23"/>
      <c r="L40" s="103"/>
      <c r="M40" s="37" t="e">
        <f t="shared" ca="1" si="1"/>
        <v>#N/A</v>
      </c>
      <c r="N40" s="99" t="e">
        <f ca="1">VLOOKUP($B40,Matrix!$H$13:$I$37,2,FALSE)&amp;"_"&amp;C40</f>
        <v>#N/A</v>
      </c>
      <c r="O40" s="110" t="e">
        <f t="shared" ca="1" si="2"/>
        <v>#N/A</v>
      </c>
    </row>
    <row r="41" spans="2:15">
      <c r="B41" s="23"/>
      <c r="C41" s="22"/>
      <c r="D41" s="102"/>
      <c r="E41" s="23"/>
      <c r="F41" s="103"/>
      <c r="G41" s="23"/>
      <c r="H41" s="103"/>
      <c r="I41" s="23"/>
      <c r="J41" s="103"/>
      <c r="K41" s="23"/>
      <c r="L41" s="103"/>
      <c r="M41" s="37" t="e">
        <f t="shared" ca="1" si="1"/>
        <v>#N/A</v>
      </c>
      <c r="N41" s="99" t="e">
        <f ca="1">VLOOKUP($B41,Matrix!$H$13:$I$37,2,FALSE)&amp;"_"&amp;C41</f>
        <v>#N/A</v>
      </c>
      <c r="O41" s="110" t="e">
        <f t="shared" ca="1" si="2"/>
        <v>#N/A</v>
      </c>
    </row>
    <row r="42" spans="2:15">
      <c r="B42" s="23"/>
      <c r="C42" s="22"/>
      <c r="D42" s="102"/>
      <c r="E42" s="23"/>
      <c r="F42" s="103"/>
      <c r="G42" s="23"/>
      <c r="H42" s="103"/>
      <c r="I42" s="23"/>
      <c r="J42" s="103"/>
      <c r="K42" s="23"/>
      <c r="L42" s="103"/>
      <c r="M42" s="37" t="e">
        <f t="shared" ca="1" si="1"/>
        <v>#N/A</v>
      </c>
      <c r="N42" s="99" t="e">
        <f ca="1">VLOOKUP($B42,Matrix!$H$13:$I$37,2,FALSE)&amp;"_"&amp;C42</f>
        <v>#N/A</v>
      </c>
      <c r="O42" s="110" t="e">
        <f t="shared" ca="1" si="2"/>
        <v>#N/A</v>
      </c>
    </row>
    <row r="43" spans="2:15">
      <c r="B43" s="23"/>
      <c r="C43" s="22"/>
      <c r="D43" s="102"/>
      <c r="E43" s="23"/>
      <c r="F43" s="103"/>
      <c r="G43" s="23"/>
      <c r="H43" s="103"/>
      <c r="I43" s="23"/>
      <c r="J43" s="103"/>
      <c r="K43" s="23"/>
      <c r="L43" s="103"/>
      <c r="M43" s="37" t="e">
        <f t="shared" ca="1" si="1"/>
        <v>#N/A</v>
      </c>
      <c r="N43" s="99" t="e">
        <f ca="1">VLOOKUP($B43,Matrix!$H$13:$I$37,2,FALSE)&amp;"_"&amp;C43</f>
        <v>#N/A</v>
      </c>
      <c r="O43" s="110" t="e">
        <f t="shared" ca="1" si="2"/>
        <v>#N/A</v>
      </c>
    </row>
    <row r="44" spans="2:15">
      <c r="B44" s="23"/>
      <c r="C44" s="22"/>
      <c r="D44" s="102"/>
      <c r="E44" s="23"/>
      <c r="F44" s="103"/>
      <c r="G44" s="23"/>
      <c r="H44" s="103"/>
      <c r="I44" s="23"/>
      <c r="J44" s="103"/>
      <c r="K44" s="23"/>
      <c r="L44" s="103"/>
      <c r="M44" s="37" t="e">
        <f t="shared" ca="1" si="1"/>
        <v>#N/A</v>
      </c>
      <c r="N44" s="99" t="e">
        <f ca="1">VLOOKUP($B44,Matrix!$H$13:$I$37,2,FALSE)&amp;"_"&amp;C44</f>
        <v>#N/A</v>
      </c>
      <c r="O44" s="110" t="e">
        <f t="shared" ca="1" si="2"/>
        <v>#N/A</v>
      </c>
    </row>
    <row r="45" spans="2:15">
      <c r="B45" s="23"/>
      <c r="C45" s="22"/>
      <c r="D45" s="102"/>
      <c r="E45" s="23"/>
      <c r="F45" s="103"/>
      <c r="G45" s="23"/>
      <c r="H45" s="103"/>
      <c r="I45" s="23"/>
      <c r="J45" s="103"/>
      <c r="K45" s="23"/>
      <c r="L45" s="103"/>
      <c r="M45" s="37" t="e">
        <f t="shared" ca="1" si="1"/>
        <v>#N/A</v>
      </c>
      <c r="N45" s="99" t="e">
        <f ca="1">VLOOKUP($B45,Matrix!$H$13:$I$37,2,FALSE)&amp;"_"&amp;C45</f>
        <v>#N/A</v>
      </c>
      <c r="O45" s="110" t="e">
        <f t="shared" ca="1" si="2"/>
        <v>#N/A</v>
      </c>
    </row>
    <row r="46" spans="2:15">
      <c r="B46" s="23"/>
      <c r="C46" s="22"/>
      <c r="D46" s="102"/>
      <c r="E46" s="23"/>
      <c r="F46" s="103"/>
      <c r="G46" s="23"/>
      <c r="H46" s="103"/>
      <c r="I46" s="23"/>
      <c r="J46" s="103"/>
      <c r="K46" s="23"/>
      <c r="L46" s="103"/>
      <c r="M46" s="37" t="e">
        <f t="shared" ca="1" si="1"/>
        <v>#N/A</v>
      </c>
      <c r="N46" s="99" t="e">
        <f ca="1">VLOOKUP($B46,Matrix!$H$13:$I$37,2,FALSE)&amp;"_"&amp;C46</f>
        <v>#N/A</v>
      </c>
      <c r="O46" s="110" t="e">
        <f t="shared" ca="1" si="2"/>
        <v>#N/A</v>
      </c>
    </row>
    <row r="47" spans="2:15">
      <c r="B47" s="23"/>
      <c r="C47" s="22"/>
      <c r="D47" s="102"/>
      <c r="E47" s="23"/>
      <c r="F47" s="103"/>
      <c r="G47" s="23"/>
      <c r="H47" s="103"/>
      <c r="I47" s="23"/>
      <c r="J47" s="103"/>
      <c r="K47" s="23"/>
      <c r="L47" s="103"/>
      <c r="M47" s="37" t="e">
        <f t="shared" ca="1" si="1"/>
        <v>#N/A</v>
      </c>
      <c r="N47" s="99" t="e">
        <f ca="1">VLOOKUP($B47,Matrix!$H$13:$I$37,2,FALSE)&amp;"_"&amp;C47</f>
        <v>#N/A</v>
      </c>
      <c r="O47" s="110" t="e">
        <f t="shared" ca="1" si="2"/>
        <v>#N/A</v>
      </c>
    </row>
    <row r="48" spans="2:15">
      <c r="B48" s="23"/>
      <c r="C48" s="22"/>
      <c r="D48" s="102"/>
      <c r="E48" s="23"/>
      <c r="F48" s="103"/>
      <c r="G48" s="23"/>
      <c r="H48" s="103"/>
      <c r="I48" s="23"/>
      <c r="J48" s="103"/>
      <c r="K48" s="23"/>
      <c r="L48" s="103"/>
      <c r="M48" s="37" t="e">
        <f t="shared" ca="1" si="1"/>
        <v>#N/A</v>
      </c>
      <c r="N48" s="99" t="e">
        <f ca="1">VLOOKUP($B48,Matrix!$H$13:$I$37,2,FALSE)&amp;"_"&amp;C48</f>
        <v>#N/A</v>
      </c>
      <c r="O48" s="110" t="e">
        <f t="shared" ca="1" si="2"/>
        <v>#N/A</v>
      </c>
    </row>
    <row r="49" spans="2:15">
      <c r="B49" s="23"/>
      <c r="C49" s="22"/>
      <c r="D49" s="102"/>
      <c r="E49" s="23"/>
      <c r="F49" s="103"/>
      <c r="G49" s="23"/>
      <c r="H49" s="103"/>
      <c r="I49" s="23"/>
      <c r="J49" s="103"/>
      <c r="K49" s="23"/>
      <c r="L49" s="103"/>
      <c r="M49" s="37" t="e">
        <f t="shared" ca="1" si="1"/>
        <v>#N/A</v>
      </c>
      <c r="N49" s="99" t="e">
        <f ca="1">VLOOKUP($B49,Matrix!$H$13:$I$37,2,FALSE)&amp;"_"&amp;C49</f>
        <v>#N/A</v>
      </c>
      <c r="O49" s="110" t="e">
        <f t="shared" ca="1" si="2"/>
        <v>#N/A</v>
      </c>
    </row>
    <row r="50" spans="2:15">
      <c r="B50" s="23"/>
      <c r="C50" s="22"/>
      <c r="D50" s="102"/>
      <c r="E50" s="23"/>
      <c r="F50" s="103"/>
      <c r="G50" s="23"/>
      <c r="H50" s="103"/>
      <c r="I50" s="23"/>
      <c r="J50" s="103"/>
      <c r="K50" s="23"/>
      <c r="L50" s="103"/>
      <c r="M50" s="37" t="e">
        <f t="shared" ca="1" si="1"/>
        <v>#N/A</v>
      </c>
      <c r="N50" s="99" t="e">
        <f ca="1">VLOOKUP($B50,Matrix!$H$13:$I$37,2,FALSE)&amp;"_"&amp;C50</f>
        <v>#N/A</v>
      </c>
      <c r="O50" s="110" t="e">
        <f t="shared" ca="1" si="2"/>
        <v>#N/A</v>
      </c>
    </row>
    <row r="51" spans="2:15">
      <c r="B51" s="23"/>
      <c r="C51" s="22"/>
      <c r="D51" s="102"/>
      <c r="E51" s="23"/>
      <c r="F51" s="103"/>
      <c r="G51" s="23"/>
      <c r="H51" s="103"/>
      <c r="I51" s="23"/>
      <c r="J51" s="103"/>
      <c r="K51" s="23"/>
      <c r="L51" s="103"/>
      <c r="M51" s="37" t="e">
        <f t="shared" ca="1" si="1"/>
        <v>#N/A</v>
      </c>
      <c r="N51" s="99" t="e">
        <f ca="1">VLOOKUP($B51,Matrix!$H$13:$I$37,2,FALSE)&amp;"_"&amp;C51</f>
        <v>#N/A</v>
      </c>
      <c r="O51" s="110" t="e">
        <f t="shared" ca="1" si="2"/>
        <v>#N/A</v>
      </c>
    </row>
    <row r="52" spans="2:15">
      <c r="B52" s="23"/>
      <c r="C52" s="22"/>
      <c r="D52" s="102"/>
      <c r="E52" s="23"/>
      <c r="F52" s="103"/>
      <c r="G52" s="23"/>
      <c r="H52" s="103"/>
      <c r="I52" s="23"/>
      <c r="J52" s="103"/>
      <c r="K52" s="23"/>
      <c r="L52" s="103"/>
      <c r="M52" s="37" t="e">
        <f t="shared" ca="1" si="1"/>
        <v>#N/A</v>
      </c>
      <c r="N52" s="99" t="e">
        <f ca="1">VLOOKUP($B52,Matrix!$H$13:$I$37,2,FALSE)&amp;"_"&amp;C52</f>
        <v>#N/A</v>
      </c>
      <c r="O52" s="110" t="e">
        <f t="shared" ca="1" si="2"/>
        <v>#N/A</v>
      </c>
    </row>
    <row r="53" spans="2:15">
      <c r="B53" s="23"/>
      <c r="C53" s="22"/>
      <c r="D53" s="102"/>
      <c r="E53" s="23"/>
      <c r="F53" s="103"/>
      <c r="G53" s="23"/>
      <c r="H53" s="103"/>
      <c r="I53" s="23"/>
      <c r="J53" s="103"/>
      <c r="K53" s="23"/>
      <c r="L53" s="103"/>
      <c r="M53" s="37" t="e">
        <f t="shared" ca="1" si="1"/>
        <v>#N/A</v>
      </c>
      <c r="N53" s="99" t="e">
        <f ca="1">VLOOKUP($B53,Matrix!$H$13:$I$37,2,FALSE)&amp;"_"&amp;C53</f>
        <v>#N/A</v>
      </c>
      <c r="O53" s="110" t="e">
        <f t="shared" ca="1" si="2"/>
        <v>#N/A</v>
      </c>
    </row>
    <row r="54" spans="2:15">
      <c r="B54" s="23"/>
      <c r="C54" s="22"/>
      <c r="D54" s="102"/>
      <c r="E54" s="23"/>
      <c r="F54" s="103"/>
      <c r="G54" s="23"/>
      <c r="H54" s="103"/>
      <c r="I54" s="23"/>
      <c r="J54" s="103"/>
      <c r="K54" s="23"/>
      <c r="L54" s="103"/>
      <c r="M54" s="37" t="e">
        <f t="shared" ca="1" si="1"/>
        <v>#N/A</v>
      </c>
      <c r="N54" s="99" t="e">
        <f ca="1">VLOOKUP($B54,Matrix!$H$13:$I$37,2,FALSE)&amp;"_"&amp;C54</f>
        <v>#N/A</v>
      </c>
      <c r="O54" s="110" t="e">
        <f t="shared" ca="1" si="2"/>
        <v>#N/A</v>
      </c>
    </row>
    <row r="55" spans="2:15">
      <c r="B55" s="23"/>
      <c r="C55" s="22"/>
      <c r="D55" s="102"/>
      <c r="E55" s="23"/>
      <c r="F55" s="103"/>
      <c r="G55" s="23"/>
      <c r="H55" s="103"/>
      <c r="I55" s="23"/>
      <c r="J55" s="103"/>
      <c r="K55" s="23"/>
      <c r="L55" s="103"/>
      <c r="M55" s="37" t="e">
        <f t="shared" ca="1" si="1"/>
        <v>#N/A</v>
      </c>
      <c r="N55" s="99" t="e">
        <f ca="1">VLOOKUP($B55,Matrix!$H$13:$I$37,2,FALSE)&amp;"_"&amp;C55</f>
        <v>#N/A</v>
      </c>
      <c r="O55" s="110" t="e">
        <f t="shared" ca="1" si="2"/>
        <v>#N/A</v>
      </c>
    </row>
    <row r="56" spans="2:15">
      <c r="B56" s="23"/>
      <c r="C56" s="22"/>
      <c r="D56" s="102"/>
      <c r="E56" s="23"/>
      <c r="F56" s="103"/>
      <c r="G56" s="23"/>
      <c r="H56" s="103"/>
      <c r="I56" s="23"/>
      <c r="J56" s="103"/>
      <c r="K56" s="23"/>
      <c r="L56" s="103"/>
      <c r="M56" s="37" t="e">
        <f t="shared" ca="1" si="1"/>
        <v>#N/A</v>
      </c>
      <c r="N56" s="99" t="e">
        <f ca="1">VLOOKUP($B56,Matrix!$H$13:$I$37,2,FALSE)&amp;"_"&amp;C56</f>
        <v>#N/A</v>
      </c>
      <c r="O56" s="110" t="e">
        <f t="shared" ca="1" si="2"/>
        <v>#N/A</v>
      </c>
    </row>
    <row r="57" spans="2:15">
      <c r="B57" s="23"/>
      <c r="C57" s="22"/>
      <c r="D57" s="102"/>
      <c r="E57" s="23"/>
      <c r="F57" s="103"/>
      <c r="G57" s="23"/>
      <c r="H57" s="103"/>
      <c r="I57" s="23"/>
      <c r="J57" s="103"/>
      <c r="K57" s="23"/>
      <c r="L57" s="103"/>
      <c r="M57" s="37" t="e">
        <f t="shared" ca="1" si="1"/>
        <v>#N/A</v>
      </c>
      <c r="N57" s="99" t="e">
        <f ca="1">VLOOKUP($B57,Matrix!$H$13:$I$37,2,FALSE)&amp;"_"&amp;C57</f>
        <v>#N/A</v>
      </c>
      <c r="O57" s="110" t="e">
        <f t="shared" ca="1" si="2"/>
        <v>#N/A</v>
      </c>
    </row>
    <row r="58" spans="2:15">
      <c r="B58" s="23"/>
      <c r="C58" s="22"/>
      <c r="D58" s="102"/>
      <c r="E58" s="23"/>
      <c r="F58" s="103"/>
      <c r="G58" s="23"/>
      <c r="H58" s="103"/>
      <c r="I58" s="23"/>
      <c r="J58" s="103"/>
      <c r="K58" s="23"/>
      <c r="L58" s="103"/>
      <c r="M58" s="37" t="e">
        <f t="shared" ca="1" si="1"/>
        <v>#N/A</v>
      </c>
      <c r="N58" s="99" t="e">
        <f ca="1">VLOOKUP($B58,Matrix!$H$13:$I$37,2,FALSE)&amp;"_"&amp;C58</f>
        <v>#N/A</v>
      </c>
      <c r="O58" s="110" t="e">
        <f t="shared" ca="1" si="2"/>
        <v>#N/A</v>
      </c>
    </row>
    <row r="59" spans="2:15">
      <c r="B59" s="23"/>
      <c r="C59" s="22"/>
      <c r="D59" s="102"/>
      <c r="E59" s="23"/>
      <c r="F59" s="103"/>
      <c r="G59" s="23"/>
      <c r="H59" s="103"/>
      <c r="I59" s="23"/>
      <c r="J59" s="103"/>
      <c r="K59" s="23"/>
      <c r="L59" s="103"/>
      <c r="M59" s="37" t="e">
        <f t="shared" ca="1" si="1"/>
        <v>#N/A</v>
      </c>
      <c r="N59" s="99" t="e">
        <f ca="1">VLOOKUP($B59,Matrix!$H$13:$I$37,2,FALSE)&amp;"_"&amp;C59</f>
        <v>#N/A</v>
      </c>
      <c r="O59" s="110" t="e">
        <f t="shared" ca="1" si="2"/>
        <v>#N/A</v>
      </c>
    </row>
    <row r="60" spans="2:15">
      <c r="B60" s="23"/>
      <c r="C60" s="22"/>
      <c r="D60" s="102"/>
      <c r="E60" s="23"/>
      <c r="F60" s="103"/>
      <c r="G60" s="23"/>
      <c r="H60" s="103"/>
      <c r="I60" s="23"/>
      <c r="J60" s="103"/>
      <c r="K60" s="23"/>
      <c r="L60" s="103"/>
      <c r="M60" s="37" t="e">
        <f t="shared" ca="1" si="1"/>
        <v>#N/A</v>
      </c>
      <c r="N60" s="99" t="e">
        <f ca="1">VLOOKUP($B60,Matrix!$H$13:$I$37,2,FALSE)&amp;"_"&amp;C60</f>
        <v>#N/A</v>
      </c>
      <c r="O60" s="110" t="e">
        <f t="shared" ca="1" si="2"/>
        <v>#N/A</v>
      </c>
    </row>
    <row r="61" spans="2:15">
      <c r="B61" s="23"/>
      <c r="C61" s="22"/>
      <c r="D61" s="102"/>
      <c r="E61" s="23"/>
      <c r="F61" s="103"/>
      <c r="G61" s="23"/>
      <c r="H61" s="103"/>
      <c r="I61" s="23"/>
      <c r="J61" s="103"/>
      <c r="K61" s="23"/>
      <c r="L61" s="103"/>
      <c r="M61" s="37" t="e">
        <f t="shared" ca="1" si="1"/>
        <v>#N/A</v>
      </c>
      <c r="N61" s="99" t="e">
        <f ca="1">VLOOKUP($B61,Matrix!$H$13:$I$37,2,FALSE)&amp;"_"&amp;C61</f>
        <v>#N/A</v>
      </c>
      <c r="O61" s="110" t="e">
        <f t="shared" ca="1" si="2"/>
        <v>#N/A</v>
      </c>
    </row>
    <row r="62" spans="2:15">
      <c r="B62" s="23"/>
      <c r="C62" s="22"/>
      <c r="D62" s="102"/>
      <c r="E62" s="23"/>
      <c r="F62" s="103"/>
      <c r="G62" s="23"/>
      <c r="H62" s="103"/>
      <c r="I62" s="23"/>
      <c r="J62" s="103"/>
      <c r="K62" s="23"/>
      <c r="L62" s="103"/>
      <c r="M62" s="37" t="e">
        <f t="shared" ca="1" si="1"/>
        <v>#N/A</v>
      </c>
      <c r="N62" s="99" t="e">
        <f ca="1">VLOOKUP($B62,Matrix!$H$13:$I$37,2,FALSE)&amp;"_"&amp;C62</f>
        <v>#N/A</v>
      </c>
      <c r="O62" s="110" t="e">
        <f t="shared" ca="1" si="2"/>
        <v>#N/A</v>
      </c>
    </row>
    <row r="63" spans="2:15">
      <c r="B63" s="23"/>
      <c r="C63" s="22"/>
      <c r="D63" s="102"/>
      <c r="E63" s="23"/>
      <c r="F63" s="103"/>
      <c r="G63" s="23"/>
      <c r="H63" s="103"/>
      <c r="I63" s="23"/>
      <c r="J63" s="103"/>
      <c r="K63" s="23"/>
      <c r="L63" s="103"/>
      <c r="M63" s="37" t="e">
        <f t="shared" ca="1" si="1"/>
        <v>#N/A</v>
      </c>
      <c r="N63" s="99" t="e">
        <f ca="1">VLOOKUP($B63,Matrix!$H$13:$I$37,2,FALSE)&amp;"_"&amp;C63</f>
        <v>#N/A</v>
      </c>
      <c r="O63" s="110" t="e">
        <f t="shared" ca="1" si="2"/>
        <v>#N/A</v>
      </c>
    </row>
    <row r="64" spans="2:15">
      <c r="B64" s="23"/>
      <c r="C64" s="22"/>
      <c r="D64" s="102"/>
      <c r="E64" s="23"/>
      <c r="F64" s="103"/>
      <c r="G64" s="23"/>
      <c r="H64" s="103"/>
      <c r="I64" s="23"/>
      <c r="J64" s="103"/>
      <c r="K64" s="23"/>
      <c r="L64" s="103"/>
      <c r="M64" s="37" t="e">
        <f t="shared" ca="1" si="1"/>
        <v>#N/A</v>
      </c>
      <c r="N64" s="99" t="e">
        <f ca="1">VLOOKUP($B64,Matrix!$H$13:$I$37,2,FALSE)&amp;"_"&amp;C64</f>
        <v>#N/A</v>
      </c>
      <c r="O64" s="110" t="e">
        <f t="shared" ca="1" si="2"/>
        <v>#N/A</v>
      </c>
    </row>
    <row r="65" spans="2:15">
      <c r="B65" s="23"/>
      <c r="C65" s="22"/>
      <c r="D65" s="102"/>
      <c r="E65" s="23"/>
      <c r="F65" s="103"/>
      <c r="G65" s="23"/>
      <c r="H65" s="103"/>
      <c r="I65" s="23"/>
      <c r="J65" s="103"/>
      <c r="K65" s="23"/>
      <c r="L65" s="103"/>
      <c r="M65" s="37" t="e">
        <f t="shared" ca="1" si="1"/>
        <v>#N/A</v>
      </c>
      <c r="N65" s="99" t="e">
        <f ca="1">VLOOKUP($B65,Matrix!$H$13:$I$37,2,FALSE)&amp;"_"&amp;C65</f>
        <v>#N/A</v>
      </c>
      <c r="O65" s="110" t="e">
        <f t="shared" ca="1" si="2"/>
        <v>#N/A</v>
      </c>
    </row>
    <row r="66" spans="2:15">
      <c r="B66" s="23"/>
      <c r="C66" s="22"/>
      <c r="D66" s="102"/>
      <c r="E66" s="23"/>
      <c r="F66" s="103"/>
      <c r="G66" s="23"/>
      <c r="H66" s="103"/>
      <c r="I66" s="23"/>
      <c r="J66" s="103"/>
      <c r="K66" s="23"/>
      <c r="L66" s="103"/>
      <c r="M66" s="37" t="e">
        <f t="shared" ca="1" si="1"/>
        <v>#N/A</v>
      </c>
      <c r="N66" s="99" t="e">
        <f ca="1">VLOOKUP($B66,Matrix!$H$13:$I$37,2,FALSE)&amp;"_"&amp;C66</f>
        <v>#N/A</v>
      </c>
      <c r="O66" s="110" t="e">
        <f t="shared" ca="1" si="2"/>
        <v>#N/A</v>
      </c>
    </row>
    <row r="67" spans="2:15">
      <c r="B67" s="23"/>
      <c r="C67" s="22"/>
      <c r="D67" s="102"/>
      <c r="E67" s="23"/>
      <c r="F67" s="103"/>
      <c r="G67" s="23"/>
      <c r="H67" s="103"/>
      <c r="I67" s="23"/>
      <c r="J67" s="103"/>
      <c r="K67" s="23"/>
      <c r="L67" s="103"/>
      <c r="M67" s="37" t="e">
        <f t="shared" ca="1" si="1"/>
        <v>#N/A</v>
      </c>
      <c r="N67" s="99" t="e">
        <f ca="1">VLOOKUP($B67,Matrix!$H$13:$I$37,2,FALSE)&amp;"_"&amp;C67</f>
        <v>#N/A</v>
      </c>
      <c r="O67" s="110" t="e">
        <f t="shared" ca="1" si="2"/>
        <v>#N/A</v>
      </c>
    </row>
    <row r="68" spans="2:15">
      <c r="B68" s="23"/>
      <c r="C68" s="22"/>
      <c r="D68" s="102"/>
      <c r="E68" s="23"/>
      <c r="F68" s="103"/>
      <c r="G68" s="23"/>
      <c r="H68" s="103"/>
      <c r="I68" s="23"/>
      <c r="J68" s="103"/>
      <c r="K68" s="23"/>
      <c r="L68" s="103"/>
      <c r="M68" s="37" t="e">
        <f t="shared" ca="1" si="1"/>
        <v>#N/A</v>
      </c>
      <c r="N68" s="99" t="e">
        <f ca="1">VLOOKUP($B68,Matrix!$H$13:$I$37,2,FALSE)&amp;"_"&amp;C68</f>
        <v>#N/A</v>
      </c>
      <c r="O68" s="110" t="e">
        <f t="shared" ref="O68:O99" ca="1" si="3">"#define "&amp;N68&amp;REPT(" ",48-M68)&amp;"("&amp;D68&amp;"U)"</f>
        <v>#N/A</v>
      </c>
    </row>
    <row r="69" spans="2:15">
      <c r="B69" s="23"/>
      <c r="C69" s="22"/>
      <c r="D69" s="102"/>
      <c r="E69" s="23"/>
      <c r="F69" s="103"/>
      <c r="G69" s="23"/>
      <c r="H69" s="103"/>
      <c r="I69" s="23"/>
      <c r="J69" s="103"/>
      <c r="K69" s="23"/>
      <c r="L69" s="103"/>
      <c r="M69" s="37" t="e">
        <f t="shared" ref="M69:M103" ca="1" si="4">LEN(N69)</f>
        <v>#N/A</v>
      </c>
      <c r="N69" s="99" t="e">
        <f ca="1">VLOOKUP($B69,Matrix!$H$13:$I$37,2,FALSE)&amp;"_"&amp;C69</f>
        <v>#N/A</v>
      </c>
      <c r="O69" s="110" t="e">
        <f t="shared" ca="1" si="3"/>
        <v>#N/A</v>
      </c>
    </row>
    <row r="70" spans="2:15">
      <c r="B70" s="23"/>
      <c r="C70" s="22"/>
      <c r="D70" s="102"/>
      <c r="E70" s="23"/>
      <c r="F70" s="103"/>
      <c r="G70" s="23"/>
      <c r="H70" s="103"/>
      <c r="I70" s="23"/>
      <c r="J70" s="103"/>
      <c r="K70" s="23"/>
      <c r="L70" s="103"/>
      <c r="M70" s="37" t="e">
        <f t="shared" ca="1" si="4"/>
        <v>#N/A</v>
      </c>
      <c r="N70" s="99" t="e">
        <f ca="1">VLOOKUP($B70,Matrix!$H$13:$I$37,2,FALSE)&amp;"_"&amp;C70</f>
        <v>#N/A</v>
      </c>
      <c r="O70" s="110" t="e">
        <f t="shared" ca="1" si="3"/>
        <v>#N/A</v>
      </c>
    </row>
    <row r="71" spans="2:15">
      <c r="B71" s="23"/>
      <c r="C71" s="22"/>
      <c r="D71" s="102"/>
      <c r="E71" s="23"/>
      <c r="F71" s="103"/>
      <c r="G71" s="23"/>
      <c r="H71" s="103"/>
      <c r="I71" s="23"/>
      <c r="J71" s="103"/>
      <c r="K71" s="23"/>
      <c r="L71" s="103"/>
      <c r="M71" s="37" t="e">
        <f t="shared" ca="1" si="4"/>
        <v>#N/A</v>
      </c>
      <c r="N71" s="99" t="e">
        <f ca="1">VLOOKUP($B71,Matrix!$H$13:$I$37,2,FALSE)&amp;"_"&amp;C71</f>
        <v>#N/A</v>
      </c>
      <c r="O71" s="110" t="e">
        <f t="shared" ca="1" si="3"/>
        <v>#N/A</v>
      </c>
    </row>
    <row r="72" spans="2:15">
      <c r="B72" s="23"/>
      <c r="C72" s="22"/>
      <c r="D72" s="102"/>
      <c r="E72" s="23"/>
      <c r="F72" s="103"/>
      <c r="G72" s="23"/>
      <c r="H72" s="103"/>
      <c r="I72" s="23"/>
      <c r="J72" s="103"/>
      <c r="K72" s="23"/>
      <c r="L72" s="103"/>
      <c r="M72" s="37" t="e">
        <f t="shared" ca="1" si="4"/>
        <v>#N/A</v>
      </c>
      <c r="N72" s="99" t="e">
        <f ca="1">VLOOKUP($B72,Matrix!$H$13:$I$37,2,FALSE)&amp;"_"&amp;C72</f>
        <v>#N/A</v>
      </c>
      <c r="O72" s="110" t="e">
        <f t="shared" ca="1" si="3"/>
        <v>#N/A</v>
      </c>
    </row>
    <row r="73" spans="2:15">
      <c r="B73" s="23"/>
      <c r="C73" s="22"/>
      <c r="D73" s="102"/>
      <c r="E73" s="23"/>
      <c r="F73" s="103"/>
      <c r="G73" s="23"/>
      <c r="H73" s="103"/>
      <c r="I73" s="23"/>
      <c r="J73" s="103"/>
      <c r="K73" s="23"/>
      <c r="L73" s="103"/>
      <c r="M73" s="37" t="e">
        <f t="shared" ca="1" si="4"/>
        <v>#N/A</v>
      </c>
      <c r="N73" s="99" t="e">
        <f ca="1">VLOOKUP($B73,Matrix!$H$13:$I$37,2,FALSE)&amp;"_"&amp;C73</f>
        <v>#N/A</v>
      </c>
      <c r="O73" s="110" t="e">
        <f t="shared" ca="1" si="3"/>
        <v>#N/A</v>
      </c>
    </row>
    <row r="74" spans="2:15">
      <c r="B74" s="23"/>
      <c r="C74" s="22"/>
      <c r="D74" s="102"/>
      <c r="E74" s="23"/>
      <c r="F74" s="103"/>
      <c r="G74" s="23"/>
      <c r="H74" s="103"/>
      <c r="I74" s="23"/>
      <c r="J74" s="103"/>
      <c r="K74" s="23"/>
      <c r="L74" s="103"/>
      <c r="M74" s="37" t="e">
        <f t="shared" ca="1" si="4"/>
        <v>#N/A</v>
      </c>
      <c r="N74" s="99" t="e">
        <f ca="1">VLOOKUP($B74,Matrix!$H$13:$I$37,2,FALSE)&amp;"_"&amp;C74</f>
        <v>#N/A</v>
      </c>
      <c r="O74" s="110" t="e">
        <f t="shared" ca="1" si="3"/>
        <v>#N/A</v>
      </c>
    </row>
    <row r="75" spans="2:15">
      <c r="B75" s="23"/>
      <c r="C75" s="22"/>
      <c r="D75" s="102"/>
      <c r="E75" s="23"/>
      <c r="F75" s="103"/>
      <c r="G75" s="23"/>
      <c r="H75" s="103"/>
      <c r="I75" s="23"/>
      <c r="J75" s="103"/>
      <c r="K75" s="23"/>
      <c r="L75" s="103"/>
      <c r="M75" s="37" t="e">
        <f t="shared" ca="1" si="4"/>
        <v>#N/A</v>
      </c>
      <c r="N75" s="99" t="e">
        <f ca="1">VLOOKUP($B75,Matrix!$H$13:$I$37,2,FALSE)&amp;"_"&amp;C75</f>
        <v>#N/A</v>
      </c>
      <c r="O75" s="110" t="e">
        <f t="shared" ca="1" si="3"/>
        <v>#N/A</v>
      </c>
    </row>
    <row r="76" spans="2:15">
      <c r="B76" s="23"/>
      <c r="C76" s="22"/>
      <c r="D76" s="102"/>
      <c r="E76" s="23"/>
      <c r="F76" s="103"/>
      <c r="G76" s="23"/>
      <c r="H76" s="103"/>
      <c r="I76" s="23"/>
      <c r="J76" s="103"/>
      <c r="K76" s="23"/>
      <c r="L76" s="103"/>
      <c r="M76" s="37" t="e">
        <f t="shared" ca="1" si="4"/>
        <v>#N/A</v>
      </c>
      <c r="N76" s="99" t="e">
        <f ca="1">VLOOKUP($B76,Matrix!$H$13:$I$37,2,FALSE)&amp;"_"&amp;C76</f>
        <v>#N/A</v>
      </c>
      <c r="O76" s="110" t="e">
        <f t="shared" ca="1" si="3"/>
        <v>#N/A</v>
      </c>
    </row>
    <row r="77" spans="2:15">
      <c r="B77" s="23"/>
      <c r="C77" s="22"/>
      <c r="D77" s="102"/>
      <c r="E77" s="23"/>
      <c r="F77" s="103"/>
      <c r="G77" s="23"/>
      <c r="H77" s="103"/>
      <c r="I77" s="23"/>
      <c r="J77" s="103"/>
      <c r="K77" s="23"/>
      <c r="L77" s="103"/>
      <c r="M77" s="37" t="e">
        <f t="shared" ca="1" si="4"/>
        <v>#N/A</v>
      </c>
      <c r="N77" s="99" t="e">
        <f ca="1">VLOOKUP($B77,Matrix!$H$13:$I$37,2,FALSE)&amp;"_"&amp;C77</f>
        <v>#N/A</v>
      </c>
      <c r="O77" s="110" t="e">
        <f t="shared" ca="1" si="3"/>
        <v>#N/A</v>
      </c>
    </row>
    <row r="78" spans="2:15">
      <c r="B78" s="23"/>
      <c r="C78" s="22"/>
      <c r="D78" s="102"/>
      <c r="E78" s="23"/>
      <c r="F78" s="103"/>
      <c r="G78" s="23"/>
      <c r="H78" s="103"/>
      <c r="I78" s="23"/>
      <c r="J78" s="103"/>
      <c r="K78" s="23"/>
      <c r="L78" s="103"/>
      <c r="M78" s="37" t="e">
        <f t="shared" ca="1" si="4"/>
        <v>#N/A</v>
      </c>
      <c r="N78" s="99" t="e">
        <f ca="1">VLOOKUP($B78,Matrix!$H$13:$I$37,2,FALSE)&amp;"_"&amp;C78</f>
        <v>#N/A</v>
      </c>
      <c r="O78" s="110" t="e">
        <f t="shared" ca="1" si="3"/>
        <v>#N/A</v>
      </c>
    </row>
    <row r="79" spans="2:15">
      <c r="B79" s="23"/>
      <c r="C79" s="22"/>
      <c r="D79" s="102"/>
      <c r="E79" s="23"/>
      <c r="F79" s="103"/>
      <c r="G79" s="23"/>
      <c r="H79" s="103"/>
      <c r="I79" s="23"/>
      <c r="J79" s="103"/>
      <c r="K79" s="23"/>
      <c r="L79" s="103"/>
      <c r="M79" s="37" t="e">
        <f t="shared" ca="1" si="4"/>
        <v>#N/A</v>
      </c>
      <c r="N79" s="99" t="e">
        <f ca="1">VLOOKUP($B79,Matrix!$H$13:$I$37,2,FALSE)&amp;"_"&amp;C79</f>
        <v>#N/A</v>
      </c>
      <c r="O79" s="110" t="e">
        <f t="shared" ca="1" si="3"/>
        <v>#N/A</v>
      </c>
    </row>
    <row r="80" spans="2:15">
      <c r="B80" s="23"/>
      <c r="C80" s="22"/>
      <c r="D80" s="102"/>
      <c r="E80" s="23"/>
      <c r="F80" s="103"/>
      <c r="G80" s="23"/>
      <c r="H80" s="103"/>
      <c r="I80" s="23"/>
      <c r="J80" s="103"/>
      <c r="K80" s="23"/>
      <c r="L80" s="103"/>
      <c r="M80" s="37" t="e">
        <f t="shared" ca="1" si="4"/>
        <v>#N/A</v>
      </c>
      <c r="N80" s="99" t="e">
        <f ca="1">VLOOKUP($B80,Matrix!$H$13:$I$37,2,FALSE)&amp;"_"&amp;C80</f>
        <v>#N/A</v>
      </c>
      <c r="O80" s="110" t="e">
        <f t="shared" ca="1" si="3"/>
        <v>#N/A</v>
      </c>
    </row>
    <row r="81" spans="2:15">
      <c r="B81" s="23"/>
      <c r="C81" s="22"/>
      <c r="D81" s="102"/>
      <c r="E81" s="23"/>
      <c r="F81" s="103"/>
      <c r="G81" s="23"/>
      <c r="H81" s="103"/>
      <c r="I81" s="23"/>
      <c r="J81" s="103"/>
      <c r="K81" s="23"/>
      <c r="L81" s="103"/>
      <c r="M81" s="37" t="e">
        <f t="shared" ca="1" si="4"/>
        <v>#N/A</v>
      </c>
      <c r="N81" s="99" t="e">
        <f ca="1">VLOOKUP($B81,Matrix!$H$13:$I$37,2,FALSE)&amp;"_"&amp;C81</f>
        <v>#N/A</v>
      </c>
      <c r="O81" s="110" t="e">
        <f t="shared" ca="1" si="3"/>
        <v>#N/A</v>
      </c>
    </row>
    <row r="82" spans="2:15">
      <c r="B82" s="23"/>
      <c r="C82" s="22"/>
      <c r="D82" s="102"/>
      <c r="E82" s="23"/>
      <c r="F82" s="103"/>
      <c r="G82" s="23"/>
      <c r="H82" s="103"/>
      <c r="I82" s="23"/>
      <c r="J82" s="103"/>
      <c r="K82" s="23"/>
      <c r="L82" s="103"/>
      <c r="M82" s="37" t="e">
        <f t="shared" ca="1" si="4"/>
        <v>#N/A</v>
      </c>
      <c r="N82" s="99" t="e">
        <f ca="1">VLOOKUP($B82,Matrix!$H$13:$I$37,2,FALSE)&amp;"_"&amp;C82</f>
        <v>#N/A</v>
      </c>
      <c r="O82" s="110" t="e">
        <f t="shared" ca="1" si="3"/>
        <v>#N/A</v>
      </c>
    </row>
    <row r="83" spans="2:15">
      <c r="B83" s="23"/>
      <c r="C83" s="22"/>
      <c r="D83" s="102"/>
      <c r="E83" s="23"/>
      <c r="F83" s="103"/>
      <c r="G83" s="23"/>
      <c r="H83" s="103"/>
      <c r="I83" s="23"/>
      <c r="J83" s="103"/>
      <c r="K83" s="23"/>
      <c r="L83" s="103"/>
      <c r="M83" s="37" t="e">
        <f t="shared" ca="1" si="4"/>
        <v>#N/A</v>
      </c>
      <c r="N83" s="99" t="e">
        <f ca="1">VLOOKUP($B83,Matrix!$H$13:$I$37,2,FALSE)&amp;"_"&amp;C83</f>
        <v>#N/A</v>
      </c>
      <c r="O83" s="110" t="e">
        <f t="shared" ca="1" si="3"/>
        <v>#N/A</v>
      </c>
    </row>
    <row r="84" spans="2:15">
      <c r="B84" s="23"/>
      <c r="C84" s="22"/>
      <c r="D84" s="102"/>
      <c r="E84" s="23"/>
      <c r="F84" s="103"/>
      <c r="G84" s="23"/>
      <c r="H84" s="103"/>
      <c r="I84" s="23"/>
      <c r="J84" s="103"/>
      <c r="K84" s="23"/>
      <c r="L84" s="103"/>
      <c r="M84" s="37" t="e">
        <f t="shared" ca="1" si="4"/>
        <v>#N/A</v>
      </c>
      <c r="N84" s="99" t="e">
        <f ca="1">VLOOKUP($B84,Matrix!$H$13:$I$37,2,FALSE)&amp;"_"&amp;C84</f>
        <v>#N/A</v>
      </c>
      <c r="O84" s="110" t="e">
        <f t="shared" ca="1" si="3"/>
        <v>#N/A</v>
      </c>
    </row>
    <row r="85" spans="2:15">
      <c r="B85" s="23"/>
      <c r="C85" s="22"/>
      <c r="D85" s="102"/>
      <c r="E85" s="23"/>
      <c r="F85" s="103"/>
      <c r="G85" s="23"/>
      <c r="H85" s="103"/>
      <c r="I85" s="23"/>
      <c r="J85" s="103"/>
      <c r="K85" s="23"/>
      <c r="L85" s="103"/>
      <c r="M85" s="37" t="e">
        <f t="shared" ca="1" si="4"/>
        <v>#N/A</v>
      </c>
      <c r="N85" s="99" t="e">
        <f ca="1">VLOOKUP($B85,Matrix!$H$13:$I$37,2,FALSE)&amp;"_"&amp;C85</f>
        <v>#N/A</v>
      </c>
      <c r="O85" s="110" t="e">
        <f t="shared" ca="1" si="3"/>
        <v>#N/A</v>
      </c>
    </row>
    <row r="86" spans="2:15">
      <c r="B86" s="23"/>
      <c r="C86" s="22"/>
      <c r="D86" s="102"/>
      <c r="E86" s="23"/>
      <c r="F86" s="103"/>
      <c r="G86" s="23"/>
      <c r="H86" s="103"/>
      <c r="I86" s="23"/>
      <c r="J86" s="103"/>
      <c r="K86" s="23"/>
      <c r="L86" s="103"/>
      <c r="M86" s="37" t="e">
        <f t="shared" ca="1" si="4"/>
        <v>#N/A</v>
      </c>
      <c r="N86" s="99" t="e">
        <f ca="1">VLOOKUP($B86,Matrix!$H$13:$I$37,2,FALSE)&amp;"_"&amp;C86</f>
        <v>#N/A</v>
      </c>
      <c r="O86" s="110" t="e">
        <f t="shared" ca="1" si="3"/>
        <v>#N/A</v>
      </c>
    </row>
    <row r="87" spans="2:15">
      <c r="B87" s="23"/>
      <c r="C87" s="22"/>
      <c r="D87" s="102"/>
      <c r="E87" s="23"/>
      <c r="F87" s="103"/>
      <c r="G87" s="23"/>
      <c r="H87" s="103"/>
      <c r="I87" s="23"/>
      <c r="J87" s="103"/>
      <c r="K87" s="23"/>
      <c r="L87" s="103"/>
      <c r="M87" s="37" t="e">
        <f t="shared" ca="1" si="4"/>
        <v>#N/A</v>
      </c>
      <c r="N87" s="58" t="e">
        <f ca="1">VLOOKUP($B87,Matrix!$H$13:$I$37,2,FALSE)&amp;"_"&amp;C87</f>
        <v>#N/A</v>
      </c>
      <c r="O87" s="110" t="e">
        <f t="shared" ca="1" si="3"/>
        <v>#N/A</v>
      </c>
    </row>
    <row r="88" spans="2:15">
      <c r="B88" s="23"/>
      <c r="C88" s="22"/>
      <c r="D88" s="102"/>
      <c r="E88" s="23"/>
      <c r="F88" s="103"/>
      <c r="G88" s="23"/>
      <c r="H88" s="103"/>
      <c r="I88" s="23"/>
      <c r="J88" s="103"/>
      <c r="K88" s="23"/>
      <c r="L88" s="103"/>
      <c r="M88" s="37" t="e">
        <f t="shared" ca="1" si="4"/>
        <v>#N/A</v>
      </c>
      <c r="N88" s="58" t="e">
        <f ca="1">VLOOKUP($B88,Matrix!$H$13:$I$37,2,FALSE)&amp;"_"&amp;C88</f>
        <v>#N/A</v>
      </c>
      <c r="O88" s="110" t="e">
        <f t="shared" ca="1" si="3"/>
        <v>#N/A</v>
      </c>
    </row>
    <row r="89" spans="2:15">
      <c r="B89" s="23"/>
      <c r="C89" s="22"/>
      <c r="D89" s="102"/>
      <c r="E89" s="23"/>
      <c r="F89" s="103"/>
      <c r="G89" s="23"/>
      <c r="H89" s="103"/>
      <c r="I89" s="23"/>
      <c r="J89" s="103"/>
      <c r="K89" s="23"/>
      <c r="L89" s="103"/>
      <c r="M89" s="37" t="e">
        <f t="shared" ca="1" si="4"/>
        <v>#N/A</v>
      </c>
      <c r="N89" s="58" t="e">
        <f ca="1">VLOOKUP($B89,Matrix!$H$13:$I$37,2,FALSE)&amp;"_"&amp;C89</f>
        <v>#N/A</v>
      </c>
      <c r="O89" s="110" t="e">
        <f t="shared" ca="1" si="3"/>
        <v>#N/A</v>
      </c>
    </row>
    <row r="90" spans="2:15">
      <c r="B90" s="23"/>
      <c r="C90" s="22"/>
      <c r="D90" s="102"/>
      <c r="E90" s="23"/>
      <c r="F90" s="103"/>
      <c r="G90" s="23"/>
      <c r="H90" s="103"/>
      <c r="I90" s="23"/>
      <c r="J90" s="103"/>
      <c r="K90" s="23"/>
      <c r="L90" s="103"/>
      <c r="M90" s="37" t="e">
        <f t="shared" ca="1" si="4"/>
        <v>#N/A</v>
      </c>
      <c r="N90" s="58" t="e">
        <f ca="1">VLOOKUP($B90,Matrix!$H$13:$I$37,2,FALSE)&amp;"_"&amp;C90</f>
        <v>#N/A</v>
      </c>
      <c r="O90" s="110" t="e">
        <f t="shared" ca="1" si="3"/>
        <v>#N/A</v>
      </c>
    </row>
    <row r="91" spans="2:15">
      <c r="B91" s="23"/>
      <c r="C91" s="22"/>
      <c r="D91" s="102"/>
      <c r="E91" s="23"/>
      <c r="F91" s="103"/>
      <c r="G91" s="23"/>
      <c r="H91" s="103"/>
      <c r="I91" s="23"/>
      <c r="J91" s="103"/>
      <c r="K91" s="23"/>
      <c r="L91" s="103"/>
      <c r="M91" s="37" t="e">
        <f t="shared" ca="1" si="4"/>
        <v>#N/A</v>
      </c>
      <c r="N91" s="58" t="e">
        <f ca="1">VLOOKUP($B91,Matrix!$H$13:$I$37,2,FALSE)&amp;"_"&amp;C91</f>
        <v>#N/A</v>
      </c>
      <c r="O91" s="110" t="e">
        <f t="shared" ca="1" si="3"/>
        <v>#N/A</v>
      </c>
    </row>
    <row r="92" spans="2:15">
      <c r="B92" s="23"/>
      <c r="C92" s="22"/>
      <c r="D92" s="102"/>
      <c r="E92" s="23"/>
      <c r="F92" s="103"/>
      <c r="G92" s="23"/>
      <c r="H92" s="103"/>
      <c r="I92" s="23"/>
      <c r="J92" s="103"/>
      <c r="K92" s="23"/>
      <c r="L92" s="103"/>
      <c r="M92" s="37" t="e">
        <f t="shared" ca="1" si="4"/>
        <v>#N/A</v>
      </c>
      <c r="N92" s="58" t="e">
        <f ca="1">VLOOKUP($B92,Matrix!$H$13:$I$37,2,FALSE)&amp;"_"&amp;C92</f>
        <v>#N/A</v>
      </c>
      <c r="O92" s="110" t="e">
        <f t="shared" ca="1" si="3"/>
        <v>#N/A</v>
      </c>
    </row>
    <row r="93" spans="2:15">
      <c r="B93" s="23"/>
      <c r="C93" s="22"/>
      <c r="D93" s="102"/>
      <c r="E93" s="23"/>
      <c r="F93" s="103"/>
      <c r="G93" s="23"/>
      <c r="H93" s="103"/>
      <c r="I93" s="23"/>
      <c r="J93" s="103"/>
      <c r="K93" s="23"/>
      <c r="L93" s="103"/>
      <c r="M93" s="37" t="e">
        <f t="shared" ca="1" si="4"/>
        <v>#N/A</v>
      </c>
      <c r="N93" s="58" t="e">
        <f ca="1">VLOOKUP($B93,Matrix!$H$13:$I$37,2,FALSE)&amp;"_"&amp;C93</f>
        <v>#N/A</v>
      </c>
      <c r="O93" s="110" t="e">
        <f t="shared" ca="1" si="3"/>
        <v>#N/A</v>
      </c>
    </row>
    <row r="94" spans="2:15">
      <c r="B94" s="23"/>
      <c r="C94" s="22"/>
      <c r="D94" s="102"/>
      <c r="E94" s="23"/>
      <c r="F94" s="103"/>
      <c r="G94" s="23"/>
      <c r="H94" s="103"/>
      <c r="I94" s="23"/>
      <c r="J94" s="103"/>
      <c r="K94" s="23"/>
      <c r="L94" s="103"/>
      <c r="M94" s="37" t="e">
        <f t="shared" ca="1" si="4"/>
        <v>#N/A</v>
      </c>
      <c r="N94" s="58" t="e">
        <f ca="1">VLOOKUP($B94,Matrix!$H$13:$I$37,2,FALSE)&amp;"_"&amp;C94</f>
        <v>#N/A</v>
      </c>
      <c r="O94" s="110" t="e">
        <f t="shared" ca="1" si="3"/>
        <v>#N/A</v>
      </c>
    </row>
    <row r="95" spans="2:15">
      <c r="B95" s="23"/>
      <c r="C95" s="22"/>
      <c r="D95" s="102"/>
      <c r="E95" s="23"/>
      <c r="F95" s="103"/>
      <c r="G95" s="23"/>
      <c r="H95" s="103"/>
      <c r="I95" s="23"/>
      <c r="J95" s="103"/>
      <c r="K95" s="23"/>
      <c r="L95" s="103"/>
      <c r="M95" s="37" t="e">
        <f t="shared" ca="1" si="4"/>
        <v>#N/A</v>
      </c>
      <c r="N95" s="58" t="e">
        <f ca="1">VLOOKUP($B95,Matrix!$H$13:$I$37,2,FALSE)&amp;"_"&amp;C95</f>
        <v>#N/A</v>
      </c>
      <c r="O95" s="110" t="e">
        <f t="shared" ca="1" si="3"/>
        <v>#N/A</v>
      </c>
    </row>
    <row r="96" spans="2:15">
      <c r="B96" s="23"/>
      <c r="C96" s="22"/>
      <c r="D96" s="102"/>
      <c r="E96" s="23"/>
      <c r="F96" s="103"/>
      <c r="G96" s="23"/>
      <c r="H96" s="103"/>
      <c r="I96" s="23"/>
      <c r="J96" s="103"/>
      <c r="K96" s="23"/>
      <c r="L96" s="103"/>
      <c r="M96" s="37" t="e">
        <f t="shared" ca="1" si="4"/>
        <v>#N/A</v>
      </c>
      <c r="N96" s="58" t="e">
        <f ca="1">VLOOKUP($B96,Matrix!$H$13:$I$37,2,FALSE)&amp;"_"&amp;C96</f>
        <v>#N/A</v>
      </c>
      <c r="O96" s="110" t="e">
        <f t="shared" ca="1" si="3"/>
        <v>#N/A</v>
      </c>
    </row>
    <row r="97" spans="2:15">
      <c r="B97" s="23"/>
      <c r="C97" s="22"/>
      <c r="D97" s="102"/>
      <c r="E97" s="23"/>
      <c r="F97" s="103"/>
      <c r="G97" s="23"/>
      <c r="H97" s="103"/>
      <c r="I97" s="23"/>
      <c r="J97" s="103"/>
      <c r="K97" s="23"/>
      <c r="L97" s="103"/>
      <c r="M97" s="37" t="e">
        <f t="shared" ca="1" si="4"/>
        <v>#N/A</v>
      </c>
      <c r="N97" s="58" t="e">
        <f ca="1">VLOOKUP($B97,Matrix!$H$13:$I$37,2,FALSE)&amp;"_"&amp;C97</f>
        <v>#N/A</v>
      </c>
      <c r="O97" s="110" t="e">
        <f t="shared" ca="1" si="3"/>
        <v>#N/A</v>
      </c>
    </row>
    <row r="98" spans="2:15">
      <c r="B98" s="23"/>
      <c r="C98" s="22"/>
      <c r="D98" s="102"/>
      <c r="E98" s="23"/>
      <c r="F98" s="103"/>
      <c r="G98" s="23"/>
      <c r="H98" s="103"/>
      <c r="I98" s="23"/>
      <c r="J98" s="103"/>
      <c r="K98" s="23"/>
      <c r="L98" s="103"/>
      <c r="M98" s="37" t="e">
        <f t="shared" ca="1" si="4"/>
        <v>#N/A</v>
      </c>
      <c r="N98" s="58" t="e">
        <f ca="1">VLOOKUP($B98,Matrix!$H$13:$I$37,2,FALSE)&amp;"_"&amp;C98</f>
        <v>#N/A</v>
      </c>
      <c r="O98" s="110" t="e">
        <f t="shared" ca="1" si="3"/>
        <v>#N/A</v>
      </c>
    </row>
    <row r="99" spans="2:15">
      <c r="B99" s="23"/>
      <c r="C99" s="22"/>
      <c r="D99" s="102"/>
      <c r="E99" s="23"/>
      <c r="F99" s="103"/>
      <c r="G99" s="23"/>
      <c r="H99" s="103"/>
      <c r="I99" s="23"/>
      <c r="J99" s="103"/>
      <c r="K99" s="23"/>
      <c r="L99" s="103"/>
      <c r="M99" s="37" t="e">
        <f t="shared" ca="1" si="4"/>
        <v>#N/A</v>
      </c>
      <c r="N99" s="58" t="e">
        <f ca="1">VLOOKUP($B99,Matrix!$H$13:$I$37,2,FALSE)&amp;"_"&amp;C99</f>
        <v>#N/A</v>
      </c>
      <c r="O99" s="110" t="e">
        <f t="shared" ca="1" si="3"/>
        <v>#N/A</v>
      </c>
    </row>
    <row r="100" spans="2:15">
      <c r="B100" s="23"/>
      <c r="C100" s="22"/>
      <c r="D100" s="102"/>
      <c r="E100" s="23"/>
      <c r="F100" s="103"/>
      <c r="G100" s="23"/>
      <c r="H100" s="103"/>
      <c r="I100" s="23"/>
      <c r="J100" s="103"/>
      <c r="K100" s="23"/>
      <c r="L100" s="103"/>
      <c r="M100" s="37" t="e">
        <f t="shared" ca="1" si="4"/>
        <v>#N/A</v>
      </c>
      <c r="N100" s="58" t="e">
        <f ca="1">VLOOKUP($B100,Matrix!$H$13:$I$37,2,FALSE)&amp;"_"&amp;C100</f>
        <v>#N/A</v>
      </c>
      <c r="O100" s="110" t="e">
        <f t="shared" ref="O100:O103" ca="1" si="5">"#define "&amp;N100&amp;REPT(" ",48-M100)&amp;"("&amp;D100&amp;"U)"</f>
        <v>#N/A</v>
      </c>
    </row>
    <row r="101" spans="2:15">
      <c r="B101" s="23"/>
      <c r="C101" s="22"/>
      <c r="D101" s="102"/>
      <c r="E101" s="23"/>
      <c r="F101" s="103"/>
      <c r="G101" s="23"/>
      <c r="H101" s="103"/>
      <c r="I101" s="23"/>
      <c r="J101" s="103"/>
      <c r="K101" s="23"/>
      <c r="L101" s="103"/>
      <c r="M101" s="37" t="e">
        <f t="shared" ca="1" si="4"/>
        <v>#N/A</v>
      </c>
      <c r="N101" s="58" t="e">
        <f ca="1">VLOOKUP($B101,Matrix!$H$13:$I$37,2,FALSE)&amp;"_"&amp;C101</f>
        <v>#N/A</v>
      </c>
      <c r="O101" s="110" t="e">
        <f t="shared" ca="1" si="5"/>
        <v>#N/A</v>
      </c>
    </row>
    <row r="102" spans="2:15">
      <c r="B102" s="23"/>
      <c r="C102" s="22"/>
      <c r="D102" s="102"/>
      <c r="E102" s="23"/>
      <c r="F102" s="103"/>
      <c r="G102" s="23"/>
      <c r="H102" s="103"/>
      <c r="I102" s="23"/>
      <c r="J102" s="103"/>
      <c r="K102" s="23"/>
      <c r="L102" s="103"/>
      <c r="M102" s="37" t="e">
        <f t="shared" ca="1" si="4"/>
        <v>#N/A</v>
      </c>
      <c r="N102" s="58" t="e">
        <f ca="1">VLOOKUP($B102,Matrix!$H$13:$I$37,2,FALSE)&amp;"_"&amp;C102</f>
        <v>#N/A</v>
      </c>
      <c r="O102" s="110" t="e">
        <f t="shared" ca="1" si="5"/>
        <v>#N/A</v>
      </c>
    </row>
    <row r="103" spans="2:15" ht="13.5" thickBot="1">
      <c r="B103" s="43"/>
      <c r="C103" s="44"/>
      <c r="D103" s="104"/>
      <c r="E103" s="43"/>
      <c r="F103" s="105"/>
      <c r="G103" s="43"/>
      <c r="H103" s="105"/>
      <c r="I103" s="43"/>
      <c r="J103" s="105"/>
      <c r="K103" s="43"/>
      <c r="L103" s="105"/>
      <c r="M103" s="45" t="e">
        <f t="shared" ca="1" si="4"/>
        <v>#N/A</v>
      </c>
      <c r="N103" s="59"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2" t="s">
        <v>120</v>
      </c>
      <c r="C2" s="275" t="s">
        <v>81</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77" t="s">
        <v>151</v>
      </c>
    </row>
    <row r="3" spans="1:49" ht="213" customHeight="1" thickBot="1">
      <c r="B3" s="119" t="s">
        <v>195</v>
      </c>
      <c r="C3" s="276"/>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197</v>
      </c>
      <c r="AG3" s="115" t="s">
        <v>66</v>
      </c>
      <c r="AH3" s="214" t="s">
        <v>286</v>
      </c>
      <c r="AI3" s="208" t="s">
        <v>250</v>
      </c>
      <c r="AJ3" s="278"/>
      <c r="AR3" s="80" t="s">
        <v>93</v>
      </c>
    </row>
    <row r="4" spans="1:49" ht="13.5" thickBot="1">
      <c r="A4" s="279" t="s">
        <v>63</v>
      </c>
      <c r="B4" s="280"/>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17"/>
      <c r="AR4" s="68" t="s">
        <v>79</v>
      </c>
      <c r="AS4" s="69"/>
      <c r="AT4" s="69"/>
      <c r="AU4" s="69"/>
      <c r="AV4" s="69"/>
      <c r="AW4" s="70"/>
    </row>
    <row r="5" spans="1:49" ht="13.5" thickBot="1">
      <c r="A5" s="281"/>
      <c r="B5" s="282"/>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18"/>
      <c r="AR5" s="71" t="str">
        <f ca="1">"static const U4  "&amp;AW8&amp;"["&amp;AW10&amp;"]"&amp;" = {"</f>
        <v>static const U4  u4_sp_ALERT_C_TRCOFF_CRIT[ALERT_C_TRCOFF_NUM_DST] = {</v>
      </c>
      <c r="AS5" s="71" t="str">
        <f ca="1">"static const U4  "&amp;$AW$9&amp;"["&amp;$AW$10&amp;"] = {"</f>
        <v>static const U4  u4_sp_ALERT_C_TRCOFF_MASK[ALERT_C_TRCOFF_NUM_DST] = {</v>
      </c>
      <c r="AT5" s="71" t="str">
        <f ca="1">"static const U1  "&amp;$AW$11&amp;"["&amp;$AW$10&amp;"] = {"</f>
        <v>static const U1  u1_sp_ALERT_C_TRCOFF_DST[ALERT_C_TRCOFF_NUM_DST] = {</v>
      </c>
      <c r="AU5" s="71" t="str">
        <f ca="1">"const ST_ALERT_MTRX "&amp;$AW$12&amp;" = {"</f>
        <v>const ST_ALERT_MTRX st_gp_ALERT_C_TRCOFF_MTRX[1] = {</v>
      </c>
      <c r="AV5" s="55" t="str">
        <f ca="1">"#define "&amp;AW10&amp;REPT(" ",41-LEN(AW10))&amp;"("&amp;AW13&amp;"U)"</f>
        <v>#define ALERT_C_TRCOFF_NUM_DST                   (4U)</v>
      </c>
      <c r="AW5" s="56"/>
    </row>
    <row r="6" spans="1:49">
      <c r="B6" s="121" t="str">
        <f ca="1">"Table "&amp;$AW$6</f>
        <v>Table C_TRCOFF</v>
      </c>
      <c r="C6" s="42">
        <f>ROW()-ROW($C$6)</f>
        <v>0</v>
      </c>
      <c r="D6" s="116" t="s">
        <v>191</v>
      </c>
      <c r="E6" s="116" t="s">
        <v>191</v>
      </c>
      <c r="F6" s="116" t="s">
        <v>191</v>
      </c>
      <c r="G6" s="116" t="s">
        <v>191</v>
      </c>
      <c r="H6" s="116" t="s">
        <v>191</v>
      </c>
      <c r="I6" s="116" t="s">
        <v>192</v>
      </c>
      <c r="J6" s="116" t="s">
        <v>188</v>
      </c>
      <c r="K6" s="116" t="s">
        <v>193</v>
      </c>
      <c r="L6" s="116" t="s">
        <v>191</v>
      </c>
      <c r="M6" s="116" t="s">
        <v>192</v>
      </c>
      <c r="N6" s="116" t="s">
        <v>192</v>
      </c>
      <c r="O6" s="116" t="s">
        <v>192</v>
      </c>
      <c r="P6" s="116" t="s">
        <v>192</v>
      </c>
      <c r="Q6" s="116" t="s">
        <v>192</v>
      </c>
      <c r="R6" s="116" t="s">
        <v>192</v>
      </c>
      <c r="S6" s="116" t="s">
        <v>192</v>
      </c>
      <c r="T6" s="116" t="s">
        <v>192</v>
      </c>
      <c r="U6" s="116" t="s">
        <v>192</v>
      </c>
      <c r="V6" s="116" t="s">
        <v>192</v>
      </c>
      <c r="W6" s="116" t="s">
        <v>192</v>
      </c>
      <c r="X6" s="116" t="s">
        <v>192</v>
      </c>
      <c r="Y6" s="116" t="s">
        <v>188</v>
      </c>
      <c r="Z6" s="116" t="s">
        <v>188</v>
      </c>
      <c r="AA6" s="116" t="s">
        <v>188</v>
      </c>
      <c r="AB6" s="116" t="s">
        <v>188</v>
      </c>
      <c r="AC6" s="116" t="s">
        <v>188</v>
      </c>
      <c r="AD6" s="116" t="s">
        <v>188</v>
      </c>
      <c r="AE6" s="116" t="s">
        <v>188</v>
      </c>
      <c r="AF6" s="116" t="s">
        <v>198</v>
      </c>
      <c r="AG6" s="178" t="s">
        <v>252</v>
      </c>
      <c r="AH6" s="178">
        <v>0</v>
      </c>
      <c r="AI6" s="178">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(U4)0x00000003U,                                                           /* 00 UNKNOWN                                         */</v>
      </c>
      <c r="AT6" s="53" t="str">
        <f t="shared" ref="AT6:AT69" si="1">IF(AJ6&lt;&gt;"",AL6&amp;IF(AJ7&lt;&gt;"",","," ")&amp;REPT(" ",78-LEN(AL6))&amp;"/* "&amp;IF(C6&lt;10,"0"&amp;C6,C6)&amp;" "&amp;AJ6&amp;REPT(" ",48-LEN(AJ6))&amp;"*/",IF(AJ5&lt;&gt;"","};",""))</f>
        <v xml:space="preserve">    (U1)ALERT_REQ_UNKNOWN,                                                     /* 00 UNKNOWN                                         */</v>
      </c>
      <c r="AU6" s="53" t="s">
        <v>273</v>
      </c>
      <c r="AV6" s="38" t="s">
        <v>68</v>
      </c>
      <c r="AW6" s="57" t="str">
        <f ca="1">UPPER(RIGHT(CELL("filename",A1),LEN(CELL("filename",A1))-FIND("]",CELL("filename",A1))))</f>
        <v>C_TRCOFF</v>
      </c>
    </row>
    <row r="7" spans="1:49">
      <c r="B7" s="121"/>
      <c r="C7" s="37">
        <f t="shared" ref="C7:C69" si="2">ROW()-ROW($C$6)</f>
        <v>1</v>
      </c>
      <c r="D7" s="51" t="s">
        <v>192</v>
      </c>
      <c r="E7" s="51" t="s">
        <v>192</v>
      </c>
      <c r="F7" s="51" t="s">
        <v>192</v>
      </c>
      <c r="G7" s="51" t="s">
        <v>193</v>
      </c>
      <c r="H7" s="51" t="s">
        <v>192</v>
      </c>
      <c r="I7" s="51" t="s">
        <v>192</v>
      </c>
      <c r="J7" s="116" t="s">
        <v>188</v>
      </c>
      <c r="K7" s="116" t="s">
        <v>192</v>
      </c>
      <c r="L7" s="51" t="s">
        <v>192</v>
      </c>
      <c r="M7" s="51" t="s">
        <v>192</v>
      </c>
      <c r="N7" s="51" t="s">
        <v>192</v>
      </c>
      <c r="O7" s="51" t="s">
        <v>192</v>
      </c>
      <c r="P7" s="51" t="s">
        <v>192</v>
      </c>
      <c r="Q7" s="51" t="s">
        <v>192</v>
      </c>
      <c r="R7" s="51" t="s">
        <v>192</v>
      </c>
      <c r="S7" s="51" t="s">
        <v>192</v>
      </c>
      <c r="T7" s="51" t="s">
        <v>192</v>
      </c>
      <c r="U7" s="51" t="s">
        <v>192</v>
      </c>
      <c r="V7" s="51" t="s">
        <v>192</v>
      </c>
      <c r="W7" s="51" t="s">
        <v>192</v>
      </c>
      <c r="X7" s="51" t="s">
        <v>192</v>
      </c>
      <c r="Y7" s="116" t="s">
        <v>188</v>
      </c>
      <c r="Z7" s="116" t="s">
        <v>188</v>
      </c>
      <c r="AA7" s="116" t="s">
        <v>188</v>
      </c>
      <c r="AB7" s="116" t="s">
        <v>188</v>
      </c>
      <c r="AC7" s="116" t="s">
        <v>188</v>
      </c>
      <c r="AD7" s="116" t="s">
        <v>188</v>
      </c>
      <c r="AE7" s="116" t="s">
        <v>188</v>
      </c>
      <c r="AF7" s="116" t="s">
        <v>198</v>
      </c>
      <c r="AG7" s="178" t="s">
        <v>252</v>
      </c>
      <c r="AH7" s="178">
        <v>0</v>
      </c>
      <c r="AI7" s="178">
        <v>1</v>
      </c>
      <c r="AJ7" s="41" t="s">
        <v>255</v>
      </c>
      <c r="AL7" t="str">
        <f t="shared" ca="1" si="0"/>
        <v xml:space="preserve">    (U1)ALERT_REQ_C_TRCOFF_MALFUNC</v>
      </c>
      <c r="AR7" s="53" t="str">
        <f t="shared" ref="AR7:AR70" si="3">IF(AQ72&lt;&gt;"",AQ72,IF(AQ71&lt;&gt;"","};",""))</f>
        <v xml:space="preserve">    (U4)0x00000001U,                                                           /* 01 MALFUNC                                         */</v>
      </c>
      <c r="AS7" s="53" t="str">
        <f t="shared" ref="AS7:AS70" si="4">IF(AQ137&lt;&gt;"",AQ137,IF(AQ136&lt;&gt;"","};",""))</f>
        <v xml:space="preserve">    (U4)0x00000003U,                                                           /* 01 MALFUNC                                         */</v>
      </c>
      <c r="AT7" s="53" t="str">
        <f t="shared" ca="1" si="1"/>
        <v xml:space="preserve">    (U1)ALERT_REQ_C_TRCOFF_MALFUNC,                                            /* 01 MALFUNC                                         */</v>
      </c>
      <c r="AU7" s="53" t="str">
        <f ca="1">"        &amp;"&amp;$AW$14&amp;","&amp;REPT(" ",69-LEN($AW$14))&amp;"/* fp_u4_SRC_CHK                                      */"</f>
        <v xml:space="preserve">        &amp;u4_s_AlertC_trcoffSrcchk,                                             /* fp_u4_SRC_CHK                                      */</v>
      </c>
      <c r="AV7" s="39" t="s">
        <v>69</v>
      </c>
      <c r="AW7" s="120">
        <f>IF(B3="Search Table",1,0)</f>
        <v>0</v>
      </c>
    </row>
    <row r="8" spans="1:49">
      <c r="B8" s="121"/>
      <c r="C8" s="37">
        <f t="shared" si="2"/>
        <v>2</v>
      </c>
      <c r="D8" s="51" t="s">
        <v>192</v>
      </c>
      <c r="E8" s="51" t="s">
        <v>192</v>
      </c>
      <c r="F8" s="51" t="s">
        <v>192</v>
      </c>
      <c r="G8" s="51" t="s">
        <v>192</v>
      </c>
      <c r="H8" s="51" t="s">
        <v>192</v>
      </c>
      <c r="I8" s="51" t="s">
        <v>192</v>
      </c>
      <c r="J8" s="116" t="s">
        <v>188</v>
      </c>
      <c r="K8" s="51" t="s">
        <v>192</v>
      </c>
      <c r="L8" s="51" t="s">
        <v>192</v>
      </c>
      <c r="M8" s="51" t="s">
        <v>192</v>
      </c>
      <c r="N8" s="51" t="s">
        <v>192</v>
      </c>
      <c r="O8" s="51" t="s">
        <v>192</v>
      </c>
      <c r="P8" s="51" t="s">
        <v>192</v>
      </c>
      <c r="Q8" s="51" t="s">
        <v>192</v>
      </c>
      <c r="R8" s="51" t="s">
        <v>192</v>
      </c>
      <c r="S8" s="51" t="s">
        <v>192</v>
      </c>
      <c r="T8" s="51" t="s">
        <v>192</v>
      </c>
      <c r="U8" s="51" t="s">
        <v>192</v>
      </c>
      <c r="V8" s="51" t="s">
        <v>192</v>
      </c>
      <c r="W8" s="51" t="s">
        <v>192</v>
      </c>
      <c r="X8" s="51" t="s">
        <v>192</v>
      </c>
      <c r="Y8" s="116" t="s">
        <v>188</v>
      </c>
      <c r="Z8" s="116" t="s">
        <v>188</v>
      </c>
      <c r="AA8" s="116" t="s">
        <v>188</v>
      </c>
      <c r="AB8" s="116" t="s">
        <v>188</v>
      </c>
      <c r="AC8" s="116" t="s">
        <v>188</v>
      </c>
      <c r="AD8" s="116" t="s">
        <v>188</v>
      </c>
      <c r="AE8" s="116" t="s">
        <v>188</v>
      </c>
      <c r="AF8" s="116" t="s">
        <v>199</v>
      </c>
      <c r="AG8" s="178" t="s">
        <v>252</v>
      </c>
      <c r="AH8" s="178">
        <v>1</v>
      </c>
      <c r="AI8" s="178">
        <v>0</v>
      </c>
      <c r="AJ8" s="41" t="s">
        <v>32</v>
      </c>
      <c r="AL8" t="str">
        <f t="shared" si="0"/>
        <v xml:space="preserve">    (U1)ALERT_REQ_UNKNOWN</v>
      </c>
      <c r="AR8" s="53" t="str">
        <f t="shared" si="3"/>
        <v xml:space="preserve">    (U4)0x00000002U,                                                           /* 02 UNKNOWN                                         */</v>
      </c>
      <c r="AS8" s="53" t="str">
        <f t="shared" si="4"/>
        <v xml:space="preserve">    (U4)0x00000003U,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70</v>
      </c>
      <c r="AW8" s="58" t="str">
        <f ca="1">"u4_sp_ALERT_"&amp;IF(AW6&lt;&gt;AW17,$AW$17&amp;"_"&amp;$AW$6,AW17)&amp;"_CRIT"</f>
        <v>u4_sp_ALERT_C_TRCOFF_CRIT</v>
      </c>
    </row>
    <row r="9" spans="1:49">
      <c r="B9" s="121"/>
      <c r="C9" s="37">
        <f t="shared" si="2"/>
        <v>3</v>
      </c>
      <c r="D9" s="51" t="s">
        <v>192</v>
      </c>
      <c r="E9" s="51" t="s">
        <v>192</v>
      </c>
      <c r="F9" s="51" t="s">
        <v>192</v>
      </c>
      <c r="G9" s="51" t="s">
        <v>192</v>
      </c>
      <c r="H9" s="51" t="s">
        <v>192</v>
      </c>
      <c r="I9" s="51" t="s">
        <v>192</v>
      </c>
      <c r="J9" s="116" t="s">
        <v>188</v>
      </c>
      <c r="K9" s="51" t="s">
        <v>192</v>
      </c>
      <c r="L9" s="51" t="s">
        <v>192</v>
      </c>
      <c r="M9" s="51" t="s">
        <v>192</v>
      </c>
      <c r="N9" s="51" t="s">
        <v>192</v>
      </c>
      <c r="O9" s="51" t="s">
        <v>192</v>
      </c>
      <c r="P9" s="51" t="s">
        <v>192</v>
      </c>
      <c r="Q9" s="51" t="s">
        <v>192</v>
      </c>
      <c r="R9" s="51" t="s">
        <v>192</v>
      </c>
      <c r="S9" s="51" t="s">
        <v>192</v>
      </c>
      <c r="T9" s="51" t="s">
        <v>192</v>
      </c>
      <c r="U9" s="51" t="s">
        <v>192</v>
      </c>
      <c r="V9" s="51" t="s">
        <v>192</v>
      </c>
      <c r="W9" s="51" t="s">
        <v>192</v>
      </c>
      <c r="X9" s="51" t="s">
        <v>192</v>
      </c>
      <c r="Y9" s="116" t="s">
        <v>188</v>
      </c>
      <c r="Z9" s="116" t="s">
        <v>188</v>
      </c>
      <c r="AA9" s="116" t="s">
        <v>188</v>
      </c>
      <c r="AB9" s="116" t="s">
        <v>188</v>
      </c>
      <c r="AC9" s="116" t="s">
        <v>188</v>
      </c>
      <c r="AD9" s="116" t="s">
        <v>188</v>
      </c>
      <c r="AE9" s="116" t="s">
        <v>188</v>
      </c>
      <c r="AF9" s="116" t="s">
        <v>199</v>
      </c>
      <c r="AG9" s="51" t="s">
        <v>252</v>
      </c>
      <c r="AH9" s="51">
        <v>1</v>
      </c>
      <c r="AI9" s="51">
        <v>1</v>
      </c>
      <c r="AJ9" s="41" t="s">
        <v>32</v>
      </c>
      <c r="AL9" t="str">
        <f t="shared" si="0"/>
        <v xml:space="preserve">    (U1)ALERT_REQ_UNKNOWN</v>
      </c>
      <c r="AR9" s="53" t="str">
        <f t="shared" si="3"/>
        <v xml:space="preserve">    (U4)0x00000003U                                                            /* 03 UNKNOWN                                         */</v>
      </c>
      <c r="AS9" s="53" t="str">
        <f t="shared" si="4"/>
        <v xml:space="preserve">    (U4)0x00000003U                                                            /* 03 UNKNOWN                                         */</v>
      </c>
      <c r="AT9" s="53" t="str">
        <f t="shared" si="1"/>
        <v xml:space="preserve">    (U1)ALERT_REQ_UNKNOWN                                                      /* 03 UNKNOWN                                         */</v>
      </c>
      <c r="AU9" s="53"/>
      <c r="AV9" s="39" t="s">
        <v>71</v>
      </c>
      <c r="AW9" s="58" t="str">
        <f ca="1">"u4_sp_ALERT_"&amp;IF(AW6&lt;&gt;AW17,$AW$17&amp;"_"&amp;$AW$6,AW17)&amp;"_MASK"</f>
        <v>u4_sp_ALERT_C_TRCOFF_MASK</v>
      </c>
    </row>
    <row r="10" spans="1:49">
      <c r="B10" s="121"/>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16" t="s">
        <v>200</v>
      </c>
      <c r="AG10" s="51" t="s">
        <v>252</v>
      </c>
      <c r="AH10" s="51" t="s">
        <v>252</v>
      </c>
      <c r="AI10" s="51" t="s">
        <v>252</v>
      </c>
      <c r="AJ10" s="41"/>
      <c r="AL10" t="str">
        <f t="shared" ca="1" si="0"/>
        <v xml:space="preserve">    (U1)ALERT_REQ_C_TRCOFF_</v>
      </c>
      <c r="AR10" s="53" t="str">
        <f t="shared" si="3"/>
        <v>};</v>
      </c>
      <c r="AS10" s="53" t="str">
        <f t="shared" si="4"/>
        <v>};</v>
      </c>
      <c r="AT10" s="53" t="str">
        <f t="shared" si="1"/>
        <v>};</v>
      </c>
      <c r="AU10" s="53" t="str">
        <f>IF($AW$7=1,"        &amp;"&amp;$AW$9&amp;"[0],"&amp;REPT(" ",66-LEN($AW$9))&amp;"/* u4p_MASK                                           */","        (const U4 *)vdp_PTR_NA,                                                /* u4p_MASK                                           */")</f>
        <v xml:space="preserve">        (const U4 *)vdp_PTR_NA,                                                /* u4p_MASK                                           */</v>
      </c>
      <c r="AV10" s="39" t="s">
        <v>72</v>
      </c>
      <c r="AW10" s="58" t="str">
        <f ca="1">"ALERT_"&amp;IF(AW6&lt;&gt;AW17,$AW$17&amp;"_"&amp;$AW$6,AW17)&amp;"_NUM_DST"</f>
        <v>ALERT_C_TRCOFF_NUM_DST</v>
      </c>
    </row>
    <row r="11" spans="1:49">
      <c r="B11" s="121"/>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16" t="s">
        <v>198</v>
      </c>
      <c r="AG11" s="51" t="s">
        <v>252</v>
      </c>
      <c r="AH11" s="51" t="s">
        <v>252</v>
      </c>
      <c r="AI11" s="51" t="s">
        <v>252</v>
      </c>
      <c r="AJ11" s="41"/>
      <c r="AL11" t="str">
        <f t="shared" ca="1" si="0"/>
        <v xml:space="preserve">    (U1)ALERT_REQ_C_TRCOFF_</v>
      </c>
      <c r="AR11" s="53" t="str">
        <f t="shared" si="3"/>
        <v/>
      </c>
      <c r="AS11" s="53" t="str">
        <f t="shared" si="4"/>
        <v/>
      </c>
      <c r="AT11" s="53" t="str">
        <f t="shared" si="1"/>
        <v/>
      </c>
      <c r="AU11" s="53" t="str">
        <f>IF($AW$7=1,"        &amp;"&amp;$AW$8&amp;"[0],"&amp;REPT(" ",66-LEN($AW$8))&amp;"/* u4p_CRIT                                           */","        (const U4 *)vdp_PTR_NA,                                                /* u4p_CRIT                                           */")</f>
        <v xml:space="preserve">        (const U4 *)vdp_PTR_NA,                                                /* u4p_CRIT                                           */</v>
      </c>
      <c r="AV11" s="39" t="s">
        <v>73</v>
      </c>
      <c r="AW11" s="58" t="str">
        <f ca="1">"u1_sp_ALERT_"&amp;IF(AW6&lt;&gt;AW17,$AW$17&amp;"_"&amp;$AW$6,AW17)&amp;"_DST"</f>
        <v>u1_sp_ALERT_C_TRCOFF_DST</v>
      </c>
    </row>
    <row r="12" spans="1:49">
      <c r="B12" s="121"/>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6" t="s">
        <v>67</v>
      </c>
      <c r="AF12" s="116" t="s">
        <v>200</v>
      </c>
      <c r="AG12" s="51" t="s">
        <v>252</v>
      </c>
      <c r="AH12" s="51" t="s">
        <v>252</v>
      </c>
      <c r="AI12" s="51" t="s">
        <v>252</v>
      </c>
      <c r="AJ12" s="41"/>
      <c r="AL12" t="str">
        <f t="shared" ca="1" si="0"/>
        <v xml:space="preserve">    (U1)ALERT_REQ_C_TRCOFF_</v>
      </c>
      <c r="AR12" s="53" t="str">
        <f t="shared" si="3"/>
        <v/>
      </c>
      <c r="AS12" s="53" t="str">
        <f t="shared" si="4"/>
        <v/>
      </c>
      <c r="AT12" s="53" t="str">
        <f t="shared" si="1"/>
        <v/>
      </c>
      <c r="AU12" s="53"/>
      <c r="AV12" s="39" t="s">
        <v>85</v>
      </c>
      <c r="AW12" s="58" t="str">
        <f ca="1">Matrix!D8&amp;"["&amp;Matrix!D7&amp;"]"</f>
        <v>st_gp_ALERT_C_TRCOFF_MTRX[1]</v>
      </c>
    </row>
    <row r="13" spans="1:49">
      <c r="B13" s="121"/>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16" t="s">
        <v>198</v>
      </c>
      <c r="AG13" s="51" t="s">
        <v>252</v>
      </c>
      <c r="AH13" s="51" t="s">
        <v>252</v>
      </c>
      <c r="AI13" s="51" t="s">
        <v>252</v>
      </c>
      <c r="AJ13" s="41"/>
      <c r="AL13" t="str">
        <f t="shared" ca="1" si="0"/>
        <v xml:space="preserve">    (U1)ALERT_REQ_C_TRCOFF_</v>
      </c>
      <c r="AR13" s="53" t="str">
        <f t="shared" si="3"/>
        <v/>
      </c>
      <c r="AS13" s="53" t="str">
        <f t="shared" si="4"/>
        <v/>
      </c>
      <c r="AT13" s="53" t="str">
        <f t="shared" si="1"/>
        <v/>
      </c>
      <c r="AU13" s="53" t="str">
        <f ca="1">"        &amp;"&amp;$AW$11&amp;"[0],"&amp;REPT(" ",66-LEN($AW$11))&amp;"/* u1p_DST                                            */"</f>
        <v xml:space="preserve">        &amp;u1_sp_ALERT_C_TRCOFF_DST[0],                                          /* u1p_DST                                            */</v>
      </c>
      <c r="AV13" s="39" t="s">
        <v>74</v>
      </c>
      <c r="AW13" s="120">
        <f>COUNTA($AJ$6:$AJ$69)</f>
        <v>4</v>
      </c>
    </row>
    <row r="14" spans="1:49">
      <c r="B14" s="121"/>
      <c r="C14" s="37">
        <f t="shared" si="2"/>
        <v>8</v>
      </c>
      <c r="D14" s="51" t="s">
        <v>67</v>
      </c>
      <c r="E14" s="51" t="s">
        <v>67</v>
      </c>
      <c r="F14" s="51" t="s">
        <v>67</v>
      </c>
      <c r="G14" s="51" t="s">
        <v>67</v>
      </c>
      <c r="H14" s="51" t="s">
        <v>67</v>
      </c>
      <c r="I14" s="51" t="s">
        <v>67</v>
      </c>
      <c r="J14" s="51" t="s">
        <v>67</v>
      </c>
      <c r="K14" s="51" t="s">
        <v>188</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16" t="s">
        <v>200</v>
      </c>
      <c r="AG14" s="116" t="s">
        <v>200</v>
      </c>
      <c r="AH14" s="116" t="s">
        <v>200</v>
      </c>
      <c r="AI14" s="116" t="s">
        <v>200</v>
      </c>
      <c r="AJ14" s="41"/>
      <c r="AL14" t="str">
        <f t="shared" ca="1" si="0"/>
        <v xml:space="preserve">    (U1)ALERT_REQ_C_TRCOFF_</v>
      </c>
      <c r="AR14" s="53" t="str">
        <f t="shared" si="3"/>
        <v/>
      </c>
      <c r="AS14" s="53" t="str">
        <f t="shared" si="4"/>
        <v/>
      </c>
      <c r="AT14" s="53" t="str">
        <f t="shared" si="1"/>
        <v/>
      </c>
      <c r="AU14" s="53" t="str">
        <f ca="1">"        (U2)"&amp;$AW$10&amp;","&amp;REPT(" ",66-LEN($AW$10))&amp;"/* u2_num_srch                                        */"</f>
        <v xml:space="preserve">        (U2)ALERT_C_TRCOFF_NUM_DST,                                            /* u2_num_srch                                        */</v>
      </c>
      <c r="AV14" s="39" t="s">
        <v>75</v>
      </c>
      <c r="AW14" s="58" t="str">
        <f ca="1">IF(AW6&lt;&gt;AW17,VLOOKUP(AW6,Matrix!$C$13:$G$37,4,FALSE),Matrix!F13)</f>
        <v>u4_s_AlertC_trcoffSrcchk</v>
      </c>
    </row>
    <row r="15" spans="1:49">
      <c r="B15" s="121"/>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16" t="s">
        <v>200</v>
      </c>
      <c r="AG15" s="116" t="s">
        <v>200</v>
      </c>
      <c r="AH15" s="116" t="s">
        <v>198</v>
      </c>
      <c r="AI15" s="116" t="s">
        <v>198</v>
      </c>
      <c r="AJ15" s="41"/>
      <c r="AL15" t="str">
        <f t="shared" ca="1" si="0"/>
        <v xml:space="preserve">    (U1)ALERT_REQ_C_TRCOFF_</v>
      </c>
      <c r="AR15" s="53" t="str">
        <f t="shared" si="3"/>
        <v/>
      </c>
      <c r="AS15" s="53" t="str">
        <f t="shared" si="4"/>
        <v/>
      </c>
      <c r="AT15" s="53" t="str">
        <f t="shared" si="1"/>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16" t="s">
        <v>200</v>
      </c>
      <c r="AG16" s="116" t="s">
        <v>200</v>
      </c>
      <c r="AH16" s="116" t="s">
        <v>200</v>
      </c>
      <c r="AI16" s="116" t="s">
        <v>200</v>
      </c>
      <c r="AJ16" s="41"/>
      <c r="AL16" t="str">
        <f t="shared" ca="1" si="0"/>
        <v xml:space="preserve">    (U1)ALERT_REQ_C_TRCOFF_</v>
      </c>
      <c r="AR16" s="53" t="str">
        <f t="shared" si="3"/>
        <v/>
      </c>
      <c r="AS16" s="53" t="str">
        <f t="shared" si="4"/>
        <v/>
      </c>
      <c r="AT16" s="53" t="str">
        <f t="shared" si="1"/>
        <v/>
      </c>
      <c r="AU16" s="53" t="s">
        <v>274</v>
      </c>
      <c r="AV16" s="39" t="s">
        <v>76</v>
      </c>
      <c r="AW16" s="58" t="str">
        <f ca="1">IF(AW6&lt;&gt;AW17,VLOOKUP(AW6,Matrix!$C$13:$G$37,2,FALSE),Matrix!D13)</f>
        <v>ALERT_VOM_IGN_ON</v>
      </c>
    </row>
    <row r="17" spans="2:49" ht="13.5" thickBot="1">
      <c r="B17" s="121"/>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201</v>
      </c>
      <c r="AE17" s="51" t="s">
        <v>67</v>
      </c>
      <c r="AF17" s="116" t="s">
        <v>199</v>
      </c>
      <c r="AG17" s="116" t="s">
        <v>199</v>
      </c>
      <c r="AH17" s="116" t="s">
        <v>200</v>
      </c>
      <c r="AI17" s="116" t="s">
        <v>198</v>
      </c>
      <c r="AJ17" s="41"/>
      <c r="AL17" t="str">
        <f t="shared" ca="1" si="0"/>
        <v xml:space="preserve">    (U1)ALERT_REQ_C_TRCOFF_</v>
      </c>
      <c r="AR17" s="53" t="str">
        <f t="shared" si="3"/>
        <v/>
      </c>
      <c r="AS17" s="53" t="str">
        <f t="shared" si="4"/>
        <v/>
      </c>
      <c r="AT17" s="53" t="str">
        <f t="shared" si="1"/>
        <v/>
      </c>
      <c r="AU17" s="54" t="s">
        <v>275</v>
      </c>
      <c r="AV17" s="40" t="s">
        <v>77</v>
      </c>
      <c r="AW17" s="59" t="str">
        <f ca="1">UPPER(Matrix!$D$6)</f>
        <v>C_TRCOFF</v>
      </c>
    </row>
    <row r="18" spans="2:49">
      <c r="B18" s="121"/>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16" t="s">
        <v>200</v>
      </c>
      <c r="AG18" s="116" t="s">
        <v>199</v>
      </c>
      <c r="AH18" s="116" t="s">
        <v>200</v>
      </c>
      <c r="AI18" s="116" t="s">
        <v>200</v>
      </c>
      <c r="AJ18" s="41"/>
      <c r="AL18" t="str">
        <f t="shared" ca="1" si="0"/>
        <v xml:space="preserve">    (U1)ALERT_REQ_C_TRCOFF_</v>
      </c>
      <c r="AR18" s="53" t="str">
        <f t="shared" si="3"/>
        <v/>
      </c>
      <c r="AS18" s="53" t="str">
        <f t="shared" si="4"/>
        <v/>
      </c>
      <c r="AT18" s="53" t="str">
        <f t="shared" si="1"/>
        <v/>
      </c>
    </row>
    <row r="19" spans="2:49">
      <c r="B19" s="121"/>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16" t="s">
        <v>200</v>
      </c>
      <c r="AG19" s="116" t="s">
        <v>200</v>
      </c>
      <c r="AH19" s="116" t="s">
        <v>199</v>
      </c>
      <c r="AI19" s="116" t="s">
        <v>200</v>
      </c>
      <c r="AJ19" s="41"/>
      <c r="AL19" t="str">
        <f t="shared" ca="1" si="0"/>
        <v xml:space="preserve">    (U1)ALERT_REQ_C_TRCOFF_</v>
      </c>
      <c r="AR19" s="53" t="str">
        <f t="shared" si="3"/>
        <v/>
      </c>
      <c r="AS19" s="53" t="str">
        <f t="shared" si="4"/>
        <v/>
      </c>
      <c r="AT19" s="53" t="str">
        <f t="shared" si="1"/>
        <v/>
      </c>
    </row>
    <row r="20" spans="2:49">
      <c r="B20" s="121"/>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16" t="s">
        <v>200</v>
      </c>
      <c r="AG20" s="116" t="s">
        <v>200</v>
      </c>
      <c r="AH20" s="116" t="s">
        <v>200</v>
      </c>
      <c r="AI20" s="116" t="s">
        <v>199</v>
      </c>
      <c r="AJ20" s="41"/>
      <c r="AL20" t="str">
        <f t="shared" ca="1" si="0"/>
        <v xml:space="preserve">    (U1)ALERT_REQ_C_TRCOFF_</v>
      </c>
      <c r="AR20" s="53" t="str">
        <f t="shared" si="3"/>
        <v/>
      </c>
      <c r="AS20" s="53" t="str">
        <f t="shared" si="4"/>
        <v/>
      </c>
      <c r="AT20" s="53" t="str">
        <f t="shared" si="1"/>
        <v/>
      </c>
    </row>
    <row r="21" spans="2:49">
      <c r="B21" s="121"/>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16" t="s">
        <v>199</v>
      </c>
      <c r="AG21" s="116" t="s">
        <v>200</v>
      </c>
      <c r="AH21" s="116" t="s">
        <v>200</v>
      </c>
      <c r="AI21" s="116" t="s">
        <v>199</v>
      </c>
      <c r="AJ21" s="41"/>
      <c r="AL21" t="str">
        <f t="shared" ca="1" si="0"/>
        <v xml:space="preserve">    (U1)ALERT_REQ_C_TRCOFF_</v>
      </c>
      <c r="AR21" s="53" t="str">
        <f t="shared" si="3"/>
        <v/>
      </c>
      <c r="AS21" s="53" t="str">
        <f t="shared" si="4"/>
        <v/>
      </c>
      <c r="AT21" s="53" t="str">
        <f t="shared" si="1"/>
        <v/>
      </c>
    </row>
    <row r="22" spans="2:49">
      <c r="B22" s="121"/>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116" t="s">
        <v>200</v>
      </c>
      <c r="AG22" s="116" t="s">
        <v>200</v>
      </c>
      <c r="AH22" s="116" t="s">
        <v>200</v>
      </c>
      <c r="AI22" s="116" t="s">
        <v>199</v>
      </c>
      <c r="AJ22" s="41"/>
      <c r="AL22" t="str">
        <f t="shared" ca="1" si="0"/>
        <v xml:space="preserve">    (U1)ALERT_REQ_C_TRCOFF_</v>
      </c>
      <c r="AR22" s="53" t="str">
        <f t="shared" si="3"/>
        <v/>
      </c>
      <c r="AS22" s="53" t="str">
        <f t="shared" si="4"/>
        <v/>
      </c>
      <c r="AT22" s="53" t="str">
        <f t="shared" si="1"/>
        <v/>
      </c>
    </row>
    <row r="23" spans="2:49">
      <c r="B23" s="121"/>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116" t="s">
        <v>200</v>
      </c>
      <c r="AG23" s="116" t="s">
        <v>200</v>
      </c>
      <c r="AH23" s="116" t="s">
        <v>200</v>
      </c>
      <c r="AI23" s="116" t="s">
        <v>200</v>
      </c>
      <c r="AJ23" s="41"/>
      <c r="AL23" t="str">
        <f t="shared" ca="1" si="0"/>
        <v xml:space="preserve">    (U1)ALERT_REQ_C_TRCOFF_</v>
      </c>
      <c r="AR23" s="53" t="str">
        <f t="shared" si="3"/>
        <v/>
      </c>
      <c r="AS23" s="53" t="str">
        <f t="shared" si="4"/>
        <v/>
      </c>
      <c r="AT23" s="53" t="str">
        <f t="shared" si="1"/>
        <v/>
      </c>
    </row>
    <row r="24" spans="2:49">
      <c r="B24" s="121"/>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116" t="s">
        <v>199</v>
      </c>
      <c r="AG24" s="116" t="s">
        <v>199</v>
      </c>
      <c r="AH24" s="116" t="s">
        <v>200</v>
      </c>
      <c r="AI24" s="116" t="s">
        <v>200</v>
      </c>
      <c r="AJ24" s="41"/>
      <c r="AL24" t="str">
        <f t="shared" ca="1" si="0"/>
        <v xml:space="preserve">    (U1)ALERT_REQ_C_TRCOFF_</v>
      </c>
      <c r="AR24" s="53" t="str">
        <f t="shared" si="3"/>
        <v/>
      </c>
      <c r="AS24" s="53" t="str">
        <f t="shared" si="4"/>
        <v/>
      </c>
      <c r="AT24" s="53" t="str">
        <f t="shared" si="1"/>
        <v/>
      </c>
    </row>
    <row r="25" spans="2:49">
      <c r="B25" s="121"/>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116" t="s">
        <v>199</v>
      </c>
      <c r="AG25" s="116" t="s">
        <v>200</v>
      </c>
      <c r="AH25" s="116" t="s">
        <v>198</v>
      </c>
      <c r="AI25" s="116" t="s">
        <v>200</v>
      </c>
      <c r="AJ25" s="41"/>
      <c r="AL25" t="str">
        <f t="shared" ca="1" si="0"/>
        <v xml:space="preserve">    (U1)ALERT_REQ_C_TRCOFF_</v>
      </c>
      <c r="AR25" s="53" t="str">
        <f t="shared" si="3"/>
        <v/>
      </c>
      <c r="AS25" s="53" t="str">
        <f t="shared" si="4"/>
        <v/>
      </c>
      <c r="AT25" s="53" t="str">
        <f t="shared" si="1"/>
        <v/>
      </c>
    </row>
    <row r="26" spans="2:49">
      <c r="B26" s="121"/>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116" t="s">
        <v>200</v>
      </c>
      <c r="AG26" s="116" t="s">
        <v>200</v>
      </c>
      <c r="AH26" s="116" t="s">
        <v>200</v>
      </c>
      <c r="AI26" s="116" t="s">
        <v>200</v>
      </c>
      <c r="AJ26" s="41"/>
      <c r="AL26" t="str">
        <f t="shared" ca="1" si="0"/>
        <v xml:space="preserve">    (U1)ALERT_REQ_C_TRCOFF_</v>
      </c>
      <c r="AR26" s="53" t="str">
        <f t="shared" si="3"/>
        <v/>
      </c>
      <c r="AS26" s="53" t="str">
        <f t="shared" si="4"/>
        <v/>
      </c>
      <c r="AT26" s="53" t="str">
        <f t="shared" si="1"/>
        <v/>
      </c>
    </row>
    <row r="27" spans="2:49">
      <c r="B27" s="121"/>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116" t="s">
        <v>200</v>
      </c>
      <c r="AG27" s="116" t="s">
        <v>200</v>
      </c>
      <c r="AH27" s="116" t="s">
        <v>200</v>
      </c>
      <c r="AI27" s="116" t="s">
        <v>200</v>
      </c>
      <c r="AJ27" s="41"/>
      <c r="AL27" t="str">
        <f t="shared" ca="1" si="0"/>
        <v xml:space="preserve">    (U1)ALERT_REQ_C_TRCOFF_</v>
      </c>
      <c r="AR27" s="53" t="str">
        <f t="shared" si="3"/>
        <v/>
      </c>
      <c r="AS27" s="53" t="str">
        <f t="shared" si="4"/>
        <v/>
      </c>
      <c r="AT27" s="53" t="str">
        <f t="shared" si="1"/>
        <v/>
      </c>
    </row>
    <row r="28" spans="2:49">
      <c r="B28" s="121"/>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116" t="s">
        <v>199</v>
      </c>
      <c r="AG28" s="116" t="s">
        <v>199</v>
      </c>
      <c r="AH28" s="116" t="s">
        <v>200</v>
      </c>
      <c r="AI28" s="116" t="s">
        <v>200</v>
      </c>
      <c r="AJ28" s="41"/>
      <c r="AL28" t="str">
        <f t="shared" ca="1" si="0"/>
        <v xml:space="preserve">    (U1)ALERT_REQ_C_TRCOFF_</v>
      </c>
      <c r="AR28" s="53" t="str">
        <f t="shared" si="3"/>
        <v/>
      </c>
      <c r="AS28" s="53" t="str">
        <f t="shared" si="4"/>
        <v/>
      </c>
      <c r="AT28" s="53" t="str">
        <f t="shared" si="1"/>
        <v/>
      </c>
    </row>
    <row r="29" spans="2:49">
      <c r="B29" s="121"/>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116" t="s">
        <v>199</v>
      </c>
      <c r="AG29" s="116" t="s">
        <v>200</v>
      </c>
      <c r="AH29" s="116" t="s">
        <v>200</v>
      </c>
      <c r="AI29" s="116" t="s">
        <v>200</v>
      </c>
      <c r="AJ29" s="41"/>
      <c r="AL29" t="str">
        <f t="shared" ca="1" si="0"/>
        <v xml:space="preserve">    (U1)ALERT_REQ_C_TRCOFF_</v>
      </c>
      <c r="AR29" s="53" t="str">
        <f t="shared" si="3"/>
        <v/>
      </c>
      <c r="AS29" s="53" t="str">
        <f t="shared" si="4"/>
        <v/>
      </c>
      <c r="AT29" s="53" t="str">
        <f t="shared" si="1"/>
        <v/>
      </c>
    </row>
    <row r="30" spans="2:49">
      <c r="B30" s="121"/>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116" t="s">
        <v>200</v>
      </c>
      <c r="AG30" s="116" t="s">
        <v>200</v>
      </c>
      <c r="AH30" s="116" t="s">
        <v>200</v>
      </c>
      <c r="AI30" s="116" t="s">
        <v>200</v>
      </c>
      <c r="AJ30" s="41"/>
      <c r="AL30" t="str">
        <f t="shared" ca="1" si="0"/>
        <v xml:space="preserve">    (U1)ALERT_REQ_C_TRCOFF_</v>
      </c>
      <c r="AR30" s="53" t="str">
        <f t="shared" si="3"/>
        <v/>
      </c>
      <c r="AS30" s="53" t="str">
        <f t="shared" si="4"/>
        <v/>
      </c>
      <c r="AT30" s="53" t="str">
        <f t="shared" si="1"/>
        <v/>
      </c>
    </row>
    <row r="31" spans="2:49">
      <c r="B31" s="121"/>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116" t="s">
        <v>200</v>
      </c>
      <c r="AG31" s="116" t="s">
        <v>200</v>
      </c>
      <c r="AH31" s="116" t="s">
        <v>200</v>
      </c>
      <c r="AI31" s="116" t="s">
        <v>200</v>
      </c>
      <c r="AJ31" s="41"/>
      <c r="AL31" t="str">
        <f t="shared" ca="1" si="0"/>
        <v xml:space="preserve">    (U1)ALERT_REQ_C_TRCOFF_</v>
      </c>
      <c r="AR31" s="53" t="str">
        <f t="shared" si="3"/>
        <v/>
      </c>
      <c r="AS31" s="53" t="str">
        <f t="shared" si="4"/>
        <v/>
      </c>
      <c r="AT31" s="53" t="str">
        <f t="shared" si="1"/>
        <v/>
      </c>
    </row>
    <row r="32" spans="2:49">
      <c r="B32" s="121"/>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116" t="s">
        <v>200</v>
      </c>
      <c r="AG32" s="116" t="s">
        <v>200</v>
      </c>
      <c r="AH32" s="116" t="s">
        <v>200</v>
      </c>
      <c r="AI32" s="116" t="s">
        <v>200</v>
      </c>
      <c r="AJ32" s="41"/>
      <c r="AL32" t="str">
        <f t="shared" ca="1" si="0"/>
        <v xml:space="preserve">    (U1)ALERT_REQ_C_TRCOFF_</v>
      </c>
      <c r="AR32" s="53" t="str">
        <f t="shared" si="3"/>
        <v/>
      </c>
      <c r="AS32" s="53" t="str">
        <f t="shared" si="4"/>
        <v/>
      </c>
      <c r="AT32" s="53" t="str">
        <f t="shared" si="1"/>
        <v/>
      </c>
    </row>
    <row r="33" spans="2:46">
      <c r="B33" s="121"/>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116" t="s">
        <v>200</v>
      </c>
      <c r="AG33" s="116" t="s">
        <v>199</v>
      </c>
      <c r="AH33" s="116" t="s">
        <v>200</v>
      </c>
      <c r="AI33" s="116" t="s">
        <v>200</v>
      </c>
      <c r="AJ33" s="41"/>
      <c r="AL33" t="str">
        <f t="shared" ca="1" si="0"/>
        <v xml:space="preserve">    (U1)ALERT_REQ_C_TRCOFF_</v>
      </c>
      <c r="AR33" s="53" t="str">
        <f t="shared" si="3"/>
        <v/>
      </c>
      <c r="AS33" s="53" t="str">
        <f t="shared" si="4"/>
        <v/>
      </c>
      <c r="AT33" s="53" t="str">
        <f t="shared" si="1"/>
        <v/>
      </c>
    </row>
    <row r="34" spans="2:46">
      <c r="B34" s="121"/>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41"/>
      <c r="AL34" t="str">
        <f t="shared" ca="1" si="0"/>
        <v xml:space="preserve">    (U1)ALERT_REQ_C_TRCOFF_</v>
      </c>
      <c r="AR34" s="53" t="str">
        <f t="shared" si="3"/>
        <v/>
      </c>
      <c r="AS34" s="53" t="str">
        <f t="shared" si="4"/>
        <v/>
      </c>
      <c r="AT34" s="53" t="str">
        <f t="shared" si="1"/>
        <v/>
      </c>
    </row>
    <row r="35" spans="2:46">
      <c r="B35" s="121"/>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41"/>
      <c r="AL35" t="str">
        <f t="shared" ca="1" si="0"/>
        <v xml:space="preserve">    (U1)ALERT_REQ_C_TRCOFF_</v>
      </c>
      <c r="AR35" s="53" t="str">
        <f t="shared" si="3"/>
        <v/>
      </c>
      <c r="AS35" s="53" t="str">
        <f t="shared" si="4"/>
        <v/>
      </c>
      <c r="AT35" s="53" t="str">
        <f t="shared" si="1"/>
        <v/>
      </c>
    </row>
    <row r="36" spans="2:46">
      <c r="B36" s="121"/>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41"/>
      <c r="AL36" t="str">
        <f t="shared" ca="1" si="0"/>
        <v xml:space="preserve">    (U1)ALERT_REQ_C_TRCOFF_</v>
      </c>
      <c r="AR36" s="53" t="str">
        <f t="shared" si="3"/>
        <v/>
      </c>
      <c r="AS36" s="53" t="str">
        <f t="shared" si="4"/>
        <v/>
      </c>
      <c r="AT36" s="53" t="str">
        <f t="shared" si="1"/>
        <v/>
      </c>
    </row>
    <row r="37" spans="2:46">
      <c r="B37" s="121"/>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41"/>
      <c r="AL37" t="str">
        <f t="shared" ca="1" si="0"/>
        <v xml:space="preserve">    (U1)ALERT_REQ_C_TRCOFF_</v>
      </c>
      <c r="AR37" s="53" t="str">
        <f t="shared" si="3"/>
        <v/>
      </c>
      <c r="AS37" s="53" t="str">
        <f t="shared" si="4"/>
        <v/>
      </c>
      <c r="AT37" s="53" t="str">
        <f t="shared" si="1"/>
        <v/>
      </c>
    </row>
    <row r="38" spans="2:46">
      <c r="B38" s="121"/>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41"/>
      <c r="AL38" t="str">
        <f t="shared" ca="1" si="0"/>
        <v xml:space="preserve">    (U1)ALERT_REQ_C_TRCOFF_</v>
      </c>
      <c r="AR38" s="53" t="str">
        <f t="shared" si="3"/>
        <v/>
      </c>
      <c r="AS38" s="53" t="str">
        <f t="shared" si="4"/>
        <v/>
      </c>
      <c r="AT38" s="53" t="str">
        <f t="shared" si="1"/>
        <v/>
      </c>
    </row>
    <row r="39" spans="2:46">
      <c r="B39" s="121"/>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41"/>
      <c r="AL39" t="str">
        <f t="shared" ca="1" si="0"/>
        <v xml:space="preserve">    (U1)ALERT_REQ_C_TRCOFF_</v>
      </c>
      <c r="AR39" s="53" t="str">
        <f t="shared" si="3"/>
        <v/>
      </c>
      <c r="AS39" s="53" t="str">
        <f t="shared" si="4"/>
        <v/>
      </c>
      <c r="AT39" s="53" t="str">
        <f t="shared" si="1"/>
        <v/>
      </c>
    </row>
    <row r="40" spans="2:46">
      <c r="B40" s="121"/>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41"/>
      <c r="AL40" t="str">
        <f t="shared" ca="1" si="0"/>
        <v xml:space="preserve">    (U1)ALERT_REQ_C_TRCOFF_</v>
      </c>
      <c r="AR40" s="53" t="str">
        <f t="shared" si="3"/>
        <v/>
      </c>
      <c r="AS40" s="53" t="str">
        <f t="shared" si="4"/>
        <v/>
      </c>
      <c r="AT40" s="53" t="str">
        <f t="shared" si="1"/>
        <v/>
      </c>
    </row>
    <row r="41" spans="2:46">
      <c r="B41" s="121"/>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41"/>
      <c r="AL41" t="str">
        <f t="shared" ca="1" si="0"/>
        <v xml:space="preserve">    (U1)ALERT_REQ_C_TRCOFF_</v>
      </c>
      <c r="AR41" s="53" t="str">
        <f t="shared" si="3"/>
        <v/>
      </c>
      <c r="AS41" s="53" t="str">
        <f t="shared" si="4"/>
        <v/>
      </c>
      <c r="AT41" s="53" t="str">
        <f t="shared" si="1"/>
        <v/>
      </c>
    </row>
    <row r="42" spans="2:46">
      <c r="B42" s="121"/>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41"/>
      <c r="AL42" t="str">
        <f t="shared" ca="1" si="0"/>
        <v xml:space="preserve">    (U1)ALERT_REQ_C_TRCOFF_</v>
      </c>
      <c r="AR42" s="53" t="str">
        <f t="shared" si="3"/>
        <v/>
      </c>
      <c r="AS42" s="53" t="str">
        <f t="shared" si="4"/>
        <v/>
      </c>
      <c r="AT42" s="53" t="str">
        <f t="shared" si="1"/>
        <v/>
      </c>
    </row>
    <row r="43" spans="2:46">
      <c r="B43" s="121"/>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41"/>
      <c r="AL43" t="str">
        <f t="shared" ca="1" si="0"/>
        <v xml:space="preserve">    (U1)ALERT_REQ_C_TRCOFF_</v>
      </c>
      <c r="AR43" s="53" t="str">
        <f t="shared" si="3"/>
        <v/>
      </c>
      <c r="AS43" s="53" t="str">
        <f t="shared" si="4"/>
        <v/>
      </c>
      <c r="AT43" s="53" t="str">
        <f t="shared" si="1"/>
        <v/>
      </c>
    </row>
    <row r="44" spans="2:46">
      <c r="B44" s="121"/>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41"/>
      <c r="AL44" t="str">
        <f t="shared" ca="1" si="0"/>
        <v xml:space="preserve">    (U1)ALERT_REQ_C_TRCOFF_</v>
      </c>
      <c r="AR44" s="53" t="str">
        <f t="shared" si="3"/>
        <v/>
      </c>
      <c r="AS44" s="53" t="str">
        <f t="shared" si="4"/>
        <v/>
      </c>
      <c r="AT44" s="53" t="str">
        <f t="shared" si="1"/>
        <v/>
      </c>
    </row>
    <row r="45" spans="2:46">
      <c r="B45" s="121"/>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41"/>
      <c r="AL45" t="str">
        <f t="shared" ca="1" si="0"/>
        <v xml:space="preserve">    (U1)ALERT_REQ_C_TRCOFF_</v>
      </c>
      <c r="AR45" s="53" t="str">
        <f t="shared" si="3"/>
        <v/>
      </c>
      <c r="AS45" s="53" t="str">
        <f t="shared" si="4"/>
        <v/>
      </c>
      <c r="AT45" s="53" t="str">
        <f t="shared" si="1"/>
        <v/>
      </c>
    </row>
    <row r="46" spans="2:46">
      <c r="B46" s="121"/>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41"/>
      <c r="AL46" t="str">
        <f t="shared" ca="1" si="0"/>
        <v xml:space="preserve">    (U1)ALERT_REQ_C_TRCOFF_</v>
      </c>
      <c r="AR46" s="53" t="str">
        <f t="shared" si="3"/>
        <v/>
      </c>
      <c r="AS46" s="53" t="str">
        <f t="shared" si="4"/>
        <v/>
      </c>
      <c r="AT46" s="53" t="str">
        <f t="shared" si="1"/>
        <v/>
      </c>
    </row>
    <row r="47" spans="2:46">
      <c r="B47" s="121"/>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41"/>
      <c r="AL47" t="str">
        <f t="shared" ca="1" si="0"/>
        <v xml:space="preserve">    (U1)ALERT_REQ_C_TRCOFF_</v>
      </c>
      <c r="AR47" s="53" t="str">
        <f t="shared" si="3"/>
        <v/>
      </c>
      <c r="AS47" s="53" t="str">
        <f t="shared" si="4"/>
        <v/>
      </c>
      <c r="AT47" s="53" t="str">
        <f t="shared" si="1"/>
        <v/>
      </c>
    </row>
    <row r="48" spans="2:46">
      <c r="B48" s="121"/>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41"/>
      <c r="AL48" t="str">
        <f t="shared" ca="1" si="0"/>
        <v xml:space="preserve">    (U1)ALERT_REQ_C_TRCOFF_</v>
      </c>
      <c r="AR48" s="53" t="str">
        <f t="shared" si="3"/>
        <v/>
      </c>
      <c r="AS48" s="53" t="str">
        <f t="shared" si="4"/>
        <v/>
      </c>
      <c r="AT48" s="53" t="str">
        <f t="shared" si="1"/>
        <v/>
      </c>
    </row>
    <row r="49" spans="2:46">
      <c r="B49" s="121"/>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41"/>
      <c r="AL49" t="str">
        <f t="shared" ca="1" si="0"/>
        <v xml:space="preserve">    (U1)ALERT_REQ_C_TRCOFF_</v>
      </c>
      <c r="AR49" s="53" t="str">
        <f t="shared" si="3"/>
        <v/>
      </c>
      <c r="AS49" s="53" t="str">
        <f t="shared" si="4"/>
        <v/>
      </c>
      <c r="AT49" s="53" t="str">
        <f t="shared" si="1"/>
        <v/>
      </c>
    </row>
    <row r="50" spans="2:46">
      <c r="B50" s="121"/>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41"/>
      <c r="AL50" t="str">
        <f t="shared" ca="1" si="0"/>
        <v xml:space="preserve">    (U1)ALERT_REQ_C_TRCOFF_</v>
      </c>
      <c r="AR50" s="53" t="str">
        <f t="shared" si="3"/>
        <v/>
      </c>
      <c r="AS50" s="53" t="str">
        <f t="shared" si="4"/>
        <v/>
      </c>
      <c r="AT50" s="53" t="str">
        <f t="shared" si="1"/>
        <v/>
      </c>
    </row>
    <row r="51" spans="2:46">
      <c r="B51" s="121"/>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41"/>
      <c r="AL51" t="str">
        <f t="shared" ca="1" si="0"/>
        <v xml:space="preserve">    (U1)ALERT_REQ_C_TRCOFF_</v>
      </c>
      <c r="AR51" s="53" t="str">
        <f t="shared" si="3"/>
        <v/>
      </c>
      <c r="AS51" s="53" t="str">
        <f t="shared" si="4"/>
        <v/>
      </c>
      <c r="AT51" s="53" t="str">
        <f t="shared" si="1"/>
        <v/>
      </c>
    </row>
    <row r="52" spans="2:46">
      <c r="B52" s="121"/>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41"/>
      <c r="AL52" t="str">
        <f t="shared" ca="1" si="0"/>
        <v xml:space="preserve">    (U1)ALERT_REQ_C_TRCOFF_</v>
      </c>
      <c r="AR52" s="53" t="str">
        <f t="shared" si="3"/>
        <v/>
      </c>
      <c r="AS52" s="53" t="str">
        <f t="shared" si="4"/>
        <v/>
      </c>
      <c r="AT52" s="53" t="str">
        <f t="shared" si="1"/>
        <v/>
      </c>
    </row>
    <row r="53" spans="2:46">
      <c r="B53" s="121"/>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41"/>
      <c r="AL53" t="str">
        <f t="shared" ca="1" si="0"/>
        <v xml:space="preserve">    (U1)ALERT_REQ_C_TRCOFF_</v>
      </c>
      <c r="AR53" s="53" t="str">
        <f t="shared" si="3"/>
        <v/>
      </c>
      <c r="AS53" s="53" t="str">
        <f t="shared" si="4"/>
        <v/>
      </c>
      <c r="AT53" s="53" t="str">
        <f t="shared" si="1"/>
        <v/>
      </c>
    </row>
    <row r="54" spans="2:46">
      <c r="B54" s="121"/>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41"/>
      <c r="AL54" t="str">
        <f t="shared" ca="1" si="0"/>
        <v xml:space="preserve">    (U1)ALERT_REQ_C_TRCOFF_</v>
      </c>
      <c r="AR54" s="53" t="str">
        <f t="shared" si="3"/>
        <v/>
      </c>
      <c r="AS54" s="53" t="str">
        <f t="shared" si="4"/>
        <v/>
      </c>
      <c r="AT54" s="53" t="str">
        <f t="shared" si="1"/>
        <v/>
      </c>
    </row>
    <row r="55" spans="2:46">
      <c r="B55" s="121"/>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41"/>
      <c r="AL55" t="str">
        <f t="shared" ca="1" si="0"/>
        <v xml:space="preserve">    (U1)ALERT_REQ_C_TRCOFF_</v>
      </c>
      <c r="AR55" s="53" t="str">
        <f t="shared" si="3"/>
        <v/>
      </c>
      <c r="AS55" s="53" t="str">
        <f t="shared" si="4"/>
        <v/>
      </c>
      <c r="AT55" s="53" t="str">
        <f t="shared" si="1"/>
        <v/>
      </c>
    </row>
    <row r="56" spans="2:46">
      <c r="B56" s="121"/>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41"/>
      <c r="AL56" t="str">
        <f t="shared" ca="1" si="0"/>
        <v xml:space="preserve">    (U1)ALERT_REQ_C_TRCOFF_</v>
      </c>
      <c r="AR56" s="53" t="str">
        <f t="shared" si="3"/>
        <v/>
      </c>
      <c r="AS56" s="53" t="str">
        <f t="shared" si="4"/>
        <v/>
      </c>
      <c r="AT56" s="53" t="str">
        <f t="shared" si="1"/>
        <v/>
      </c>
    </row>
    <row r="57" spans="2:46">
      <c r="B57" s="121"/>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41"/>
      <c r="AL57" t="str">
        <f t="shared" ca="1" si="0"/>
        <v xml:space="preserve">    (U1)ALERT_REQ_C_TRCOFF_</v>
      </c>
      <c r="AR57" s="53" t="str">
        <f t="shared" si="3"/>
        <v/>
      </c>
      <c r="AS57" s="53" t="str">
        <f t="shared" si="4"/>
        <v/>
      </c>
      <c r="AT57" s="53" t="str">
        <f t="shared" si="1"/>
        <v/>
      </c>
    </row>
    <row r="58" spans="2:46">
      <c r="B58" s="121"/>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41"/>
      <c r="AL58" t="str">
        <f t="shared" ca="1" si="0"/>
        <v xml:space="preserve">    (U1)ALERT_REQ_C_TRCOFF_</v>
      </c>
      <c r="AR58" s="53" t="str">
        <f t="shared" si="3"/>
        <v/>
      </c>
      <c r="AS58" s="53" t="str">
        <f t="shared" si="4"/>
        <v/>
      </c>
      <c r="AT58" s="53" t="str">
        <f t="shared" si="1"/>
        <v/>
      </c>
    </row>
    <row r="59" spans="2:46">
      <c r="B59" s="121"/>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41"/>
      <c r="AL59" t="str">
        <f t="shared" ca="1" si="0"/>
        <v xml:space="preserve">    (U1)ALERT_REQ_C_TRCOFF_</v>
      </c>
      <c r="AR59" s="53" t="str">
        <f t="shared" si="3"/>
        <v/>
      </c>
      <c r="AS59" s="53" t="str">
        <f t="shared" si="4"/>
        <v/>
      </c>
      <c r="AT59" s="53" t="str">
        <f t="shared" si="1"/>
        <v/>
      </c>
    </row>
    <row r="60" spans="2:46">
      <c r="B60" s="121"/>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41"/>
      <c r="AL60" t="str">
        <f t="shared" ca="1" si="0"/>
        <v xml:space="preserve">    (U1)ALERT_REQ_C_TRCOFF_</v>
      </c>
      <c r="AR60" s="53" t="str">
        <f t="shared" si="3"/>
        <v/>
      </c>
      <c r="AS60" s="53" t="str">
        <f t="shared" si="4"/>
        <v/>
      </c>
      <c r="AT60" s="53" t="str">
        <f t="shared" si="1"/>
        <v/>
      </c>
    </row>
    <row r="61" spans="2:46">
      <c r="B61" s="121"/>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41"/>
      <c r="AL61" t="str">
        <f t="shared" ca="1" si="0"/>
        <v xml:space="preserve">    (U1)ALERT_REQ_C_TRCOFF_</v>
      </c>
      <c r="AR61" s="53" t="str">
        <f t="shared" si="3"/>
        <v/>
      </c>
      <c r="AS61" s="53" t="str">
        <f t="shared" si="4"/>
        <v/>
      </c>
      <c r="AT61" s="53" t="str">
        <f t="shared" si="1"/>
        <v/>
      </c>
    </row>
    <row r="62" spans="2:46">
      <c r="B62" s="121"/>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41"/>
      <c r="AL62" t="str">
        <f t="shared" ca="1" si="0"/>
        <v xml:space="preserve">    (U1)ALERT_REQ_C_TRCOFF_</v>
      </c>
      <c r="AR62" s="53" t="str">
        <f t="shared" si="3"/>
        <v/>
      </c>
      <c r="AS62" s="53" t="str">
        <f t="shared" si="4"/>
        <v/>
      </c>
      <c r="AT62" s="53" t="str">
        <f t="shared" si="1"/>
        <v/>
      </c>
    </row>
    <row r="63" spans="2:46">
      <c r="B63" s="121"/>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41"/>
      <c r="AL63" t="str">
        <f t="shared" ca="1" si="0"/>
        <v xml:space="preserve">    (U1)ALERT_REQ_C_TRCOFF_</v>
      </c>
      <c r="AR63" s="53" t="str">
        <f t="shared" si="3"/>
        <v/>
      </c>
      <c r="AS63" s="53" t="str">
        <f t="shared" si="4"/>
        <v/>
      </c>
      <c r="AT63" s="53" t="str">
        <f t="shared" si="1"/>
        <v/>
      </c>
    </row>
    <row r="64" spans="2:46">
      <c r="B64" s="121"/>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41"/>
      <c r="AL64" t="str">
        <f t="shared" ca="1" si="0"/>
        <v xml:space="preserve">    (U1)ALERT_REQ_C_TRCOFF_</v>
      </c>
      <c r="AR64" s="53" t="str">
        <f t="shared" si="3"/>
        <v/>
      </c>
      <c r="AS64" s="53" t="str">
        <f t="shared" si="4"/>
        <v/>
      </c>
      <c r="AT64" s="53" t="str">
        <f t="shared" si="1"/>
        <v/>
      </c>
    </row>
    <row r="65" spans="1:46">
      <c r="B65" s="121"/>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41"/>
      <c r="AL65" t="str">
        <f t="shared" ca="1" si="0"/>
        <v xml:space="preserve">    (U1)ALERT_REQ_C_TRCOFF_</v>
      </c>
      <c r="AR65" s="53" t="str">
        <f t="shared" si="3"/>
        <v/>
      </c>
      <c r="AS65" s="53" t="str">
        <f t="shared" si="4"/>
        <v/>
      </c>
      <c r="AT65" s="53" t="str">
        <f t="shared" si="1"/>
        <v/>
      </c>
    </row>
    <row r="66" spans="1:46">
      <c r="B66" s="121"/>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41"/>
      <c r="AL66" t="str">
        <f t="shared" ca="1" si="0"/>
        <v xml:space="preserve">    (U1)ALERT_REQ_C_TRCOFF_</v>
      </c>
      <c r="AR66" s="53" t="str">
        <f t="shared" si="3"/>
        <v/>
      </c>
      <c r="AS66" s="53" t="str">
        <f t="shared" si="4"/>
        <v/>
      </c>
      <c r="AT66" s="53" t="str">
        <f t="shared" si="1"/>
        <v/>
      </c>
    </row>
    <row r="67" spans="1:46">
      <c r="B67" s="121"/>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41"/>
      <c r="AL67" t="str">
        <f t="shared" ca="1" si="0"/>
        <v xml:space="preserve">    (U1)ALERT_REQ_C_TRCOFF_</v>
      </c>
      <c r="AR67" s="53" t="str">
        <f t="shared" si="3"/>
        <v/>
      </c>
      <c r="AS67" s="53" t="str">
        <f t="shared" si="4"/>
        <v/>
      </c>
      <c r="AT67" s="53" t="str">
        <f t="shared" si="1"/>
        <v/>
      </c>
    </row>
    <row r="68" spans="1:46">
      <c r="B68" s="121"/>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41"/>
      <c r="AL68" t="str">
        <f t="shared" ca="1" si="0"/>
        <v xml:space="preserve">    (U1)ALERT_REQ_C_TRCOFF_</v>
      </c>
      <c r="AR68" s="53" t="str">
        <f t="shared" si="3"/>
        <v/>
      </c>
      <c r="AS68" s="53" t="str">
        <f t="shared" si="4"/>
        <v/>
      </c>
      <c r="AT68" s="53" t="str">
        <f t="shared" si="1"/>
        <v/>
      </c>
    </row>
    <row r="69" spans="1:46">
      <c r="B69" s="122"/>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41"/>
      <c r="AL69" t="str">
        <f t="shared" ca="1" si="0"/>
        <v xml:space="preserve">    (U1)ALERT_REQ_C_TRCOFF_</v>
      </c>
      <c r="AR69" s="53" t="str">
        <f t="shared" si="3"/>
        <v/>
      </c>
      <c r="AS69" s="53" t="str">
        <f t="shared" si="4"/>
        <v/>
      </c>
      <c r="AT69" s="53" t="str">
        <f t="shared" si="1"/>
        <v/>
      </c>
    </row>
    <row r="70" spans="1:46" ht="13.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C_TRCOFF</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MALFUNC</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MALFUNC                                         */</v>
      </c>
    </row>
    <row r="73" spans="1:46">
      <c r="B73" s="121"/>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1"/>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1"/>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0</v>
      </c>
      <c r="AH75" s="113">
        <f t="shared" si="6"/>
        <v>0</v>
      </c>
      <c r="AI75" s="113">
        <f t="shared" si="6"/>
        <v>0</v>
      </c>
      <c r="AJ75" s="37" t="str">
        <f t="shared" si="7"/>
        <v/>
      </c>
      <c r="AK75" s="50"/>
      <c r="AL75" s="50" t="str">
        <f t="shared" si="10"/>
        <v>00</v>
      </c>
      <c r="AM75" s="52" t="str">
        <f t="shared" si="11"/>
        <v>00</v>
      </c>
      <c r="AN75" s="52" t="str">
        <f t="shared" si="12"/>
        <v>00</v>
      </c>
      <c r="AO75" s="52" t="str">
        <f t="shared" si="13"/>
        <v>00</v>
      </c>
      <c r="AQ75" t="str">
        <f t="shared" si="8"/>
        <v/>
      </c>
    </row>
    <row r="76" spans="1:46">
      <c r="B76" s="121"/>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0</v>
      </c>
      <c r="AH76" s="113">
        <f t="shared" si="6"/>
        <v>0</v>
      </c>
      <c r="AI76" s="113">
        <f t="shared" si="6"/>
        <v>0</v>
      </c>
      <c r="AJ76" s="37" t="str">
        <f t="shared" si="7"/>
        <v/>
      </c>
      <c r="AK76" s="50"/>
      <c r="AL76" s="50" t="str">
        <f t="shared" si="10"/>
        <v>00</v>
      </c>
      <c r="AM76" s="52" t="str">
        <f t="shared" si="11"/>
        <v>00</v>
      </c>
      <c r="AN76" s="52" t="str">
        <f t="shared" si="12"/>
        <v>00</v>
      </c>
      <c r="AO76" s="52" t="str">
        <f t="shared" si="13"/>
        <v>00</v>
      </c>
      <c r="AQ76" t="str">
        <f t="shared" si="8"/>
        <v/>
      </c>
    </row>
    <row r="77" spans="1:46">
      <c r="B77" s="121"/>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0</v>
      </c>
      <c r="AH77" s="113">
        <f t="shared" si="6"/>
        <v>0</v>
      </c>
      <c r="AI77" s="113">
        <f t="shared" si="6"/>
        <v>0</v>
      </c>
      <c r="AJ77" s="37" t="str">
        <f t="shared" si="7"/>
        <v/>
      </c>
      <c r="AK77" s="50"/>
      <c r="AL77" s="50" t="str">
        <f t="shared" si="10"/>
        <v>00</v>
      </c>
      <c r="AM77" s="52" t="str">
        <f t="shared" si="11"/>
        <v>00</v>
      </c>
      <c r="AN77" s="52" t="str">
        <f t="shared" si="12"/>
        <v>00</v>
      </c>
      <c r="AO77" s="52" t="str">
        <f t="shared" si="13"/>
        <v>00</v>
      </c>
      <c r="AQ77" t="str">
        <f t="shared" si="8"/>
        <v/>
      </c>
    </row>
    <row r="78" spans="1:46">
      <c r="B78" s="121"/>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0</v>
      </c>
      <c r="AH78" s="113">
        <f t="shared" si="6"/>
        <v>0</v>
      </c>
      <c r="AI78" s="113">
        <f t="shared" ref="AI78" si="14">IF(AI13=1,1,0)</f>
        <v>0</v>
      </c>
      <c r="AJ78" s="37" t="str">
        <f t="shared" si="7"/>
        <v/>
      </c>
      <c r="AK78" s="50"/>
      <c r="AL78" s="50" t="str">
        <f t="shared" si="10"/>
        <v>00</v>
      </c>
      <c r="AM78" s="52" t="str">
        <f t="shared" si="11"/>
        <v>00</v>
      </c>
      <c r="AN78" s="52" t="str">
        <f t="shared" si="12"/>
        <v>00</v>
      </c>
      <c r="AO78" s="52" t="str">
        <f t="shared" si="13"/>
        <v>00</v>
      </c>
      <c r="AQ78" t="str">
        <f t="shared" si="8"/>
        <v/>
      </c>
    </row>
    <row r="79" spans="1:46">
      <c r="B79" s="121"/>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7" t="str">
        <f t="shared" si="7"/>
        <v/>
      </c>
      <c r="AK79" s="50"/>
      <c r="AL79" s="50" t="str">
        <f t="shared" si="10"/>
        <v>00</v>
      </c>
      <c r="AM79" s="52" t="str">
        <f t="shared" si="11"/>
        <v>00</v>
      </c>
      <c r="AN79" s="52" t="str">
        <f t="shared" si="12"/>
        <v>00</v>
      </c>
      <c r="AO79" s="52" t="str">
        <f t="shared" si="13"/>
        <v>00</v>
      </c>
      <c r="AQ79" t="str">
        <f t="shared" si="8"/>
        <v/>
      </c>
    </row>
    <row r="80" spans="1:46">
      <c r="B80" s="121"/>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7" t="str">
        <f t="shared" si="7"/>
        <v/>
      </c>
      <c r="AK80" s="50"/>
      <c r="AL80" s="50" t="str">
        <f t="shared" si="10"/>
        <v>00</v>
      </c>
      <c r="AM80" s="52" t="str">
        <f t="shared" si="11"/>
        <v>00</v>
      </c>
      <c r="AN80" s="52" t="str">
        <f t="shared" si="12"/>
        <v>00</v>
      </c>
      <c r="AO80" s="52" t="str">
        <f t="shared" si="13"/>
        <v>00</v>
      </c>
      <c r="AQ80" t="str">
        <f t="shared" si="8"/>
        <v/>
      </c>
    </row>
    <row r="81" spans="2:43">
      <c r="B81" s="121"/>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7" t="str">
        <f t="shared" si="7"/>
        <v/>
      </c>
      <c r="AK81" s="50"/>
      <c r="AL81" s="50" t="str">
        <f t="shared" si="10"/>
        <v>00</v>
      </c>
      <c r="AM81" s="52" t="str">
        <f t="shared" si="11"/>
        <v>00</v>
      </c>
      <c r="AN81" s="52" t="str">
        <f t="shared" si="12"/>
        <v>00</v>
      </c>
      <c r="AO81" s="52" t="str">
        <f t="shared" si="13"/>
        <v>00</v>
      </c>
      <c r="AQ81" t="str">
        <f t="shared" si="8"/>
        <v/>
      </c>
    </row>
    <row r="82" spans="2:43">
      <c r="B82" s="121"/>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7" t="str">
        <f t="shared" si="7"/>
        <v/>
      </c>
      <c r="AK82" s="50"/>
      <c r="AL82" s="50" t="str">
        <f t="shared" si="10"/>
        <v>00</v>
      </c>
      <c r="AM82" s="52" t="str">
        <f t="shared" si="11"/>
        <v>00</v>
      </c>
      <c r="AN82" s="52" t="str">
        <f t="shared" si="12"/>
        <v>00</v>
      </c>
      <c r="AO82" s="52" t="str">
        <f t="shared" si="13"/>
        <v>00</v>
      </c>
      <c r="AQ82" t="str">
        <f t="shared" si="8"/>
        <v/>
      </c>
    </row>
    <row r="83" spans="2:43">
      <c r="B83" s="121"/>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7" t="str">
        <f t="shared" si="7"/>
        <v/>
      </c>
      <c r="AK83" s="50"/>
      <c r="AL83" s="50" t="str">
        <f t="shared" si="10"/>
        <v>00</v>
      </c>
      <c r="AM83" s="52" t="str">
        <f t="shared" si="11"/>
        <v>00</v>
      </c>
      <c r="AN83" s="52" t="str">
        <f t="shared" si="12"/>
        <v>00</v>
      </c>
      <c r="AO83" s="52" t="str">
        <f t="shared" si="13"/>
        <v>00</v>
      </c>
      <c r="AQ83" t="str">
        <f t="shared" si="8"/>
        <v/>
      </c>
    </row>
    <row r="84" spans="2:43">
      <c r="B84" s="121"/>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7" t="str">
        <f t="shared" si="7"/>
        <v/>
      </c>
      <c r="AK84" s="50"/>
      <c r="AL84" s="50" t="str">
        <f t="shared" si="10"/>
        <v>00</v>
      </c>
      <c r="AM84" s="52" t="str">
        <f t="shared" si="11"/>
        <v>00</v>
      </c>
      <c r="AN84" s="52" t="str">
        <f t="shared" si="12"/>
        <v>00</v>
      </c>
      <c r="AO84" s="52" t="str">
        <f t="shared" si="13"/>
        <v>00</v>
      </c>
      <c r="AQ84" t="str">
        <f t="shared" si="8"/>
        <v/>
      </c>
    </row>
    <row r="85" spans="2:43">
      <c r="B85" s="121"/>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7" t="str">
        <f t="shared" si="7"/>
        <v/>
      </c>
      <c r="AK85" s="50"/>
      <c r="AL85" s="50" t="str">
        <f t="shared" si="10"/>
        <v>00</v>
      </c>
      <c r="AM85" s="52" t="str">
        <f t="shared" si="11"/>
        <v>00</v>
      </c>
      <c r="AN85" s="52" t="str">
        <f t="shared" si="12"/>
        <v>00</v>
      </c>
      <c r="AO85" s="52" t="str">
        <f t="shared" si="13"/>
        <v>00</v>
      </c>
      <c r="AQ85" t="str">
        <f t="shared" si="8"/>
        <v/>
      </c>
    </row>
    <row r="86" spans="2:43">
      <c r="B86" s="121"/>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7" t="str">
        <f t="shared" si="7"/>
        <v/>
      </c>
      <c r="AK86" s="50"/>
      <c r="AL86" s="50" t="str">
        <f t="shared" si="10"/>
        <v>00</v>
      </c>
      <c r="AM86" s="52" t="str">
        <f t="shared" si="11"/>
        <v>00</v>
      </c>
      <c r="AN86" s="52" t="str">
        <f t="shared" si="12"/>
        <v>00</v>
      </c>
      <c r="AO86" s="52" t="str">
        <f t="shared" si="13"/>
        <v>00</v>
      </c>
      <c r="AQ86" t="str">
        <f t="shared" si="8"/>
        <v/>
      </c>
    </row>
    <row r="87" spans="2:43">
      <c r="B87" s="121"/>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1"/>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1"/>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C_TRCOFF</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0</v>
      </c>
      <c r="AH136" s="113">
        <f t="shared" si="29"/>
        <v>1</v>
      </c>
      <c r="AI136" s="113">
        <f t="shared" si="29"/>
        <v>1</v>
      </c>
      <c r="AJ136" s="37" t="str">
        <f t="shared" ref="AJ136:AJ199" si="30">IF(AJ6&lt;&gt;"",AJ6,"")</f>
        <v>UNKNOWN</v>
      </c>
      <c r="AK136" s="50"/>
      <c r="AL136" s="50" t="str">
        <f>BIN2HEX(AB136&amp;AC136&amp;AD136&amp;AE136&amp;AF136&amp;AG136&amp;AH136&amp;AI136,2)</f>
        <v>03</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1"/>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0</v>
      </c>
      <c r="AH137" s="113">
        <f t="shared" si="29"/>
        <v>1</v>
      </c>
      <c r="AI137" s="113">
        <f t="shared" si="29"/>
        <v>1</v>
      </c>
      <c r="AJ137" s="37" t="str">
        <f t="shared" si="30"/>
        <v>MALFUNC</v>
      </c>
      <c r="AK137" s="50"/>
      <c r="AL137" s="50" t="str">
        <f t="shared" ref="AL137:AL199" si="33">BIN2HEX(AB137&amp;AC137&amp;AD137&amp;AE137&amp;AF137&amp;AG137&amp;AH137&amp;AI137,2)</f>
        <v>03</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(U4)0x00000003U,                                                           /* 01 MALFUNC                                         */</v>
      </c>
    </row>
    <row r="138" spans="1:43">
      <c r="B138" s="121"/>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0</v>
      </c>
      <c r="AH138" s="113">
        <f t="shared" si="29"/>
        <v>1</v>
      </c>
      <c r="AI138" s="113">
        <f t="shared" si="29"/>
        <v>1</v>
      </c>
      <c r="AJ138" s="37" t="str">
        <f t="shared" si="30"/>
        <v>UNKNOWN</v>
      </c>
      <c r="AK138" s="50"/>
      <c r="AL138" s="50" t="str">
        <f t="shared" si="33"/>
        <v>03</v>
      </c>
      <c r="AM138" s="52" t="str">
        <f t="shared" si="34"/>
        <v>00</v>
      </c>
      <c r="AN138" s="52" t="str">
        <f t="shared" si="35"/>
        <v>00</v>
      </c>
      <c r="AO138" s="52" t="str">
        <f t="shared" si="36"/>
        <v>00</v>
      </c>
      <c r="AQ138" t="str">
        <f t="shared" si="31"/>
        <v xml:space="preserve">    (U4)0x00000003U,                                                           /* 02 UNKNOWN                                         */</v>
      </c>
    </row>
    <row r="139" spans="1:43">
      <c r="B139" s="121"/>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0</v>
      </c>
      <c r="AH139" s="113">
        <f t="shared" si="29"/>
        <v>1</v>
      </c>
      <c r="AI139" s="113">
        <f t="shared" si="29"/>
        <v>1</v>
      </c>
      <c r="AJ139" s="37" t="str">
        <f t="shared" si="30"/>
        <v>UNKNOWN</v>
      </c>
      <c r="AK139" s="50"/>
      <c r="AL139" s="50" t="str">
        <f t="shared" si="33"/>
        <v>03</v>
      </c>
      <c r="AM139" s="52" t="str">
        <f t="shared" si="34"/>
        <v>00</v>
      </c>
      <c r="AN139" s="52" t="str">
        <f t="shared" si="35"/>
        <v>00</v>
      </c>
      <c r="AO139" s="52" t="str">
        <f t="shared" si="36"/>
        <v>00</v>
      </c>
      <c r="AQ139" t="str">
        <f t="shared" si="31"/>
        <v xml:space="preserve">    (U4)0x00000003U                                                            /* 03 UNKNOWN                                         */</v>
      </c>
    </row>
    <row r="140" spans="1:43">
      <c r="B140" s="121"/>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0</v>
      </c>
      <c r="AH140" s="113">
        <f t="shared" si="29"/>
        <v>0</v>
      </c>
      <c r="AI140" s="113">
        <f t="shared" si="29"/>
        <v>0</v>
      </c>
      <c r="AJ140" s="37" t="str">
        <f t="shared" si="30"/>
        <v/>
      </c>
      <c r="AK140" s="50"/>
      <c r="AL140" s="50" t="str">
        <f t="shared" si="33"/>
        <v>00</v>
      </c>
      <c r="AM140" s="52" t="str">
        <f t="shared" si="34"/>
        <v>00</v>
      </c>
      <c r="AN140" s="52" t="str">
        <f t="shared" si="35"/>
        <v>00</v>
      </c>
      <c r="AO140" s="52" t="str">
        <f t="shared" si="36"/>
        <v>00</v>
      </c>
      <c r="AQ140" t="str">
        <f t="shared" si="31"/>
        <v/>
      </c>
    </row>
    <row r="141" spans="1:43">
      <c r="B141" s="121"/>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0</v>
      </c>
      <c r="AH141" s="113">
        <f t="shared" si="29"/>
        <v>0</v>
      </c>
      <c r="AI141" s="113">
        <f t="shared" si="29"/>
        <v>0</v>
      </c>
      <c r="AJ141" s="37" t="str">
        <f t="shared" si="30"/>
        <v/>
      </c>
      <c r="AK141" s="50"/>
      <c r="AL141" s="50" t="str">
        <f t="shared" si="33"/>
        <v>00</v>
      </c>
      <c r="AM141" s="52" t="str">
        <f t="shared" si="34"/>
        <v>00</v>
      </c>
      <c r="AN141" s="52" t="str">
        <f t="shared" si="35"/>
        <v>00</v>
      </c>
      <c r="AO141" s="52" t="str">
        <f t="shared" si="36"/>
        <v>00</v>
      </c>
      <c r="AQ141" t="str">
        <f t="shared" si="31"/>
        <v/>
      </c>
    </row>
    <row r="142" spans="1:43">
      <c r="B142" s="121"/>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0</v>
      </c>
      <c r="AH142" s="113">
        <f t="shared" si="29"/>
        <v>0</v>
      </c>
      <c r="AI142" s="113">
        <f t="shared" si="29"/>
        <v>0</v>
      </c>
      <c r="AJ142" s="37" t="str">
        <f t="shared" si="30"/>
        <v/>
      </c>
      <c r="AK142" s="50"/>
      <c r="AL142" s="50" t="str">
        <f t="shared" si="33"/>
        <v>00</v>
      </c>
      <c r="AM142" s="52" t="str">
        <f t="shared" si="34"/>
        <v>00</v>
      </c>
      <c r="AN142" s="52" t="str">
        <f t="shared" si="35"/>
        <v>00</v>
      </c>
      <c r="AO142" s="52" t="str">
        <f t="shared" si="36"/>
        <v>00</v>
      </c>
      <c r="AQ142" t="str">
        <f t="shared" si="31"/>
        <v/>
      </c>
    </row>
    <row r="143" spans="1:43">
      <c r="B143" s="121"/>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0</v>
      </c>
      <c r="AH143" s="113">
        <f t="shared" si="29"/>
        <v>0</v>
      </c>
      <c r="AI143" s="113">
        <f t="shared" ref="AI143" si="37">IF(OR(AI13=0,AI13=1),1,0)</f>
        <v>0</v>
      </c>
      <c r="AJ143" s="37" t="str">
        <f t="shared" si="30"/>
        <v/>
      </c>
      <c r="AK143" s="50"/>
      <c r="AL143" s="50" t="str">
        <f t="shared" si="33"/>
        <v>00</v>
      </c>
      <c r="AM143" s="52" t="str">
        <f t="shared" si="34"/>
        <v>00</v>
      </c>
      <c r="AN143" s="52" t="str">
        <f t="shared" si="35"/>
        <v>00</v>
      </c>
      <c r="AO143" s="52" t="str">
        <f t="shared" si="36"/>
        <v>00</v>
      </c>
      <c r="AQ143" t="str">
        <f t="shared" si="31"/>
        <v/>
      </c>
    </row>
    <row r="144" spans="1:43">
      <c r="B144" s="121"/>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7" t="str">
        <f t="shared" si="30"/>
        <v/>
      </c>
      <c r="AK144" s="50"/>
      <c r="AL144" s="50" t="str">
        <f t="shared" si="33"/>
        <v>00</v>
      </c>
      <c r="AM144" s="52" t="str">
        <f t="shared" si="34"/>
        <v>00</v>
      </c>
      <c r="AN144" s="52" t="str">
        <f t="shared" si="35"/>
        <v>00</v>
      </c>
      <c r="AO144" s="52" t="str">
        <f t="shared" si="36"/>
        <v>00</v>
      </c>
      <c r="AQ144" t="str">
        <f t="shared" si="31"/>
        <v/>
      </c>
    </row>
    <row r="145" spans="2:43">
      <c r="B145" s="121"/>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7" t="str">
        <f t="shared" si="30"/>
        <v/>
      </c>
      <c r="AK145" s="50"/>
      <c r="AL145" s="50" t="str">
        <f t="shared" si="33"/>
        <v>00</v>
      </c>
      <c r="AM145" s="52" t="str">
        <f t="shared" si="34"/>
        <v>00</v>
      </c>
      <c r="AN145" s="52" t="str">
        <f t="shared" si="35"/>
        <v>00</v>
      </c>
      <c r="AO145" s="52" t="str">
        <f t="shared" si="36"/>
        <v>00</v>
      </c>
      <c r="AQ145" t="str">
        <f t="shared" si="31"/>
        <v/>
      </c>
    </row>
    <row r="146" spans="2:43">
      <c r="B146" s="121"/>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7" t="str">
        <f t="shared" si="30"/>
        <v/>
      </c>
      <c r="AK146" s="50"/>
      <c r="AL146" s="50" t="str">
        <f t="shared" si="33"/>
        <v>00</v>
      </c>
      <c r="AM146" s="52" t="str">
        <f t="shared" si="34"/>
        <v>00</v>
      </c>
      <c r="AN146" s="52" t="str">
        <f t="shared" si="35"/>
        <v>00</v>
      </c>
      <c r="AO146" s="52" t="str">
        <f t="shared" si="36"/>
        <v>00</v>
      </c>
      <c r="AQ146" t="str">
        <f t="shared" si="31"/>
        <v/>
      </c>
    </row>
    <row r="147" spans="2:43">
      <c r="B147" s="121"/>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7" t="str">
        <f t="shared" si="30"/>
        <v/>
      </c>
      <c r="AK147" s="50"/>
      <c r="AL147" s="50" t="str">
        <f t="shared" si="33"/>
        <v>00</v>
      </c>
      <c r="AM147" s="52" t="str">
        <f t="shared" si="34"/>
        <v>00</v>
      </c>
      <c r="AN147" s="52" t="str">
        <f t="shared" si="35"/>
        <v>00</v>
      </c>
      <c r="AO147" s="52" t="str">
        <f t="shared" si="36"/>
        <v>00</v>
      </c>
      <c r="AQ147" t="str">
        <f t="shared" si="31"/>
        <v/>
      </c>
    </row>
    <row r="148" spans="2:43">
      <c r="B148" s="121"/>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7" t="str">
        <f t="shared" si="30"/>
        <v/>
      </c>
      <c r="AK148" s="50"/>
      <c r="AL148" s="50" t="str">
        <f t="shared" si="33"/>
        <v>00</v>
      </c>
      <c r="AM148" s="52" t="str">
        <f t="shared" si="34"/>
        <v>00</v>
      </c>
      <c r="AN148" s="52" t="str">
        <f t="shared" si="35"/>
        <v>00</v>
      </c>
      <c r="AO148" s="52" t="str">
        <f t="shared" si="36"/>
        <v>00</v>
      </c>
      <c r="AQ148" t="str">
        <f t="shared" si="31"/>
        <v/>
      </c>
    </row>
    <row r="149" spans="2:43">
      <c r="B149" s="121"/>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7" t="str">
        <f t="shared" si="30"/>
        <v/>
      </c>
      <c r="AK149" s="50"/>
      <c r="AL149" s="50" t="str">
        <f t="shared" si="33"/>
        <v>00</v>
      </c>
      <c r="AM149" s="52" t="str">
        <f t="shared" si="34"/>
        <v>00</v>
      </c>
      <c r="AN149" s="52" t="str">
        <f t="shared" si="35"/>
        <v>00</v>
      </c>
      <c r="AO149" s="52" t="str">
        <f t="shared" si="36"/>
        <v>00</v>
      </c>
      <c r="AQ149" t="str">
        <f t="shared" si="31"/>
        <v/>
      </c>
    </row>
    <row r="150" spans="2:43">
      <c r="B150" s="121"/>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7" t="str">
        <f t="shared" si="30"/>
        <v/>
      </c>
      <c r="AK150" s="50"/>
      <c r="AL150" s="50" t="str">
        <f t="shared" si="33"/>
        <v>00</v>
      </c>
      <c r="AM150" s="52" t="str">
        <f t="shared" si="34"/>
        <v>00</v>
      </c>
      <c r="AN150" s="52" t="str">
        <f t="shared" si="35"/>
        <v>00</v>
      </c>
      <c r="AO150" s="52" t="str">
        <f t="shared" si="36"/>
        <v>00</v>
      </c>
      <c r="AQ150" t="str">
        <f t="shared" si="31"/>
        <v/>
      </c>
    </row>
    <row r="151" spans="2:43">
      <c r="B151" s="121"/>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7" t="str">
        <f t="shared" si="30"/>
        <v/>
      </c>
      <c r="AK151" s="50"/>
      <c r="AL151" s="50" t="str">
        <f t="shared" si="33"/>
        <v>00</v>
      </c>
      <c r="AM151" s="52" t="str">
        <f t="shared" si="34"/>
        <v>00</v>
      </c>
      <c r="AN151" s="52" t="str">
        <f t="shared" si="35"/>
        <v>00</v>
      </c>
      <c r="AO151" s="52" t="str">
        <f t="shared" si="36"/>
        <v>00</v>
      </c>
      <c r="AQ151" t="str">
        <f t="shared" si="31"/>
        <v/>
      </c>
    </row>
    <row r="152" spans="2:43">
      <c r="B152" s="121"/>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1"/>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1"/>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B3 D34:AI69 L3:AE3 D10:AE33" name="Table作成編集範囲"/>
    <protectedRange sqref="D6:AE9" name="Table作成編集範囲_4"/>
    <protectedRange sqref="AF3:AG3" name="Table作成編集範囲_1"/>
    <protectedRange sqref="AF14:AI33 AF6:AF13" name="Table作成編集範囲_1_1"/>
    <protectedRange sqref="AJ6:AJ69" name="Table作成編集範囲_5"/>
    <protectedRange sqref="AG6:AI13" name="Table作成編集範囲_8"/>
    <protectedRange sqref="AI3" name="Table作成編集範囲_3"/>
    <protectedRange sqref="AH3" name="Table作成編集範囲_1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3">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4"/>
  <sheetViews>
    <sheetView zoomScaleNormal="100" workbookViewId="0"/>
  </sheetViews>
  <sheetFormatPr defaultRowHeight="13"/>
  <cols>
    <col min="2" max="2" width="35.36328125" bestFit="1" customWidth="1"/>
    <col min="3" max="10" width="3.36328125" customWidth="1"/>
    <col min="11" max="11" width="17" customWidth="1"/>
    <col min="12" max="12" width="19.90625" customWidth="1"/>
    <col min="13" max="13" width="20.90625" bestFit="1" customWidth="1"/>
    <col min="14" max="14" width="8.90625" bestFit="1" customWidth="1"/>
    <col min="15" max="15" width="34.6328125" bestFit="1" customWidth="1"/>
    <col min="16" max="17" width="4.36328125" bestFit="1" customWidth="1"/>
    <col min="18" max="18" width="10.90625" customWidth="1"/>
  </cols>
  <sheetData>
    <row r="2" spans="2:17" ht="14.5" thickBot="1">
      <c r="B2" s="219" t="s">
        <v>277</v>
      </c>
    </row>
    <row r="3" spans="2:17" ht="14.5" thickBot="1">
      <c r="B3" s="84" t="s">
        <v>206</v>
      </c>
      <c r="C3" s="283" t="s">
        <v>196</v>
      </c>
      <c r="D3" s="284"/>
      <c r="E3" s="284"/>
      <c r="F3" s="284"/>
      <c r="G3" s="284"/>
      <c r="H3" s="284"/>
      <c r="I3" s="284"/>
      <c r="J3" s="285"/>
      <c r="K3" s="156"/>
      <c r="L3" s="156"/>
      <c r="M3" s="159"/>
      <c r="N3" s="157"/>
      <c r="O3" s="157"/>
      <c r="P3" s="157"/>
      <c r="Q3" s="158"/>
    </row>
    <row r="4" spans="2:17">
      <c r="B4" s="60"/>
      <c r="C4" s="29" t="s">
        <v>207</v>
      </c>
      <c r="D4" s="29"/>
      <c r="E4" s="29"/>
      <c r="F4" s="29"/>
      <c r="G4" s="29"/>
      <c r="H4" s="29"/>
      <c r="I4" s="29"/>
      <c r="J4" s="29"/>
      <c r="K4" s="29"/>
      <c r="L4" s="29"/>
      <c r="M4" s="25" t="s">
        <v>208</v>
      </c>
      <c r="N4" s="33" t="s">
        <v>21</v>
      </c>
      <c r="O4" s="34"/>
      <c r="P4" s="34"/>
      <c r="Q4" s="35"/>
    </row>
    <row r="5" spans="2:17">
      <c r="B5" s="61" t="s">
        <v>22</v>
      </c>
      <c r="C5" s="286" t="s">
        <v>161</v>
      </c>
      <c r="D5" s="287"/>
      <c r="E5" s="287"/>
      <c r="F5" s="287"/>
      <c r="G5" s="287"/>
      <c r="H5" s="287"/>
      <c r="I5" s="287"/>
      <c r="J5" s="287"/>
      <c r="K5" s="209" t="s">
        <v>202</v>
      </c>
      <c r="L5" s="209"/>
      <c r="M5" s="26" t="s">
        <v>209</v>
      </c>
      <c r="N5" s="194" t="s">
        <v>23</v>
      </c>
      <c r="O5" s="210" t="s">
        <v>24</v>
      </c>
      <c r="P5" s="189" t="s">
        <v>25</v>
      </c>
      <c r="Q5" s="127" t="s">
        <v>26</v>
      </c>
    </row>
    <row r="6" spans="2:17">
      <c r="B6" s="61" t="s">
        <v>33</v>
      </c>
      <c r="C6" s="152" t="s">
        <v>210</v>
      </c>
      <c r="D6" s="152" t="s">
        <v>211</v>
      </c>
      <c r="E6" s="152" t="s">
        <v>212</v>
      </c>
      <c r="F6" s="152" t="s">
        <v>213</v>
      </c>
      <c r="G6" s="152" t="s">
        <v>203</v>
      </c>
      <c r="H6" s="152" t="s">
        <v>213</v>
      </c>
      <c r="I6" s="152" t="s">
        <v>214</v>
      </c>
      <c r="J6" s="152" t="s">
        <v>213</v>
      </c>
      <c r="K6" s="126" t="s">
        <v>215</v>
      </c>
      <c r="L6" s="195" t="s">
        <v>216</v>
      </c>
      <c r="M6" s="26" t="s">
        <v>217</v>
      </c>
      <c r="N6" s="196"/>
      <c r="O6" s="196"/>
      <c r="P6" s="190"/>
      <c r="Q6" s="127"/>
    </row>
    <row r="7" spans="2:17" ht="26">
      <c r="B7" s="62" t="s">
        <v>27</v>
      </c>
      <c r="C7" s="288" t="s">
        <v>45</v>
      </c>
      <c r="D7" s="287"/>
      <c r="E7" s="287"/>
      <c r="F7" s="287"/>
      <c r="G7" s="287"/>
      <c r="H7" s="287"/>
      <c r="I7" s="287"/>
      <c r="J7" s="289"/>
      <c r="K7" s="1" t="s">
        <v>286</v>
      </c>
      <c r="L7" s="1" t="s">
        <v>286</v>
      </c>
      <c r="M7" s="27"/>
      <c r="N7" s="196"/>
      <c r="O7" s="196"/>
      <c r="P7" s="190"/>
      <c r="Q7" s="127"/>
    </row>
    <row r="8" spans="2:17" ht="166.65" customHeight="1">
      <c r="B8" s="61" t="s">
        <v>28</v>
      </c>
      <c r="C8" s="211" t="s">
        <v>218</v>
      </c>
      <c r="D8" s="211" t="s">
        <v>62</v>
      </c>
      <c r="E8" s="211" t="s">
        <v>219</v>
      </c>
      <c r="F8" s="211" t="s">
        <v>204</v>
      </c>
      <c r="G8" s="211" t="s">
        <v>220</v>
      </c>
      <c r="H8" s="211" t="s">
        <v>205</v>
      </c>
      <c r="I8" s="211" t="s">
        <v>221</v>
      </c>
      <c r="J8" s="211" t="s">
        <v>222</v>
      </c>
      <c r="K8" s="1" t="s">
        <v>286</v>
      </c>
      <c r="L8" s="197" t="s">
        <v>223</v>
      </c>
      <c r="M8" s="26" t="s">
        <v>29</v>
      </c>
      <c r="N8" s="196"/>
      <c r="O8" s="196"/>
      <c r="P8" s="190"/>
      <c r="Q8" s="127"/>
    </row>
    <row r="9" spans="2:17" ht="39.5" thickBot="1">
      <c r="B9" s="63" t="s">
        <v>30</v>
      </c>
      <c r="C9" s="153" t="s">
        <v>224</v>
      </c>
      <c r="D9" s="153" t="s">
        <v>214</v>
      </c>
      <c r="E9" s="153" t="s">
        <v>224</v>
      </c>
      <c r="F9" s="153" t="s">
        <v>225</v>
      </c>
      <c r="G9" s="153" t="s">
        <v>226</v>
      </c>
      <c r="H9" s="153" t="s">
        <v>226</v>
      </c>
      <c r="I9" s="153" t="s">
        <v>226</v>
      </c>
      <c r="J9" s="153" t="s">
        <v>227</v>
      </c>
      <c r="K9" s="24" t="s">
        <v>228</v>
      </c>
      <c r="L9" s="198" t="s">
        <v>229</v>
      </c>
      <c r="M9" s="28" t="s">
        <v>253</v>
      </c>
      <c r="N9" s="212" t="s">
        <v>230</v>
      </c>
      <c r="O9" s="221" t="s">
        <v>203</v>
      </c>
      <c r="P9" s="199"/>
      <c r="Q9" s="128"/>
    </row>
    <row r="10" spans="2:17" ht="13.5" thickTop="1">
      <c r="B10" s="64" t="s">
        <v>257</v>
      </c>
      <c r="C10" s="154" t="s">
        <v>154</v>
      </c>
      <c r="D10" s="154" t="s">
        <v>154</v>
      </c>
      <c r="E10" s="154" t="s">
        <v>154</v>
      </c>
      <c r="F10" s="154" t="s">
        <v>154</v>
      </c>
      <c r="G10" s="154" t="s">
        <v>154</v>
      </c>
      <c r="H10" s="154" t="s">
        <v>154</v>
      </c>
      <c r="I10" s="154" t="s">
        <v>154</v>
      </c>
      <c r="J10" s="154" t="s">
        <v>154</v>
      </c>
      <c r="K10" s="30" t="s">
        <v>232</v>
      </c>
      <c r="L10" s="200" t="s">
        <v>233</v>
      </c>
      <c r="M10" s="31" t="s">
        <v>234</v>
      </c>
      <c r="N10" s="201" t="s">
        <v>213</v>
      </c>
      <c r="O10" s="116" t="s">
        <v>214</v>
      </c>
      <c r="P10" s="191"/>
      <c r="Q10" s="186"/>
    </row>
    <row r="11" spans="2:17">
      <c r="B11" s="202" t="s">
        <v>258</v>
      </c>
      <c r="C11" s="155" t="s">
        <v>154</v>
      </c>
      <c r="D11" s="155" t="s">
        <v>154</v>
      </c>
      <c r="E11" s="155" t="s">
        <v>154</v>
      </c>
      <c r="F11" s="155" t="s">
        <v>154</v>
      </c>
      <c r="G11" s="155" t="s">
        <v>154</v>
      </c>
      <c r="H11" s="155" t="s">
        <v>154</v>
      </c>
      <c r="I11" s="155" t="s">
        <v>154</v>
      </c>
      <c r="J11" s="155" t="s">
        <v>154</v>
      </c>
      <c r="K11" s="207" t="s">
        <v>235</v>
      </c>
      <c r="L11" s="203" t="s">
        <v>236</v>
      </c>
      <c r="M11" s="32" t="s">
        <v>237</v>
      </c>
      <c r="N11" s="204" t="s">
        <v>238</v>
      </c>
      <c r="O11" s="220" t="s">
        <v>203</v>
      </c>
      <c r="P11" s="192"/>
      <c r="Q11" s="129"/>
    </row>
    <row r="12" spans="2:17">
      <c r="B12" s="202" t="s">
        <v>259</v>
      </c>
      <c r="C12" s="155" t="s">
        <v>154</v>
      </c>
      <c r="D12" s="155" t="s">
        <v>154</v>
      </c>
      <c r="E12" s="155" t="s">
        <v>154</v>
      </c>
      <c r="F12" s="155" t="s">
        <v>154</v>
      </c>
      <c r="G12" s="155" t="s">
        <v>154</v>
      </c>
      <c r="H12" s="155" t="s">
        <v>154</v>
      </c>
      <c r="I12" s="155" t="s">
        <v>154</v>
      </c>
      <c r="J12" s="155" t="s">
        <v>154</v>
      </c>
      <c r="K12" s="207" t="s">
        <v>239</v>
      </c>
      <c r="L12" s="203" t="s">
        <v>231</v>
      </c>
      <c r="M12" s="32" t="s">
        <v>240</v>
      </c>
      <c r="N12" s="204" t="s">
        <v>241</v>
      </c>
      <c r="O12" s="51" t="s">
        <v>213</v>
      </c>
      <c r="P12" s="192"/>
      <c r="Q12" s="129"/>
    </row>
    <row r="13" spans="2:17">
      <c r="B13" s="202" t="s">
        <v>260</v>
      </c>
      <c r="C13" s="155" t="s">
        <v>154</v>
      </c>
      <c r="D13" s="155" t="s">
        <v>154</v>
      </c>
      <c r="E13" s="155" t="s">
        <v>154</v>
      </c>
      <c r="F13" s="155" t="s">
        <v>154</v>
      </c>
      <c r="G13" s="155" t="s">
        <v>154</v>
      </c>
      <c r="H13" s="155" t="s">
        <v>154</v>
      </c>
      <c r="I13" s="155" t="s">
        <v>154</v>
      </c>
      <c r="J13" s="155" t="s">
        <v>154</v>
      </c>
      <c r="K13" s="207" t="s">
        <v>242</v>
      </c>
      <c r="L13" s="203" t="s">
        <v>239</v>
      </c>
      <c r="M13" s="32" t="s">
        <v>243</v>
      </c>
      <c r="N13" s="204" t="s">
        <v>241</v>
      </c>
      <c r="O13" s="51" t="s">
        <v>241</v>
      </c>
      <c r="P13" s="192"/>
      <c r="Q13" s="129"/>
    </row>
    <row r="14" spans="2:17" ht="13.5" thickBot="1">
      <c r="B14" s="179" t="s">
        <v>244</v>
      </c>
      <c r="C14" s="180" t="s">
        <v>154</v>
      </c>
      <c r="D14" s="180" t="s">
        <v>154</v>
      </c>
      <c r="E14" s="180" t="s">
        <v>154</v>
      </c>
      <c r="F14" s="180" t="s">
        <v>154</v>
      </c>
      <c r="G14" s="180" t="s">
        <v>154</v>
      </c>
      <c r="H14" s="180" t="s">
        <v>154</v>
      </c>
      <c r="I14" s="180" t="s">
        <v>154</v>
      </c>
      <c r="J14" s="180" t="s">
        <v>154</v>
      </c>
      <c r="K14" s="181" t="s">
        <v>245</v>
      </c>
      <c r="L14" s="205" t="s">
        <v>246</v>
      </c>
      <c r="M14" s="182" t="s">
        <v>247</v>
      </c>
      <c r="N14" s="206" t="s">
        <v>241</v>
      </c>
      <c r="O14" s="213" t="s">
        <v>248</v>
      </c>
      <c r="P14" s="193"/>
      <c r="Q14" s="183"/>
    </row>
  </sheetData>
  <mergeCells count="3">
    <mergeCell ref="C3:J3"/>
    <mergeCell ref="C5:J5"/>
    <mergeCell ref="C7:J7"/>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72" t="s">
        <v>82</v>
      </c>
      <c r="C2" s="73">
        <f>MAX(B4:B28)</f>
        <v>20</v>
      </c>
      <c r="D2" s="73"/>
    </row>
    <row r="3" spans="2:4" ht="13.5" thickBot="1">
      <c r="B3" s="66" t="s">
        <v>82</v>
      </c>
      <c r="C3" s="74" t="s">
        <v>86</v>
      </c>
      <c r="D3" s="67" t="s">
        <v>83</v>
      </c>
    </row>
    <row r="4" spans="2:4" ht="13.5" thickTop="1">
      <c r="B4" s="12">
        <v>0</v>
      </c>
      <c r="C4" s="75" t="s">
        <v>87</v>
      </c>
      <c r="D4" s="14" t="s">
        <v>20</v>
      </c>
    </row>
    <row r="5" spans="2:4" ht="39">
      <c r="B5" s="2">
        <v>1</v>
      </c>
      <c r="C5" s="76" t="s">
        <v>87</v>
      </c>
      <c r="D5" s="78" t="s">
        <v>88</v>
      </c>
    </row>
    <row r="6" spans="2:4" ht="26">
      <c r="B6" s="2">
        <v>2</v>
      </c>
      <c r="C6" s="76" t="s">
        <v>90</v>
      </c>
      <c r="D6" s="78" t="s">
        <v>91</v>
      </c>
    </row>
    <row r="7" spans="2:4" ht="52">
      <c r="B7" s="2">
        <v>3</v>
      </c>
      <c r="C7" s="76" t="s">
        <v>87</v>
      </c>
      <c r="D7" s="78" t="s">
        <v>94</v>
      </c>
    </row>
    <row r="8" spans="2:4" ht="78">
      <c r="B8" s="2">
        <v>4</v>
      </c>
      <c r="C8" s="76" t="s">
        <v>102</v>
      </c>
      <c r="D8" s="78" t="s">
        <v>108</v>
      </c>
    </row>
    <row r="9" spans="2:4" ht="41.25" customHeight="1">
      <c r="B9" s="2">
        <v>5</v>
      </c>
      <c r="C9" s="76" t="s">
        <v>103</v>
      </c>
      <c r="D9" s="78" t="s">
        <v>104</v>
      </c>
    </row>
    <row r="10" spans="2:4" ht="26">
      <c r="B10" s="2">
        <v>6</v>
      </c>
      <c r="C10" s="76" t="s">
        <v>87</v>
      </c>
      <c r="D10" s="78" t="s">
        <v>107</v>
      </c>
    </row>
    <row r="11" spans="2:4" ht="26">
      <c r="B11" s="2">
        <v>7</v>
      </c>
      <c r="C11" s="76" t="s">
        <v>102</v>
      </c>
      <c r="D11" s="78" t="s">
        <v>106</v>
      </c>
    </row>
    <row r="12" spans="2:4" ht="26">
      <c r="B12" s="2">
        <v>8</v>
      </c>
      <c r="C12" s="76" t="s">
        <v>87</v>
      </c>
      <c r="D12" s="78" t="s">
        <v>109</v>
      </c>
    </row>
    <row r="13" spans="2:4" ht="26">
      <c r="B13" s="2">
        <v>9</v>
      </c>
      <c r="C13" s="76" t="s">
        <v>87</v>
      </c>
      <c r="D13" s="78" t="s">
        <v>110</v>
      </c>
    </row>
    <row r="14" spans="2:4" ht="26">
      <c r="B14" s="2">
        <v>10</v>
      </c>
      <c r="C14" s="76" t="s">
        <v>111</v>
      </c>
      <c r="D14" s="78" t="s">
        <v>112</v>
      </c>
    </row>
    <row r="15" spans="2:4" ht="130">
      <c r="B15" s="2">
        <v>11</v>
      </c>
      <c r="C15" s="76" t="s">
        <v>87</v>
      </c>
      <c r="D15" s="78" t="s">
        <v>124</v>
      </c>
    </row>
    <row r="16" spans="2:4" ht="191.25" customHeight="1">
      <c r="B16" s="2">
        <v>12</v>
      </c>
      <c r="C16" s="76" t="s">
        <v>152</v>
      </c>
      <c r="D16" s="78" t="s">
        <v>159</v>
      </c>
    </row>
    <row r="17" spans="2:4" ht="26">
      <c r="B17" s="2">
        <v>13</v>
      </c>
      <c r="C17" s="76" t="s">
        <v>90</v>
      </c>
      <c r="D17" s="78" t="s">
        <v>162</v>
      </c>
    </row>
    <row r="18" spans="2:4" ht="91">
      <c r="B18" s="2">
        <v>14</v>
      </c>
      <c r="C18" s="76" t="s">
        <v>90</v>
      </c>
      <c r="D18" s="78" t="s">
        <v>164</v>
      </c>
    </row>
    <row r="19" spans="2:4" ht="39">
      <c r="B19" s="2">
        <v>15</v>
      </c>
      <c r="C19" s="76" t="s">
        <v>103</v>
      </c>
      <c r="D19" s="78" t="s">
        <v>167</v>
      </c>
    </row>
    <row r="20" spans="2:4" ht="64.5" customHeight="1">
      <c r="B20" s="2">
        <v>16</v>
      </c>
      <c r="C20" s="76" t="s">
        <v>103</v>
      </c>
      <c r="D20" s="78" t="s">
        <v>171</v>
      </c>
    </row>
    <row r="21" spans="2:4" ht="66.75" customHeight="1">
      <c r="B21" s="2">
        <v>17</v>
      </c>
      <c r="C21" s="76" t="s">
        <v>102</v>
      </c>
      <c r="D21" s="78" t="s">
        <v>186</v>
      </c>
    </row>
    <row r="22" spans="2:4" ht="26">
      <c r="B22" s="2">
        <v>18</v>
      </c>
      <c r="C22" s="76" t="s">
        <v>267</v>
      </c>
      <c r="D22" s="78" t="s">
        <v>268</v>
      </c>
    </row>
    <row r="23" spans="2:4" ht="26">
      <c r="B23" s="2">
        <v>19</v>
      </c>
      <c r="C23" s="76" t="s">
        <v>267</v>
      </c>
      <c r="D23" s="78" t="s">
        <v>269</v>
      </c>
    </row>
    <row r="24" spans="2:4" ht="91">
      <c r="B24" s="2">
        <v>20</v>
      </c>
      <c r="C24" s="76" t="s">
        <v>270</v>
      </c>
      <c r="D24" s="78" t="s">
        <v>271</v>
      </c>
    </row>
    <row r="25" spans="2:4">
      <c r="B25" s="2"/>
      <c r="C25" s="76"/>
      <c r="D25" s="65"/>
    </row>
    <row r="26" spans="2:4">
      <c r="B26" s="2"/>
      <c r="C26" s="76"/>
      <c r="D26" s="65"/>
    </row>
    <row r="27" spans="2:4" ht="13.5" thickBot="1">
      <c r="B27" s="3"/>
      <c r="C27" s="7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C_TRCOFF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2024-02-26T00:40:20Z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0dec2b71-b6ed-4859-ae0c-7b254b5e5ccb</vt:lpwstr>
  </property>
  <property fmtid="{D5CDD505-2E9C-101B-9397-08002B2CF9AE}" pid="8" name="MSIP_Label_6add209e-37c4-4e15-ab1b-f9befe71def1_ContentBits">
    <vt:lpwstr>0</vt:lpwstr>
  </property>
</Properties>
</file>