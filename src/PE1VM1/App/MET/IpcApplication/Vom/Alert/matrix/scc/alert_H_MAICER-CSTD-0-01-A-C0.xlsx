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B8A055A6-2697-43B0-B6AE-901D6C5F3C7A}" xr6:coauthVersionLast="47" xr6:coauthVersionMax="47" xr10:uidLastSave="{00000000-0000-0000-0000-000000000000}"/>
  <bookViews>
    <workbookView xWindow="-7575" yWindow="-16320" windowWidth="29040" windowHeight="15720" tabRatio="673" xr2:uid="{00000000-000D-0000-FFFF-FFFF00000000}"/>
  </bookViews>
  <sheets>
    <sheet name="表紙（承認欄）" sheetId="24" r:id="rId1"/>
    <sheet name="表紙" sheetId="1" r:id="rId2"/>
    <sheet name="はじめに" sheetId="10" r:id="rId3"/>
    <sheet name="Matrix" sheetId="14" r:id="rId4"/>
    <sheet name="Config_IF" sheetId="13" r:id="rId5"/>
    <sheet name="CH_Design" sheetId="5" r:id="rId6"/>
    <sheet name="PD1" sheetId="8" r:id="rId7"/>
    <sheet name="PD2" sheetId="20" r:id="rId8"/>
    <sheet name="PD3" sheetId="21" r:id="rId9"/>
    <sheet name="PD4" sheetId="22" r:id="rId10"/>
    <sheet name="Reference" sheetId="23" r:id="rId11"/>
    <sheet name="History" sheetId="7" r:id="rId12"/>
  </sheets>
  <externalReferences>
    <externalReference r:id="rId13"/>
    <externalReference r:id="rId14"/>
    <externalReference r:id="rId15"/>
    <externalReference r:id="rId16"/>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Z_835E1E8D_859C_4113_A3E5_0B83A29207D2_.wvu.Cols" localSheetId="3" hidden="1">Matrix!$I:$N</definedName>
    <definedName name="Z_835E1E8D_859C_4113_A3E5_0B83A29207D2_.wvu.Rows" localSheetId="4" hidden="1">Config_IF!#REF!,Config_IF!$34:$34</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4" l="1"/>
  <c r="AU11" i="22"/>
  <c r="AU10" i="22"/>
  <c r="AU11" i="21"/>
  <c r="AU10" i="21"/>
  <c r="AU11" i="20"/>
  <c r="AU10" i="20"/>
  <c r="AU11" i="8"/>
  <c r="AU10" i="8"/>
  <c r="B13" i="1"/>
  <c r="B12" i="1"/>
  <c r="B11" i="1"/>
  <c r="B10" i="1"/>
  <c r="B9" i="1"/>
  <c r="AJ199" i="22"/>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S6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AN198" i="22" s="1"/>
  <c r="K198" i="22"/>
  <c r="J198" i="22"/>
  <c r="I198" i="22"/>
  <c r="H198" i="22"/>
  <c r="G198" i="22"/>
  <c r="F198" i="22"/>
  <c r="E198" i="22"/>
  <c r="D198" i="22"/>
  <c r="AJ197" i="22"/>
  <c r="AQ197" i="22" s="1"/>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Q195" i="22" s="1"/>
  <c r="AS65" i="22" s="1"/>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Q194" i="22"/>
  <c r="AJ194" i="22"/>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Q193" i="22" s="1"/>
  <c r="AS64" i="22" s="1"/>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AN193" i="22" s="1"/>
  <c r="K193" i="22"/>
  <c r="J193" i="22"/>
  <c r="I193" i="22"/>
  <c r="H193" i="22"/>
  <c r="G193" i="22"/>
  <c r="F193" i="22"/>
  <c r="E193" i="22"/>
  <c r="D193" i="22"/>
  <c r="AJ192" i="22"/>
  <c r="AQ192" i="22" s="1"/>
  <c r="AS62" i="22" s="1"/>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Q190" i="22" s="1"/>
  <c r="AS61" i="22" s="1"/>
  <c r="AI190" i="22"/>
  <c r="AH190" i="22"/>
  <c r="AG190" i="22"/>
  <c r="AF190" i="22"/>
  <c r="AE190" i="22"/>
  <c r="AD190" i="22"/>
  <c r="AC190" i="22"/>
  <c r="AB190" i="22"/>
  <c r="AL190" i="22" s="1"/>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O190" i="22" s="1"/>
  <c r="AJ189" i="22"/>
  <c r="AQ189" i="22" s="1"/>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AO189" i="22" s="1"/>
  <c r="I189" i="22"/>
  <c r="H189" i="22"/>
  <c r="G189" i="22"/>
  <c r="F189" i="22"/>
  <c r="E189" i="22"/>
  <c r="D189" i="22"/>
  <c r="AJ188" i="22"/>
  <c r="AQ188" i="22" s="1"/>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Q187" i="22" s="1"/>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Q186" i="22" s="1"/>
  <c r="AS56" i="22" s="1"/>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Q183" i="22" s="1"/>
  <c r="AS5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Q182" i="22" s="1"/>
  <c r="AS52" i="22" s="1"/>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J180" i="22"/>
  <c r="AQ180" i="22" s="1"/>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Q179" i="22"/>
  <c r="AJ179" i="22"/>
  <c r="AI179" i="22"/>
  <c r="AH179" i="22"/>
  <c r="AG179" i="22"/>
  <c r="AF179" i="22"/>
  <c r="AE179" i="22"/>
  <c r="AD179" i="22"/>
  <c r="AC179" i="22"/>
  <c r="AB179" i="22"/>
  <c r="AA179" i="22"/>
  <c r="Z179" i="22"/>
  <c r="Y179" i="22"/>
  <c r="AM179" i="22" s="1"/>
  <c r="X179" i="22"/>
  <c r="W179" i="22"/>
  <c r="V179" i="22"/>
  <c r="U179" i="22"/>
  <c r="T179" i="22"/>
  <c r="S179" i="22"/>
  <c r="R179" i="22"/>
  <c r="Q179" i="22"/>
  <c r="P179" i="22"/>
  <c r="O179" i="22"/>
  <c r="N179" i="22"/>
  <c r="M179" i="22"/>
  <c r="L179" i="22"/>
  <c r="K179" i="22"/>
  <c r="J179" i="22"/>
  <c r="I179" i="22"/>
  <c r="H179" i="22"/>
  <c r="G179" i="22"/>
  <c r="F179" i="22"/>
  <c r="E179" i="22"/>
  <c r="D179" i="22"/>
  <c r="AJ178" i="22"/>
  <c r="AQ178" i="22" s="1"/>
  <c r="AS49" i="22" s="1"/>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Q177" i="22" s="1"/>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Q176" i="22" s="1"/>
  <c r="AS46" i="22" s="1"/>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Q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AJ173" i="22"/>
  <c r="AQ173" i="22" s="1"/>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Q172" i="22" s="1"/>
  <c r="AS42" i="22" s="1"/>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AN172" i="22" s="1"/>
  <c r="L172" i="22"/>
  <c r="K172" i="22"/>
  <c r="J172" i="22"/>
  <c r="I172" i="22"/>
  <c r="H172" i="22"/>
  <c r="G172" i="22"/>
  <c r="F172" i="22"/>
  <c r="E172" i="22"/>
  <c r="D172" i="22"/>
  <c r="AJ171" i="22"/>
  <c r="AQ171" i="22" s="1"/>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Q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Q166" i="22" s="1"/>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AN166" i="22" s="1"/>
  <c r="K166" i="22"/>
  <c r="J166" i="22"/>
  <c r="I166" i="22"/>
  <c r="H166" i="22"/>
  <c r="G166" i="22"/>
  <c r="F166" i="22"/>
  <c r="E166" i="22"/>
  <c r="D166" i="22"/>
  <c r="AJ165" i="22"/>
  <c r="AQ165" i="22" s="1"/>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Q164" i="22" s="1"/>
  <c r="AI164" i="22"/>
  <c r="AH164" i="22"/>
  <c r="AG164" i="22"/>
  <c r="AF164" i="22"/>
  <c r="AE164" i="22"/>
  <c r="AD164" i="22"/>
  <c r="AC164" i="22"/>
  <c r="AB164" i="22"/>
  <c r="AA164" i="22"/>
  <c r="Z164" i="22"/>
  <c r="Y164" i="22"/>
  <c r="X164" i="22"/>
  <c r="W164" i="22"/>
  <c r="V164" i="22"/>
  <c r="U164" i="22"/>
  <c r="T164" i="22"/>
  <c r="AM164" i="22" s="1"/>
  <c r="S164" i="22"/>
  <c r="R164" i="22"/>
  <c r="Q164" i="22"/>
  <c r="P164" i="22"/>
  <c r="O164" i="22"/>
  <c r="N164" i="22"/>
  <c r="M164" i="22"/>
  <c r="L164" i="22"/>
  <c r="AN164" i="22" s="1"/>
  <c r="K164" i="22"/>
  <c r="J164" i="22"/>
  <c r="I164" i="22"/>
  <c r="H164" i="22"/>
  <c r="G164" i="22"/>
  <c r="F164" i="22"/>
  <c r="E164" i="22"/>
  <c r="D164" i="22"/>
  <c r="AQ163" i="22"/>
  <c r="AJ163" i="22"/>
  <c r="AI163" i="22"/>
  <c r="AH163" i="22"/>
  <c r="AG163" i="22"/>
  <c r="AF163" i="22"/>
  <c r="AE163" i="22"/>
  <c r="AD163" i="22"/>
  <c r="AC163" i="22"/>
  <c r="AB163" i="22"/>
  <c r="AA163" i="22"/>
  <c r="Z163" i="22"/>
  <c r="Y163" i="22"/>
  <c r="X163" i="22"/>
  <c r="W163" i="22"/>
  <c r="V163" i="22"/>
  <c r="U163" i="22"/>
  <c r="T163" i="22"/>
  <c r="AM163" i="22" s="1"/>
  <c r="S163" i="22"/>
  <c r="R163" i="22"/>
  <c r="Q163" i="22"/>
  <c r="P163" i="22"/>
  <c r="O163" i="22"/>
  <c r="N163" i="22"/>
  <c r="M163" i="22"/>
  <c r="L163" i="22"/>
  <c r="K163" i="22"/>
  <c r="J163" i="22"/>
  <c r="I163" i="22"/>
  <c r="H163" i="22"/>
  <c r="G163" i="22"/>
  <c r="F163" i="22"/>
  <c r="E163" i="22"/>
  <c r="D163" i="22"/>
  <c r="AJ162" i="22"/>
  <c r="AQ162" i="22" s="1"/>
  <c r="AI162" i="22"/>
  <c r="AH162" i="22"/>
  <c r="AG162" i="22"/>
  <c r="AF162" i="22"/>
  <c r="AE162" i="22"/>
  <c r="AD162" i="22"/>
  <c r="AC162" i="22"/>
  <c r="AL162" i="22" s="1"/>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AO162" i="22" s="1"/>
  <c r="D162" i="22"/>
  <c r="AJ161" i="22"/>
  <c r="AQ161" i="22" s="1"/>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Q160" i="22" s="1"/>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AJ159" i="22"/>
  <c r="AQ159" i="22" s="1"/>
  <c r="AS29" i="22" s="1"/>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Q158" i="22" s="1"/>
  <c r="AS28" i="22" s="1"/>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Q157" i="22" s="1"/>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J156" i="22"/>
  <c r="AQ156" i="22" s="1"/>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AJ155" i="22"/>
  <c r="AQ155" i="22" s="1"/>
  <c r="AI155" i="22"/>
  <c r="AH155" i="22"/>
  <c r="AG155" i="22"/>
  <c r="AF155" i="22"/>
  <c r="AE155" i="22"/>
  <c r="AD155" i="22"/>
  <c r="AC155" i="22"/>
  <c r="AB155" i="22"/>
  <c r="AA155" i="22"/>
  <c r="Z155" i="22"/>
  <c r="Y155" i="22"/>
  <c r="AM155" i="22" s="1"/>
  <c r="X155" i="22"/>
  <c r="W155" i="22"/>
  <c r="V155" i="22"/>
  <c r="U155" i="22"/>
  <c r="T155" i="22"/>
  <c r="S155" i="22"/>
  <c r="R155" i="22"/>
  <c r="Q155" i="22"/>
  <c r="P155" i="22"/>
  <c r="O155" i="22"/>
  <c r="N155" i="22"/>
  <c r="M155" i="22"/>
  <c r="L155" i="22"/>
  <c r="K155" i="22"/>
  <c r="J155" i="22"/>
  <c r="I155" i="22"/>
  <c r="H155" i="22"/>
  <c r="G155" i="22"/>
  <c r="F155" i="22"/>
  <c r="E155" i="22"/>
  <c r="D155" i="22"/>
  <c r="AJ154" i="22"/>
  <c r="AQ154" i="22" s="1"/>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Q153" i="22" s="1"/>
  <c r="AI153" i="22"/>
  <c r="AH153" i="22"/>
  <c r="AG153" i="22"/>
  <c r="AF153" i="22"/>
  <c r="AE153" i="22"/>
  <c r="AD153" i="22"/>
  <c r="AC153" i="22"/>
  <c r="AB153" i="22"/>
  <c r="AA153" i="22"/>
  <c r="Z153" i="22"/>
  <c r="Y153" i="22"/>
  <c r="X153" i="22"/>
  <c r="W153" i="22"/>
  <c r="V153" i="22"/>
  <c r="U153" i="22"/>
  <c r="T153" i="22"/>
  <c r="AM153" i="22" s="1"/>
  <c r="S153" i="22"/>
  <c r="R153" i="22"/>
  <c r="Q153" i="22"/>
  <c r="P153" i="22"/>
  <c r="O153" i="22"/>
  <c r="N153" i="22"/>
  <c r="M153" i="22"/>
  <c r="L153" i="22"/>
  <c r="K153" i="22"/>
  <c r="J153" i="22"/>
  <c r="I153" i="22"/>
  <c r="H153" i="22"/>
  <c r="G153" i="22"/>
  <c r="F153" i="22"/>
  <c r="E153" i="22"/>
  <c r="D153" i="22"/>
  <c r="AQ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AJ151" i="22"/>
  <c r="AQ151" i="22" s="1"/>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Q150" i="22"/>
  <c r="AS20" i="22" s="1"/>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AJ149" i="22"/>
  <c r="AQ149" i="22" s="1"/>
  <c r="AS19" i="22" s="1"/>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AN149" i="22" s="1"/>
  <c r="K149" i="22"/>
  <c r="J149" i="22"/>
  <c r="I149" i="22"/>
  <c r="H149" i="22"/>
  <c r="G149" i="22"/>
  <c r="F149" i="22"/>
  <c r="E149" i="22"/>
  <c r="D149" i="22"/>
  <c r="AO149" i="22" s="1"/>
  <c r="AJ148" i="22"/>
  <c r="AQ148" i="22" s="1"/>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AJ147" i="22"/>
  <c r="AQ147" i="22" s="1"/>
  <c r="AS18" i="22" s="1"/>
  <c r="AI147" i="22"/>
  <c r="AH147" i="22"/>
  <c r="AG147" i="22"/>
  <c r="AF147" i="22"/>
  <c r="AE147" i="22"/>
  <c r="AD147" i="22"/>
  <c r="AC147" i="22"/>
  <c r="AB147" i="22"/>
  <c r="AA147" i="22"/>
  <c r="Z147" i="22"/>
  <c r="Y147" i="22"/>
  <c r="X147" i="22"/>
  <c r="W147" i="22"/>
  <c r="V147" i="22"/>
  <c r="U147" i="22"/>
  <c r="T147" i="22"/>
  <c r="AM147" i="22" s="1"/>
  <c r="S147" i="22"/>
  <c r="R147" i="22"/>
  <c r="Q147" i="22"/>
  <c r="P147" i="22"/>
  <c r="O147" i="22"/>
  <c r="N147" i="22"/>
  <c r="M147" i="22"/>
  <c r="L147" i="22"/>
  <c r="K147" i="22"/>
  <c r="J147" i="22"/>
  <c r="I147" i="22"/>
  <c r="H147" i="22"/>
  <c r="G147" i="22"/>
  <c r="F147" i="22"/>
  <c r="E147" i="22"/>
  <c r="D147" i="22"/>
  <c r="AQ146" i="22"/>
  <c r="AJ146" i="22"/>
  <c r="AI146" i="22"/>
  <c r="AH146" i="22"/>
  <c r="AG146" i="22"/>
  <c r="AF146" i="22"/>
  <c r="AE146" i="22"/>
  <c r="AD146" i="22"/>
  <c r="AC146" i="22"/>
  <c r="AL146" i="22" s="1"/>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AO146" i="22" s="1"/>
  <c r="D146" i="22"/>
  <c r="AJ145" i="22"/>
  <c r="AQ145" i="22" s="1"/>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Q144" i="22" s="1"/>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Q143" i="22" s="1"/>
  <c r="AS13" i="22" s="1"/>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Q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Q141" i="22" s="1"/>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Q140" i="22" s="1"/>
  <c r="AI140" i="22"/>
  <c r="AH140" i="22"/>
  <c r="AG140" i="22"/>
  <c r="AF140" i="22"/>
  <c r="AE140" i="22"/>
  <c r="AD140" i="22"/>
  <c r="AC140" i="22"/>
  <c r="AB140" i="22"/>
  <c r="AL140" i="22" s="1"/>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AO140" i="22" s="1"/>
  <c r="AJ139" i="22"/>
  <c r="AI139" i="22"/>
  <c r="AH139" i="22"/>
  <c r="AG139" i="22"/>
  <c r="AF139" i="22"/>
  <c r="AE139" i="22"/>
  <c r="AD139" i="22"/>
  <c r="AC139" i="22"/>
  <c r="AB139" i="22"/>
  <c r="AA139" i="22"/>
  <c r="Z139" i="22"/>
  <c r="Y139" i="22"/>
  <c r="AM139" i="22" s="1"/>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AM137" i="22" s="1"/>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AQ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Q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Q132" i="22" s="1"/>
  <c r="AR67" i="22" s="1"/>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Q131" i="22" s="1"/>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AO131" i="22" s="1"/>
  <c r="G131" i="22"/>
  <c r="F131" i="22"/>
  <c r="E131" i="22"/>
  <c r="D131" i="22"/>
  <c r="AJ130" i="22"/>
  <c r="AQ130" i="22" s="1"/>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R63" i="22" s="1"/>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Q127" i="22" s="1"/>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AJ126" i="22"/>
  <c r="AQ126"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Q125" i="22"/>
  <c r="AJ125" i="22"/>
  <c r="AI125" i="22"/>
  <c r="AH125" i="22"/>
  <c r="AG125" i="22"/>
  <c r="AF125" i="22"/>
  <c r="AE125" i="22"/>
  <c r="AD125" i="22"/>
  <c r="AC125" i="22"/>
  <c r="AL125" i="22" s="1"/>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AO125" i="22" s="1"/>
  <c r="D125" i="22"/>
  <c r="AJ124" i="22"/>
  <c r="AQ124" i="22" s="1"/>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O123" i="22"/>
  <c r="AJ123" i="22"/>
  <c r="AQ123" i="22" s="1"/>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Q122" i="22" s="1"/>
  <c r="AR58" i="22" s="1"/>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AN122" i="22" s="1"/>
  <c r="K122" i="22"/>
  <c r="J122" i="22"/>
  <c r="I122" i="22"/>
  <c r="H122" i="22"/>
  <c r="G122" i="22"/>
  <c r="F122" i="22"/>
  <c r="E122" i="22"/>
  <c r="D122" i="22"/>
  <c r="AJ121" i="22"/>
  <c r="AQ121" i="22" s="1"/>
  <c r="AR57" i="22" s="1"/>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Q119" i="22" s="1"/>
  <c r="AI119" i="22"/>
  <c r="AH119" i="22"/>
  <c r="AG119" i="22"/>
  <c r="AF119" i="22"/>
  <c r="AE119" i="22"/>
  <c r="AD119" i="22"/>
  <c r="AC119" i="22"/>
  <c r="AB119" i="22"/>
  <c r="AL119" i="22" s="1"/>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O119" i="22" s="1"/>
  <c r="AQ118" i="22"/>
  <c r="AR53" i="22" s="1"/>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J117" i="22"/>
  <c r="AQ117" i="22" s="1"/>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Q116" i="22" s="1"/>
  <c r="AR51" i="22" s="1"/>
  <c r="AI116" i="22"/>
  <c r="AH116" i="22"/>
  <c r="AG116" i="22"/>
  <c r="AF116" i="22"/>
  <c r="AE116" i="22"/>
  <c r="AD116" i="22"/>
  <c r="AC116" i="22"/>
  <c r="AB116" i="22"/>
  <c r="AA116" i="22"/>
  <c r="Z116" i="22"/>
  <c r="Y116" i="22"/>
  <c r="X116" i="22"/>
  <c r="W116" i="22"/>
  <c r="V116" i="22"/>
  <c r="AM116" i="22" s="1"/>
  <c r="U116" i="22"/>
  <c r="T116" i="22"/>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J114" i="22"/>
  <c r="AQ114" i="22" s="1"/>
  <c r="AR50" i="22" s="1"/>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Q113" i="22"/>
  <c r="AJ113" i="22"/>
  <c r="AI113" i="22"/>
  <c r="AH113" i="22"/>
  <c r="AG113" i="22"/>
  <c r="AF113" i="22"/>
  <c r="AE113" i="22"/>
  <c r="AD113" i="22"/>
  <c r="AC113" i="22"/>
  <c r="AB113" i="22"/>
  <c r="AA113" i="22"/>
  <c r="Z113" i="22"/>
  <c r="Y113" i="22"/>
  <c r="X113" i="22"/>
  <c r="W113" i="22"/>
  <c r="V113" i="22"/>
  <c r="U113" i="22"/>
  <c r="T113" i="22"/>
  <c r="AM113" i="22" s="1"/>
  <c r="S113" i="22"/>
  <c r="R113" i="22"/>
  <c r="Q113" i="22"/>
  <c r="P113" i="22"/>
  <c r="O113" i="22"/>
  <c r="N113" i="22"/>
  <c r="M113" i="22"/>
  <c r="L113" i="22"/>
  <c r="K113" i="22"/>
  <c r="J113" i="22"/>
  <c r="I113" i="22"/>
  <c r="H113" i="22"/>
  <c r="G113" i="22"/>
  <c r="F113" i="22"/>
  <c r="E113" i="22"/>
  <c r="D113" i="22"/>
  <c r="AO113" i="22" s="1"/>
  <c r="AJ112" i="22"/>
  <c r="AQ112" i="22" s="1"/>
  <c r="AR48" i="22" s="1"/>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Q111" i="22" s="1"/>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AJ110" i="22"/>
  <c r="AQ110"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AO110" i="22" s="1"/>
  <c r="G110" i="22"/>
  <c r="F110" i="22"/>
  <c r="E110" i="22"/>
  <c r="D110" i="22"/>
  <c r="AQ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Q108" i="22" s="1"/>
  <c r="AR43" i="22" s="1"/>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O107" i="22"/>
  <c r="AJ107" i="22"/>
  <c r="AQ107" i="22" s="1"/>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J106" i="22"/>
  <c r="AQ106" i="22" s="1"/>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Q105" i="22"/>
  <c r="AR41" i="22" s="1"/>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Q104" i="22" s="1"/>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Q103" i="22" s="1"/>
  <c r="AI103" i="22"/>
  <c r="AH103" i="22"/>
  <c r="AG103" i="22"/>
  <c r="AF103" i="22"/>
  <c r="AE103" i="22"/>
  <c r="AD103" i="22"/>
  <c r="AC103" i="22"/>
  <c r="AB103" i="22"/>
  <c r="AL103" i="22" s="1"/>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O103" i="22" s="1"/>
  <c r="AQ102" i="22"/>
  <c r="AR37" i="22" s="1"/>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J101" i="22"/>
  <c r="AQ101" i="22" s="1"/>
  <c r="AR36" i="22" s="1"/>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Q100" i="22" s="1"/>
  <c r="AR35" i="22" s="1"/>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Q99" i="22" s="1"/>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AO99" i="22" s="1"/>
  <c r="F99" i="22"/>
  <c r="E99" i="22"/>
  <c r="D99" i="22"/>
  <c r="AJ98" i="22"/>
  <c r="AQ98" i="22" s="1"/>
  <c r="AI98" i="22"/>
  <c r="AH98" i="22"/>
  <c r="AG98" i="22"/>
  <c r="AF98" i="22"/>
  <c r="AE98" i="22"/>
  <c r="AD98" i="22"/>
  <c r="AC98" i="22"/>
  <c r="AB98" i="22"/>
  <c r="AA98" i="22"/>
  <c r="Z98" i="22"/>
  <c r="Y98" i="22"/>
  <c r="X98" i="22"/>
  <c r="W98" i="22"/>
  <c r="V98" i="22"/>
  <c r="U98" i="22"/>
  <c r="T98" i="22"/>
  <c r="AM98" i="22" s="1"/>
  <c r="S98" i="22"/>
  <c r="R98" i="22"/>
  <c r="Q98" i="22"/>
  <c r="P98" i="22"/>
  <c r="O98" i="22"/>
  <c r="N98" i="22"/>
  <c r="M98" i="22"/>
  <c r="L98" i="22"/>
  <c r="K98" i="22"/>
  <c r="J98" i="22"/>
  <c r="I98" i="22"/>
  <c r="H98" i="22"/>
  <c r="G98" i="22"/>
  <c r="F98" i="22"/>
  <c r="E98" i="22"/>
  <c r="D98" i="22"/>
  <c r="AJ97" i="22"/>
  <c r="AQ97" i="22" s="1"/>
  <c r="AI97" i="22"/>
  <c r="AH97" i="22"/>
  <c r="AG97" i="22"/>
  <c r="AF97" i="22"/>
  <c r="AE97" i="22"/>
  <c r="AD97" i="22"/>
  <c r="AC97" i="22"/>
  <c r="AL97" i="22" s="1"/>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Q96" i="22" s="1"/>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J95" i="22"/>
  <c r="AQ95" i="22" s="1"/>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J94" i="22"/>
  <c r="AQ94" i="22" s="1"/>
  <c r="AR29" i="22" s="1"/>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AO94" i="22" s="1"/>
  <c r="AQ93" i="22"/>
  <c r="AR28" i="22" s="1"/>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AO93" i="22" s="1"/>
  <c r="H93" i="22"/>
  <c r="G93" i="22"/>
  <c r="F93" i="22"/>
  <c r="E93" i="22"/>
  <c r="D93" i="22"/>
  <c r="AJ92" i="22"/>
  <c r="AQ92" i="22" s="1"/>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J91" i="22"/>
  <c r="AQ91" i="22" s="1"/>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AJ90" i="22"/>
  <c r="AQ90" i="22" s="1"/>
  <c r="AI90" i="22"/>
  <c r="AH90" i="22"/>
  <c r="AG90" i="22"/>
  <c r="AF90" i="22"/>
  <c r="AE90" i="22"/>
  <c r="AD90" i="22"/>
  <c r="AC90" i="22"/>
  <c r="AB90" i="22"/>
  <c r="AA90" i="22"/>
  <c r="Z90" i="22"/>
  <c r="Y90" i="22"/>
  <c r="X90" i="22"/>
  <c r="W90" i="22"/>
  <c r="V90" i="22"/>
  <c r="U90" i="22"/>
  <c r="T90" i="22"/>
  <c r="S90" i="22"/>
  <c r="R90" i="22"/>
  <c r="Q90" i="22"/>
  <c r="P90" i="22"/>
  <c r="O90" i="22"/>
  <c r="N90" i="22"/>
  <c r="M90" i="22"/>
  <c r="AN90" i="22" s="1"/>
  <c r="L90" i="22"/>
  <c r="K90" i="22"/>
  <c r="J90" i="22"/>
  <c r="I90" i="22"/>
  <c r="H90" i="22"/>
  <c r="G90" i="22"/>
  <c r="F90" i="22"/>
  <c r="E90" i="22"/>
  <c r="D90" i="22"/>
  <c r="AJ89" i="22"/>
  <c r="AQ89" i="22" s="1"/>
  <c r="AI89" i="22"/>
  <c r="AH89" i="22"/>
  <c r="AG89" i="22"/>
  <c r="AF89" i="22"/>
  <c r="AE89" i="22"/>
  <c r="AD89" i="22"/>
  <c r="AC89" i="22"/>
  <c r="AB89" i="22"/>
  <c r="AA89" i="22"/>
  <c r="Z89" i="22"/>
  <c r="Y89" i="22"/>
  <c r="X89" i="22"/>
  <c r="W89" i="22"/>
  <c r="V89" i="22"/>
  <c r="AM89" i="22" s="1"/>
  <c r="U89" i="22"/>
  <c r="T89" i="22"/>
  <c r="S89" i="22"/>
  <c r="R89" i="22"/>
  <c r="Q89" i="22"/>
  <c r="P89" i="22"/>
  <c r="O89" i="22"/>
  <c r="N89" i="22"/>
  <c r="M89" i="22"/>
  <c r="L89" i="22"/>
  <c r="K89" i="22"/>
  <c r="J89" i="22"/>
  <c r="I89" i="22"/>
  <c r="H89" i="22"/>
  <c r="G89" i="22"/>
  <c r="F89" i="22"/>
  <c r="E89" i="22"/>
  <c r="D89" i="22"/>
  <c r="AJ88" i="22"/>
  <c r="AQ88" i="22" s="1"/>
  <c r="AR23" i="22" s="1"/>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Q87" i="22"/>
  <c r="AR22" i="22" s="1"/>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AJ86" i="22"/>
  <c r="AQ86" i="22" s="1"/>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O86" i="22" s="1"/>
  <c r="AJ85" i="22"/>
  <c r="AQ85" i="22" s="1"/>
  <c r="AR20" i="22" s="1"/>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Q84" i="22" s="1"/>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J83" i="22"/>
  <c r="AQ83" i="22" s="1"/>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AJ82" i="22"/>
  <c r="AQ82" i="22" s="1"/>
  <c r="AI82" i="22"/>
  <c r="AH82" i="22"/>
  <c r="AG82" i="22"/>
  <c r="AF82" i="22"/>
  <c r="AE82" i="22"/>
  <c r="AD82" i="22"/>
  <c r="AC82" i="22"/>
  <c r="AB82" i="22"/>
  <c r="AA82" i="22"/>
  <c r="Z82" i="22"/>
  <c r="Y82" i="22"/>
  <c r="X82" i="22"/>
  <c r="W82" i="22"/>
  <c r="V82" i="22"/>
  <c r="U82" i="22"/>
  <c r="T82" i="22"/>
  <c r="S82" i="22"/>
  <c r="R82" i="22"/>
  <c r="Q82" i="22"/>
  <c r="P82" i="22"/>
  <c r="O82" i="22"/>
  <c r="N82" i="22"/>
  <c r="M82" i="22"/>
  <c r="L82" i="22"/>
  <c r="AN82" i="22" s="1"/>
  <c r="K82" i="22"/>
  <c r="J82" i="22"/>
  <c r="I82" i="22"/>
  <c r="H82" i="22"/>
  <c r="G82" i="22"/>
  <c r="F82" i="22"/>
  <c r="E82" i="22"/>
  <c r="D82" i="22"/>
  <c r="AJ81" i="22"/>
  <c r="AQ81" i="22" s="1"/>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Q80" i="22" s="1"/>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J79" i="22"/>
  <c r="AQ79" i="22" s="1"/>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AJ78" i="22"/>
  <c r="AQ78" i="22" s="1"/>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Q77" i="22" s="1"/>
  <c r="AR12" i="22" s="1"/>
  <c r="AI77" i="22"/>
  <c r="AH77" i="22"/>
  <c r="AG77" i="22"/>
  <c r="AF77" i="22"/>
  <c r="AE77" i="22"/>
  <c r="AD77" i="22"/>
  <c r="AC77" i="22"/>
  <c r="AB77" i="22"/>
  <c r="AA77" i="22"/>
  <c r="Z77" i="22"/>
  <c r="Y77" i="22"/>
  <c r="X77" i="22"/>
  <c r="W77" i="22"/>
  <c r="V77" i="22"/>
  <c r="U77" i="22"/>
  <c r="T77" i="22"/>
  <c r="S77" i="22"/>
  <c r="R77" i="22"/>
  <c r="Q77" i="22"/>
  <c r="P77" i="22"/>
  <c r="O77" i="22"/>
  <c r="N77" i="22"/>
  <c r="M77" i="22"/>
  <c r="L77" i="22"/>
  <c r="AN77" i="22" s="1"/>
  <c r="K77" i="22"/>
  <c r="J77" i="22"/>
  <c r="I77" i="22"/>
  <c r="H77" i="22"/>
  <c r="G77" i="22"/>
  <c r="F77" i="22"/>
  <c r="E77" i="22"/>
  <c r="D77" i="22"/>
  <c r="AQ76" i="22"/>
  <c r="AJ76" i="22"/>
  <c r="AI76" i="22"/>
  <c r="AH76" i="22"/>
  <c r="AG76" i="22"/>
  <c r="AF76" i="22"/>
  <c r="AE76" i="22"/>
  <c r="AD76" i="22"/>
  <c r="AC76" i="22"/>
  <c r="AB76" i="22"/>
  <c r="AA76" i="22"/>
  <c r="Z76" i="22"/>
  <c r="Y76" i="22"/>
  <c r="X76" i="22"/>
  <c r="W76" i="22"/>
  <c r="V76" i="22"/>
  <c r="AM76" i="22" s="1"/>
  <c r="U76" i="22"/>
  <c r="T76" i="22"/>
  <c r="S76" i="22"/>
  <c r="R76" i="22"/>
  <c r="Q76" i="22"/>
  <c r="P76" i="22"/>
  <c r="O76" i="22"/>
  <c r="N76" i="22"/>
  <c r="M76" i="22"/>
  <c r="L76" i="22"/>
  <c r="K76" i="22"/>
  <c r="J76" i="22"/>
  <c r="I76" i="22"/>
  <c r="H76" i="22"/>
  <c r="G76" i="22"/>
  <c r="F76" i="22"/>
  <c r="E76" i="22"/>
  <c r="D76" i="22"/>
  <c r="AQ75" i="22"/>
  <c r="AR11" i="22" s="1"/>
  <c r="AJ75" i="22"/>
  <c r="AI75" i="22"/>
  <c r="AH75" i="22"/>
  <c r="AG75" i="22"/>
  <c r="AF75" i="22"/>
  <c r="AE75" i="22"/>
  <c r="AD75" i="22"/>
  <c r="AC75" i="22"/>
  <c r="AB75" i="22"/>
  <c r="AA75" i="22"/>
  <c r="Z75" i="22"/>
  <c r="Y75" i="22"/>
  <c r="X75" i="22"/>
  <c r="W75" i="22"/>
  <c r="V75" i="22"/>
  <c r="U75" i="22"/>
  <c r="AM75" i="22" s="1"/>
  <c r="T75" i="22"/>
  <c r="S75" i="22"/>
  <c r="R75" i="22"/>
  <c r="Q75" i="22"/>
  <c r="P75" i="22"/>
  <c r="O75" i="22"/>
  <c r="N75" i="22"/>
  <c r="M75" i="22"/>
  <c r="L75" i="22"/>
  <c r="K75" i="22"/>
  <c r="J75" i="22"/>
  <c r="I75" i="22"/>
  <c r="H75" i="22"/>
  <c r="G75" i="22"/>
  <c r="F75" i="22"/>
  <c r="E75" i="22"/>
  <c r="D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L73" i="22" s="1"/>
  <c r="AA73" i="22"/>
  <c r="Z73" i="22"/>
  <c r="Y73" i="22"/>
  <c r="X73" i="22"/>
  <c r="W73" i="22"/>
  <c r="V73" i="22"/>
  <c r="U73" i="22"/>
  <c r="T73" i="22"/>
  <c r="S73" i="22"/>
  <c r="R73" i="22"/>
  <c r="Q73" i="22"/>
  <c r="P73" i="22"/>
  <c r="O73" i="22"/>
  <c r="N73" i="22"/>
  <c r="M73" i="22"/>
  <c r="L73" i="22"/>
  <c r="K73" i="22"/>
  <c r="J73" i="22"/>
  <c r="I73" i="22"/>
  <c r="H73" i="22"/>
  <c r="G73" i="22"/>
  <c r="F73" i="22"/>
  <c r="E73" i="22"/>
  <c r="D73" i="22"/>
  <c r="AO73" i="22" s="1"/>
  <c r="C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AT70" i="22"/>
  <c r="AS70" i="22"/>
  <c r="AR70" i="22"/>
  <c r="AT69" i="22"/>
  <c r="AS69" i="22"/>
  <c r="C69" i="22"/>
  <c r="C199" i="22" s="1"/>
  <c r="AT68" i="22"/>
  <c r="C68" i="22"/>
  <c r="AT67" i="22"/>
  <c r="AS67" i="22"/>
  <c r="C67" i="22"/>
  <c r="AT66" i="22"/>
  <c r="AR66" i="22"/>
  <c r="C66" i="22"/>
  <c r="AT65" i="22"/>
  <c r="C65" i="22"/>
  <c r="AT64" i="22"/>
  <c r="C64" i="22"/>
  <c r="AT63" i="22"/>
  <c r="AS63" i="22"/>
  <c r="C63" i="22"/>
  <c r="AT62" i="22"/>
  <c r="C62" i="22"/>
  <c r="AT61" i="22"/>
  <c r="C61" i="22"/>
  <c r="C191" i="22" s="1"/>
  <c r="AT60" i="22"/>
  <c r="AS60" i="22"/>
  <c r="C60" i="22"/>
  <c r="AT59" i="22"/>
  <c r="C59" i="22"/>
  <c r="AT58" i="22"/>
  <c r="C58" i="22"/>
  <c r="AT57" i="22"/>
  <c r="AS57" i="22"/>
  <c r="C57" i="22"/>
  <c r="AT56" i="22"/>
  <c r="C56" i="22"/>
  <c r="AT55" i="22"/>
  <c r="AR55" i="22"/>
  <c r="C55" i="22"/>
  <c r="AT54" i="22"/>
  <c r="C54" i="22"/>
  <c r="AT53" i="22"/>
  <c r="C53" i="22"/>
  <c r="C183" i="22" s="1"/>
  <c r="AT52" i="22"/>
  <c r="C52" i="22"/>
  <c r="AT51" i="22"/>
  <c r="AS51" i="22"/>
  <c r="C51" i="22"/>
  <c r="AT50" i="22"/>
  <c r="AS50" i="22"/>
  <c r="C50" i="22"/>
  <c r="AT49" i="22"/>
  <c r="C49" i="22"/>
  <c r="AT48" i="22"/>
  <c r="C48" i="22"/>
  <c r="AT47" i="22"/>
  <c r="C47" i="22"/>
  <c r="AT46" i="22"/>
  <c r="C46" i="22"/>
  <c r="AT45" i="22"/>
  <c r="AS45" i="22"/>
  <c r="C45" i="22"/>
  <c r="AT44" i="22"/>
  <c r="AS44" i="22"/>
  <c r="C44" i="22"/>
  <c r="AT43" i="22"/>
  <c r="C43" i="22"/>
  <c r="AT42" i="22"/>
  <c r="AR42" i="22"/>
  <c r="C42" i="22"/>
  <c r="AT41" i="22"/>
  <c r="C41" i="22"/>
  <c r="AT40" i="22"/>
  <c r="AS40" i="22"/>
  <c r="C40" i="22"/>
  <c r="AT39" i="22"/>
  <c r="C39" i="22"/>
  <c r="AT38" i="22"/>
  <c r="C38" i="22"/>
  <c r="AT37" i="22"/>
  <c r="C37" i="22"/>
  <c r="C167" i="22" s="1"/>
  <c r="AT36" i="22"/>
  <c r="C36" i="22"/>
  <c r="AT35" i="22"/>
  <c r="AS35" i="22"/>
  <c r="C35" i="22"/>
  <c r="AT34" i="22"/>
  <c r="AS34" i="22"/>
  <c r="AR34" i="22"/>
  <c r="C34" i="22"/>
  <c r="AT33" i="22"/>
  <c r="C33" i="22"/>
  <c r="AT32" i="22"/>
  <c r="C32" i="22"/>
  <c r="C162" i="22" s="1"/>
  <c r="AT31" i="22"/>
  <c r="C31" i="22"/>
  <c r="C161" i="22" s="1"/>
  <c r="AT30" i="22"/>
  <c r="C30" i="22"/>
  <c r="C160" i="22" s="1"/>
  <c r="AT29" i="22"/>
  <c r="C29" i="22"/>
  <c r="C159" i="22" s="1"/>
  <c r="AT28" i="22"/>
  <c r="C28" i="22"/>
  <c r="AT27" i="22"/>
  <c r="AS27" i="22"/>
  <c r="AR27" i="22"/>
  <c r="C27" i="22"/>
  <c r="AT26" i="22"/>
  <c r="C26" i="22"/>
  <c r="C156" i="22" s="1"/>
  <c r="AT25" i="22"/>
  <c r="C25" i="22"/>
  <c r="C155" i="22" s="1"/>
  <c r="AT24" i="22"/>
  <c r="AS24" i="22"/>
  <c r="C24" i="22"/>
  <c r="C154" i="22" s="1"/>
  <c r="AT23" i="22"/>
  <c r="AS23" i="22"/>
  <c r="C23" i="22"/>
  <c r="C153" i="22" s="1"/>
  <c r="AT22" i="22"/>
  <c r="C22" i="22"/>
  <c r="C152" i="22" s="1"/>
  <c r="AT21" i="22"/>
  <c r="C21" i="22"/>
  <c r="C151" i="22" s="1"/>
  <c r="AT20" i="22"/>
  <c r="C20" i="22"/>
  <c r="C150" i="22" s="1"/>
  <c r="AT19" i="22"/>
  <c r="C19" i="22"/>
  <c r="C149" i="22" s="1"/>
  <c r="AT18" i="22"/>
  <c r="C18" i="22"/>
  <c r="C148" i="22" s="1"/>
  <c r="AT17" i="22"/>
  <c r="AS17" i="22"/>
  <c r="C17" i="22"/>
  <c r="C147" i="22" s="1"/>
  <c r="AT16" i="22"/>
  <c r="AS16" i="22"/>
  <c r="C16" i="22"/>
  <c r="AT15" i="22"/>
  <c r="C15" i="22"/>
  <c r="C145" i="22" s="1"/>
  <c r="AT14" i="22"/>
  <c r="C14" i="22"/>
  <c r="AW13" i="22"/>
  <c r="AT13" i="22"/>
  <c r="C13" i="22"/>
  <c r="C143" i="22" s="1"/>
  <c r="AT12" i="22"/>
  <c r="AS12" i="22"/>
  <c r="C12" i="22"/>
  <c r="C142" i="22" s="1"/>
  <c r="AT11" i="22"/>
  <c r="AS11" i="22"/>
  <c r="C11" i="22"/>
  <c r="C141" i="22" s="1"/>
  <c r="AT10" i="22"/>
  <c r="C10" i="22"/>
  <c r="C140" i="22" s="1"/>
  <c r="AL9" i="22"/>
  <c r="C9" i="22"/>
  <c r="C139" i="22" s="1"/>
  <c r="AL8" i="22"/>
  <c r="AT8" i="22" s="1"/>
  <c r="C8" i="22"/>
  <c r="C138" i="22" s="1"/>
  <c r="C7" i="22"/>
  <c r="C137" i="22" s="1"/>
  <c r="AW6" i="22"/>
  <c r="B6" i="22" s="1"/>
  <c r="B136" i="22" s="1"/>
  <c r="AL6" i="22"/>
  <c r="C6" i="22"/>
  <c r="AT6" i="22" s="1"/>
  <c r="B3" i="22"/>
  <c r="AW7" i="22" s="1"/>
  <c r="AJ199" i="21"/>
  <c r="AQ199" i="21" s="1"/>
  <c r="AS69" i="21" s="1"/>
  <c r="AI199" i="21"/>
  <c r="AH199" i="21"/>
  <c r="AG199" i="21"/>
  <c r="AF199" i="21"/>
  <c r="AE199" i="21"/>
  <c r="AD199" i="21"/>
  <c r="AC199" i="21"/>
  <c r="AB199" i="21"/>
  <c r="AA199" i="21"/>
  <c r="Z199" i="21"/>
  <c r="Y199" i="21"/>
  <c r="X199" i="21"/>
  <c r="W199" i="21"/>
  <c r="V199" i="21"/>
  <c r="U199" i="21"/>
  <c r="T199" i="21"/>
  <c r="S199" i="21"/>
  <c r="R199" i="21"/>
  <c r="Q199" i="21"/>
  <c r="P199" i="21"/>
  <c r="O199" i="21"/>
  <c r="N199" i="21"/>
  <c r="M199" i="21"/>
  <c r="L199" i="21"/>
  <c r="K199" i="21"/>
  <c r="J199" i="21"/>
  <c r="I199" i="21"/>
  <c r="H199" i="21"/>
  <c r="G199" i="21"/>
  <c r="F199" i="21"/>
  <c r="E199" i="21"/>
  <c r="D199" i="21"/>
  <c r="AJ198" i="21"/>
  <c r="AQ198" i="21" s="1"/>
  <c r="AI198" i="21"/>
  <c r="AH198" i="21"/>
  <c r="AG198" i="21"/>
  <c r="AF198" i="21"/>
  <c r="AE198" i="21"/>
  <c r="AD198" i="21"/>
  <c r="AC198" i="21"/>
  <c r="AB198" i="21"/>
  <c r="AA198" i="21"/>
  <c r="Z198" i="21"/>
  <c r="Y198" i="21"/>
  <c r="X198" i="21"/>
  <c r="W198" i="21"/>
  <c r="V198" i="21"/>
  <c r="U198" i="21"/>
  <c r="T198" i="21"/>
  <c r="S198" i="21"/>
  <c r="R198" i="21"/>
  <c r="Q198" i="21"/>
  <c r="P198" i="21"/>
  <c r="O198" i="21"/>
  <c r="N198" i="21"/>
  <c r="M198" i="21"/>
  <c r="L198" i="21"/>
  <c r="K198" i="21"/>
  <c r="J198" i="21"/>
  <c r="I198" i="21"/>
  <c r="H198" i="21"/>
  <c r="G198" i="21"/>
  <c r="F198" i="21"/>
  <c r="E198" i="21"/>
  <c r="D198" i="21"/>
  <c r="AJ197" i="21"/>
  <c r="AQ197" i="21" s="1"/>
  <c r="AI197" i="21"/>
  <c r="AH197" i="21"/>
  <c r="AG197" i="21"/>
  <c r="AF197" i="21"/>
  <c r="AE197" i="21"/>
  <c r="AD197" i="21"/>
  <c r="AC197" i="21"/>
  <c r="AB197" i="21"/>
  <c r="AA197" i="21"/>
  <c r="Z197" i="21"/>
  <c r="Y197" i="21"/>
  <c r="X197" i="21"/>
  <c r="W197" i="21"/>
  <c r="V197" i="21"/>
  <c r="U197" i="21"/>
  <c r="T197" i="21"/>
  <c r="S197" i="21"/>
  <c r="R197" i="21"/>
  <c r="Q197" i="21"/>
  <c r="P197" i="21"/>
  <c r="O197" i="21"/>
  <c r="N197" i="21"/>
  <c r="M197" i="21"/>
  <c r="L197" i="21"/>
  <c r="K197" i="21"/>
  <c r="J197" i="21"/>
  <c r="I197" i="21"/>
  <c r="H197" i="21"/>
  <c r="G197" i="21"/>
  <c r="F197" i="21"/>
  <c r="E197" i="21"/>
  <c r="D197" i="21"/>
  <c r="AJ196" i="21"/>
  <c r="AQ196" i="21" s="1"/>
  <c r="AS66" i="21" s="1"/>
  <c r="AI196" i="21"/>
  <c r="AH196" i="21"/>
  <c r="AG196" i="21"/>
  <c r="AF196" i="21"/>
  <c r="AE196" i="21"/>
  <c r="AD196" i="21"/>
  <c r="AC196" i="21"/>
  <c r="AB196" i="21"/>
  <c r="AA196" i="21"/>
  <c r="Z196" i="21"/>
  <c r="Y196" i="21"/>
  <c r="X196" i="21"/>
  <c r="W196" i="21"/>
  <c r="V196" i="21"/>
  <c r="U196" i="21"/>
  <c r="T196" i="21"/>
  <c r="S196" i="21"/>
  <c r="R196" i="21"/>
  <c r="Q196" i="21"/>
  <c r="P196" i="21"/>
  <c r="O196" i="21"/>
  <c r="N196" i="21"/>
  <c r="M196" i="21"/>
  <c r="L196" i="21"/>
  <c r="K196" i="21"/>
  <c r="J196" i="21"/>
  <c r="I196" i="21"/>
  <c r="H196" i="21"/>
  <c r="G196" i="21"/>
  <c r="F196" i="21"/>
  <c r="E196" i="21"/>
  <c r="D196" i="21"/>
  <c r="AQ195" i="21"/>
  <c r="AJ195" i="21"/>
  <c r="AI195" i="21"/>
  <c r="AH195" i="21"/>
  <c r="AG195" i="21"/>
  <c r="AF195" i="21"/>
  <c r="AE195" i="21"/>
  <c r="AD195" i="21"/>
  <c r="AC195" i="21"/>
  <c r="AB195" i="21"/>
  <c r="AA195" i="21"/>
  <c r="Z195" i="21"/>
  <c r="Y195" i="21"/>
  <c r="AM195" i="21" s="1"/>
  <c r="X195" i="21"/>
  <c r="W195" i="21"/>
  <c r="V195" i="21"/>
  <c r="U195" i="21"/>
  <c r="T195" i="21"/>
  <c r="S195" i="21"/>
  <c r="R195" i="21"/>
  <c r="Q195" i="21"/>
  <c r="P195" i="21"/>
  <c r="O195" i="21"/>
  <c r="N195" i="21"/>
  <c r="M195" i="21"/>
  <c r="L195" i="21"/>
  <c r="K195" i="21"/>
  <c r="J195" i="21"/>
  <c r="I195" i="21"/>
  <c r="H195" i="21"/>
  <c r="G195" i="21"/>
  <c r="F195" i="21"/>
  <c r="E195" i="21"/>
  <c r="D195" i="21"/>
  <c r="AJ194" i="21"/>
  <c r="AQ194" i="21" s="1"/>
  <c r="AI194" i="21"/>
  <c r="AH194" i="21"/>
  <c r="AG194" i="21"/>
  <c r="AF194" i="21"/>
  <c r="AE194" i="21"/>
  <c r="AD194" i="21"/>
  <c r="AC194" i="21"/>
  <c r="AB194" i="21"/>
  <c r="AA194" i="21"/>
  <c r="Z194" i="21"/>
  <c r="Y194" i="21"/>
  <c r="X194" i="21"/>
  <c r="W194" i="21"/>
  <c r="V194" i="21"/>
  <c r="U194" i="21"/>
  <c r="T194" i="21"/>
  <c r="S194" i="21"/>
  <c r="R194" i="21"/>
  <c r="Q194" i="21"/>
  <c r="P194" i="21"/>
  <c r="O194" i="21"/>
  <c r="N194" i="21"/>
  <c r="M194" i="21"/>
  <c r="L194" i="21"/>
  <c r="K194" i="21"/>
  <c r="J194" i="21"/>
  <c r="I194" i="21"/>
  <c r="H194" i="21"/>
  <c r="G194" i="21"/>
  <c r="F194" i="21"/>
  <c r="E194" i="21"/>
  <c r="D194" i="21"/>
  <c r="AJ193" i="21"/>
  <c r="AQ193" i="21" s="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AJ192" i="21"/>
  <c r="AQ192" i="21" s="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AJ191" i="21"/>
  <c r="AQ191" i="21" s="1"/>
  <c r="AI191" i="21"/>
  <c r="AH191" i="21"/>
  <c r="AG191" i="21"/>
  <c r="AF191" i="21"/>
  <c r="AE191" i="21"/>
  <c r="AD191" i="21"/>
  <c r="AC191" i="21"/>
  <c r="AB191" i="21"/>
  <c r="AA191" i="21"/>
  <c r="Z191" i="21"/>
  <c r="Y191" i="21"/>
  <c r="X191" i="21"/>
  <c r="W191" i="21"/>
  <c r="V191" i="21"/>
  <c r="U191" i="21"/>
  <c r="T191" i="21"/>
  <c r="AM191" i="21" s="1"/>
  <c r="S191" i="21"/>
  <c r="R191" i="21"/>
  <c r="Q191" i="21"/>
  <c r="P191" i="21"/>
  <c r="O191" i="21"/>
  <c r="N191" i="21"/>
  <c r="M191" i="21"/>
  <c r="L191" i="21"/>
  <c r="K191" i="21"/>
  <c r="J191" i="21"/>
  <c r="I191" i="21"/>
  <c r="H191" i="21"/>
  <c r="G191" i="21"/>
  <c r="F191" i="21"/>
  <c r="E191" i="21"/>
  <c r="D191" i="21"/>
  <c r="AQ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AJ189" i="21"/>
  <c r="AQ189" i="21" s="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AQ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AN188" i="21" s="1"/>
  <c r="L188" i="21"/>
  <c r="K188" i="21"/>
  <c r="J188" i="21"/>
  <c r="I188" i="21"/>
  <c r="H188" i="21"/>
  <c r="G188" i="21"/>
  <c r="F188" i="21"/>
  <c r="E188" i="21"/>
  <c r="D188" i="21"/>
  <c r="AJ187" i="21"/>
  <c r="AQ187" i="21" s="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AQ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AJ185" i="21"/>
  <c r="AQ185" i="21" s="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AJ184" i="21"/>
  <c r="AQ184" i="21" s="1"/>
  <c r="AS55" i="21" s="1"/>
  <c r="AI184" i="21"/>
  <c r="AH184" i="21"/>
  <c r="AG184" i="21"/>
  <c r="AF184" i="21"/>
  <c r="AE184" i="21"/>
  <c r="AD184" i="21"/>
  <c r="AC184" i="21"/>
  <c r="AL184" i="21" s="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AO184" i="21" s="1"/>
  <c r="D184" i="21"/>
  <c r="AJ183" i="21"/>
  <c r="AQ183" i="21" s="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AJ182" i="21"/>
  <c r="AQ182" i="21" s="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AJ181" i="21"/>
  <c r="AQ181" i="21" s="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AQ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AN180" i="21" s="1"/>
  <c r="L180" i="21"/>
  <c r="K180" i="21"/>
  <c r="J180" i="21"/>
  <c r="I180" i="21"/>
  <c r="H180" i="21"/>
  <c r="G180" i="21"/>
  <c r="F180" i="21"/>
  <c r="E180" i="21"/>
  <c r="D180" i="21"/>
  <c r="AJ179" i="21"/>
  <c r="AQ179" i="21" s="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AJ178" i="21"/>
  <c r="AQ178" i="21" s="1"/>
  <c r="AS48" i="21" s="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AJ177" i="21"/>
  <c r="AQ177" i="21" s="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AJ176" i="21"/>
  <c r="AQ176" i="21" s="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AJ175" i="21"/>
  <c r="AQ175" i="21" s="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AJ174" i="21"/>
  <c r="AQ174" i="21" s="1"/>
  <c r="AS45" i="21" s="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AJ173" i="21"/>
  <c r="AQ173" i="21" s="1"/>
  <c r="AI173" i="21"/>
  <c r="AH173" i="21"/>
  <c r="AG173" i="21"/>
  <c r="AF173" i="21"/>
  <c r="AE173" i="21"/>
  <c r="AD173" i="21"/>
  <c r="AC173" i="21"/>
  <c r="AB173" i="21"/>
  <c r="AL173" i="21" s="1"/>
  <c r="AA173" i="21"/>
  <c r="Z173" i="21"/>
  <c r="Y173" i="21"/>
  <c r="X173" i="21"/>
  <c r="W173" i="21"/>
  <c r="V173" i="21"/>
  <c r="U173" i="21"/>
  <c r="T173" i="21"/>
  <c r="S173" i="21"/>
  <c r="R173" i="21"/>
  <c r="Q173" i="21"/>
  <c r="P173" i="21"/>
  <c r="O173" i="21"/>
  <c r="N173" i="21"/>
  <c r="M173" i="21"/>
  <c r="L173" i="21"/>
  <c r="AN173" i="21" s="1"/>
  <c r="K173" i="21"/>
  <c r="J173" i="21"/>
  <c r="I173" i="21"/>
  <c r="H173" i="21"/>
  <c r="G173" i="21"/>
  <c r="F173" i="21"/>
  <c r="E173" i="21"/>
  <c r="D173" i="21"/>
  <c r="AO173" i="21" s="1"/>
  <c r="AQ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AQ171" i="21"/>
  <c r="AJ171" i="21"/>
  <c r="AI171" i="21"/>
  <c r="AH171" i="21"/>
  <c r="AG171" i="21"/>
  <c r="AF171" i="21"/>
  <c r="AE171" i="21"/>
  <c r="AD171" i="21"/>
  <c r="AC171" i="21"/>
  <c r="AB171" i="21"/>
  <c r="AA171" i="21"/>
  <c r="Z171" i="21"/>
  <c r="Y171" i="21"/>
  <c r="X171" i="21"/>
  <c r="W171" i="21"/>
  <c r="V171" i="21"/>
  <c r="U171" i="21"/>
  <c r="AM171" i="21" s="1"/>
  <c r="T171" i="21"/>
  <c r="S171" i="21"/>
  <c r="R171" i="21"/>
  <c r="Q171" i="21"/>
  <c r="P171" i="21"/>
  <c r="O171" i="21"/>
  <c r="N171" i="21"/>
  <c r="M171" i="21"/>
  <c r="L171" i="21"/>
  <c r="K171" i="21"/>
  <c r="J171" i="21"/>
  <c r="I171" i="21"/>
  <c r="H171" i="21"/>
  <c r="G171" i="21"/>
  <c r="F171" i="21"/>
  <c r="E171" i="21"/>
  <c r="D171" i="21"/>
  <c r="AJ170" i="21"/>
  <c r="AQ170" i="21" s="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AJ169" i="21"/>
  <c r="AQ169" i="21" s="1"/>
  <c r="AI169" i="21"/>
  <c r="AH169" i="21"/>
  <c r="AG169" i="21"/>
  <c r="AF169" i="21"/>
  <c r="AE169" i="21"/>
  <c r="AD169" i="21"/>
  <c r="AC169" i="21"/>
  <c r="AB169" i="21"/>
  <c r="AL169" i="21" s="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O169" i="21" s="1"/>
  <c r="AJ168" i="21"/>
  <c r="AQ168" i="21" s="1"/>
  <c r="AS39" i="21" s="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AJ167" i="21"/>
  <c r="AQ167" i="21" s="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AQ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AJ165" i="21"/>
  <c r="AQ165" i="21" s="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AJ164" i="21"/>
  <c r="AQ164" i="21" s="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AQ163" i="21"/>
  <c r="AJ163" i="21"/>
  <c r="AI163" i="21"/>
  <c r="AH163" i="21"/>
  <c r="AG163" i="21"/>
  <c r="AF163" i="21"/>
  <c r="AE163" i="21"/>
  <c r="AD163" i="21"/>
  <c r="AC163" i="21"/>
  <c r="AB163" i="21"/>
  <c r="AA163" i="21"/>
  <c r="Z163" i="21"/>
  <c r="Y163" i="21"/>
  <c r="AM163" i="21" s="1"/>
  <c r="X163" i="21"/>
  <c r="W163" i="21"/>
  <c r="V163" i="21"/>
  <c r="U163" i="21"/>
  <c r="T163" i="21"/>
  <c r="S163" i="21"/>
  <c r="R163" i="21"/>
  <c r="Q163" i="21"/>
  <c r="P163" i="21"/>
  <c r="O163" i="21"/>
  <c r="N163" i="21"/>
  <c r="M163" i="21"/>
  <c r="L163" i="21"/>
  <c r="K163" i="21"/>
  <c r="J163" i="21"/>
  <c r="I163" i="21"/>
  <c r="H163" i="21"/>
  <c r="G163" i="21"/>
  <c r="F163" i="21"/>
  <c r="E163" i="21"/>
  <c r="D163" i="21"/>
  <c r="AJ162" i="21"/>
  <c r="AQ162" i="21" s="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AJ161" i="21"/>
  <c r="AQ161" i="21" s="1"/>
  <c r="AI161" i="21"/>
  <c r="AH161" i="21"/>
  <c r="AG161" i="21"/>
  <c r="AF161" i="21"/>
  <c r="AE161" i="21"/>
  <c r="AD161" i="21"/>
  <c r="AC161" i="21"/>
  <c r="AB161" i="21"/>
  <c r="AL161" i="21" s="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AO161" i="21" s="1"/>
  <c r="AQ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AN160" i="21" s="1"/>
  <c r="L160" i="21"/>
  <c r="K160" i="21"/>
  <c r="J160" i="21"/>
  <c r="I160" i="21"/>
  <c r="H160" i="21"/>
  <c r="G160" i="21"/>
  <c r="F160" i="21"/>
  <c r="E160" i="21"/>
  <c r="D160" i="21"/>
  <c r="AJ159" i="21"/>
  <c r="AQ159" i="21" s="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AQ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AJ157" i="21"/>
  <c r="AQ157" i="21" s="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AJ156" i="21"/>
  <c r="AQ156" i="21" s="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AN156" i="21" s="1"/>
  <c r="K156" i="21"/>
  <c r="J156" i="21"/>
  <c r="I156" i="21"/>
  <c r="H156" i="21"/>
  <c r="G156" i="21"/>
  <c r="F156" i="21"/>
  <c r="E156" i="21"/>
  <c r="D156" i="21"/>
  <c r="AQ155" i="21"/>
  <c r="AJ155" i="21"/>
  <c r="AI155" i="21"/>
  <c r="AH155" i="21"/>
  <c r="AG155" i="21"/>
  <c r="AF155" i="21"/>
  <c r="AE155" i="21"/>
  <c r="AD155" i="21"/>
  <c r="AC155" i="21"/>
  <c r="AB155" i="21"/>
  <c r="AA155" i="21"/>
  <c r="Z155" i="21"/>
  <c r="Y155" i="21"/>
  <c r="X155" i="21"/>
  <c r="W155" i="21"/>
  <c r="V155" i="21"/>
  <c r="AM155" i="21" s="1"/>
  <c r="U155" i="21"/>
  <c r="T155" i="21"/>
  <c r="S155" i="21"/>
  <c r="R155" i="21"/>
  <c r="Q155" i="21"/>
  <c r="P155" i="21"/>
  <c r="O155" i="21"/>
  <c r="N155" i="21"/>
  <c r="M155" i="21"/>
  <c r="L155" i="21"/>
  <c r="K155" i="21"/>
  <c r="J155" i="21"/>
  <c r="I155" i="21"/>
  <c r="H155" i="21"/>
  <c r="G155" i="21"/>
  <c r="F155" i="21"/>
  <c r="E155" i="21"/>
  <c r="D155" i="21"/>
  <c r="AQ154" i="21"/>
  <c r="AS25" i="21" s="1"/>
  <c r="AJ154" i="21"/>
  <c r="AI154" i="21"/>
  <c r="AH154" i="21"/>
  <c r="AG154" i="21"/>
  <c r="AF154" i="21"/>
  <c r="AE154" i="21"/>
  <c r="AD154" i="21"/>
  <c r="AC154" i="21"/>
  <c r="AB154" i="21"/>
  <c r="AA154" i="21"/>
  <c r="Z154" i="21"/>
  <c r="Y154" i="21"/>
  <c r="X154" i="21"/>
  <c r="W154" i="21"/>
  <c r="V154" i="21"/>
  <c r="U154" i="21"/>
  <c r="T154" i="21"/>
  <c r="AM154" i="21" s="1"/>
  <c r="S154" i="21"/>
  <c r="R154" i="21"/>
  <c r="Q154" i="21"/>
  <c r="P154" i="21"/>
  <c r="O154" i="21"/>
  <c r="N154" i="21"/>
  <c r="M154" i="21"/>
  <c r="AN154" i="21" s="1"/>
  <c r="L154" i="21"/>
  <c r="K154" i="21"/>
  <c r="J154" i="21"/>
  <c r="I154" i="21"/>
  <c r="H154" i="21"/>
  <c r="G154" i="21"/>
  <c r="F154" i="21"/>
  <c r="E154" i="21"/>
  <c r="D154" i="21"/>
  <c r="AJ153" i="21"/>
  <c r="AQ153" i="21" s="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AJ152" i="21"/>
  <c r="AQ152" i="21" s="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AJ151" i="21"/>
  <c r="AQ151" i="21" s="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AQ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AO149" i="21"/>
  <c r="AJ149" i="21"/>
  <c r="AQ149" i="21" s="1"/>
  <c r="AS19" i="21" s="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AJ148" i="21"/>
  <c r="AQ148" i="21" s="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AJ147" i="21"/>
  <c r="AQ147" i="21" s="1"/>
  <c r="AS17" i="21" s="1"/>
  <c r="AI147" i="21"/>
  <c r="AH147" i="21"/>
  <c r="AG147" i="21"/>
  <c r="AF147" i="21"/>
  <c r="AE147" i="21"/>
  <c r="AD147" i="21"/>
  <c r="AC147" i="21"/>
  <c r="AB147" i="21"/>
  <c r="AA147" i="21"/>
  <c r="Z147" i="21"/>
  <c r="Y147" i="21"/>
  <c r="X147" i="21"/>
  <c r="W147" i="21"/>
  <c r="V147" i="21"/>
  <c r="AM147" i="21" s="1"/>
  <c r="U147" i="21"/>
  <c r="T147" i="21"/>
  <c r="S147" i="21"/>
  <c r="R147" i="21"/>
  <c r="Q147" i="21"/>
  <c r="P147" i="21"/>
  <c r="O147" i="21"/>
  <c r="N147" i="21"/>
  <c r="M147" i="21"/>
  <c r="L147" i="21"/>
  <c r="K147" i="21"/>
  <c r="J147" i="21"/>
  <c r="I147" i="21"/>
  <c r="H147" i="21"/>
  <c r="G147" i="21"/>
  <c r="F147" i="21"/>
  <c r="E147" i="21"/>
  <c r="D147" i="21"/>
  <c r="AJ146" i="21"/>
  <c r="AQ146" i="21" s="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AJ145" i="21"/>
  <c r="AQ145" i="21" s="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AN145" i="21" s="1"/>
  <c r="K145" i="21"/>
  <c r="J145" i="21"/>
  <c r="I145" i="21"/>
  <c r="H145" i="21"/>
  <c r="G145" i="21"/>
  <c r="F145" i="21"/>
  <c r="E145" i="21"/>
  <c r="D145" i="21"/>
  <c r="AQ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AJ143" i="21"/>
  <c r="AQ143" i="21" s="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AJ142" i="21"/>
  <c r="AQ142" i="21" s="1"/>
  <c r="AS13" i="21" s="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AJ141" i="21"/>
  <c r="AQ141" i="21" s="1"/>
  <c r="AI141" i="21"/>
  <c r="AH141" i="21"/>
  <c r="AG141" i="21"/>
  <c r="AF141" i="21"/>
  <c r="AE141" i="21"/>
  <c r="AD141" i="21"/>
  <c r="AC141" i="21"/>
  <c r="AB141" i="21"/>
  <c r="AA141" i="21"/>
  <c r="Z141" i="21"/>
  <c r="Y141" i="21"/>
  <c r="X141" i="21"/>
  <c r="W141" i="21"/>
  <c r="V141" i="21"/>
  <c r="U141" i="21"/>
  <c r="T141" i="21"/>
  <c r="AM141" i="21" s="1"/>
  <c r="S141" i="21"/>
  <c r="R141" i="21"/>
  <c r="Q141" i="21"/>
  <c r="P141" i="21"/>
  <c r="O141" i="21"/>
  <c r="N141" i="21"/>
  <c r="M141" i="21"/>
  <c r="L141" i="21"/>
  <c r="K141" i="21"/>
  <c r="J141" i="21"/>
  <c r="I141" i="21"/>
  <c r="H141" i="21"/>
  <c r="G141" i="21"/>
  <c r="F141" i="21"/>
  <c r="E141" i="21"/>
  <c r="D141" i="21"/>
  <c r="AQ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AQ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AJ133" i="21"/>
  <c r="AQ133" i="21" s="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AJ132" i="21"/>
  <c r="AQ132" i="21" s="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AJ131" i="21"/>
  <c r="AQ131" i="21" s="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Q130" i="21"/>
  <c r="AR65" i="21" s="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AQ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AJ128" i="21"/>
  <c r="AQ128" i="21" s="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AJ127" i="21"/>
  <c r="AQ127" i="21" s="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AJ126" i="21"/>
  <c r="AQ126" i="21" s="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AJ125" i="21"/>
  <c r="AQ125" i="21" s="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AN125" i="21" s="1"/>
  <c r="K125" i="21"/>
  <c r="J125" i="21"/>
  <c r="I125" i="21"/>
  <c r="H125" i="21"/>
  <c r="G125" i="21"/>
  <c r="F125" i="21"/>
  <c r="E125" i="21"/>
  <c r="D125" i="21"/>
  <c r="AQ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AJ123" i="21"/>
  <c r="AQ123" i="21" s="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AJ122" i="21"/>
  <c r="AQ122" i="21" s="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AN122" i="21" s="1"/>
  <c r="K122" i="21"/>
  <c r="J122" i="21"/>
  <c r="I122" i="21"/>
  <c r="H122" i="21"/>
  <c r="G122" i="21"/>
  <c r="F122" i="21"/>
  <c r="E122" i="21"/>
  <c r="D122" i="21"/>
  <c r="AJ121" i="21"/>
  <c r="AQ121" i="21" s="1"/>
  <c r="AR56" i="21" s="1"/>
  <c r="AI121" i="21"/>
  <c r="AH121" i="21"/>
  <c r="AG121" i="21"/>
  <c r="AF121" i="21"/>
  <c r="AE121" i="21"/>
  <c r="AD121" i="21"/>
  <c r="AC121" i="21"/>
  <c r="AB121" i="21"/>
  <c r="AA121" i="21"/>
  <c r="Z121" i="21"/>
  <c r="Y121" i="21"/>
  <c r="X121" i="21"/>
  <c r="W121" i="21"/>
  <c r="V121" i="21"/>
  <c r="AM121" i="21" s="1"/>
  <c r="U121" i="21"/>
  <c r="T121" i="21"/>
  <c r="S121" i="21"/>
  <c r="R121" i="21"/>
  <c r="Q121" i="21"/>
  <c r="P121" i="21"/>
  <c r="O121" i="21"/>
  <c r="N121" i="21"/>
  <c r="M121" i="21"/>
  <c r="L121" i="21"/>
  <c r="K121" i="21"/>
  <c r="J121" i="21"/>
  <c r="I121" i="21"/>
  <c r="H121" i="21"/>
  <c r="G121" i="21"/>
  <c r="F121" i="21"/>
  <c r="E121" i="21"/>
  <c r="D121" i="21"/>
  <c r="AJ120" i="21"/>
  <c r="AQ120" i="21" s="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AJ119" i="21"/>
  <c r="AQ119" i="21" s="1"/>
  <c r="AI119" i="21"/>
  <c r="AH119" i="21"/>
  <c r="AG119" i="21"/>
  <c r="AF119" i="21"/>
  <c r="AE119" i="21"/>
  <c r="AD119" i="21"/>
  <c r="AC119" i="21"/>
  <c r="AB119" i="21"/>
  <c r="AL119" i="21" s="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AO119" i="21" s="1"/>
  <c r="AQ118" i="21"/>
  <c r="AR54" i="21" s="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AJ117" i="21"/>
  <c r="AQ117" i="21" s="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AQ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AJ115" i="21"/>
  <c r="AQ115" i="21" s="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AQ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AJ113" i="21"/>
  <c r="AQ113" i="21" s="1"/>
  <c r="AR48" i="21" s="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AQ112" i="21"/>
  <c r="AR47" i="21" s="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AN112" i="21" s="1"/>
  <c r="L112" i="21"/>
  <c r="K112" i="21"/>
  <c r="J112" i="21"/>
  <c r="I112" i="21"/>
  <c r="H112" i="21"/>
  <c r="G112" i="21"/>
  <c r="F112" i="21"/>
  <c r="E112" i="21"/>
  <c r="D112" i="21"/>
  <c r="AJ111" i="21"/>
  <c r="AQ111" i="21" s="1"/>
  <c r="AR46" i="21" s="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J110" i="21"/>
  <c r="AQ110" i="21" s="1"/>
  <c r="AR45" i="21" s="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AJ109" i="21"/>
  <c r="AQ109" i="21" s="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AQ108" i="21"/>
  <c r="AR44" i="21" s="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AJ107" i="21"/>
  <c r="AQ107" i="21" s="1"/>
  <c r="AR42" i="21" s="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AN107" i="21" s="1"/>
  <c r="K107" i="21"/>
  <c r="J107" i="21"/>
  <c r="I107" i="21"/>
  <c r="H107" i="21"/>
  <c r="G107" i="21"/>
  <c r="F107" i="21"/>
  <c r="E107" i="21"/>
  <c r="D107" i="21"/>
  <c r="AO107" i="21" s="1"/>
  <c r="AJ106" i="21"/>
  <c r="AQ106" i="21" s="1"/>
  <c r="AR41" i="21" s="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AQ105" i="21"/>
  <c r="AJ105" i="21"/>
  <c r="AI105" i="21"/>
  <c r="AH105" i="21"/>
  <c r="AG105" i="21"/>
  <c r="AF105" i="21"/>
  <c r="AE105" i="21"/>
  <c r="AD105" i="21"/>
  <c r="AC105" i="21"/>
  <c r="AB105" i="21"/>
  <c r="AA105" i="21"/>
  <c r="Z105" i="21"/>
  <c r="Y105" i="21"/>
  <c r="X105" i="21"/>
  <c r="W105" i="21"/>
  <c r="V105" i="21"/>
  <c r="U105" i="21"/>
  <c r="T105" i="21"/>
  <c r="AM105" i="21" s="1"/>
  <c r="S105" i="21"/>
  <c r="R105" i="21"/>
  <c r="Q105" i="21"/>
  <c r="P105" i="21"/>
  <c r="O105" i="21"/>
  <c r="N105" i="21"/>
  <c r="M105" i="21"/>
  <c r="L105" i="21"/>
  <c r="K105" i="21"/>
  <c r="J105" i="21"/>
  <c r="I105" i="21"/>
  <c r="H105" i="21"/>
  <c r="G105" i="21"/>
  <c r="F105" i="21"/>
  <c r="E105" i="21"/>
  <c r="D105" i="21"/>
  <c r="AJ104" i="21"/>
  <c r="AQ104" i="21" s="1"/>
  <c r="AR39" i="21" s="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AJ103" i="21"/>
  <c r="AQ103" i="21" s="1"/>
  <c r="AR38" i="21" s="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AQ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AJ101" i="21"/>
  <c r="AQ101" i="21" s="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AQ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AJ99" i="21"/>
  <c r="AQ99" i="21" s="1"/>
  <c r="AR34" i="21" s="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AQ98" i="21"/>
  <c r="AR33" i="21" s="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AQ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AJ96" i="21"/>
  <c r="AQ96" i="21" s="1"/>
  <c r="AR31" i="21" s="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AJ95" i="21"/>
  <c r="AQ95" i="21" s="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AJ94" i="21"/>
  <c r="AQ94" i="21" s="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AJ93" i="21"/>
  <c r="AQ93" i="21" s="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AQ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AJ91" i="21"/>
  <c r="AQ91" i="21" s="1"/>
  <c r="AR26" i="21" s="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AQ90" i="21"/>
  <c r="AJ90" i="21"/>
  <c r="AI90" i="21"/>
  <c r="AH90" i="21"/>
  <c r="AG90" i="21"/>
  <c r="AF90" i="21"/>
  <c r="AE90" i="21"/>
  <c r="AD90" i="21"/>
  <c r="AC90" i="21"/>
  <c r="AB90" i="21"/>
  <c r="AA90" i="21"/>
  <c r="Z90" i="21"/>
  <c r="Y90" i="21"/>
  <c r="X90" i="21"/>
  <c r="W90" i="21"/>
  <c r="V90" i="21"/>
  <c r="U90" i="21"/>
  <c r="T90" i="21"/>
  <c r="S90" i="21"/>
  <c r="R90" i="21"/>
  <c r="Q90" i="21"/>
  <c r="P90" i="21"/>
  <c r="O90" i="21"/>
  <c r="AN90" i="21" s="1"/>
  <c r="N90" i="21"/>
  <c r="M90" i="21"/>
  <c r="L90" i="21"/>
  <c r="K90" i="21"/>
  <c r="J90" i="21"/>
  <c r="I90" i="21"/>
  <c r="H90" i="21"/>
  <c r="G90" i="21"/>
  <c r="F90" i="21"/>
  <c r="E90" i="21"/>
  <c r="D90" i="21"/>
  <c r="AQ89" i="21"/>
  <c r="AR24" i="21" s="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AJ88" i="21"/>
  <c r="AQ88" i="21" s="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AJ87" i="21"/>
  <c r="AQ87" i="21" s="1"/>
  <c r="AR22" i="21" s="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AJ86" i="21"/>
  <c r="AQ86" i="21" s="1"/>
  <c r="AI86" i="21"/>
  <c r="AH86" i="21"/>
  <c r="AG86" i="21"/>
  <c r="AF86" i="21"/>
  <c r="AE86" i="21"/>
  <c r="AD86" i="21"/>
  <c r="AC86" i="21"/>
  <c r="AB86" i="21"/>
  <c r="AA86" i="21"/>
  <c r="Z86" i="21"/>
  <c r="Y86" i="21"/>
  <c r="X86" i="21"/>
  <c r="W86" i="21"/>
  <c r="V86" i="21"/>
  <c r="U86" i="21"/>
  <c r="T86" i="21"/>
  <c r="S86" i="21"/>
  <c r="R86" i="21"/>
  <c r="Q86" i="21"/>
  <c r="P86" i="21"/>
  <c r="O86" i="21"/>
  <c r="N86" i="21"/>
  <c r="M86" i="21"/>
  <c r="AN86" i="21" s="1"/>
  <c r="L86" i="21"/>
  <c r="K86" i="21"/>
  <c r="J86" i="21"/>
  <c r="I86" i="21"/>
  <c r="H86" i="21"/>
  <c r="G86" i="21"/>
  <c r="F86" i="21"/>
  <c r="E86" i="21"/>
  <c r="D86" i="21"/>
  <c r="AQ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AQ84" i="21"/>
  <c r="AR20" i="21" s="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AJ83" i="21"/>
  <c r="AQ83" i="21" s="1"/>
  <c r="AI83" i="21"/>
  <c r="AH83" i="21"/>
  <c r="AG83" i="21"/>
  <c r="AF83" i="21"/>
  <c r="AE83" i="21"/>
  <c r="AD83" i="21"/>
  <c r="AC83" i="21"/>
  <c r="AB83" i="21"/>
  <c r="AA83" i="21"/>
  <c r="Z83" i="21"/>
  <c r="Y83" i="21"/>
  <c r="X83" i="21"/>
  <c r="W83" i="21"/>
  <c r="V83" i="21"/>
  <c r="U83" i="21"/>
  <c r="T83" i="21"/>
  <c r="S83" i="21"/>
  <c r="R83" i="21"/>
  <c r="Q83" i="21"/>
  <c r="P83" i="21"/>
  <c r="O83" i="21"/>
  <c r="N83" i="21"/>
  <c r="M83" i="21"/>
  <c r="L83" i="21"/>
  <c r="AN83" i="21" s="1"/>
  <c r="K83" i="21"/>
  <c r="J83" i="21"/>
  <c r="I83" i="21"/>
  <c r="H83" i="21"/>
  <c r="G83" i="21"/>
  <c r="F83" i="21"/>
  <c r="E83" i="21"/>
  <c r="D83" i="21"/>
  <c r="AJ82" i="21"/>
  <c r="AQ82" i="21" s="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AJ81" i="21"/>
  <c r="AQ81" i="21" s="1"/>
  <c r="AR16" i="21" s="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AJ80" i="21"/>
  <c r="AQ80" i="21" s="1"/>
  <c r="AI80" i="21"/>
  <c r="AH80" i="21"/>
  <c r="AG80" i="21"/>
  <c r="AF80" i="21"/>
  <c r="AE80" i="21"/>
  <c r="AD80" i="21"/>
  <c r="AC80" i="21"/>
  <c r="AB80" i="21"/>
  <c r="AL80" i="21" s="1"/>
  <c r="AA80" i="21"/>
  <c r="Z80" i="21"/>
  <c r="Y80" i="21"/>
  <c r="X80" i="21"/>
  <c r="W80" i="21"/>
  <c r="V80" i="21"/>
  <c r="U80" i="21"/>
  <c r="T80" i="21"/>
  <c r="S80" i="21"/>
  <c r="R80" i="21"/>
  <c r="Q80" i="21"/>
  <c r="P80" i="21"/>
  <c r="O80" i="21"/>
  <c r="N80" i="21"/>
  <c r="M80" i="21"/>
  <c r="L80" i="21"/>
  <c r="K80" i="21"/>
  <c r="J80" i="21"/>
  <c r="I80" i="21"/>
  <c r="H80" i="21"/>
  <c r="G80" i="21"/>
  <c r="F80" i="21"/>
  <c r="E80" i="21"/>
  <c r="D80" i="21"/>
  <c r="AO80" i="21" s="1"/>
  <c r="AQ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AJ78" i="21"/>
  <c r="AQ78" i="21" s="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AJ77" i="21"/>
  <c r="AQ77" i="21" s="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AJ76" i="21"/>
  <c r="AQ76" i="21" s="1"/>
  <c r="AR11" i="21" s="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AJ75" i="21"/>
  <c r="AQ75" i="21" s="1"/>
  <c r="AI75" i="21"/>
  <c r="AH75" i="21"/>
  <c r="AG75" i="21"/>
  <c r="AF75" i="21"/>
  <c r="AE75" i="21"/>
  <c r="AD75" i="21"/>
  <c r="AC75" i="21"/>
  <c r="AB75" i="21"/>
  <c r="AA75" i="21"/>
  <c r="Z75" i="21"/>
  <c r="Y75" i="21"/>
  <c r="X75" i="21"/>
  <c r="W75" i="21"/>
  <c r="V75" i="21"/>
  <c r="AM75" i="21" s="1"/>
  <c r="U75" i="21"/>
  <c r="T75" i="21"/>
  <c r="S75" i="21"/>
  <c r="R75" i="21"/>
  <c r="Q75" i="21"/>
  <c r="P75" i="21"/>
  <c r="O75" i="21"/>
  <c r="N75" i="21"/>
  <c r="M75" i="21"/>
  <c r="L75" i="21"/>
  <c r="K75" i="21"/>
  <c r="J75" i="21"/>
  <c r="I75" i="21"/>
  <c r="H75" i="21"/>
  <c r="G75" i="21"/>
  <c r="F75" i="21"/>
  <c r="E75" i="21"/>
  <c r="D75"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AO71" i="21" s="1"/>
  <c r="E71" i="21"/>
  <c r="D71" i="21"/>
  <c r="AT70" i="21"/>
  <c r="AS70" i="21"/>
  <c r="AR70" i="21"/>
  <c r="AT69" i="21"/>
  <c r="AR69" i="21"/>
  <c r="C69" i="21"/>
  <c r="C199" i="21" s="1"/>
  <c r="AT68" i="21"/>
  <c r="AS68" i="21"/>
  <c r="C68" i="21"/>
  <c r="AT67" i="21"/>
  <c r="AS67" i="21"/>
  <c r="C67" i="21"/>
  <c r="AT66" i="21"/>
  <c r="C66" i="21"/>
  <c r="AT65" i="21"/>
  <c r="AS65" i="21"/>
  <c r="C65" i="21"/>
  <c r="AT64" i="21"/>
  <c r="AS64" i="21"/>
  <c r="C64" i="21"/>
  <c r="AT63" i="21"/>
  <c r="AS63" i="21"/>
  <c r="C63" i="21"/>
  <c r="AT62" i="21"/>
  <c r="AS62" i="21"/>
  <c r="AR62" i="21"/>
  <c r="C62" i="21"/>
  <c r="C127" i="21" s="1"/>
  <c r="AT61" i="21"/>
  <c r="C61" i="21"/>
  <c r="AT60" i="21"/>
  <c r="AS60" i="21"/>
  <c r="C60" i="21"/>
  <c r="AT59" i="21"/>
  <c r="AS59" i="21"/>
  <c r="AR59" i="21"/>
  <c r="C59" i="21"/>
  <c r="AT58" i="21"/>
  <c r="AS58" i="21"/>
  <c r="C58" i="21"/>
  <c r="AT57" i="21"/>
  <c r="AS57" i="21"/>
  <c r="C57" i="21"/>
  <c r="AT56" i="21"/>
  <c r="AS56" i="21"/>
  <c r="C56" i="21"/>
  <c r="AT55" i="21"/>
  <c r="AR55" i="21"/>
  <c r="C55" i="21"/>
  <c r="AT54" i="21"/>
  <c r="AS54" i="21"/>
  <c r="C54" i="21"/>
  <c r="C119" i="21" s="1"/>
  <c r="AT53" i="21"/>
  <c r="C53" i="21"/>
  <c r="AT52" i="21"/>
  <c r="AS52" i="21"/>
  <c r="C52" i="21"/>
  <c r="AT51" i="21"/>
  <c r="AS51" i="21"/>
  <c r="AR51" i="21"/>
  <c r="C51" i="21"/>
  <c r="AT50" i="21"/>
  <c r="AS50" i="21"/>
  <c r="C50" i="21"/>
  <c r="AT49" i="21"/>
  <c r="AS49" i="21"/>
  <c r="C49" i="21"/>
  <c r="AT48" i="21"/>
  <c r="C48" i="21"/>
  <c r="AT47" i="21"/>
  <c r="AS47" i="21"/>
  <c r="C47" i="21"/>
  <c r="AT46" i="21"/>
  <c r="AS46" i="21"/>
  <c r="C46" i="21"/>
  <c r="AT45" i="21"/>
  <c r="C45" i="21"/>
  <c r="AT44" i="21"/>
  <c r="AS44" i="21"/>
  <c r="C44" i="21"/>
  <c r="AT43" i="21"/>
  <c r="AS43" i="21"/>
  <c r="C43" i="21"/>
  <c r="AT42" i="21"/>
  <c r="AS42" i="21"/>
  <c r="C42" i="21"/>
  <c r="AT41" i="21"/>
  <c r="AS41" i="21"/>
  <c r="C41" i="21"/>
  <c r="AT40" i="21"/>
  <c r="AS40" i="21"/>
  <c r="C40" i="21"/>
  <c r="AT39" i="21"/>
  <c r="C39" i="21"/>
  <c r="AT38" i="21"/>
  <c r="AS38" i="21"/>
  <c r="C38" i="21"/>
  <c r="C103" i="21" s="1"/>
  <c r="AT37" i="21"/>
  <c r="C37" i="21"/>
  <c r="C167" i="21" s="1"/>
  <c r="AT36" i="21"/>
  <c r="AS36" i="21"/>
  <c r="AR36" i="21"/>
  <c r="C36" i="21"/>
  <c r="AT35" i="21"/>
  <c r="AS35" i="21"/>
  <c r="C35" i="21"/>
  <c r="AT34" i="21"/>
  <c r="AS34" i="21"/>
  <c r="C34" i="21"/>
  <c r="AT33" i="21"/>
  <c r="AS33" i="21"/>
  <c r="C33" i="21"/>
  <c r="AT32" i="21"/>
  <c r="AS32" i="21"/>
  <c r="C32" i="21"/>
  <c r="AT31" i="21"/>
  <c r="AS31" i="21"/>
  <c r="C31" i="21"/>
  <c r="AT30" i="21"/>
  <c r="AS30" i="21"/>
  <c r="C30" i="21"/>
  <c r="AT29" i="21"/>
  <c r="C29" i="21"/>
  <c r="C159" i="21" s="1"/>
  <c r="AT28" i="21"/>
  <c r="AS28" i="21"/>
  <c r="C28" i="21"/>
  <c r="AT27" i="21"/>
  <c r="C27" i="21"/>
  <c r="C157" i="21" s="1"/>
  <c r="AT26" i="21"/>
  <c r="C26" i="21"/>
  <c r="AT25" i="21"/>
  <c r="C25" i="21"/>
  <c r="AT24" i="21"/>
  <c r="AS24" i="21"/>
  <c r="C24" i="21"/>
  <c r="C154" i="21" s="1"/>
  <c r="AT23" i="21"/>
  <c r="AS23" i="21"/>
  <c r="C23" i="21"/>
  <c r="AT22" i="21"/>
  <c r="AS22" i="21"/>
  <c r="C22" i="21"/>
  <c r="AT21" i="21"/>
  <c r="C21" i="21"/>
  <c r="C151" i="21" s="1"/>
  <c r="AT20" i="21"/>
  <c r="AS20" i="21"/>
  <c r="C20" i="21"/>
  <c r="C150" i="21" s="1"/>
  <c r="AT19" i="21"/>
  <c r="C19" i="21"/>
  <c r="C149" i="21" s="1"/>
  <c r="AT18" i="21"/>
  <c r="AS18" i="21"/>
  <c r="C18" i="21"/>
  <c r="AT17" i="21"/>
  <c r="C17" i="21"/>
  <c r="C147" i="21" s="1"/>
  <c r="AT16" i="21"/>
  <c r="AS16" i="21"/>
  <c r="C16" i="21"/>
  <c r="C146" i="21" s="1"/>
  <c r="AT15" i="21"/>
  <c r="AS15" i="21"/>
  <c r="C15" i="21"/>
  <c r="C145" i="21" s="1"/>
  <c r="AT14" i="21"/>
  <c r="AS14" i="21"/>
  <c r="C14" i="21"/>
  <c r="C144" i="21" s="1"/>
  <c r="AW13" i="21"/>
  <c r="AT13" i="21"/>
  <c r="C13" i="21"/>
  <c r="AT12" i="21"/>
  <c r="AS12" i="21"/>
  <c r="C12" i="21"/>
  <c r="C142" i="21" s="1"/>
  <c r="AT11" i="21"/>
  <c r="AS11" i="21"/>
  <c r="C11" i="21"/>
  <c r="AT10" i="21"/>
  <c r="C10" i="21"/>
  <c r="AL9" i="21"/>
  <c r="C9" i="21"/>
  <c r="C139" i="21" s="1"/>
  <c r="AL8" i="21"/>
  <c r="C8" i="21"/>
  <c r="C7" i="21"/>
  <c r="C137" i="21" s="1"/>
  <c r="AW6" i="21"/>
  <c r="AL6" i="21"/>
  <c r="AT6" i="21" s="1"/>
  <c r="C6" i="21"/>
  <c r="C136" i="21" s="1"/>
  <c r="B3" i="21"/>
  <c r="AW7" i="21" s="1"/>
  <c r="AQ199" i="20"/>
  <c r="AS70" i="20" s="1"/>
  <c r="AJ199" i="20"/>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J198" i="20"/>
  <c r="AQ198" i="20" s="1"/>
  <c r="AI198" i="20"/>
  <c r="AH198" i="20"/>
  <c r="AG198" i="20"/>
  <c r="AF198" i="20"/>
  <c r="AE198" i="20"/>
  <c r="AD198" i="20"/>
  <c r="AC198" i="20"/>
  <c r="AB198" i="20"/>
  <c r="AA198" i="20"/>
  <c r="Z198" i="20"/>
  <c r="Y198" i="20"/>
  <c r="X198" i="20"/>
  <c r="W198" i="20"/>
  <c r="V198" i="20"/>
  <c r="U198" i="20"/>
  <c r="T198" i="20"/>
  <c r="S198" i="20"/>
  <c r="R198" i="20"/>
  <c r="Q198" i="20"/>
  <c r="P198" i="20"/>
  <c r="O198" i="20"/>
  <c r="N198" i="20"/>
  <c r="M198" i="20"/>
  <c r="L198" i="20"/>
  <c r="K198" i="20"/>
  <c r="J198" i="20"/>
  <c r="I198" i="20"/>
  <c r="H198" i="20"/>
  <c r="G198" i="20"/>
  <c r="F198" i="20"/>
  <c r="E198" i="20"/>
  <c r="D198" i="20"/>
  <c r="AJ197" i="20"/>
  <c r="AQ197" i="20" s="1"/>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K197" i="20"/>
  <c r="J197" i="20"/>
  <c r="I197" i="20"/>
  <c r="H197" i="20"/>
  <c r="G197" i="20"/>
  <c r="F197" i="20"/>
  <c r="E197" i="20"/>
  <c r="D197" i="20"/>
  <c r="AJ196" i="20"/>
  <c r="AQ196" i="20" s="1"/>
  <c r="AI196" i="20"/>
  <c r="AH196" i="20"/>
  <c r="AG196" i="20"/>
  <c r="AF196" i="20"/>
  <c r="AE196" i="20"/>
  <c r="AD196" i="20"/>
  <c r="AC196" i="20"/>
  <c r="AB196" i="20"/>
  <c r="AA196" i="20"/>
  <c r="Z196" i="20"/>
  <c r="Y196" i="20"/>
  <c r="X196" i="20"/>
  <c r="W196" i="20"/>
  <c r="V196" i="20"/>
  <c r="U196" i="20"/>
  <c r="T196" i="20"/>
  <c r="S196" i="20"/>
  <c r="R196" i="20"/>
  <c r="Q196" i="20"/>
  <c r="P196" i="20"/>
  <c r="O196" i="20"/>
  <c r="N196" i="20"/>
  <c r="M196" i="20"/>
  <c r="L196" i="20"/>
  <c r="K196" i="20"/>
  <c r="J196" i="20"/>
  <c r="I196" i="20"/>
  <c r="H196" i="20"/>
  <c r="G196" i="20"/>
  <c r="F196" i="20"/>
  <c r="E196" i="20"/>
  <c r="D196" i="20"/>
  <c r="AQ195" i="20"/>
  <c r="AJ195" i="20"/>
  <c r="AI195" i="20"/>
  <c r="AH195" i="20"/>
  <c r="AG195" i="20"/>
  <c r="AF195" i="20"/>
  <c r="AE195" i="20"/>
  <c r="AD195" i="20"/>
  <c r="AC195" i="20"/>
  <c r="AB195" i="20"/>
  <c r="AA195" i="20"/>
  <c r="Z195" i="20"/>
  <c r="Y195" i="20"/>
  <c r="X195" i="20"/>
  <c r="W195" i="20"/>
  <c r="V195" i="20"/>
  <c r="U195" i="20"/>
  <c r="T195" i="20"/>
  <c r="S195" i="20"/>
  <c r="R195" i="20"/>
  <c r="Q195" i="20"/>
  <c r="P195" i="20"/>
  <c r="O195" i="20"/>
  <c r="N195" i="20"/>
  <c r="M195" i="20"/>
  <c r="L195" i="20"/>
  <c r="K195" i="20"/>
  <c r="J195" i="20"/>
  <c r="I195" i="20"/>
  <c r="H195" i="20"/>
  <c r="G195" i="20"/>
  <c r="F195" i="20"/>
  <c r="E195" i="20"/>
  <c r="D195" i="20"/>
  <c r="AQ194" i="20"/>
  <c r="AJ194" i="20"/>
  <c r="AI194" i="20"/>
  <c r="AH194" i="20"/>
  <c r="AG194" i="20"/>
  <c r="AF194" i="20"/>
  <c r="AE194" i="20"/>
  <c r="AD194" i="20"/>
  <c r="AC194" i="20"/>
  <c r="AL194" i="20" s="1"/>
  <c r="AB194" i="20"/>
  <c r="AA194" i="20"/>
  <c r="Z194" i="20"/>
  <c r="Y194" i="20"/>
  <c r="X194" i="20"/>
  <c r="W194" i="20"/>
  <c r="V194" i="20"/>
  <c r="U194" i="20"/>
  <c r="T194" i="20"/>
  <c r="S194" i="20"/>
  <c r="R194" i="20"/>
  <c r="Q194" i="20"/>
  <c r="P194" i="20"/>
  <c r="O194" i="20"/>
  <c r="N194" i="20"/>
  <c r="M194" i="20"/>
  <c r="L194" i="20"/>
  <c r="K194" i="20"/>
  <c r="J194" i="20"/>
  <c r="I194" i="20"/>
  <c r="H194" i="20"/>
  <c r="G194" i="20"/>
  <c r="F194" i="20"/>
  <c r="E194" i="20"/>
  <c r="AO194" i="20" s="1"/>
  <c r="D194" i="20"/>
  <c r="AJ193" i="20"/>
  <c r="AQ193" i="20" s="1"/>
  <c r="AS6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AN193" i="20" s="1"/>
  <c r="K193" i="20"/>
  <c r="J193" i="20"/>
  <c r="I193" i="20"/>
  <c r="H193" i="20"/>
  <c r="G193" i="20"/>
  <c r="F193" i="20"/>
  <c r="E193" i="20"/>
  <c r="D193" i="20"/>
  <c r="AJ192" i="20"/>
  <c r="AQ192" i="20" s="1"/>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L192" i="20"/>
  <c r="K192" i="20"/>
  <c r="J192" i="20"/>
  <c r="I192" i="20"/>
  <c r="H192" i="20"/>
  <c r="G192" i="20"/>
  <c r="F192" i="20"/>
  <c r="E192" i="20"/>
  <c r="D192" i="20"/>
  <c r="AJ191" i="20"/>
  <c r="AQ191" i="20" s="1"/>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Q190" i="20"/>
  <c r="AJ190" i="20"/>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J189" i="20"/>
  <c r="AQ189" i="20" s="1"/>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K189" i="20"/>
  <c r="J189" i="20"/>
  <c r="I189" i="20"/>
  <c r="H189" i="20"/>
  <c r="G189" i="20"/>
  <c r="F189" i="20"/>
  <c r="E189" i="20"/>
  <c r="D189" i="20"/>
  <c r="AJ188" i="20"/>
  <c r="AQ188" i="20" s="1"/>
  <c r="AS58" i="20" s="1"/>
  <c r="AI188" i="20"/>
  <c r="AH188" i="20"/>
  <c r="AG188" i="20"/>
  <c r="AF188" i="20"/>
  <c r="AE188" i="20"/>
  <c r="AD188" i="20"/>
  <c r="AC188" i="20"/>
  <c r="AB188" i="20"/>
  <c r="AA188" i="20"/>
  <c r="Z188" i="20"/>
  <c r="Y188" i="20"/>
  <c r="X188" i="20"/>
  <c r="W188" i="20"/>
  <c r="V188" i="20"/>
  <c r="U188" i="20"/>
  <c r="T188" i="20"/>
  <c r="S188" i="20"/>
  <c r="R188" i="20"/>
  <c r="Q188" i="20"/>
  <c r="P188" i="20"/>
  <c r="O188" i="20"/>
  <c r="N188" i="20"/>
  <c r="M188" i="20"/>
  <c r="L188" i="20"/>
  <c r="AN188" i="20" s="1"/>
  <c r="K188" i="20"/>
  <c r="J188" i="20"/>
  <c r="I188" i="20"/>
  <c r="H188" i="20"/>
  <c r="G188" i="20"/>
  <c r="F188" i="20"/>
  <c r="E188" i="20"/>
  <c r="D188" i="20"/>
  <c r="AQ187" i="20"/>
  <c r="AS57" i="20" s="1"/>
  <c r="AJ187" i="20"/>
  <c r="AI187" i="20"/>
  <c r="AH187" i="20"/>
  <c r="AG187" i="20"/>
  <c r="AF187" i="20"/>
  <c r="AE187" i="20"/>
  <c r="AD187" i="20"/>
  <c r="AC187" i="20"/>
  <c r="AB187" i="20"/>
  <c r="AA187" i="20"/>
  <c r="Z187" i="20"/>
  <c r="Y187" i="20"/>
  <c r="X187" i="20"/>
  <c r="W187" i="20"/>
  <c r="V187" i="20"/>
  <c r="AM187" i="20" s="1"/>
  <c r="U187" i="20"/>
  <c r="T187" i="20"/>
  <c r="S187" i="20"/>
  <c r="R187" i="20"/>
  <c r="Q187" i="20"/>
  <c r="P187" i="20"/>
  <c r="O187" i="20"/>
  <c r="N187" i="20"/>
  <c r="M187" i="20"/>
  <c r="L187" i="20"/>
  <c r="K187" i="20"/>
  <c r="J187" i="20"/>
  <c r="I187" i="20"/>
  <c r="H187" i="20"/>
  <c r="G187" i="20"/>
  <c r="F187" i="20"/>
  <c r="E187" i="20"/>
  <c r="D187" i="20"/>
  <c r="AQ186" i="20"/>
  <c r="AJ186" i="20"/>
  <c r="AI186" i="20"/>
  <c r="AH186" i="20"/>
  <c r="AG186" i="20"/>
  <c r="AF186" i="20"/>
  <c r="AE186" i="20"/>
  <c r="AD186" i="20"/>
  <c r="AC186" i="20"/>
  <c r="AB186" i="20"/>
  <c r="AA186" i="20"/>
  <c r="Z186" i="20"/>
  <c r="Y186" i="20"/>
  <c r="X186" i="20"/>
  <c r="W186" i="20"/>
  <c r="V186" i="20"/>
  <c r="U186" i="20"/>
  <c r="T186" i="20"/>
  <c r="AM186" i="20" s="1"/>
  <c r="S186" i="20"/>
  <c r="R186" i="20"/>
  <c r="Q186" i="20"/>
  <c r="P186" i="20"/>
  <c r="O186" i="20"/>
  <c r="N186" i="20"/>
  <c r="M186" i="20"/>
  <c r="L186" i="20"/>
  <c r="K186" i="20"/>
  <c r="J186" i="20"/>
  <c r="I186" i="20"/>
  <c r="H186" i="20"/>
  <c r="G186" i="20"/>
  <c r="F186" i="20"/>
  <c r="E186" i="20"/>
  <c r="D186" i="20"/>
  <c r="AJ185" i="20"/>
  <c r="AQ185" i="20" s="1"/>
  <c r="AI185" i="20"/>
  <c r="AH185" i="20"/>
  <c r="AG185" i="20"/>
  <c r="AF185" i="20"/>
  <c r="AE185" i="20"/>
  <c r="AD185" i="20"/>
  <c r="AC185" i="20"/>
  <c r="AB185" i="20"/>
  <c r="AA185" i="20"/>
  <c r="Z185" i="20"/>
  <c r="Y185" i="20"/>
  <c r="X185" i="20"/>
  <c r="W185" i="20"/>
  <c r="V185" i="20"/>
  <c r="U185" i="20"/>
  <c r="T185" i="20"/>
  <c r="S185" i="20"/>
  <c r="R185" i="20"/>
  <c r="Q185" i="20"/>
  <c r="P185" i="20"/>
  <c r="O185" i="20"/>
  <c r="N185" i="20"/>
  <c r="M185" i="20"/>
  <c r="L185" i="20"/>
  <c r="K185" i="20"/>
  <c r="J185" i="20"/>
  <c r="I185" i="20"/>
  <c r="H185" i="20"/>
  <c r="G185" i="20"/>
  <c r="F185" i="20"/>
  <c r="E185" i="20"/>
  <c r="D185" i="20"/>
  <c r="AJ184" i="20"/>
  <c r="AQ184" i="20" s="1"/>
  <c r="AI184" i="20"/>
  <c r="AH184" i="20"/>
  <c r="AG184" i="20"/>
  <c r="AF184" i="20"/>
  <c r="AE184" i="20"/>
  <c r="AD184" i="20"/>
  <c r="AC184" i="20"/>
  <c r="AB184" i="20"/>
  <c r="AA184" i="20"/>
  <c r="Z184" i="20"/>
  <c r="Y184" i="20"/>
  <c r="X184" i="20"/>
  <c r="W184" i="20"/>
  <c r="V184" i="20"/>
  <c r="U184" i="20"/>
  <c r="T184" i="20"/>
  <c r="S184" i="20"/>
  <c r="R184" i="20"/>
  <c r="Q184" i="20"/>
  <c r="P184" i="20"/>
  <c r="O184" i="20"/>
  <c r="N184" i="20"/>
  <c r="M184" i="20"/>
  <c r="L184" i="20"/>
  <c r="K184" i="20"/>
  <c r="J184" i="20"/>
  <c r="I184" i="20"/>
  <c r="H184" i="20"/>
  <c r="G184" i="20"/>
  <c r="F184" i="20"/>
  <c r="AO184" i="20" s="1"/>
  <c r="E184" i="20"/>
  <c r="D184" i="20"/>
  <c r="AQ183" i="20"/>
  <c r="AJ183" i="20"/>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J182" i="20"/>
  <c r="AQ182" i="20" s="1"/>
  <c r="AS52" i="20" s="1"/>
  <c r="AI182" i="20"/>
  <c r="AH182" i="20"/>
  <c r="AG182" i="20"/>
  <c r="AF182" i="20"/>
  <c r="AE182" i="20"/>
  <c r="AD182" i="20"/>
  <c r="AC182" i="20"/>
  <c r="AB182" i="20"/>
  <c r="AA182" i="20"/>
  <c r="Z182" i="20"/>
  <c r="Y182" i="20"/>
  <c r="X182" i="20"/>
  <c r="W182" i="20"/>
  <c r="V182" i="20"/>
  <c r="U182" i="20"/>
  <c r="T182" i="20"/>
  <c r="AM182" i="20" s="1"/>
  <c r="S182" i="20"/>
  <c r="R182" i="20"/>
  <c r="Q182" i="20"/>
  <c r="P182" i="20"/>
  <c r="O182" i="20"/>
  <c r="N182" i="20"/>
  <c r="M182" i="20"/>
  <c r="L182" i="20"/>
  <c r="K182" i="20"/>
  <c r="J182" i="20"/>
  <c r="I182" i="20"/>
  <c r="H182" i="20"/>
  <c r="G182" i="20"/>
  <c r="F182" i="20"/>
  <c r="E182" i="20"/>
  <c r="D182" i="20"/>
  <c r="AJ181" i="20"/>
  <c r="AQ181" i="20" s="1"/>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K181" i="20"/>
  <c r="J181" i="20"/>
  <c r="I181" i="20"/>
  <c r="H181" i="20"/>
  <c r="G181" i="20"/>
  <c r="F181" i="20"/>
  <c r="E181" i="20"/>
  <c r="D181" i="20"/>
  <c r="AJ180" i="20"/>
  <c r="AQ180" i="20" s="1"/>
  <c r="AI180" i="20"/>
  <c r="AH180" i="20"/>
  <c r="AG180" i="20"/>
  <c r="AF180" i="20"/>
  <c r="AE180" i="20"/>
  <c r="AD180" i="20"/>
  <c r="AC180" i="20"/>
  <c r="AB180" i="20"/>
  <c r="AA180" i="20"/>
  <c r="Z180" i="20"/>
  <c r="Y180" i="20"/>
  <c r="X180" i="20"/>
  <c r="W180" i="20"/>
  <c r="V180" i="20"/>
  <c r="U180" i="20"/>
  <c r="T180" i="20"/>
  <c r="S180" i="20"/>
  <c r="R180" i="20"/>
  <c r="Q180" i="20"/>
  <c r="P180" i="20"/>
  <c r="O180" i="20"/>
  <c r="AN180" i="20" s="1"/>
  <c r="N180" i="20"/>
  <c r="M180" i="20"/>
  <c r="L180" i="20"/>
  <c r="K180" i="20"/>
  <c r="J180" i="20"/>
  <c r="I180" i="20"/>
  <c r="H180" i="20"/>
  <c r="G180" i="20"/>
  <c r="F180" i="20"/>
  <c r="E180" i="20"/>
  <c r="D180" i="20"/>
  <c r="AQ179" i="20"/>
  <c r="AS49" i="20" s="1"/>
  <c r="AJ179" i="20"/>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K179" i="20"/>
  <c r="J179" i="20"/>
  <c r="I179" i="20"/>
  <c r="H179" i="20"/>
  <c r="G179" i="20"/>
  <c r="F179" i="20"/>
  <c r="E179" i="20"/>
  <c r="D179" i="20"/>
  <c r="AJ178" i="20"/>
  <c r="AQ178" i="20" s="1"/>
  <c r="AI178" i="20"/>
  <c r="AH178" i="20"/>
  <c r="AG178" i="20"/>
  <c r="AF178" i="20"/>
  <c r="AE178" i="20"/>
  <c r="AD178" i="20"/>
  <c r="AC178" i="20"/>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AQ176" i="20"/>
  <c r="AS47" i="20" s="1"/>
  <c r="AJ176" i="20"/>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K176" i="20"/>
  <c r="J176" i="20"/>
  <c r="I176" i="20"/>
  <c r="H176" i="20"/>
  <c r="G176" i="20"/>
  <c r="F176" i="20"/>
  <c r="E176" i="20"/>
  <c r="D176" i="20"/>
  <c r="AQ175" i="20"/>
  <c r="AJ175" i="20"/>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K175" i="20"/>
  <c r="J175" i="20"/>
  <c r="I175" i="20"/>
  <c r="H175" i="20"/>
  <c r="G175" i="20"/>
  <c r="F175" i="20"/>
  <c r="E175" i="20"/>
  <c r="D175" i="20"/>
  <c r="AJ174" i="20"/>
  <c r="AQ174" i="20" s="1"/>
  <c r="AS44" i="20" s="1"/>
  <c r="AI174" i="20"/>
  <c r="AH174" i="20"/>
  <c r="AG174" i="20"/>
  <c r="AF174" i="20"/>
  <c r="AE174" i="20"/>
  <c r="AD174" i="20"/>
  <c r="AC174" i="20"/>
  <c r="AB174" i="20"/>
  <c r="AA174" i="20"/>
  <c r="Z174" i="20"/>
  <c r="Y174" i="20"/>
  <c r="X174" i="20"/>
  <c r="W174" i="20"/>
  <c r="V174" i="20"/>
  <c r="U174" i="20"/>
  <c r="T174" i="20"/>
  <c r="AM174" i="20" s="1"/>
  <c r="S174" i="20"/>
  <c r="R174" i="20"/>
  <c r="Q174" i="20"/>
  <c r="P174" i="20"/>
  <c r="O174" i="20"/>
  <c r="N174" i="20"/>
  <c r="M174" i="20"/>
  <c r="L174" i="20"/>
  <c r="K174" i="20"/>
  <c r="J174" i="20"/>
  <c r="I174" i="20"/>
  <c r="H174" i="20"/>
  <c r="G174" i="20"/>
  <c r="F174" i="20"/>
  <c r="E174" i="20"/>
  <c r="D174" i="20"/>
  <c r="AJ173" i="20"/>
  <c r="AQ173" i="20" s="1"/>
  <c r="AI173" i="20"/>
  <c r="AH173" i="20"/>
  <c r="AG173" i="20"/>
  <c r="AF173" i="20"/>
  <c r="AE173" i="20"/>
  <c r="AD173" i="20"/>
  <c r="AC173" i="20"/>
  <c r="AB173" i="20"/>
  <c r="AA173" i="20"/>
  <c r="Z173" i="20"/>
  <c r="Y173" i="20"/>
  <c r="X173" i="20"/>
  <c r="W173" i="20"/>
  <c r="V173" i="20"/>
  <c r="U173" i="20"/>
  <c r="T173" i="20"/>
  <c r="S173" i="20"/>
  <c r="R173" i="20"/>
  <c r="Q173" i="20"/>
  <c r="P173" i="20"/>
  <c r="O173" i="20"/>
  <c r="N173" i="20"/>
  <c r="M173" i="20"/>
  <c r="L173" i="20"/>
  <c r="K173" i="20"/>
  <c r="J173" i="20"/>
  <c r="I173" i="20"/>
  <c r="H173" i="20"/>
  <c r="G173" i="20"/>
  <c r="F173" i="20"/>
  <c r="E173" i="20"/>
  <c r="D173" i="20"/>
  <c r="AJ172" i="20"/>
  <c r="AQ172" i="20" s="1"/>
  <c r="AI172" i="20"/>
  <c r="AH172" i="20"/>
  <c r="AG172" i="20"/>
  <c r="AF172" i="20"/>
  <c r="AE172" i="20"/>
  <c r="AD172" i="20"/>
  <c r="AC172" i="20"/>
  <c r="AB172" i="20"/>
  <c r="AA172" i="20"/>
  <c r="Z172" i="20"/>
  <c r="Y172" i="20"/>
  <c r="X172" i="20"/>
  <c r="W172" i="20"/>
  <c r="V172" i="20"/>
  <c r="U172" i="20"/>
  <c r="T172" i="20"/>
  <c r="S172" i="20"/>
  <c r="R172" i="20"/>
  <c r="Q172" i="20"/>
  <c r="P172" i="20"/>
  <c r="O172" i="20"/>
  <c r="N172" i="20"/>
  <c r="M172" i="20"/>
  <c r="L172" i="20"/>
  <c r="K172" i="20"/>
  <c r="J172" i="20"/>
  <c r="I172" i="20"/>
  <c r="H172" i="20"/>
  <c r="G172" i="20"/>
  <c r="F172" i="20"/>
  <c r="E172" i="20"/>
  <c r="D172" i="20"/>
  <c r="AQ171" i="20"/>
  <c r="AJ171" i="20"/>
  <c r="AI171" i="20"/>
  <c r="AH171" i="20"/>
  <c r="AG171" i="20"/>
  <c r="AF171" i="20"/>
  <c r="AE171" i="20"/>
  <c r="AD171" i="20"/>
  <c r="AC171" i="20"/>
  <c r="AB171" i="20"/>
  <c r="AA171" i="20"/>
  <c r="Z171" i="20"/>
  <c r="Y171" i="20"/>
  <c r="AM171" i="20" s="1"/>
  <c r="X171" i="20"/>
  <c r="W171" i="20"/>
  <c r="V171" i="20"/>
  <c r="U171" i="20"/>
  <c r="T171" i="20"/>
  <c r="S171" i="20"/>
  <c r="R171" i="20"/>
  <c r="Q171" i="20"/>
  <c r="P171" i="20"/>
  <c r="O171" i="20"/>
  <c r="N171" i="20"/>
  <c r="M171" i="20"/>
  <c r="L171" i="20"/>
  <c r="K171" i="20"/>
  <c r="J171" i="20"/>
  <c r="I171" i="20"/>
  <c r="H171" i="20"/>
  <c r="G171" i="20"/>
  <c r="F171" i="20"/>
  <c r="E171" i="20"/>
  <c r="D171" i="20"/>
  <c r="AJ170" i="20"/>
  <c r="AQ170" i="20" s="1"/>
  <c r="AI170" i="20"/>
  <c r="AH170" i="20"/>
  <c r="AG170" i="20"/>
  <c r="AF170" i="20"/>
  <c r="AE170" i="20"/>
  <c r="AD170" i="20"/>
  <c r="AC170" i="20"/>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Q169" i="20" s="1"/>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Q168" i="20"/>
  <c r="AS39" i="20" s="1"/>
  <c r="AJ168" i="20"/>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J167" i="20"/>
  <c r="AQ167" i="20" s="1"/>
  <c r="AI167" i="20"/>
  <c r="AH167" i="20"/>
  <c r="AG167" i="20"/>
  <c r="AF167" i="20"/>
  <c r="AE167" i="20"/>
  <c r="AD167" i="20"/>
  <c r="AC167" i="20"/>
  <c r="AL167" i="20" s="1"/>
  <c r="AB167" i="20"/>
  <c r="AA167" i="20"/>
  <c r="Z167" i="20"/>
  <c r="Y167" i="20"/>
  <c r="X167" i="20"/>
  <c r="W167" i="20"/>
  <c r="V167" i="20"/>
  <c r="U167" i="20"/>
  <c r="T167" i="20"/>
  <c r="S167" i="20"/>
  <c r="R167" i="20"/>
  <c r="Q167" i="20"/>
  <c r="P167" i="20"/>
  <c r="O167" i="20"/>
  <c r="N167" i="20"/>
  <c r="M167" i="20"/>
  <c r="L167" i="20"/>
  <c r="K167" i="20"/>
  <c r="J167" i="20"/>
  <c r="I167" i="20"/>
  <c r="H167" i="20"/>
  <c r="G167" i="20"/>
  <c r="F167" i="20"/>
  <c r="E167" i="20"/>
  <c r="AO167" i="20" s="1"/>
  <c r="D167" i="20"/>
  <c r="AQ166" i="20"/>
  <c r="AJ166" i="20"/>
  <c r="AI166" i="20"/>
  <c r="AH166" i="20"/>
  <c r="AG166" i="20"/>
  <c r="AF166" i="20"/>
  <c r="AE166" i="20"/>
  <c r="AD166" i="20"/>
  <c r="AC166" i="20"/>
  <c r="AB166" i="20"/>
  <c r="AL166" i="20" s="1"/>
  <c r="AA166" i="20"/>
  <c r="Z166" i="20"/>
  <c r="Y166" i="20"/>
  <c r="X166" i="20"/>
  <c r="W166" i="20"/>
  <c r="V166" i="20"/>
  <c r="U166" i="20"/>
  <c r="T166" i="20"/>
  <c r="S166" i="20"/>
  <c r="R166" i="20"/>
  <c r="Q166" i="20"/>
  <c r="P166" i="20"/>
  <c r="O166" i="20"/>
  <c r="N166" i="20"/>
  <c r="M166" i="20"/>
  <c r="L166" i="20"/>
  <c r="K166" i="20"/>
  <c r="J166" i="20"/>
  <c r="I166" i="20"/>
  <c r="H166" i="20"/>
  <c r="G166" i="20"/>
  <c r="F166" i="20"/>
  <c r="E166" i="20"/>
  <c r="D166" i="20"/>
  <c r="AO166" i="20" s="1"/>
  <c r="AJ165" i="20"/>
  <c r="AQ165" i="20" s="1"/>
  <c r="AS36" i="20" s="1"/>
  <c r="AI165" i="20"/>
  <c r="AH165" i="20"/>
  <c r="AG165" i="20"/>
  <c r="AF165" i="20"/>
  <c r="AE165" i="20"/>
  <c r="AD165" i="20"/>
  <c r="AC165" i="20"/>
  <c r="AB165" i="20"/>
  <c r="AA165" i="20"/>
  <c r="Z165" i="20"/>
  <c r="Y165" i="20"/>
  <c r="X165" i="20"/>
  <c r="W165" i="20"/>
  <c r="V165" i="20"/>
  <c r="U165" i="20"/>
  <c r="T165" i="20"/>
  <c r="S165" i="20"/>
  <c r="R165" i="20"/>
  <c r="Q165" i="20"/>
  <c r="P165" i="20"/>
  <c r="O165" i="20"/>
  <c r="N165" i="20"/>
  <c r="M165" i="20"/>
  <c r="L165" i="20"/>
  <c r="K165" i="20"/>
  <c r="J165" i="20"/>
  <c r="I165" i="20"/>
  <c r="H165" i="20"/>
  <c r="G165" i="20"/>
  <c r="F165" i="20"/>
  <c r="E165" i="20"/>
  <c r="D165" i="20"/>
  <c r="AJ164" i="20"/>
  <c r="AQ164" i="20" s="1"/>
  <c r="AI164" i="20"/>
  <c r="AH164" i="20"/>
  <c r="AG164" i="20"/>
  <c r="AF164" i="20"/>
  <c r="AE164" i="20"/>
  <c r="AD164" i="20"/>
  <c r="AC164" i="20"/>
  <c r="AB164" i="20"/>
  <c r="AA164" i="20"/>
  <c r="Z164" i="20"/>
  <c r="Y164" i="20"/>
  <c r="X164" i="20"/>
  <c r="W164" i="20"/>
  <c r="V164" i="20"/>
  <c r="U164" i="20"/>
  <c r="T164" i="20"/>
  <c r="S164" i="20"/>
  <c r="R164" i="20"/>
  <c r="Q164" i="20"/>
  <c r="P164" i="20"/>
  <c r="O164" i="20"/>
  <c r="N164" i="20"/>
  <c r="M164" i="20"/>
  <c r="L164" i="20"/>
  <c r="K164" i="20"/>
  <c r="J164" i="20"/>
  <c r="I164" i="20"/>
  <c r="H164" i="20"/>
  <c r="G164" i="20"/>
  <c r="F164" i="20"/>
  <c r="E164" i="20"/>
  <c r="D164" i="20"/>
  <c r="AJ163" i="20"/>
  <c r="AQ163" i="20" s="1"/>
  <c r="AI163" i="20"/>
  <c r="AH163" i="20"/>
  <c r="AG163" i="20"/>
  <c r="AF163" i="20"/>
  <c r="AE163" i="20"/>
  <c r="AD163" i="20"/>
  <c r="AC163" i="20"/>
  <c r="AB163" i="20"/>
  <c r="AA163" i="20"/>
  <c r="Z163" i="20"/>
  <c r="Y163" i="20"/>
  <c r="X163" i="20"/>
  <c r="W163" i="20"/>
  <c r="V163" i="20"/>
  <c r="U163" i="20"/>
  <c r="T163" i="20"/>
  <c r="S163" i="20"/>
  <c r="R163" i="20"/>
  <c r="Q163" i="20"/>
  <c r="P163" i="20"/>
  <c r="O163" i="20"/>
  <c r="N163" i="20"/>
  <c r="M163" i="20"/>
  <c r="L163" i="20"/>
  <c r="K163" i="20"/>
  <c r="J163" i="20"/>
  <c r="I163" i="20"/>
  <c r="H163" i="20"/>
  <c r="G163" i="20"/>
  <c r="F163" i="20"/>
  <c r="E163" i="20"/>
  <c r="D163" i="20"/>
  <c r="AQ162" i="20"/>
  <c r="AS32" i="20" s="1"/>
  <c r="AJ162" i="20"/>
  <c r="AI162" i="20"/>
  <c r="AH162" i="20"/>
  <c r="AG162" i="20"/>
  <c r="AF162" i="20"/>
  <c r="AE162" i="20"/>
  <c r="AD162" i="20"/>
  <c r="AC162" i="20"/>
  <c r="AB162" i="20"/>
  <c r="AA162" i="20"/>
  <c r="Z162" i="20"/>
  <c r="Y162" i="20"/>
  <c r="X162" i="20"/>
  <c r="W162" i="20"/>
  <c r="V162" i="20"/>
  <c r="U162" i="20"/>
  <c r="T162" i="20"/>
  <c r="S162" i="20"/>
  <c r="R162" i="20"/>
  <c r="Q162" i="20"/>
  <c r="P162" i="20"/>
  <c r="O162" i="20"/>
  <c r="N162" i="20"/>
  <c r="M162" i="20"/>
  <c r="L162" i="20"/>
  <c r="K162" i="20"/>
  <c r="J162" i="20"/>
  <c r="I162" i="20"/>
  <c r="H162" i="20"/>
  <c r="G162" i="20"/>
  <c r="F162" i="20"/>
  <c r="E162" i="20"/>
  <c r="D162" i="20"/>
  <c r="AJ161" i="20"/>
  <c r="AQ161" i="20" s="1"/>
  <c r="AI161" i="20"/>
  <c r="AH161" i="20"/>
  <c r="AG161" i="20"/>
  <c r="AF161" i="20"/>
  <c r="AE161" i="20"/>
  <c r="AD161" i="20"/>
  <c r="AC161" i="20"/>
  <c r="AB161" i="20"/>
  <c r="AA161" i="20"/>
  <c r="Z161" i="20"/>
  <c r="Y161" i="20"/>
  <c r="X161" i="20"/>
  <c r="W161" i="20"/>
  <c r="V161" i="20"/>
  <c r="U161" i="20"/>
  <c r="T161" i="20"/>
  <c r="S161" i="20"/>
  <c r="R161" i="20"/>
  <c r="Q161" i="20"/>
  <c r="P161" i="20"/>
  <c r="O161" i="20"/>
  <c r="N161" i="20"/>
  <c r="M161" i="20"/>
  <c r="L161" i="20"/>
  <c r="K161" i="20"/>
  <c r="J161" i="20"/>
  <c r="I161" i="20"/>
  <c r="H161" i="20"/>
  <c r="G161" i="20"/>
  <c r="F161" i="20"/>
  <c r="E161" i="20"/>
  <c r="D161" i="20"/>
  <c r="AJ160" i="20"/>
  <c r="AQ160" i="20" s="1"/>
  <c r="AI160" i="20"/>
  <c r="AH160" i="20"/>
  <c r="AG160" i="20"/>
  <c r="AF160" i="20"/>
  <c r="AE160" i="20"/>
  <c r="AD160" i="20"/>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J159" i="20"/>
  <c r="AQ159" i="20" s="1"/>
  <c r="AI159" i="20"/>
  <c r="AH159" i="20"/>
  <c r="AG159" i="20"/>
  <c r="AF159" i="20"/>
  <c r="AE159" i="20"/>
  <c r="AD159" i="20"/>
  <c r="AC159" i="20"/>
  <c r="AB159" i="20"/>
  <c r="AA159" i="20"/>
  <c r="Z159" i="20"/>
  <c r="Y159" i="20"/>
  <c r="X159" i="20"/>
  <c r="W159" i="20"/>
  <c r="V159" i="20"/>
  <c r="U159" i="20"/>
  <c r="AM159" i="20" s="1"/>
  <c r="T159" i="20"/>
  <c r="S159" i="20"/>
  <c r="R159" i="20"/>
  <c r="Q159" i="20"/>
  <c r="P159" i="20"/>
  <c r="O159" i="20"/>
  <c r="N159" i="20"/>
  <c r="M159" i="20"/>
  <c r="L159" i="20"/>
  <c r="K159" i="20"/>
  <c r="J159" i="20"/>
  <c r="I159" i="20"/>
  <c r="H159" i="20"/>
  <c r="G159" i="20"/>
  <c r="F159" i="20"/>
  <c r="E159" i="20"/>
  <c r="D159" i="20"/>
  <c r="AJ158" i="20"/>
  <c r="AQ158" i="20" s="1"/>
  <c r="AS28" i="20" s="1"/>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H158" i="20"/>
  <c r="G158" i="20"/>
  <c r="F158" i="20"/>
  <c r="E158" i="20"/>
  <c r="D158" i="20"/>
  <c r="AJ157" i="20"/>
  <c r="AQ157" i="20" s="1"/>
  <c r="AS27" i="20" s="1"/>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K157" i="20"/>
  <c r="J157" i="20"/>
  <c r="I157" i="20"/>
  <c r="H157" i="20"/>
  <c r="G157" i="20"/>
  <c r="F157" i="20"/>
  <c r="E157" i="20"/>
  <c r="D157" i="20"/>
  <c r="AJ156" i="20"/>
  <c r="AQ156" i="20" s="1"/>
  <c r="AI156" i="20"/>
  <c r="AH156" i="20"/>
  <c r="AG156" i="20"/>
  <c r="AF156" i="20"/>
  <c r="AE156" i="20"/>
  <c r="AD156" i="20"/>
  <c r="AC156" i="20"/>
  <c r="AB156" i="20"/>
  <c r="AA156" i="20"/>
  <c r="Z156" i="20"/>
  <c r="Y156" i="20"/>
  <c r="X156" i="20"/>
  <c r="W156" i="20"/>
  <c r="V156" i="20"/>
  <c r="U156" i="20"/>
  <c r="T156" i="20"/>
  <c r="S156" i="20"/>
  <c r="R156" i="20"/>
  <c r="Q156" i="20"/>
  <c r="P156" i="20"/>
  <c r="O156" i="20"/>
  <c r="N156" i="20"/>
  <c r="M156" i="20"/>
  <c r="L156" i="20"/>
  <c r="K156" i="20"/>
  <c r="J156" i="20"/>
  <c r="I156" i="20"/>
  <c r="H156" i="20"/>
  <c r="G156" i="20"/>
  <c r="F156" i="20"/>
  <c r="E156" i="20"/>
  <c r="D156" i="20"/>
  <c r="AJ155" i="20"/>
  <c r="AQ155" i="20" s="1"/>
  <c r="AI155" i="20"/>
  <c r="AH155" i="20"/>
  <c r="AG155" i="20"/>
  <c r="AF155" i="20"/>
  <c r="AE155" i="20"/>
  <c r="AD155" i="20"/>
  <c r="AC155" i="20"/>
  <c r="AB155" i="20"/>
  <c r="AA155" i="20"/>
  <c r="Z155" i="20"/>
  <c r="Y155" i="20"/>
  <c r="X155" i="20"/>
  <c r="W155" i="20"/>
  <c r="V155" i="20"/>
  <c r="U155" i="20"/>
  <c r="T155" i="20"/>
  <c r="S155" i="20"/>
  <c r="R155" i="20"/>
  <c r="Q155" i="20"/>
  <c r="P155" i="20"/>
  <c r="O155" i="20"/>
  <c r="N155" i="20"/>
  <c r="M155" i="20"/>
  <c r="L155" i="20"/>
  <c r="K155" i="20"/>
  <c r="J155" i="20"/>
  <c r="I155" i="20"/>
  <c r="H155" i="20"/>
  <c r="G155" i="20"/>
  <c r="F155" i="20"/>
  <c r="E155" i="20"/>
  <c r="D155" i="20"/>
  <c r="AJ154" i="20"/>
  <c r="AQ154" i="20" s="1"/>
  <c r="AS24" i="20" s="1"/>
  <c r="AI154" i="20"/>
  <c r="AH154" i="20"/>
  <c r="AG154" i="20"/>
  <c r="AF154" i="20"/>
  <c r="AE154" i="20"/>
  <c r="AD154" i="20"/>
  <c r="AC154" i="20"/>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Q153" i="20" s="1"/>
  <c r="AI153" i="20"/>
  <c r="AH153" i="20"/>
  <c r="AG153" i="20"/>
  <c r="AF153" i="20"/>
  <c r="AE153" i="20"/>
  <c r="AD153" i="20"/>
  <c r="AC153" i="20"/>
  <c r="AB153" i="20"/>
  <c r="AL153" i="20" s="1"/>
  <c r="AA153" i="20"/>
  <c r="Z153" i="20"/>
  <c r="Y153" i="20"/>
  <c r="X153" i="20"/>
  <c r="W153" i="20"/>
  <c r="V153" i="20"/>
  <c r="U153" i="20"/>
  <c r="T153" i="20"/>
  <c r="S153" i="20"/>
  <c r="R153" i="20"/>
  <c r="Q153" i="20"/>
  <c r="P153" i="20"/>
  <c r="O153" i="20"/>
  <c r="N153" i="20"/>
  <c r="M153" i="20"/>
  <c r="L153" i="20"/>
  <c r="K153" i="20"/>
  <c r="J153" i="20"/>
  <c r="I153" i="20"/>
  <c r="H153" i="20"/>
  <c r="G153" i="20"/>
  <c r="F153" i="20"/>
  <c r="E153" i="20"/>
  <c r="D153" i="20"/>
  <c r="AO153" i="20" s="1"/>
  <c r="AQ152" i="20"/>
  <c r="AJ152" i="20"/>
  <c r="AI152" i="20"/>
  <c r="AH152" i="20"/>
  <c r="AG152" i="20"/>
  <c r="AF152" i="20"/>
  <c r="AE152" i="20"/>
  <c r="AD152" i="20"/>
  <c r="AC152" i="20"/>
  <c r="AB152" i="20"/>
  <c r="AA152" i="20"/>
  <c r="Z152" i="20"/>
  <c r="Y152" i="20"/>
  <c r="X152" i="20"/>
  <c r="W152" i="20"/>
  <c r="V152" i="20"/>
  <c r="U152" i="20"/>
  <c r="T152" i="20"/>
  <c r="S152" i="20"/>
  <c r="R152" i="20"/>
  <c r="Q152" i="20"/>
  <c r="P152" i="20"/>
  <c r="O152" i="20"/>
  <c r="N152" i="20"/>
  <c r="AN152" i="20" s="1"/>
  <c r="M152" i="20"/>
  <c r="L152" i="20"/>
  <c r="K152" i="20"/>
  <c r="J152" i="20"/>
  <c r="I152" i="20"/>
  <c r="H152" i="20"/>
  <c r="G152" i="20"/>
  <c r="F152" i="20"/>
  <c r="E152" i="20"/>
  <c r="D152" i="20"/>
  <c r="AJ151" i="20"/>
  <c r="AQ151" i="20" s="1"/>
  <c r="AS22" i="20" s="1"/>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K151" i="20"/>
  <c r="J151" i="20"/>
  <c r="I151" i="20"/>
  <c r="H151" i="20"/>
  <c r="G151" i="20"/>
  <c r="F151" i="20"/>
  <c r="E151" i="20"/>
  <c r="D151" i="20"/>
  <c r="AQ150"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G150" i="20"/>
  <c r="F150" i="20"/>
  <c r="E150" i="20"/>
  <c r="D150" i="20"/>
  <c r="AJ149" i="20"/>
  <c r="AQ149" i="20" s="1"/>
  <c r="AI149" i="20"/>
  <c r="AH149" i="20"/>
  <c r="AG149" i="20"/>
  <c r="AF149" i="20"/>
  <c r="AE149" i="20"/>
  <c r="AD149" i="20"/>
  <c r="AC149" i="20"/>
  <c r="AB149" i="20"/>
  <c r="AA149" i="20"/>
  <c r="Z149" i="20"/>
  <c r="Y149" i="20"/>
  <c r="X149" i="20"/>
  <c r="W149" i="20"/>
  <c r="V149" i="20"/>
  <c r="U149" i="20"/>
  <c r="T149" i="20"/>
  <c r="AM149" i="20" s="1"/>
  <c r="S149" i="20"/>
  <c r="R149" i="20"/>
  <c r="Q149" i="20"/>
  <c r="P149" i="20"/>
  <c r="O149" i="20"/>
  <c r="N149" i="20"/>
  <c r="M149" i="20"/>
  <c r="L149" i="20"/>
  <c r="AN149" i="20" s="1"/>
  <c r="K149" i="20"/>
  <c r="J149" i="20"/>
  <c r="I149" i="20"/>
  <c r="H149" i="20"/>
  <c r="G149" i="20"/>
  <c r="AO149" i="20" s="1"/>
  <c r="F149" i="20"/>
  <c r="E149" i="20"/>
  <c r="D149" i="20"/>
  <c r="AJ148" i="20"/>
  <c r="AQ148" i="20" s="1"/>
  <c r="AI148" i="20"/>
  <c r="AH148" i="20"/>
  <c r="AG148" i="20"/>
  <c r="AF148" i="20"/>
  <c r="AE148" i="20"/>
  <c r="AD148" i="20"/>
  <c r="AC148" i="20"/>
  <c r="AB148" i="20"/>
  <c r="AA148" i="20"/>
  <c r="Z148" i="20"/>
  <c r="Y148" i="20"/>
  <c r="X148" i="20"/>
  <c r="W148" i="20"/>
  <c r="V148" i="20"/>
  <c r="U148" i="20"/>
  <c r="T148" i="20"/>
  <c r="S148" i="20"/>
  <c r="R148" i="20"/>
  <c r="Q148" i="20"/>
  <c r="P148" i="20"/>
  <c r="O148" i="20"/>
  <c r="N148" i="20"/>
  <c r="M148" i="20"/>
  <c r="L148" i="20"/>
  <c r="K148" i="20"/>
  <c r="J148" i="20"/>
  <c r="I148" i="20"/>
  <c r="H148" i="20"/>
  <c r="G148" i="20"/>
  <c r="F148" i="20"/>
  <c r="E148" i="20"/>
  <c r="D148" i="20"/>
  <c r="AJ147" i="20"/>
  <c r="AQ147" i="20" s="1"/>
  <c r="AI147" i="20"/>
  <c r="AH147" i="20"/>
  <c r="AG147" i="20"/>
  <c r="AF147" i="20"/>
  <c r="AE147" i="20"/>
  <c r="AD147" i="20"/>
  <c r="AC147" i="20"/>
  <c r="AB147" i="20"/>
  <c r="AA147" i="20"/>
  <c r="Z147" i="20"/>
  <c r="Y147" i="20"/>
  <c r="X147" i="20"/>
  <c r="W147" i="20"/>
  <c r="V147" i="20"/>
  <c r="AM147" i="20" s="1"/>
  <c r="U147" i="20"/>
  <c r="T147" i="20"/>
  <c r="S147" i="20"/>
  <c r="R147" i="20"/>
  <c r="Q147" i="20"/>
  <c r="P147" i="20"/>
  <c r="O147" i="20"/>
  <c r="N147" i="20"/>
  <c r="M147" i="20"/>
  <c r="L147" i="20"/>
  <c r="K147" i="20"/>
  <c r="J147" i="20"/>
  <c r="I147" i="20"/>
  <c r="H147" i="20"/>
  <c r="G147" i="20"/>
  <c r="F147" i="20"/>
  <c r="E147" i="20"/>
  <c r="D147" i="20"/>
  <c r="AQ146" i="20"/>
  <c r="AJ146" i="20"/>
  <c r="AI146" i="20"/>
  <c r="AH146" i="20"/>
  <c r="AG146" i="20"/>
  <c r="AF146" i="20"/>
  <c r="AE146" i="20"/>
  <c r="AD146" i="20"/>
  <c r="AC146" i="20"/>
  <c r="AB146" i="20"/>
  <c r="AA146" i="20"/>
  <c r="Z146" i="20"/>
  <c r="Y146" i="20"/>
  <c r="X146" i="20"/>
  <c r="W146" i="20"/>
  <c r="V146" i="20"/>
  <c r="U146" i="20"/>
  <c r="T146" i="20"/>
  <c r="S146" i="20"/>
  <c r="R146" i="20"/>
  <c r="Q146" i="20"/>
  <c r="P146" i="20"/>
  <c r="O146" i="20"/>
  <c r="N146" i="20"/>
  <c r="M146" i="20"/>
  <c r="L146" i="20"/>
  <c r="K146" i="20"/>
  <c r="J146" i="20"/>
  <c r="I146" i="20"/>
  <c r="H146" i="20"/>
  <c r="G146" i="20"/>
  <c r="F146" i="20"/>
  <c r="E146" i="20"/>
  <c r="D146" i="20"/>
  <c r="AJ145" i="20"/>
  <c r="AQ145" i="20" s="1"/>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K145" i="20"/>
  <c r="J145" i="20"/>
  <c r="I145" i="20"/>
  <c r="H145" i="20"/>
  <c r="G145" i="20"/>
  <c r="F145" i="20"/>
  <c r="E145" i="20"/>
  <c r="D145" i="20"/>
  <c r="AJ144" i="20"/>
  <c r="AQ144" i="20" s="1"/>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K144" i="20"/>
  <c r="J144" i="20"/>
  <c r="I144" i="20"/>
  <c r="H144" i="20"/>
  <c r="G144" i="20"/>
  <c r="F144" i="20"/>
  <c r="E144" i="20"/>
  <c r="D144" i="20"/>
  <c r="AQ143" i="20"/>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Q142" i="20"/>
  <c r="AS12" i="20" s="1"/>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Q141" i="20" s="1"/>
  <c r="AI141" i="20"/>
  <c r="AH141" i="20"/>
  <c r="AG141" i="20"/>
  <c r="AF141" i="20"/>
  <c r="AE141" i="20"/>
  <c r="AD141" i="20"/>
  <c r="AC141" i="20"/>
  <c r="AB141" i="20"/>
  <c r="AA141" i="20"/>
  <c r="Z141" i="20"/>
  <c r="Y141" i="20"/>
  <c r="X141" i="20"/>
  <c r="W141" i="20"/>
  <c r="V141" i="20"/>
  <c r="U141" i="20"/>
  <c r="T141" i="20"/>
  <c r="S141" i="20"/>
  <c r="R141" i="20"/>
  <c r="Q141" i="20"/>
  <c r="P141" i="20"/>
  <c r="O141" i="20"/>
  <c r="N141" i="20"/>
  <c r="M141" i="20"/>
  <c r="L141" i="20"/>
  <c r="K141" i="20"/>
  <c r="J141" i="20"/>
  <c r="I141" i="20"/>
  <c r="H141" i="20"/>
  <c r="AO141" i="20" s="1"/>
  <c r="G141" i="20"/>
  <c r="F141" i="20"/>
  <c r="E141" i="20"/>
  <c r="D141" i="20"/>
  <c r="AJ140" i="20"/>
  <c r="AQ140" i="20" s="1"/>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T139" i="20"/>
  <c r="AM139" i="20" s="1"/>
  <c r="S139" i="20"/>
  <c r="R139" i="20"/>
  <c r="Q139" i="20"/>
  <c r="P139" i="20"/>
  <c r="O139" i="20"/>
  <c r="N139" i="20"/>
  <c r="M139" i="20"/>
  <c r="L139" i="20"/>
  <c r="K139" i="20"/>
  <c r="J139" i="20"/>
  <c r="I139" i="20"/>
  <c r="H139" i="20"/>
  <c r="G139" i="20"/>
  <c r="F139" i="20"/>
  <c r="E139" i="20"/>
  <c r="D139" i="20"/>
  <c r="AJ138" i="20"/>
  <c r="AI138" i="20"/>
  <c r="AH138" i="20"/>
  <c r="AG138" i="20"/>
  <c r="AF138" i="20"/>
  <c r="AE138" i="20"/>
  <c r="AD138" i="20"/>
  <c r="AC138" i="20"/>
  <c r="AB138" i="20"/>
  <c r="AA138" i="20"/>
  <c r="Z138" i="20"/>
  <c r="Y138" i="20"/>
  <c r="X138" i="20"/>
  <c r="W138" i="20"/>
  <c r="V138" i="20"/>
  <c r="U138" i="20"/>
  <c r="T138" i="20"/>
  <c r="S138" i="20"/>
  <c r="R138" i="20"/>
  <c r="Q138" i="20"/>
  <c r="P138" i="20"/>
  <c r="O138" i="20"/>
  <c r="N138" i="20"/>
  <c r="M138" i="20"/>
  <c r="L138" i="20"/>
  <c r="K138" i="20"/>
  <c r="J138" i="20"/>
  <c r="I138" i="20"/>
  <c r="H138" i="20"/>
  <c r="G138" i="20"/>
  <c r="F138" i="20"/>
  <c r="E138" i="20"/>
  <c r="D138" i="20"/>
  <c r="AJ137" i="20"/>
  <c r="AI137" i="20"/>
  <c r="AH137" i="20"/>
  <c r="AG137" i="20"/>
  <c r="AF137" i="20"/>
  <c r="AE137" i="20"/>
  <c r="AD137" i="20"/>
  <c r="AC137" i="20"/>
  <c r="AB137" i="20"/>
  <c r="AA137" i="20"/>
  <c r="Z137" i="20"/>
  <c r="Y137" i="20"/>
  <c r="X137" i="20"/>
  <c r="W137" i="20"/>
  <c r="V137" i="20"/>
  <c r="U137" i="20"/>
  <c r="T137" i="20"/>
  <c r="S137" i="20"/>
  <c r="R137" i="20"/>
  <c r="Q137" i="20"/>
  <c r="P137" i="20"/>
  <c r="O137" i="20"/>
  <c r="N137" i="20"/>
  <c r="M137" i="20"/>
  <c r="L137" i="20"/>
  <c r="K137" i="20"/>
  <c r="J137" i="20"/>
  <c r="I137" i="20"/>
  <c r="H137" i="20"/>
  <c r="G137" i="20"/>
  <c r="F137" i="20"/>
  <c r="E137" i="20"/>
  <c r="D137" i="20"/>
  <c r="AJ136" i="20"/>
  <c r="AI136" i="20"/>
  <c r="AH136" i="20"/>
  <c r="AG136" i="20"/>
  <c r="AF136" i="20"/>
  <c r="AE136" i="20"/>
  <c r="AD136" i="20"/>
  <c r="AC136" i="20"/>
  <c r="AB136" i="20"/>
  <c r="AA136" i="20"/>
  <c r="Z136" i="20"/>
  <c r="Y136" i="20"/>
  <c r="X136" i="20"/>
  <c r="W136" i="20"/>
  <c r="V136" i="20"/>
  <c r="U136" i="20"/>
  <c r="T136" i="20"/>
  <c r="S136" i="20"/>
  <c r="R136" i="20"/>
  <c r="Q136" i="20"/>
  <c r="P136" i="20"/>
  <c r="O136" i="20"/>
  <c r="N136" i="20"/>
  <c r="M136" i="20"/>
  <c r="L136" i="20"/>
  <c r="K136" i="20"/>
  <c r="J136" i="20"/>
  <c r="I136" i="20"/>
  <c r="H136" i="20"/>
  <c r="G136" i="20"/>
  <c r="F136" i="20"/>
  <c r="AO136" i="20" s="1"/>
  <c r="E136" i="20"/>
  <c r="D136" i="20"/>
  <c r="AQ134" i="20"/>
  <c r="AR69" i="20" s="1"/>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AJ133" i="20"/>
  <c r="AQ133" i="20" s="1"/>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J132" i="20"/>
  <c r="AQ132" i="20" s="1"/>
  <c r="AI132" i="20"/>
  <c r="AH132" i="20"/>
  <c r="AG132" i="20"/>
  <c r="AF132" i="20"/>
  <c r="AE132" i="20"/>
  <c r="AD132" i="20"/>
  <c r="AC132" i="20"/>
  <c r="AB132" i="20"/>
  <c r="AA132" i="20"/>
  <c r="Z132" i="20"/>
  <c r="Y132" i="20"/>
  <c r="X132" i="20"/>
  <c r="W132" i="20"/>
  <c r="V132" i="20"/>
  <c r="U132" i="20"/>
  <c r="T132" i="20"/>
  <c r="S132" i="20"/>
  <c r="R132" i="20"/>
  <c r="Q132" i="20"/>
  <c r="P132" i="20"/>
  <c r="O132" i="20"/>
  <c r="N132" i="20"/>
  <c r="M132" i="20"/>
  <c r="L132" i="20"/>
  <c r="AN132" i="20" s="1"/>
  <c r="K132" i="20"/>
  <c r="J132" i="20"/>
  <c r="I132" i="20"/>
  <c r="H132" i="20"/>
  <c r="G132" i="20"/>
  <c r="F132" i="20"/>
  <c r="E132" i="20"/>
  <c r="D132" i="20"/>
  <c r="AJ131" i="20"/>
  <c r="AQ131" i="20" s="1"/>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AO131" i="20" s="1"/>
  <c r="G131" i="20"/>
  <c r="F131" i="20"/>
  <c r="E131" i="20"/>
  <c r="D131" i="20"/>
  <c r="AJ130" i="20"/>
  <c r="AQ130" i="20" s="1"/>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AN130" i="20" s="1"/>
  <c r="K130" i="20"/>
  <c r="J130" i="20"/>
  <c r="I130" i="20"/>
  <c r="H130" i="20"/>
  <c r="G130" i="20"/>
  <c r="F130" i="20"/>
  <c r="E130" i="20"/>
  <c r="D130" i="20"/>
  <c r="AQ129" i="20"/>
  <c r="AJ129" i="20"/>
  <c r="AI129" i="20"/>
  <c r="AH129" i="20"/>
  <c r="AG129" i="20"/>
  <c r="AF129" i="20"/>
  <c r="AE129" i="20"/>
  <c r="AD129" i="20"/>
  <c r="AC129" i="20"/>
  <c r="AB129" i="20"/>
  <c r="AA129" i="20"/>
  <c r="Z129" i="20"/>
  <c r="Y129" i="20"/>
  <c r="X129" i="20"/>
  <c r="W129" i="20"/>
  <c r="V129" i="20"/>
  <c r="U129" i="20"/>
  <c r="T129" i="20"/>
  <c r="S129" i="20"/>
  <c r="R129" i="20"/>
  <c r="Q129" i="20"/>
  <c r="P129" i="20"/>
  <c r="O129" i="20"/>
  <c r="N129" i="20"/>
  <c r="M129" i="20"/>
  <c r="L129" i="20"/>
  <c r="K129" i="20"/>
  <c r="J129" i="20"/>
  <c r="I129" i="20"/>
  <c r="H129" i="20"/>
  <c r="G129" i="20"/>
  <c r="F129" i="20"/>
  <c r="E129" i="20"/>
  <c r="D129" i="20"/>
  <c r="AJ128" i="20"/>
  <c r="AQ128" i="20" s="1"/>
  <c r="AI128" i="20"/>
  <c r="AH128" i="20"/>
  <c r="AG128" i="20"/>
  <c r="AF128" i="20"/>
  <c r="AE128" i="20"/>
  <c r="AD128" i="20"/>
  <c r="AC128" i="20"/>
  <c r="AB128" i="20"/>
  <c r="AA128" i="20"/>
  <c r="Z128" i="20"/>
  <c r="Y128" i="20"/>
  <c r="X128" i="20"/>
  <c r="W128" i="20"/>
  <c r="V128" i="20"/>
  <c r="U128" i="20"/>
  <c r="T128" i="20"/>
  <c r="S128" i="20"/>
  <c r="R128" i="20"/>
  <c r="Q128" i="20"/>
  <c r="P128" i="20"/>
  <c r="O128" i="20"/>
  <c r="N128" i="20"/>
  <c r="M128" i="20"/>
  <c r="L128" i="20"/>
  <c r="K128" i="20"/>
  <c r="J128" i="20"/>
  <c r="I128" i="20"/>
  <c r="H128" i="20"/>
  <c r="G128" i="20"/>
  <c r="F128" i="20"/>
  <c r="E128" i="20"/>
  <c r="D128" i="20"/>
  <c r="AJ127" i="20"/>
  <c r="AQ127" i="20" s="1"/>
  <c r="AI127" i="20"/>
  <c r="AH127" i="20"/>
  <c r="AG127" i="20"/>
  <c r="AF127" i="20"/>
  <c r="AE127" i="20"/>
  <c r="AD127" i="20"/>
  <c r="AC127" i="20"/>
  <c r="AB127" i="20"/>
  <c r="AA127" i="20"/>
  <c r="Z127" i="20"/>
  <c r="Y127" i="20"/>
  <c r="X127" i="20"/>
  <c r="W127" i="20"/>
  <c r="V127" i="20"/>
  <c r="U127" i="20"/>
  <c r="T127" i="20"/>
  <c r="S127" i="20"/>
  <c r="R127" i="20"/>
  <c r="Q127" i="20"/>
  <c r="P127" i="20"/>
  <c r="O127" i="20"/>
  <c r="N127" i="20"/>
  <c r="M127" i="20"/>
  <c r="L127" i="20"/>
  <c r="AN127" i="20" s="1"/>
  <c r="K127" i="20"/>
  <c r="J127" i="20"/>
  <c r="I127" i="20"/>
  <c r="H127" i="20"/>
  <c r="G127" i="20"/>
  <c r="F127" i="20"/>
  <c r="E127" i="20"/>
  <c r="D127" i="20"/>
  <c r="AJ126" i="20"/>
  <c r="AQ126" i="20" s="1"/>
  <c r="AR61"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Q125" i="20"/>
  <c r="AJ125" i="20"/>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J124" i="20"/>
  <c r="AQ124" i="20" s="1"/>
  <c r="AI124" i="20"/>
  <c r="AH124" i="20"/>
  <c r="AG124" i="20"/>
  <c r="AF124" i="20"/>
  <c r="AE124" i="20"/>
  <c r="AD124" i="20"/>
  <c r="AC124" i="20"/>
  <c r="AB124" i="20"/>
  <c r="AA124" i="20"/>
  <c r="Z124" i="20"/>
  <c r="Y124" i="20"/>
  <c r="X124" i="20"/>
  <c r="W124" i="20"/>
  <c r="V124" i="20"/>
  <c r="U124" i="20"/>
  <c r="T124" i="20"/>
  <c r="S124" i="20"/>
  <c r="R124" i="20"/>
  <c r="Q124" i="20"/>
  <c r="P124" i="20"/>
  <c r="O124" i="20"/>
  <c r="N124" i="20"/>
  <c r="M124" i="20"/>
  <c r="L124" i="20"/>
  <c r="K124" i="20"/>
  <c r="J124" i="20"/>
  <c r="I124" i="20"/>
  <c r="H124" i="20"/>
  <c r="G124" i="20"/>
  <c r="F124" i="20"/>
  <c r="E124" i="20"/>
  <c r="D124" i="20"/>
  <c r="AJ123" i="20"/>
  <c r="AQ123" i="20" s="1"/>
  <c r="AR58" i="20" s="1"/>
  <c r="AI123" i="20"/>
  <c r="AH123" i="20"/>
  <c r="AG123" i="20"/>
  <c r="AF123" i="20"/>
  <c r="AE123" i="20"/>
  <c r="AD123" i="20"/>
  <c r="AC123" i="20"/>
  <c r="AB123" i="20"/>
  <c r="AA123" i="20"/>
  <c r="Z123" i="20"/>
  <c r="Y123" i="20"/>
  <c r="X123" i="20"/>
  <c r="W123" i="20"/>
  <c r="V123" i="20"/>
  <c r="U123" i="20"/>
  <c r="T123" i="20"/>
  <c r="S123" i="20"/>
  <c r="R123" i="20"/>
  <c r="Q123" i="20"/>
  <c r="P123" i="20"/>
  <c r="O123" i="20"/>
  <c r="N123" i="20"/>
  <c r="M123" i="20"/>
  <c r="L123" i="20"/>
  <c r="K123" i="20"/>
  <c r="J123" i="20"/>
  <c r="I123" i="20"/>
  <c r="H123" i="20"/>
  <c r="G123" i="20"/>
  <c r="F123" i="20"/>
  <c r="E123" i="20"/>
  <c r="D123" i="20"/>
  <c r="AN122" i="20"/>
  <c r="AJ122" i="20"/>
  <c r="AQ122" i="20" s="1"/>
  <c r="AI122" i="20"/>
  <c r="AH122" i="20"/>
  <c r="AG122" i="20"/>
  <c r="AF122" i="20"/>
  <c r="AE122" i="20"/>
  <c r="AD122" i="20"/>
  <c r="AC122" i="20"/>
  <c r="AB122" i="20"/>
  <c r="AA122" i="20"/>
  <c r="Z122" i="20"/>
  <c r="Y122" i="20"/>
  <c r="X122" i="20"/>
  <c r="W122" i="20"/>
  <c r="V122" i="20"/>
  <c r="U122" i="20"/>
  <c r="T122" i="20"/>
  <c r="S122" i="20"/>
  <c r="R122" i="20"/>
  <c r="Q122" i="20"/>
  <c r="P122" i="20"/>
  <c r="O122" i="20"/>
  <c r="N122" i="20"/>
  <c r="M122" i="20"/>
  <c r="L122" i="20"/>
  <c r="K122" i="20"/>
  <c r="J122" i="20"/>
  <c r="I122" i="20"/>
  <c r="H122" i="20"/>
  <c r="G122" i="20"/>
  <c r="F122" i="20"/>
  <c r="E122" i="20"/>
  <c r="D122" i="20"/>
  <c r="AQ121" i="20"/>
  <c r="AR56" i="20" s="1"/>
  <c r="AJ121" i="20"/>
  <c r="AI121" i="20"/>
  <c r="AH121" i="20"/>
  <c r="AG121" i="20"/>
  <c r="AF121" i="20"/>
  <c r="AE121" i="20"/>
  <c r="AD121" i="20"/>
  <c r="AC121" i="20"/>
  <c r="AB121" i="20"/>
  <c r="AA121" i="20"/>
  <c r="Z121" i="20"/>
  <c r="Y121" i="20"/>
  <c r="X121" i="20"/>
  <c r="W121" i="20"/>
  <c r="V121" i="20"/>
  <c r="U121" i="20"/>
  <c r="T121" i="20"/>
  <c r="S121" i="20"/>
  <c r="R121" i="20"/>
  <c r="Q121" i="20"/>
  <c r="P121" i="20"/>
  <c r="O121" i="20"/>
  <c r="N121" i="20"/>
  <c r="M121" i="20"/>
  <c r="L121" i="20"/>
  <c r="K121" i="20"/>
  <c r="J121" i="20"/>
  <c r="I121" i="20"/>
  <c r="H121" i="20"/>
  <c r="G121" i="20"/>
  <c r="F121" i="20"/>
  <c r="E121" i="20"/>
  <c r="D121" i="20"/>
  <c r="AJ120" i="20"/>
  <c r="AQ120" i="20" s="1"/>
  <c r="AI120" i="20"/>
  <c r="AH120" i="20"/>
  <c r="AG120" i="20"/>
  <c r="AF120" i="20"/>
  <c r="AE120" i="20"/>
  <c r="AD120" i="20"/>
  <c r="AC120" i="20"/>
  <c r="AB120" i="20"/>
  <c r="AA120" i="20"/>
  <c r="Z120" i="20"/>
  <c r="Y120" i="20"/>
  <c r="X120" i="20"/>
  <c r="W120" i="20"/>
  <c r="V120" i="20"/>
  <c r="U120" i="20"/>
  <c r="T120" i="20"/>
  <c r="AM120" i="20" s="1"/>
  <c r="S120" i="20"/>
  <c r="R120" i="20"/>
  <c r="Q120" i="20"/>
  <c r="P120" i="20"/>
  <c r="O120" i="20"/>
  <c r="N120" i="20"/>
  <c r="M120" i="20"/>
  <c r="L120" i="20"/>
  <c r="K120" i="20"/>
  <c r="J120" i="20"/>
  <c r="I120" i="20"/>
  <c r="H120" i="20"/>
  <c r="G120" i="20"/>
  <c r="F120" i="20"/>
  <c r="E120" i="20"/>
  <c r="D120" i="20"/>
  <c r="AJ119" i="20"/>
  <c r="AQ119" i="20" s="1"/>
  <c r="AI119" i="20"/>
  <c r="AH119" i="20"/>
  <c r="AG119" i="20"/>
  <c r="AF119" i="20"/>
  <c r="AE119" i="20"/>
  <c r="AD119" i="20"/>
  <c r="AC119" i="20"/>
  <c r="AB119" i="20"/>
  <c r="AA119" i="20"/>
  <c r="Z119" i="20"/>
  <c r="Y119" i="20"/>
  <c r="X119" i="20"/>
  <c r="W119" i="20"/>
  <c r="V119" i="20"/>
  <c r="U119" i="20"/>
  <c r="T119" i="20"/>
  <c r="S119" i="20"/>
  <c r="R119" i="20"/>
  <c r="Q119" i="20"/>
  <c r="P119" i="20"/>
  <c r="O119" i="20"/>
  <c r="N119" i="20"/>
  <c r="M119" i="20"/>
  <c r="L119" i="20"/>
  <c r="K119" i="20"/>
  <c r="J119" i="20"/>
  <c r="I119" i="20"/>
  <c r="H119" i="20"/>
  <c r="G119" i="20"/>
  <c r="F119" i="20"/>
  <c r="E119" i="20"/>
  <c r="D119" i="20"/>
  <c r="AQ118" i="20"/>
  <c r="AJ118" i="20"/>
  <c r="AI118" i="20"/>
  <c r="AH118" i="20"/>
  <c r="AG118" i="20"/>
  <c r="AF118" i="20"/>
  <c r="AE118" i="20"/>
  <c r="AD118" i="20"/>
  <c r="AC118" i="20"/>
  <c r="AB118" i="20"/>
  <c r="AA118" i="20"/>
  <c r="Z118" i="20"/>
  <c r="Y118" i="20"/>
  <c r="X118" i="20"/>
  <c r="W118" i="20"/>
  <c r="V118" i="20"/>
  <c r="U118" i="20"/>
  <c r="T118" i="20"/>
  <c r="S118" i="20"/>
  <c r="R118" i="20"/>
  <c r="Q118" i="20"/>
  <c r="P118" i="20"/>
  <c r="O118" i="20"/>
  <c r="N118" i="20"/>
  <c r="M118" i="20"/>
  <c r="L118" i="20"/>
  <c r="K118" i="20"/>
  <c r="J118" i="20"/>
  <c r="I118" i="20"/>
  <c r="H118" i="20"/>
  <c r="G118" i="20"/>
  <c r="F118" i="20"/>
  <c r="E118" i="20"/>
  <c r="D118" i="20"/>
  <c r="AQ117" i="20"/>
  <c r="AR52" i="20" s="1"/>
  <c r="AJ117" i="20"/>
  <c r="AI117" i="20"/>
  <c r="AH117" i="20"/>
  <c r="AG117" i="20"/>
  <c r="AF117" i="20"/>
  <c r="AE117" i="20"/>
  <c r="AD117" i="20"/>
  <c r="AC117" i="20"/>
  <c r="AB117" i="20"/>
  <c r="AA117" i="20"/>
  <c r="Z117" i="20"/>
  <c r="Y117" i="20"/>
  <c r="X117" i="20"/>
  <c r="W117" i="20"/>
  <c r="V117" i="20"/>
  <c r="U117" i="20"/>
  <c r="T117" i="20"/>
  <c r="S117" i="20"/>
  <c r="R117" i="20"/>
  <c r="Q117" i="20"/>
  <c r="P117" i="20"/>
  <c r="O117" i="20"/>
  <c r="N117" i="20"/>
  <c r="M117" i="20"/>
  <c r="AN117" i="20" s="1"/>
  <c r="L117" i="20"/>
  <c r="K117" i="20"/>
  <c r="J117" i="20"/>
  <c r="I117" i="20"/>
  <c r="H117" i="20"/>
  <c r="G117" i="20"/>
  <c r="F117" i="20"/>
  <c r="E117" i="20"/>
  <c r="D117" i="20"/>
  <c r="AJ116" i="20"/>
  <c r="AQ116" i="20" s="1"/>
  <c r="AI116" i="20"/>
  <c r="AH116" i="20"/>
  <c r="AG116" i="20"/>
  <c r="AF116" i="20"/>
  <c r="AE116" i="20"/>
  <c r="AD116" i="20"/>
  <c r="AC116" i="20"/>
  <c r="AB116" i="20"/>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AJ115" i="20"/>
  <c r="AQ115" i="20" s="1"/>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AJ114" i="20"/>
  <c r="AQ114" i="20" s="1"/>
  <c r="AR49" i="20" s="1"/>
  <c r="AI114" i="20"/>
  <c r="AH114" i="20"/>
  <c r="AG114" i="20"/>
  <c r="AF114" i="20"/>
  <c r="AE114" i="20"/>
  <c r="AD114" i="20"/>
  <c r="AC114" i="20"/>
  <c r="AB114" i="20"/>
  <c r="AA114" i="20"/>
  <c r="Z114" i="20"/>
  <c r="Y114" i="20"/>
  <c r="X114" i="20"/>
  <c r="W114" i="20"/>
  <c r="V114" i="20"/>
  <c r="U114" i="20"/>
  <c r="T114" i="20"/>
  <c r="S114" i="20"/>
  <c r="R114" i="20"/>
  <c r="Q114" i="20"/>
  <c r="P114" i="20"/>
  <c r="O114" i="20"/>
  <c r="N114" i="20"/>
  <c r="M114" i="20"/>
  <c r="L114" i="20"/>
  <c r="K114" i="20"/>
  <c r="J114" i="20"/>
  <c r="I114" i="20"/>
  <c r="H114" i="20"/>
  <c r="G114" i="20"/>
  <c r="F114" i="20"/>
  <c r="E114" i="20"/>
  <c r="D114" i="20"/>
  <c r="AQ113" i="20"/>
  <c r="AJ113" i="20"/>
  <c r="AI113" i="20"/>
  <c r="AH113" i="20"/>
  <c r="AG113" i="20"/>
  <c r="AF113" i="20"/>
  <c r="AE113" i="20"/>
  <c r="AD113" i="20"/>
  <c r="AC113" i="20"/>
  <c r="AB113" i="20"/>
  <c r="AA113" i="20"/>
  <c r="Z113" i="20"/>
  <c r="Y113" i="20"/>
  <c r="X113" i="20"/>
  <c r="W113" i="20"/>
  <c r="V113" i="20"/>
  <c r="U113" i="20"/>
  <c r="T113" i="20"/>
  <c r="S113" i="20"/>
  <c r="R113" i="20"/>
  <c r="Q113" i="20"/>
  <c r="P113" i="20"/>
  <c r="O113" i="20"/>
  <c r="N113" i="20"/>
  <c r="M113" i="20"/>
  <c r="L113" i="20"/>
  <c r="K113" i="20"/>
  <c r="J113" i="20"/>
  <c r="I113" i="20"/>
  <c r="H113" i="20"/>
  <c r="G113" i="20"/>
  <c r="F113" i="20"/>
  <c r="E113" i="20"/>
  <c r="D113" i="20"/>
  <c r="AJ112" i="20"/>
  <c r="AQ112" i="20" s="1"/>
  <c r="AI112" i="20"/>
  <c r="AH112" i="20"/>
  <c r="AG112" i="20"/>
  <c r="AF112" i="20"/>
  <c r="AE112" i="20"/>
  <c r="AD112" i="20"/>
  <c r="AC112" i="20"/>
  <c r="AB112" i="20"/>
  <c r="AA112" i="20"/>
  <c r="Z112" i="20"/>
  <c r="Y112" i="20"/>
  <c r="X112" i="20"/>
  <c r="W112" i="20"/>
  <c r="V112" i="20"/>
  <c r="U112" i="20"/>
  <c r="T112" i="20"/>
  <c r="S112" i="20"/>
  <c r="R112" i="20"/>
  <c r="Q112" i="20"/>
  <c r="P112" i="20"/>
  <c r="O112" i="20"/>
  <c r="N112" i="20"/>
  <c r="M112" i="20"/>
  <c r="L112" i="20"/>
  <c r="K112" i="20"/>
  <c r="J112" i="20"/>
  <c r="I112" i="20"/>
  <c r="H112" i="20"/>
  <c r="G112" i="20"/>
  <c r="F112" i="20"/>
  <c r="E112" i="20"/>
  <c r="D112" i="20"/>
  <c r="AJ111" i="20"/>
  <c r="AQ111" i="20" s="1"/>
  <c r="AI111" i="20"/>
  <c r="AH111" i="20"/>
  <c r="AG111" i="20"/>
  <c r="AF111" i="20"/>
  <c r="AE111" i="20"/>
  <c r="AD111" i="20"/>
  <c r="AC111" i="20"/>
  <c r="AB111" i="20"/>
  <c r="AA111" i="20"/>
  <c r="Z111" i="20"/>
  <c r="Y111" i="20"/>
  <c r="X111" i="20"/>
  <c r="W111" i="20"/>
  <c r="V111" i="20"/>
  <c r="U111" i="20"/>
  <c r="T111" i="20"/>
  <c r="S111" i="20"/>
  <c r="R111" i="20"/>
  <c r="Q111" i="20"/>
  <c r="P111" i="20"/>
  <c r="O111" i="20"/>
  <c r="N111" i="20"/>
  <c r="M111" i="20"/>
  <c r="L111" i="20"/>
  <c r="K111" i="20"/>
  <c r="J111" i="20"/>
  <c r="I111" i="20"/>
  <c r="H111" i="20"/>
  <c r="G111" i="20"/>
  <c r="F111" i="20"/>
  <c r="E111" i="20"/>
  <c r="D111" i="20"/>
  <c r="AJ110" i="20"/>
  <c r="AQ110" i="20" s="1"/>
  <c r="AI110" i="20"/>
  <c r="AH110" i="20"/>
  <c r="AG110" i="20"/>
  <c r="AF110" i="20"/>
  <c r="AE110" i="20"/>
  <c r="AD110" i="20"/>
  <c r="AC110" i="20"/>
  <c r="AB110" i="20"/>
  <c r="AA110" i="20"/>
  <c r="Z110" i="20"/>
  <c r="Y110" i="20"/>
  <c r="X110" i="20"/>
  <c r="W110" i="20"/>
  <c r="V110" i="20"/>
  <c r="U110" i="20"/>
  <c r="T110" i="20"/>
  <c r="S110" i="20"/>
  <c r="R110" i="20"/>
  <c r="Q110" i="20"/>
  <c r="P110" i="20"/>
  <c r="O110" i="20"/>
  <c r="N110" i="20"/>
  <c r="M110" i="20"/>
  <c r="L110" i="20"/>
  <c r="K110" i="20"/>
  <c r="J110" i="20"/>
  <c r="I110" i="20"/>
  <c r="H110" i="20"/>
  <c r="G110" i="20"/>
  <c r="F110" i="20"/>
  <c r="E110" i="20"/>
  <c r="D110" i="20"/>
  <c r="AQ109" i="20"/>
  <c r="AJ109" i="20"/>
  <c r="AI109" i="20"/>
  <c r="AH109" i="20"/>
  <c r="AG109" i="20"/>
  <c r="AF109" i="20"/>
  <c r="AE109" i="20"/>
  <c r="AD109" i="20"/>
  <c r="AC109" i="20"/>
  <c r="AL109" i="20" s="1"/>
  <c r="AB109" i="20"/>
  <c r="AA109" i="20"/>
  <c r="Z109" i="20"/>
  <c r="Y109" i="20"/>
  <c r="X109" i="20"/>
  <c r="W109" i="20"/>
  <c r="V109" i="20"/>
  <c r="U109" i="20"/>
  <c r="T109" i="20"/>
  <c r="S109" i="20"/>
  <c r="R109" i="20"/>
  <c r="Q109" i="20"/>
  <c r="P109" i="20"/>
  <c r="O109" i="20"/>
  <c r="N109" i="20"/>
  <c r="M109" i="20"/>
  <c r="L109" i="20"/>
  <c r="K109" i="20"/>
  <c r="J109" i="20"/>
  <c r="I109" i="20"/>
  <c r="H109" i="20"/>
  <c r="G109" i="20"/>
  <c r="F109" i="20"/>
  <c r="E109" i="20"/>
  <c r="D109" i="20"/>
  <c r="AJ108" i="20"/>
  <c r="AQ108" i="20" s="1"/>
  <c r="AI108" i="20"/>
  <c r="AH108" i="20"/>
  <c r="AG108" i="20"/>
  <c r="AF108" i="20"/>
  <c r="AE108" i="20"/>
  <c r="AD108" i="20"/>
  <c r="AC108" i="20"/>
  <c r="AB108" i="20"/>
  <c r="AA108" i="20"/>
  <c r="Z108" i="20"/>
  <c r="Y108" i="20"/>
  <c r="X108" i="20"/>
  <c r="W108" i="20"/>
  <c r="V108" i="20"/>
  <c r="U108" i="20"/>
  <c r="T108" i="20"/>
  <c r="S108" i="20"/>
  <c r="R108" i="20"/>
  <c r="Q108" i="20"/>
  <c r="P108" i="20"/>
  <c r="O108" i="20"/>
  <c r="N108" i="20"/>
  <c r="M108" i="20"/>
  <c r="L108" i="20"/>
  <c r="K108" i="20"/>
  <c r="J108" i="20"/>
  <c r="I108" i="20"/>
  <c r="H108" i="20"/>
  <c r="G108" i="20"/>
  <c r="F108" i="20"/>
  <c r="E108" i="20"/>
  <c r="D108" i="20"/>
  <c r="AJ107" i="20"/>
  <c r="AQ107" i="20" s="1"/>
  <c r="AI107" i="20"/>
  <c r="AH107" i="20"/>
  <c r="AG107" i="20"/>
  <c r="AF107" i="20"/>
  <c r="AE107" i="20"/>
  <c r="AD107" i="20"/>
  <c r="AC107" i="20"/>
  <c r="AB107" i="20"/>
  <c r="AA107" i="20"/>
  <c r="Z107" i="20"/>
  <c r="Y107" i="20"/>
  <c r="X107" i="20"/>
  <c r="W107" i="20"/>
  <c r="V107" i="20"/>
  <c r="U107" i="20"/>
  <c r="T107" i="20"/>
  <c r="S107" i="20"/>
  <c r="R107" i="20"/>
  <c r="Q107" i="20"/>
  <c r="P107" i="20"/>
  <c r="O107" i="20"/>
  <c r="N107" i="20"/>
  <c r="M107" i="20"/>
  <c r="L107" i="20"/>
  <c r="K107" i="20"/>
  <c r="J107" i="20"/>
  <c r="I107" i="20"/>
  <c r="H107" i="20"/>
  <c r="G107" i="20"/>
  <c r="F107" i="20"/>
  <c r="E107" i="20"/>
  <c r="D107" i="20"/>
  <c r="AJ106" i="20"/>
  <c r="AQ106" i="20" s="1"/>
  <c r="AI106" i="20"/>
  <c r="AH106" i="20"/>
  <c r="AG106" i="20"/>
  <c r="AF106" i="20"/>
  <c r="AE106" i="20"/>
  <c r="AD106" i="20"/>
  <c r="AC106" i="20"/>
  <c r="AB106" i="20"/>
  <c r="AA106" i="20"/>
  <c r="Z106" i="20"/>
  <c r="Y106" i="20"/>
  <c r="X106" i="20"/>
  <c r="W106" i="20"/>
  <c r="V106" i="20"/>
  <c r="U106" i="20"/>
  <c r="T106" i="20"/>
  <c r="S106" i="20"/>
  <c r="R106" i="20"/>
  <c r="Q106" i="20"/>
  <c r="P106" i="20"/>
  <c r="O106" i="20"/>
  <c r="N106" i="20"/>
  <c r="M106" i="20"/>
  <c r="L106" i="20"/>
  <c r="K106" i="20"/>
  <c r="J106" i="20"/>
  <c r="I106" i="20"/>
  <c r="H106" i="20"/>
  <c r="G106" i="20"/>
  <c r="F106" i="20"/>
  <c r="E106" i="20"/>
  <c r="D106" i="20"/>
  <c r="AJ105" i="20"/>
  <c r="AQ105" i="20" s="1"/>
  <c r="AR40" i="20" s="1"/>
  <c r="AI105" i="20"/>
  <c r="AH105" i="20"/>
  <c r="AG105" i="20"/>
  <c r="AF105" i="20"/>
  <c r="AE105" i="20"/>
  <c r="AD105" i="20"/>
  <c r="AC105" i="20"/>
  <c r="AB105" i="20"/>
  <c r="AA105" i="20"/>
  <c r="Z105" i="20"/>
  <c r="Y105" i="20"/>
  <c r="X105" i="20"/>
  <c r="W105" i="20"/>
  <c r="V105" i="20"/>
  <c r="U105" i="20"/>
  <c r="T105" i="20"/>
  <c r="S105" i="20"/>
  <c r="R105" i="20"/>
  <c r="Q105" i="20"/>
  <c r="P105" i="20"/>
  <c r="O105" i="20"/>
  <c r="N105" i="20"/>
  <c r="M105" i="20"/>
  <c r="L105" i="20"/>
  <c r="K105" i="20"/>
  <c r="J105" i="20"/>
  <c r="I105" i="20"/>
  <c r="H105" i="20"/>
  <c r="G105" i="20"/>
  <c r="F105" i="20"/>
  <c r="E105" i="20"/>
  <c r="D105" i="20"/>
  <c r="AQ104" i="20"/>
  <c r="AJ104" i="20"/>
  <c r="AI104" i="20"/>
  <c r="AH104" i="20"/>
  <c r="AG104" i="20"/>
  <c r="AF104" i="20"/>
  <c r="AE104" i="20"/>
  <c r="AD104" i="20"/>
  <c r="AC104" i="20"/>
  <c r="AB104" i="20"/>
  <c r="AA104" i="20"/>
  <c r="Z104" i="20"/>
  <c r="Y104" i="20"/>
  <c r="X104" i="20"/>
  <c r="W104" i="20"/>
  <c r="V104" i="20"/>
  <c r="U104" i="20"/>
  <c r="T104" i="20"/>
  <c r="S104" i="20"/>
  <c r="R104" i="20"/>
  <c r="Q104" i="20"/>
  <c r="P104" i="20"/>
  <c r="O104" i="20"/>
  <c r="N104" i="20"/>
  <c r="M104" i="20"/>
  <c r="L104" i="20"/>
  <c r="K104" i="20"/>
  <c r="J104" i="20"/>
  <c r="I104" i="20"/>
  <c r="H104" i="20"/>
  <c r="G104" i="20"/>
  <c r="F104" i="20"/>
  <c r="E104" i="20"/>
  <c r="D104" i="20"/>
  <c r="AJ103" i="20"/>
  <c r="AQ103" i="20" s="1"/>
  <c r="AR38" i="20" s="1"/>
  <c r="AI103" i="20"/>
  <c r="AH103" i="20"/>
  <c r="AG103" i="20"/>
  <c r="AF103" i="20"/>
  <c r="AE103" i="20"/>
  <c r="AD103" i="20"/>
  <c r="AC103" i="20"/>
  <c r="AB103" i="20"/>
  <c r="AA103" i="20"/>
  <c r="Z103" i="20"/>
  <c r="Y103" i="20"/>
  <c r="X103" i="20"/>
  <c r="W103" i="20"/>
  <c r="V103" i="20"/>
  <c r="U103" i="20"/>
  <c r="T103" i="20"/>
  <c r="S103" i="20"/>
  <c r="R103" i="20"/>
  <c r="Q103" i="20"/>
  <c r="P103" i="20"/>
  <c r="O103" i="20"/>
  <c r="N103" i="20"/>
  <c r="M103" i="20"/>
  <c r="L103" i="20"/>
  <c r="AN103" i="20" s="1"/>
  <c r="K103" i="20"/>
  <c r="J103" i="20"/>
  <c r="I103" i="20"/>
  <c r="H103" i="20"/>
  <c r="G103" i="20"/>
  <c r="F103" i="20"/>
  <c r="E103" i="20"/>
  <c r="D103" i="20"/>
  <c r="AQ102" i="20"/>
  <c r="AJ102" i="20"/>
  <c r="AI102" i="20"/>
  <c r="AH102" i="20"/>
  <c r="AG102" i="20"/>
  <c r="AF102" i="20"/>
  <c r="AE102" i="20"/>
  <c r="AD102" i="20"/>
  <c r="AC102" i="20"/>
  <c r="AB102" i="20"/>
  <c r="AA102" i="20"/>
  <c r="Z102" i="20"/>
  <c r="Y102" i="20"/>
  <c r="X102" i="20"/>
  <c r="W102" i="20"/>
  <c r="V102" i="20"/>
  <c r="U102" i="20"/>
  <c r="T102" i="20"/>
  <c r="S102" i="20"/>
  <c r="R102" i="20"/>
  <c r="Q102" i="20"/>
  <c r="P102" i="20"/>
  <c r="O102" i="20"/>
  <c r="N102" i="20"/>
  <c r="M102" i="20"/>
  <c r="L102" i="20"/>
  <c r="K102" i="20"/>
  <c r="J102" i="20"/>
  <c r="I102" i="20"/>
  <c r="H102" i="20"/>
  <c r="G102" i="20"/>
  <c r="F102" i="20"/>
  <c r="E102" i="20"/>
  <c r="D102" i="20"/>
  <c r="AQ101" i="20"/>
  <c r="AJ101" i="20"/>
  <c r="AI101" i="20"/>
  <c r="AH101" i="20"/>
  <c r="AG101" i="20"/>
  <c r="AF101" i="20"/>
  <c r="AE101" i="20"/>
  <c r="AD101" i="20"/>
  <c r="AC101" i="20"/>
  <c r="AB101" i="20"/>
  <c r="AA101" i="20"/>
  <c r="Z101" i="20"/>
  <c r="Y101" i="20"/>
  <c r="X101" i="20"/>
  <c r="W101" i="20"/>
  <c r="V101" i="20"/>
  <c r="U101" i="20"/>
  <c r="T101" i="20"/>
  <c r="S101" i="20"/>
  <c r="R101" i="20"/>
  <c r="Q101" i="20"/>
  <c r="P101" i="20"/>
  <c r="O101" i="20"/>
  <c r="N101" i="20"/>
  <c r="M101" i="20"/>
  <c r="L101" i="20"/>
  <c r="K101" i="20"/>
  <c r="J101" i="20"/>
  <c r="I101" i="20"/>
  <c r="H101" i="20"/>
  <c r="G101" i="20"/>
  <c r="F101" i="20"/>
  <c r="E101" i="20"/>
  <c r="D101" i="20"/>
  <c r="AJ100" i="20"/>
  <c r="AQ100" i="20" s="1"/>
  <c r="AI100" i="20"/>
  <c r="AH100" i="20"/>
  <c r="AG100" i="20"/>
  <c r="AF100" i="20"/>
  <c r="AE100" i="20"/>
  <c r="AD100" i="20"/>
  <c r="AC100" i="20"/>
  <c r="AB100" i="20"/>
  <c r="AL100" i="20" s="1"/>
  <c r="AA100" i="20"/>
  <c r="Z100" i="20"/>
  <c r="Y100" i="20"/>
  <c r="X100" i="20"/>
  <c r="W100" i="20"/>
  <c r="V100" i="20"/>
  <c r="U100" i="20"/>
  <c r="T100" i="20"/>
  <c r="S100" i="20"/>
  <c r="R100" i="20"/>
  <c r="Q100" i="20"/>
  <c r="P100" i="20"/>
  <c r="O100" i="20"/>
  <c r="N100" i="20"/>
  <c r="M100" i="20"/>
  <c r="L100" i="20"/>
  <c r="K100" i="20"/>
  <c r="J100" i="20"/>
  <c r="I100" i="20"/>
  <c r="H100" i="20"/>
  <c r="G100" i="20"/>
  <c r="F100" i="20"/>
  <c r="E100" i="20"/>
  <c r="D100" i="20"/>
  <c r="AO100" i="20" s="1"/>
  <c r="AJ99" i="20"/>
  <c r="AQ99" i="20" s="1"/>
  <c r="AI99" i="20"/>
  <c r="AH99" i="20"/>
  <c r="AG99" i="20"/>
  <c r="AF99" i="20"/>
  <c r="AE99" i="20"/>
  <c r="AD99" i="20"/>
  <c r="AC99" i="20"/>
  <c r="AB99" i="20"/>
  <c r="AA99" i="20"/>
  <c r="Z99" i="20"/>
  <c r="Y99" i="20"/>
  <c r="X99" i="20"/>
  <c r="W99" i="20"/>
  <c r="V99" i="20"/>
  <c r="U99" i="20"/>
  <c r="T99" i="20"/>
  <c r="S99" i="20"/>
  <c r="R99" i="20"/>
  <c r="Q99" i="20"/>
  <c r="P99" i="20"/>
  <c r="O99" i="20"/>
  <c r="N99" i="20"/>
  <c r="M99" i="20"/>
  <c r="L99" i="20"/>
  <c r="K99" i="20"/>
  <c r="J99" i="20"/>
  <c r="I99" i="20"/>
  <c r="H99" i="20"/>
  <c r="G99" i="20"/>
  <c r="F99" i="20"/>
  <c r="E99" i="20"/>
  <c r="D99" i="20"/>
  <c r="AJ98" i="20"/>
  <c r="AQ98" i="20" s="1"/>
  <c r="AI98" i="20"/>
  <c r="AH98" i="20"/>
  <c r="AG98" i="20"/>
  <c r="AF98" i="20"/>
  <c r="AE98" i="20"/>
  <c r="AD98" i="20"/>
  <c r="AC98" i="20"/>
  <c r="AB98" i="20"/>
  <c r="AA98" i="20"/>
  <c r="Z98" i="20"/>
  <c r="Y98" i="20"/>
  <c r="X98" i="20"/>
  <c r="W98" i="20"/>
  <c r="V98" i="20"/>
  <c r="U98" i="20"/>
  <c r="T98" i="20"/>
  <c r="S98" i="20"/>
  <c r="R98" i="20"/>
  <c r="Q98" i="20"/>
  <c r="P98" i="20"/>
  <c r="O98" i="20"/>
  <c r="N98" i="20"/>
  <c r="M98" i="20"/>
  <c r="L98" i="20"/>
  <c r="K98" i="20"/>
  <c r="J98" i="20"/>
  <c r="I98" i="20"/>
  <c r="H98" i="20"/>
  <c r="G98" i="20"/>
  <c r="F98" i="20"/>
  <c r="E98" i="20"/>
  <c r="D98" i="20"/>
  <c r="AJ97" i="20"/>
  <c r="AQ97" i="20" s="1"/>
  <c r="AI97" i="20"/>
  <c r="AH97" i="20"/>
  <c r="AG97" i="20"/>
  <c r="AF97" i="20"/>
  <c r="AE97" i="20"/>
  <c r="AD97" i="20"/>
  <c r="AC97" i="20"/>
  <c r="AB97" i="20"/>
  <c r="AA97" i="20"/>
  <c r="Z97" i="20"/>
  <c r="Y97" i="20"/>
  <c r="X97" i="20"/>
  <c r="W97" i="20"/>
  <c r="V97" i="20"/>
  <c r="U97" i="20"/>
  <c r="T97" i="20"/>
  <c r="S97" i="20"/>
  <c r="R97" i="20"/>
  <c r="Q97" i="20"/>
  <c r="P97" i="20"/>
  <c r="O97" i="20"/>
  <c r="N97" i="20"/>
  <c r="M97" i="20"/>
  <c r="L97" i="20"/>
  <c r="K97" i="20"/>
  <c r="J97" i="20"/>
  <c r="I97" i="20"/>
  <c r="H97" i="20"/>
  <c r="G97" i="20"/>
  <c r="F97" i="20"/>
  <c r="E97" i="20"/>
  <c r="D97" i="20"/>
  <c r="AJ96" i="20"/>
  <c r="AQ96" i="20" s="1"/>
  <c r="AI96" i="20"/>
  <c r="AH96" i="20"/>
  <c r="AG96" i="20"/>
  <c r="AF96" i="20"/>
  <c r="AE96" i="20"/>
  <c r="AD96" i="20"/>
  <c r="AC96" i="20"/>
  <c r="AB96" i="20"/>
  <c r="AA96" i="20"/>
  <c r="Z96" i="20"/>
  <c r="Y96" i="20"/>
  <c r="X96" i="20"/>
  <c r="W96" i="20"/>
  <c r="V96" i="20"/>
  <c r="U96" i="20"/>
  <c r="T96" i="20"/>
  <c r="S96" i="20"/>
  <c r="R96" i="20"/>
  <c r="Q96" i="20"/>
  <c r="P96" i="20"/>
  <c r="O96" i="20"/>
  <c r="N96" i="20"/>
  <c r="M96" i="20"/>
  <c r="L96" i="20"/>
  <c r="K96" i="20"/>
  <c r="J96" i="20"/>
  <c r="I96" i="20"/>
  <c r="H96" i="20"/>
  <c r="G96" i="20"/>
  <c r="F96" i="20"/>
  <c r="E96" i="20"/>
  <c r="D96" i="20"/>
  <c r="AJ95" i="20"/>
  <c r="AQ95" i="20" s="1"/>
  <c r="AI95" i="20"/>
  <c r="AH95" i="20"/>
  <c r="AG95" i="20"/>
  <c r="AF95" i="20"/>
  <c r="AE95" i="20"/>
  <c r="AD95" i="20"/>
  <c r="AC95" i="20"/>
  <c r="AB95" i="20"/>
  <c r="AL95" i="20" s="1"/>
  <c r="AA95" i="20"/>
  <c r="Z95" i="20"/>
  <c r="Y95" i="20"/>
  <c r="X95" i="20"/>
  <c r="W95" i="20"/>
  <c r="V95" i="20"/>
  <c r="U95" i="20"/>
  <c r="T95" i="20"/>
  <c r="S95" i="20"/>
  <c r="R95" i="20"/>
  <c r="Q95" i="20"/>
  <c r="P95" i="20"/>
  <c r="O95" i="20"/>
  <c r="N95" i="20"/>
  <c r="M95" i="20"/>
  <c r="L95" i="20"/>
  <c r="K95" i="20"/>
  <c r="J95" i="20"/>
  <c r="I95" i="20"/>
  <c r="H95" i="20"/>
  <c r="G95" i="20"/>
  <c r="F95" i="20"/>
  <c r="E95" i="20"/>
  <c r="D95" i="20"/>
  <c r="AO95" i="20" s="1"/>
  <c r="AJ94" i="20"/>
  <c r="AQ94" i="20" s="1"/>
  <c r="AI94" i="20"/>
  <c r="AH94" i="20"/>
  <c r="AG94" i="20"/>
  <c r="AF94" i="20"/>
  <c r="AE94" i="20"/>
  <c r="AD94" i="20"/>
  <c r="AC94" i="20"/>
  <c r="AB94" i="20"/>
  <c r="AA94" i="20"/>
  <c r="Z94" i="20"/>
  <c r="Y94" i="20"/>
  <c r="X94" i="20"/>
  <c r="W94" i="20"/>
  <c r="V94" i="20"/>
  <c r="U94" i="20"/>
  <c r="T94" i="20"/>
  <c r="S94" i="20"/>
  <c r="R94" i="20"/>
  <c r="Q94" i="20"/>
  <c r="P94" i="20"/>
  <c r="O94" i="20"/>
  <c r="N94" i="20"/>
  <c r="M94" i="20"/>
  <c r="L94" i="20"/>
  <c r="K94" i="20"/>
  <c r="J94" i="20"/>
  <c r="I94" i="20"/>
  <c r="H94" i="20"/>
  <c r="G94" i="20"/>
  <c r="F94" i="20"/>
  <c r="E94" i="20"/>
  <c r="D94" i="20"/>
  <c r="AJ93" i="20"/>
  <c r="AQ93" i="20" s="1"/>
  <c r="AI93" i="20"/>
  <c r="AH93" i="20"/>
  <c r="AG93" i="20"/>
  <c r="AF93" i="20"/>
  <c r="AE93" i="20"/>
  <c r="AD93" i="20"/>
  <c r="AC93" i="20"/>
  <c r="AB93" i="20"/>
  <c r="AA93" i="20"/>
  <c r="Z93" i="20"/>
  <c r="Y93" i="20"/>
  <c r="X93" i="20"/>
  <c r="W93" i="20"/>
  <c r="V93" i="20"/>
  <c r="U93" i="20"/>
  <c r="T93" i="20"/>
  <c r="S93" i="20"/>
  <c r="R93" i="20"/>
  <c r="Q93" i="20"/>
  <c r="P93" i="20"/>
  <c r="O93" i="20"/>
  <c r="N93" i="20"/>
  <c r="M93" i="20"/>
  <c r="L93" i="20"/>
  <c r="K93" i="20"/>
  <c r="J93" i="20"/>
  <c r="I93" i="20"/>
  <c r="H93" i="20"/>
  <c r="G93" i="20"/>
  <c r="AO93" i="20" s="1"/>
  <c r="F93" i="20"/>
  <c r="E93" i="20"/>
  <c r="D93" i="20"/>
  <c r="AQ92" i="20"/>
  <c r="AR27" i="20" s="1"/>
  <c r="AJ92" i="20"/>
  <c r="AI92" i="20"/>
  <c r="AH92" i="20"/>
  <c r="AG92" i="20"/>
  <c r="AF92" i="20"/>
  <c r="AE92" i="20"/>
  <c r="AD92" i="20"/>
  <c r="AC92" i="20"/>
  <c r="AL92" i="20" s="1"/>
  <c r="AB92" i="20"/>
  <c r="AA92" i="20"/>
  <c r="Z92" i="20"/>
  <c r="Y92" i="20"/>
  <c r="X92" i="20"/>
  <c r="W92" i="20"/>
  <c r="V92" i="20"/>
  <c r="U92" i="20"/>
  <c r="AM92" i="20" s="1"/>
  <c r="T92" i="20"/>
  <c r="S92" i="20"/>
  <c r="R92" i="20"/>
  <c r="Q92" i="20"/>
  <c r="P92" i="20"/>
  <c r="O92" i="20"/>
  <c r="N92" i="20"/>
  <c r="M92" i="20"/>
  <c r="L92" i="20"/>
  <c r="K92" i="20"/>
  <c r="J92" i="20"/>
  <c r="I92" i="20"/>
  <c r="H92" i="20"/>
  <c r="G92" i="20"/>
  <c r="F92" i="20"/>
  <c r="E92" i="20"/>
  <c r="AO92" i="20" s="1"/>
  <c r="D92" i="20"/>
  <c r="AJ91" i="20"/>
  <c r="AQ91" i="20" s="1"/>
  <c r="AI91" i="20"/>
  <c r="AH91" i="20"/>
  <c r="AG91" i="20"/>
  <c r="AF91" i="20"/>
  <c r="AE91" i="20"/>
  <c r="AD91" i="20"/>
  <c r="AC91" i="20"/>
  <c r="AB91" i="20"/>
  <c r="AA91" i="20"/>
  <c r="Z91" i="20"/>
  <c r="Y91" i="20"/>
  <c r="X91" i="20"/>
  <c r="W91" i="20"/>
  <c r="V91" i="20"/>
  <c r="U91" i="20"/>
  <c r="T91" i="20"/>
  <c r="S91" i="20"/>
  <c r="R91" i="20"/>
  <c r="Q91" i="20"/>
  <c r="P91" i="20"/>
  <c r="O91" i="20"/>
  <c r="N91" i="20"/>
  <c r="M91" i="20"/>
  <c r="L91" i="20"/>
  <c r="K91" i="20"/>
  <c r="J91" i="20"/>
  <c r="I91" i="20"/>
  <c r="H91" i="20"/>
  <c r="G91" i="20"/>
  <c r="F91" i="20"/>
  <c r="E91" i="20"/>
  <c r="D91" i="20"/>
  <c r="AJ90" i="20"/>
  <c r="AQ90" i="20" s="1"/>
  <c r="AR26" i="20" s="1"/>
  <c r="AI90" i="20"/>
  <c r="AH90" i="20"/>
  <c r="AG90" i="20"/>
  <c r="AF90" i="20"/>
  <c r="AE90" i="20"/>
  <c r="AD90" i="20"/>
  <c r="AC90" i="20"/>
  <c r="AB90" i="20"/>
  <c r="AA90" i="20"/>
  <c r="Z90" i="20"/>
  <c r="Y90" i="20"/>
  <c r="X90" i="20"/>
  <c r="W90" i="20"/>
  <c r="V90" i="20"/>
  <c r="U90" i="20"/>
  <c r="T90" i="20"/>
  <c r="S90" i="20"/>
  <c r="R90" i="20"/>
  <c r="Q90" i="20"/>
  <c r="P90" i="20"/>
  <c r="O90" i="20"/>
  <c r="N90" i="20"/>
  <c r="M90" i="20"/>
  <c r="L90" i="20"/>
  <c r="K90" i="20"/>
  <c r="J90" i="20"/>
  <c r="I90" i="20"/>
  <c r="H90" i="20"/>
  <c r="G90" i="20"/>
  <c r="F90" i="20"/>
  <c r="E90" i="20"/>
  <c r="D90" i="20"/>
  <c r="C90" i="20"/>
  <c r="AJ89" i="20"/>
  <c r="AQ89" i="20" s="1"/>
  <c r="AR25" i="20" s="1"/>
  <c r="AI89" i="20"/>
  <c r="AH89" i="20"/>
  <c r="AG89" i="20"/>
  <c r="AF89" i="20"/>
  <c r="AE89" i="20"/>
  <c r="AD89" i="20"/>
  <c r="AC89" i="20"/>
  <c r="AB89" i="20"/>
  <c r="AA89" i="20"/>
  <c r="Z89" i="20"/>
  <c r="Y89" i="20"/>
  <c r="X89" i="20"/>
  <c r="W89" i="20"/>
  <c r="V89" i="20"/>
  <c r="U89" i="20"/>
  <c r="T89" i="20"/>
  <c r="S89" i="20"/>
  <c r="R89" i="20"/>
  <c r="Q89" i="20"/>
  <c r="P89" i="20"/>
  <c r="O89" i="20"/>
  <c r="N89" i="20"/>
  <c r="M89" i="20"/>
  <c r="L89" i="20"/>
  <c r="K89" i="20"/>
  <c r="J89" i="20"/>
  <c r="I89" i="20"/>
  <c r="H89" i="20"/>
  <c r="G89" i="20"/>
  <c r="F89" i="20"/>
  <c r="E89" i="20"/>
  <c r="D89" i="20"/>
  <c r="AJ88" i="20"/>
  <c r="AQ88" i="20" s="1"/>
  <c r="AI88" i="20"/>
  <c r="AH88" i="20"/>
  <c r="AG88" i="20"/>
  <c r="AF88" i="20"/>
  <c r="AE88" i="20"/>
  <c r="AD88" i="20"/>
  <c r="AC88" i="20"/>
  <c r="AB88" i="20"/>
  <c r="AA88" i="20"/>
  <c r="Z88" i="20"/>
  <c r="Y88" i="20"/>
  <c r="X88" i="20"/>
  <c r="W88" i="20"/>
  <c r="V88" i="20"/>
  <c r="U88" i="20"/>
  <c r="T88" i="20"/>
  <c r="S88" i="20"/>
  <c r="R88" i="20"/>
  <c r="Q88" i="20"/>
  <c r="P88" i="20"/>
  <c r="O88" i="20"/>
  <c r="N88" i="20"/>
  <c r="M88" i="20"/>
  <c r="L88" i="20"/>
  <c r="K88" i="20"/>
  <c r="J88" i="20"/>
  <c r="I88" i="20"/>
  <c r="H88" i="20"/>
  <c r="G88" i="20"/>
  <c r="F88" i="20"/>
  <c r="E88" i="20"/>
  <c r="D88" i="20"/>
  <c r="AJ87" i="20"/>
  <c r="AQ87" i="20" s="1"/>
  <c r="AI87" i="20"/>
  <c r="AH87" i="20"/>
  <c r="AG87" i="20"/>
  <c r="AF87" i="20"/>
  <c r="AE87" i="20"/>
  <c r="AD87" i="20"/>
  <c r="AC87" i="20"/>
  <c r="AB87" i="20"/>
  <c r="AA87" i="20"/>
  <c r="Z87" i="20"/>
  <c r="Y87" i="20"/>
  <c r="X87" i="20"/>
  <c r="W87" i="20"/>
  <c r="V87" i="20"/>
  <c r="U87" i="20"/>
  <c r="T87" i="20"/>
  <c r="S87" i="20"/>
  <c r="R87" i="20"/>
  <c r="Q87" i="20"/>
  <c r="P87" i="20"/>
  <c r="O87" i="20"/>
  <c r="N87" i="20"/>
  <c r="M87" i="20"/>
  <c r="L87" i="20"/>
  <c r="K87" i="20"/>
  <c r="J87" i="20"/>
  <c r="I87" i="20"/>
  <c r="H87" i="20"/>
  <c r="G87" i="20"/>
  <c r="F87" i="20"/>
  <c r="E87" i="20"/>
  <c r="D87" i="20"/>
  <c r="AJ86" i="20"/>
  <c r="AQ86" i="20" s="1"/>
  <c r="AR21" i="20" s="1"/>
  <c r="AI86" i="20"/>
  <c r="AH86" i="20"/>
  <c r="AG86" i="20"/>
  <c r="AF86" i="20"/>
  <c r="AE86" i="20"/>
  <c r="AD86" i="20"/>
  <c r="AC86" i="20"/>
  <c r="AB86" i="20"/>
  <c r="AA86" i="20"/>
  <c r="Z86" i="20"/>
  <c r="Y86" i="20"/>
  <c r="X86" i="20"/>
  <c r="W86" i="20"/>
  <c r="V86" i="20"/>
  <c r="U86" i="20"/>
  <c r="T86" i="20"/>
  <c r="S86" i="20"/>
  <c r="R86" i="20"/>
  <c r="Q86" i="20"/>
  <c r="P86" i="20"/>
  <c r="O86" i="20"/>
  <c r="N86" i="20"/>
  <c r="M86" i="20"/>
  <c r="L86" i="20"/>
  <c r="K86" i="20"/>
  <c r="J86" i="20"/>
  <c r="I86" i="20"/>
  <c r="H86" i="20"/>
  <c r="G86" i="20"/>
  <c r="F86" i="20"/>
  <c r="E86" i="20"/>
  <c r="D86" i="20"/>
  <c r="AO86" i="20" s="1"/>
  <c r="C86" i="20"/>
  <c r="AQ85" i="20"/>
  <c r="AJ85" i="20"/>
  <c r="AI85" i="20"/>
  <c r="AH85" i="20"/>
  <c r="AG85" i="20"/>
  <c r="AF85" i="20"/>
  <c r="AE85" i="20"/>
  <c r="AD85" i="20"/>
  <c r="AC85" i="20"/>
  <c r="AB85" i="20"/>
  <c r="AA85" i="20"/>
  <c r="Z85" i="20"/>
  <c r="Y85" i="20"/>
  <c r="X85" i="20"/>
  <c r="W85" i="20"/>
  <c r="V85" i="20"/>
  <c r="U85" i="20"/>
  <c r="T85" i="20"/>
  <c r="S85" i="20"/>
  <c r="R85" i="20"/>
  <c r="Q85" i="20"/>
  <c r="P85" i="20"/>
  <c r="O85" i="20"/>
  <c r="N85" i="20"/>
  <c r="AN85" i="20" s="1"/>
  <c r="M85" i="20"/>
  <c r="L85" i="20"/>
  <c r="K85" i="20"/>
  <c r="J85" i="20"/>
  <c r="I85" i="20"/>
  <c r="H85" i="20"/>
  <c r="G85" i="20"/>
  <c r="F85" i="20"/>
  <c r="E85" i="20"/>
  <c r="D85" i="20"/>
  <c r="AJ84" i="20"/>
  <c r="AQ84" i="20" s="1"/>
  <c r="AR19" i="20" s="1"/>
  <c r="AI84" i="20"/>
  <c r="AH84" i="20"/>
  <c r="AG84" i="20"/>
  <c r="AF84" i="20"/>
  <c r="AE84" i="20"/>
  <c r="AD84" i="20"/>
  <c r="AC84" i="20"/>
  <c r="AB84" i="20"/>
  <c r="AA84" i="20"/>
  <c r="Z84" i="20"/>
  <c r="Y84" i="20"/>
  <c r="X84" i="20"/>
  <c r="W84" i="20"/>
  <c r="V84" i="20"/>
  <c r="U84" i="20"/>
  <c r="T84" i="20"/>
  <c r="S84" i="20"/>
  <c r="R84" i="20"/>
  <c r="Q84" i="20"/>
  <c r="P84" i="20"/>
  <c r="O84" i="20"/>
  <c r="N84" i="20"/>
  <c r="M84" i="20"/>
  <c r="L84" i="20"/>
  <c r="K84" i="20"/>
  <c r="J84" i="20"/>
  <c r="I84" i="20"/>
  <c r="H84" i="20"/>
  <c r="G84" i="20"/>
  <c r="F84" i="20"/>
  <c r="E84" i="20"/>
  <c r="D84" i="20"/>
  <c r="AJ83" i="20"/>
  <c r="AQ83" i="20" s="1"/>
  <c r="AR18" i="20" s="1"/>
  <c r="AI83" i="20"/>
  <c r="AH83" i="20"/>
  <c r="AG83" i="20"/>
  <c r="AF83" i="20"/>
  <c r="AE83" i="20"/>
  <c r="AD83" i="20"/>
  <c r="AC83" i="20"/>
  <c r="AB83" i="20"/>
  <c r="AA83" i="20"/>
  <c r="Z83" i="20"/>
  <c r="Y83" i="20"/>
  <c r="X83" i="20"/>
  <c r="W83" i="20"/>
  <c r="V83" i="20"/>
  <c r="U83" i="20"/>
  <c r="T83" i="20"/>
  <c r="AM83" i="20" s="1"/>
  <c r="S83" i="20"/>
  <c r="R83" i="20"/>
  <c r="Q83" i="20"/>
  <c r="P83" i="20"/>
  <c r="O83" i="20"/>
  <c r="N83" i="20"/>
  <c r="M83" i="20"/>
  <c r="L83" i="20"/>
  <c r="K83" i="20"/>
  <c r="J83" i="20"/>
  <c r="I83" i="20"/>
  <c r="H83" i="20"/>
  <c r="G83" i="20"/>
  <c r="F83" i="20"/>
  <c r="E83" i="20"/>
  <c r="D83" i="20"/>
  <c r="AJ82" i="20"/>
  <c r="AQ82" i="20" s="1"/>
  <c r="AI82" i="20"/>
  <c r="AH82" i="20"/>
  <c r="AG82" i="20"/>
  <c r="AF82" i="20"/>
  <c r="AE82" i="20"/>
  <c r="AD82" i="20"/>
  <c r="AC82" i="20"/>
  <c r="AB82" i="20"/>
  <c r="AA82" i="20"/>
  <c r="Z82" i="20"/>
  <c r="Y82" i="20"/>
  <c r="X82" i="20"/>
  <c r="W82" i="20"/>
  <c r="V82" i="20"/>
  <c r="U82" i="20"/>
  <c r="T82" i="20"/>
  <c r="S82" i="20"/>
  <c r="R82" i="20"/>
  <c r="Q82" i="20"/>
  <c r="P82" i="20"/>
  <c r="O82" i="20"/>
  <c r="N82" i="20"/>
  <c r="M82" i="20"/>
  <c r="L82" i="20"/>
  <c r="K82" i="20"/>
  <c r="J82" i="20"/>
  <c r="I82" i="20"/>
  <c r="H82" i="20"/>
  <c r="AO82" i="20" s="1"/>
  <c r="G82" i="20"/>
  <c r="F82" i="20"/>
  <c r="E82" i="20"/>
  <c r="D82" i="20"/>
  <c r="AJ81" i="20"/>
  <c r="AQ81" i="20" s="1"/>
  <c r="AI81" i="20"/>
  <c r="AH81" i="20"/>
  <c r="AG81" i="20"/>
  <c r="AF81" i="20"/>
  <c r="AE81" i="20"/>
  <c r="AD81" i="20"/>
  <c r="AC81" i="20"/>
  <c r="AB81" i="20"/>
  <c r="AA81" i="20"/>
  <c r="Z81" i="20"/>
  <c r="Y81" i="20"/>
  <c r="X81" i="20"/>
  <c r="W81" i="20"/>
  <c r="V81" i="20"/>
  <c r="U81" i="20"/>
  <c r="T81" i="20"/>
  <c r="S81" i="20"/>
  <c r="R81" i="20"/>
  <c r="Q81" i="20"/>
  <c r="P81" i="20"/>
  <c r="O81" i="20"/>
  <c r="N81" i="20"/>
  <c r="M81" i="20"/>
  <c r="L81" i="20"/>
  <c r="K81" i="20"/>
  <c r="J81" i="20"/>
  <c r="I81" i="20"/>
  <c r="H81" i="20"/>
  <c r="G81" i="20"/>
  <c r="F81" i="20"/>
  <c r="E81" i="20"/>
  <c r="D81" i="20"/>
  <c r="AQ80" i="20"/>
  <c r="AR16" i="20" s="1"/>
  <c r="AJ80" i="20"/>
  <c r="AI80" i="20"/>
  <c r="AH80" i="20"/>
  <c r="AG80" i="20"/>
  <c r="AF80" i="20"/>
  <c r="AE80" i="20"/>
  <c r="AD80" i="20"/>
  <c r="AC80" i="20"/>
  <c r="AL80" i="20" s="1"/>
  <c r="AB80" i="20"/>
  <c r="AA80" i="20"/>
  <c r="Z80" i="20"/>
  <c r="Y80" i="20"/>
  <c r="X80" i="20"/>
  <c r="W80" i="20"/>
  <c r="V80" i="20"/>
  <c r="U80" i="20"/>
  <c r="T80" i="20"/>
  <c r="S80" i="20"/>
  <c r="R80" i="20"/>
  <c r="Q80" i="20"/>
  <c r="P80" i="20"/>
  <c r="O80" i="20"/>
  <c r="N80" i="20"/>
  <c r="M80" i="20"/>
  <c r="L80" i="20"/>
  <c r="K80" i="20"/>
  <c r="J80" i="20"/>
  <c r="I80" i="20"/>
  <c r="H80" i="20"/>
  <c r="G80" i="20"/>
  <c r="F80" i="20"/>
  <c r="E80" i="20"/>
  <c r="D80" i="20"/>
  <c r="AJ79" i="20"/>
  <c r="AQ79" i="20" s="1"/>
  <c r="AI79" i="20"/>
  <c r="AH79" i="20"/>
  <c r="AG79" i="20"/>
  <c r="AF79" i="20"/>
  <c r="AE79" i="20"/>
  <c r="AD79" i="20"/>
  <c r="AC79" i="20"/>
  <c r="AB79" i="20"/>
  <c r="AA79" i="20"/>
  <c r="Z79" i="20"/>
  <c r="Y79" i="20"/>
  <c r="X79" i="20"/>
  <c r="W79" i="20"/>
  <c r="V79" i="20"/>
  <c r="U79" i="20"/>
  <c r="T79" i="20"/>
  <c r="S79" i="20"/>
  <c r="R79" i="20"/>
  <c r="Q79" i="20"/>
  <c r="P79" i="20"/>
  <c r="O79" i="20"/>
  <c r="N79" i="20"/>
  <c r="M79" i="20"/>
  <c r="L79" i="20"/>
  <c r="K79" i="20"/>
  <c r="J79" i="20"/>
  <c r="I79" i="20"/>
  <c r="H79" i="20"/>
  <c r="G79" i="20"/>
  <c r="F79" i="20"/>
  <c r="E79" i="20"/>
  <c r="D79" i="20"/>
  <c r="AQ78" i="20"/>
  <c r="AJ78" i="20"/>
  <c r="AI78" i="20"/>
  <c r="AH78" i="20"/>
  <c r="AG78" i="20"/>
  <c r="AF78" i="20"/>
  <c r="AE78" i="20"/>
  <c r="AD78" i="20"/>
  <c r="AC78" i="20"/>
  <c r="AB78" i="20"/>
  <c r="AA78" i="20"/>
  <c r="Z78" i="20"/>
  <c r="Y78" i="20"/>
  <c r="X78" i="20"/>
  <c r="W78" i="20"/>
  <c r="V78" i="20"/>
  <c r="U78" i="20"/>
  <c r="T78" i="20"/>
  <c r="S78" i="20"/>
  <c r="R78" i="20"/>
  <c r="Q78" i="20"/>
  <c r="P78" i="20"/>
  <c r="O78" i="20"/>
  <c r="N78" i="20"/>
  <c r="M78" i="20"/>
  <c r="L78" i="20"/>
  <c r="K78" i="20"/>
  <c r="J78" i="20"/>
  <c r="I78" i="20"/>
  <c r="H78" i="20"/>
  <c r="G78" i="20"/>
  <c r="F78" i="20"/>
  <c r="E78" i="20"/>
  <c r="D78" i="20"/>
  <c r="AO78" i="20" s="1"/>
  <c r="AJ77" i="20"/>
  <c r="AQ77" i="20" s="1"/>
  <c r="AR13" i="20" s="1"/>
  <c r="AI77" i="20"/>
  <c r="AH77" i="20"/>
  <c r="AG77" i="20"/>
  <c r="AF77" i="20"/>
  <c r="AE77" i="20"/>
  <c r="AD77" i="20"/>
  <c r="AC77" i="20"/>
  <c r="AB77" i="20"/>
  <c r="AA77" i="20"/>
  <c r="Z77" i="20"/>
  <c r="Y77" i="20"/>
  <c r="X77" i="20"/>
  <c r="W77" i="20"/>
  <c r="V77" i="20"/>
  <c r="U77" i="20"/>
  <c r="T77" i="20"/>
  <c r="AM77" i="20" s="1"/>
  <c r="S77" i="20"/>
  <c r="R77" i="20"/>
  <c r="Q77" i="20"/>
  <c r="P77" i="20"/>
  <c r="O77" i="20"/>
  <c r="N77" i="20"/>
  <c r="M77" i="20"/>
  <c r="L77" i="20"/>
  <c r="K77" i="20"/>
  <c r="J77" i="20"/>
  <c r="I77" i="20"/>
  <c r="H77" i="20"/>
  <c r="G77" i="20"/>
  <c r="F77" i="20"/>
  <c r="E77" i="20"/>
  <c r="D77" i="20"/>
  <c r="AJ76" i="20"/>
  <c r="AQ76" i="20" s="1"/>
  <c r="AR11" i="20" s="1"/>
  <c r="AI76" i="20"/>
  <c r="AH76" i="20"/>
  <c r="AG76" i="20"/>
  <c r="AF76" i="20"/>
  <c r="AE76" i="20"/>
  <c r="AD76" i="20"/>
  <c r="AC76" i="20"/>
  <c r="AB76" i="20"/>
  <c r="AA76" i="20"/>
  <c r="Z76" i="20"/>
  <c r="Y76" i="20"/>
  <c r="X76" i="20"/>
  <c r="W76" i="20"/>
  <c r="V76" i="20"/>
  <c r="U76" i="20"/>
  <c r="T76" i="20"/>
  <c r="S76" i="20"/>
  <c r="R76" i="20"/>
  <c r="Q76" i="20"/>
  <c r="P76" i="20"/>
  <c r="O76" i="20"/>
  <c r="N76" i="20"/>
  <c r="M76" i="20"/>
  <c r="L76" i="20"/>
  <c r="K76" i="20"/>
  <c r="J76" i="20"/>
  <c r="I76" i="20"/>
  <c r="H76" i="20"/>
  <c r="G76" i="20"/>
  <c r="F76" i="20"/>
  <c r="E76" i="20"/>
  <c r="D76" i="20"/>
  <c r="AJ75" i="20"/>
  <c r="AQ75" i="20" s="1"/>
  <c r="AI75" i="20"/>
  <c r="AH75" i="20"/>
  <c r="AG75" i="20"/>
  <c r="AF75" i="20"/>
  <c r="AE75" i="20"/>
  <c r="AD75" i="20"/>
  <c r="AC75" i="20"/>
  <c r="AB75" i="20"/>
  <c r="AA75" i="20"/>
  <c r="Z75" i="20"/>
  <c r="Y75" i="20"/>
  <c r="X75" i="20"/>
  <c r="W75" i="20"/>
  <c r="V75" i="20"/>
  <c r="U75" i="20"/>
  <c r="T75" i="20"/>
  <c r="S75" i="20"/>
  <c r="R75" i="20"/>
  <c r="Q75" i="20"/>
  <c r="P75" i="20"/>
  <c r="O75" i="20"/>
  <c r="N75" i="20"/>
  <c r="M75" i="20"/>
  <c r="L75" i="20"/>
  <c r="K75" i="20"/>
  <c r="J75" i="20"/>
  <c r="I75" i="20"/>
  <c r="H75" i="20"/>
  <c r="G75" i="20"/>
  <c r="F75" i="20"/>
  <c r="E75" i="20"/>
  <c r="D75" i="20"/>
  <c r="AJ74" i="20"/>
  <c r="AI74" i="20"/>
  <c r="AH74" i="20"/>
  <c r="AG74" i="20"/>
  <c r="AF74" i="20"/>
  <c r="AE74" i="20"/>
  <c r="AD74" i="20"/>
  <c r="AC74" i="20"/>
  <c r="AB74" i="20"/>
  <c r="AA74" i="20"/>
  <c r="Z74" i="20"/>
  <c r="Y74" i="20"/>
  <c r="X74" i="20"/>
  <c r="W74" i="20"/>
  <c r="V74" i="20"/>
  <c r="U74" i="20"/>
  <c r="T74" i="20"/>
  <c r="AM74" i="20" s="1"/>
  <c r="S74" i="20"/>
  <c r="R74" i="20"/>
  <c r="Q74" i="20"/>
  <c r="P74" i="20"/>
  <c r="O74" i="20"/>
  <c r="N74" i="20"/>
  <c r="M74" i="20"/>
  <c r="L74" i="20"/>
  <c r="K74" i="20"/>
  <c r="J74" i="20"/>
  <c r="I74" i="20"/>
  <c r="H74" i="20"/>
  <c r="G74" i="20"/>
  <c r="F74" i="20"/>
  <c r="E74" i="20"/>
  <c r="D74" i="20"/>
  <c r="AJ73" i="20"/>
  <c r="AI73" i="20"/>
  <c r="AH73" i="20"/>
  <c r="AG73" i="20"/>
  <c r="AF73" i="20"/>
  <c r="AE73" i="20"/>
  <c r="AD73" i="20"/>
  <c r="AC73" i="20"/>
  <c r="AB73" i="20"/>
  <c r="AA73" i="20"/>
  <c r="Z73" i="20"/>
  <c r="Y73" i="20"/>
  <c r="X73" i="20"/>
  <c r="W73" i="20"/>
  <c r="V73" i="20"/>
  <c r="U73" i="20"/>
  <c r="T73" i="20"/>
  <c r="S73" i="20"/>
  <c r="R73" i="20"/>
  <c r="Q73" i="20"/>
  <c r="P73" i="20"/>
  <c r="O73" i="20"/>
  <c r="N73" i="20"/>
  <c r="M73" i="20"/>
  <c r="L73" i="20"/>
  <c r="K73" i="20"/>
  <c r="J73" i="20"/>
  <c r="I73" i="20"/>
  <c r="H73" i="20"/>
  <c r="G73" i="20"/>
  <c r="F73" i="20"/>
  <c r="E73" i="20"/>
  <c r="D73" i="20"/>
  <c r="AJ72" i="20"/>
  <c r="AI72" i="20"/>
  <c r="AH72" i="20"/>
  <c r="AG72" i="20"/>
  <c r="AF72" i="20"/>
  <c r="AE72" i="20"/>
  <c r="AD72" i="20"/>
  <c r="AC72" i="20"/>
  <c r="AB72" i="20"/>
  <c r="AA72" i="20"/>
  <c r="Z72" i="20"/>
  <c r="Y72" i="20"/>
  <c r="X72" i="20"/>
  <c r="W72" i="20"/>
  <c r="V72" i="20"/>
  <c r="U72" i="20"/>
  <c r="T72" i="20"/>
  <c r="S72" i="20"/>
  <c r="R72" i="20"/>
  <c r="Q72" i="20"/>
  <c r="P72" i="20"/>
  <c r="O72" i="20"/>
  <c r="N72" i="20"/>
  <c r="M72" i="20"/>
  <c r="L72" i="20"/>
  <c r="K72" i="20"/>
  <c r="J72" i="20"/>
  <c r="I72" i="20"/>
  <c r="H72" i="20"/>
  <c r="G72" i="20"/>
  <c r="F72" i="20"/>
  <c r="E72" i="20"/>
  <c r="D72"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K71" i="20"/>
  <c r="J71" i="20"/>
  <c r="I71" i="20"/>
  <c r="H71" i="20"/>
  <c r="G71" i="20"/>
  <c r="F71" i="20"/>
  <c r="E71" i="20"/>
  <c r="D71" i="20"/>
  <c r="C71" i="20"/>
  <c r="AT70" i="20"/>
  <c r="AR70" i="20"/>
  <c r="AT69" i="20"/>
  <c r="C69" i="20"/>
  <c r="C199" i="20" s="1"/>
  <c r="AT68" i="20"/>
  <c r="AS68" i="20"/>
  <c r="C68" i="20"/>
  <c r="AT67" i="20"/>
  <c r="AS67" i="20"/>
  <c r="AR67" i="20"/>
  <c r="C67" i="20"/>
  <c r="AT66" i="20"/>
  <c r="C66" i="20"/>
  <c r="AT65" i="20"/>
  <c r="AS65" i="20"/>
  <c r="C65" i="20"/>
  <c r="AT64" i="20"/>
  <c r="C64" i="20"/>
  <c r="AT63" i="20"/>
  <c r="C63" i="20"/>
  <c r="AT62" i="20"/>
  <c r="AS62" i="20"/>
  <c r="C62" i="20"/>
  <c r="C127" i="20" s="1"/>
  <c r="AT61" i="20"/>
  <c r="AS61" i="20"/>
  <c r="C61" i="20"/>
  <c r="C191" i="20" s="1"/>
  <c r="AT60" i="20"/>
  <c r="AS60" i="20"/>
  <c r="AR60" i="20"/>
  <c r="C60" i="20"/>
  <c r="AT59" i="20"/>
  <c r="AS59" i="20"/>
  <c r="C59" i="20"/>
  <c r="AT58" i="20"/>
  <c r="C58" i="20"/>
  <c r="AT57" i="20"/>
  <c r="AR57" i="20"/>
  <c r="C57" i="20"/>
  <c r="AT56" i="20"/>
  <c r="AS56" i="20"/>
  <c r="C56" i="20"/>
  <c r="AT55" i="20"/>
  <c r="AS55" i="20"/>
  <c r="C55" i="20"/>
  <c r="AT54" i="20"/>
  <c r="AS54" i="20"/>
  <c r="C54" i="20"/>
  <c r="C119" i="20" s="1"/>
  <c r="AT53" i="20"/>
  <c r="AS53" i="20"/>
  <c r="C53" i="20"/>
  <c r="AT52" i="20"/>
  <c r="C52" i="20"/>
  <c r="AT51" i="20"/>
  <c r="AS51" i="20"/>
  <c r="AR51" i="20"/>
  <c r="C51" i="20"/>
  <c r="AT50" i="20"/>
  <c r="C50" i="20"/>
  <c r="C180" i="20" s="1"/>
  <c r="AT49" i="20"/>
  <c r="C49" i="20"/>
  <c r="C179" i="20" s="1"/>
  <c r="AT48" i="20"/>
  <c r="C48" i="20"/>
  <c r="C178" i="20" s="1"/>
  <c r="AT47" i="20"/>
  <c r="C47" i="20"/>
  <c r="AT46" i="20"/>
  <c r="C46" i="20"/>
  <c r="C111" i="20" s="1"/>
  <c r="AT45" i="20"/>
  <c r="C45" i="20"/>
  <c r="AT44" i="20"/>
  <c r="C44" i="20"/>
  <c r="AT43" i="20"/>
  <c r="AS43" i="20"/>
  <c r="AR43" i="20"/>
  <c r="C43" i="20"/>
  <c r="AT42" i="20"/>
  <c r="AS42" i="20"/>
  <c r="AR42" i="20"/>
  <c r="C42" i="20"/>
  <c r="AT41" i="20"/>
  <c r="AS41" i="20"/>
  <c r="C41" i="20"/>
  <c r="AT40" i="20"/>
  <c r="AS40" i="20"/>
  <c r="C40" i="20"/>
  <c r="AT39" i="20"/>
  <c r="C39" i="20"/>
  <c r="C169" i="20" s="1"/>
  <c r="AT38" i="20"/>
  <c r="AS38" i="20"/>
  <c r="C38" i="20"/>
  <c r="AT37" i="20"/>
  <c r="AS37" i="20"/>
  <c r="AR37" i="20"/>
  <c r="C37" i="20"/>
  <c r="AT36" i="20"/>
  <c r="C36" i="20"/>
  <c r="AT35" i="20"/>
  <c r="AR35" i="20"/>
  <c r="C35" i="20"/>
  <c r="AT34" i="20"/>
  <c r="AR34" i="20"/>
  <c r="C34" i="20"/>
  <c r="AT33" i="20"/>
  <c r="AS33" i="20"/>
  <c r="C33" i="20"/>
  <c r="C163" i="20" s="1"/>
  <c r="AT32" i="20"/>
  <c r="C32" i="20"/>
  <c r="C162" i="20" s="1"/>
  <c r="AT31" i="20"/>
  <c r="C31" i="20"/>
  <c r="AT30" i="20"/>
  <c r="C30" i="20"/>
  <c r="AT29" i="20"/>
  <c r="AS29" i="20"/>
  <c r="AR29" i="20"/>
  <c r="C29" i="20"/>
  <c r="C159" i="20" s="1"/>
  <c r="AT28" i="20"/>
  <c r="C28" i="20"/>
  <c r="AT27" i="20"/>
  <c r="C27" i="20"/>
  <c r="AT26" i="20"/>
  <c r="C26" i="20"/>
  <c r="C156" i="20" s="1"/>
  <c r="AT25" i="20"/>
  <c r="C25" i="20"/>
  <c r="C155" i="20" s="1"/>
  <c r="AT24" i="20"/>
  <c r="C24" i="20"/>
  <c r="AT23" i="20"/>
  <c r="AS23" i="20"/>
  <c r="C23" i="20"/>
  <c r="C153" i="20" s="1"/>
  <c r="AT22" i="20"/>
  <c r="C22" i="20"/>
  <c r="AT21" i="20"/>
  <c r="AS21" i="20"/>
  <c r="C21" i="20"/>
  <c r="C151" i="20" s="1"/>
  <c r="AT20" i="20"/>
  <c r="AS20" i="20"/>
  <c r="C20" i="20"/>
  <c r="C150" i="20" s="1"/>
  <c r="AT19" i="20"/>
  <c r="AS19" i="20"/>
  <c r="C19" i="20"/>
  <c r="AT18" i="20"/>
  <c r="AS18" i="20"/>
  <c r="C18" i="20"/>
  <c r="AT17" i="20"/>
  <c r="AS17" i="20"/>
  <c r="C17" i="20"/>
  <c r="AT16" i="20"/>
  <c r="AS16" i="20"/>
  <c r="C16" i="20"/>
  <c r="C146" i="20" s="1"/>
  <c r="AT15" i="20"/>
  <c r="C15" i="20"/>
  <c r="C145" i="20" s="1"/>
  <c r="AT14" i="20"/>
  <c r="C14" i="20"/>
  <c r="C144" i="20" s="1"/>
  <c r="AW13" i="20"/>
  <c r="AT13" i="20"/>
  <c r="AS13" i="20"/>
  <c r="C13" i="20"/>
  <c r="C143" i="20" s="1"/>
  <c r="AT12" i="20"/>
  <c r="C12" i="20"/>
  <c r="C142" i="20" s="1"/>
  <c r="AT11" i="20"/>
  <c r="AS11" i="20"/>
  <c r="C11" i="20"/>
  <c r="AT10" i="20"/>
  <c r="C10" i="20"/>
  <c r="C140" i="20" s="1"/>
  <c r="AL9" i="20"/>
  <c r="AT9" i="20" s="1"/>
  <c r="C9" i="20"/>
  <c r="C139" i="20" s="1"/>
  <c r="AL8" i="20"/>
  <c r="C8" i="20"/>
  <c r="C138" i="20" s="1"/>
  <c r="C7" i="20"/>
  <c r="C137" i="20" s="1"/>
  <c r="AW6" i="20"/>
  <c r="B6" i="20" s="1"/>
  <c r="B136" i="20" s="1"/>
  <c r="AL6" i="20"/>
  <c r="C6" i="20"/>
  <c r="C136" i="20" s="1"/>
  <c r="B3" i="20"/>
  <c r="AW7" i="20" s="1"/>
  <c r="AS26" i="20" l="1"/>
  <c r="AS25" i="20"/>
  <c r="AR64" i="20"/>
  <c r="AR63" i="20"/>
  <c r="AR47" i="20"/>
  <c r="AR48" i="20"/>
  <c r="AS14" i="20"/>
  <c r="AS15" i="20"/>
  <c r="AS31" i="20"/>
  <c r="AS30" i="20"/>
  <c r="AR53" i="20"/>
  <c r="AM82" i="20"/>
  <c r="AN89" i="20"/>
  <c r="AR28" i="20"/>
  <c r="AN99" i="20"/>
  <c r="AO138" i="20"/>
  <c r="AL138" i="20"/>
  <c r="AO142" i="20"/>
  <c r="AL142" i="20"/>
  <c r="AN156" i="20"/>
  <c r="AL157" i="20"/>
  <c r="AN84" i="20"/>
  <c r="AS45" i="20"/>
  <c r="AT6" i="20"/>
  <c r="AR15" i="20"/>
  <c r="C152" i="20"/>
  <c r="C87" i="20"/>
  <c r="C160" i="20"/>
  <c r="C95" i="20"/>
  <c r="AM75" i="20"/>
  <c r="AM81" i="20"/>
  <c r="AN83" i="20"/>
  <c r="C94" i="20"/>
  <c r="AO104" i="20"/>
  <c r="AL104" i="20"/>
  <c r="AM119" i="20"/>
  <c r="AM129" i="20"/>
  <c r="AR66" i="20"/>
  <c r="AR65" i="20"/>
  <c r="AO147" i="20"/>
  <c r="AL147" i="20"/>
  <c r="AO161" i="20"/>
  <c r="AL161" i="20"/>
  <c r="AS48" i="20"/>
  <c r="AL184" i="20"/>
  <c r="C138" i="21"/>
  <c r="C73" i="21"/>
  <c r="C156" i="21"/>
  <c r="C91" i="21"/>
  <c r="C171" i="20"/>
  <c r="C106" i="20"/>
  <c r="AS15" i="22"/>
  <c r="AS14" i="22"/>
  <c r="AS64" i="20"/>
  <c r="AM88" i="20"/>
  <c r="AO162" i="20"/>
  <c r="AL162" i="20"/>
  <c r="AR25" i="21"/>
  <c r="C103" i="20"/>
  <c r="C168" i="20"/>
  <c r="AS50" i="20"/>
  <c r="AO73" i="20"/>
  <c r="AL73" i="20"/>
  <c r="AN77" i="20"/>
  <c r="AO79" i="20"/>
  <c r="AL79" i="20"/>
  <c r="AM91" i="20"/>
  <c r="AL94" i="20"/>
  <c r="AM100" i="20"/>
  <c r="AL108" i="20"/>
  <c r="AM110" i="20"/>
  <c r="AN125" i="20"/>
  <c r="AO152" i="20"/>
  <c r="AM153" i="20"/>
  <c r="AN164" i="20"/>
  <c r="AN182" i="20"/>
  <c r="AM185" i="20"/>
  <c r="AM191" i="20"/>
  <c r="AR43" i="21"/>
  <c r="AL75" i="21"/>
  <c r="AR64" i="21"/>
  <c r="AR63" i="21"/>
  <c r="AS46" i="20"/>
  <c r="AS69" i="20"/>
  <c r="C77" i="20"/>
  <c r="AL83" i="20"/>
  <c r="AL84" i="20"/>
  <c r="AL89" i="20"/>
  <c r="AN93" i="20"/>
  <c r="AM95" i="20"/>
  <c r="C98" i="20"/>
  <c r="AN98" i="20"/>
  <c r="AO99" i="20"/>
  <c r="AN102" i="20"/>
  <c r="AO103" i="20"/>
  <c r="AO123" i="20"/>
  <c r="AM123" i="20"/>
  <c r="AL126" i="20"/>
  <c r="AN154" i="20"/>
  <c r="AO156" i="20"/>
  <c r="AL156" i="20"/>
  <c r="AN196" i="20"/>
  <c r="AR28" i="21"/>
  <c r="AR27" i="21"/>
  <c r="AS27" i="21"/>
  <c r="AS26" i="21"/>
  <c r="AR60" i="22"/>
  <c r="AR59" i="22"/>
  <c r="AR45" i="20"/>
  <c r="AR46" i="20"/>
  <c r="AR59" i="20"/>
  <c r="AN139" i="20"/>
  <c r="AM142" i="20"/>
  <c r="AO146" i="20"/>
  <c r="AL146" i="20"/>
  <c r="AM176" i="20"/>
  <c r="AN177" i="20"/>
  <c r="AN132" i="21"/>
  <c r="AR68" i="21"/>
  <c r="AR67" i="21"/>
  <c r="AN87" i="20"/>
  <c r="AN101" i="20"/>
  <c r="AM104" i="20"/>
  <c r="AM109" i="20"/>
  <c r="AS35" i="20"/>
  <c r="AL72" i="20"/>
  <c r="AL77" i="20"/>
  <c r="AN81" i="20"/>
  <c r="AO88" i="20"/>
  <c r="AL88" i="20"/>
  <c r="AO94" i="20"/>
  <c r="AL98" i="20"/>
  <c r="AO111" i="20"/>
  <c r="AL111" i="20"/>
  <c r="AN119" i="20"/>
  <c r="AO130" i="20"/>
  <c r="AL130" i="20"/>
  <c r="AL136" i="20"/>
  <c r="AN140" i="20"/>
  <c r="AN181" i="20"/>
  <c r="AM198" i="20"/>
  <c r="AR32" i="21"/>
  <c r="AM85" i="21"/>
  <c r="AR40" i="21"/>
  <c r="AN114" i="21"/>
  <c r="AR49" i="21"/>
  <c r="AM126" i="21"/>
  <c r="AN127" i="21"/>
  <c r="AR22" i="20"/>
  <c r="AT8" i="20"/>
  <c r="AM73" i="20"/>
  <c r="AO76" i="20"/>
  <c r="AL76" i="20"/>
  <c r="AO77" i="20"/>
  <c r="AL82" i="20"/>
  <c r="AO84" i="20"/>
  <c r="AM85" i="20"/>
  <c r="AO97" i="20"/>
  <c r="AL97" i="20"/>
  <c r="AO125" i="20"/>
  <c r="AL125" i="20"/>
  <c r="AN133" i="20"/>
  <c r="AM137" i="20"/>
  <c r="AN144" i="20"/>
  <c r="AO145" i="20"/>
  <c r="AL145" i="20"/>
  <c r="AN148" i="20"/>
  <c r="AN171" i="20"/>
  <c r="AO178" i="20"/>
  <c r="AL178" i="20"/>
  <c r="AM179" i="20"/>
  <c r="AM193" i="20"/>
  <c r="C141" i="21"/>
  <c r="C76" i="21"/>
  <c r="AR57" i="21"/>
  <c r="AO75" i="20"/>
  <c r="C81" i="20"/>
  <c r="AO87" i="20"/>
  <c r="AL87" i="20"/>
  <c r="AM89" i="20"/>
  <c r="AL106" i="20"/>
  <c r="AN109" i="20"/>
  <c r="AO110" i="20"/>
  <c r="AR62" i="20"/>
  <c r="AR68" i="20"/>
  <c r="AM169" i="20"/>
  <c r="AN172" i="20"/>
  <c r="AO186" i="20"/>
  <c r="AL186" i="20"/>
  <c r="AO197" i="20"/>
  <c r="AO73" i="21"/>
  <c r="AS36" i="22"/>
  <c r="AS37" i="22"/>
  <c r="AM84" i="20"/>
  <c r="AN123" i="20"/>
  <c r="C147" i="20"/>
  <c r="C82" i="20"/>
  <c r="AO71" i="20"/>
  <c r="AL75" i="20"/>
  <c r="AR14" i="20"/>
  <c r="AR39" i="20"/>
  <c r="AM111" i="20"/>
  <c r="AN114" i="20"/>
  <c r="AO119" i="20"/>
  <c r="AL119" i="20"/>
  <c r="AM121" i="20"/>
  <c r="AM164" i="20"/>
  <c r="AO181" i="20"/>
  <c r="AO195" i="20"/>
  <c r="AL195" i="20"/>
  <c r="AN198" i="20"/>
  <c r="AO91" i="21"/>
  <c r="AR29" i="21"/>
  <c r="AR30" i="21"/>
  <c r="AN73" i="20"/>
  <c r="AN74" i="20"/>
  <c r="AM76" i="20"/>
  <c r="AO96" i="20"/>
  <c r="AM102" i="20"/>
  <c r="AR44" i="20"/>
  <c r="AO112" i="20"/>
  <c r="AL115" i="20"/>
  <c r="AM122" i="20"/>
  <c r="AM133" i="20"/>
  <c r="AO137" i="20"/>
  <c r="AL137" i="20"/>
  <c r="AM144" i="20"/>
  <c r="AN145" i="20"/>
  <c r="AM154" i="20"/>
  <c r="AM155" i="20"/>
  <c r="AO163" i="20"/>
  <c r="AL163" i="20"/>
  <c r="AO165" i="20"/>
  <c r="AN167" i="20"/>
  <c r="AO169" i="20"/>
  <c r="AL169" i="20"/>
  <c r="AO174" i="20"/>
  <c r="AL174" i="20"/>
  <c r="AN189" i="20"/>
  <c r="AO191" i="20"/>
  <c r="AL191" i="20"/>
  <c r="AN194" i="20"/>
  <c r="AO196" i="20"/>
  <c r="AL196" i="20"/>
  <c r="AT8" i="21"/>
  <c r="AN78" i="21"/>
  <c r="C84" i="21"/>
  <c r="AM87" i="21"/>
  <c r="AM113" i="21"/>
  <c r="AM118" i="21"/>
  <c r="AO123" i="21"/>
  <c r="AM161" i="21"/>
  <c r="AO178" i="21"/>
  <c r="AL178" i="21"/>
  <c r="AM197" i="21"/>
  <c r="AR21" i="22"/>
  <c r="AR19" i="22"/>
  <c r="AM100" i="22"/>
  <c r="AS30" i="22"/>
  <c r="AS31" i="22"/>
  <c r="AM72" i="20"/>
  <c r="AO74" i="20"/>
  <c r="AL74" i="20"/>
  <c r="AN78" i="20"/>
  <c r="AL81" i="20"/>
  <c r="AN92" i="20"/>
  <c r="AN97" i="20"/>
  <c r="AR33" i="20"/>
  <c r="AM101" i="20"/>
  <c r="AM107" i="20"/>
  <c r="AM127" i="20"/>
  <c r="AM132" i="20"/>
  <c r="AN136" i="20"/>
  <c r="AL152" i="20"/>
  <c r="AN161" i="20"/>
  <c r="AN166" i="20"/>
  <c r="AO179" i="20"/>
  <c r="AL179" i="20"/>
  <c r="AM181" i="20"/>
  <c r="AN184" i="20"/>
  <c r="AO185" i="20"/>
  <c r="AL185" i="20"/>
  <c r="AM107" i="21"/>
  <c r="AN119" i="21"/>
  <c r="AO121" i="21"/>
  <c r="AM127" i="21"/>
  <c r="AN130" i="21"/>
  <c r="AM132" i="21"/>
  <c r="AO141" i="21"/>
  <c r="AN144" i="21"/>
  <c r="AN148" i="21"/>
  <c r="AR32" i="22"/>
  <c r="AR33" i="22"/>
  <c r="AS22" i="22"/>
  <c r="AS21" i="22"/>
  <c r="AN72" i="21"/>
  <c r="AL74" i="21"/>
  <c r="AN77" i="21"/>
  <c r="AN93" i="21"/>
  <c r="AN103" i="21"/>
  <c r="AO105" i="21"/>
  <c r="AM117" i="21"/>
  <c r="AO130" i="21"/>
  <c r="AL130" i="21"/>
  <c r="AN139" i="21"/>
  <c r="AM142" i="21"/>
  <c r="AO145" i="21"/>
  <c r="AL145" i="21"/>
  <c r="AO154" i="21"/>
  <c r="AL154" i="21"/>
  <c r="AL163" i="21"/>
  <c r="AR46" i="22"/>
  <c r="AR45" i="22"/>
  <c r="AN123" i="22"/>
  <c r="AN155" i="22"/>
  <c r="AS26" i="22"/>
  <c r="AS25" i="22"/>
  <c r="AM171" i="22"/>
  <c r="AN177" i="22"/>
  <c r="AS48" i="22"/>
  <c r="AM76" i="21"/>
  <c r="AO79" i="21"/>
  <c r="AM80" i="21"/>
  <c r="AN97" i="21"/>
  <c r="AN108" i="21"/>
  <c r="AO110" i="21"/>
  <c r="AL110" i="21"/>
  <c r="AM111" i="21"/>
  <c r="AO120" i="21"/>
  <c r="AL120" i="21"/>
  <c r="AO125" i="21"/>
  <c r="AL125" i="21"/>
  <c r="AN128" i="21"/>
  <c r="AM146" i="21"/>
  <c r="AM160" i="21"/>
  <c r="AM169" i="21"/>
  <c r="AN172" i="21"/>
  <c r="AO181" i="21"/>
  <c r="AN193" i="21"/>
  <c r="AO195" i="21"/>
  <c r="AS66" i="22"/>
  <c r="AM73" i="22"/>
  <c r="AR18" i="22"/>
  <c r="AS39" i="22"/>
  <c r="AS38" i="22"/>
  <c r="AM176" i="22"/>
  <c r="AL189" i="20"/>
  <c r="AM196" i="20"/>
  <c r="AL73" i="21"/>
  <c r="AL78" i="21"/>
  <c r="AL83" i="21"/>
  <c r="AO84" i="21"/>
  <c r="AM95" i="21"/>
  <c r="AN98" i="21"/>
  <c r="AM100" i="21"/>
  <c r="AO104" i="21"/>
  <c r="AL104" i="21"/>
  <c r="AN118" i="21"/>
  <c r="AR58" i="21"/>
  <c r="AL129" i="21"/>
  <c r="AO131" i="21"/>
  <c r="AM131" i="21"/>
  <c r="AO136" i="21"/>
  <c r="AL136" i="21"/>
  <c r="AM137" i="21"/>
  <c r="AO115" i="22"/>
  <c r="AM192" i="22"/>
  <c r="AO180" i="21"/>
  <c r="AL180" i="21"/>
  <c r="AM81" i="22"/>
  <c r="AR44" i="22"/>
  <c r="AN118" i="22"/>
  <c r="AM121" i="22"/>
  <c r="AM148" i="22"/>
  <c r="AM187" i="22"/>
  <c r="AN76" i="20"/>
  <c r="AM80" i="20"/>
  <c r="AN82" i="20"/>
  <c r="AR17" i="20"/>
  <c r="AO85" i="20"/>
  <c r="AM87" i="20"/>
  <c r="AL91" i="20"/>
  <c r="AN95" i="20"/>
  <c r="AR30" i="20"/>
  <c r="AM99" i="20"/>
  <c r="AN100" i="20"/>
  <c r="AR36" i="20"/>
  <c r="AN111" i="20"/>
  <c r="AM125" i="20"/>
  <c r="AM130" i="20"/>
  <c r="AO139" i="20"/>
  <c r="AL139" i="20"/>
  <c r="AN142" i="20"/>
  <c r="AL144" i="20"/>
  <c r="AO157" i="20"/>
  <c r="AM157" i="20"/>
  <c r="AN159" i="20"/>
  <c r="AM163" i="20"/>
  <c r="AS34" i="20"/>
  <c r="AN176" i="20"/>
  <c r="AO177" i="20"/>
  <c r="AL177" i="20"/>
  <c r="AN186" i="20"/>
  <c r="AO188" i="20"/>
  <c r="AL188" i="20"/>
  <c r="AN76" i="21"/>
  <c r="AO77" i="21"/>
  <c r="AL77" i="21"/>
  <c r="AO78" i="21"/>
  <c r="AO82" i="21"/>
  <c r="AL82" i="21"/>
  <c r="AM84" i="21"/>
  <c r="AR21" i="21"/>
  <c r="AN87" i="21"/>
  <c r="AL88" i="21"/>
  <c r="AO93" i="21"/>
  <c r="AL93" i="21"/>
  <c r="AN96" i="21"/>
  <c r="AR37" i="21"/>
  <c r="AO103" i="21"/>
  <c r="AL103" i="21"/>
  <c r="AN117" i="21"/>
  <c r="AM120" i="21"/>
  <c r="AO129" i="21"/>
  <c r="AM130" i="21"/>
  <c r="AN138" i="21"/>
  <c r="AL139" i="21"/>
  <c r="AN151" i="21"/>
  <c r="AS21" i="21"/>
  <c r="AN165" i="21"/>
  <c r="C164" i="22"/>
  <c r="C99" i="22"/>
  <c r="AR52" i="22"/>
  <c r="AR62" i="22"/>
  <c r="AR61" i="22"/>
  <c r="AN140" i="22"/>
  <c r="AS33" i="22"/>
  <c r="AS32" i="22"/>
  <c r="AS41" i="22"/>
  <c r="AN180" i="22"/>
  <c r="AS55" i="22"/>
  <c r="AS54" i="22"/>
  <c r="AS59" i="22"/>
  <c r="AS58" i="22"/>
  <c r="AO128" i="20"/>
  <c r="AL128" i="20"/>
  <c r="AN147" i="20"/>
  <c r="AL149" i="20"/>
  <c r="AM152" i="20"/>
  <c r="AN153" i="20"/>
  <c r="AL160" i="20"/>
  <c r="AO171" i="20"/>
  <c r="AL171" i="20"/>
  <c r="AO173" i="20"/>
  <c r="AO182" i="20"/>
  <c r="AL182" i="20"/>
  <c r="AO193" i="20"/>
  <c r="AL193" i="20"/>
  <c r="AO198" i="20"/>
  <c r="AL198" i="20"/>
  <c r="AR19" i="21"/>
  <c r="AR23" i="21"/>
  <c r="AN75" i="21"/>
  <c r="AM79" i="21"/>
  <c r="AN80" i="21"/>
  <c r="AR15" i="21"/>
  <c r="AM83" i="21"/>
  <c r="AL97" i="21"/>
  <c r="AO99" i="21"/>
  <c r="C102" i="21"/>
  <c r="AO108" i="21"/>
  <c r="AL108" i="21"/>
  <c r="AM110" i="21"/>
  <c r="AN111" i="21"/>
  <c r="AO115" i="21"/>
  <c r="AM125" i="21"/>
  <c r="AO128" i="21"/>
  <c r="AR30" i="22"/>
  <c r="AR31" i="22"/>
  <c r="AN130" i="22"/>
  <c r="AO181" i="22"/>
  <c r="AN90" i="20"/>
  <c r="AL96" i="20"/>
  <c r="AM98" i="20"/>
  <c r="AL101" i="20"/>
  <c r="AO102" i="20"/>
  <c r="AR50" i="20"/>
  <c r="AL117" i="20"/>
  <c r="AN120" i="20"/>
  <c r="AO122" i="20"/>
  <c r="AL122" i="20"/>
  <c r="AO133" i="20"/>
  <c r="AL133" i="20"/>
  <c r="AN137" i="20"/>
  <c r="AO144" i="20"/>
  <c r="AM145" i="20"/>
  <c r="AM156" i="20"/>
  <c r="AN163" i="20"/>
  <c r="AM167" i="20"/>
  <c r="AN169" i="20"/>
  <c r="AN174" i="20"/>
  <c r="AO189" i="20"/>
  <c r="AM189" i="20"/>
  <c r="AN191" i="20"/>
  <c r="AM194" i="20"/>
  <c r="AM195" i="20"/>
  <c r="AS66" i="20"/>
  <c r="C71" i="21"/>
  <c r="AM71" i="21"/>
  <c r="AM74" i="21"/>
  <c r="AO81" i="21"/>
  <c r="AO87" i="21"/>
  <c r="AO88" i="21"/>
  <c r="AN95" i="21"/>
  <c r="AN100" i="21"/>
  <c r="AN105" i="21"/>
  <c r="AO113" i="21"/>
  <c r="AO118" i="21"/>
  <c r="AL118" i="21"/>
  <c r="AO197" i="21"/>
  <c r="AL79" i="22"/>
  <c r="AR26" i="22"/>
  <c r="AR25" i="22"/>
  <c r="AR39" i="22"/>
  <c r="AR38" i="22"/>
  <c r="AN112" i="22"/>
  <c r="AM142" i="22"/>
  <c r="AM186" i="22"/>
  <c r="AO197" i="22"/>
  <c r="AL71" i="20"/>
  <c r="AN75" i="20"/>
  <c r="AO83" i="20"/>
  <c r="AM97" i="20"/>
  <c r="AN104" i="20"/>
  <c r="AO107" i="20"/>
  <c r="AN110" i="20"/>
  <c r="AO127" i="20"/>
  <c r="AL127" i="20"/>
  <c r="AO132" i="20"/>
  <c r="AL132" i="20"/>
  <c r="AM136" i="20"/>
  <c r="AO154" i="20"/>
  <c r="AL154" i="20"/>
  <c r="AM161" i="20"/>
  <c r="AM166" i="20"/>
  <c r="AN179" i="20"/>
  <c r="AL181" i="20"/>
  <c r="AM184" i="20"/>
  <c r="AN185" i="20"/>
  <c r="AL192" i="20"/>
  <c r="AL71" i="21"/>
  <c r="AL81" i="21"/>
  <c r="AN85" i="21"/>
  <c r="AL92" i="21"/>
  <c r="AO97" i="21"/>
  <c r="AL107" i="21"/>
  <c r="AO112" i="21"/>
  <c r="AL112" i="21"/>
  <c r="AM119" i="21"/>
  <c r="AN141" i="21"/>
  <c r="AO156" i="21"/>
  <c r="AL156" i="21"/>
  <c r="AM180" i="21"/>
  <c r="AL87" i="22"/>
  <c r="AO109" i="22"/>
  <c r="AL109" i="22"/>
  <c r="AR65" i="22"/>
  <c r="AR64" i="22"/>
  <c r="AN157" i="20"/>
  <c r="AO159" i="20"/>
  <c r="AL159" i="20"/>
  <c r="AO164" i="20"/>
  <c r="AL164" i="20"/>
  <c r="AO170" i="20"/>
  <c r="AL170" i="20"/>
  <c r="AO176" i="20"/>
  <c r="AM177" i="20"/>
  <c r="AM188" i="20"/>
  <c r="AN195" i="20"/>
  <c r="AO76" i="21"/>
  <c r="AL76" i="21"/>
  <c r="AM77" i="21"/>
  <c r="AR14" i="21"/>
  <c r="AM82" i="21"/>
  <c r="AO86" i="21"/>
  <c r="AL86" i="21"/>
  <c r="AM93" i="21"/>
  <c r="AO96" i="21"/>
  <c r="AL96" i="21"/>
  <c r="AM103" i="21"/>
  <c r="AN106" i="21"/>
  <c r="AM129" i="21"/>
  <c r="AO138" i="21"/>
  <c r="AL138" i="21"/>
  <c r="AM139" i="21"/>
  <c r="AO151" i="21"/>
  <c r="AL151" i="21"/>
  <c r="AO165" i="21"/>
  <c r="AL165" i="21"/>
  <c r="AO179" i="21"/>
  <c r="AL104" i="22"/>
  <c r="AN107" i="22"/>
  <c r="AM132" i="22"/>
  <c r="AR69" i="22"/>
  <c r="AR68" i="22"/>
  <c r="AL128" i="21"/>
  <c r="AM152" i="21"/>
  <c r="AN159" i="21"/>
  <c r="AS29" i="21"/>
  <c r="AN170" i="21"/>
  <c r="AN176" i="21"/>
  <c r="AM185" i="21"/>
  <c r="AO194" i="21"/>
  <c r="AL194" i="21"/>
  <c r="AM196" i="21"/>
  <c r="AN198" i="21"/>
  <c r="C72" i="22"/>
  <c r="AN72" i="22"/>
  <c r="AO74" i="22"/>
  <c r="C78" i="22"/>
  <c r="AN78" i="22"/>
  <c r="AO87" i="22"/>
  <c r="AM105" i="22"/>
  <c r="AL113" i="22"/>
  <c r="AM115" i="22"/>
  <c r="AM120" i="22"/>
  <c r="AN132" i="22"/>
  <c r="AO136" i="22"/>
  <c r="AN138" i="22"/>
  <c r="AO145" i="22"/>
  <c r="AL145" i="22"/>
  <c r="AN156" i="22"/>
  <c r="AM169" i="22"/>
  <c r="AO178" i="22"/>
  <c r="AL178" i="22"/>
  <c r="AL184" i="22"/>
  <c r="AN187" i="22"/>
  <c r="AL189" i="22"/>
  <c r="AL85" i="21"/>
  <c r="AO95" i="21"/>
  <c r="AL95" i="21"/>
  <c r="AO100" i="21"/>
  <c r="AN104" i="21"/>
  <c r="AM108" i="21"/>
  <c r="AN110" i="21"/>
  <c r="AO117" i="21"/>
  <c r="AL117" i="21"/>
  <c r="AO122" i="21"/>
  <c r="AL122" i="21"/>
  <c r="AN126" i="21"/>
  <c r="AN131" i="21"/>
  <c r="AR66" i="21"/>
  <c r="AM136" i="21"/>
  <c r="AN137" i="21"/>
  <c r="AO139" i="21"/>
  <c r="AN142" i="21"/>
  <c r="AO144" i="21"/>
  <c r="AL144" i="21"/>
  <c r="AN153" i="21"/>
  <c r="AO157" i="21"/>
  <c r="AO166" i="21"/>
  <c r="AL166" i="21"/>
  <c r="AL171" i="21"/>
  <c r="AO177" i="21"/>
  <c r="AL177" i="21"/>
  <c r="AO183" i="21"/>
  <c r="AL183" i="21"/>
  <c r="AO188" i="21"/>
  <c r="AL188" i="21"/>
  <c r="AN192" i="21"/>
  <c r="AO78" i="22"/>
  <c r="AL78" i="22"/>
  <c r="C85" i="22"/>
  <c r="AM110" i="22"/>
  <c r="AN111" i="22"/>
  <c r="AN127" i="22"/>
  <c r="AM130" i="22"/>
  <c r="AO139" i="22"/>
  <c r="AL139" i="22"/>
  <c r="AO141" i="22"/>
  <c r="AM141" i="22"/>
  <c r="AM146" i="22"/>
  <c r="AO150" i="22"/>
  <c r="AL150" i="22"/>
  <c r="AO156" i="22"/>
  <c r="AL156" i="22"/>
  <c r="AO161" i="22"/>
  <c r="AL161" i="22"/>
  <c r="AN170" i="22"/>
  <c r="AM174" i="22"/>
  <c r="AM185" i="22"/>
  <c r="AO194" i="22"/>
  <c r="AL194" i="22"/>
  <c r="AN197" i="22"/>
  <c r="AR12" i="21"/>
  <c r="AN82" i="21"/>
  <c r="AR17" i="21"/>
  <c r="AL84" i="21"/>
  <c r="AM86" i="21"/>
  <c r="AM97" i="21"/>
  <c r="AL100" i="21"/>
  <c r="AL105" i="21"/>
  <c r="AO111" i="21"/>
  <c r="AL111" i="21"/>
  <c r="AR50" i="21"/>
  <c r="AN120" i="21"/>
  <c r="AO127" i="21"/>
  <c r="AL127" i="21"/>
  <c r="AO132" i="21"/>
  <c r="AL132" i="21"/>
  <c r="AM145" i="21"/>
  <c r="AM151" i="21"/>
  <c r="AO155" i="21"/>
  <c r="AM156" i="21"/>
  <c r="AO160" i="21"/>
  <c r="AL160" i="21"/>
  <c r="AN163" i="21"/>
  <c r="AN169" i="21"/>
  <c r="AM173" i="21"/>
  <c r="AM178" i="21"/>
  <c r="AM179" i="21"/>
  <c r="AN186" i="21"/>
  <c r="AO193" i="21"/>
  <c r="AL193" i="21"/>
  <c r="AN197" i="21"/>
  <c r="AN71" i="22"/>
  <c r="AL72" i="22"/>
  <c r="AO79" i="22"/>
  <c r="AM80" i="22"/>
  <c r="AN81" i="22"/>
  <c r="C84" i="22"/>
  <c r="AN84" i="22"/>
  <c r="AO85" i="22"/>
  <c r="AO91" i="22"/>
  <c r="AM92" i="22"/>
  <c r="AL96" i="22"/>
  <c r="AN101" i="22"/>
  <c r="AL107" i="22"/>
  <c r="AM109" i="22"/>
  <c r="AO112" i="22"/>
  <c r="AN117" i="22"/>
  <c r="AL123" i="22"/>
  <c r="AM125" i="22"/>
  <c r="AN142" i="22"/>
  <c r="AO155" i="22"/>
  <c r="AO157" i="22"/>
  <c r="AM162" i="22"/>
  <c r="AO166" i="22"/>
  <c r="AL166" i="22"/>
  <c r="AO172" i="22"/>
  <c r="AL172" i="22"/>
  <c r="AN176" i="22"/>
  <c r="AO177" i="22"/>
  <c r="AL177" i="22"/>
  <c r="AN186" i="22"/>
  <c r="AN188" i="22"/>
  <c r="AM190" i="22"/>
  <c r="AO171" i="21"/>
  <c r="AM184" i="21"/>
  <c r="AN191" i="21"/>
  <c r="AS61" i="21"/>
  <c r="AO77" i="22"/>
  <c r="AM79" i="22"/>
  <c r="C82" i="22"/>
  <c r="C83" i="22"/>
  <c r="AL85" i="22"/>
  <c r="AL90" i="22"/>
  <c r="AM103" i="22"/>
  <c r="AN106" i="22"/>
  <c r="AL112" i="22"/>
  <c r="AM119" i="22"/>
  <c r="AO122" i="22"/>
  <c r="AL122" i="22"/>
  <c r="AO128" i="22"/>
  <c r="AL128" i="22"/>
  <c r="AN137" i="22"/>
  <c r="AM140" i="22"/>
  <c r="AL144" i="22"/>
  <c r="AN147" i="22"/>
  <c r="AN153" i="22"/>
  <c r="AL155" i="22"/>
  <c r="AO188" i="22"/>
  <c r="AL188" i="22"/>
  <c r="AN192" i="22"/>
  <c r="AO193" i="22"/>
  <c r="AL193" i="22"/>
  <c r="AO198" i="22"/>
  <c r="AL198" i="22"/>
  <c r="AN146" i="21"/>
  <c r="AN152" i="21"/>
  <c r="AO159" i="21"/>
  <c r="AL159" i="21"/>
  <c r="AN164" i="21"/>
  <c r="AO170" i="21"/>
  <c r="AL170" i="21"/>
  <c r="AO176" i="21"/>
  <c r="AL176" i="21"/>
  <c r="AN185" i="21"/>
  <c r="AO189" i="21"/>
  <c r="AO198" i="21"/>
  <c r="AL198" i="21"/>
  <c r="AR49" i="22"/>
  <c r="AL71" i="22"/>
  <c r="C76" i="22"/>
  <c r="AN76" i="22"/>
  <c r="AL77" i="22"/>
  <c r="AO83" i="22"/>
  <c r="AL84" i="22"/>
  <c r="AM86" i="22"/>
  <c r="AL94" i="22"/>
  <c r="AN95" i="22"/>
  <c r="AM97" i="22"/>
  <c r="AO100" i="22"/>
  <c r="AN115" i="22"/>
  <c r="AN120" i="22"/>
  <c r="AR56" i="22"/>
  <c r="AO132" i="22"/>
  <c r="AL132" i="22"/>
  <c r="AM136" i="22"/>
  <c r="AM145" i="22"/>
  <c r="AL149" i="22"/>
  <c r="AN169" i="22"/>
  <c r="AO173" i="22"/>
  <c r="AM173" i="22"/>
  <c r="AO187" i="22"/>
  <c r="AL187" i="22"/>
  <c r="AM189" i="22"/>
  <c r="AM194" i="22"/>
  <c r="AM195" i="22"/>
  <c r="AM122" i="21"/>
  <c r="AO126" i="21"/>
  <c r="AL126" i="21"/>
  <c r="AN129" i="21"/>
  <c r="AL131" i="21"/>
  <c r="AN136" i="21"/>
  <c r="AO137" i="21"/>
  <c r="AL137" i="21"/>
  <c r="AO142" i="21"/>
  <c r="AL142" i="21"/>
  <c r="AM144" i="21"/>
  <c r="AO153" i="21"/>
  <c r="AL153" i="21"/>
  <c r="AN162" i="21"/>
  <c r="AO164" i="21"/>
  <c r="AL164" i="21"/>
  <c r="AM166" i="21"/>
  <c r="AM177" i="21"/>
  <c r="AM183" i="21"/>
  <c r="AO187" i="21"/>
  <c r="AM188" i="21"/>
  <c r="AO192" i="21"/>
  <c r="AL192" i="21"/>
  <c r="AN195" i="21"/>
  <c r="AO72" i="22"/>
  <c r="AO82" i="22"/>
  <c r="AL82" i="22"/>
  <c r="AN93" i="22"/>
  <c r="AO102" i="22"/>
  <c r="AR40" i="22"/>
  <c r="AN110" i="22"/>
  <c r="AO111" i="22"/>
  <c r="AL111" i="22"/>
  <c r="AO127" i="22"/>
  <c r="AL127" i="22"/>
  <c r="AM129" i="22"/>
  <c r="AO138" i="22"/>
  <c r="AL138" i="22"/>
  <c r="AN141" i="22"/>
  <c r="AN146" i="22"/>
  <c r="AN148" i="22"/>
  <c r="AM150" i="22"/>
  <c r="AO154" i="22"/>
  <c r="AL154" i="22"/>
  <c r="AM156" i="22"/>
  <c r="AM161" i="22"/>
  <c r="AN174" i="22"/>
  <c r="AN179" i="22"/>
  <c r="AN185" i="22"/>
  <c r="AL197" i="22"/>
  <c r="AO186" i="21"/>
  <c r="AL186" i="21"/>
  <c r="AM193" i="21"/>
  <c r="AL197" i="21"/>
  <c r="AO75" i="22"/>
  <c r="AL76" i="22"/>
  <c r="AN79" i="22"/>
  <c r="AN80" i="22"/>
  <c r="AO81" i="22"/>
  <c r="AL81" i="22"/>
  <c r="AL89" i="22"/>
  <c r="AM91" i="22"/>
  <c r="AN99" i="22"/>
  <c r="AM107" i="22"/>
  <c r="AM112" i="22"/>
  <c r="AM123" i="22"/>
  <c r="AO142" i="22"/>
  <c r="AL142" i="22"/>
  <c r="AO148" i="22"/>
  <c r="AL148" i="22"/>
  <c r="AN162" i="22"/>
  <c r="AM166" i="22"/>
  <c r="AO170" i="22"/>
  <c r="AL170" i="22"/>
  <c r="AM172" i="22"/>
  <c r="AO176" i="22"/>
  <c r="AM177" i="22"/>
  <c r="AN190" i="22"/>
  <c r="AL141" i="21"/>
  <c r="AO147" i="21"/>
  <c r="AN161" i="21"/>
  <c r="AM165" i="21"/>
  <c r="AS37" i="21"/>
  <c r="AN178" i="21"/>
  <c r="AN184" i="21"/>
  <c r="AO191" i="21"/>
  <c r="AL191" i="21"/>
  <c r="AN196" i="21"/>
  <c r="AO71" i="22"/>
  <c r="AM72" i="22"/>
  <c r="AN73" i="22"/>
  <c r="AL75" i="22"/>
  <c r="AM77" i="22"/>
  <c r="AM78" i="22"/>
  <c r="AN92" i="22"/>
  <c r="AN103" i="22"/>
  <c r="AN113" i="22"/>
  <c r="AM118" i="22"/>
  <c r="AN119" i="22"/>
  <c r="AR54" i="22"/>
  <c r="AM122" i="22"/>
  <c r="AO137" i="22"/>
  <c r="AL137" i="22"/>
  <c r="AO147" i="22"/>
  <c r="AL147" i="22"/>
  <c r="AM149" i="22"/>
  <c r="AO153" i="22"/>
  <c r="AL153" i="22"/>
  <c r="AO164" i="22"/>
  <c r="AL164" i="22"/>
  <c r="AO186" i="22"/>
  <c r="AL186" i="22"/>
  <c r="AM188" i="22"/>
  <c r="AO192" i="22"/>
  <c r="AM193" i="22"/>
  <c r="AN196" i="22"/>
  <c r="AM198" i="22"/>
  <c r="AN140" i="21"/>
  <c r="AO146" i="21"/>
  <c r="AL146" i="21"/>
  <c r="AO152" i="21"/>
  <c r="AL152" i="21"/>
  <c r="AM159" i="21"/>
  <c r="AO163" i="21"/>
  <c r="AM176" i="21"/>
  <c r="AO185" i="21"/>
  <c r="AL185" i="21"/>
  <c r="AN194" i="21"/>
  <c r="AO196" i="21"/>
  <c r="AL196" i="21"/>
  <c r="AM198" i="21"/>
  <c r="AN74" i="22"/>
  <c r="AM83" i="22"/>
  <c r="AM85" i="22"/>
  <c r="AN86" i="22"/>
  <c r="AN87" i="22"/>
  <c r="AL88" i="22"/>
  <c r="AM90" i="22"/>
  <c r="AL99" i="22"/>
  <c r="AN109" i="22"/>
  <c r="AL110" i="22"/>
  <c r="AL115" i="22"/>
  <c r="AN125" i="22"/>
  <c r="AN136" i="22"/>
  <c r="AM138" i="22"/>
  <c r="AN145" i="22"/>
  <c r="AO169" i="22"/>
  <c r="AL169" i="22"/>
  <c r="AN173" i="22"/>
  <c r="AS43" i="22"/>
  <c r="AN189" i="22"/>
  <c r="AN194" i="22"/>
  <c r="AM153" i="21"/>
  <c r="AO162" i="21"/>
  <c r="AL162" i="21"/>
  <c r="AM164" i="21"/>
  <c r="AN166" i="21"/>
  <c r="AN171" i="21"/>
  <c r="AN177" i="21"/>
  <c r="AN183" i="21"/>
  <c r="AS53" i="21"/>
  <c r="AM186" i="21"/>
  <c r="AM187" i="21"/>
  <c r="AM192" i="21"/>
  <c r="AL195" i="21"/>
  <c r="AM71" i="22"/>
  <c r="AL74" i="22"/>
  <c r="AR13" i="22"/>
  <c r="AO80" i="22"/>
  <c r="AL80" i="22"/>
  <c r="AO92" i="22"/>
  <c r="AM111" i="22"/>
  <c r="AN114" i="22"/>
  <c r="AO120" i="22"/>
  <c r="AL120" i="22"/>
  <c r="AM127" i="22"/>
  <c r="AO130" i="22"/>
  <c r="AL130" i="22"/>
  <c r="AN139" i="22"/>
  <c r="AQ139" i="22" s="1"/>
  <c r="AN150" i="22"/>
  <c r="AN161" i="22"/>
  <c r="AO165" i="22"/>
  <c r="AM170" i="22"/>
  <c r="AO174" i="22"/>
  <c r="AL174" i="22"/>
  <c r="AO179" i="22"/>
  <c r="AL179" i="22"/>
  <c r="AO185" i="22"/>
  <c r="AL185" i="22"/>
  <c r="AM197" i="22"/>
  <c r="B71" i="22"/>
  <c r="AR16" i="22"/>
  <c r="AR17" i="22"/>
  <c r="AQ73" i="22"/>
  <c r="AR8" i="22" s="1"/>
  <c r="AQ72" i="22"/>
  <c r="AR7" i="22" s="1"/>
  <c r="C165" i="22"/>
  <c r="C100" i="22"/>
  <c r="C170" i="22"/>
  <c r="C105" i="22"/>
  <c r="C179" i="22"/>
  <c r="C114" i="22"/>
  <c r="C119" i="22"/>
  <c r="C184" i="22"/>
  <c r="C189" i="22"/>
  <c r="C124" i="22"/>
  <c r="AO76" i="22"/>
  <c r="C80" i="22"/>
  <c r="AO84" i="22"/>
  <c r="AM84" i="22"/>
  <c r="C89" i="22"/>
  <c r="AN94" i="22"/>
  <c r="AM94" i="22"/>
  <c r="C97" i="22"/>
  <c r="AO101" i="22"/>
  <c r="AM101" i="22"/>
  <c r="AL101" i="22"/>
  <c r="AO104" i="22"/>
  <c r="AN104" i="22"/>
  <c r="AM104" i="22"/>
  <c r="AO108" i="22"/>
  <c r="AN108" i="22"/>
  <c r="AL108" i="22"/>
  <c r="AO116" i="22"/>
  <c r="AN116" i="22"/>
  <c r="AL116" i="22"/>
  <c r="AO126" i="22"/>
  <c r="C182" i="22"/>
  <c r="C117" i="22"/>
  <c r="C194" i="22"/>
  <c r="C129" i="22"/>
  <c r="C157" i="22"/>
  <c r="C92" i="22"/>
  <c r="C174" i="22"/>
  <c r="C109" i="22"/>
  <c r="AR47" i="22"/>
  <c r="C75" i="22"/>
  <c r="C86" i="22"/>
  <c r="AO89" i="22"/>
  <c r="AN89" i="22"/>
  <c r="AR24" i="22"/>
  <c r="C95" i="22"/>
  <c r="AO97" i="22"/>
  <c r="AN97" i="22"/>
  <c r="AM99" i="22"/>
  <c r="AO121" i="22"/>
  <c r="AN121" i="22"/>
  <c r="AL121" i="22"/>
  <c r="AO143" i="22"/>
  <c r="AN143" i="22"/>
  <c r="AM143" i="22"/>
  <c r="AL143" i="22"/>
  <c r="C177" i="22"/>
  <c r="C112" i="22"/>
  <c r="C169" i="22"/>
  <c r="C104" i="22"/>
  <c r="C111" i="22"/>
  <c r="C176" i="22"/>
  <c r="AS47" i="22"/>
  <c r="C181" i="22"/>
  <c r="C116" i="22"/>
  <c r="C186" i="22"/>
  <c r="C121" i="22"/>
  <c r="C193" i="22"/>
  <c r="C128" i="22"/>
  <c r="AN75" i="22"/>
  <c r="AL86" i="22"/>
  <c r="AN91" i="22"/>
  <c r="AL91" i="22"/>
  <c r="AL93" i="22"/>
  <c r="AO95" i="22"/>
  <c r="AM95" i="22"/>
  <c r="AL95" i="22"/>
  <c r="C102" i="22"/>
  <c r="AO105" i="22"/>
  <c r="AN105" i="22"/>
  <c r="AO133" i="22"/>
  <c r="AM133" i="22"/>
  <c r="AL133" i="22"/>
  <c r="AR14" i="22"/>
  <c r="C136" i="22"/>
  <c r="C71" i="22"/>
  <c r="AT9" i="22"/>
  <c r="C146" i="22"/>
  <c r="C81" i="22"/>
  <c r="C171" i="22"/>
  <c r="C106" i="22"/>
  <c r="C198" i="22"/>
  <c r="C133" i="22"/>
  <c r="C74" i="22"/>
  <c r="AN83" i="22"/>
  <c r="AL83" i="22"/>
  <c r="C126" i="22"/>
  <c r="C134" i="22"/>
  <c r="C166" i="22"/>
  <c r="C101" i="22"/>
  <c r="C178" i="22"/>
  <c r="C113" i="22"/>
  <c r="C190" i="22"/>
  <c r="C125" i="22"/>
  <c r="C195" i="22"/>
  <c r="C130" i="22"/>
  <c r="AM74" i="22"/>
  <c r="C88" i="22"/>
  <c r="C90" i="22"/>
  <c r="AO114" i="22"/>
  <c r="AM114" i="22"/>
  <c r="AL114" i="22"/>
  <c r="C118" i="22"/>
  <c r="AN133" i="22"/>
  <c r="C163" i="22"/>
  <c r="C98" i="22"/>
  <c r="C103" i="22"/>
  <c r="C168" i="22"/>
  <c r="C173" i="22"/>
  <c r="C108" i="22"/>
  <c r="C185" i="22"/>
  <c r="C120" i="22"/>
  <c r="C127" i="22"/>
  <c r="C192" i="22"/>
  <c r="C77" i="22"/>
  <c r="AM82" i="22"/>
  <c r="AN85" i="22"/>
  <c r="AO88" i="22"/>
  <c r="AL92" i="22"/>
  <c r="C94" i="22"/>
  <c r="C96" i="22"/>
  <c r="AN98" i="22"/>
  <c r="AL126" i="22"/>
  <c r="C144" i="22"/>
  <c r="C79" i="22"/>
  <c r="AR15" i="22"/>
  <c r="C158" i="22"/>
  <c r="C93" i="22"/>
  <c r="C175" i="22"/>
  <c r="C110" i="22"/>
  <c r="C187" i="22"/>
  <c r="C122" i="22"/>
  <c r="C197" i="22"/>
  <c r="C132" i="22"/>
  <c r="AO96" i="22"/>
  <c r="AL118" i="22"/>
  <c r="C172" i="22"/>
  <c r="C107" i="22"/>
  <c r="C180" i="22"/>
  <c r="C115" i="22"/>
  <c r="C188" i="22"/>
  <c r="C123" i="22"/>
  <c r="C196" i="22"/>
  <c r="C131" i="22"/>
  <c r="AM87" i="22"/>
  <c r="AO90" i="22"/>
  <c r="AM93" i="22"/>
  <c r="AN102" i="22"/>
  <c r="AM102" i="22"/>
  <c r="AO106" i="22"/>
  <c r="AM106" i="22"/>
  <c r="AL106" i="22"/>
  <c r="AO117" i="22"/>
  <c r="AM117" i="22"/>
  <c r="AL117" i="22"/>
  <c r="AM124" i="22"/>
  <c r="AO129" i="22"/>
  <c r="AN129" i="22"/>
  <c r="AL129" i="22"/>
  <c r="AL136" i="22"/>
  <c r="AQ137" i="22"/>
  <c r="AS7" i="22" s="1"/>
  <c r="AL141" i="22"/>
  <c r="AO144" i="22"/>
  <c r="AN144" i="22"/>
  <c r="AM144" i="22"/>
  <c r="AO159" i="22"/>
  <c r="AN159" i="22"/>
  <c r="AM159" i="22"/>
  <c r="AL159" i="22"/>
  <c r="AO163" i="22"/>
  <c r="AN163" i="22"/>
  <c r="AL163" i="22"/>
  <c r="AL173" i="22"/>
  <c r="AN178" i="22"/>
  <c r="AM178" i="22"/>
  <c r="AN181" i="22"/>
  <c r="AM181" i="22"/>
  <c r="AL181" i="22"/>
  <c r="AO184" i="22"/>
  <c r="AN184" i="22"/>
  <c r="AM184" i="22"/>
  <c r="AL192" i="22"/>
  <c r="AO196" i="22"/>
  <c r="AM196" i="22"/>
  <c r="AL196" i="22"/>
  <c r="AL152" i="22"/>
  <c r="AQ138" i="22"/>
  <c r="AS8" i="22" s="1"/>
  <c r="AO152" i="22"/>
  <c r="AN152" i="22"/>
  <c r="AM152" i="22"/>
  <c r="AO167" i="22"/>
  <c r="AN167" i="22"/>
  <c r="AM167" i="22"/>
  <c r="AL167" i="22"/>
  <c r="AO171" i="22"/>
  <c r="AN171" i="22"/>
  <c r="AL171" i="22"/>
  <c r="AO182" i="22"/>
  <c r="AN182" i="22"/>
  <c r="AM182" i="22"/>
  <c r="AL182" i="22"/>
  <c r="AN154" i="22"/>
  <c r="AM154" i="22"/>
  <c r="AN157" i="22"/>
  <c r="AM157" i="22"/>
  <c r="AL160" i="22"/>
  <c r="AO175" i="22"/>
  <c r="AL157" i="22"/>
  <c r="AO160" i="22"/>
  <c r="AN160" i="22"/>
  <c r="AM160" i="22"/>
  <c r="AN175" i="22"/>
  <c r="AM175" i="22"/>
  <c r="AL175" i="22"/>
  <c r="AO183" i="22"/>
  <c r="AN126" i="22"/>
  <c r="AM126" i="22"/>
  <c r="AL134" i="22"/>
  <c r="AO158" i="22"/>
  <c r="AN158" i="22"/>
  <c r="AM158" i="22"/>
  <c r="AL158" i="22"/>
  <c r="AN165" i="22"/>
  <c r="AM165" i="22"/>
  <c r="AL168" i="22"/>
  <c r="AN183" i="22"/>
  <c r="AM183" i="22"/>
  <c r="AL183" i="22"/>
  <c r="AO191" i="22"/>
  <c r="AO195" i="22"/>
  <c r="AN195" i="22"/>
  <c r="AL195" i="22"/>
  <c r="AN88" i="22"/>
  <c r="AM88" i="22"/>
  <c r="AN96" i="22"/>
  <c r="AM96" i="22"/>
  <c r="AO98" i="22"/>
  <c r="AL98" i="22"/>
  <c r="AN100" i="22"/>
  <c r="AL100" i="22"/>
  <c r="AL102" i="22"/>
  <c r="AL105" i="22"/>
  <c r="AM108" i="22"/>
  <c r="AO118" i="22"/>
  <c r="AO124" i="22"/>
  <c r="AN124" i="22"/>
  <c r="AL124" i="22"/>
  <c r="AN128" i="22"/>
  <c r="AM128" i="22"/>
  <c r="AN131" i="22"/>
  <c r="AM131" i="22"/>
  <c r="AL131" i="22"/>
  <c r="AO134" i="22"/>
  <c r="AN134" i="22"/>
  <c r="AM134" i="22"/>
  <c r="AO151" i="22"/>
  <c r="AN151" i="22"/>
  <c r="AM151" i="22"/>
  <c r="AL151" i="22"/>
  <c r="AL165" i="22"/>
  <c r="AO168" i="22"/>
  <c r="AN168" i="22"/>
  <c r="AM168" i="22"/>
  <c r="AL176" i="22"/>
  <c r="AO180" i="22"/>
  <c r="AM180" i="22"/>
  <c r="AL180" i="22"/>
  <c r="AN191" i="22"/>
  <c r="AM191" i="22"/>
  <c r="AL191" i="22"/>
  <c r="AO199" i="22"/>
  <c r="AN199" i="22"/>
  <c r="AM199" i="22"/>
  <c r="AL199" i="22"/>
  <c r="C87" i="21"/>
  <c r="C152" i="21"/>
  <c r="C143" i="21"/>
  <c r="C78" i="21"/>
  <c r="C95" i="21"/>
  <c r="C160" i="21"/>
  <c r="AR35" i="21"/>
  <c r="C178" i="21"/>
  <c r="C113" i="21"/>
  <c r="AL79" i="21"/>
  <c r="C81" i="21"/>
  <c r="C86" i="21"/>
  <c r="AN88" i="21"/>
  <c r="AM89" i="21"/>
  <c r="C162" i="21"/>
  <c r="C97" i="21"/>
  <c r="C171" i="21"/>
  <c r="C106" i="21"/>
  <c r="C173" i="21"/>
  <c r="C108" i="21"/>
  <c r="C180" i="21"/>
  <c r="C115" i="21"/>
  <c r="C186" i="21"/>
  <c r="C121" i="21"/>
  <c r="AN81" i="21"/>
  <c r="AM81" i="21"/>
  <c r="AO83" i="21"/>
  <c r="AR18" i="21"/>
  <c r="AN99" i="21"/>
  <c r="AM99" i="21"/>
  <c r="AL99" i="21"/>
  <c r="AO124" i="21"/>
  <c r="AN124" i="21"/>
  <c r="AM124" i="21"/>
  <c r="AL124" i="21"/>
  <c r="C179" i="21"/>
  <c r="C114" i="21"/>
  <c r="C188" i="21"/>
  <c r="C123" i="21"/>
  <c r="C194" i="21"/>
  <c r="C129" i="21"/>
  <c r="AN79" i="21"/>
  <c r="AT9" i="21"/>
  <c r="C155" i="21"/>
  <c r="C90" i="21"/>
  <c r="C164" i="21"/>
  <c r="C99" i="21"/>
  <c r="C175" i="21"/>
  <c r="C110" i="21"/>
  <c r="C196" i="21"/>
  <c r="C131" i="21"/>
  <c r="AN73" i="21"/>
  <c r="AQ73" i="21" s="1"/>
  <c r="AR8" i="21" s="1"/>
  <c r="AM73" i="21"/>
  <c r="AO75" i="21"/>
  <c r="AM78" i="21"/>
  <c r="AL87" i="21"/>
  <c r="C89" i="21"/>
  <c r="C92" i="21"/>
  <c r="AN121" i="21"/>
  <c r="AL121" i="21"/>
  <c r="AR60" i="21"/>
  <c r="AR61" i="21"/>
  <c r="C170" i="21"/>
  <c r="C105" i="21"/>
  <c r="C181" i="21"/>
  <c r="C116" i="21"/>
  <c r="AN71" i="21"/>
  <c r="AQ71" i="21" s="1"/>
  <c r="AR6" i="21" s="1"/>
  <c r="C80" i="21"/>
  <c r="AL89" i="21"/>
  <c r="AO101" i="21"/>
  <c r="AN101" i="21"/>
  <c r="AM101" i="21"/>
  <c r="AL101" i="21"/>
  <c r="C168" i="21"/>
  <c r="C189" i="21"/>
  <c r="C124" i="21"/>
  <c r="AR52" i="21"/>
  <c r="AR53" i="21"/>
  <c r="AQ137" i="21"/>
  <c r="AS7" i="21" s="1"/>
  <c r="C148" i="21"/>
  <c r="C83" i="21"/>
  <c r="C183" i="21"/>
  <c r="C118" i="21"/>
  <c r="C140" i="21"/>
  <c r="C75" i="21"/>
  <c r="C163" i="21"/>
  <c r="C98" i="21"/>
  <c r="C165" i="21"/>
  <c r="C100" i="21"/>
  <c r="C172" i="21"/>
  <c r="C107" i="21"/>
  <c r="C187" i="21"/>
  <c r="C122" i="21"/>
  <c r="C191" i="21"/>
  <c r="C126" i="21"/>
  <c r="C197" i="21"/>
  <c r="C132" i="21"/>
  <c r="C72" i="21"/>
  <c r="C74" i="21"/>
  <c r="AR13" i="21"/>
  <c r="AO89" i="21"/>
  <c r="AO90" i="21"/>
  <c r="AM90" i="21"/>
  <c r="AL90" i="21"/>
  <c r="B6" i="21"/>
  <c r="C111" i="21"/>
  <c r="C176" i="21"/>
  <c r="C195" i="21"/>
  <c r="C130" i="21"/>
  <c r="AO72" i="21"/>
  <c r="AM72" i="21"/>
  <c r="AL72" i="21"/>
  <c r="AO74" i="21"/>
  <c r="AN74" i="21"/>
  <c r="C79" i="21"/>
  <c r="C94" i="21"/>
  <c r="AO98" i="21"/>
  <c r="AM98" i="21"/>
  <c r="AL98" i="21"/>
  <c r="C153" i="21"/>
  <c r="C88" i="21"/>
  <c r="C161" i="21"/>
  <c r="C96" i="21"/>
  <c r="C169" i="21"/>
  <c r="C104" i="21"/>
  <c r="C177" i="21"/>
  <c r="C112" i="21"/>
  <c r="C185" i="21"/>
  <c r="C120" i="21"/>
  <c r="C193" i="21"/>
  <c r="C128" i="21"/>
  <c r="AN89" i="21"/>
  <c r="AN91" i="21"/>
  <c r="AM91" i="21"/>
  <c r="AL91" i="21"/>
  <c r="AO94" i="21"/>
  <c r="AN94" i="21"/>
  <c r="AM94" i="21"/>
  <c r="AL94" i="21"/>
  <c r="AO109" i="21"/>
  <c r="AN109" i="21"/>
  <c r="AM109" i="21"/>
  <c r="AL109" i="21"/>
  <c r="AN113" i="21"/>
  <c r="AL113" i="21"/>
  <c r="AO116" i="21"/>
  <c r="AN116" i="21"/>
  <c r="AM116" i="21"/>
  <c r="AL116" i="21"/>
  <c r="AN123" i="21"/>
  <c r="AM123" i="21"/>
  <c r="AL123" i="21"/>
  <c r="AO143" i="21"/>
  <c r="AN143" i="21"/>
  <c r="AM143" i="21"/>
  <c r="AL143" i="21"/>
  <c r="AN147" i="21"/>
  <c r="AL147" i="21"/>
  <c r="AO150" i="21"/>
  <c r="AN150" i="21"/>
  <c r="AM150" i="21"/>
  <c r="AL150" i="21"/>
  <c r="AN157" i="21"/>
  <c r="AM157" i="21"/>
  <c r="AL157" i="21"/>
  <c r="AO175" i="21"/>
  <c r="AN175" i="21"/>
  <c r="AM175" i="21"/>
  <c r="AL175" i="21"/>
  <c r="AN179" i="21"/>
  <c r="AL179" i="21"/>
  <c r="AO182" i="21"/>
  <c r="AN182" i="21"/>
  <c r="AM182" i="21"/>
  <c r="AL182" i="21"/>
  <c r="AN189" i="21"/>
  <c r="AM189" i="21"/>
  <c r="AL189" i="21"/>
  <c r="C158" i="21"/>
  <c r="C93" i="21"/>
  <c r="C166" i="21"/>
  <c r="C101" i="21"/>
  <c r="C174" i="21"/>
  <c r="C109" i="21"/>
  <c r="C182" i="21"/>
  <c r="C117" i="21"/>
  <c r="C190" i="21"/>
  <c r="C125" i="21"/>
  <c r="C198" i="21"/>
  <c r="C133" i="21"/>
  <c r="C77" i="21"/>
  <c r="AO85" i="21"/>
  <c r="AM88" i="21"/>
  <c r="AM96" i="21"/>
  <c r="AO102" i="21"/>
  <c r="AN102" i="21"/>
  <c r="AM102" i="21"/>
  <c r="AL102" i="21"/>
  <c r="AO106" i="21"/>
  <c r="AM106" i="21"/>
  <c r="AL106" i="21"/>
  <c r="AM128" i="21"/>
  <c r="AO134" i="21"/>
  <c r="AN134" i="21"/>
  <c r="AM134" i="21"/>
  <c r="AL134" i="21"/>
  <c r="AQ139" i="21"/>
  <c r="AO140" i="21"/>
  <c r="AM140" i="21"/>
  <c r="AL140" i="21"/>
  <c r="AM162" i="21"/>
  <c r="AO168" i="21"/>
  <c r="AN168" i="21"/>
  <c r="AM168" i="21"/>
  <c r="AL168" i="21"/>
  <c r="AO172" i="21"/>
  <c r="AM172" i="21"/>
  <c r="AL172" i="21"/>
  <c r="AM194" i="21"/>
  <c r="AN155" i="21"/>
  <c r="AL155" i="21"/>
  <c r="AO158" i="21"/>
  <c r="AN158" i="21"/>
  <c r="AM158" i="21"/>
  <c r="AL158" i="21"/>
  <c r="AN187" i="21"/>
  <c r="AL187" i="21"/>
  <c r="AO190" i="21"/>
  <c r="AN190" i="21"/>
  <c r="AM190" i="21"/>
  <c r="AL190" i="21"/>
  <c r="AN84" i="21"/>
  <c r="AO92" i="21"/>
  <c r="AN92" i="21"/>
  <c r="AM92" i="21"/>
  <c r="AM104" i="21"/>
  <c r="AO114" i="21"/>
  <c r="AM114" i="21"/>
  <c r="AL114" i="21"/>
  <c r="AO148" i="21"/>
  <c r="AM148" i="21"/>
  <c r="AL148" i="21"/>
  <c r="AM170" i="21"/>
  <c r="C184" i="21"/>
  <c r="AM112" i="21"/>
  <c r="AM138" i="21"/>
  <c r="AQ138" i="21" s="1"/>
  <c r="AS8" i="21" s="1"/>
  <c r="C192" i="21"/>
  <c r="AN115" i="21"/>
  <c r="AM115" i="21"/>
  <c r="AL115" i="21"/>
  <c r="AO133" i="21"/>
  <c r="AN133" i="21"/>
  <c r="AM133" i="21"/>
  <c r="AL133" i="21"/>
  <c r="AN149" i="21"/>
  <c r="AM149" i="21"/>
  <c r="AL149" i="21"/>
  <c r="AO167" i="21"/>
  <c r="AN167" i="21"/>
  <c r="AM167" i="21"/>
  <c r="AL167" i="21"/>
  <c r="AO174" i="21"/>
  <c r="AN174" i="21"/>
  <c r="AM174" i="21"/>
  <c r="AL174" i="21"/>
  <c r="AN181" i="21"/>
  <c r="AM181" i="21"/>
  <c r="AL181" i="21"/>
  <c r="AO199" i="21"/>
  <c r="AN199" i="21"/>
  <c r="AM199" i="21"/>
  <c r="AL199" i="21"/>
  <c r="AR55" i="20"/>
  <c r="AR54" i="20"/>
  <c r="C185" i="20"/>
  <c r="C120" i="20"/>
  <c r="AL78" i="20"/>
  <c r="AR23" i="20"/>
  <c r="AM116" i="20"/>
  <c r="C148" i="20"/>
  <c r="C83" i="20"/>
  <c r="AR41" i="20"/>
  <c r="C173" i="20"/>
  <c r="C108" i="20"/>
  <c r="C175" i="20"/>
  <c r="C110" i="20"/>
  <c r="AN71" i="20"/>
  <c r="AM71" i="20"/>
  <c r="C80" i="20"/>
  <c r="C91" i="20"/>
  <c r="AR31" i="20"/>
  <c r="AM105" i="20"/>
  <c r="AO117" i="20"/>
  <c r="AM117" i="20"/>
  <c r="AL120" i="20"/>
  <c r="AO129" i="20"/>
  <c r="AN129" i="20"/>
  <c r="AL129" i="20"/>
  <c r="AQ139" i="20"/>
  <c r="AM78" i="20"/>
  <c r="C164" i="20"/>
  <c r="C99" i="20"/>
  <c r="C157" i="20"/>
  <c r="C92" i="20"/>
  <c r="AR32" i="20"/>
  <c r="C166" i="20"/>
  <c r="C101" i="20"/>
  <c r="C182" i="20"/>
  <c r="C117" i="20"/>
  <c r="C189" i="20"/>
  <c r="C124" i="20"/>
  <c r="C194" i="20"/>
  <c r="C129" i="20"/>
  <c r="C73" i="20"/>
  <c r="AQ73" i="20" s="1"/>
  <c r="AR8" i="20" s="1"/>
  <c r="AO80" i="20"/>
  <c r="AN80" i="20"/>
  <c r="AR20" i="20"/>
  <c r="AO91" i="20"/>
  <c r="AN91" i="20"/>
  <c r="AN94" i="20"/>
  <c r="C97" i="20"/>
  <c r="AL99" i="20"/>
  <c r="C104" i="20"/>
  <c r="AO106" i="20"/>
  <c r="AN106" i="20"/>
  <c r="AM106" i="20"/>
  <c r="AO109" i="20"/>
  <c r="C134" i="20"/>
  <c r="C170" i="20"/>
  <c r="C105" i="20"/>
  <c r="C196" i="20"/>
  <c r="C131" i="20"/>
  <c r="C88" i="20"/>
  <c r="C154" i="20"/>
  <c r="C89" i="20"/>
  <c r="C172" i="20"/>
  <c r="C107" i="20"/>
  <c r="C186" i="20"/>
  <c r="C121" i="20"/>
  <c r="C198" i="20"/>
  <c r="C133" i="20"/>
  <c r="C79" i="20"/>
  <c r="AN86" i="20"/>
  <c r="AM86" i="20"/>
  <c r="AL86" i="20"/>
  <c r="AN88" i="20"/>
  <c r="AL93" i="20"/>
  <c r="AM94" i="20"/>
  <c r="AL112" i="20"/>
  <c r="AM113" i="20"/>
  <c r="AO115" i="20"/>
  <c r="AN115" i="20"/>
  <c r="AM115" i="20"/>
  <c r="C126" i="20"/>
  <c r="C141" i="20"/>
  <c r="C76" i="20"/>
  <c r="C161" i="20"/>
  <c r="C96" i="20"/>
  <c r="C165" i="20"/>
  <c r="C100" i="20"/>
  <c r="C167" i="20"/>
  <c r="C102" i="20"/>
  <c r="C181" i="20"/>
  <c r="C116" i="20"/>
  <c r="C188" i="20"/>
  <c r="C123" i="20"/>
  <c r="C193" i="20"/>
  <c r="C128" i="20"/>
  <c r="C72" i="20"/>
  <c r="AN79" i="20"/>
  <c r="AM79" i="20"/>
  <c r="C85" i="20"/>
  <c r="AM93" i="20"/>
  <c r="AO98" i="20"/>
  <c r="AL107" i="20"/>
  <c r="C177" i="20"/>
  <c r="C112" i="20"/>
  <c r="C183" i="20"/>
  <c r="C118" i="20"/>
  <c r="AO72" i="20"/>
  <c r="AN72" i="20"/>
  <c r="AR12" i="20"/>
  <c r="C113" i="20"/>
  <c r="AO118" i="20"/>
  <c r="AM118" i="20"/>
  <c r="AQ137" i="20"/>
  <c r="AS7" i="20" s="1"/>
  <c r="AO150" i="20"/>
  <c r="AN150" i="20"/>
  <c r="AM150" i="20"/>
  <c r="AL150" i="20"/>
  <c r="C115" i="20"/>
  <c r="C149" i="20"/>
  <c r="C84" i="20"/>
  <c r="AR24" i="20"/>
  <c r="C174" i="20"/>
  <c r="C109" i="20"/>
  <c r="C158" i="20"/>
  <c r="C93" i="20"/>
  <c r="C190" i="20"/>
  <c r="C125" i="20"/>
  <c r="C197" i="20"/>
  <c r="C132" i="20"/>
  <c r="B71" i="20"/>
  <c r="C74" i="20"/>
  <c r="C78" i="20"/>
  <c r="AO81" i="20"/>
  <c r="AL85" i="20"/>
  <c r="AO90" i="20"/>
  <c r="AM90" i="20"/>
  <c r="AL90" i="20"/>
  <c r="AO101" i="20"/>
  <c r="AO108" i="20"/>
  <c r="AN108" i="20"/>
  <c r="AM108" i="20"/>
  <c r="AO113" i="20"/>
  <c r="AN113" i="20"/>
  <c r="AL113" i="20"/>
  <c r="AM103" i="20"/>
  <c r="AL103" i="20"/>
  <c r="AO120" i="20"/>
  <c r="AL123" i="20"/>
  <c r="AO126" i="20"/>
  <c r="AN126" i="20"/>
  <c r="AM126" i="20"/>
  <c r="AL134" i="20"/>
  <c r="AO143" i="20"/>
  <c r="AN143" i="20"/>
  <c r="AM143" i="20"/>
  <c r="AL143" i="20"/>
  <c r="AO160" i="20"/>
  <c r="AN160" i="20"/>
  <c r="AM160" i="20"/>
  <c r="AL168" i="20"/>
  <c r="AO175" i="20"/>
  <c r="AN175" i="20"/>
  <c r="AM175" i="20"/>
  <c r="AL175" i="20"/>
  <c r="AO192" i="20"/>
  <c r="AN192" i="20"/>
  <c r="AM192" i="20"/>
  <c r="C187" i="20"/>
  <c r="C122" i="20"/>
  <c r="C195" i="20"/>
  <c r="C130" i="20"/>
  <c r="AL110" i="20"/>
  <c r="AO116" i="20"/>
  <c r="AN116" i="20"/>
  <c r="AL116" i="20"/>
  <c r="AL118" i="20"/>
  <c r="AO124" i="20"/>
  <c r="AN124" i="20"/>
  <c r="AM124" i="20"/>
  <c r="AL124" i="20"/>
  <c r="AN128" i="20"/>
  <c r="AM128" i="20"/>
  <c r="AN131" i="20"/>
  <c r="AM131" i="20"/>
  <c r="AO140" i="20"/>
  <c r="AM140" i="20"/>
  <c r="AL140" i="20"/>
  <c r="AO158" i="20"/>
  <c r="AN158" i="20"/>
  <c r="AM158" i="20"/>
  <c r="AL158" i="20"/>
  <c r="AN162" i="20"/>
  <c r="AM162" i="20"/>
  <c r="AN165" i="20"/>
  <c r="AM165" i="20"/>
  <c r="AL165" i="20"/>
  <c r="AO172" i="20"/>
  <c r="AM172" i="20"/>
  <c r="AL172" i="20"/>
  <c r="C176" i="20"/>
  <c r="AO190" i="20"/>
  <c r="AN190" i="20"/>
  <c r="AM190" i="20"/>
  <c r="AN197" i="20"/>
  <c r="AM197" i="20"/>
  <c r="AL197" i="20"/>
  <c r="C75" i="20"/>
  <c r="AO89" i="20"/>
  <c r="AN96" i="20"/>
  <c r="AM96" i="20"/>
  <c r="AO105" i="20"/>
  <c r="AN105" i="20"/>
  <c r="AL105" i="20"/>
  <c r="AN107" i="20"/>
  <c r="AN112" i="20"/>
  <c r="AM112" i="20"/>
  <c r="C114" i="20"/>
  <c r="AO121" i="20"/>
  <c r="AN121" i="20"/>
  <c r="AL121" i="20"/>
  <c r="AL131" i="20"/>
  <c r="AO134" i="20"/>
  <c r="AN134" i="20"/>
  <c r="AM134" i="20"/>
  <c r="AO151" i="20"/>
  <c r="AN151" i="20"/>
  <c r="AM151" i="20"/>
  <c r="AL151" i="20"/>
  <c r="AO155" i="20"/>
  <c r="AN155" i="20"/>
  <c r="AL155" i="20"/>
  <c r="AO168" i="20"/>
  <c r="AN168" i="20"/>
  <c r="AM168" i="20"/>
  <c r="AL176" i="20"/>
  <c r="AO183" i="20"/>
  <c r="AN183" i="20"/>
  <c r="AM183" i="20"/>
  <c r="AL183" i="20"/>
  <c r="AO187" i="20"/>
  <c r="AN187" i="20"/>
  <c r="AL187" i="20"/>
  <c r="AL190" i="20"/>
  <c r="AL102" i="20"/>
  <c r="AO114" i="20"/>
  <c r="AM114" i="20"/>
  <c r="AL114" i="20"/>
  <c r="AN118" i="20"/>
  <c r="AN141" i="20"/>
  <c r="AM141" i="20"/>
  <c r="AL141" i="20"/>
  <c r="AO148" i="20"/>
  <c r="AM148" i="20"/>
  <c r="AL148" i="20"/>
  <c r="AN170" i="20"/>
  <c r="AM170" i="20"/>
  <c r="AN173" i="20"/>
  <c r="AM173" i="20"/>
  <c r="AL173" i="20"/>
  <c r="AO180" i="20"/>
  <c r="AM180" i="20"/>
  <c r="AL180" i="20"/>
  <c r="C184" i="20"/>
  <c r="AQ136" i="20"/>
  <c r="AS6" i="20" s="1"/>
  <c r="AN138" i="20"/>
  <c r="AM138" i="20"/>
  <c r="AN146" i="20"/>
  <c r="AM146" i="20"/>
  <c r="AN178" i="20"/>
  <c r="AM178" i="20"/>
  <c r="C192" i="20"/>
  <c r="AO199" i="20"/>
  <c r="AN199" i="20"/>
  <c r="AM199" i="20"/>
  <c r="AL199" i="20"/>
  <c r="AQ136" i="22" l="1"/>
  <c r="AS6" i="22" s="1"/>
  <c r="AQ71" i="22"/>
  <c r="AR6" i="22" s="1"/>
  <c r="AQ71" i="20"/>
  <c r="AR6" i="20" s="1"/>
  <c r="AQ74" i="22"/>
  <c r="AR10" i="22" s="1"/>
  <c r="AQ138" i="20"/>
  <c r="AS8" i="20" s="1"/>
  <c r="AQ74" i="20"/>
  <c r="AQ72" i="20"/>
  <c r="AR7" i="20" s="1"/>
  <c r="AQ136" i="21"/>
  <c r="AS6" i="21" s="1"/>
  <c r="AS9" i="22"/>
  <c r="AS10" i="22"/>
  <c r="AQ74" i="21"/>
  <c r="B136" i="21"/>
  <c r="B71" i="21"/>
  <c r="AS9" i="21"/>
  <c r="AS10" i="21"/>
  <c r="AQ72" i="21"/>
  <c r="AR7" i="21" s="1"/>
  <c r="AR9" i="20"/>
  <c r="AR10" i="20"/>
  <c r="AS9" i="20"/>
  <c r="AS10" i="20"/>
  <c r="AR9" i="22" l="1"/>
  <c r="AR9" i="21"/>
  <c r="AR10" i="21"/>
  <c r="E6" i="13" l="1"/>
  <c r="E7" i="13"/>
  <c r="E8" i="13"/>
  <c r="E9" i="13"/>
  <c r="E10" i="13"/>
  <c r="E11" i="13"/>
  <c r="E12" i="13"/>
  <c r="E13" i="13"/>
  <c r="E14" i="13"/>
  <c r="E15" i="13"/>
  <c r="E16" i="13"/>
  <c r="E17" i="13"/>
  <c r="E18" i="13"/>
  <c r="E19" i="13"/>
  <c r="E20" i="13"/>
  <c r="E21" i="13"/>
  <c r="E22" i="13"/>
  <c r="E23" i="13"/>
  <c r="E24" i="13"/>
  <c r="E25" i="13"/>
  <c r="E26" i="13"/>
  <c r="E27" i="13"/>
  <c r="E28" i="13"/>
  <c r="E29" i="13"/>
  <c r="C2" i="7" l="1"/>
  <c r="B3" i="8"/>
  <c r="AW6" i="8" l="1"/>
  <c r="AW7" i="8"/>
  <c r="AW13" i="8"/>
  <c r="M37" i="14" l="1"/>
  <c r="N37" i="14" s="1"/>
  <c r="I37" i="14"/>
  <c r="H37" i="14"/>
  <c r="G37" i="14"/>
  <c r="F37" i="14"/>
  <c r="M36" i="14"/>
  <c r="N36" i="14" s="1"/>
  <c r="I36" i="14"/>
  <c r="H36" i="14"/>
  <c r="G36" i="14"/>
  <c r="F36" i="14"/>
  <c r="M35" i="14"/>
  <c r="N35" i="14" s="1"/>
  <c r="I35" i="14"/>
  <c r="H35" i="14"/>
  <c r="G35" i="14"/>
  <c r="F35" i="14"/>
  <c r="M34" i="14"/>
  <c r="N34" i="14" s="1"/>
  <c r="I34" i="14"/>
  <c r="H34" i="14"/>
  <c r="G34" i="14"/>
  <c r="F34" i="14"/>
  <c r="M33" i="14"/>
  <c r="N33" i="14" s="1"/>
  <c r="I33" i="14"/>
  <c r="H33" i="14"/>
  <c r="G33" i="14"/>
  <c r="F33" i="14"/>
  <c r="M32" i="14"/>
  <c r="N32" i="14" s="1"/>
  <c r="I32" i="14"/>
  <c r="H32" i="14"/>
  <c r="G32" i="14"/>
  <c r="F32" i="14"/>
  <c r="M31" i="14"/>
  <c r="N31" i="14" s="1"/>
  <c r="I31" i="14"/>
  <c r="H31" i="14"/>
  <c r="G31" i="14"/>
  <c r="F31" i="14"/>
  <c r="M30" i="14"/>
  <c r="N30" i="14" s="1"/>
  <c r="I30" i="14"/>
  <c r="H30" i="14"/>
  <c r="G30" i="14"/>
  <c r="F30" i="14"/>
  <c r="M29" i="14"/>
  <c r="N29" i="14" s="1"/>
  <c r="I29" i="14"/>
  <c r="H29" i="14"/>
  <c r="G29" i="14"/>
  <c r="F29" i="14"/>
  <c r="M28" i="14"/>
  <c r="N28" i="14" s="1"/>
  <c r="I28" i="14"/>
  <c r="H28" i="14"/>
  <c r="G28" i="14"/>
  <c r="F28" i="14"/>
  <c r="M27" i="14"/>
  <c r="N27" i="14" s="1"/>
  <c r="I27" i="14"/>
  <c r="H27" i="14"/>
  <c r="G27" i="14"/>
  <c r="F27" i="14"/>
  <c r="M26" i="14"/>
  <c r="N26" i="14" s="1"/>
  <c r="I26" i="14"/>
  <c r="H26" i="14"/>
  <c r="G26" i="14"/>
  <c r="F26" i="14"/>
  <c r="M25" i="14"/>
  <c r="N25" i="14" s="1"/>
  <c r="I25" i="14"/>
  <c r="H25" i="14"/>
  <c r="G25" i="14"/>
  <c r="F25" i="14"/>
  <c r="M24" i="14"/>
  <c r="N24" i="14" s="1"/>
  <c r="I24" i="14"/>
  <c r="H24" i="14"/>
  <c r="G24" i="14"/>
  <c r="F24" i="14"/>
  <c r="M23" i="14"/>
  <c r="N23" i="14" s="1"/>
  <c r="I23" i="14"/>
  <c r="H23" i="14"/>
  <c r="G23" i="14"/>
  <c r="F23" i="14"/>
  <c r="M22" i="14"/>
  <c r="N22" i="14" s="1"/>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G16" i="14"/>
  <c r="M15" i="14"/>
  <c r="N15" i="14" s="1"/>
  <c r="G15" i="14"/>
  <c r="M14" i="14"/>
  <c r="N14" i="14" s="1"/>
  <c r="G14" i="14"/>
  <c r="M13" i="14"/>
  <c r="N13" i="14" s="1"/>
  <c r="D7" i="14"/>
  <c r="E35" i="13" l="1"/>
  <c r="E36" i="13"/>
  <c r="E37" i="13"/>
  <c r="G37" i="13" s="1"/>
  <c r="E38" i="13"/>
  <c r="G38" i="13" s="1"/>
  <c r="E39" i="13"/>
  <c r="G39" i="13" s="1"/>
  <c r="E40" i="13"/>
  <c r="G40" i="13" s="1"/>
  <c r="E41" i="13"/>
  <c r="G41" i="13" s="1"/>
  <c r="E42" i="13"/>
  <c r="G42" i="13" s="1"/>
  <c r="E43" i="13"/>
  <c r="G43" i="13" s="1"/>
  <c r="E44" i="13"/>
  <c r="G44" i="13" s="1"/>
  <c r="E45" i="13"/>
  <c r="G45" i="13" s="1"/>
  <c r="E46" i="13"/>
  <c r="G46" i="13" s="1"/>
  <c r="E47" i="13"/>
  <c r="G47" i="13" s="1"/>
  <c r="E48" i="13"/>
  <c r="E49" i="13"/>
  <c r="E50" i="13"/>
  <c r="G50" i="13" s="1"/>
  <c r="E51" i="13"/>
  <c r="E52" i="13"/>
  <c r="G52" i="13" s="1"/>
  <c r="E53" i="13"/>
  <c r="G53" i="13" s="1"/>
  <c r="E54" i="13"/>
  <c r="G54" i="13" s="1"/>
  <c r="E55" i="13"/>
  <c r="G55" i="13" s="1"/>
  <c r="E56" i="13"/>
  <c r="G56" i="13" s="1"/>
  <c r="E57" i="13"/>
  <c r="E58" i="13"/>
  <c r="G58" i="13" s="1"/>
  <c r="E59" i="13"/>
  <c r="G48" i="13"/>
  <c r="G6" i="13"/>
  <c r="G7" i="13"/>
  <c r="G8" i="13"/>
  <c r="G9" i="13"/>
  <c r="G11" i="13"/>
  <c r="G15" i="13"/>
  <c r="G16" i="13"/>
  <c r="G17" i="13"/>
  <c r="G18" i="13"/>
  <c r="G19" i="13"/>
  <c r="G21" i="13"/>
  <c r="G22" i="13"/>
  <c r="G23" i="13"/>
  <c r="G24" i="13"/>
  <c r="G25" i="13"/>
  <c r="G27" i="13"/>
  <c r="G28" i="13"/>
  <c r="G59" i="13"/>
  <c r="G57" i="13"/>
  <c r="G51" i="13"/>
  <c r="G49" i="13"/>
  <c r="G36" i="13"/>
  <c r="G35" i="13"/>
  <c r="G29" i="13"/>
  <c r="G26" i="13"/>
  <c r="G20" i="13"/>
  <c r="G14" i="13"/>
  <c r="G13" i="13"/>
  <c r="G12" i="13"/>
  <c r="G10" i="13"/>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O196" i="8" s="1"/>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O192" i="8" s="1"/>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O156" i="8" s="1"/>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AN130" i="8" s="1"/>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O127" i="8" s="1"/>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AM117" i="8" s="1"/>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AN104" i="8" s="1"/>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AO99" i="8" s="1"/>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C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M104" i="8" l="1"/>
  <c r="C110" i="8"/>
  <c r="AM95" i="8"/>
  <c r="AN170" i="8"/>
  <c r="AO179" i="8"/>
  <c r="AM127" i="8"/>
  <c r="AM156" i="8"/>
  <c r="AM196" i="8"/>
  <c r="AO170" i="8"/>
  <c r="AM179" i="8"/>
  <c r="AN127" i="8"/>
  <c r="AN156" i="8"/>
  <c r="AM163" i="8"/>
  <c r="AO104" i="8"/>
  <c r="AL104" i="8"/>
  <c r="AQ104" i="8" s="1"/>
  <c r="AM159" i="8"/>
  <c r="AO189" i="8"/>
  <c r="AM195" i="8"/>
  <c r="AM113" i="8"/>
  <c r="AO173" i="8"/>
  <c r="AO95" i="8"/>
  <c r="AM121" i="8"/>
  <c r="AN122" i="8"/>
  <c r="AM170" i="8"/>
  <c r="AN172" i="8"/>
  <c r="AN179" i="8"/>
  <c r="AL196" i="8"/>
  <c r="AQ196" i="8" s="1"/>
  <c r="AL170" i="8"/>
  <c r="AQ170" i="8" s="1"/>
  <c r="AL179" i="8"/>
  <c r="AQ179" i="8"/>
  <c r="AL192" i="8"/>
  <c r="AQ192" i="8" s="1"/>
  <c r="AL127" i="8"/>
  <c r="AQ127" i="8" s="1"/>
  <c r="AL182" i="8"/>
  <c r="AQ182" i="8" s="1"/>
  <c r="AO141" i="8"/>
  <c r="AO78" i="8"/>
  <c r="AN78" i="8"/>
  <c r="AM78" i="8"/>
  <c r="AL78" i="8"/>
  <c r="AN71" i="8"/>
  <c r="AM71" i="8"/>
  <c r="AM72" i="8"/>
  <c r="AO88" i="8"/>
  <c r="AN136" i="8"/>
  <c r="AO138" i="8"/>
  <c r="AN138" i="8"/>
  <c r="AM138" i="8"/>
  <c r="AL138" i="8"/>
  <c r="AO146" i="8"/>
  <c r="AN146" i="8"/>
  <c r="AM146" i="8"/>
  <c r="AL146" i="8"/>
  <c r="AQ146" i="8" s="1"/>
  <c r="AO87" i="8"/>
  <c r="AM89"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N81" i="8"/>
  <c r="AO123" i="8"/>
  <c r="AM125" i="8"/>
  <c r="AN140" i="8"/>
  <c r="AM187" i="8"/>
  <c r="AN188" i="8"/>
  <c r="AO184" i="8"/>
  <c r="AL184" i="8"/>
  <c r="AQ184" i="8" s="1"/>
  <c r="AO79" i="8"/>
  <c r="AN79" i="8"/>
  <c r="AM79" i="8"/>
  <c r="AL79" i="8"/>
  <c r="AQ79" i="8" s="1"/>
  <c r="AL83" i="8"/>
  <c r="AQ83" i="8" s="1"/>
  <c r="AN87" i="8"/>
  <c r="AO91" i="8"/>
  <c r="AN97" i="8"/>
  <c r="AL97" i="8"/>
  <c r="AQ97" i="8" s="1"/>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S63" i="8" s="1"/>
  <c r="AN196" i="8"/>
  <c r="AO81" i="8"/>
  <c r="AO84" i="8"/>
  <c r="AN84" i="8"/>
  <c r="AM84" i="8"/>
  <c r="AL84" i="8"/>
  <c r="AQ84" i="8" s="1"/>
  <c r="AN92" i="8"/>
  <c r="AL92" i="8"/>
  <c r="AQ92" i="8" s="1"/>
  <c r="AO102" i="8"/>
  <c r="AM110" i="8"/>
  <c r="AL110" i="8"/>
  <c r="AQ110" i="8" s="1"/>
  <c r="AO119" i="8"/>
  <c r="AN119" i="8"/>
  <c r="AM119" i="8"/>
  <c r="AL119" i="8"/>
  <c r="AQ119" i="8" s="1"/>
  <c r="AO128" i="8"/>
  <c r="AN128" i="8"/>
  <c r="AM128" i="8"/>
  <c r="AL128" i="8"/>
  <c r="AQ128" i="8" s="1"/>
  <c r="AO144" i="8"/>
  <c r="AO153" i="8"/>
  <c r="AN153" i="8"/>
  <c r="AM153" i="8"/>
  <c r="AL153" i="8"/>
  <c r="AQ153" i="8" s="1"/>
  <c r="AO163" i="8"/>
  <c r="AN163" i="8"/>
  <c r="AL163" i="8"/>
  <c r="AQ163" i="8" s="1"/>
  <c r="AO167" i="8"/>
  <c r="AN167" i="8"/>
  <c r="AL167" i="8"/>
  <c r="AQ16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R20" i="8" s="1"/>
  <c r="AO103" i="8"/>
  <c r="AN103" i="8"/>
  <c r="AM103" i="8"/>
  <c r="AL103" i="8"/>
  <c r="AQ103" i="8" s="1"/>
  <c r="AR39" i="8" s="1"/>
  <c r="AO120" i="8"/>
  <c r="AN120" i="8"/>
  <c r="AM120" i="8"/>
  <c r="AL120" i="8"/>
  <c r="AQ120"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Q186" i="8" s="1"/>
  <c r="AL171" i="8"/>
  <c r="AQ171" i="8" s="1"/>
  <c r="AS41" i="8" s="1"/>
  <c r="AO73" i="8"/>
  <c r="AN85" i="8"/>
  <c r="AM93" i="8"/>
  <c r="AN107" i="8"/>
  <c r="AM107" i="8"/>
  <c r="AL107" i="8"/>
  <c r="AQ107" i="8" s="1"/>
  <c r="AN111" i="8"/>
  <c r="AL111" i="8"/>
  <c r="AQ111" i="8" s="1"/>
  <c r="AR46" i="8" s="1"/>
  <c r="AN129" i="8"/>
  <c r="AL129" i="8"/>
  <c r="AQ129" i="8" s="1"/>
  <c r="AR64" i="8" s="1"/>
  <c r="AO131" i="8"/>
  <c r="AM139" i="8"/>
  <c r="AL140" i="8"/>
  <c r="AL144" i="8"/>
  <c r="AQ144" i="8" s="1"/>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R65" i="8" s="1"/>
  <c r="AN141" i="8"/>
  <c r="AM141" i="8"/>
  <c r="AL141" i="8"/>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O168" i="8"/>
  <c r="AO175" i="8"/>
  <c r="AN175" i="8"/>
  <c r="AO190" i="8"/>
  <c r="AN190" i="8"/>
  <c r="AM190" i="8"/>
  <c r="AL190" i="8"/>
  <c r="AQ190" i="8" s="1"/>
  <c r="AO100" i="8"/>
  <c r="AM100" i="8"/>
  <c r="AN110" i="8"/>
  <c r="AN115" i="8"/>
  <c r="AM115" i="8"/>
  <c r="AL115" i="8"/>
  <c r="AQ115" i="8" s="1"/>
  <c r="AM126" i="8"/>
  <c r="AL126" i="8"/>
  <c r="AQ126" i="8" s="1"/>
  <c r="AM133" i="8"/>
  <c r="AO134" i="8"/>
  <c r="AO142" i="8"/>
  <c r="AN142" i="8"/>
  <c r="AM142" i="8"/>
  <c r="AN152" i="8"/>
  <c r="AN157" i="8"/>
  <c r="AM157" i="8"/>
  <c r="AL157" i="8"/>
  <c r="AQ157" i="8" s="1"/>
  <c r="AM168" i="8"/>
  <c r="AL168" i="8"/>
  <c r="AQ168" i="8" s="1"/>
  <c r="AL175" i="8"/>
  <c r="AQ175" i="8" s="1"/>
  <c r="AS45" i="8" s="1"/>
  <c r="AO183" i="8"/>
  <c r="AN183" i="8"/>
  <c r="C91" i="8"/>
  <c r="AN95" i="8"/>
  <c r="AL95" i="8"/>
  <c r="AQ95" i="8" s="1"/>
  <c r="AN100" i="8"/>
  <c r="AL100" i="8"/>
  <c r="AQ100" i="8" s="1"/>
  <c r="AR35"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Q176" i="8" s="1"/>
  <c r="AM183" i="8"/>
  <c r="AL183" i="8"/>
  <c r="AQ183" i="8" s="1"/>
  <c r="AO198" i="8"/>
  <c r="AN198" i="8"/>
  <c r="AM198" i="8"/>
  <c r="AL198" i="8"/>
  <c r="AQ198" i="8" s="1"/>
  <c r="AS68" i="8" s="1"/>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Q105" i="8" s="1"/>
  <c r="AR40" i="8" s="1"/>
  <c r="AL108" i="8"/>
  <c r="AQ108" i="8" s="1"/>
  <c r="AR43" i="8" s="1"/>
  <c r="AO116" i="8"/>
  <c r="AM116" i="8"/>
  <c r="AN126" i="8"/>
  <c r="AN131" i="8"/>
  <c r="AM131" i="8"/>
  <c r="AL131" i="8"/>
  <c r="AQ131" i="8" s="1"/>
  <c r="AO143" i="8"/>
  <c r="AN143" i="8"/>
  <c r="AL143" i="8"/>
  <c r="AO147" i="8"/>
  <c r="AN147" i="8"/>
  <c r="AL147" i="8"/>
  <c r="AQ147" i="8" s="1"/>
  <c r="AL150" i="8"/>
  <c r="AQ150" i="8" s="1"/>
  <c r="AO158" i="8"/>
  <c r="AN158" i="8"/>
  <c r="AM158" i="8"/>
  <c r="AN168" i="8"/>
  <c r="AO180" i="8"/>
  <c r="AM180" i="8"/>
  <c r="AO191" i="8"/>
  <c r="AN191" i="8"/>
  <c r="AM191" i="8"/>
  <c r="AL191" i="8"/>
  <c r="AQ191" i="8" s="1"/>
  <c r="AO195" i="8"/>
  <c r="AN195" i="8"/>
  <c r="AL195" i="8"/>
  <c r="AQ195" i="8" s="1"/>
  <c r="C161" i="8"/>
  <c r="C96" i="8"/>
  <c r="C169" i="8"/>
  <c r="C104" i="8"/>
  <c r="C177" i="8"/>
  <c r="C112" i="8"/>
  <c r="C185" i="8"/>
  <c r="C120" i="8"/>
  <c r="C193" i="8"/>
  <c r="C128" i="8"/>
  <c r="AM98" i="8"/>
  <c r="C102" i="8"/>
  <c r="AO109" i="8"/>
  <c r="AN109" i="8"/>
  <c r="AL109" i="8"/>
  <c r="AQ109" i="8" s="1"/>
  <c r="AR44" i="8" s="1"/>
  <c r="AN113" i="8"/>
  <c r="AL113" i="8"/>
  <c r="AQ113" i="8" s="1"/>
  <c r="AR48" i="8" s="1"/>
  <c r="AN116" i="8"/>
  <c r="AL116" i="8"/>
  <c r="AQ116"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S43" i="8" s="1"/>
  <c r="AM176" i="8"/>
  <c r="AL180" i="8"/>
  <c r="AQ180" i="8" s="1"/>
  <c r="AO188" i="8"/>
  <c r="AM188" i="8"/>
  <c r="AL188" i="8"/>
  <c r="AQ188" i="8" s="1"/>
  <c r="AO199" i="8"/>
  <c r="AN199" i="8"/>
  <c r="AM199" i="8"/>
  <c r="AL199" i="8"/>
  <c r="AQ199" i="8" s="1"/>
  <c r="AS51" i="8" l="1"/>
  <c r="AR41" i="8"/>
  <c r="AS54" i="8"/>
  <c r="AS48" i="8"/>
  <c r="AR66" i="8"/>
  <c r="AS46" i="8"/>
  <c r="AS57" i="8"/>
  <c r="AR56" i="8"/>
  <c r="AR19" i="8"/>
  <c r="AS59" i="8"/>
  <c r="AR32" i="8"/>
  <c r="AS49" i="8"/>
  <c r="AR61" i="8"/>
  <c r="AS60" i="8"/>
  <c r="AR42" i="8"/>
  <c r="AR54" i="8"/>
  <c r="AS50" i="8"/>
  <c r="AS65" i="8"/>
  <c r="AS47" i="8"/>
  <c r="AS52" i="8"/>
  <c r="AS55" i="8"/>
  <c r="AR67" i="8"/>
  <c r="AR62" i="8"/>
  <c r="AS61" i="8"/>
  <c r="AR63" i="8"/>
  <c r="AR45" i="8"/>
  <c r="AS62" i="8"/>
  <c r="AR57" i="8"/>
  <c r="AS58" i="8"/>
  <c r="AR58" i="8"/>
  <c r="AR52" i="8"/>
  <c r="AS53" i="8"/>
  <c r="AS27" i="8"/>
  <c r="AS30" i="8"/>
  <c r="AR47" i="8"/>
  <c r="AS56" i="8"/>
  <c r="AR55" i="8"/>
  <c r="AS42" i="8"/>
  <c r="AS44" i="8"/>
  <c r="AR49" i="8"/>
  <c r="AS40" i="8"/>
  <c r="AR70" i="8"/>
  <c r="AR69" i="8"/>
  <c r="AS39" i="8"/>
  <c r="AS67" i="8"/>
  <c r="AS66" i="8"/>
  <c r="AR51" i="8"/>
  <c r="AR50" i="8"/>
  <c r="AS69" i="8"/>
  <c r="AS70" i="8"/>
  <c r="AR60" i="8"/>
  <c r="AR59" i="8"/>
  <c r="AS33" i="8"/>
  <c r="AR23" i="8"/>
  <c r="AR27" i="8"/>
  <c r="AS35" i="8"/>
  <c r="AR30" i="8"/>
  <c r="AR33" i="8"/>
  <c r="AS17" i="8"/>
  <c r="AS19" i="8"/>
  <c r="AR15" i="8"/>
  <c r="AS21" i="8"/>
  <c r="AR16" i="8"/>
  <c r="AR18" i="8"/>
  <c r="AR22" i="8"/>
  <c r="AQ74" i="8"/>
  <c r="AQ75" i="8"/>
  <c r="AQ142" i="8"/>
  <c r="AR29" i="8"/>
  <c r="AR31" i="8"/>
  <c r="AS18" i="8"/>
  <c r="AS15" i="8"/>
  <c r="AS22" i="8"/>
  <c r="AS34" i="8"/>
  <c r="AR21" i="8"/>
  <c r="AS36" i="8"/>
  <c r="AS23" i="8"/>
  <c r="AS32" i="8"/>
  <c r="AR25" i="8"/>
  <c r="AS20" i="8"/>
  <c r="AR36" i="8"/>
  <c r="AR24" i="8"/>
  <c r="AR34" i="8"/>
  <c r="AS24" i="8"/>
  <c r="AR17" i="8"/>
  <c r="AS16" i="8"/>
  <c r="AS26" i="8"/>
  <c r="AS31" i="8"/>
  <c r="AQ143" i="8"/>
  <c r="AS14" i="8" s="1"/>
  <c r="AR37" i="8"/>
  <c r="AR38" i="8"/>
  <c r="AS38" i="8"/>
  <c r="AS37" i="8"/>
  <c r="AS29" i="8"/>
  <c r="AS28" i="8"/>
  <c r="AQ140" i="8"/>
  <c r="AQ77" i="8"/>
  <c r="AQ141" i="8"/>
  <c r="AQ139" i="8"/>
  <c r="AQ78" i="8"/>
  <c r="AR14" i="8" s="1"/>
  <c r="AQ76" i="8"/>
  <c r="AQ73" i="8"/>
  <c r="AQ138" i="8"/>
  <c r="AQ137" i="8"/>
  <c r="AQ72" i="8"/>
  <c r="AQ71" i="8"/>
  <c r="AR6" i="8" s="1"/>
  <c r="AQ136" i="8"/>
  <c r="AS6" i="8" s="1"/>
  <c r="B136" i="8"/>
  <c r="B71" i="8"/>
  <c r="AR9" i="8" l="1"/>
  <c r="AS9" i="8"/>
  <c r="AS8" i="8"/>
  <c r="AS7" i="8"/>
  <c r="AS11" i="8"/>
  <c r="AR11" i="8"/>
  <c r="AR12" i="8"/>
  <c r="AS12" i="8"/>
  <c r="AR10" i="8"/>
  <c r="AS10" i="8"/>
  <c r="AR8" i="8"/>
  <c r="AS13" i="8"/>
  <c r="AR13" i="8"/>
  <c r="AR7" i="8"/>
  <c r="D3" i="1"/>
  <c r="D4" i="14" l="1"/>
  <c r="D6" i="14" s="1"/>
  <c r="AW17" i="22" s="1"/>
  <c r="D5" i="14"/>
  <c r="AL69" i="22" l="1"/>
  <c r="AL61" i="22"/>
  <c r="AL53" i="22"/>
  <c r="AL45" i="22"/>
  <c r="AL37" i="22"/>
  <c r="AL29" i="22"/>
  <c r="AL21" i="22"/>
  <c r="AL13" i="22"/>
  <c r="AL62" i="22"/>
  <c r="AL55" i="22"/>
  <c r="AL50" i="22"/>
  <c r="AL43" i="22"/>
  <c r="AL38" i="22"/>
  <c r="AL33" i="22"/>
  <c r="AL10" i="22"/>
  <c r="AW8" i="22"/>
  <c r="AL65" i="22"/>
  <c r="AL60" i="22"/>
  <c r="AL48" i="22"/>
  <c r="AL36" i="22"/>
  <c r="AL31" i="22"/>
  <c r="AL26" i="22"/>
  <c r="AL19" i="22"/>
  <c r="AL15" i="22"/>
  <c r="AL11" i="22"/>
  <c r="AL68" i="22"/>
  <c r="AL58" i="22"/>
  <c r="AL41" i="22"/>
  <c r="AL24" i="22"/>
  <c r="AL16" i="22"/>
  <c r="AW9" i="22"/>
  <c r="AL63" i="22"/>
  <c r="AL56" i="22"/>
  <c r="AL51" i="22"/>
  <c r="AL46" i="22"/>
  <c r="AL39" i="22"/>
  <c r="AL34" i="22"/>
  <c r="AL12" i="22"/>
  <c r="AW10" i="22"/>
  <c r="AL57" i="22"/>
  <c r="AL23" i="22"/>
  <c r="AL66" i="22"/>
  <c r="AL44" i="22"/>
  <c r="AL32" i="22"/>
  <c r="AL27" i="22"/>
  <c r="AL22" i="22"/>
  <c r="AL17" i="22"/>
  <c r="AW15" i="22"/>
  <c r="AU8" i="22" s="1"/>
  <c r="AL7" i="22"/>
  <c r="AT7" i="22" s="1"/>
  <c r="AL67" i="22"/>
  <c r="AL28" i="22"/>
  <c r="AL59" i="22"/>
  <c r="AL54" i="22"/>
  <c r="AL49" i="22"/>
  <c r="AL42" i="22"/>
  <c r="AL20" i="22"/>
  <c r="AL14" i="22"/>
  <c r="AL64" i="22"/>
  <c r="AL52" i="22"/>
  <c r="AL47" i="22"/>
  <c r="AL40" i="22"/>
  <c r="AL35" i="22"/>
  <c r="AL30" i="22"/>
  <c r="AL25" i="22"/>
  <c r="AL18" i="22"/>
  <c r="AW11" i="22"/>
  <c r="AW16" i="22"/>
  <c r="AU15" i="22" s="1"/>
  <c r="AW17" i="20"/>
  <c r="AL49" i="20" s="1"/>
  <c r="AW17" i="21"/>
  <c r="E5" i="13"/>
  <c r="G5" i="13" s="1"/>
  <c r="F16" i="14"/>
  <c r="AW14" i="22" s="1"/>
  <c r="AU7" i="22" s="1"/>
  <c r="I16" i="14"/>
  <c r="H16" i="14"/>
  <c r="G13" i="14"/>
  <c r="H13" i="14"/>
  <c r="AW17" i="8"/>
  <c r="AL66" i="8" s="1"/>
  <c r="AT66" i="8" s="1"/>
  <c r="F13" i="14"/>
  <c r="H14" i="14"/>
  <c r="H15" i="14"/>
  <c r="F14" i="14"/>
  <c r="I15" i="14"/>
  <c r="L14" i="14"/>
  <c r="I14" i="14"/>
  <c r="I13" i="14"/>
  <c r="F15" i="14"/>
  <c r="D8" i="14"/>
  <c r="AW12" i="22" s="1"/>
  <c r="AU5" i="22" s="1"/>
  <c r="AW10" i="20" l="1"/>
  <c r="AU14" i="20" s="1"/>
  <c r="AL30" i="20"/>
  <c r="AL23" i="20"/>
  <c r="AL64" i="20"/>
  <c r="AW15" i="20"/>
  <c r="AU8" i="20" s="1"/>
  <c r="AL7" i="20"/>
  <c r="AT7" i="20" s="1"/>
  <c r="AL32" i="20"/>
  <c r="AL16" i="20"/>
  <c r="AL48" i="20"/>
  <c r="AL42" i="20"/>
  <c r="AL38" i="20"/>
  <c r="AL34" i="20"/>
  <c r="AL29" i="20"/>
  <c r="AL45" i="20"/>
  <c r="AL55" i="20"/>
  <c r="AL61" i="20"/>
  <c r="AL66" i="20"/>
  <c r="AL47" i="20"/>
  <c r="AW8" i="20"/>
  <c r="AW14" i="20"/>
  <c r="AU7" i="20" s="1"/>
  <c r="AL67" i="20"/>
  <c r="AL54" i="20"/>
  <c r="AL69" i="20"/>
  <c r="AL43" i="20"/>
  <c r="AL24" i="20"/>
  <c r="AL62" i="20"/>
  <c r="AL12" i="20"/>
  <c r="AL31" i="20"/>
  <c r="AL28" i="20"/>
  <c r="AL39" i="20"/>
  <c r="AW11" i="20"/>
  <c r="AU13" i="20" s="1"/>
  <c r="AL40" i="20"/>
  <c r="AL56" i="20"/>
  <c r="AL52" i="20"/>
  <c r="AL10" i="20"/>
  <c r="AL35" i="20"/>
  <c r="AL51" i="20"/>
  <c r="AL17" i="20"/>
  <c r="AL18" i="20"/>
  <c r="AW16" i="20"/>
  <c r="AU15" i="20" s="1"/>
  <c r="AL14" i="20"/>
  <c r="AL37" i="20"/>
  <c r="AL46" i="20"/>
  <c r="AL57" i="20"/>
  <c r="AL11" i="20"/>
  <c r="AL65" i="20"/>
  <c r="AL44" i="20"/>
  <c r="AL27" i="20"/>
  <c r="AL59" i="20"/>
  <c r="AL13" i="20"/>
  <c r="AL60" i="20"/>
  <c r="AL50" i="20"/>
  <c r="AL15" i="20"/>
  <c r="AW9" i="20"/>
  <c r="AL22" i="20"/>
  <c r="AL26" i="20"/>
  <c r="AL21" i="20"/>
  <c r="AL68" i="20"/>
  <c r="AL53" i="20"/>
  <c r="AL25" i="20"/>
  <c r="AU14" i="22"/>
  <c r="AV5" i="22"/>
  <c r="AR5" i="22"/>
  <c r="AS5" i="22"/>
  <c r="AL58" i="20"/>
  <c r="AL20" i="20"/>
  <c r="AL33" i="20"/>
  <c r="AU13" i="22"/>
  <c r="AT5" i="22"/>
  <c r="AL41" i="20"/>
  <c r="AL63" i="20"/>
  <c r="AL19" i="20"/>
  <c r="AL36" i="20"/>
  <c r="AW12" i="20"/>
  <c r="AU5" i="20" s="1"/>
  <c r="AW12" i="21"/>
  <c r="AU5" i="21" s="1"/>
  <c r="AL65" i="21"/>
  <c r="AL57" i="21"/>
  <c r="AL49" i="21"/>
  <c r="AL63" i="21"/>
  <c r="AL55" i="21"/>
  <c r="AL47" i="21"/>
  <c r="AL39" i="21"/>
  <c r="AL31" i="21"/>
  <c r="AL23" i="21"/>
  <c r="AL12" i="21"/>
  <c r="AL66" i="21"/>
  <c r="AL58" i="21"/>
  <c r="AL50" i="21"/>
  <c r="AL42" i="21"/>
  <c r="AL34" i="21"/>
  <c r="AL26" i="21"/>
  <c r="AL18" i="21"/>
  <c r="AL67" i="21"/>
  <c r="AL61" i="21"/>
  <c r="AL44" i="21"/>
  <c r="AL35" i="21"/>
  <c r="AL33" i="21"/>
  <c r="AL24" i="21"/>
  <c r="AL10" i="21"/>
  <c r="AL7" i="21"/>
  <c r="AT7" i="21" s="1"/>
  <c r="AL59" i="21"/>
  <c r="AL53" i="21"/>
  <c r="AL29" i="21"/>
  <c r="AL22" i="21"/>
  <c r="AL20" i="21"/>
  <c r="AL14" i="21"/>
  <c r="AL40" i="21"/>
  <c r="AL51" i="21"/>
  <c r="AL68" i="21"/>
  <c r="AL45" i="21"/>
  <c r="AL38" i="21"/>
  <c r="AL36" i="21"/>
  <c r="AL27" i="21"/>
  <c r="AL25" i="21"/>
  <c r="AL64" i="21"/>
  <c r="AL60" i="21"/>
  <c r="AL21" i="21"/>
  <c r="AL16" i="21"/>
  <c r="AL62" i="21"/>
  <c r="AL56" i="21"/>
  <c r="AL52" i="21"/>
  <c r="AL43" i="21"/>
  <c r="AL41" i="21"/>
  <c r="AL32" i="21"/>
  <c r="AL69" i="21"/>
  <c r="AL54" i="21"/>
  <c r="AL48" i="21"/>
  <c r="AL37" i="21"/>
  <c r="AL30" i="21"/>
  <c r="AL28" i="21"/>
  <c r="AL19" i="21"/>
  <c r="AL13" i="21"/>
  <c r="AL46" i="21"/>
  <c r="AL17" i="21"/>
  <c r="AL15" i="21"/>
  <c r="AL11" i="21"/>
  <c r="AW16" i="21"/>
  <c r="AU15" i="21" s="1"/>
  <c r="AW8" i="21"/>
  <c r="AW10" i="21"/>
  <c r="AW14" i="21"/>
  <c r="AU7" i="21" s="1"/>
  <c r="AW15" i="21"/>
  <c r="AU8" i="21" s="1"/>
  <c r="AW11" i="21"/>
  <c r="AW9" i="21"/>
  <c r="N4" i="5"/>
  <c r="N84" i="5"/>
  <c r="AW12" i="8"/>
  <c r="AU5" i="8" s="1"/>
  <c r="AW16" i="8"/>
  <c r="AU15" i="8" s="1"/>
  <c r="AW8" i="8"/>
  <c r="AW15" i="8"/>
  <c r="AU8" i="8" s="1"/>
  <c r="AW14" i="8"/>
  <c r="AU7" i="8" s="1"/>
  <c r="AW11" i="8"/>
  <c r="AU13" i="8" s="1"/>
  <c r="AW10" i="8"/>
  <c r="AW9" i="8"/>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T68" i="8" s="1"/>
  <c r="AL8" i="8"/>
  <c r="AT8" i="8" s="1"/>
  <c r="AL50" i="8"/>
  <c r="AT50" i="8" s="1"/>
  <c r="AL24" i="8"/>
  <c r="AT24" i="8" s="1"/>
  <c r="AL26" i="8"/>
  <c r="AT26" i="8" s="1"/>
  <c r="AL27" i="8"/>
  <c r="AT27" i="8" s="1"/>
  <c r="AL20" i="8"/>
  <c r="AT20" i="8" s="1"/>
  <c r="AL59" i="8"/>
  <c r="AT59" i="8" s="1"/>
  <c r="AL56" i="8"/>
  <c r="AT56" i="8" s="1"/>
  <c r="AL49" i="8"/>
  <c r="AT49" i="8" s="1"/>
  <c r="AL25" i="8"/>
  <c r="AT25" i="8" s="1"/>
  <c r="AL65" i="8"/>
  <c r="AT65" i="8" s="1"/>
  <c r="AL37" i="8"/>
  <c r="AT37"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AT5" i="20" l="1"/>
  <c r="AS5" i="20"/>
  <c r="AV5" i="20"/>
  <c r="AR5" i="20"/>
  <c r="AS5" i="21"/>
  <c r="AT5" i="21"/>
  <c r="AU13" i="21"/>
  <c r="AV5" i="21"/>
  <c r="AU14" i="21"/>
  <c r="AR5" i="21"/>
  <c r="AV5" i="8"/>
  <c r="AU14" i="8"/>
  <c r="AR5" i="8"/>
  <c r="AT5" i="8"/>
  <c r="AS5" i="8"/>
  <c r="H5" i="1" l="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25"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8" authorId="1" shapeId="0" xr:uid="{00000000-0006-0000-0900-00000A000000}">
      <text>
        <r>
          <rPr>
            <b/>
            <sz val="9"/>
            <color indexed="81"/>
            <rFont val="MS P ゴシック"/>
            <family val="3"/>
            <charset val="128"/>
          </rPr>
          <t xml:space="preserve">リモート送信条件成立：IG ON 且つ PTS ONが15[s]以上
</t>
        </r>
      </text>
    </comment>
    <comment ref="E28" authorId="1" shapeId="0" xr:uid="{00000000-0006-0000-0900-00000B000000}">
      <text>
        <r>
          <rPr>
            <b/>
            <sz val="9"/>
            <color indexed="81"/>
            <rFont val="MS P ゴシック"/>
            <family val="3"/>
            <charset val="128"/>
          </rPr>
          <t xml:space="preserve">IG ON 且つ ST OFF
</t>
        </r>
      </text>
    </comment>
    <comment ref="F28" authorId="1" shapeId="0" xr:uid="{00000000-0006-0000-0900-00000C000000}">
      <text>
        <r>
          <rPr>
            <b/>
            <sz val="9"/>
            <color indexed="81"/>
            <rFont val="MS P ゴシック"/>
            <family val="3"/>
            <charset val="128"/>
          </rPr>
          <t>IG ON</t>
        </r>
      </text>
    </comment>
    <comment ref="G28" authorId="1" shapeId="0" xr:uid="{00000000-0006-0000-0900-00000D000000}">
      <text>
        <r>
          <rPr>
            <b/>
            <sz val="9"/>
            <color indexed="81"/>
            <rFont val="MS P ゴシック"/>
            <family val="3"/>
            <charset val="128"/>
          </rPr>
          <t xml:space="preserve">IG OFF 且つ IG OFF後25[m]未満
</t>
        </r>
      </text>
    </comment>
    <comment ref="H28" authorId="1" shapeId="0" xr:uid="{00000000-0006-0000-0900-00000E000000}">
      <text>
        <r>
          <rPr>
            <b/>
            <sz val="9"/>
            <color indexed="81"/>
            <rFont val="MS P ゴシック"/>
            <family val="3"/>
            <charset val="128"/>
          </rPr>
          <t xml:space="preserve">IG OFF
</t>
        </r>
      </text>
    </comment>
    <comment ref="I28" authorId="1" shapeId="0" xr:uid="{00000000-0006-0000-0900-00000F000000}">
      <text>
        <r>
          <rPr>
            <b/>
            <sz val="9"/>
            <color indexed="81"/>
            <rFont val="MS P ゴシック"/>
            <family val="3"/>
            <charset val="128"/>
          </rPr>
          <t xml:space="preserve">IG ON 又は IG OFF後25[m]未満
</t>
        </r>
      </text>
    </comment>
    <comment ref="J28" authorId="1" shapeId="0" xr:uid="{00000000-0006-0000-0900-000010000000}">
      <text>
        <r>
          <rPr>
            <b/>
            <sz val="9"/>
            <color indexed="81"/>
            <rFont val="MS P ゴシック"/>
            <family val="3"/>
            <charset val="128"/>
          </rPr>
          <t>+B ON 又は ACC ON</t>
        </r>
      </text>
    </comment>
    <comment ref="B43"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6" authorId="1" shapeId="0" xr:uid="{00000000-0006-0000-0900-000012000000}">
      <text>
        <r>
          <rPr>
            <b/>
            <sz val="9"/>
            <color indexed="81"/>
            <rFont val="MS P ゴシック"/>
            <family val="3"/>
            <charset val="128"/>
          </rPr>
          <t xml:space="preserve">リモート送信条件成立：IG ON 且つ PTS ONが15[s]以上
</t>
        </r>
      </text>
    </comment>
    <comment ref="E46" authorId="1" shapeId="0" xr:uid="{00000000-0006-0000-0900-000013000000}">
      <text>
        <r>
          <rPr>
            <b/>
            <sz val="9"/>
            <color indexed="81"/>
            <rFont val="MS P ゴシック"/>
            <family val="3"/>
            <charset val="128"/>
          </rPr>
          <t xml:space="preserve">IG ON 且つ ST OFF
</t>
        </r>
      </text>
    </comment>
    <comment ref="F46" authorId="1" shapeId="0" xr:uid="{00000000-0006-0000-0900-000014000000}">
      <text>
        <r>
          <rPr>
            <b/>
            <sz val="9"/>
            <color indexed="81"/>
            <rFont val="MS P ゴシック"/>
            <family val="3"/>
            <charset val="128"/>
          </rPr>
          <t>IG ON</t>
        </r>
      </text>
    </comment>
    <comment ref="G46" authorId="1" shapeId="0" xr:uid="{00000000-0006-0000-0900-000015000000}">
      <text>
        <r>
          <rPr>
            <b/>
            <sz val="9"/>
            <color indexed="81"/>
            <rFont val="MS P ゴシック"/>
            <family val="3"/>
            <charset val="128"/>
          </rPr>
          <t xml:space="preserve">IG OFF 且つ IG OFF後25[m]未満
</t>
        </r>
      </text>
    </comment>
    <comment ref="H46" authorId="1" shapeId="0" xr:uid="{00000000-0006-0000-0900-000016000000}">
      <text>
        <r>
          <rPr>
            <b/>
            <sz val="9"/>
            <color indexed="81"/>
            <rFont val="MS P ゴシック"/>
            <family val="3"/>
            <charset val="128"/>
          </rPr>
          <t xml:space="preserve">IG OFF
</t>
        </r>
      </text>
    </comment>
    <comment ref="I46" authorId="1" shapeId="0" xr:uid="{00000000-0006-0000-0900-000017000000}">
      <text>
        <r>
          <rPr>
            <b/>
            <sz val="9"/>
            <color indexed="81"/>
            <rFont val="MS P ゴシック"/>
            <family val="3"/>
            <charset val="128"/>
          </rPr>
          <t xml:space="preserve">IG ON 又は IG OFF後25[m]未満
</t>
        </r>
      </text>
    </comment>
    <comment ref="J46" authorId="1" shapeId="0" xr:uid="{00000000-0006-0000-0900-000018000000}">
      <text>
        <r>
          <rPr>
            <b/>
            <sz val="9"/>
            <color indexed="81"/>
            <rFont val="MS P ゴシック"/>
            <family val="3"/>
            <charset val="128"/>
          </rPr>
          <t>+B ON 又は ACC ON</t>
        </r>
      </text>
    </comment>
    <comment ref="B61"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4" authorId="1" shapeId="0" xr:uid="{00000000-0006-0000-0900-00001A000000}">
      <text>
        <r>
          <rPr>
            <b/>
            <sz val="9"/>
            <color indexed="81"/>
            <rFont val="MS P ゴシック"/>
            <family val="3"/>
            <charset val="128"/>
          </rPr>
          <t xml:space="preserve">リモート送信条件成立：IG ON 且つ PTS ONが15[s]以上
</t>
        </r>
      </text>
    </comment>
    <comment ref="E64" authorId="1" shapeId="0" xr:uid="{00000000-0006-0000-0900-00001B000000}">
      <text>
        <r>
          <rPr>
            <b/>
            <sz val="9"/>
            <color indexed="81"/>
            <rFont val="MS P ゴシック"/>
            <family val="3"/>
            <charset val="128"/>
          </rPr>
          <t xml:space="preserve">IG ON 且つ ST OFF
</t>
        </r>
      </text>
    </comment>
    <comment ref="F64" authorId="1" shapeId="0" xr:uid="{00000000-0006-0000-0900-00001C000000}">
      <text>
        <r>
          <rPr>
            <b/>
            <sz val="9"/>
            <color indexed="81"/>
            <rFont val="MS P ゴシック"/>
            <family val="3"/>
            <charset val="128"/>
          </rPr>
          <t>IG ON</t>
        </r>
      </text>
    </comment>
    <comment ref="G64" authorId="1" shapeId="0" xr:uid="{00000000-0006-0000-0900-00001D000000}">
      <text>
        <r>
          <rPr>
            <b/>
            <sz val="9"/>
            <color indexed="81"/>
            <rFont val="MS P ゴシック"/>
            <family val="3"/>
            <charset val="128"/>
          </rPr>
          <t xml:space="preserve">IG OFF 且つ IG OFF後25[m]未満
</t>
        </r>
      </text>
    </comment>
    <comment ref="H64" authorId="1" shapeId="0" xr:uid="{00000000-0006-0000-0900-00001E000000}">
      <text>
        <r>
          <rPr>
            <b/>
            <sz val="9"/>
            <color indexed="81"/>
            <rFont val="MS P ゴシック"/>
            <family val="3"/>
            <charset val="128"/>
          </rPr>
          <t xml:space="preserve">IG OFF
</t>
        </r>
      </text>
    </comment>
    <comment ref="I64" authorId="1" shapeId="0" xr:uid="{00000000-0006-0000-0900-00001F000000}">
      <text>
        <r>
          <rPr>
            <b/>
            <sz val="9"/>
            <color indexed="81"/>
            <rFont val="MS P ゴシック"/>
            <family val="3"/>
            <charset val="128"/>
          </rPr>
          <t xml:space="preserve">IG ON 又は IG OFF後25[m]未満
</t>
        </r>
      </text>
    </comment>
    <comment ref="J64"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<sst xmlns="http://schemas.openxmlformats.org/spreadsheetml/2006/main" count="9185" uniqueCount="300">
  <si>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</si>
  <si>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</si>
  <si>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</si>
  <si>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</si>
  <si>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</si>
  <si>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</si>
  <si>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</si>
  <si>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</si>
  <si>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</si>
  <si>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</si>
  <si>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</si>
  <si>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</si>
  <si>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</si>
  <si>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</si>
  <si>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</si>
  <si>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</si>
  <si>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</si>
  <si>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</si>
  <si>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</si>
  <si>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</si>
  <si>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</si>
  <si>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</si>
  <si>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</si>
  <si>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</si>
  <si>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</si>
  <si>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</si>
  <si>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</si>
  <si>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</si>
  <si>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</si>
  <si>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</si>
  <si>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</si>
  <si>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</si>
  <si>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</si>
  <si>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</si>
  <si>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</si>
  <si>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</si>
  <si>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</si>
  <si>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</si>
  <si>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</si>
  <si>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</si>
  <si>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</si>
  <si>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</si>
  <si>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</si>
  <si>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</si>
  <si>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</si>
  <si>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</si>
  <si>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</si>
  <si>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</si>
  <si>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</si>
  <si>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</si>
  <si>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</si>
  <si>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</si>
  <si>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</si>
  <si>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</si>
  <si>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</si>
  <si>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</si>
  <si>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</si>
  <si>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</si>
  <si>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</si>
  <si>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</si>
  <si>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</si>
  <si>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</si>
  <si>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</si>
  <si>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</si>
  <si>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</si>
  <si>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</si>
  <si>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</si>
  <si>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</si>
  <si>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</si>
  <si>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</si>
  <si>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</si>
  <si>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</si>
  <si>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</si>
  <si>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</si>
  <si>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</si>
  <si>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</si>
  <si>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</si>
  <si>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</si>
  <si>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</si>
  <si>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</si>
  <si>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</si>
  <si>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</si>
  <si>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</si>
  <si>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</si>
  <si>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</si>
  <si>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</si>
  <si>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</si>
  <si>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</si>
  <si>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</si>
  <si>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</si>
  <si>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</si>
  <si>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</si>
  <si>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</si>
  <si>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</si>
  <si>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</si>
  <si>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</si>
  <si>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</si>
  <si>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</si>
  <si>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</si>
  <si>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</si>
  <si>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</si>
  <si>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</si>
  <si>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</si>
  <si>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</si>
  <si>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</si>
  <si>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</si>
  <si>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</si>
  <si>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</si>
  <si>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</si>
  <si>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</si>
  <si>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</si>
  <si>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</si>
  <si>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</si>
  <si>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</si>
  <si>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</si>
  <si>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</si>
  <si>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</si>
  <si>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</si>
  <si>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</si>
  <si>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</si>
  <si>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</si>
  <si>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</si>
  <si>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</si>
  <si>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</si>
  <si>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</si>
  <si>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</si>
  <si>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</si>
  <si>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</si>
  <si>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</si>
  <si>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</si>
  <si>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</si>
  <si>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</si>
  <si>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</si>
  <si>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</si>
  <si>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</si>
  <si>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</si>
  <si>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</si>
  <si>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</si>
  <si>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</si>
  <si>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</si>
  <si>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</si>
  <si>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</si>
  <si>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</si>
  <si>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</si>
  <si>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</si>
  <si>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</si>
  <si>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</si>
  <si>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</si>
  <si>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</si>
  <si>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</si>
  <si>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</si>
  <si>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</si>
  <si>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</si>
  <si>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</si>
  <si>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</si>
  <si>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</si>
  <si>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</si>
  <si>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</si>
  <si>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</si>
  <si>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</si>
  <si>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</si>
  <si>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</si>
  <si>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</si>
  <si>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</si>
  <si>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</si>
  <si>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</si>
  <si>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</si>
  <si>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</si>
  <si>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</si>
  <si>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</si>
  <si>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</si>
  <si>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</si>
  <si>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</si>
  <si>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</si>
  <si>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</si>
  <si>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</si>
  <si>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</si>
  <si>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</si>
  <si>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</si>
  <si>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</si>
  <si>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</si>
  <si>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</si>
  <si>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</si>
  <si>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</si>
  <si>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</si>
  <si>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</si>
  <si>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</si>
  <si>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</si>
  <si>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</si>
  <si>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</si>
  <si>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</si>
  <si>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</si>
  <si>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</si>
  <si>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なし</t>
  </si>
  <si>
    <t>-</t>
  </si>
  <si>
    <t>0b</t>
    <phoneticPr fontId="2"/>
  </si>
  <si>
    <t>1b</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</si>
  <si>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</si>
  <si>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</si>
  <si>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</si>
  <si>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</si>
  <si>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</si>
  <si>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</si>
  <si>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</si>
  <si>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</si>
  <si>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</si>
  <si>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</si>
  <si>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</si>
  <si>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1.1.0</t>
  </si>
  <si>
    <t>Index</t>
  </si>
  <si>
    <t>0b</t>
  </si>
  <si>
    <t>1b</t>
  </si>
  <si>
    <t>https://aip01.dndev.net/svn/met/toyota/std/rd/spec/個車/面企画/tags/00.Product/v2.2.0/MET</t>
    <phoneticPr fontId="2"/>
  </si>
  <si>
    <t>高橋</t>
    <rPh sb="0" eb="2">
      <t>タカハシ</t>
    </rPh>
    <phoneticPr fontId="2"/>
  </si>
  <si>
    <t>MET-H_MAICER-CSTD-0-01-A-C0.xlsm</t>
    <phoneticPr fontId="2"/>
  </si>
  <si>
    <t>NULL</t>
  </si>
  <si>
    <t>PD1</t>
  </si>
  <si>
    <t>PD2</t>
  </si>
  <si>
    <t>PD3</t>
  </si>
  <si>
    <t>PD4</t>
  </si>
  <si>
    <t>ALERT_CH_H_MAICER_PD1</t>
  </si>
  <si>
    <t>MALFUNC</t>
  </si>
  <si>
    <t>ALERT_CH_H_MAICER_PD2</t>
  </si>
  <si>
    <t>ALERT_CH_H_MAICER_PD3</t>
  </si>
  <si>
    <t>ALERT_CH_H_MAICER_PD4</t>
  </si>
  <si>
    <t>EHV1S90_STS</t>
  </si>
  <si>
    <t>EHV1S90_STS</t>
    <phoneticPr fontId="2"/>
  </si>
  <si>
    <t>PD1(2WD整備モード表示)判定</t>
    <rPh sb="12" eb="14">
      <t>ヒョウジ</t>
    </rPh>
    <rPh sb="15" eb="17">
      <t>ハンテイ</t>
    </rPh>
    <phoneticPr fontId="2"/>
  </si>
  <si>
    <t>CAN</t>
    <phoneticPr fontId="2"/>
  </si>
  <si>
    <t>CAN</t>
  </si>
  <si>
    <t>ALERT_CH_H_MAICER_PD1</t>
    <phoneticPr fontId="2"/>
  </si>
  <si>
    <t>IG-ON</t>
  </si>
  <si>
    <t>EHV1S90</t>
    <phoneticPr fontId="2"/>
  </si>
  <si>
    <t>通常(0b)/
未受信(1b)</t>
    <phoneticPr fontId="2"/>
  </si>
  <si>
    <t>MALFUNC/
UNKNOWN</t>
    <phoneticPr fontId="2"/>
  </si>
  <si>
    <t>PD2(2WD認証モード表示)判定</t>
    <rPh sb="12" eb="14">
      <t>ヒョウジ</t>
    </rPh>
    <rPh sb="15" eb="17">
      <t>ハンテイ</t>
    </rPh>
    <phoneticPr fontId="2"/>
  </si>
  <si>
    <t>ALERT_CH_H_MAICER_PD2</t>
    <phoneticPr fontId="2"/>
  </si>
  <si>
    <t>PD3(4WD整備モード表示)判定</t>
    <rPh sb="12" eb="14">
      <t>ヒョウジ</t>
    </rPh>
    <rPh sb="15" eb="17">
      <t>ハンテイ</t>
    </rPh>
    <phoneticPr fontId="2"/>
  </si>
  <si>
    <t>EHV1S90</t>
  </si>
  <si>
    <t>通常(0b)/
未受信(1b)</t>
  </si>
  <si>
    <t>PD4(4WD認証モード表示)判定</t>
    <rPh sb="12" eb="14">
      <t>ヒョウジ</t>
    </rPh>
    <rPh sb="15" eb="17">
      <t>ハンテイ</t>
    </rPh>
    <phoneticPr fontId="2"/>
  </si>
  <si>
    <t>H_MAICER-CSTD-0-MEF01-REQ09/
-</t>
    <phoneticPr fontId="2"/>
  </si>
  <si>
    <t>REQ09</t>
    <phoneticPr fontId="2"/>
  </si>
  <si>
    <t>H_MAICER-CSTD-0-MEF01-REQ10/
-</t>
    <phoneticPr fontId="2"/>
  </si>
  <si>
    <t>REQ10</t>
    <phoneticPr fontId="2"/>
  </si>
  <si>
    <t>H_MAICER-CSTD-0-MEF01-REQ11/
-</t>
    <phoneticPr fontId="2"/>
  </si>
  <si>
    <t>REQ11</t>
    <phoneticPr fontId="2"/>
  </si>
  <si>
    <t>H_MAICER-CSTD-0-MEF01-REQ12/
-</t>
    <phoneticPr fontId="2"/>
  </si>
  <si>
    <t>REQ12</t>
    <phoneticPr fontId="2"/>
  </si>
  <si>
    <t>H_MAICER-CSTD-0-MEF01-REQ09</t>
  </si>
  <si>
    <t>H_MAICER-CSTD-0-MEF01-REQ10</t>
  </si>
  <si>
    <t>H_MAICER-CSTD-0-MEF01-REQ11</t>
  </si>
  <si>
    <t>H_MAICER-CSTD-0-MEF01-REQ12</t>
  </si>
  <si>
    <t>通常 + 正常</t>
    <rPh sb="0" eb="2">
      <t>ツウジョウ</t>
    </rPh>
    <rPh sb="5" eb="7">
      <t>セイジョウ</t>
    </rPh>
    <phoneticPr fontId="2"/>
  </si>
  <si>
    <t>正常(0b)/
2WD整備モード(1b)</t>
    <rPh sb="11" eb="13">
      <t>セイビ</t>
    </rPh>
    <phoneticPr fontId="2"/>
  </si>
  <si>
    <t>通常 + 2WD整備モード</t>
    <rPh sb="0" eb="2">
      <t>ツウジョウ</t>
    </rPh>
    <phoneticPr fontId="2"/>
  </si>
  <si>
    <t>未受信 + 正常</t>
    <rPh sb="0" eb="1">
      <t>ミ</t>
    </rPh>
    <rPh sb="1" eb="3">
      <t>ジュシン</t>
    </rPh>
    <rPh sb="6" eb="8">
      <t>セイジョウ</t>
    </rPh>
    <phoneticPr fontId="2"/>
  </si>
  <si>
    <t>未受信 + 2WD整備モード</t>
    <rPh sb="0" eb="1">
      <t>ミ</t>
    </rPh>
    <rPh sb="1" eb="3">
      <t>ジュシン</t>
    </rPh>
    <phoneticPr fontId="2"/>
  </si>
  <si>
    <t>正常(0b)/
2WD認証モード(1b)</t>
    <rPh sb="11" eb="13">
      <t>ニンショウ</t>
    </rPh>
    <phoneticPr fontId="2"/>
  </si>
  <si>
    <t>通常 + 2WD認証モード</t>
    <rPh sb="0" eb="2">
      <t>ツウジョウ</t>
    </rPh>
    <phoneticPr fontId="2"/>
  </si>
  <si>
    <t>未受信 + 2WD認証モード</t>
    <rPh sb="0" eb="1">
      <t>ミ</t>
    </rPh>
    <rPh sb="1" eb="3">
      <t>ジュシン</t>
    </rPh>
    <phoneticPr fontId="2"/>
  </si>
  <si>
    <t>正常(0b)/
4WD整備モード(1b)</t>
    <phoneticPr fontId="2"/>
  </si>
  <si>
    <t>通常 + 4WD整備モード</t>
    <rPh sb="0" eb="2">
      <t>ツウジョウ</t>
    </rPh>
    <phoneticPr fontId="2"/>
  </si>
  <si>
    <t>未受信 + 4WD整備モード</t>
    <rPh sb="0" eb="1">
      <t>ミ</t>
    </rPh>
    <rPh sb="1" eb="3">
      <t>ジュシン</t>
    </rPh>
    <phoneticPr fontId="2"/>
  </si>
  <si>
    <t>正常(0b)/
4WD認証モード(1b)</t>
    <rPh sb="11" eb="13">
      <t>ニンショウ</t>
    </rPh>
    <phoneticPr fontId="2"/>
  </si>
  <si>
    <t>通常 + 4WD認証モード</t>
    <rPh sb="0" eb="2">
      <t>ツウジョウ</t>
    </rPh>
    <phoneticPr fontId="2"/>
  </si>
  <si>
    <t>未受信 + 4WD認証モード</t>
    <rPh sb="0" eb="1">
      <t>ミ</t>
    </rPh>
    <rPh sb="1" eb="3">
      <t>ジュシン</t>
    </rPh>
    <phoneticPr fontId="2"/>
  </si>
  <si>
    <t>840B 1A対応(流用元：840B CV alert_H_MAICER-CSTD-0-00-A-C0.xlsx)
・仕様書Rev17⇒19変更
[Matrix]シート
・対象仕様書変更
・ロケーション変更
[CH_Design]シート
・PDの要求ID変更
H_MAICER-CSTD-0-MEF01-REQ02 ⇒ H_MAICER-CSTD-0-MEF01-REQ09
H_MAICER-CSTD-0-MEF01-REQ04 ⇒ H_MAICER-CSTD-0-MEF01-REQ10
H_MAICER-CSTD-0-MEF01-REQ06 ⇒ H_MAICER-CSTD-0-MEF01-REQ11
H_MAICER-CSTD-0-MEF01-REQ08 ⇒ H_MAICER-CSTD-0-MEF01-REQ12
[Reference]シート
・840B 1A用のキャプチャに変更
・真理値表のREQを変更</t>
    <rPh sb="123" eb="125">
      <t>ヨウキュウ</t>
    </rPh>
    <rPh sb="127" eb="129">
      <t>ヘンコウ</t>
    </rPh>
    <rPh sb="385" eb="386">
      <t>ヨウ</t>
    </rPh>
    <rPh sb="393" eb="395">
      <t>ヘンコウ</t>
    </rPh>
    <rPh sb="397" eb="401">
      <t>シンリチヒョウ</t>
    </rPh>
    <rPh sb="406" eb="408">
      <t>ヘンコウ</t>
    </rPh>
    <phoneticPr fontId="2"/>
  </si>
  <si>
    <t>CHMH_SIG</t>
    <phoneticPr fontId="2"/>
  </si>
  <si>
    <t>CMH2_SIG</t>
    <phoneticPr fontId="2"/>
  </si>
  <si>
    <t>CMH3_SIG</t>
    <phoneticPr fontId="2"/>
  </si>
  <si>
    <t>CMH4_SIG</t>
    <phoneticPr fontId="2"/>
  </si>
  <si>
    <t>CMH2_SIG</t>
    <phoneticPr fontId="2"/>
  </si>
  <si>
    <t>ALERT_VOM_IGN_ON</t>
    <phoneticPr fontId="2"/>
  </si>
  <si>
    <t>鈴木大助</t>
    <rPh sb="0" eb="2">
      <t>スズキ</t>
    </rPh>
    <rPh sb="2" eb="4">
      <t>ダイスケ</t>
    </rPh>
    <phoneticPr fontId="2"/>
  </si>
  <si>
    <t>佐藤博貴</t>
    <rPh sb="0" eb="2">
      <t>サトウ</t>
    </rPh>
    <rPh sb="2" eb="4">
      <t>ヒロキ</t>
    </rPh>
    <phoneticPr fontId="2"/>
  </si>
  <si>
    <t>鈴木直行</t>
    <rPh sb="0" eb="4">
      <t>スズキナオユキ</t>
    </rPh>
    <phoneticPr fontId="2"/>
  </si>
  <si>
    <t>鈴木大助</t>
    <rPh sb="0" eb="2">
      <t>スズキ</t>
    </rPh>
    <rPh sb="2" eb="3">
      <t>ダイ</t>
    </rPh>
    <rPh sb="3" eb="4">
      <t>スケ</t>
    </rPh>
    <phoneticPr fontId="2"/>
  </si>
  <si>
    <t>葛西</t>
    <rPh sb="0" eb="2">
      <t>カサイ</t>
    </rPh>
    <phoneticPr fontId="2"/>
  </si>
  <si>
    <t>－</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</si>
  <si>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</si>
  <si>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</si>
  <si>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</si>
  <si>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</si>
  <si>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</si>
  <si>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</si>
  <si>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</si>
  <si>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</si>
  <si>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</si>
  <si>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</si>
  <si>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</si>
  <si>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</si>
  <si>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</si>
  <si>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</si>
  <si>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</si>
  <si>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</si>
  <si>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</si>
  <si>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1.1.1</t>
    <phoneticPr fontId="2"/>
  </si>
  <si>
    <t>DTPH Kiko</t>
    <phoneticPr fontId="2"/>
  </si>
  <si>
    <t>品質総点検(R4)：Alert設計書の修正対応
[PD1]シート
・数式の変更(AU8、AU10、AU11)
[PD2]シート
・数式の変更(AU8、AU10、AU11)
[PD3]シート
・数式の変更(AU8、AU10、AU11)
[PD4]シート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</si>
</sst>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30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0" fillId="12" borderId="14" xfId="0" applyFill="1" applyBorder="1" applyAlignment="1" applyProtection="1">
      <alignment horizontal="lef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2" borderId="13" xfId="0" applyFill="1" applyBorder="1" applyProtection="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0" xfId="0" applyFill="1" applyBorder="1" applyAlignment="1" applyProtection="1">
      <alignment horizontal="left" vertical="center"/>
    </xf>
    <xf numFmtId="176" fontId="0" fillId="0" borderId="14" xfId="0" applyNumberFormat="1" applyBorder="1">
      <alignment vertical="center"/>
    </xf>
    <xf numFmtId="0" fontId="15" fillId="7" borderId="61" xfId="0" applyFont="1" applyFill="1" applyBorder="1" applyAlignment="1">
      <alignment vertical="center"/>
    </xf>
    <xf numFmtId="0" fontId="19" fillId="0" borderId="0" xfId="0" applyFont="1">
      <alignment vertical="center"/>
    </xf>
    <xf numFmtId="0" fontId="0" fillId="0" borderId="30" xfId="0" applyBorder="1">
      <alignment vertical="center"/>
    </xf>
    <xf numFmtId="0" fontId="0" fillId="0" borderId="31" xfId="0" applyBorder="1" applyAlignment="1">
      <alignment vertical="center" wrapText="1"/>
    </xf>
    <xf numFmtId="0" fontId="0" fillId="0" borderId="9" xfId="0" applyBorder="1" applyAlignment="1">
      <alignment horizontal="center" vertical="center"/>
    </xf>
    <xf numFmtId="0" fontId="0" fillId="12" borderId="27" xfId="0" applyFill="1" applyBorder="1" applyAlignment="1">
      <alignment vertical="center" wrapText="1"/>
    </xf>
    <xf numFmtId="0" fontId="0" fillId="12" borderId="7" xfId="0" applyFill="1" applyBorder="1" applyAlignment="1">
      <alignment vertical="center" wrapText="1"/>
    </xf>
    <xf numFmtId="0" fontId="0" fillId="14" borderId="2" xfId="0" applyFill="1" applyBorder="1">
      <alignment vertical="center"/>
    </xf>
    <xf numFmtId="0" fontId="0" fillId="15" borderId="25" xfId="0" applyFill="1" applyBorder="1" applyAlignment="1">
      <alignment horizontal="center" vertical="center"/>
    </xf>
    <xf numFmtId="0" fontId="0" fillId="0" borderId="25" xfId="0" applyBorder="1" applyAlignment="1">
      <alignment horizontal="center" vertical="center"/>
    </xf>
    <xf numFmtId="0" fontId="0" fillId="15" borderId="2" xfId="0" applyFill="1" applyBorder="1" applyAlignment="1">
      <alignment horizontal="center" vertical="center"/>
    </xf>
    <xf numFmtId="0" fontId="0" fillId="15" borderId="30" xfId="0" applyFill="1" applyBorder="1" applyAlignment="1">
      <alignment horizontal="center" vertical="center"/>
    </xf>
    <xf numFmtId="0" fontId="0" fillId="15" borderId="7" xfId="0" applyFill="1" applyBorder="1" applyAlignment="1">
      <alignment horizontal="center" vertical="center"/>
    </xf>
    <xf numFmtId="0" fontId="0" fillId="15" borderId="14" xfId="0" applyFill="1" applyBorder="1" applyAlignment="1">
      <alignment horizontal="center" vertical="center"/>
    </xf>
    <xf numFmtId="0" fontId="0" fillId="15" borderId="26" xfId="0" applyFill="1" applyBorder="1" applyAlignment="1">
      <alignment horizontal="center" vertical="center"/>
    </xf>
    <xf numFmtId="0" fontId="0" fillId="0" borderId="34" xfId="0"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0" fillId="0" borderId="2" xfId="0" applyFill="1" applyBorder="1" applyAlignment="1">
      <alignment vertical="center" wrapText="1"/>
    </xf>
    <xf numFmtId="0" fontId="0" fillId="0" borderId="14" xfId="0" applyBorder="1">
      <alignment vertical="center"/>
    </xf>
    <xf numFmtId="0" fontId="0" fillId="0" borderId="0" xfId="0">
      <alignment vertical="center"/>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22" borderId="2" xfId="0" applyFill="1" applyBorder="1" applyAlignment="1">
      <alignment vertical="center" textRotation="90"/>
    </xf>
    <xf numFmtId="0" fontId="0" fillId="22" borderId="30" xfId="0" applyFill="1" applyBorder="1" applyAlignment="1">
      <alignment horizontal="center" vertical="center" textRotation="90"/>
    </xf>
    <xf numFmtId="0" fontId="0" fillId="12" borderId="18" xfId="0" applyFill="1" applyBorder="1" applyAlignment="1">
      <alignment vertical="center"/>
    </xf>
    <xf numFmtId="0" fontId="0" fillId="15" borderId="30" xfId="0" applyFill="1" applyBorder="1">
      <alignment vertical="center"/>
    </xf>
    <xf numFmtId="0" fontId="0" fillId="20" borderId="30" xfId="0" applyFill="1" applyBorder="1">
      <alignment vertical="center"/>
    </xf>
    <xf numFmtId="0" fontId="0" fillId="15" borderId="31"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0" borderId="19" xfId="0" applyBorder="1">
      <alignment vertical="center"/>
    </xf>
    <xf numFmtId="0" fontId="0" fillId="0" borderId="30" xfId="0" applyBorder="1" applyAlignment="1">
      <alignment horizontal="center" vertical="center"/>
    </xf>
    <xf numFmtId="0" fontId="0" fillId="0" borderId="32" xfId="0" applyBorder="1" applyAlignment="1">
      <alignment horizontal="center" vertical="center"/>
    </xf>
    <xf numFmtId="0" fontId="0" fillId="15" borderId="10" xfId="0" applyFill="1" applyBorder="1" applyAlignment="1">
      <alignment horizontal="center" vertical="center"/>
    </xf>
    <xf numFmtId="0" fontId="10" fillId="0" borderId="2" xfId="0" applyFont="1" applyBorder="1" applyAlignment="1">
      <alignment horizontal="center" vertical="center"/>
    </xf>
    <xf numFmtId="0" fontId="17" fillId="0" borderId="16" xfId="0" applyFont="1" applyBorder="1" applyAlignment="1">
      <alignment vertical="center" wrapText="1"/>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6" fillId="0" borderId="0" xfId="3" applyFont="1" applyAlignment="1">
      <alignment horizontal="center" vertical="center"/>
    </xf>
    <xf numFmtId="0" fontId="22" fillId="0" borderId="63" xfId="3" applyFont="1" applyBorder="1">
      <alignment vertical="center"/>
    </xf>
    <xf numFmtId="0" fontId="22" fillId="0" borderId="65" xfId="3" applyFont="1" applyBorder="1">
      <alignment vertical="center"/>
    </xf>
    <xf numFmtId="0" fontId="22" fillId="0" borderId="64" xfId="3" applyFont="1" applyBorder="1">
      <alignment vertical="center"/>
    </xf>
    <xf numFmtId="0" fontId="22" fillId="0" borderId="76" xfId="3" applyFont="1" applyBorder="1">
      <alignment vertical="center"/>
    </xf>
    <xf numFmtId="0" fontId="22" fillId="0" borderId="77" xfId="3" applyFont="1" applyBorder="1">
      <alignment vertical="center"/>
    </xf>
    <xf numFmtId="0" fontId="22" fillId="0" borderId="77" xfId="3" applyFont="1" applyBorder="1" applyAlignment="1">
      <alignment horizontal="center" vertical="center"/>
    </xf>
    <xf numFmtId="0" fontId="22" fillId="0" borderId="76" xfId="3" applyFont="1" applyBorder="1" applyAlignment="1">
      <alignment horizontal="center" vertical="center"/>
    </xf>
    <xf numFmtId="0" fontId="22" fillId="0" borderId="28" xfId="3" applyFont="1" applyBorder="1">
      <alignment vertical="center"/>
    </xf>
    <xf numFmtId="0" fontId="22" fillId="0" borderId="11" xfId="3" applyFont="1" applyBorder="1">
      <alignment vertical="center"/>
    </xf>
    <xf numFmtId="0" fontId="22" fillId="0" borderId="25" xfId="3" applyFont="1" applyBorder="1">
      <alignment vertical="center"/>
    </xf>
    <xf numFmtId="0" fontId="0" fillId="10" borderId="78" xfId="0" applyFill="1" applyBorder="1">
      <alignment vertical="center"/>
    </xf>
    <xf numFmtId="0" fontId="0" fillId="4" borderId="17" xfId="0" applyFill="1" applyBorder="1">
      <alignment vertical="center"/>
    </xf>
    <xf numFmtId="14" fontId="0" fillId="0" borderId="2" xfId="0" applyNumberFormat="1" applyBorder="1">
      <alignment vertical="center"/>
    </xf>
    <xf numFmtId="0" fontId="0" fillId="0" borderId="9" xfId="0" applyBorder="1">
      <alignment vertical="center"/>
    </xf>
    <xf numFmtId="14" fontId="0" fillId="0" borderId="10" xfId="0" applyNumberFormat="1" applyBorder="1">
      <alignment vertical="center"/>
    </xf>
    <xf numFmtId="0" fontId="0" fillId="0" borderId="79" xfId="0" applyBorder="1">
      <alignment vertical="center"/>
    </xf>
    <xf numFmtId="0" fontId="0" fillId="0" borderId="80" xfId="0" applyBorder="1" applyAlignment="1">
      <alignment vertical="center" wrapText="1"/>
    </xf>
    <xf numFmtId="0" fontId="0" fillId="0" borderId="80" xfId="0" applyBorder="1">
      <alignment vertical="center"/>
    </xf>
    <xf numFmtId="176" fontId="0" fillId="0" borderId="80" xfId="0" applyNumberFormat="1" applyBorder="1">
      <alignment vertical="center"/>
    </xf>
    <xf numFmtId="14" fontId="0" fillId="0" borderId="80" xfId="0" applyNumberFormat="1" applyBorder="1">
      <alignment vertical="center"/>
    </xf>
    <xf numFmtId="14" fontId="0" fillId="0" borderId="14" xfId="0" applyNumberFormat="1" applyBorder="1">
      <alignment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0"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標準" xfId="0" builtinId="0"/>
    <cellStyle name="標準 2" xfId="2" xr:uid="{00000000-0005-0000-0000-000002000000}"/>
    <cellStyle name="標準 3 3 4 3" xfId="3" xr:uid="{2C55F123-EA9A-4E59-A1CA-38569B58879B}"/>
  </cellStyles>
  <dxfs count="16">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tmp"/><Relationship Id="rId3" Type="http://schemas.openxmlformats.org/officeDocument/2006/relationships/image" Target="../media/image4.tmp"/><Relationship Id="rId7" Type="http://schemas.openxmlformats.org/officeDocument/2006/relationships/image" Target="../media/image8.tmp"/><Relationship Id="rId2" Type="http://schemas.openxmlformats.org/officeDocument/2006/relationships/image" Target="../media/image3.tmp"/><Relationship Id="rId1" Type="http://schemas.openxmlformats.org/officeDocument/2006/relationships/image" Target="../media/image2.tmp"/><Relationship Id="rId6" Type="http://schemas.openxmlformats.org/officeDocument/2006/relationships/image" Target="../media/image7.tmp"/><Relationship Id="rId5" Type="http://schemas.openxmlformats.org/officeDocument/2006/relationships/image" Target="../media/image6.tmp"/><Relationship Id="rId10" Type="http://schemas.openxmlformats.org/officeDocument/2006/relationships/image" Target="../media/image11.tmp"/><Relationship Id="rId4" Type="http://schemas.openxmlformats.org/officeDocument/2006/relationships/image" Target="../media/image5.tmp"/><Relationship Id="rId9" Type="http://schemas.openxmlformats.org/officeDocument/2006/relationships/image" Target="../media/image10.tmp"/></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1495D3A-2971-45B1-9E27-CEE1C2BAC3E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B3BC17DD-C45E-418D-BF6C-3ACDDA2B8055}"/>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BA4E5159-52CF-4BDB-91C9-C87514AD2E3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3C219DC6-8B05-4CBE-A01E-2679F2233646}"/>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31C0EFB4-36E2-77F5-1AFC-B9DD5F03425C}"/>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244928</xdr:colOff>
      <xdr:row>50</xdr:row>
      <xdr:rowOff>141674</xdr:rowOff>
    </xdr:from>
    <xdr:to>
      <xdr:col>3</xdr:col>
      <xdr:colOff>250211</xdr:colOff>
      <xdr:row>54</xdr:row>
      <xdr:rowOff>154482</xdr:rowOff>
    </xdr:to>
    <xdr:sp macro="" textlink="">
      <xdr:nvSpPr>
        <xdr:cNvPr id="27" name="線吹き出し 1 (枠付き) 26">
          <a:extLst>
            <a:ext uri="{FF2B5EF4-FFF2-40B4-BE49-F238E27FC236}">
              <a16:creationId xmlns:a16="http://schemas.microsoft.com/office/drawing/2014/main" id="{00000000-0008-0000-0900-00001B000000}"/>
            </a:ext>
          </a:extLst>
        </xdr:cNvPr>
        <xdr:cNvSpPr/>
      </xdr:nvSpPr>
      <xdr:spPr>
        <a:xfrm>
          <a:off x="930728" y="16762799"/>
          <a:ext cx="2958033" cy="698608"/>
        </a:xfrm>
        <a:prstGeom prst="borderCallout1">
          <a:avLst>
            <a:gd name="adj1" fmla="val 45374"/>
            <a:gd name="adj2" fmla="val 99565"/>
            <a:gd name="adj3" fmla="val -28845"/>
            <a:gd name="adj4" fmla="val 1135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7</xdr:col>
      <xdr:colOff>252932</xdr:colOff>
      <xdr:row>36</xdr:row>
      <xdr:rowOff>800</xdr:rowOff>
    </xdr:from>
    <xdr:to>
      <xdr:col>11</xdr:col>
      <xdr:colOff>1580829</xdr:colOff>
      <xdr:row>38</xdr:row>
      <xdr:rowOff>110860</xdr:rowOff>
    </xdr:to>
    <xdr:sp macro="" textlink="">
      <xdr:nvSpPr>
        <xdr:cNvPr id="28" name="線吹き出し 1 (枠付き) 27">
          <a:extLst>
            <a:ext uri="{FF2B5EF4-FFF2-40B4-BE49-F238E27FC236}">
              <a16:creationId xmlns:a16="http://schemas.microsoft.com/office/drawing/2014/main" id="{00000000-0008-0000-0900-00001C000000}"/>
            </a:ext>
          </a:extLst>
        </xdr:cNvPr>
        <xdr:cNvSpPr/>
      </xdr:nvSpPr>
      <xdr:spPr>
        <a:xfrm>
          <a:off x="4925785" y="11363565"/>
          <a:ext cx="3400985" cy="446236"/>
        </a:xfrm>
        <a:prstGeom prst="borderCallout1">
          <a:avLst>
            <a:gd name="adj1" fmla="val 38295"/>
            <a:gd name="adj2" fmla="val -1002"/>
            <a:gd name="adj3" fmla="val 119862"/>
            <a:gd name="adj4" fmla="val -14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1895396</xdr:colOff>
      <xdr:row>50</xdr:row>
      <xdr:rowOff>123265</xdr:rowOff>
    </xdr:from>
    <xdr:to>
      <xdr:col>14</xdr:col>
      <xdr:colOff>490756</xdr:colOff>
      <xdr:row>56</xdr:row>
      <xdr:rowOff>33618</xdr:rowOff>
    </xdr:to>
    <xdr:sp macro="" textlink="">
      <xdr:nvSpPr>
        <xdr:cNvPr id="29" name="線吹き出し 1 (枠付き) 28">
          <a:extLst>
            <a:ext uri="{FF2B5EF4-FFF2-40B4-BE49-F238E27FC236}">
              <a16:creationId xmlns:a16="http://schemas.microsoft.com/office/drawing/2014/main" id="{00000000-0008-0000-0900-00001D000000}"/>
            </a:ext>
          </a:extLst>
        </xdr:cNvPr>
        <xdr:cNvSpPr/>
      </xdr:nvSpPr>
      <xdr:spPr>
        <a:xfrm>
          <a:off x="8630932" y="16887265"/>
          <a:ext cx="4310360" cy="971710"/>
        </a:xfrm>
        <a:prstGeom prst="borderCallout1">
          <a:avLst>
            <a:gd name="adj1" fmla="val 48645"/>
            <a:gd name="adj2" fmla="val -635"/>
            <a:gd name="adj3" fmla="val -14748"/>
            <a:gd name="adj4" fmla="val -692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220435</xdr:colOff>
      <xdr:row>68</xdr:row>
      <xdr:rowOff>117181</xdr:rowOff>
    </xdr:from>
    <xdr:to>
      <xdr:col>3</xdr:col>
      <xdr:colOff>225718</xdr:colOff>
      <xdr:row>72</xdr:row>
      <xdr:rowOff>129989</xdr:rowOff>
    </xdr:to>
    <xdr:sp macro="" textlink="">
      <xdr:nvSpPr>
        <xdr:cNvPr id="30" name="線吹き出し 1 (枠付き) 29">
          <a:extLst>
            <a:ext uri="{FF2B5EF4-FFF2-40B4-BE49-F238E27FC236}">
              <a16:creationId xmlns:a16="http://schemas.microsoft.com/office/drawing/2014/main" id="{00000000-0008-0000-0900-00001E000000}"/>
            </a:ext>
          </a:extLst>
        </xdr:cNvPr>
        <xdr:cNvSpPr/>
      </xdr:nvSpPr>
      <xdr:spPr>
        <a:xfrm>
          <a:off x="906235" y="22281856"/>
          <a:ext cx="2958033" cy="698608"/>
        </a:xfrm>
        <a:prstGeom prst="borderCallout1">
          <a:avLst>
            <a:gd name="adj1" fmla="val 45374"/>
            <a:gd name="adj2" fmla="val 99565"/>
            <a:gd name="adj3" fmla="val -28845"/>
            <a:gd name="adj4" fmla="val 1135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7</xdr:col>
      <xdr:colOff>53949</xdr:colOff>
      <xdr:row>53</xdr:row>
      <xdr:rowOff>130789</xdr:rowOff>
    </xdr:from>
    <xdr:to>
      <xdr:col>11</xdr:col>
      <xdr:colOff>1381846</xdr:colOff>
      <xdr:row>56</xdr:row>
      <xdr:rowOff>72760</xdr:rowOff>
    </xdr:to>
    <xdr:sp macro="" textlink="">
      <xdr:nvSpPr>
        <xdr:cNvPr id="31" name="線吹き出し 1 (枠付き) 30">
          <a:extLst>
            <a:ext uri="{FF2B5EF4-FFF2-40B4-BE49-F238E27FC236}">
              <a16:creationId xmlns:a16="http://schemas.microsoft.com/office/drawing/2014/main" id="{00000000-0008-0000-0900-00001F000000}"/>
            </a:ext>
          </a:extLst>
        </xdr:cNvPr>
        <xdr:cNvSpPr/>
      </xdr:nvSpPr>
      <xdr:spPr>
        <a:xfrm>
          <a:off x="4726802" y="17152524"/>
          <a:ext cx="3400985" cy="446236"/>
        </a:xfrm>
        <a:prstGeom prst="borderCallout1">
          <a:avLst>
            <a:gd name="adj1" fmla="val 38295"/>
            <a:gd name="adj2" fmla="val -1002"/>
            <a:gd name="adj3" fmla="val 134929"/>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1848490</xdr:colOff>
      <xdr:row>69</xdr:row>
      <xdr:rowOff>5602</xdr:rowOff>
    </xdr:from>
    <xdr:to>
      <xdr:col>14</xdr:col>
      <xdr:colOff>483099</xdr:colOff>
      <xdr:row>74</xdr:row>
      <xdr:rowOff>123265</xdr:rowOff>
    </xdr:to>
    <xdr:sp macro="" textlink="">
      <xdr:nvSpPr>
        <xdr:cNvPr id="32" name="線吹き出し 1 (枠付き) 31">
          <a:extLst>
            <a:ext uri="{FF2B5EF4-FFF2-40B4-BE49-F238E27FC236}">
              <a16:creationId xmlns:a16="http://schemas.microsoft.com/office/drawing/2014/main" id="{00000000-0008-0000-0900-000020000000}"/>
            </a:ext>
          </a:extLst>
        </xdr:cNvPr>
        <xdr:cNvSpPr/>
      </xdr:nvSpPr>
      <xdr:spPr>
        <a:xfrm>
          <a:off x="8584026" y="22539031"/>
          <a:ext cx="4349609" cy="1002127"/>
        </a:xfrm>
        <a:prstGeom prst="borderCallout1">
          <a:avLst>
            <a:gd name="adj1" fmla="val 48645"/>
            <a:gd name="adj2" fmla="val -635"/>
            <a:gd name="adj3" fmla="val -16548"/>
            <a:gd name="adj4" fmla="val -645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231322</xdr:colOff>
      <xdr:row>32</xdr:row>
      <xdr:rowOff>128066</xdr:rowOff>
    </xdr:from>
    <xdr:to>
      <xdr:col>3</xdr:col>
      <xdr:colOff>236605</xdr:colOff>
      <xdr:row>36</xdr:row>
      <xdr:rowOff>140874</xdr:rowOff>
    </xdr:to>
    <xdr:sp macro="" textlink="">
      <xdr:nvSpPr>
        <xdr:cNvPr id="33" name="線吹き出し 1 (枠付き) 32">
          <a:extLst>
            <a:ext uri="{FF2B5EF4-FFF2-40B4-BE49-F238E27FC236}">
              <a16:creationId xmlns:a16="http://schemas.microsoft.com/office/drawing/2014/main" id="{00000000-0008-0000-0900-000021000000}"/>
            </a:ext>
          </a:extLst>
        </xdr:cNvPr>
        <xdr:cNvSpPr/>
      </xdr:nvSpPr>
      <xdr:spPr>
        <a:xfrm>
          <a:off x="917122" y="10891316"/>
          <a:ext cx="2958033" cy="698608"/>
        </a:xfrm>
        <a:prstGeom prst="borderCallout1">
          <a:avLst>
            <a:gd name="adj1" fmla="val 45374"/>
            <a:gd name="adj2" fmla="val 99565"/>
            <a:gd name="adj3" fmla="val -28845"/>
            <a:gd name="adj4" fmla="val 1135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7</xdr:col>
      <xdr:colOff>158485</xdr:colOff>
      <xdr:row>17</xdr:row>
      <xdr:rowOff>119262</xdr:rowOff>
    </xdr:from>
    <xdr:to>
      <xdr:col>11</xdr:col>
      <xdr:colOff>1486382</xdr:colOff>
      <xdr:row>20</xdr:row>
      <xdr:rowOff>61233</xdr:rowOff>
    </xdr:to>
    <xdr:sp macro="" textlink="">
      <xdr:nvSpPr>
        <xdr:cNvPr id="34" name="線吹き出し 1 (枠付き) 33">
          <a:extLst>
            <a:ext uri="{FF2B5EF4-FFF2-40B4-BE49-F238E27FC236}">
              <a16:creationId xmlns:a16="http://schemas.microsoft.com/office/drawing/2014/main" id="{00000000-0008-0000-0900-000022000000}"/>
            </a:ext>
          </a:extLst>
        </xdr:cNvPr>
        <xdr:cNvSpPr/>
      </xdr:nvSpPr>
      <xdr:spPr>
        <a:xfrm>
          <a:off x="4831338" y="5699791"/>
          <a:ext cx="3400985" cy="446236"/>
        </a:xfrm>
        <a:prstGeom prst="borderCallout1">
          <a:avLst>
            <a:gd name="adj1" fmla="val 38295"/>
            <a:gd name="adj2" fmla="val -1002"/>
            <a:gd name="adj3" fmla="val 137441"/>
            <a:gd name="adj4" fmla="val -116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1910605</xdr:colOff>
      <xdr:row>32</xdr:row>
      <xdr:rowOff>96049</xdr:rowOff>
    </xdr:from>
    <xdr:to>
      <xdr:col>14</xdr:col>
      <xdr:colOff>278917</xdr:colOff>
      <xdr:row>37</xdr:row>
      <xdr:rowOff>156881</xdr:rowOff>
    </xdr:to>
    <xdr:sp macro="" textlink="">
      <xdr:nvSpPr>
        <xdr:cNvPr id="35" name="線吹き出し 1 (枠付き) 34">
          <a:extLst>
            <a:ext uri="{FF2B5EF4-FFF2-40B4-BE49-F238E27FC236}">
              <a16:creationId xmlns:a16="http://schemas.microsoft.com/office/drawing/2014/main" id="{00000000-0008-0000-0900-000023000000}"/>
            </a:ext>
          </a:extLst>
        </xdr:cNvPr>
        <xdr:cNvSpPr/>
      </xdr:nvSpPr>
      <xdr:spPr>
        <a:xfrm>
          <a:off x="8646141" y="10954549"/>
          <a:ext cx="4083312" cy="945296"/>
        </a:xfrm>
        <a:prstGeom prst="borderCallout1">
          <a:avLst>
            <a:gd name="adj1" fmla="val 48645"/>
            <a:gd name="adj2" fmla="val -635"/>
            <a:gd name="adj3" fmla="val -12047"/>
            <a:gd name="adj4" fmla="val -726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217715</xdr:colOff>
      <xdr:row>13</xdr:row>
      <xdr:rowOff>141674</xdr:rowOff>
    </xdr:from>
    <xdr:to>
      <xdr:col>3</xdr:col>
      <xdr:colOff>222998</xdr:colOff>
      <xdr:row>17</xdr:row>
      <xdr:rowOff>154481</xdr:rowOff>
    </xdr:to>
    <xdr:sp macro="" textlink="">
      <xdr:nvSpPr>
        <xdr:cNvPr id="36" name="線吹き出し 1 (枠付き) 35">
          <a:extLst>
            <a:ext uri="{FF2B5EF4-FFF2-40B4-BE49-F238E27FC236}">
              <a16:creationId xmlns:a16="http://schemas.microsoft.com/office/drawing/2014/main" id="{00000000-0008-0000-0900-000024000000}"/>
            </a:ext>
          </a:extLst>
        </xdr:cNvPr>
        <xdr:cNvSpPr/>
      </xdr:nvSpPr>
      <xdr:spPr>
        <a:xfrm>
          <a:off x="903515" y="5075624"/>
          <a:ext cx="2958033" cy="698607"/>
        </a:xfrm>
        <a:prstGeom prst="borderCallout1">
          <a:avLst>
            <a:gd name="adj1" fmla="val 45374"/>
            <a:gd name="adj2" fmla="val 99565"/>
            <a:gd name="adj3" fmla="val -28845"/>
            <a:gd name="adj4" fmla="val 1135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167289</xdr:colOff>
      <xdr:row>0</xdr:row>
      <xdr:rowOff>40822</xdr:rowOff>
    </xdr:from>
    <xdr:to>
      <xdr:col>11</xdr:col>
      <xdr:colOff>2268392</xdr:colOff>
      <xdr:row>2</xdr:row>
      <xdr:rowOff>128470</xdr:rowOff>
    </xdr:to>
    <xdr:sp macro="" textlink="">
      <xdr:nvSpPr>
        <xdr:cNvPr id="37" name="線吹き出し 1 (枠付き) 36">
          <a:extLst>
            <a:ext uri="{FF2B5EF4-FFF2-40B4-BE49-F238E27FC236}">
              <a16:creationId xmlns:a16="http://schemas.microsoft.com/office/drawing/2014/main" id="{00000000-0008-0000-0900-000025000000}"/>
            </a:ext>
          </a:extLst>
        </xdr:cNvPr>
        <xdr:cNvSpPr/>
      </xdr:nvSpPr>
      <xdr:spPr>
        <a:xfrm>
          <a:off x="5613348" y="40822"/>
          <a:ext cx="3400985" cy="446236"/>
        </a:xfrm>
        <a:prstGeom prst="borderCallout1">
          <a:avLst>
            <a:gd name="adj1" fmla="val 38295"/>
            <a:gd name="adj2" fmla="val -1002"/>
            <a:gd name="adj3" fmla="val 72149"/>
            <a:gd name="adj4" fmla="val -277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1751322</xdr:colOff>
      <xdr:row>13</xdr:row>
      <xdr:rowOff>89648</xdr:rowOff>
    </xdr:from>
    <xdr:to>
      <xdr:col>14</xdr:col>
      <xdr:colOff>381000</xdr:colOff>
      <xdr:row>19</xdr:row>
      <xdr:rowOff>67235</xdr:rowOff>
    </xdr:to>
    <xdr:sp macro="" textlink="">
      <xdr:nvSpPr>
        <xdr:cNvPr id="38" name="線吹き出し 1 (枠付き) 37">
          <a:extLst>
            <a:ext uri="{FF2B5EF4-FFF2-40B4-BE49-F238E27FC236}">
              <a16:creationId xmlns:a16="http://schemas.microsoft.com/office/drawing/2014/main" id="{00000000-0008-0000-0900-000026000000}"/>
            </a:ext>
          </a:extLst>
        </xdr:cNvPr>
        <xdr:cNvSpPr/>
      </xdr:nvSpPr>
      <xdr:spPr>
        <a:xfrm>
          <a:off x="8486858" y="5056255"/>
          <a:ext cx="4344678" cy="1038944"/>
        </a:xfrm>
        <a:prstGeom prst="borderCallout1">
          <a:avLst>
            <a:gd name="adj1" fmla="val 48645"/>
            <a:gd name="adj2" fmla="val -635"/>
            <a:gd name="adj3" fmla="val -9612"/>
            <a:gd name="adj4" fmla="val -633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17</xdr:col>
      <xdr:colOff>450273</xdr:colOff>
      <xdr:row>0</xdr:row>
      <xdr:rowOff>121227</xdr:rowOff>
    </xdr:from>
    <xdr:to>
      <xdr:col>22</xdr:col>
      <xdr:colOff>432956</xdr:colOff>
      <xdr:row>3</xdr:row>
      <xdr:rowOff>134834</xdr:rowOff>
    </xdr:to>
    <xdr:sp macro="" textlink="">
      <xdr:nvSpPr>
        <xdr:cNvPr id="39" name="正方形/長方形 38">
          <a:extLst>
            <a:ext uri="{FF2B5EF4-FFF2-40B4-BE49-F238E27FC236}">
              <a16:creationId xmlns:a16="http://schemas.microsoft.com/office/drawing/2014/main" id="{00000000-0008-0000-0900-000027000000}"/>
            </a:ext>
          </a:extLst>
        </xdr:cNvPr>
        <xdr:cNvSpPr/>
      </xdr:nvSpPr>
      <xdr:spPr>
        <a:xfrm>
          <a:off x="16971818" y="121227"/>
          <a:ext cx="3446320" cy="567789"/>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23</xdr:col>
      <xdr:colOff>0</xdr:colOff>
      <xdr:row>4</xdr:row>
      <xdr:rowOff>0</xdr:rowOff>
    </xdr:from>
    <xdr:to>
      <xdr:col>38</xdr:col>
      <xdr:colOff>631054</xdr:colOff>
      <xdr:row>19</xdr:row>
      <xdr:rowOff>49230</xdr:rowOff>
    </xdr:to>
    <xdr:pic>
      <xdr:nvPicPr>
        <xdr:cNvPr id="41" name="図 40" descr="画面の領域">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677909" y="727364"/>
          <a:ext cx="11021963" cy="5296639"/>
        </a:xfrm>
        <a:prstGeom prst="rect">
          <a:avLst/>
        </a:prstGeom>
      </xdr:spPr>
    </xdr:pic>
    <xdr:clientData/>
  </xdr:twoCellAnchor>
  <xdr:twoCellAnchor editAs="oneCell">
    <xdr:from>
      <xdr:col>23</xdr:col>
      <xdr:colOff>0</xdr:colOff>
      <xdr:row>22</xdr:row>
      <xdr:rowOff>0</xdr:rowOff>
    </xdr:from>
    <xdr:to>
      <xdr:col>28</xdr:col>
      <xdr:colOff>318317</xdr:colOff>
      <xdr:row>24</xdr:row>
      <xdr:rowOff>91848</xdr:rowOff>
    </xdr:to>
    <xdr:pic>
      <xdr:nvPicPr>
        <xdr:cNvPr id="42" name="図 41" descr="画面の領域">
          <a:extLst>
            <a:ext uri="{FF2B5EF4-FFF2-40B4-BE49-F238E27FC236}">
              <a16:creationId xmlns:a16="http://schemas.microsoft.com/office/drawing/2014/main" id="{00000000-0008-0000-0900-00002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77909" y="6528955"/>
          <a:ext cx="3781953" cy="438211"/>
        </a:xfrm>
        <a:prstGeom prst="rect">
          <a:avLst/>
        </a:prstGeom>
      </xdr:spPr>
    </xdr:pic>
    <xdr:clientData/>
  </xdr:twoCellAnchor>
  <xdr:twoCellAnchor editAs="oneCell">
    <xdr:from>
      <xdr:col>28</xdr:col>
      <xdr:colOff>536864</xdr:colOff>
      <xdr:row>22</xdr:row>
      <xdr:rowOff>17318</xdr:rowOff>
    </xdr:from>
    <xdr:to>
      <xdr:col>31</xdr:col>
      <xdr:colOff>240105</xdr:colOff>
      <xdr:row>24</xdr:row>
      <xdr:rowOff>71061</xdr:rowOff>
    </xdr:to>
    <xdr:pic>
      <xdr:nvPicPr>
        <xdr:cNvPr id="43" name="図 42" descr="画面の領域">
          <a:extLst>
            <a:ext uri="{FF2B5EF4-FFF2-40B4-BE49-F238E27FC236}">
              <a16:creationId xmlns:a16="http://schemas.microsoft.com/office/drawing/2014/main" id="{00000000-0008-0000-0900-00002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678409" y="6546273"/>
          <a:ext cx="1781424" cy="400106"/>
        </a:xfrm>
        <a:prstGeom prst="rect">
          <a:avLst/>
        </a:prstGeom>
      </xdr:spPr>
    </xdr:pic>
    <xdr:clientData/>
  </xdr:twoCellAnchor>
  <xdr:twoCellAnchor editAs="oneCell">
    <xdr:from>
      <xdr:col>32</xdr:col>
      <xdr:colOff>0</xdr:colOff>
      <xdr:row>22</xdr:row>
      <xdr:rowOff>0</xdr:rowOff>
    </xdr:from>
    <xdr:to>
      <xdr:col>33</xdr:col>
      <xdr:colOff>536169</xdr:colOff>
      <xdr:row>24</xdr:row>
      <xdr:rowOff>34690</xdr:rowOff>
    </xdr:to>
    <xdr:pic>
      <xdr:nvPicPr>
        <xdr:cNvPr id="44" name="図 43" descr="画面の領域">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912455" y="6528955"/>
          <a:ext cx="1228896" cy="381053"/>
        </a:xfrm>
        <a:prstGeom prst="rect">
          <a:avLst/>
        </a:prstGeom>
      </xdr:spPr>
    </xdr:pic>
    <xdr:clientData/>
  </xdr:twoCellAnchor>
  <xdr:twoCellAnchor>
    <xdr:from>
      <xdr:col>22</xdr:col>
      <xdr:colOff>528440</xdr:colOff>
      <xdr:row>21</xdr:row>
      <xdr:rowOff>118547</xdr:rowOff>
    </xdr:from>
    <xdr:to>
      <xdr:col>34</xdr:col>
      <xdr:colOff>86590</xdr:colOff>
      <xdr:row>25</xdr:row>
      <xdr:rowOff>51956</xdr:rowOff>
    </xdr:to>
    <xdr:sp macro="" textlink="">
      <xdr:nvSpPr>
        <xdr:cNvPr id="45" name="正方形/長方形 44">
          <a:extLst>
            <a:ext uri="{FF2B5EF4-FFF2-40B4-BE49-F238E27FC236}">
              <a16:creationId xmlns:a16="http://schemas.microsoft.com/office/drawing/2014/main" id="{00000000-0008-0000-0900-00002D000000}"/>
            </a:ext>
          </a:extLst>
        </xdr:cNvPr>
        <xdr:cNvSpPr/>
      </xdr:nvSpPr>
      <xdr:spPr>
        <a:xfrm>
          <a:off x="20513622" y="6457002"/>
          <a:ext cx="7870877" cy="6434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34</xdr:col>
      <xdr:colOff>554183</xdr:colOff>
      <xdr:row>21</xdr:row>
      <xdr:rowOff>-1</xdr:rowOff>
    </xdr:from>
    <xdr:to>
      <xdr:col>38</xdr:col>
      <xdr:colOff>213680</xdr:colOff>
      <xdr:row>23</xdr:row>
      <xdr:rowOff>32916</xdr:rowOff>
    </xdr:to>
    <xdr:sp macro="" textlink="">
      <xdr:nvSpPr>
        <xdr:cNvPr id="46" name="線吹き出し 1 (枠付き) 45">
          <a:extLst>
            <a:ext uri="{FF2B5EF4-FFF2-40B4-BE49-F238E27FC236}">
              <a16:creationId xmlns:a16="http://schemas.microsoft.com/office/drawing/2014/main" id="{00000000-0008-0000-0900-00002E000000}"/>
            </a:ext>
          </a:extLst>
        </xdr:cNvPr>
        <xdr:cNvSpPr/>
      </xdr:nvSpPr>
      <xdr:spPr>
        <a:xfrm>
          <a:off x="28852092" y="6338454"/>
          <a:ext cx="2430406" cy="396598"/>
        </a:xfrm>
        <a:prstGeom prst="borderCallout1">
          <a:avLst>
            <a:gd name="adj1" fmla="val 32493"/>
            <a:gd name="adj2" fmla="val -1220"/>
            <a:gd name="adj3" fmla="val 119553"/>
            <a:gd name="adj4" fmla="val -205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26</xdr:row>
      <xdr:rowOff>155862</xdr:rowOff>
    </xdr:from>
    <xdr:to>
      <xdr:col>24</xdr:col>
      <xdr:colOff>593327</xdr:colOff>
      <xdr:row>26</xdr:row>
      <xdr:rowOff>575020</xdr:rowOff>
    </xdr:to>
    <xdr:pic>
      <xdr:nvPicPr>
        <xdr:cNvPr id="47" name="図 46" descr="画面の領域">
          <a:extLst>
            <a:ext uri="{FF2B5EF4-FFF2-40B4-BE49-F238E27FC236}">
              <a16:creationId xmlns:a16="http://schemas.microsoft.com/office/drawing/2014/main" id="{00000000-0008-0000-0900-00002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677909" y="7550726"/>
          <a:ext cx="1286054" cy="419158"/>
        </a:xfrm>
        <a:prstGeom prst="rect">
          <a:avLst/>
        </a:prstGeom>
      </xdr:spPr>
    </xdr:pic>
    <xdr:clientData/>
  </xdr:twoCellAnchor>
  <xdr:twoCellAnchor>
    <xdr:from>
      <xdr:col>22</xdr:col>
      <xdr:colOff>528441</xdr:colOff>
      <xdr:row>26</xdr:row>
      <xdr:rowOff>83911</xdr:rowOff>
    </xdr:from>
    <xdr:to>
      <xdr:col>25</xdr:col>
      <xdr:colOff>225137</xdr:colOff>
      <xdr:row>26</xdr:row>
      <xdr:rowOff>727365</xdr:rowOff>
    </xdr:to>
    <xdr:sp macro="" textlink="">
      <xdr:nvSpPr>
        <xdr:cNvPr id="48" name="正方形/長方形 47">
          <a:extLst>
            <a:ext uri="{FF2B5EF4-FFF2-40B4-BE49-F238E27FC236}">
              <a16:creationId xmlns:a16="http://schemas.microsoft.com/office/drawing/2014/main" id="{00000000-0008-0000-0900-000030000000}"/>
            </a:ext>
          </a:extLst>
        </xdr:cNvPr>
        <xdr:cNvSpPr/>
      </xdr:nvSpPr>
      <xdr:spPr>
        <a:xfrm>
          <a:off x="20513623" y="7478775"/>
          <a:ext cx="1774878" cy="6434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26</xdr:col>
      <xdr:colOff>34637</xdr:colOff>
      <xdr:row>25</xdr:row>
      <xdr:rowOff>311727</xdr:rowOff>
    </xdr:from>
    <xdr:to>
      <xdr:col>29</xdr:col>
      <xdr:colOff>386861</xdr:colOff>
      <xdr:row>26</xdr:row>
      <xdr:rowOff>361961</xdr:rowOff>
    </xdr:to>
    <xdr:sp macro="" textlink="">
      <xdr:nvSpPr>
        <xdr:cNvPr id="49" name="線吹き出し 1 (枠付き) 48">
          <a:extLst>
            <a:ext uri="{FF2B5EF4-FFF2-40B4-BE49-F238E27FC236}">
              <a16:creationId xmlns:a16="http://schemas.microsoft.com/office/drawing/2014/main" id="{00000000-0008-0000-0900-000031000000}"/>
            </a:ext>
          </a:extLst>
        </xdr:cNvPr>
        <xdr:cNvSpPr/>
      </xdr:nvSpPr>
      <xdr:spPr>
        <a:xfrm>
          <a:off x="22790728" y="7360227"/>
          <a:ext cx="2430406" cy="396598"/>
        </a:xfrm>
        <a:prstGeom prst="borderCallout1">
          <a:avLst>
            <a:gd name="adj1" fmla="val 32493"/>
            <a:gd name="adj2" fmla="val -1220"/>
            <a:gd name="adj3" fmla="val 119553"/>
            <a:gd name="adj4" fmla="val -205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27</xdr:row>
      <xdr:rowOff>0</xdr:rowOff>
    </xdr:from>
    <xdr:to>
      <xdr:col>48</xdr:col>
      <xdr:colOff>257895</xdr:colOff>
      <xdr:row>45</xdr:row>
      <xdr:rowOff>847760</xdr:rowOff>
    </xdr:to>
    <xdr:pic>
      <xdr:nvPicPr>
        <xdr:cNvPr id="50" name="図 49" descr="画面の領域">
          <a:extLst>
            <a:ext uri="{FF2B5EF4-FFF2-40B4-BE49-F238E27FC236}">
              <a16:creationId xmlns:a16="http://schemas.microsoft.com/office/drawing/2014/main" id="{00000000-0008-0000-0900-00003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854147" y="9390529"/>
          <a:ext cx="17346866" cy="6417084"/>
        </a:xfrm>
        <a:prstGeom prst="rect">
          <a:avLst/>
        </a:prstGeom>
      </xdr:spPr>
    </xdr:pic>
    <xdr:clientData/>
  </xdr:twoCellAnchor>
  <xdr:twoCellAnchor editAs="oneCell">
    <xdr:from>
      <xdr:col>22</xdr:col>
      <xdr:colOff>675409</xdr:colOff>
      <xdr:row>45</xdr:row>
      <xdr:rowOff>762001</xdr:rowOff>
    </xdr:from>
    <xdr:to>
      <xdr:col>48</xdr:col>
      <xdr:colOff>259629</xdr:colOff>
      <xdr:row>63</xdr:row>
      <xdr:rowOff>491738</xdr:rowOff>
    </xdr:to>
    <xdr:pic>
      <xdr:nvPicPr>
        <xdr:cNvPr id="51" name="図 50" descr="画面の領域">
          <a:extLst>
            <a:ext uri="{FF2B5EF4-FFF2-40B4-BE49-F238E27FC236}">
              <a16:creationId xmlns:a16="http://schemas.microsoft.com/office/drawing/2014/main" id="{00000000-0008-0000-0900-000033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660591" y="15846137"/>
          <a:ext cx="17595130" cy="5496692"/>
        </a:xfrm>
        <a:prstGeom prst="rect">
          <a:avLst/>
        </a:prstGeom>
      </xdr:spPr>
    </xdr:pic>
    <xdr:clientData/>
  </xdr:twoCellAnchor>
  <xdr:twoCellAnchor>
    <xdr:from>
      <xdr:col>23</xdr:col>
      <xdr:colOff>270705</xdr:colOff>
      <xdr:row>27</xdr:row>
      <xdr:rowOff>218381</xdr:rowOff>
    </xdr:from>
    <xdr:to>
      <xdr:col>24</xdr:col>
      <xdr:colOff>549088</xdr:colOff>
      <xdr:row>27</xdr:row>
      <xdr:rowOff>403412</xdr:rowOff>
    </xdr:to>
    <xdr:sp macro="" textlink="">
      <xdr:nvSpPr>
        <xdr:cNvPr id="52" name="正方形/長方形 51">
          <a:extLst>
            <a:ext uri="{FF2B5EF4-FFF2-40B4-BE49-F238E27FC236}">
              <a16:creationId xmlns:a16="http://schemas.microsoft.com/office/drawing/2014/main" id="{00000000-0008-0000-0900-000034000000}"/>
            </a:ext>
          </a:extLst>
        </xdr:cNvPr>
        <xdr:cNvSpPr/>
      </xdr:nvSpPr>
      <xdr:spPr>
        <a:xfrm>
          <a:off x="20867117" y="9608910"/>
          <a:ext cx="961942" cy="1850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31</xdr:col>
      <xdr:colOff>287739</xdr:colOff>
      <xdr:row>31</xdr:row>
      <xdr:rowOff>73400</xdr:rowOff>
    </xdr:from>
    <xdr:to>
      <xdr:col>32</xdr:col>
      <xdr:colOff>134471</xdr:colOff>
      <xdr:row>63</xdr:row>
      <xdr:rowOff>421822</xdr:rowOff>
    </xdr:to>
    <xdr:sp macro="" textlink="">
      <xdr:nvSpPr>
        <xdr:cNvPr id="53" name="正方形/長方形 52">
          <a:extLst>
            <a:ext uri="{FF2B5EF4-FFF2-40B4-BE49-F238E27FC236}">
              <a16:creationId xmlns:a16="http://schemas.microsoft.com/office/drawing/2014/main" id="{00000000-0008-0000-0900-000035000000}"/>
            </a:ext>
          </a:extLst>
        </xdr:cNvPr>
        <xdr:cNvSpPr/>
      </xdr:nvSpPr>
      <xdr:spPr>
        <a:xfrm>
          <a:off x="26304596" y="10755007"/>
          <a:ext cx="527089" cy="106626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28</xdr:col>
      <xdr:colOff>403412</xdr:colOff>
      <xdr:row>27</xdr:row>
      <xdr:rowOff>302559</xdr:rowOff>
    </xdr:from>
    <xdr:to>
      <xdr:col>30</xdr:col>
      <xdr:colOff>486137</xdr:colOff>
      <xdr:row>28</xdr:row>
      <xdr:rowOff>87889</xdr:rowOff>
    </xdr:to>
    <xdr:sp macro="" textlink="">
      <xdr:nvSpPr>
        <xdr:cNvPr id="54" name="線吹き出し 1 (枠付き) 53">
          <a:extLst>
            <a:ext uri="{FF2B5EF4-FFF2-40B4-BE49-F238E27FC236}">
              <a16:creationId xmlns:a16="http://schemas.microsoft.com/office/drawing/2014/main" id="{00000000-0008-0000-0900-000036000000}"/>
            </a:ext>
          </a:extLst>
        </xdr:cNvPr>
        <xdr:cNvSpPr/>
      </xdr:nvSpPr>
      <xdr:spPr>
        <a:xfrm>
          <a:off x="24417618" y="9693088"/>
          <a:ext cx="1449843" cy="390448"/>
        </a:xfrm>
        <a:prstGeom prst="borderCallout1">
          <a:avLst>
            <a:gd name="adj1" fmla="val 106798"/>
            <a:gd name="adj2" fmla="val 70783"/>
            <a:gd name="adj3" fmla="val 318894"/>
            <a:gd name="adj4" fmla="val 1339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35</xdr:col>
      <xdr:colOff>171944</xdr:colOff>
      <xdr:row>29</xdr:row>
      <xdr:rowOff>46960</xdr:rowOff>
    </xdr:from>
    <xdr:to>
      <xdr:col>36</xdr:col>
      <xdr:colOff>381000</xdr:colOff>
      <xdr:row>63</xdr:row>
      <xdr:rowOff>421821</xdr:rowOff>
    </xdr:to>
    <xdr:sp macro="" textlink="">
      <xdr:nvSpPr>
        <xdr:cNvPr id="55" name="正方形/長方形 54">
          <a:extLst>
            <a:ext uri="{FF2B5EF4-FFF2-40B4-BE49-F238E27FC236}">
              <a16:creationId xmlns:a16="http://schemas.microsoft.com/office/drawing/2014/main" id="{00000000-0008-0000-0900-000037000000}"/>
            </a:ext>
          </a:extLst>
        </xdr:cNvPr>
        <xdr:cNvSpPr/>
      </xdr:nvSpPr>
      <xdr:spPr>
        <a:xfrm>
          <a:off x="28910230" y="10374781"/>
          <a:ext cx="889413" cy="110428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242272</xdr:colOff>
      <xdr:row>26</xdr:row>
      <xdr:rowOff>1296513</xdr:rowOff>
    </xdr:from>
    <xdr:to>
      <xdr:col>43</xdr:col>
      <xdr:colOff>319988</xdr:colOff>
      <xdr:row>26</xdr:row>
      <xdr:rowOff>1809624</xdr:rowOff>
    </xdr:to>
    <xdr:sp macro="" textlink="">
      <xdr:nvSpPr>
        <xdr:cNvPr id="56" name="線吹き出し 1 (枠付き) 55">
          <a:extLst>
            <a:ext uri="{FF2B5EF4-FFF2-40B4-BE49-F238E27FC236}">
              <a16:creationId xmlns:a16="http://schemas.microsoft.com/office/drawing/2014/main" id="{00000000-0008-0000-0900-000038000000}"/>
            </a:ext>
          </a:extLst>
        </xdr:cNvPr>
        <xdr:cNvSpPr/>
      </xdr:nvSpPr>
      <xdr:spPr>
        <a:xfrm>
          <a:off x="32503447" y="8668863"/>
          <a:ext cx="2135116" cy="513111"/>
        </a:xfrm>
        <a:prstGeom prst="borderCallout1">
          <a:avLst>
            <a:gd name="adj1" fmla="val 38295"/>
            <a:gd name="adj2" fmla="val -1002"/>
            <a:gd name="adj3" fmla="val 313031"/>
            <a:gd name="adj4" fmla="val -1383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340180</xdr:colOff>
      <xdr:row>29</xdr:row>
      <xdr:rowOff>34583</xdr:rowOff>
    </xdr:from>
    <xdr:to>
      <xdr:col>43</xdr:col>
      <xdr:colOff>149679</xdr:colOff>
      <xdr:row>63</xdr:row>
      <xdr:rowOff>425823</xdr:rowOff>
    </xdr:to>
    <xdr:sp macro="" textlink="">
      <xdr:nvSpPr>
        <xdr:cNvPr id="57" name="正方形/長方形 56">
          <a:extLst>
            <a:ext uri="{FF2B5EF4-FFF2-40B4-BE49-F238E27FC236}">
              <a16:creationId xmlns:a16="http://schemas.microsoft.com/office/drawing/2014/main" id="{00000000-0008-0000-0900-000039000000}"/>
            </a:ext>
          </a:extLst>
        </xdr:cNvPr>
        <xdr:cNvSpPr/>
      </xdr:nvSpPr>
      <xdr:spPr>
        <a:xfrm>
          <a:off x="33924209" y="10209524"/>
          <a:ext cx="493058" cy="108911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334056</xdr:colOff>
      <xdr:row>27</xdr:row>
      <xdr:rowOff>81643</xdr:rowOff>
    </xdr:from>
    <xdr:to>
      <xdr:col>45</xdr:col>
      <xdr:colOff>554953</xdr:colOff>
      <xdr:row>27</xdr:row>
      <xdr:rowOff>582891</xdr:rowOff>
    </xdr:to>
    <xdr:sp macro="" textlink="">
      <xdr:nvSpPr>
        <xdr:cNvPr id="58" name="線吹き出し 1 (枠付き) 57">
          <a:extLst>
            <a:ext uri="{FF2B5EF4-FFF2-40B4-BE49-F238E27FC236}">
              <a16:creationId xmlns:a16="http://schemas.microsoft.com/office/drawing/2014/main" id="{00000000-0008-0000-0900-00003A000000}"/>
            </a:ext>
          </a:extLst>
        </xdr:cNvPr>
        <xdr:cNvSpPr/>
      </xdr:nvSpPr>
      <xdr:spPr>
        <a:xfrm>
          <a:off x="34515199" y="9620250"/>
          <a:ext cx="1581611" cy="501248"/>
        </a:xfrm>
        <a:prstGeom prst="borderCallout1">
          <a:avLst>
            <a:gd name="adj1" fmla="val 38295"/>
            <a:gd name="adj2" fmla="val -1002"/>
            <a:gd name="adj3" fmla="val 155348"/>
            <a:gd name="adj4" fmla="val -242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65</xdr:row>
      <xdr:rowOff>0</xdr:rowOff>
    </xdr:from>
    <xdr:to>
      <xdr:col>38</xdr:col>
      <xdr:colOff>368869</xdr:colOff>
      <xdr:row>86</xdr:row>
      <xdr:rowOff>124361</xdr:rowOff>
    </xdr:to>
    <xdr:pic>
      <xdr:nvPicPr>
        <xdr:cNvPr id="60" name="図 59" descr="画面の領域">
          <a:extLst>
            <a:ext uri="{FF2B5EF4-FFF2-40B4-BE49-F238E27FC236}">
              <a16:creationId xmlns:a16="http://schemas.microsoft.com/office/drawing/2014/main" id="{00000000-0008-0000-0900-00003C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574000" y="21825857"/>
          <a:ext cx="10574226" cy="3839111"/>
        </a:xfrm>
        <a:prstGeom prst="rect">
          <a:avLst/>
        </a:prstGeom>
      </xdr:spPr>
    </xdr:pic>
    <xdr:clientData/>
  </xdr:twoCellAnchor>
  <xdr:twoCellAnchor>
    <xdr:from>
      <xdr:col>33</xdr:col>
      <xdr:colOff>108858</xdr:colOff>
      <xdr:row>66</xdr:row>
      <xdr:rowOff>27214</xdr:rowOff>
    </xdr:from>
    <xdr:to>
      <xdr:col>36</xdr:col>
      <xdr:colOff>544286</xdr:colOff>
      <xdr:row>74</xdr:row>
      <xdr:rowOff>0</xdr:rowOff>
    </xdr:to>
    <xdr:sp macro="" textlink="">
      <xdr:nvSpPr>
        <xdr:cNvPr id="61" name="正方形/長方形 60">
          <a:extLst>
            <a:ext uri="{FF2B5EF4-FFF2-40B4-BE49-F238E27FC236}">
              <a16:creationId xmlns:a16="http://schemas.microsoft.com/office/drawing/2014/main" id="{00000000-0008-0000-0900-00003D000000}"/>
            </a:ext>
          </a:extLst>
        </xdr:cNvPr>
        <xdr:cNvSpPr/>
      </xdr:nvSpPr>
      <xdr:spPr>
        <a:xfrm>
          <a:off x="27486429" y="22029964"/>
          <a:ext cx="2476500" cy="13879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258720</xdr:colOff>
      <xdr:row>66</xdr:row>
      <xdr:rowOff>39324</xdr:rowOff>
    </xdr:from>
    <xdr:to>
      <xdr:col>43</xdr:col>
      <xdr:colOff>596099</xdr:colOff>
      <xdr:row>69</xdr:row>
      <xdr:rowOff>143455</xdr:rowOff>
    </xdr:to>
    <xdr:sp macro="" textlink="">
      <xdr:nvSpPr>
        <xdr:cNvPr id="62" name="線吹き出し 1 (枠付き) 61">
          <a:extLst>
            <a:ext uri="{FF2B5EF4-FFF2-40B4-BE49-F238E27FC236}">
              <a16:creationId xmlns:a16="http://schemas.microsoft.com/office/drawing/2014/main" id="{00000000-0008-0000-0900-00003E000000}"/>
            </a:ext>
          </a:extLst>
        </xdr:cNvPr>
        <xdr:cNvSpPr/>
      </xdr:nvSpPr>
      <xdr:spPr>
        <a:xfrm>
          <a:off x="31718434" y="22042074"/>
          <a:ext cx="3058808" cy="634810"/>
        </a:xfrm>
        <a:prstGeom prst="borderCallout1">
          <a:avLst>
            <a:gd name="adj1" fmla="val 38295"/>
            <a:gd name="adj2" fmla="val -1002"/>
            <a:gd name="adj3" fmla="val 87836"/>
            <a:gd name="adj4" fmla="val -567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52</xdr:col>
      <xdr:colOff>0</xdr:colOff>
      <xdr:row>27</xdr:row>
      <xdr:rowOff>0</xdr:rowOff>
    </xdr:from>
    <xdr:to>
      <xdr:col>76</xdr:col>
      <xdr:colOff>255200</xdr:colOff>
      <xdr:row>44</xdr:row>
      <xdr:rowOff>1130669</xdr:rowOff>
    </xdr:to>
    <xdr:pic>
      <xdr:nvPicPr>
        <xdr:cNvPr id="63" name="図 62" descr="画面の領域">
          <a:extLst>
            <a:ext uri="{FF2B5EF4-FFF2-40B4-BE49-F238E27FC236}">
              <a16:creationId xmlns:a16="http://schemas.microsoft.com/office/drawing/2014/main" id="{00000000-0008-0000-0900-00003F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0767000" y="9473045"/>
          <a:ext cx="16880656" cy="4715533"/>
        </a:xfrm>
        <a:prstGeom prst="rect">
          <a:avLst/>
        </a:prstGeom>
      </xdr:spPr>
    </xdr:pic>
    <xdr:clientData/>
  </xdr:twoCellAnchor>
  <xdr:twoCellAnchor editAs="oneCell">
    <xdr:from>
      <xdr:col>52</xdr:col>
      <xdr:colOff>0</xdr:colOff>
      <xdr:row>44</xdr:row>
      <xdr:rowOff>1056412</xdr:rowOff>
    </xdr:from>
    <xdr:to>
      <xdr:col>76</xdr:col>
      <xdr:colOff>245673</xdr:colOff>
      <xdr:row>52</xdr:row>
      <xdr:rowOff>68821</xdr:rowOff>
    </xdr:to>
    <xdr:pic>
      <xdr:nvPicPr>
        <xdr:cNvPr id="65" name="図 64" descr="画面の領域">
          <a:extLst>
            <a:ext uri="{FF2B5EF4-FFF2-40B4-BE49-F238E27FC236}">
              <a16:creationId xmlns:a16="http://schemas.microsoft.com/office/drawing/2014/main" id="{00000000-0008-0000-0900-000041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0767000" y="14114321"/>
          <a:ext cx="16871129" cy="2943636"/>
        </a:xfrm>
        <a:prstGeom prst="rect">
          <a:avLst/>
        </a:prstGeom>
      </xdr:spPr>
    </xdr:pic>
    <xdr:clientData/>
  </xdr:twoCellAnchor>
  <xdr:twoCellAnchor>
    <xdr:from>
      <xdr:col>51</xdr:col>
      <xdr:colOff>657224</xdr:colOff>
      <xdr:row>27</xdr:row>
      <xdr:rowOff>6215</xdr:rowOff>
    </xdr:from>
    <xdr:to>
      <xdr:col>76</xdr:col>
      <xdr:colOff>266699</xdr:colOff>
      <xdr:row>52</xdr:row>
      <xdr:rowOff>66675</xdr:rowOff>
    </xdr:to>
    <xdr:sp macro="" textlink="">
      <xdr:nvSpPr>
        <xdr:cNvPr id="66" name="正方形/長方形 65">
          <a:extLst>
            <a:ext uri="{FF2B5EF4-FFF2-40B4-BE49-F238E27FC236}">
              <a16:creationId xmlns:a16="http://schemas.microsoft.com/office/drawing/2014/main" id="{00000000-0008-0000-0900-000042000000}"/>
            </a:ext>
          </a:extLst>
        </xdr:cNvPr>
        <xdr:cNvSpPr/>
      </xdr:nvSpPr>
      <xdr:spPr>
        <a:xfrm>
          <a:off x="40462199" y="9455015"/>
          <a:ext cx="16754475" cy="75756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319988</xdr:colOff>
      <xdr:row>26</xdr:row>
      <xdr:rowOff>1553069</xdr:rowOff>
    </xdr:from>
    <xdr:to>
      <xdr:col>51</xdr:col>
      <xdr:colOff>666750</xdr:colOff>
      <xdr:row>28</xdr:row>
      <xdr:rowOff>47625</xdr:rowOff>
    </xdr:to>
    <xdr:cxnSp macro="">
      <xdr:nvCxnSpPr>
        <xdr:cNvPr id="69" name="直線コネクタ 68">
          <a:extLst>
            <a:ext uri="{FF2B5EF4-FFF2-40B4-BE49-F238E27FC236}">
              <a16:creationId xmlns:a16="http://schemas.microsoft.com/office/drawing/2014/main" id="{00000000-0008-0000-0900-000045000000}"/>
            </a:ext>
          </a:extLst>
        </xdr:cNvPr>
        <xdr:cNvCxnSpPr>
          <a:stCxn id="56" idx="0"/>
        </xdr:cNvCxnSpPr>
      </xdr:nvCxnSpPr>
      <xdr:spPr>
        <a:xfrm>
          <a:off x="34638563" y="8925419"/>
          <a:ext cx="5833162" cy="1180606"/>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649941</xdr:colOff>
      <xdr:row>52</xdr:row>
      <xdr:rowOff>145677</xdr:rowOff>
    </xdr:from>
    <xdr:to>
      <xdr:col>48</xdr:col>
      <xdr:colOff>225135</xdr:colOff>
      <xdr:row>63</xdr:row>
      <xdr:rowOff>425823</xdr:rowOff>
    </xdr:to>
    <xdr:sp macro="" textlink="">
      <xdr:nvSpPr>
        <xdr:cNvPr id="72" name="正方形/長方形 71">
          <a:extLst>
            <a:ext uri="{FF2B5EF4-FFF2-40B4-BE49-F238E27FC236}">
              <a16:creationId xmlns:a16="http://schemas.microsoft.com/office/drawing/2014/main" id="{00000000-0008-0000-0900-000048000000}"/>
            </a:ext>
          </a:extLst>
        </xdr:cNvPr>
        <xdr:cNvSpPr/>
      </xdr:nvSpPr>
      <xdr:spPr>
        <a:xfrm>
          <a:off x="20562794" y="16999324"/>
          <a:ext cx="17347723" cy="41013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49</xdr:col>
      <xdr:colOff>336178</xdr:colOff>
      <xdr:row>57</xdr:row>
      <xdr:rowOff>78440</xdr:rowOff>
    </xdr:from>
    <xdr:to>
      <xdr:col>59</xdr:col>
      <xdr:colOff>369796</xdr:colOff>
      <xdr:row>62</xdr:row>
      <xdr:rowOff>593912</xdr:rowOff>
    </xdr:to>
    <xdr:sp macro="" textlink="">
      <xdr:nvSpPr>
        <xdr:cNvPr id="73" name="線吹き出し 1 (枠付き) 72">
          <a:extLst>
            <a:ext uri="{FF2B5EF4-FFF2-40B4-BE49-F238E27FC236}">
              <a16:creationId xmlns:a16="http://schemas.microsoft.com/office/drawing/2014/main" id="{00000000-0008-0000-0900-000049000000}"/>
            </a:ext>
          </a:extLst>
        </xdr:cNvPr>
        <xdr:cNvSpPr/>
      </xdr:nvSpPr>
      <xdr:spPr>
        <a:xfrm>
          <a:off x="38705119" y="17794940"/>
          <a:ext cx="6869206" cy="1557619"/>
        </a:xfrm>
        <a:prstGeom prst="borderCallout1">
          <a:avLst>
            <a:gd name="adj1" fmla="val 39201"/>
            <a:gd name="adj2" fmla="val -324"/>
            <a:gd name="adj3" fmla="val 57530"/>
            <a:gd name="adj4" fmla="val -10928"/>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情報種類が</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ⅢUR⇒ⅢR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への変更に伴い、要求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H_MAICER-CSTD-0-MEF01-REQ02 ⇒ H_MAICER-CSTD-0-MEF01-REQ09</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H_MAICER-CSTD-0-MEF01-REQ04 ⇒ H_MAICER-CSTD-0-MEF01-REQ10</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H_MAICER-CSTD-0-MEF01-REQ06 ⇒ H_MAICER-CSTD-0-MEF01-REQ11</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H_MAICER-CSTD-0-MEF01-REQ08 ⇒ H_MAICER-CSTD-0-MEF01-REQ12</a:t>
          </a:r>
        </a:p>
      </xdr:txBody>
    </xdr:sp>
    <xdr:clientData/>
  </xdr:twoCellAnchor>
  <xdr:twoCellAnchor>
    <xdr:from>
      <xdr:col>13</xdr:col>
      <xdr:colOff>818029</xdr:colOff>
      <xdr:row>3</xdr:row>
      <xdr:rowOff>164388</xdr:rowOff>
    </xdr:from>
    <xdr:to>
      <xdr:col>15</xdr:col>
      <xdr:colOff>11205</xdr:colOff>
      <xdr:row>12</xdr:row>
      <xdr:rowOff>179293</xdr:rowOff>
    </xdr:to>
    <xdr:sp macro="" textlink="">
      <xdr:nvSpPr>
        <xdr:cNvPr id="74" name="正方形/長方形 73">
          <a:extLst>
            <a:ext uri="{FF2B5EF4-FFF2-40B4-BE49-F238E27FC236}">
              <a16:creationId xmlns:a16="http://schemas.microsoft.com/office/drawing/2014/main" id="{00000000-0008-0000-0900-00004A000000}"/>
            </a:ext>
          </a:extLst>
        </xdr:cNvPr>
        <xdr:cNvSpPr/>
      </xdr:nvSpPr>
      <xdr:spPr>
        <a:xfrm>
          <a:off x="12192000" y="713476"/>
          <a:ext cx="2655793" cy="41946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17</xdr:col>
      <xdr:colOff>178550</xdr:colOff>
      <xdr:row>7</xdr:row>
      <xdr:rowOff>986116</xdr:rowOff>
    </xdr:from>
    <xdr:to>
      <xdr:col>22</xdr:col>
      <xdr:colOff>100853</xdr:colOff>
      <xdr:row>7</xdr:row>
      <xdr:rowOff>1927411</xdr:rowOff>
    </xdr:to>
    <xdr:sp macro="" textlink="">
      <xdr:nvSpPr>
        <xdr:cNvPr id="75" name="線吹き出し 1 (枠付き) 74">
          <a:extLst>
            <a:ext uri="{FF2B5EF4-FFF2-40B4-BE49-F238E27FC236}">
              <a16:creationId xmlns:a16="http://schemas.microsoft.com/office/drawing/2014/main" id="{00000000-0008-0000-0900-00004B000000}"/>
            </a:ext>
          </a:extLst>
        </xdr:cNvPr>
        <xdr:cNvSpPr/>
      </xdr:nvSpPr>
      <xdr:spPr>
        <a:xfrm>
          <a:off x="16673609" y="2386851"/>
          <a:ext cx="3340097" cy="941295"/>
        </a:xfrm>
        <a:prstGeom prst="borderCallout1">
          <a:avLst>
            <a:gd name="adj1" fmla="val 40826"/>
            <a:gd name="adj2" fmla="val 457"/>
            <a:gd name="adj3" fmla="val 98149"/>
            <a:gd name="adj4" fmla="val -54862"/>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H_MAICER-CSTD-0-MEF01-REQ02</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⇒H_MAICER-CSTD-0-MEF01-REQ09</a:t>
          </a:r>
        </a:p>
      </xdr:txBody>
    </xdr:sp>
    <xdr:clientData/>
  </xdr:twoCellAnchor>
  <xdr:twoCellAnchor>
    <xdr:from>
      <xdr:col>14</xdr:col>
      <xdr:colOff>1</xdr:colOff>
      <xdr:row>23</xdr:row>
      <xdr:rowOff>1</xdr:rowOff>
    </xdr:from>
    <xdr:to>
      <xdr:col>15</xdr:col>
      <xdr:colOff>11207</xdr:colOff>
      <xdr:row>32</xdr:row>
      <xdr:rowOff>1</xdr:rowOff>
    </xdr:to>
    <xdr:sp macro="" textlink="">
      <xdr:nvSpPr>
        <xdr:cNvPr id="76" name="正方形/長方形 75">
          <a:extLst>
            <a:ext uri="{FF2B5EF4-FFF2-40B4-BE49-F238E27FC236}">
              <a16:creationId xmlns:a16="http://schemas.microsoft.com/office/drawing/2014/main" id="{00000000-0008-0000-0900-00004C000000}"/>
            </a:ext>
          </a:extLst>
        </xdr:cNvPr>
        <xdr:cNvSpPr/>
      </xdr:nvSpPr>
      <xdr:spPr>
        <a:xfrm>
          <a:off x="12203207" y="6633883"/>
          <a:ext cx="2644588" cy="40565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17</xdr:col>
      <xdr:colOff>189756</xdr:colOff>
      <xdr:row>26</xdr:row>
      <xdr:rowOff>989816</xdr:rowOff>
    </xdr:from>
    <xdr:to>
      <xdr:col>22</xdr:col>
      <xdr:colOff>112059</xdr:colOff>
      <xdr:row>26</xdr:row>
      <xdr:rowOff>1931111</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16684815" y="8307257"/>
          <a:ext cx="3340097" cy="941295"/>
        </a:xfrm>
        <a:prstGeom prst="borderCallout1">
          <a:avLst>
            <a:gd name="adj1" fmla="val 40826"/>
            <a:gd name="adj2" fmla="val 457"/>
            <a:gd name="adj3" fmla="val 98149"/>
            <a:gd name="adj4" fmla="val -54862"/>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H_MAICER-CSTD-0-MEF01-REQ04</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⇒H_MAICER-CSTD-0-MEF01-REQ10</a:t>
          </a:r>
        </a:p>
      </xdr:txBody>
    </xdr:sp>
    <xdr:clientData/>
  </xdr:twoCellAnchor>
  <xdr:twoCellAnchor>
    <xdr:from>
      <xdr:col>14</xdr:col>
      <xdr:colOff>0</xdr:colOff>
      <xdr:row>41</xdr:row>
      <xdr:rowOff>0</xdr:rowOff>
    </xdr:from>
    <xdr:to>
      <xdr:col>15</xdr:col>
      <xdr:colOff>11206</xdr:colOff>
      <xdr:row>49</xdr:row>
      <xdr:rowOff>168089</xdr:rowOff>
    </xdr:to>
    <xdr:sp macro="" textlink="">
      <xdr:nvSpPr>
        <xdr:cNvPr id="78" name="正方形/長方形 77">
          <a:extLst>
            <a:ext uri="{FF2B5EF4-FFF2-40B4-BE49-F238E27FC236}">
              <a16:creationId xmlns:a16="http://schemas.microsoft.com/office/drawing/2014/main" id="{00000000-0008-0000-0900-00004E000000}"/>
            </a:ext>
          </a:extLst>
        </xdr:cNvPr>
        <xdr:cNvSpPr/>
      </xdr:nvSpPr>
      <xdr:spPr>
        <a:xfrm>
          <a:off x="12203206" y="12248029"/>
          <a:ext cx="2644588" cy="42582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16</xdr:col>
      <xdr:colOff>268195</xdr:colOff>
      <xdr:row>50</xdr:row>
      <xdr:rowOff>138167</xdr:rowOff>
    </xdr:from>
    <xdr:to>
      <xdr:col>21</xdr:col>
      <xdr:colOff>44822</xdr:colOff>
      <xdr:row>56</xdr:row>
      <xdr:rowOff>70933</xdr:rowOff>
    </xdr:to>
    <xdr:sp macro="" textlink="">
      <xdr:nvSpPr>
        <xdr:cNvPr id="79" name="線吹き出し 1 (枠付き) 78">
          <a:extLst>
            <a:ext uri="{FF2B5EF4-FFF2-40B4-BE49-F238E27FC236}">
              <a16:creationId xmlns:a16="http://schemas.microsoft.com/office/drawing/2014/main" id="{00000000-0008-0000-0900-00004F000000}"/>
            </a:ext>
          </a:extLst>
        </xdr:cNvPr>
        <xdr:cNvSpPr/>
      </xdr:nvSpPr>
      <xdr:spPr>
        <a:xfrm>
          <a:off x="16191754" y="16655638"/>
          <a:ext cx="3340097" cy="941295"/>
        </a:xfrm>
        <a:prstGeom prst="borderCallout1">
          <a:avLst>
            <a:gd name="adj1" fmla="val 40826"/>
            <a:gd name="adj2" fmla="val 457"/>
            <a:gd name="adj3" fmla="val -72089"/>
            <a:gd name="adj4" fmla="val -4345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H_MAICER-CSTD-0-MEF01-REQ06</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⇒H_MAICER-CSTD-0-MEF01-REQ11</a:t>
          </a:r>
        </a:p>
      </xdr:txBody>
    </xdr:sp>
    <xdr:clientData/>
  </xdr:twoCellAnchor>
  <xdr:twoCellAnchor>
    <xdr:from>
      <xdr:col>14</xdr:col>
      <xdr:colOff>0</xdr:colOff>
      <xdr:row>59</xdr:row>
      <xdr:rowOff>0</xdr:rowOff>
    </xdr:from>
    <xdr:to>
      <xdr:col>15</xdr:col>
      <xdr:colOff>11206</xdr:colOff>
      <xdr:row>68</xdr:row>
      <xdr:rowOff>0</xdr:rowOff>
    </xdr:to>
    <xdr:sp macro="" textlink="">
      <xdr:nvSpPr>
        <xdr:cNvPr id="80" name="正方形/長方形 79">
          <a:extLst>
            <a:ext uri="{FF2B5EF4-FFF2-40B4-BE49-F238E27FC236}">
              <a16:creationId xmlns:a16="http://schemas.microsoft.com/office/drawing/2014/main" id="{00000000-0008-0000-0900-000050000000}"/>
            </a:ext>
          </a:extLst>
        </xdr:cNvPr>
        <xdr:cNvSpPr/>
      </xdr:nvSpPr>
      <xdr:spPr>
        <a:xfrm>
          <a:off x="12203206" y="18075088"/>
          <a:ext cx="2644588" cy="39556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17</xdr:col>
      <xdr:colOff>189755</xdr:colOff>
      <xdr:row>62</xdr:row>
      <xdr:rowOff>989815</xdr:rowOff>
    </xdr:from>
    <xdr:to>
      <xdr:col>22</xdr:col>
      <xdr:colOff>112058</xdr:colOff>
      <xdr:row>63</xdr:row>
      <xdr:rowOff>14904</xdr:rowOff>
    </xdr:to>
    <xdr:sp macro="" textlink="">
      <xdr:nvSpPr>
        <xdr:cNvPr id="81" name="線吹き出し 1 (枠付き) 80">
          <a:extLst>
            <a:ext uri="{FF2B5EF4-FFF2-40B4-BE49-F238E27FC236}">
              <a16:creationId xmlns:a16="http://schemas.microsoft.com/office/drawing/2014/main" id="{00000000-0008-0000-0900-000051000000}"/>
            </a:ext>
          </a:extLst>
        </xdr:cNvPr>
        <xdr:cNvSpPr/>
      </xdr:nvSpPr>
      <xdr:spPr>
        <a:xfrm>
          <a:off x="16684814" y="19748462"/>
          <a:ext cx="3340097" cy="941295"/>
        </a:xfrm>
        <a:prstGeom prst="borderCallout1">
          <a:avLst>
            <a:gd name="adj1" fmla="val 40826"/>
            <a:gd name="adj2" fmla="val 457"/>
            <a:gd name="adj3" fmla="val 98149"/>
            <a:gd name="adj4" fmla="val -54862"/>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H_MAICER-CSTD-0-MEF01-REQ08</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⇒H_MAICER-CSTD-0-MEF01-REQ12</a:t>
          </a:r>
        </a:p>
      </xdr:txBody>
    </xdr:sp>
    <xdr:clientData/>
  </xdr:twoCellAnchor>
  <xdr:twoCellAnchor>
    <xdr:from>
      <xdr:col>23</xdr:col>
      <xdr:colOff>414618</xdr:colOff>
      <xdr:row>69</xdr:row>
      <xdr:rowOff>28901</xdr:rowOff>
    </xdr:from>
    <xdr:to>
      <xdr:col>26</xdr:col>
      <xdr:colOff>145677</xdr:colOff>
      <xdr:row>73</xdr:row>
      <xdr:rowOff>156882</xdr:rowOff>
    </xdr:to>
    <xdr:sp macro="" textlink="">
      <xdr:nvSpPr>
        <xdr:cNvPr id="84" name="正方形/長方形 83">
          <a:extLst>
            <a:ext uri="{FF2B5EF4-FFF2-40B4-BE49-F238E27FC236}">
              <a16:creationId xmlns:a16="http://schemas.microsoft.com/office/drawing/2014/main" id="{00000000-0008-0000-0900-000054000000}"/>
            </a:ext>
          </a:extLst>
        </xdr:cNvPr>
        <xdr:cNvSpPr/>
      </xdr:nvSpPr>
      <xdr:spPr>
        <a:xfrm>
          <a:off x="21011030" y="22227754"/>
          <a:ext cx="1781735" cy="8003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18</xdr:col>
      <xdr:colOff>235323</xdr:colOff>
      <xdr:row>68</xdr:row>
      <xdr:rowOff>56030</xdr:rowOff>
    </xdr:from>
    <xdr:to>
      <xdr:col>22</xdr:col>
      <xdr:colOff>402417</xdr:colOff>
      <xdr:row>72</xdr:row>
      <xdr:rowOff>32917</xdr:rowOff>
    </xdr:to>
    <xdr:sp macro="" textlink="">
      <xdr:nvSpPr>
        <xdr:cNvPr id="85" name="線吹き出し 1 (枠付き) 84">
          <a:extLst>
            <a:ext uri="{FF2B5EF4-FFF2-40B4-BE49-F238E27FC236}">
              <a16:creationId xmlns:a16="http://schemas.microsoft.com/office/drawing/2014/main" id="{00000000-0008-0000-0900-000055000000}"/>
            </a:ext>
          </a:extLst>
        </xdr:cNvPr>
        <xdr:cNvSpPr/>
      </xdr:nvSpPr>
      <xdr:spPr>
        <a:xfrm>
          <a:off x="17413941" y="22086795"/>
          <a:ext cx="2901329" cy="649240"/>
        </a:xfrm>
        <a:prstGeom prst="borderCallout1">
          <a:avLst>
            <a:gd name="adj1" fmla="val 41080"/>
            <a:gd name="adj2" fmla="val 100365"/>
            <a:gd name="adj3" fmla="val 56756"/>
            <a:gd name="adj4" fmla="val 123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利用する信号が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に記載無いため、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送信無しと判断</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46587</xdr:colOff>
      <xdr:row>36</xdr:row>
      <xdr:rowOff>22411</xdr:rowOff>
    </xdr:from>
    <xdr:to>
      <xdr:col>26</xdr:col>
      <xdr:colOff>145676</xdr:colOff>
      <xdr:row>43</xdr:row>
      <xdr:rowOff>168087</xdr:rowOff>
    </xdr:to>
    <xdr:sp macro="" textlink="">
      <xdr:nvSpPr>
        <xdr:cNvPr id="59" name="正方形/長方形 58">
          <a:extLst>
            <a:ext uri="{FF2B5EF4-FFF2-40B4-BE49-F238E27FC236}">
              <a16:creationId xmlns:a16="http://schemas.microsoft.com/office/drawing/2014/main" id="{00000000-0008-0000-0900-00003B000000}"/>
            </a:ext>
          </a:extLst>
        </xdr:cNvPr>
        <xdr:cNvSpPr/>
      </xdr:nvSpPr>
      <xdr:spPr>
        <a:xfrm>
          <a:off x="20900734" y="11385176"/>
          <a:ext cx="2149766" cy="1367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23</xdr:col>
      <xdr:colOff>57793</xdr:colOff>
      <xdr:row>44</xdr:row>
      <xdr:rowOff>302560</xdr:rowOff>
    </xdr:from>
    <xdr:to>
      <xdr:col>26</xdr:col>
      <xdr:colOff>156882</xdr:colOff>
      <xdr:row>44</xdr:row>
      <xdr:rowOff>1109384</xdr:rowOff>
    </xdr:to>
    <xdr:sp macro="" textlink="">
      <xdr:nvSpPr>
        <xdr:cNvPr id="64" name="正方形/長方形 63">
          <a:extLst>
            <a:ext uri="{FF2B5EF4-FFF2-40B4-BE49-F238E27FC236}">
              <a16:creationId xmlns:a16="http://schemas.microsoft.com/office/drawing/2014/main" id="{00000000-0008-0000-0900-000040000000}"/>
            </a:ext>
          </a:extLst>
        </xdr:cNvPr>
        <xdr:cNvSpPr/>
      </xdr:nvSpPr>
      <xdr:spPr>
        <a:xfrm>
          <a:off x="20911940" y="13234148"/>
          <a:ext cx="2149766" cy="8068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23</xdr:col>
      <xdr:colOff>68999</xdr:colOff>
      <xdr:row>44</xdr:row>
      <xdr:rowOff>1479177</xdr:rowOff>
    </xdr:from>
    <xdr:to>
      <xdr:col>26</xdr:col>
      <xdr:colOff>168088</xdr:colOff>
      <xdr:row>45</xdr:row>
      <xdr:rowOff>784412</xdr:rowOff>
    </xdr:to>
    <xdr:sp macro="" textlink="">
      <xdr:nvSpPr>
        <xdr:cNvPr id="67" name="正方形/長方形 66">
          <a:extLst>
            <a:ext uri="{FF2B5EF4-FFF2-40B4-BE49-F238E27FC236}">
              <a16:creationId xmlns:a16="http://schemas.microsoft.com/office/drawing/2014/main" id="{00000000-0008-0000-0900-000043000000}"/>
            </a:ext>
          </a:extLst>
        </xdr:cNvPr>
        <xdr:cNvSpPr/>
      </xdr:nvSpPr>
      <xdr:spPr>
        <a:xfrm>
          <a:off x="20923146" y="14410765"/>
          <a:ext cx="2149766" cy="1333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23</xdr:col>
      <xdr:colOff>1762</xdr:colOff>
      <xdr:row>47</xdr:row>
      <xdr:rowOff>145676</xdr:rowOff>
    </xdr:from>
    <xdr:to>
      <xdr:col>26</xdr:col>
      <xdr:colOff>100851</xdr:colOff>
      <xdr:row>52</xdr:row>
      <xdr:rowOff>123264</xdr:rowOff>
    </xdr:to>
    <xdr:sp macro="" textlink="">
      <xdr:nvSpPr>
        <xdr:cNvPr id="68" name="正方形/長方形 67">
          <a:extLst>
            <a:ext uri="{FF2B5EF4-FFF2-40B4-BE49-F238E27FC236}">
              <a16:creationId xmlns:a16="http://schemas.microsoft.com/office/drawing/2014/main" id="{00000000-0008-0000-0900-000044000000}"/>
            </a:ext>
          </a:extLst>
        </xdr:cNvPr>
        <xdr:cNvSpPr/>
      </xdr:nvSpPr>
      <xdr:spPr>
        <a:xfrm>
          <a:off x="20855909" y="16147676"/>
          <a:ext cx="2149766" cy="8292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17</xdr:col>
      <xdr:colOff>667125</xdr:colOff>
      <xdr:row>29</xdr:row>
      <xdr:rowOff>55244</xdr:rowOff>
    </xdr:from>
    <xdr:to>
      <xdr:col>22</xdr:col>
      <xdr:colOff>589428</xdr:colOff>
      <xdr:row>40</xdr:row>
      <xdr:rowOff>11206</xdr:rowOff>
    </xdr:to>
    <xdr:sp macro="" textlink="">
      <xdr:nvSpPr>
        <xdr:cNvPr id="70" name="線吹き出し 1 (枠付き) 69">
          <a:extLst>
            <a:ext uri="{FF2B5EF4-FFF2-40B4-BE49-F238E27FC236}">
              <a16:creationId xmlns:a16="http://schemas.microsoft.com/office/drawing/2014/main" id="{00000000-0008-0000-0900-000046000000}"/>
            </a:ext>
          </a:extLst>
        </xdr:cNvPr>
        <xdr:cNvSpPr/>
      </xdr:nvSpPr>
      <xdr:spPr>
        <a:xfrm>
          <a:off x="17419919" y="10230185"/>
          <a:ext cx="3340097" cy="1860962"/>
        </a:xfrm>
        <a:prstGeom prst="borderCallout1">
          <a:avLst>
            <a:gd name="adj1" fmla="val 101644"/>
            <a:gd name="adj2" fmla="val 50781"/>
            <a:gd name="adj3" fmla="val 104773"/>
            <a:gd name="adj4" fmla="val 103157"/>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H_MAICER-CSTD-0-MEF01-REQ02</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H_MAICER-CSTD-0-MEF01-REQ04</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H_MAICER-CSTD-0-MEF01-REQ06</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H_MAICER-CSTD-0-MEF01-REQ08</a:t>
          </a: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286497</xdr:colOff>
      <xdr:row>40</xdr:row>
      <xdr:rowOff>11206</xdr:rowOff>
    </xdr:from>
    <xdr:to>
      <xdr:col>23</xdr:col>
      <xdr:colOff>57793</xdr:colOff>
      <xdr:row>44</xdr:row>
      <xdr:rowOff>705972</xdr:rowOff>
    </xdr:to>
    <xdr:cxnSp macro="">
      <xdr:nvCxnSpPr>
        <xdr:cNvPr id="3" name="直線コネクタ 2">
          <a:extLst>
            <a:ext uri="{FF2B5EF4-FFF2-40B4-BE49-F238E27FC236}">
              <a16:creationId xmlns:a16="http://schemas.microsoft.com/office/drawing/2014/main" id="{00000000-0008-0000-0900-000003000000}"/>
            </a:ext>
          </a:extLst>
        </xdr:cNvPr>
        <xdr:cNvCxnSpPr>
          <a:stCxn id="70" idx="1"/>
          <a:endCxn id="64" idx="1"/>
        </xdr:cNvCxnSpPr>
      </xdr:nvCxnSpPr>
      <xdr:spPr>
        <a:xfrm>
          <a:off x="19089968" y="12091147"/>
          <a:ext cx="1821972" cy="1546413"/>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286497</xdr:colOff>
      <xdr:row>40</xdr:row>
      <xdr:rowOff>11206</xdr:rowOff>
    </xdr:from>
    <xdr:to>
      <xdr:col>23</xdr:col>
      <xdr:colOff>68999</xdr:colOff>
      <xdr:row>45</xdr:row>
      <xdr:rowOff>117662</xdr:rowOff>
    </xdr:to>
    <xdr:cxnSp macro="">
      <xdr:nvCxnSpPr>
        <xdr:cNvPr id="71" name="直線コネクタ 70">
          <a:extLst>
            <a:ext uri="{FF2B5EF4-FFF2-40B4-BE49-F238E27FC236}">
              <a16:creationId xmlns:a16="http://schemas.microsoft.com/office/drawing/2014/main" id="{00000000-0008-0000-0900-000047000000}"/>
            </a:ext>
          </a:extLst>
        </xdr:cNvPr>
        <xdr:cNvCxnSpPr>
          <a:stCxn id="70" idx="1"/>
          <a:endCxn id="67" idx="1"/>
        </xdr:cNvCxnSpPr>
      </xdr:nvCxnSpPr>
      <xdr:spPr>
        <a:xfrm>
          <a:off x="19089968" y="12091147"/>
          <a:ext cx="1833178" cy="298636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286497</xdr:colOff>
      <xdr:row>40</xdr:row>
      <xdr:rowOff>11206</xdr:rowOff>
    </xdr:from>
    <xdr:to>
      <xdr:col>23</xdr:col>
      <xdr:colOff>1762</xdr:colOff>
      <xdr:row>50</xdr:row>
      <xdr:rowOff>44823</xdr:rowOff>
    </xdr:to>
    <xdr:cxnSp macro="">
      <xdr:nvCxnSpPr>
        <xdr:cNvPr id="82" name="直線コネクタ 81">
          <a:extLst>
            <a:ext uri="{FF2B5EF4-FFF2-40B4-BE49-F238E27FC236}">
              <a16:creationId xmlns:a16="http://schemas.microsoft.com/office/drawing/2014/main" id="{00000000-0008-0000-0900-000052000000}"/>
            </a:ext>
          </a:extLst>
        </xdr:cNvPr>
        <xdr:cNvCxnSpPr>
          <a:stCxn id="70" idx="1"/>
          <a:endCxn id="68" idx="1"/>
        </xdr:cNvCxnSpPr>
      </xdr:nvCxnSpPr>
      <xdr:spPr>
        <a:xfrm>
          <a:off x="19089968" y="12091147"/>
          <a:ext cx="1765941" cy="4471147"/>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CF225-6E44-4EF7-A7E8-A551C81DE33D}">
  <sheetPr>
    <tabColor theme="5"/>
  </sheetPr>
  <dimension ref="C1:AM57"/>
  <sheetViews>
    <sheetView showGridLines="0" tabSelected="1" view="pageBreakPreview" zoomScale="85" zoomScaleNormal="100" zoomScaleSheetLayoutView="85" workbookViewId="0">
      <selection activeCell="BJ21" sqref="BJ21"/>
    </sheetView>
  </sheetViews>
  <sheetFormatPr defaultColWidth="8.125" defaultRowHeight="15.75"/>
  <cols>
    <col min="1" max="52" width="2.125" style="221" customWidth="1"/>
    <col min="53" max="16384" width="8.125" style="22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2"/>
    </row>
    <row r="11" spans="6:20" ht="13.15" customHeight="1"/>
    <row r="12" spans="6:20" ht="13.15" customHeight="1"/>
    <row r="13" spans="6:20" ht="13.15" customHeight="1">
      <c r="T13" s="223" t="str">
        <f ca="1">MID(CELL("filename",A1),FIND("[",CELL("filename",A1))+1,FIND("]",CELL("filename",A1))-FIND("[",CELL("filename",A1))-1)</f>
        <v>alert_H_MAICER-CSTD-0-01-A-C0.xlsx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4"/>
      <c r="V32" s="224"/>
    </row>
    <row r="33" spans="3:39" ht="13.15" customHeight="1">
      <c r="M33" s="225"/>
      <c r="N33" s="225"/>
      <c r="O33" s="225"/>
      <c r="P33" s="225"/>
      <c r="Q33" s="225"/>
      <c r="AF33" s="225"/>
      <c r="AG33" s="225"/>
      <c r="AH33" s="225"/>
      <c r="AI33" s="225"/>
      <c r="AJ33" s="225"/>
    </row>
    <row r="34" spans="3:39" ht="13.15" customHeight="1">
      <c r="Y34" s="224" t="s">
        <v>280</v>
      </c>
    </row>
    <row r="35" spans="3:39" ht="13.15" customHeight="1">
      <c r="Y35" s="248" t="s">
        <v>281</v>
      </c>
      <c r="Z35" s="249"/>
      <c r="AA35" s="249"/>
      <c r="AB35" s="249"/>
      <c r="AC35" s="250"/>
      <c r="AD35" s="248" t="s">
        <v>282</v>
      </c>
      <c r="AE35" s="249"/>
      <c r="AF35" s="249"/>
      <c r="AG35" s="249"/>
      <c r="AH35" s="250"/>
      <c r="AI35" s="248" t="s">
        <v>283</v>
      </c>
      <c r="AJ35" s="249"/>
      <c r="AK35" s="249"/>
      <c r="AL35" s="249"/>
      <c r="AM35" s="250"/>
    </row>
    <row r="36" spans="3:39" ht="13.15" customHeight="1">
      <c r="D36" s="225"/>
      <c r="E36" s="226"/>
      <c r="F36" s="225"/>
      <c r="G36" s="225"/>
      <c r="I36" s="225"/>
      <c r="J36" s="226"/>
      <c r="K36" s="225"/>
      <c r="L36" s="225"/>
      <c r="M36" s="225"/>
      <c r="N36" s="225"/>
      <c r="O36" s="226"/>
      <c r="P36" s="225"/>
      <c r="Q36" s="225"/>
      <c r="W36" s="225"/>
      <c r="X36" s="226"/>
      <c r="Y36" s="227"/>
      <c r="Z36" s="228"/>
      <c r="AA36" s="228"/>
      <c r="AB36" s="228"/>
      <c r="AC36" s="229"/>
      <c r="AD36" s="227"/>
      <c r="AE36" s="228"/>
      <c r="AF36" s="228"/>
      <c r="AG36" s="228"/>
      <c r="AH36" s="229"/>
      <c r="AI36" s="227"/>
      <c r="AJ36" s="228"/>
      <c r="AK36" s="228"/>
      <c r="AL36" s="228"/>
      <c r="AM36" s="229"/>
    </row>
    <row r="37" spans="3:39" ht="13.15" customHeight="1">
      <c r="Y37" s="230"/>
      <c r="AC37" s="231"/>
      <c r="AD37" s="230"/>
      <c r="AH37" s="231"/>
      <c r="AI37" s="230"/>
      <c r="AM37" s="231"/>
    </row>
    <row r="38" spans="3:39" ht="13.15" customHeight="1">
      <c r="Y38" s="230"/>
      <c r="Z38" s="225"/>
      <c r="AA38" s="226" t="s">
        <v>284</v>
      </c>
      <c r="AB38" s="225"/>
      <c r="AC38" s="232"/>
      <c r="AD38" s="230"/>
      <c r="AE38" s="225"/>
      <c r="AF38" s="226" t="s">
        <v>285</v>
      </c>
      <c r="AG38" s="225"/>
      <c r="AH38" s="232"/>
      <c r="AI38" s="233"/>
      <c r="AJ38" s="225"/>
      <c r="AK38" s="226" t="s">
        <v>286</v>
      </c>
      <c r="AL38" s="225"/>
      <c r="AM38" s="232"/>
    </row>
    <row r="39" spans="3:39" ht="13.15" customHeight="1">
      <c r="Y39" s="230"/>
      <c r="AC39" s="231"/>
      <c r="AD39" s="230"/>
      <c r="AH39" s="231"/>
      <c r="AI39" s="230"/>
      <c r="AM39" s="231"/>
    </row>
    <row r="40" spans="3:39" ht="13.15" customHeight="1">
      <c r="C40" s="224"/>
      <c r="V40" s="224"/>
      <c r="Y40" s="234"/>
      <c r="Z40" s="235"/>
      <c r="AA40" s="235"/>
      <c r="AB40" s="235"/>
      <c r="AC40" s="236"/>
      <c r="AD40" s="234"/>
      <c r="AE40" s="235"/>
      <c r="AF40" s="235"/>
      <c r="AG40" s="235"/>
      <c r="AH40" s="236"/>
      <c r="AI40" s="234"/>
      <c r="AJ40" s="235"/>
      <c r="AK40" s="235"/>
      <c r="AL40" s="235"/>
      <c r="AM40" s="236"/>
    </row>
    <row r="41" spans="3:39" ht="13.15" customHeight="1"/>
    <row r="42" spans="3:39" ht="13.15" customHeight="1">
      <c r="Y42" s="224" t="s">
        <v>287</v>
      </c>
    </row>
    <row r="43" spans="3:39" ht="13.15" customHeight="1">
      <c r="Y43" s="248" t="s">
        <v>281</v>
      </c>
      <c r="Z43" s="249"/>
      <c r="AA43" s="249"/>
      <c r="AB43" s="249"/>
      <c r="AC43" s="250"/>
      <c r="AD43" s="248" t="s">
        <v>282</v>
      </c>
      <c r="AE43" s="249"/>
      <c r="AF43" s="249"/>
      <c r="AG43" s="249"/>
      <c r="AH43" s="250"/>
      <c r="AI43" s="248" t="s">
        <v>283</v>
      </c>
      <c r="AJ43" s="249"/>
      <c r="AK43" s="249"/>
      <c r="AL43" s="249"/>
      <c r="AM43" s="250"/>
    </row>
    <row r="44" spans="3:39" ht="13.15" customHeight="1">
      <c r="D44" s="225"/>
      <c r="E44" s="226"/>
      <c r="F44" s="225"/>
      <c r="G44" s="225"/>
      <c r="H44" s="225"/>
      <c r="I44" s="225"/>
      <c r="J44" s="226"/>
      <c r="K44" s="225"/>
      <c r="L44" s="225"/>
      <c r="M44" s="225"/>
      <c r="N44" s="225"/>
      <c r="O44" s="226"/>
      <c r="P44" s="225"/>
      <c r="Q44" s="225"/>
      <c r="W44" s="225"/>
      <c r="X44" s="226"/>
      <c r="Y44" s="227"/>
      <c r="Z44" s="228"/>
      <c r="AA44" s="228"/>
      <c r="AB44" s="228"/>
      <c r="AC44" s="229"/>
      <c r="AD44" s="228"/>
      <c r="AE44" s="228"/>
      <c r="AF44" s="228"/>
      <c r="AG44" s="228"/>
      <c r="AH44" s="229"/>
      <c r="AI44" s="227"/>
      <c r="AJ44" s="228"/>
      <c r="AK44" s="228"/>
      <c r="AL44" s="228"/>
      <c r="AM44" s="229"/>
    </row>
    <row r="45" spans="3:39" ht="13.15" customHeight="1">
      <c r="Y45" s="230"/>
      <c r="AC45" s="231"/>
      <c r="AH45" s="231"/>
      <c r="AI45" s="230"/>
      <c r="AM45" s="231"/>
    </row>
    <row r="46" spans="3:39" ht="13.15" customHeight="1">
      <c r="Y46" s="230"/>
      <c r="Z46" s="225"/>
      <c r="AA46" s="226" t="s">
        <v>288</v>
      </c>
      <c r="AB46" s="225"/>
      <c r="AC46" s="232"/>
      <c r="AD46" s="225"/>
      <c r="AE46" s="225"/>
      <c r="AF46" s="226" t="s">
        <v>289</v>
      </c>
      <c r="AG46" s="225"/>
      <c r="AH46" s="232"/>
      <c r="AI46" s="233"/>
      <c r="AJ46" s="225"/>
      <c r="AK46" s="226" t="s">
        <v>290</v>
      </c>
      <c r="AL46" s="225"/>
      <c r="AM46" s="232"/>
    </row>
    <row r="47" spans="3:39" ht="13.15" customHeight="1">
      <c r="Y47" s="230"/>
      <c r="AC47" s="231"/>
      <c r="AH47" s="231"/>
      <c r="AI47" s="230"/>
      <c r="AM47" s="231"/>
    </row>
    <row r="48" spans="3:39" ht="13.15" customHeight="1">
      <c r="C48" s="224"/>
      <c r="V48" s="224"/>
      <c r="Y48" s="234"/>
      <c r="Z48" s="235"/>
      <c r="AA48" s="235"/>
      <c r="AB48" s="235"/>
      <c r="AC48" s="236"/>
      <c r="AD48" s="235"/>
      <c r="AE48" s="235"/>
      <c r="AF48" s="235"/>
      <c r="AG48" s="235"/>
      <c r="AH48" s="236"/>
      <c r="AI48" s="234"/>
      <c r="AJ48" s="235"/>
      <c r="AK48" s="235"/>
      <c r="AL48" s="235"/>
      <c r="AM48" s="236"/>
    </row>
    <row r="49" spans="4:39" ht="13.15" customHeight="1"/>
    <row r="50" spans="4:39" ht="13.15" customHeight="1">
      <c r="Y50" s="224" t="s">
        <v>291</v>
      </c>
    </row>
    <row r="51" spans="4:39" ht="13.15" customHeight="1">
      <c r="Y51" s="248" t="s">
        <v>281</v>
      </c>
      <c r="Z51" s="249"/>
      <c r="AA51" s="249"/>
      <c r="AB51" s="249"/>
      <c r="AC51" s="250"/>
      <c r="AD51" s="248" t="s">
        <v>282</v>
      </c>
      <c r="AE51" s="249"/>
      <c r="AF51" s="249"/>
      <c r="AG51" s="249"/>
      <c r="AH51" s="250"/>
      <c r="AI51" s="248" t="s">
        <v>283</v>
      </c>
      <c r="AJ51" s="249"/>
      <c r="AK51" s="249"/>
      <c r="AL51" s="249"/>
      <c r="AM51" s="250"/>
    </row>
    <row r="52" spans="4:39" ht="13.15" customHeight="1">
      <c r="D52" s="225"/>
      <c r="E52" s="226"/>
      <c r="F52" s="225"/>
      <c r="G52" s="225"/>
      <c r="H52" s="225"/>
      <c r="I52" s="225"/>
      <c r="J52" s="226"/>
      <c r="K52" s="225"/>
      <c r="L52" s="225"/>
      <c r="M52" s="225"/>
      <c r="N52" s="225"/>
      <c r="O52" s="226"/>
      <c r="P52" s="225"/>
      <c r="Q52" s="225"/>
      <c r="W52" s="225"/>
      <c r="X52" s="226"/>
      <c r="Y52" s="227"/>
      <c r="Z52" s="228"/>
      <c r="AA52" s="228"/>
      <c r="AB52" s="228"/>
      <c r="AC52" s="229"/>
      <c r="AD52" s="228"/>
      <c r="AE52" s="228"/>
      <c r="AF52" s="228"/>
      <c r="AG52" s="228"/>
      <c r="AH52" s="229"/>
      <c r="AI52" s="227"/>
      <c r="AJ52" s="228"/>
      <c r="AK52" s="228"/>
      <c r="AL52" s="228"/>
      <c r="AM52" s="229"/>
    </row>
    <row r="53" spans="4:39" ht="13.15" customHeight="1">
      <c r="Y53" s="230"/>
      <c r="AC53" s="231"/>
      <c r="AH53" s="231"/>
      <c r="AI53" s="230"/>
      <c r="AM53" s="231"/>
    </row>
    <row r="54" spans="4:39" ht="13.15" customHeight="1">
      <c r="Y54" s="230"/>
      <c r="Z54" s="225"/>
      <c r="AA54" s="226" t="s">
        <v>292</v>
      </c>
      <c r="AB54" s="225"/>
      <c r="AC54" s="232"/>
      <c r="AD54" s="225"/>
      <c r="AE54" s="225"/>
      <c r="AF54" s="226" t="s">
        <v>293</v>
      </c>
      <c r="AG54" s="225"/>
      <c r="AH54" s="232"/>
      <c r="AI54" s="233"/>
      <c r="AJ54" s="225"/>
      <c r="AK54" s="226" t="s">
        <v>286</v>
      </c>
      <c r="AL54" s="225"/>
      <c r="AM54" s="232"/>
    </row>
    <row r="55" spans="4:39" ht="13.15" customHeight="1">
      <c r="Y55" s="230"/>
      <c r="AC55" s="231"/>
      <c r="AH55" s="231"/>
      <c r="AI55" s="230"/>
      <c r="AM55" s="231"/>
    </row>
    <row r="56" spans="4:39" ht="13.15" customHeight="1">
      <c r="Y56" s="234"/>
      <c r="Z56" s="235"/>
      <c r="AA56" s="235"/>
      <c r="AB56" s="235"/>
      <c r="AC56" s="236"/>
      <c r="AD56" s="235"/>
      <c r="AE56" s="235"/>
      <c r="AF56" s="235"/>
      <c r="AG56" s="235"/>
      <c r="AH56" s="236"/>
      <c r="AI56" s="234"/>
      <c r="AJ56" s="235"/>
      <c r="AK56" s="235"/>
      <c r="AL56" s="235"/>
      <c r="AM56" s="236"/>
    </row>
    <row r="57" spans="4:39" ht="13.15" customHeight="1">
      <c r="AK57" s="221" t="s">
        <v>294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8"/>
  <sheetViews>
    <sheetView showGridLines="0" zoomScale="85" zoomScaleNormal="85" workbookViewId="0">
      <selection activeCell="AD10" sqref="AD10"/>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251" t="s">
        <v>14</v>
      </c>
      <c r="J2" s="251"/>
      <c r="K2" s="251"/>
      <c r="L2" s="251"/>
      <c r="M2" s="251"/>
      <c r="N2" s="251"/>
      <c r="O2" s="251"/>
      <c r="P2" s="251"/>
      <c r="Q2" s="251"/>
      <c r="R2" s="251"/>
    </row>
    <row r="3" spans="2:24" ht="25.5" customHeight="1">
      <c r="C3" s="5"/>
      <c r="D3" s="9" t="str">
        <f ca="1">REPLACE(LEFT(CELL("filename",$B$1),FIND(".xls",CELL("filename",$B$1))-1),1,FIND("[",CELL("filename",$B$1)),)</f>
        <v>alert_H_MAICER-CSTD-0-01-A-C0</v>
      </c>
      <c r="E3" s="5"/>
      <c r="F3" s="5"/>
      <c r="H3" s="7" t="s">
        <v>163</v>
      </c>
      <c r="I3" s="252" t="s">
        <v>162</v>
      </c>
      <c r="J3" s="253"/>
      <c r="K3" s="253"/>
      <c r="L3" s="253"/>
      <c r="M3" s="253"/>
      <c r="N3" s="253"/>
      <c r="O3" s="253"/>
      <c r="P3" s="253"/>
      <c r="Q3" s="253"/>
      <c r="R3" s="253"/>
    </row>
    <row r="4" spans="2:24" ht="25.5" customHeight="1">
      <c r="C4" s="5"/>
      <c r="D4" s="5"/>
      <c r="E4" s="20" t="str">
        <f>DGET(B8:C18,"Ver.",H4:H5)</f>
        <v>1.1.1</v>
      </c>
      <c r="F4" s="5"/>
      <c r="H4" s="8" t="s">
        <v>15</v>
      </c>
    </row>
    <row r="5" spans="2:24" ht="25.5" customHeight="1">
      <c r="C5" s="5"/>
      <c r="D5" s="5"/>
      <c r="E5" s="5"/>
      <c r="F5" s="5"/>
      <c r="H5" s="10">
        <f>MAX(B9:B18)</f>
        <v>3</v>
      </c>
    </row>
    <row r="6" spans="2:24" ht="14.25" thickBot="1"/>
    <row r="7" spans="2:24" s="203" customFormat="1">
      <c r="B7" s="8"/>
      <c r="C7" s="256" t="s">
        <v>0</v>
      </c>
      <c r="D7" s="257"/>
      <c r="E7" s="258" t="s">
        <v>2</v>
      </c>
      <c r="F7" s="258"/>
      <c r="G7" s="259" t="s">
        <v>5</v>
      </c>
      <c r="H7" s="259"/>
      <c r="I7" s="259"/>
      <c r="J7" s="259"/>
      <c r="K7" s="259"/>
      <c r="L7" s="259"/>
      <c r="M7" s="260" t="s">
        <v>12</v>
      </c>
      <c r="N7" s="260"/>
      <c r="O7" s="260"/>
      <c r="P7" s="260"/>
      <c r="Q7" s="260"/>
      <c r="R7" s="261"/>
      <c r="S7" s="254" t="s">
        <v>295</v>
      </c>
      <c r="T7" s="254"/>
      <c r="U7" s="254"/>
      <c r="V7" s="254"/>
      <c r="W7" s="254"/>
      <c r="X7" s="255"/>
    </row>
    <row r="8" spans="2:24" s="203" customFormat="1" ht="27.75" thickBot="1">
      <c r="B8" s="8" t="s">
        <v>15</v>
      </c>
      <c r="C8" s="13" t="s">
        <v>16</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237" t="s">
        <v>11</v>
      </c>
      <c r="S8" s="14" t="s">
        <v>296</v>
      </c>
      <c r="T8" s="14" t="s">
        <v>7</v>
      </c>
      <c r="U8" s="14" t="s">
        <v>8</v>
      </c>
      <c r="V8" s="14" t="s">
        <v>9</v>
      </c>
      <c r="W8" s="14" t="s">
        <v>10</v>
      </c>
      <c r="X8" s="238" t="s">
        <v>11</v>
      </c>
    </row>
    <row r="9" spans="2:24" s="203" customFormat="1" ht="14.25" thickTop="1">
      <c r="B9" s="8">
        <f>IF(C9=0,0,ROW()-ROW($B$8))</f>
        <v>1</v>
      </c>
      <c r="C9" s="242" t="s">
        <v>206</v>
      </c>
      <c r="D9" s="243" t="s">
        <v>19</v>
      </c>
      <c r="E9" s="244" t="s">
        <v>194</v>
      </c>
      <c r="F9" s="244" t="s">
        <v>207</v>
      </c>
      <c r="G9" s="244" t="s">
        <v>194</v>
      </c>
      <c r="H9" s="244" t="s">
        <v>194</v>
      </c>
      <c r="I9" s="244" t="s">
        <v>194</v>
      </c>
      <c r="J9" s="244" t="s">
        <v>194</v>
      </c>
      <c r="K9" s="244" t="s">
        <v>194</v>
      </c>
      <c r="L9" s="244" t="s">
        <v>194</v>
      </c>
      <c r="M9" s="244" t="s">
        <v>276</v>
      </c>
      <c r="N9" s="245">
        <v>43943</v>
      </c>
      <c r="O9" s="244" t="s">
        <v>277</v>
      </c>
      <c r="P9" s="245">
        <v>43943</v>
      </c>
      <c r="Q9" s="244" t="s">
        <v>278</v>
      </c>
      <c r="R9" s="246">
        <v>43924</v>
      </c>
      <c r="S9" s="185" t="s">
        <v>194</v>
      </c>
      <c r="T9" s="239" t="s">
        <v>194</v>
      </c>
      <c r="U9" s="1" t="s">
        <v>194</v>
      </c>
      <c r="V9" s="239" t="s">
        <v>194</v>
      </c>
      <c r="W9" s="1" t="s">
        <v>194</v>
      </c>
      <c r="X9" s="162" t="s">
        <v>194</v>
      </c>
    </row>
    <row r="10" spans="2:24" s="203" customFormat="1" ht="189">
      <c r="B10" s="8">
        <f t="shared" ref="B10:B13" si="0">IF(C10=0,0,ROW()-ROW($B$8))</f>
        <v>2</v>
      </c>
      <c r="C10" s="11" t="s">
        <v>208</v>
      </c>
      <c r="D10" s="201" t="s">
        <v>267</v>
      </c>
      <c r="E10" s="202" t="s">
        <v>194</v>
      </c>
      <c r="F10" s="202" t="s">
        <v>207</v>
      </c>
      <c r="G10" s="202" t="s">
        <v>194</v>
      </c>
      <c r="H10" s="202" t="s">
        <v>194</v>
      </c>
      <c r="I10" s="202" t="s">
        <v>194</v>
      </c>
      <c r="J10" s="202" t="s">
        <v>194</v>
      </c>
      <c r="K10" s="202" t="s">
        <v>194</v>
      </c>
      <c r="L10" s="202" t="s">
        <v>194</v>
      </c>
      <c r="M10" s="202" t="s">
        <v>275</v>
      </c>
      <c r="N10" s="182">
        <v>44489</v>
      </c>
      <c r="O10" s="202" t="s">
        <v>274</v>
      </c>
      <c r="P10" s="182">
        <v>44489</v>
      </c>
      <c r="Q10" s="202" t="s">
        <v>213</v>
      </c>
      <c r="R10" s="247">
        <v>44487</v>
      </c>
      <c r="S10" s="185" t="s">
        <v>194</v>
      </c>
      <c r="T10" s="239" t="s">
        <v>194</v>
      </c>
      <c r="U10" s="1" t="s">
        <v>194</v>
      </c>
      <c r="V10" s="239" t="s">
        <v>194</v>
      </c>
      <c r="W10" s="1" t="s">
        <v>194</v>
      </c>
      <c r="X10" s="162" t="s">
        <v>194</v>
      </c>
    </row>
    <row r="11" spans="2:24" s="203" customFormat="1" ht="121.5">
      <c r="B11" s="8">
        <f t="shared" si="0"/>
        <v>3</v>
      </c>
      <c r="C11" s="11" t="s">
        <v>297</v>
      </c>
      <c r="D11" s="161" t="s">
        <v>299</v>
      </c>
      <c r="E11" s="1" t="s">
        <v>194</v>
      </c>
      <c r="F11" s="1" t="s">
        <v>194</v>
      </c>
      <c r="G11" s="1" t="s">
        <v>194</v>
      </c>
      <c r="H11" s="1" t="s">
        <v>194</v>
      </c>
      <c r="I11" s="1" t="s">
        <v>194</v>
      </c>
      <c r="J11" s="1" t="s">
        <v>194</v>
      </c>
      <c r="K11" s="1" t="s">
        <v>194</v>
      </c>
      <c r="L11" s="1" t="s">
        <v>194</v>
      </c>
      <c r="M11" s="1"/>
      <c r="N11" s="1"/>
      <c r="O11" s="1"/>
      <c r="P11" s="1"/>
      <c r="Q11" s="1"/>
      <c r="R11" s="1"/>
      <c r="S11" s="1"/>
      <c r="T11" s="1"/>
      <c r="U11" s="1"/>
      <c r="V11" s="239"/>
      <c r="W11" s="1" t="s">
        <v>298</v>
      </c>
      <c r="X11" s="162">
        <v>45811</v>
      </c>
    </row>
    <row r="12" spans="2:24" s="203" customFormat="1">
      <c r="B12" s="8">
        <f t="shared" si="0"/>
        <v>0</v>
      </c>
      <c r="C12" s="2"/>
      <c r="D12" s="1"/>
      <c r="E12" s="1"/>
      <c r="F12" s="1"/>
      <c r="G12" s="1"/>
      <c r="H12" s="1"/>
      <c r="I12" s="1"/>
      <c r="J12" s="1"/>
      <c r="K12" s="1"/>
      <c r="L12" s="1"/>
      <c r="M12" s="1"/>
      <c r="N12" s="1"/>
      <c r="O12" s="1"/>
      <c r="P12" s="1"/>
      <c r="Q12" s="1"/>
      <c r="R12" s="1"/>
      <c r="S12" s="1"/>
      <c r="T12" s="239"/>
      <c r="U12" s="1"/>
      <c r="V12" s="239"/>
      <c r="W12" s="1"/>
      <c r="X12" s="162"/>
    </row>
    <row r="13" spans="2:24" s="203" customFormat="1" ht="14.25" thickBot="1">
      <c r="B13" s="8">
        <f t="shared" si="0"/>
        <v>0</v>
      </c>
      <c r="C13" s="3"/>
      <c r="D13" s="240"/>
      <c r="E13" s="240"/>
      <c r="F13" s="240"/>
      <c r="G13" s="240"/>
      <c r="H13" s="240"/>
      <c r="I13" s="240"/>
      <c r="J13" s="240"/>
      <c r="K13" s="240"/>
      <c r="L13" s="240"/>
      <c r="M13" s="240"/>
      <c r="N13" s="240"/>
      <c r="O13" s="240"/>
      <c r="P13" s="240"/>
      <c r="Q13" s="240"/>
      <c r="R13" s="240"/>
      <c r="S13" s="240"/>
      <c r="T13" s="240"/>
      <c r="U13" s="240"/>
      <c r="V13" s="240"/>
      <c r="W13" s="240"/>
      <c r="X13" s="241"/>
    </row>
    <row r="14" spans="2:24" s="203" customFormat="1">
      <c r="B14" s="8"/>
    </row>
    <row r="15" spans="2:24" s="203" customFormat="1">
      <c r="B15" s="8"/>
    </row>
    <row r="16" spans="2:24" s="203" customFormat="1">
      <c r="B16" s="8"/>
    </row>
    <row r="17" spans="2:2" s="203" customFormat="1">
      <c r="B17" s="8"/>
    </row>
    <row r="18" spans="2:2" s="203" customFormat="1">
      <c r="B18" s="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1" t="s">
        <v>119</v>
      </c>
    </row>
    <row r="3" spans="2:5">
      <c r="C3" t="s">
        <v>129</v>
      </c>
    </row>
    <row r="6" spans="2:5" ht="14.25" thickBot="1">
      <c r="B6" s="141" t="s">
        <v>120</v>
      </c>
      <c r="C6" s="141"/>
    </row>
    <row r="7" spans="2:5" ht="14.25" thickBot="1">
      <c r="C7" s="68" t="s">
        <v>122</v>
      </c>
      <c r="D7" s="76"/>
      <c r="E7" s="69" t="s">
        <v>130</v>
      </c>
    </row>
    <row r="8" spans="2:5" ht="20.25" customHeight="1" thickTop="1">
      <c r="C8" s="145">
        <v>0</v>
      </c>
      <c r="D8" s="77" t="s">
        <v>131</v>
      </c>
      <c r="E8" s="144" t="s">
        <v>132</v>
      </c>
    </row>
    <row r="9" spans="2:5" ht="27">
      <c r="C9" s="151">
        <v>1</v>
      </c>
      <c r="D9" s="153" t="s">
        <v>149</v>
      </c>
      <c r="E9" s="152" t="s">
        <v>148</v>
      </c>
    </row>
    <row r="10" spans="2:5" ht="14.25" thickBot="1">
      <c r="C10" s="149"/>
      <c r="D10" s="79"/>
      <c r="E10" s="4"/>
    </row>
    <row r="11" spans="2:5">
      <c r="C11" s="147"/>
    </row>
    <row r="12" spans="2:5" ht="14.25" thickBot="1">
      <c r="B12" s="142" t="s">
        <v>121</v>
      </c>
      <c r="C12" s="75"/>
      <c r="D12" s="75"/>
    </row>
    <row r="13" spans="2:5" ht="14.25" thickBot="1">
      <c r="B13" s="143"/>
      <c r="C13" s="148" t="s">
        <v>122</v>
      </c>
      <c r="D13" s="76" t="s">
        <v>123</v>
      </c>
      <c r="E13" s="69" t="s">
        <v>124</v>
      </c>
    </row>
    <row r="14" spans="2:5" ht="14.25" thickTop="1">
      <c r="C14" s="145">
        <v>0</v>
      </c>
      <c r="D14" s="77" t="s">
        <v>137</v>
      </c>
      <c r="E14" s="150" t="s">
        <v>138</v>
      </c>
    </row>
    <row r="15" spans="2:5">
      <c r="C15" s="146">
        <v>1</v>
      </c>
      <c r="D15" s="78" t="s">
        <v>22</v>
      </c>
      <c r="E15" s="64" t="s">
        <v>125</v>
      </c>
    </row>
    <row r="16" spans="2:5">
      <c r="C16" s="146">
        <v>2</v>
      </c>
      <c r="D16" s="78" t="s">
        <v>23</v>
      </c>
      <c r="E16" s="64" t="s">
        <v>126</v>
      </c>
    </row>
    <row r="17" spans="2:5">
      <c r="C17" s="146">
        <v>3</v>
      </c>
      <c r="D17" s="78" t="s">
        <v>24</v>
      </c>
      <c r="E17" s="64" t="s">
        <v>127</v>
      </c>
    </row>
    <row r="18" spans="2:5">
      <c r="C18" s="146">
        <v>4</v>
      </c>
      <c r="D18" s="78" t="s">
        <v>25</v>
      </c>
      <c r="E18" s="64" t="s">
        <v>128</v>
      </c>
    </row>
    <row r="19" spans="2:5">
      <c r="C19" s="146">
        <v>5</v>
      </c>
      <c r="D19" s="78" t="s">
        <v>139</v>
      </c>
      <c r="E19" s="64" t="s">
        <v>141</v>
      </c>
    </row>
    <row r="20" spans="2:5">
      <c r="C20" s="146">
        <v>6</v>
      </c>
      <c r="D20" s="78" t="s">
        <v>145</v>
      </c>
      <c r="E20" s="64" t="s">
        <v>157</v>
      </c>
    </row>
    <row r="21" spans="2:5" ht="14.25" thickBot="1">
      <c r="C21" s="149"/>
      <c r="D21" s="79"/>
      <c r="E21" s="4"/>
    </row>
    <row r="24" spans="2:5" ht="14.25" thickBot="1">
      <c r="B24" s="141" t="s">
        <v>133</v>
      </c>
    </row>
    <row r="25" spans="2:5" ht="14.25" thickBot="1">
      <c r="C25" s="148" t="s">
        <v>122</v>
      </c>
      <c r="D25" s="76" t="s">
        <v>123</v>
      </c>
      <c r="E25" s="69" t="s">
        <v>124</v>
      </c>
    </row>
    <row r="26" spans="2:5" ht="30.75" customHeight="1" thickTop="1">
      <c r="C26" s="145">
        <v>0</v>
      </c>
      <c r="D26" s="77" t="s">
        <v>134</v>
      </c>
      <c r="E26" s="150" t="s">
        <v>142</v>
      </c>
    </row>
    <row r="27" spans="2:5" ht="120" customHeight="1">
      <c r="C27" s="146">
        <v>1</v>
      </c>
      <c r="D27" s="78" t="s">
        <v>159</v>
      </c>
      <c r="E27" s="80" t="s">
        <v>161</v>
      </c>
    </row>
    <row r="28" spans="2:5" ht="81" customHeight="1">
      <c r="C28" s="146">
        <v>2</v>
      </c>
      <c r="D28" s="78" t="s">
        <v>156</v>
      </c>
      <c r="E28" s="80" t="s">
        <v>165</v>
      </c>
    </row>
    <row r="29" spans="2:5" ht="45" customHeight="1">
      <c r="C29" s="146">
        <v>3</v>
      </c>
      <c r="D29" s="78" t="s">
        <v>140</v>
      </c>
      <c r="E29" s="80" t="s">
        <v>143</v>
      </c>
    </row>
    <row r="30" spans="2:5" ht="16.5" customHeight="1">
      <c r="C30" s="146">
        <v>4</v>
      </c>
      <c r="D30" s="78" t="s">
        <v>135</v>
      </c>
      <c r="E30" s="64" t="s">
        <v>147</v>
      </c>
    </row>
    <row r="31" spans="2:5" ht="16.5" customHeight="1">
      <c r="C31" s="146">
        <v>5</v>
      </c>
      <c r="D31" s="78" t="s">
        <v>136</v>
      </c>
      <c r="E31" s="64" t="s">
        <v>144</v>
      </c>
    </row>
    <row r="32" spans="2:5">
      <c r="C32" s="146"/>
      <c r="D32" s="78"/>
      <c r="E32" s="64"/>
    </row>
    <row r="33" spans="2:5">
      <c r="C33" s="146"/>
      <c r="D33" s="78"/>
      <c r="E33" s="64"/>
    </row>
    <row r="34" spans="2:5" ht="14.25" thickBot="1">
      <c r="C34" s="149"/>
      <c r="D34" s="79"/>
      <c r="E34" s="4"/>
    </row>
    <row r="37" spans="2:5" ht="14.25" thickBot="1">
      <c r="B37" s="141" t="s">
        <v>153</v>
      </c>
    </row>
    <row r="38" spans="2:5">
      <c r="C38" s="262"/>
      <c r="D38" s="263"/>
      <c r="E38" s="104" t="s">
        <v>110</v>
      </c>
    </row>
    <row r="39" spans="2:5" ht="14.25" thickBot="1">
      <c r="C39" s="264"/>
      <c r="D39" s="265"/>
      <c r="E39" s="4" t="s">
        <v>111</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zoomScale="85" zoomScaleNormal="85"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76" t="s">
        <v>18</v>
      </c>
      <c r="C2" s="277"/>
      <c r="D2" s="284" t="s">
        <v>214</v>
      </c>
      <c r="E2" s="285"/>
      <c r="F2" s="285"/>
      <c r="G2" s="285"/>
      <c r="H2" s="286"/>
    </row>
    <row r="3" spans="2:14">
      <c r="B3" s="266" t="s">
        <v>108</v>
      </c>
      <c r="C3" s="267"/>
      <c r="D3" s="290" t="s">
        <v>212</v>
      </c>
      <c r="E3" s="291"/>
      <c r="F3" s="291"/>
      <c r="G3" s="291"/>
      <c r="H3" s="292"/>
    </row>
    <row r="4" spans="2:14" ht="14.25" thickBot="1">
      <c r="B4" s="271" t="s">
        <v>17</v>
      </c>
      <c r="C4" s="272"/>
      <c r="D4" s="287" t="str">
        <f ca="1">表紙!D3&amp;".c"</f>
        <v>alert_H_MAICER-CSTD-0-01-A-C0.c</v>
      </c>
      <c r="E4" s="288"/>
      <c r="F4" s="288"/>
      <c r="G4" s="288"/>
      <c r="H4" s="28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6" t="s">
        <v>34</v>
      </c>
      <c r="C6" s="277"/>
      <c r="D6" s="278" t="str">
        <f ca="1">MID(D4, LEN("alert_") + 1, FIND("-",D4,1) - LEN("alert_") - 1)</f>
        <v>H_MAICER</v>
      </c>
      <c r="E6" s="279"/>
      <c r="F6" s="279"/>
      <c r="G6" s="279"/>
      <c r="H6" s="280"/>
    </row>
    <row r="7" spans="2:14">
      <c r="B7" s="266" t="s">
        <v>35</v>
      </c>
      <c r="C7" s="267"/>
      <c r="D7" s="281">
        <f>COUNTA($D$13:$D$37)</f>
        <v>4</v>
      </c>
      <c r="E7" s="282"/>
      <c r="F7" s="282"/>
      <c r="G7" s="282"/>
      <c r="H7" s="283"/>
    </row>
    <row r="8" spans="2:14">
      <c r="B8" s="266" t="s">
        <v>87</v>
      </c>
      <c r="C8" s="267"/>
      <c r="D8" s="281" t="str">
        <f ca="1">"st_gp_ALERT_"&amp;UPPER(D6)&amp;"_MTRX"</f>
        <v>st_gp_ALERT_H_MAICER_MTRX</v>
      </c>
      <c r="E8" s="282"/>
      <c r="F8" s="282"/>
      <c r="G8" s="282"/>
      <c r="H8" s="283"/>
    </row>
    <row r="9" spans="2:14">
      <c r="B9" s="266" t="s">
        <v>36</v>
      </c>
      <c r="C9" s="267"/>
      <c r="D9" s="268" t="s">
        <v>215</v>
      </c>
      <c r="E9" s="269"/>
      <c r="F9" s="269"/>
      <c r="G9" s="269"/>
      <c r="H9" s="270"/>
    </row>
    <row r="10" spans="2:14" ht="14.25" thickBot="1">
      <c r="B10" s="271" t="s">
        <v>199</v>
      </c>
      <c r="C10" s="272"/>
      <c r="D10" s="273"/>
      <c r="E10" s="274"/>
      <c r="F10" s="274"/>
      <c r="G10" s="274"/>
      <c r="H10" s="275"/>
    </row>
    <row r="11" spans="2:14" ht="14.25" thickBot="1"/>
    <row r="12" spans="2:14" ht="14.25" thickBot="1">
      <c r="B12" s="132" t="s">
        <v>32</v>
      </c>
      <c r="C12" s="94" t="s">
        <v>41</v>
      </c>
      <c r="D12" s="95" t="s">
        <v>33</v>
      </c>
      <c r="E12" s="95" t="s">
        <v>37</v>
      </c>
      <c r="F12" s="95" t="s">
        <v>38</v>
      </c>
      <c r="G12" s="95" t="s">
        <v>39</v>
      </c>
      <c r="H12" s="96" t="s">
        <v>40</v>
      </c>
      <c r="I12" s="137" t="s">
        <v>47</v>
      </c>
      <c r="K12" s="35" t="s">
        <v>33</v>
      </c>
      <c r="L12" s="35" t="s">
        <v>36</v>
      </c>
      <c r="M12" t="s">
        <v>80</v>
      </c>
    </row>
    <row r="13" spans="2:14" ht="14.25" thickTop="1">
      <c r="B13" s="97">
        <v>1</v>
      </c>
      <c r="C13" s="102" t="s">
        <v>216</v>
      </c>
      <c r="D13" s="180" t="s">
        <v>44</v>
      </c>
      <c r="E13" s="103" t="s">
        <v>279</v>
      </c>
      <c r="F13" s="41" t="str">
        <f t="shared" ref="F13:F37" ca="1" si="0">IF($D13&lt;&gt;"","u4_s_Alert"&amp;UPPER(LEFT($D$6,1))&amp;LOWER(MID($D$6,2,100))&amp;IF($D$7=1,"",N13)&amp;"Srcchk","")</f>
        <v>u4_s_AlertH_maicerPd1Srcchk</v>
      </c>
      <c r="G13" s="41" t="str">
        <f t="shared" ref="G13:G37" si="1">IF($D13&lt;&gt;"",IF($E13="○","vd_s_Alert"&amp;UPPER(LEFT($D$6,1))&amp;LOWER(MID($D$6,2,100))&amp;IF($D$7=1,"",N13)&amp;"RwTx","NULL"),"")</f>
        <v>NULL</v>
      </c>
      <c r="H13" s="101" t="str">
        <f ca="1">IF($D13&lt;&gt;"","ALERT_CH_"&amp;UPPER($D$6)&amp;IF($D$7=1,"","_"&amp;UPPER($C13)),"")</f>
        <v>ALERT_CH_H_MAICER_PD1</v>
      </c>
      <c r="I13" s="138" t="str">
        <f ca="1">IF($D13&lt;&gt;"","ALERT_REQ_"&amp;UPPER($D$6)&amp;IF($D$7=1,"","_"&amp;UPPER($C13)),"")</f>
        <v>ALERT_REQ_H_MAICER_PD1</v>
      </c>
      <c r="K13" t="s">
        <v>42</v>
      </c>
      <c r="L13" t="s">
        <v>46</v>
      </c>
      <c r="M13" t="e">
        <f t="shared" ref="M13:M37" si="2">FIND("_",C13,1)</f>
        <v>#VALUE!</v>
      </c>
      <c r="N13" t="str">
        <f t="shared" ref="N13:N37" si="3">IF(IFERROR(M13,0),UPPER(LEFT(C13,1))&amp;LOWER(MID(C13,2,M13-2))&amp;UPPER(MID(C13,M13+1,1))&amp;LOWER(MID(C13,M13+2,100)),UPPER(LEFT(C13,1))&amp;LOWER(MID(C13,2,100)))</f>
        <v>Pd1</v>
      </c>
    </row>
    <row r="14" spans="2:14">
      <c r="B14" s="87">
        <v>2</v>
      </c>
      <c r="C14" s="181" t="s">
        <v>217</v>
      </c>
      <c r="D14" s="180" t="s">
        <v>44</v>
      </c>
      <c r="E14" s="171" t="s">
        <v>279</v>
      </c>
      <c r="F14" s="36" t="str">
        <f t="shared" ca="1" si="0"/>
        <v>u4_s_AlertH_maicerPd2Srcchk</v>
      </c>
      <c r="G14" s="36" t="str">
        <f t="shared" si="1"/>
        <v>NULL</v>
      </c>
      <c r="H14" s="57" t="str">
        <f t="shared" ref="H14:H37" ca="1" si="4">IF($D14&lt;&gt;"","ALERT_CH_"&amp;UPPER($D$6)&amp;IF($D$7=1,"","_"&amp;UPPER($C14)),"")</f>
        <v>ALERT_CH_H_MAICER_PD2</v>
      </c>
      <c r="I14" s="139" t="str">
        <f t="shared" ref="I14:I37" ca="1" si="5">IF($D14&lt;&gt;"","ALERT_REQ_"&amp;UPPER($D$6)&amp;IF($D$7=1,"","_"&amp;UPPER($C14)),"")</f>
        <v>ALERT_REQ_H_MAICER_PD2</v>
      </c>
      <c r="K14" t="s">
        <v>43</v>
      </c>
      <c r="L14" t="str">
        <f ca="1">"vd_g_Alert"&amp;UPPER(LEFT(D6,1))&amp;LOWER(MID(D6,2,100))&amp;"Init"</f>
        <v>vd_g_AlertH_maicerInit</v>
      </c>
      <c r="M14" t="e">
        <f t="shared" si="2"/>
        <v>#VALUE!</v>
      </c>
      <c r="N14" t="str">
        <f t="shared" si="3"/>
        <v>Pd2</v>
      </c>
    </row>
    <row r="15" spans="2:14">
      <c r="B15" s="87">
        <v>3</v>
      </c>
      <c r="C15" s="135" t="s">
        <v>218</v>
      </c>
      <c r="D15" s="180" t="s">
        <v>44</v>
      </c>
      <c r="E15" s="171" t="s">
        <v>279</v>
      </c>
      <c r="F15" s="36" t="str">
        <f t="shared" ca="1" si="0"/>
        <v>u4_s_AlertH_maicerPd3Srcchk</v>
      </c>
      <c r="G15" s="36" t="str">
        <f t="shared" si="1"/>
        <v>NULL</v>
      </c>
      <c r="H15" s="57" t="str">
        <f t="shared" ca="1" si="4"/>
        <v>ALERT_CH_H_MAICER_PD3</v>
      </c>
      <c r="I15" s="139" t="str">
        <f t="shared" ca="1" si="5"/>
        <v>ALERT_REQ_H_MAICER_PD3</v>
      </c>
      <c r="K15" t="s">
        <v>112</v>
      </c>
      <c r="M15" t="e">
        <f t="shared" si="2"/>
        <v>#VALUE!</v>
      </c>
      <c r="N15" t="str">
        <f t="shared" si="3"/>
        <v>Pd3</v>
      </c>
    </row>
    <row r="16" spans="2:14">
      <c r="B16" s="87">
        <v>4</v>
      </c>
      <c r="C16" s="135" t="s">
        <v>219</v>
      </c>
      <c r="D16" s="136" t="s">
        <v>44</v>
      </c>
      <c r="E16" s="136" t="s">
        <v>279</v>
      </c>
      <c r="F16" s="36" t="str">
        <f t="shared" ca="1" si="0"/>
        <v>u4_s_AlertH_maicerPd4Srcchk</v>
      </c>
      <c r="G16" s="36" t="str">
        <f t="shared" si="1"/>
        <v>NULL</v>
      </c>
      <c r="H16" s="57" t="str">
        <f t="shared" ca="1" si="4"/>
        <v>ALERT_CH_H_MAICER_PD4</v>
      </c>
      <c r="I16" s="139" t="str">
        <f t="shared" ca="1" si="5"/>
        <v>ALERT_REQ_H_MAICER_PD4</v>
      </c>
      <c r="K16" t="s">
        <v>113</v>
      </c>
      <c r="M16" t="e">
        <f t="shared" si="2"/>
        <v>#VALUE!</v>
      </c>
      <c r="N16" t="str">
        <f t="shared" si="3"/>
        <v>Pd4</v>
      </c>
    </row>
    <row r="17" spans="2:14">
      <c r="B17" s="87">
        <v>5</v>
      </c>
      <c r="C17" s="135"/>
      <c r="D17" s="136"/>
      <c r="E17" s="136"/>
      <c r="F17" s="36" t="str">
        <f t="shared" si="0"/>
        <v/>
      </c>
      <c r="G17" s="36" t="str">
        <f t="shared" si="1"/>
        <v/>
      </c>
      <c r="H17" s="57" t="str">
        <f t="shared" si="4"/>
        <v/>
      </c>
      <c r="I17" s="139" t="str">
        <f t="shared" si="5"/>
        <v/>
      </c>
      <c r="K17" t="s">
        <v>44</v>
      </c>
      <c r="M17" t="e">
        <f t="shared" si="2"/>
        <v>#VALUE!</v>
      </c>
      <c r="N17" t="str">
        <f t="shared" si="3"/>
        <v/>
      </c>
    </row>
    <row r="18" spans="2:14">
      <c r="B18" s="87">
        <v>6</v>
      </c>
      <c r="C18" s="135"/>
      <c r="D18" s="136"/>
      <c r="E18" s="136"/>
      <c r="F18" s="36" t="str">
        <f t="shared" si="0"/>
        <v/>
      </c>
      <c r="G18" s="36" t="str">
        <f t="shared" si="1"/>
        <v/>
      </c>
      <c r="H18" s="57" t="str">
        <f t="shared" si="4"/>
        <v/>
      </c>
      <c r="I18" s="139" t="str">
        <f t="shared" si="5"/>
        <v/>
      </c>
      <c r="K18" t="s">
        <v>45</v>
      </c>
      <c r="M18" t="e">
        <f t="shared" si="2"/>
        <v>#VALUE!</v>
      </c>
      <c r="N18" t="str">
        <f t="shared" si="3"/>
        <v/>
      </c>
    </row>
    <row r="19" spans="2:14">
      <c r="B19" s="87">
        <v>7</v>
      </c>
      <c r="C19" s="135"/>
      <c r="D19" s="136"/>
      <c r="E19" s="136"/>
      <c r="F19" s="36" t="str">
        <f t="shared" si="0"/>
        <v/>
      </c>
      <c r="G19" s="36" t="str">
        <f t="shared" si="1"/>
        <v/>
      </c>
      <c r="H19" s="57" t="str">
        <f t="shared" si="4"/>
        <v/>
      </c>
      <c r="I19" s="139" t="str">
        <f t="shared" si="5"/>
        <v/>
      </c>
      <c r="K19" t="s">
        <v>45</v>
      </c>
      <c r="M19" t="e">
        <f t="shared" si="2"/>
        <v>#VALUE!</v>
      </c>
      <c r="N19" t="str">
        <f t="shared" si="3"/>
        <v/>
      </c>
    </row>
    <row r="20" spans="2:14">
      <c r="B20" s="87">
        <v>8</v>
      </c>
      <c r="C20" s="135"/>
      <c r="D20" s="136"/>
      <c r="E20" s="136"/>
      <c r="F20" s="36" t="str">
        <f t="shared" si="0"/>
        <v/>
      </c>
      <c r="G20" s="36" t="str">
        <f t="shared" si="1"/>
        <v/>
      </c>
      <c r="H20" s="57" t="str">
        <f t="shared" si="4"/>
        <v/>
      </c>
      <c r="I20" s="139" t="str">
        <f t="shared" si="5"/>
        <v/>
      </c>
      <c r="K20" t="s">
        <v>45</v>
      </c>
      <c r="M20" t="e">
        <f t="shared" si="2"/>
        <v>#VALUE!</v>
      </c>
      <c r="N20" t="str">
        <f t="shared" si="3"/>
        <v/>
      </c>
    </row>
    <row r="21" spans="2:14">
      <c r="B21" s="87">
        <v>9</v>
      </c>
      <c r="C21" s="135"/>
      <c r="D21" s="136"/>
      <c r="E21" s="136"/>
      <c r="F21" s="36" t="str">
        <f t="shared" si="0"/>
        <v/>
      </c>
      <c r="G21" s="36" t="str">
        <f t="shared" si="1"/>
        <v/>
      </c>
      <c r="H21" s="57" t="str">
        <f t="shared" si="4"/>
        <v/>
      </c>
      <c r="I21" s="139" t="str">
        <f t="shared" si="5"/>
        <v/>
      </c>
      <c r="K21" t="s">
        <v>45</v>
      </c>
      <c r="M21" t="e">
        <f t="shared" si="2"/>
        <v>#VALUE!</v>
      </c>
      <c r="N21" t="str">
        <f t="shared" si="3"/>
        <v/>
      </c>
    </row>
    <row r="22" spans="2:14">
      <c r="B22" s="87">
        <v>10</v>
      </c>
      <c r="C22" s="135"/>
      <c r="D22" s="136"/>
      <c r="E22" s="136"/>
      <c r="F22" s="36" t="str">
        <f t="shared" si="0"/>
        <v/>
      </c>
      <c r="G22" s="36" t="str">
        <f t="shared" si="1"/>
        <v/>
      </c>
      <c r="H22" s="57" t="str">
        <f t="shared" si="4"/>
        <v/>
      </c>
      <c r="I22" s="139" t="str">
        <f t="shared" si="5"/>
        <v/>
      </c>
      <c r="K22" t="s">
        <v>45</v>
      </c>
      <c r="M22" t="e">
        <f t="shared" si="2"/>
        <v>#VALUE!</v>
      </c>
      <c r="N22" t="str">
        <f t="shared" si="3"/>
        <v/>
      </c>
    </row>
    <row r="23" spans="2:14">
      <c r="B23" s="87">
        <v>11</v>
      </c>
      <c r="C23" s="135"/>
      <c r="D23" s="136"/>
      <c r="E23" s="136"/>
      <c r="F23" s="36" t="str">
        <f t="shared" si="0"/>
        <v/>
      </c>
      <c r="G23" s="36" t="str">
        <f t="shared" si="1"/>
        <v/>
      </c>
      <c r="H23" s="57" t="str">
        <f t="shared" si="4"/>
        <v/>
      </c>
      <c r="I23" s="139" t="str">
        <f t="shared" si="5"/>
        <v/>
      </c>
      <c r="K23" t="s">
        <v>45</v>
      </c>
      <c r="M23" t="e">
        <f t="shared" si="2"/>
        <v>#VALUE!</v>
      </c>
      <c r="N23" t="str">
        <f t="shared" si="3"/>
        <v/>
      </c>
    </row>
    <row r="24" spans="2:14">
      <c r="B24" s="87">
        <v>12</v>
      </c>
      <c r="C24" s="135"/>
      <c r="D24" s="136"/>
      <c r="E24" s="136"/>
      <c r="F24" s="36" t="str">
        <f t="shared" si="0"/>
        <v/>
      </c>
      <c r="G24" s="36" t="str">
        <f t="shared" si="1"/>
        <v/>
      </c>
      <c r="H24" s="57" t="str">
        <f t="shared" si="4"/>
        <v/>
      </c>
      <c r="I24" s="139" t="str">
        <f t="shared" si="5"/>
        <v/>
      </c>
      <c r="K24" t="s">
        <v>45</v>
      </c>
      <c r="M24" t="e">
        <f t="shared" si="2"/>
        <v>#VALUE!</v>
      </c>
      <c r="N24" t="str">
        <f t="shared" si="3"/>
        <v/>
      </c>
    </row>
    <row r="25" spans="2:14">
      <c r="B25" s="87">
        <v>13</v>
      </c>
      <c r="C25" s="135"/>
      <c r="D25" s="136"/>
      <c r="E25" s="136"/>
      <c r="F25" s="36" t="str">
        <f t="shared" si="0"/>
        <v/>
      </c>
      <c r="G25" s="36" t="str">
        <f t="shared" si="1"/>
        <v/>
      </c>
      <c r="H25" s="57" t="str">
        <f t="shared" si="4"/>
        <v/>
      </c>
      <c r="I25" s="139" t="str">
        <f t="shared" si="5"/>
        <v/>
      </c>
      <c r="K25" t="s">
        <v>45</v>
      </c>
      <c r="M25" t="e">
        <f t="shared" si="2"/>
        <v>#VALUE!</v>
      </c>
      <c r="N25" t="str">
        <f t="shared" si="3"/>
        <v/>
      </c>
    </row>
    <row r="26" spans="2:14">
      <c r="B26" s="87">
        <v>14</v>
      </c>
      <c r="C26" s="135"/>
      <c r="D26" s="136"/>
      <c r="E26" s="136"/>
      <c r="F26" s="36" t="str">
        <f t="shared" si="0"/>
        <v/>
      </c>
      <c r="G26" s="36" t="str">
        <f t="shared" si="1"/>
        <v/>
      </c>
      <c r="H26" s="57" t="str">
        <f t="shared" si="4"/>
        <v/>
      </c>
      <c r="I26" s="139" t="str">
        <f t="shared" si="5"/>
        <v/>
      </c>
      <c r="K26" t="s">
        <v>45</v>
      </c>
      <c r="M26" t="e">
        <f t="shared" si="2"/>
        <v>#VALUE!</v>
      </c>
      <c r="N26" t="str">
        <f t="shared" si="3"/>
        <v/>
      </c>
    </row>
    <row r="27" spans="2:14">
      <c r="B27" s="87">
        <v>15</v>
      </c>
      <c r="C27" s="135"/>
      <c r="D27" s="136"/>
      <c r="E27" s="136"/>
      <c r="F27" s="36" t="str">
        <f t="shared" si="0"/>
        <v/>
      </c>
      <c r="G27" s="36" t="str">
        <f t="shared" si="1"/>
        <v/>
      </c>
      <c r="H27" s="57" t="str">
        <f t="shared" si="4"/>
        <v/>
      </c>
      <c r="I27" s="139" t="str">
        <f t="shared" si="5"/>
        <v/>
      </c>
      <c r="K27" t="s">
        <v>45</v>
      </c>
      <c r="M27" t="e">
        <f t="shared" si="2"/>
        <v>#VALUE!</v>
      </c>
      <c r="N27" t="str">
        <f t="shared" si="3"/>
        <v/>
      </c>
    </row>
    <row r="28" spans="2:14">
      <c r="B28" s="87">
        <v>16</v>
      </c>
      <c r="C28" s="135"/>
      <c r="D28" s="136"/>
      <c r="E28" s="136"/>
      <c r="F28" s="36" t="str">
        <f t="shared" si="0"/>
        <v/>
      </c>
      <c r="G28" s="36" t="str">
        <f t="shared" si="1"/>
        <v/>
      </c>
      <c r="H28" s="57" t="str">
        <f t="shared" si="4"/>
        <v/>
      </c>
      <c r="I28" s="139" t="str">
        <f t="shared" si="5"/>
        <v/>
      </c>
      <c r="K28" t="s">
        <v>45</v>
      </c>
      <c r="M28" t="e">
        <f t="shared" si="2"/>
        <v>#VALUE!</v>
      </c>
      <c r="N28" t="str">
        <f t="shared" si="3"/>
        <v/>
      </c>
    </row>
    <row r="29" spans="2:14">
      <c r="B29" s="87">
        <v>17</v>
      </c>
      <c r="C29" s="135"/>
      <c r="D29" s="136"/>
      <c r="E29" s="136"/>
      <c r="F29" s="36" t="str">
        <f t="shared" si="0"/>
        <v/>
      </c>
      <c r="G29" s="36" t="str">
        <f t="shared" si="1"/>
        <v/>
      </c>
      <c r="H29" s="57" t="str">
        <f t="shared" si="4"/>
        <v/>
      </c>
      <c r="I29" s="139" t="str">
        <f t="shared" si="5"/>
        <v/>
      </c>
      <c r="K29" t="s">
        <v>45</v>
      </c>
      <c r="M29" t="e">
        <f t="shared" si="2"/>
        <v>#VALUE!</v>
      </c>
      <c r="N29" t="str">
        <f t="shared" si="3"/>
        <v/>
      </c>
    </row>
    <row r="30" spans="2:14">
      <c r="B30" s="87">
        <v>18</v>
      </c>
      <c r="C30" s="135"/>
      <c r="D30" s="136"/>
      <c r="E30" s="136"/>
      <c r="F30" s="36" t="str">
        <f t="shared" si="0"/>
        <v/>
      </c>
      <c r="G30" s="36" t="str">
        <f t="shared" si="1"/>
        <v/>
      </c>
      <c r="H30" s="57" t="str">
        <f t="shared" si="4"/>
        <v/>
      </c>
      <c r="I30" s="139" t="str">
        <f t="shared" si="5"/>
        <v/>
      </c>
      <c r="K30" t="s">
        <v>45</v>
      </c>
      <c r="M30" t="e">
        <f t="shared" si="2"/>
        <v>#VALUE!</v>
      </c>
      <c r="N30" t="str">
        <f t="shared" si="3"/>
        <v/>
      </c>
    </row>
    <row r="31" spans="2:14">
      <c r="B31" s="87">
        <v>19</v>
      </c>
      <c r="C31" s="135"/>
      <c r="D31" s="136"/>
      <c r="E31" s="136"/>
      <c r="F31" s="36" t="str">
        <f t="shared" si="0"/>
        <v/>
      </c>
      <c r="G31" s="36" t="str">
        <f t="shared" si="1"/>
        <v/>
      </c>
      <c r="H31" s="57" t="str">
        <f t="shared" si="4"/>
        <v/>
      </c>
      <c r="I31" s="139" t="str">
        <f t="shared" si="5"/>
        <v/>
      </c>
      <c r="K31" t="s">
        <v>45</v>
      </c>
      <c r="M31" t="e">
        <f t="shared" si="2"/>
        <v>#VALUE!</v>
      </c>
      <c r="N31" t="str">
        <f t="shared" si="3"/>
        <v/>
      </c>
    </row>
    <row r="32" spans="2:14">
      <c r="B32" s="87">
        <v>20</v>
      </c>
      <c r="C32" s="135"/>
      <c r="D32" s="136"/>
      <c r="E32" s="136"/>
      <c r="F32" s="36" t="str">
        <f t="shared" si="0"/>
        <v/>
      </c>
      <c r="G32" s="36" t="str">
        <f t="shared" si="1"/>
        <v/>
      </c>
      <c r="H32" s="57" t="str">
        <f t="shared" si="4"/>
        <v/>
      </c>
      <c r="I32" s="139" t="str">
        <f t="shared" si="5"/>
        <v/>
      </c>
      <c r="K32" t="s">
        <v>45</v>
      </c>
      <c r="M32" t="e">
        <f t="shared" si="2"/>
        <v>#VALUE!</v>
      </c>
      <c r="N32" t="str">
        <f t="shared" si="3"/>
        <v/>
      </c>
    </row>
    <row r="33" spans="2:14">
      <c r="B33" s="87">
        <v>21</v>
      </c>
      <c r="C33" s="135"/>
      <c r="D33" s="136"/>
      <c r="E33" s="136"/>
      <c r="F33" s="36" t="str">
        <f t="shared" si="0"/>
        <v/>
      </c>
      <c r="G33" s="36" t="str">
        <f t="shared" si="1"/>
        <v/>
      </c>
      <c r="H33" s="57" t="str">
        <f t="shared" si="4"/>
        <v/>
      </c>
      <c r="I33" s="139" t="str">
        <f t="shared" si="5"/>
        <v/>
      </c>
      <c r="K33" t="s">
        <v>45</v>
      </c>
      <c r="M33" t="e">
        <f t="shared" si="2"/>
        <v>#VALUE!</v>
      </c>
      <c r="N33" t="str">
        <f t="shared" si="3"/>
        <v/>
      </c>
    </row>
    <row r="34" spans="2:14">
      <c r="B34" s="87">
        <v>22</v>
      </c>
      <c r="C34" s="135"/>
      <c r="D34" s="136"/>
      <c r="E34" s="136"/>
      <c r="F34" s="36" t="str">
        <f t="shared" si="0"/>
        <v/>
      </c>
      <c r="G34" s="36" t="str">
        <f t="shared" si="1"/>
        <v/>
      </c>
      <c r="H34" s="57" t="str">
        <f t="shared" si="4"/>
        <v/>
      </c>
      <c r="I34" s="139" t="str">
        <f t="shared" si="5"/>
        <v/>
      </c>
      <c r="K34" t="s">
        <v>45</v>
      </c>
      <c r="M34" t="e">
        <f t="shared" si="2"/>
        <v>#VALUE!</v>
      </c>
      <c r="N34" t="str">
        <f t="shared" si="3"/>
        <v/>
      </c>
    </row>
    <row r="35" spans="2:14">
      <c r="B35" s="87">
        <v>23</v>
      </c>
      <c r="C35" s="135"/>
      <c r="D35" s="136"/>
      <c r="E35" s="136"/>
      <c r="F35" s="36" t="str">
        <f t="shared" si="0"/>
        <v/>
      </c>
      <c r="G35" s="36" t="str">
        <f t="shared" si="1"/>
        <v/>
      </c>
      <c r="H35" s="57" t="str">
        <f t="shared" si="4"/>
        <v/>
      </c>
      <c r="I35" s="139" t="str">
        <f t="shared" si="5"/>
        <v/>
      </c>
      <c r="K35" t="s">
        <v>45</v>
      </c>
      <c r="M35" t="e">
        <f t="shared" si="2"/>
        <v>#VALUE!</v>
      </c>
      <c r="N35" t="str">
        <f t="shared" si="3"/>
        <v/>
      </c>
    </row>
    <row r="36" spans="2:14">
      <c r="B36" s="87">
        <v>24</v>
      </c>
      <c r="C36" s="135"/>
      <c r="D36" s="136"/>
      <c r="E36" s="136"/>
      <c r="F36" s="36" t="str">
        <f t="shared" si="0"/>
        <v/>
      </c>
      <c r="G36" s="36" t="str">
        <f t="shared" si="1"/>
        <v/>
      </c>
      <c r="H36" s="57" t="str">
        <f t="shared" si="4"/>
        <v/>
      </c>
      <c r="I36" s="139" t="str">
        <f t="shared" si="5"/>
        <v/>
      </c>
      <c r="K36" t="s">
        <v>45</v>
      </c>
      <c r="M36" t="e">
        <f t="shared" si="2"/>
        <v>#VALUE!</v>
      </c>
      <c r="N36" t="str">
        <f t="shared" si="3"/>
        <v/>
      </c>
    </row>
    <row r="37" spans="2:14" ht="14.25" thickBot="1">
      <c r="B37" s="88">
        <v>25</v>
      </c>
      <c r="C37" s="133"/>
      <c r="D37" s="134"/>
      <c r="E37" s="134"/>
      <c r="F37" s="44" t="str">
        <f t="shared" si="0"/>
        <v/>
      </c>
      <c r="G37" s="44" t="str">
        <f t="shared" si="1"/>
        <v/>
      </c>
      <c r="H37" s="58" t="str">
        <f t="shared" si="4"/>
        <v/>
      </c>
      <c r="I37" s="140" t="str">
        <f t="shared" si="5"/>
        <v/>
      </c>
      <c r="K37" t="s">
        <v>45</v>
      </c>
      <c r="M37" t="e">
        <f t="shared" si="2"/>
        <v>#VALUE!</v>
      </c>
      <c r="N37" t="str">
        <f t="shared" si="3"/>
        <v/>
      </c>
    </row>
  </sheetData>
  <sheetProtection sheet="1" objects="1" scenarios="1"/>
  <protectedRanges>
    <protectedRange sqref="D2:H3 D9:H10 C13:E37" name="編集許可"/>
  </protectedRanges>
  <mergeCells count="16">
    <mergeCell ref="B2:C2"/>
    <mergeCell ref="D2:H2"/>
    <mergeCell ref="B3:C3"/>
    <mergeCell ref="B4:C4"/>
    <mergeCell ref="D4:H4"/>
    <mergeCell ref="D3:H3"/>
    <mergeCell ref="B9:C9"/>
    <mergeCell ref="D9:H9"/>
    <mergeCell ref="B10:C10"/>
    <mergeCell ref="D10:H10"/>
    <mergeCell ref="B6:C6"/>
    <mergeCell ref="D6:H6"/>
    <mergeCell ref="B7:C7"/>
    <mergeCell ref="D7:H7"/>
    <mergeCell ref="B8:C8"/>
    <mergeCell ref="D8:H8"/>
  </mergeCells>
  <phoneticPr fontId="2"/>
  <conditionalFormatting sqref="C13:C37">
    <cfRule type="expression" dxfId="15" priority="3">
      <formula>14&lt;LEN($D$6)+LEN($C13)</formula>
    </cfRule>
  </conditionalFormatting>
  <conditionalFormatting sqref="D5">
    <cfRule type="containsText" dxfId="14" priority="1" operator="containsText" text="NG">
      <formula>NOT(ISERROR(SEARCH("NG",D5)))</formula>
    </cfRule>
  </conditionalFormatting>
  <conditionalFormatting sqref="D6">
    <cfRule type="expression" dxfId="13" priority="2">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178</v>
      </c>
      <c r="O2" t="s">
        <v>179</v>
      </c>
    </row>
    <row r="3" spans="2:18" ht="14.25" thickBot="1">
      <c r="B3" s="132" t="s">
        <v>32</v>
      </c>
      <c r="C3" s="95" t="s">
        <v>180</v>
      </c>
      <c r="D3" s="95" t="s">
        <v>181</v>
      </c>
      <c r="E3" s="96" t="s">
        <v>182</v>
      </c>
      <c r="F3" s="177" t="s">
        <v>183</v>
      </c>
      <c r="G3" s="163" t="s">
        <v>198</v>
      </c>
      <c r="H3" s="35"/>
      <c r="I3" s="35"/>
      <c r="J3" s="35"/>
      <c r="K3" s="35"/>
      <c r="L3" s="35"/>
      <c r="M3" s="35"/>
      <c r="O3" s="132" t="s">
        <v>32</v>
      </c>
      <c r="P3" s="164" t="s">
        <v>184</v>
      </c>
      <c r="Q3" s="164" t="s">
        <v>185</v>
      </c>
      <c r="R3" s="163" t="s">
        <v>183</v>
      </c>
    </row>
    <row r="4" spans="2:18" ht="14.25" hidden="1" thickTop="1">
      <c r="B4" s="165">
        <v>0</v>
      </c>
      <c r="C4" s="166" t="s">
        <v>154</v>
      </c>
      <c r="D4" s="166"/>
      <c r="E4" s="167"/>
      <c r="F4" s="178"/>
      <c r="G4" s="179"/>
      <c r="H4" s="35"/>
      <c r="I4" s="35"/>
      <c r="J4" s="35"/>
      <c r="K4" s="35"/>
      <c r="L4" s="35"/>
      <c r="M4" s="35"/>
      <c r="O4" s="168">
        <v>0</v>
      </c>
      <c r="P4" s="169" t="s">
        <v>154</v>
      </c>
      <c r="Q4" s="169" t="s">
        <v>154</v>
      </c>
      <c r="R4" s="131"/>
    </row>
    <row r="5" spans="2:18" ht="14.25" thickTop="1">
      <c r="B5" s="170">
        <v>1</v>
      </c>
      <c r="C5" s="136"/>
      <c r="D5" s="21"/>
      <c r="E5" s="57" t="str">
        <f>IF($C5&lt;&gt;"","ALERT_" &amp; D5 &amp; "_ID_"&amp;UPPER(Matrix!$D$6) &amp; "_" &amp; $C5,"")</f>
        <v/>
      </c>
      <c r="F5" s="188"/>
      <c r="G5" s="57" t="str">
        <f>IF(E5&lt;&gt;"",LEN(E5),"")</f>
        <v/>
      </c>
      <c r="O5" s="170">
        <v>1</v>
      </c>
      <c r="P5" s="136"/>
      <c r="Q5" s="136"/>
      <c r="R5" s="189"/>
    </row>
    <row r="6" spans="2:18">
      <c r="B6" s="170">
        <v>2</v>
      </c>
      <c r="C6" s="136"/>
      <c r="D6" s="21"/>
      <c r="E6" s="57" t="str">
        <f>IF($C6&lt;&gt;"","ALERT_" &amp; D6 &amp; "_ID_"&amp;UPPER(Matrix!$D$6) &amp; "_" &amp; $C6,"")</f>
        <v/>
      </c>
      <c r="F6" s="108"/>
      <c r="G6" s="57" t="str">
        <f t="shared" ref="G6:G29" si="0">IF(E6&lt;&gt;"",LEN(E6),"")</f>
        <v/>
      </c>
      <c r="O6" s="170">
        <v>2</v>
      </c>
      <c r="P6" s="136"/>
      <c r="Q6" s="136"/>
      <c r="R6" s="109"/>
    </row>
    <row r="7" spans="2:18">
      <c r="B7" s="170">
        <v>3</v>
      </c>
      <c r="C7" s="136"/>
      <c r="D7" s="21"/>
      <c r="E7" s="57" t="str">
        <f>IF($C7&lt;&gt;"","ALERT_" &amp; D7 &amp; "_ID_"&amp;UPPER(Matrix!$D$6) &amp; "_" &amp; $C7,"")</f>
        <v/>
      </c>
      <c r="F7" s="108"/>
      <c r="G7" s="57" t="str">
        <f t="shared" si="0"/>
        <v/>
      </c>
      <c r="O7" s="170">
        <v>3</v>
      </c>
      <c r="P7" s="136"/>
      <c r="Q7" s="136"/>
      <c r="R7" s="109"/>
    </row>
    <row r="8" spans="2:18">
      <c r="B8" s="170">
        <v>4</v>
      </c>
      <c r="C8" s="136"/>
      <c r="D8" s="21"/>
      <c r="E8" s="57" t="str">
        <f>IF($C8&lt;&gt;"","ALERT_" &amp; D8 &amp; "_ID_"&amp;UPPER(Matrix!$D$6) &amp; "_" &amp; $C8,"")</f>
        <v/>
      </c>
      <c r="F8" s="108"/>
      <c r="G8" s="57" t="str">
        <f t="shared" si="0"/>
        <v/>
      </c>
      <c r="O8" s="170">
        <v>4</v>
      </c>
      <c r="P8" s="136"/>
      <c r="Q8" s="136"/>
      <c r="R8" s="109"/>
    </row>
    <row r="9" spans="2:18">
      <c r="B9" s="170">
        <v>5</v>
      </c>
      <c r="C9" s="136"/>
      <c r="D9" s="21"/>
      <c r="E9" s="57" t="str">
        <f>IF($C9&lt;&gt;"","ALERT_" &amp; D9 &amp; "_ID_"&amp;UPPER(Matrix!$D$6) &amp; "_" &amp; $C9,"")</f>
        <v/>
      </c>
      <c r="F9" s="108"/>
      <c r="G9" s="57" t="str">
        <f t="shared" si="0"/>
        <v/>
      </c>
      <c r="O9" s="170">
        <v>5</v>
      </c>
      <c r="P9" s="136"/>
      <c r="Q9" s="136"/>
      <c r="R9" s="109"/>
    </row>
    <row r="10" spans="2:18">
      <c r="B10" s="170">
        <v>6</v>
      </c>
      <c r="C10" s="136"/>
      <c r="D10" s="21"/>
      <c r="E10" s="57" t="str">
        <f>IF($C10&lt;&gt;"","ALERT_" &amp; D10 &amp; "_ID_"&amp;UPPER(Matrix!$D$6) &amp; "_" &amp; $C10,"")</f>
        <v/>
      </c>
      <c r="F10" s="108"/>
      <c r="G10" s="57" t="str">
        <f t="shared" si="0"/>
        <v/>
      </c>
      <c r="O10" s="170">
        <v>6</v>
      </c>
      <c r="P10" s="136"/>
      <c r="Q10" s="136"/>
      <c r="R10" s="109"/>
    </row>
    <row r="11" spans="2:18">
      <c r="B11" s="170">
        <v>7</v>
      </c>
      <c r="C11" s="136"/>
      <c r="D11" s="21"/>
      <c r="E11" s="57" t="str">
        <f>IF($C11&lt;&gt;"","ALERT_" &amp; D11 &amp; "_ID_"&amp;UPPER(Matrix!$D$6) &amp; "_" &amp; $C11,"")</f>
        <v/>
      </c>
      <c r="F11" s="108"/>
      <c r="G11" s="57" t="str">
        <f t="shared" si="0"/>
        <v/>
      </c>
      <c r="O11" s="170">
        <v>7</v>
      </c>
      <c r="P11" s="136"/>
      <c r="Q11" s="136"/>
      <c r="R11" s="109"/>
    </row>
    <row r="12" spans="2:18">
      <c r="B12" s="170">
        <v>8</v>
      </c>
      <c r="C12" s="136"/>
      <c r="D12" s="21"/>
      <c r="E12" s="57" t="str">
        <f>IF($C12&lt;&gt;"","ALERT_" &amp; D12 &amp; "_ID_"&amp;UPPER(Matrix!$D$6) &amp; "_" &amp; $C12,"")</f>
        <v/>
      </c>
      <c r="F12" s="108"/>
      <c r="G12" s="57" t="str">
        <f t="shared" si="0"/>
        <v/>
      </c>
      <c r="O12" s="170">
        <v>8</v>
      </c>
      <c r="P12" s="136"/>
      <c r="Q12" s="136"/>
      <c r="R12" s="109"/>
    </row>
    <row r="13" spans="2:18">
      <c r="B13" s="170">
        <v>9</v>
      </c>
      <c r="C13" s="136"/>
      <c r="D13" s="21"/>
      <c r="E13" s="57" t="str">
        <f>IF($C13&lt;&gt;"","ALERT_" &amp; D13 &amp; "_ID_"&amp;UPPER(Matrix!$D$6) &amp; "_" &amp; $C13,"")</f>
        <v/>
      </c>
      <c r="F13" s="108"/>
      <c r="G13" s="57" t="str">
        <f t="shared" si="0"/>
        <v/>
      </c>
      <c r="O13" s="170">
        <v>9</v>
      </c>
      <c r="P13" s="136"/>
      <c r="Q13" s="136"/>
      <c r="R13" s="109"/>
    </row>
    <row r="14" spans="2:18">
      <c r="B14" s="170">
        <v>10</v>
      </c>
      <c r="C14" s="136"/>
      <c r="D14" s="21"/>
      <c r="E14" s="57" t="str">
        <f>IF($C14&lt;&gt;"","ALERT_" &amp; D14 &amp; "_ID_"&amp;UPPER(Matrix!$D$6) &amp; "_" &amp; $C14,"")</f>
        <v/>
      </c>
      <c r="F14" s="108"/>
      <c r="G14" s="57" t="str">
        <f t="shared" si="0"/>
        <v/>
      </c>
      <c r="O14" s="170">
        <v>10</v>
      </c>
      <c r="P14" s="136"/>
      <c r="Q14" s="136"/>
      <c r="R14" s="109"/>
    </row>
    <row r="15" spans="2:18">
      <c r="B15" s="170">
        <v>11</v>
      </c>
      <c r="C15" s="136"/>
      <c r="D15" s="21"/>
      <c r="E15" s="57" t="str">
        <f>IF($C15&lt;&gt;"","ALERT_" &amp; D15 &amp; "_ID_"&amp;UPPER(Matrix!$D$6) &amp; "_" &amp; $C15,"")</f>
        <v/>
      </c>
      <c r="F15" s="108"/>
      <c r="G15" s="57" t="str">
        <f t="shared" si="0"/>
        <v/>
      </c>
      <c r="O15" s="170">
        <v>11</v>
      </c>
      <c r="P15" s="136"/>
      <c r="Q15" s="136"/>
      <c r="R15" s="109"/>
    </row>
    <row r="16" spans="2:18">
      <c r="B16" s="170">
        <v>12</v>
      </c>
      <c r="C16" s="136"/>
      <c r="D16" s="21"/>
      <c r="E16" s="57" t="str">
        <f>IF($C16&lt;&gt;"","ALERT_" &amp; D16 &amp; "_ID_"&amp;UPPER(Matrix!$D$6) &amp; "_" &amp; $C16,"")</f>
        <v/>
      </c>
      <c r="F16" s="108"/>
      <c r="G16" s="57" t="str">
        <f t="shared" si="0"/>
        <v/>
      </c>
      <c r="O16" s="170">
        <v>12</v>
      </c>
      <c r="P16" s="136"/>
      <c r="Q16" s="136"/>
      <c r="R16" s="109"/>
    </row>
    <row r="17" spans="2:18">
      <c r="B17" s="170">
        <v>13</v>
      </c>
      <c r="C17" s="136"/>
      <c r="D17" s="21"/>
      <c r="E17" s="57" t="str">
        <f>IF($C17&lt;&gt;"","ALERT_" &amp; D17 &amp; "_ID_"&amp;UPPER(Matrix!$D$6) &amp; "_" &amp; $C17,"")</f>
        <v/>
      </c>
      <c r="F17" s="108"/>
      <c r="G17" s="57" t="str">
        <f t="shared" si="0"/>
        <v/>
      </c>
      <c r="O17" s="170">
        <v>13</v>
      </c>
      <c r="P17" s="136"/>
      <c r="Q17" s="136"/>
      <c r="R17" s="109"/>
    </row>
    <row r="18" spans="2:18">
      <c r="B18" s="170">
        <v>14</v>
      </c>
      <c r="C18" s="136"/>
      <c r="D18" s="21"/>
      <c r="E18" s="57" t="str">
        <f>IF($C18&lt;&gt;"","ALERT_" &amp; D18 &amp; "_ID_"&amp;UPPER(Matrix!$D$6) &amp; "_" &amp; $C18,"")</f>
        <v/>
      </c>
      <c r="F18" s="108"/>
      <c r="G18" s="57" t="str">
        <f t="shared" si="0"/>
        <v/>
      </c>
      <c r="O18" s="170">
        <v>14</v>
      </c>
      <c r="P18" s="136"/>
      <c r="Q18" s="136"/>
      <c r="R18" s="109"/>
    </row>
    <row r="19" spans="2:18">
      <c r="B19" s="170">
        <v>15</v>
      </c>
      <c r="C19" s="136"/>
      <c r="D19" s="21"/>
      <c r="E19" s="57" t="str">
        <f>IF($C19&lt;&gt;"","ALERT_" &amp; D19 &amp; "_ID_"&amp;UPPER(Matrix!$D$6) &amp; "_" &amp; $C19,"")</f>
        <v/>
      </c>
      <c r="F19" s="108"/>
      <c r="G19" s="57" t="str">
        <f t="shared" si="0"/>
        <v/>
      </c>
      <c r="O19" s="170">
        <v>15</v>
      </c>
      <c r="P19" s="136"/>
      <c r="Q19" s="136"/>
      <c r="R19" s="109"/>
    </row>
    <row r="20" spans="2:18">
      <c r="B20" s="170">
        <v>16</v>
      </c>
      <c r="C20" s="136"/>
      <c r="D20" s="21"/>
      <c r="E20" s="57" t="str">
        <f>IF($C20&lt;&gt;"","ALERT_" &amp; D20 &amp; "_ID_"&amp;UPPER(Matrix!$D$6) &amp; "_" &amp; $C20,"")</f>
        <v/>
      </c>
      <c r="F20" s="108"/>
      <c r="G20" s="57" t="str">
        <f t="shared" si="0"/>
        <v/>
      </c>
      <c r="O20" s="170">
        <v>16</v>
      </c>
      <c r="P20" s="136"/>
      <c r="Q20" s="136"/>
      <c r="R20" s="109"/>
    </row>
    <row r="21" spans="2:18">
      <c r="B21" s="170">
        <v>17</v>
      </c>
      <c r="C21" s="136"/>
      <c r="D21" s="21"/>
      <c r="E21" s="57" t="str">
        <f>IF($C21&lt;&gt;"","ALERT_" &amp; D21 &amp; "_ID_"&amp;UPPER(Matrix!$D$6) &amp; "_" &amp; $C21,"")</f>
        <v/>
      </c>
      <c r="F21" s="108"/>
      <c r="G21" s="57" t="str">
        <f t="shared" si="0"/>
        <v/>
      </c>
      <c r="O21" s="170">
        <v>17</v>
      </c>
      <c r="P21" s="136"/>
      <c r="Q21" s="136"/>
      <c r="R21" s="109"/>
    </row>
    <row r="22" spans="2:18">
      <c r="B22" s="170">
        <v>18</v>
      </c>
      <c r="C22" s="136"/>
      <c r="D22" s="21"/>
      <c r="E22" s="57" t="str">
        <f>IF($C22&lt;&gt;"","ALERT_" &amp; D22 &amp; "_ID_"&amp;UPPER(Matrix!$D$6) &amp; "_" &amp; $C22,"")</f>
        <v/>
      </c>
      <c r="F22" s="108"/>
      <c r="G22" s="57" t="str">
        <f t="shared" si="0"/>
        <v/>
      </c>
      <c r="O22" s="170">
        <v>18</v>
      </c>
      <c r="P22" s="136"/>
      <c r="Q22" s="136"/>
      <c r="R22" s="109"/>
    </row>
    <row r="23" spans="2:18">
      <c r="B23" s="170">
        <v>19</v>
      </c>
      <c r="C23" s="136"/>
      <c r="D23" s="21"/>
      <c r="E23" s="57" t="str">
        <f>IF($C23&lt;&gt;"","ALERT_" &amp; D23 &amp; "_ID_"&amp;UPPER(Matrix!$D$6) &amp; "_" &amp; $C23,"")</f>
        <v/>
      </c>
      <c r="F23" s="108"/>
      <c r="G23" s="57" t="str">
        <f t="shared" si="0"/>
        <v/>
      </c>
      <c r="O23" s="170">
        <v>19</v>
      </c>
      <c r="P23" s="136"/>
      <c r="Q23" s="136"/>
      <c r="R23" s="109"/>
    </row>
    <row r="24" spans="2:18">
      <c r="B24" s="170">
        <v>20</v>
      </c>
      <c r="C24" s="136"/>
      <c r="D24" s="21"/>
      <c r="E24" s="57" t="str">
        <f>IF($C24&lt;&gt;"","ALERT_" &amp; D24 &amp; "_ID_"&amp;UPPER(Matrix!$D$6) &amp; "_" &amp; $C24,"")</f>
        <v/>
      </c>
      <c r="F24" s="108"/>
      <c r="G24" s="57" t="str">
        <f t="shared" si="0"/>
        <v/>
      </c>
      <c r="O24" s="170">
        <v>20</v>
      </c>
      <c r="P24" s="136"/>
      <c r="Q24" s="136"/>
      <c r="R24" s="109"/>
    </row>
    <row r="25" spans="2:18">
      <c r="B25" s="170">
        <v>21</v>
      </c>
      <c r="C25" s="136"/>
      <c r="D25" s="21"/>
      <c r="E25" s="57" t="str">
        <f>IF($C25&lt;&gt;"","ALERT_" &amp; D25 &amp; "_ID_"&amp;UPPER(Matrix!$D$6) &amp; "_" &amp; $C25,"")</f>
        <v/>
      </c>
      <c r="F25" s="108"/>
      <c r="G25" s="57" t="str">
        <f t="shared" si="0"/>
        <v/>
      </c>
      <c r="O25" s="170">
        <v>21</v>
      </c>
      <c r="P25" s="136"/>
      <c r="Q25" s="136"/>
      <c r="R25" s="109"/>
    </row>
    <row r="26" spans="2:18">
      <c r="B26" s="170">
        <v>22</v>
      </c>
      <c r="C26" s="136"/>
      <c r="D26" s="21"/>
      <c r="E26" s="57" t="str">
        <f>IF($C26&lt;&gt;"","ALERT_" &amp; D26 &amp; "_ID_"&amp;UPPER(Matrix!$D$6) &amp; "_" &amp; $C26,"")</f>
        <v/>
      </c>
      <c r="F26" s="108"/>
      <c r="G26" s="57" t="str">
        <f t="shared" si="0"/>
        <v/>
      </c>
      <c r="O26" s="170">
        <v>22</v>
      </c>
      <c r="P26" s="136"/>
      <c r="Q26" s="136"/>
      <c r="R26" s="109"/>
    </row>
    <row r="27" spans="2:18">
      <c r="B27" s="170">
        <v>23</v>
      </c>
      <c r="C27" s="136"/>
      <c r="D27" s="21"/>
      <c r="E27" s="57" t="str">
        <f>IF($C27&lt;&gt;"","ALERT_" &amp; D27 &amp; "_ID_"&amp;UPPER(Matrix!$D$6) &amp; "_" &amp; $C27,"")</f>
        <v/>
      </c>
      <c r="F27" s="108"/>
      <c r="G27" s="57" t="str">
        <f t="shared" si="0"/>
        <v/>
      </c>
      <c r="O27" s="170">
        <v>23</v>
      </c>
      <c r="P27" s="136"/>
      <c r="Q27" s="136"/>
      <c r="R27" s="109"/>
    </row>
    <row r="28" spans="2:18">
      <c r="B28" s="170">
        <v>24</v>
      </c>
      <c r="C28" s="136"/>
      <c r="D28" s="21"/>
      <c r="E28" s="57" t="str">
        <f>IF($C28&lt;&gt;"","ALERT_" &amp; D28 &amp; "_ID_"&amp;UPPER(Matrix!$D$6) &amp; "_" &amp; $C28,"")</f>
        <v/>
      </c>
      <c r="F28" s="108"/>
      <c r="G28" s="57" t="str">
        <f t="shared" si="0"/>
        <v/>
      </c>
      <c r="O28" s="170">
        <v>24</v>
      </c>
      <c r="P28" s="136"/>
      <c r="Q28" s="136"/>
      <c r="R28" s="109"/>
    </row>
    <row r="29" spans="2:18" ht="14.25" thickBot="1">
      <c r="B29" s="172">
        <v>25</v>
      </c>
      <c r="C29" s="134"/>
      <c r="D29" s="43"/>
      <c r="E29" s="57" t="str">
        <f>IF($C29&lt;&gt;"","ALERT_" &amp; D29 &amp; "_ID_"&amp;UPPER(Matrix!$D$6) &amp; "_" &amp; $C29,"")</f>
        <v/>
      </c>
      <c r="F29" s="110"/>
      <c r="G29" s="58" t="str">
        <f t="shared" si="0"/>
        <v/>
      </c>
      <c r="O29" s="172">
        <v>25</v>
      </c>
      <c r="P29" s="134"/>
      <c r="Q29" s="134"/>
      <c r="R29" s="111"/>
    </row>
    <row r="32" spans="2:18" ht="14.25" thickBot="1">
      <c r="B32" t="s">
        <v>186</v>
      </c>
      <c r="O32" t="s">
        <v>187</v>
      </c>
    </row>
    <row r="33" spans="2:18" ht="14.25" thickBot="1">
      <c r="B33" s="132" t="s">
        <v>32</v>
      </c>
      <c r="C33" s="95" t="s">
        <v>180</v>
      </c>
      <c r="D33" s="95" t="s">
        <v>188</v>
      </c>
      <c r="E33" s="96" t="s">
        <v>182</v>
      </c>
      <c r="F33" s="163" t="s">
        <v>189</v>
      </c>
      <c r="G33" s="163" t="s">
        <v>198</v>
      </c>
      <c r="O33" s="132" t="s">
        <v>32</v>
      </c>
      <c r="P33" s="164" t="s">
        <v>190</v>
      </c>
      <c r="Q33" s="164" t="s">
        <v>191</v>
      </c>
      <c r="R33" s="163" t="s">
        <v>183</v>
      </c>
    </row>
    <row r="34" spans="2:18" ht="14.25" hidden="1" thickTop="1">
      <c r="B34" s="165">
        <v>0</v>
      </c>
      <c r="C34" s="166" t="s">
        <v>154</v>
      </c>
      <c r="D34" s="166"/>
      <c r="E34" s="167"/>
      <c r="F34" s="173" t="s">
        <v>154</v>
      </c>
      <c r="G34" s="179"/>
      <c r="O34" s="168">
        <v>0</v>
      </c>
      <c r="P34" s="169" t="s">
        <v>154</v>
      </c>
      <c r="Q34" s="169" t="s">
        <v>154</v>
      </c>
      <c r="R34" s="173" t="s">
        <v>154</v>
      </c>
    </row>
    <row r="35" spans="2:18" ht="14.25" thickTop="1">
      <c r="B35" s="170">
        <v>1</v>
      </c>
      <c r="C35" s="136"/>
      <c r="D35" s="21"/>
      <c r="E35" s="57" t="str">
        <f>IF($C35&lt;&gt;"","ALERT_" &amp; UPPER(#REF!) &amp; "_" &amp; $C35,"")</f>
        <v/>
      </c>
      <c r="F35" s="174"/>
      <c r="G35" s="57" t="str">
        <f>IF(E35&lt;&gt;"",LEN(E35),"")</f>
        <v/>
      </c>
      <c r="O35" s="170">
        <v>1</v>
      </c>
      <c r="P35" s="136"/>
      <c r="Q35" s="136"/>
      <c r="R35" s="174"/>
    </row>
    <row r="36" spans="2:18">
      <c r="B36" s="170">
        <v>2</v>
      </c>
      <c r="C36" s="136"/>
      <c r="D36" s="21"/>
      <c r="E36" s="57" t="str">
        <f>IF($C36&lt;&gt;"","ALERT_" &amp; UPPER(#REF!) &amp; "_" &amp; $C36,"")</f>
        <v/>
      </c>
      <c r="F36" s="174"/>
      <c r="G36" s="57" t="str">
        <f>IF(E36&lt;&gt;"",LEN(E36),"")</f>
        <v/>
      </c>
      <c r="O36" s="170">
        <v>2</v>
      </c>
      <c r="P36" s="136"/>
      <c r="Q36" s="136"/>
      <c r="R36" s="174"/>
    </row>
    <row r="37" spans="2:18">
      <c r="B37" s="170">
        <v>3</v>
      </c>
      <c r="C37" s="136"/>
      <c r="D37" s="21"/>
      <c r="E37" s="57" t="str">
        <f>IF($C37&lt;&gt;"","ALERT_" &amp; UPPER(#REF!) &amp; "_" &amp; $C37,"")</f>
        <v/>
      </c>
      <c r="F37" s="174"/>
      <c r="G37" s="57" t="str">
        <f>IF(E37&lt;&gt;"",LEN(E37),"")</f>
        <v/>
      </c>
      <c r="O37" s="170">
        <v>3</v>
      </c>
      <c r="P37" s="136"/>
      <c r="Q37" s="136"/>
      <c r="R37" s="174"/>
    </row>
    <row r="38" spans="2:18">
      <c r="B38" s="170">
        <v>4</v>
      </c>
      <c r="C38" s="136"/>
      <c r="D38" s="21"/>
      <c r="E38" s="57" t="str">
        <f>IF($C38&lt;&gt;"","ALERT_" &amp; UPPER(#REF!) &amp; "_" &amp; $C38,"")</f>
        <v/>
      </c>
      <c r="F38" s="174"/>
      <c r="G38" s="57" t="str">
        <f t="shared" ref="G38:G59" si="1">IF(E38&lt;&gt;"",LEN(E38),"")</f>
        <v/>
      </c>
      <c r="O38" s="170">
        <v>4</v>
      </c>
      <c r="P38" s="136"/>
      <c r="Q38" s="136"/>
      <c r="R38" s="174"/>
    </row>
    <row r="39" spans="2:18">
      <c r="B39" s="170">
        <v>5</v>
      </c>
      <c r="C39" s="136"/>
      <c r="D39" s="21"/>
      <c r="E39" s="57" t="str">
        <f>IF($C39&lt;&gt;"","ALERT_" &amp; UPPER(#REF!) &amp; "_" &amp; $C39,"")</f>
        <v/>
      </c>
      <c r="F39" s="174"/>
      <c r="G39" s="57" t="str">
        <f t="shared" si="1"/>
        <v/>
      </c>
      <c r="O39" s="170">
        <v>5</v>
      </c>
      <c r="P39" s="136"/>
      <c r="Q39" s="136"/>
      <c r="R39" s="174"/>
    </row>
    <row r="40" spans="2:18">
      <c r="B40" s="170">
        <v>6</v>
      </c>
      <c r="C40" s="136"/>
      <c r="D40" s="21"/>
      <c r="E40" s="57" t="str">
        <f>IF($C40&lt;&gt;"","ALERT_" &amp; UPPER(#REF!) &amp; "_" &amp; $C40,"")</f>
        <v/>
      </c>
      <c r="F40" s="174"/>
      <c r="G40" s="57" t="str">
        <f t="shared" si="1"/>
        <v/>
      </c>
      <c r="O40" s="170">
        <v>6</v>
      </c>
      <c r="P40" s="136"/>
      <c r="Q40" s="136"/>
      <c r="R40" s="174"/>
    </row>
    <row r="41" spans="2:18">
      <c r="B41" s="170">
        <v>7</v>
      </c>
      <c r="C41" s="136"/>
      <c r="D41" s="21"/>
      <c r="E41" s="57" t="str">
        <f>IF($C41&lt;&gt;"","ALERT_" &amp; UPPER(#REF!) &amp; "_" &amp; $C41,"")</f>
        <v/>
      </c>
      <c r="F41" s="174"/>
      <c r="G41" s="57" t="str">
        <f t="shared" si="1"/>
        <v/>
      </c>
      <c r="O41" s="170">
        <v>7</v>
      </c>
      <c r="P41" s="136"/>
      <c r="Q41" s="136"/>
      <c r="R41" s="174"/>
    </row>
    <row r="42" spans="2:18">
      <c r="B42" s="170">
        <v>8</v>
      </c>
      <c r="C42" s="136"/>
      <c r="D42" s="21"/>
      <c r="E42" s="57" t="str">
        <f>IF($C42&lt;&gt;"","ALERT_" &amp; UPPER(#REF!) &amp; "_" &amp; $C42,"")</f>
        <v/>
      </c>
      <c r="F42" s="174"/>
      <c r="G42" s="57" t="str">
        <f t="shared" si="1"/>
        <v/>
      </c>
      <c r="O42" s="170">
        <v>8</v>
      </c>
      <c r="P42" s="136"/>
      <c r="Q42" s="136"/>
      <c r="R42" s="174"/>
    </row>
    <row r="43" spans="2:18">
      <c r="B43" s="170">
        <v>9</v>
      </c>
      <c r="C43" s="136"/>
      <c r="D43" s="21"/>
      <c r="E43" s="57" t="str">
        <f>IF($C43&lt;&gt;"","ALERT_" &amp; UPPER(#REF!) &amp; "_" &amp; $C43,"")</f>
        <v/>
      </c>
      <c r="F43" s="174"/>
      <c r="G43" s="57" t="str">
        <f t="shared" si="1"/>
        <v/>
      </c>
      <c r="O43" s="170">
        <v>9</v>
      </c>
      <c r="P43" s="136"/>
      <c r="Q43" s="136"/>
      <c r="R43" s="174"/>
    </row>
    <row r="44" spans="2:18">
      <c r="B44" s="170">
        <v>10</v>
      </c>
      <c r="C44" s="136"/>
      <c r="D44" s="21"/>
      <c r="E44" s="57" t="str">
        <f>IF($C44&lt;&gt;"","ALERT_" &amp; UPPER(#REF!) &amp; "_" &amp; $C44,"")</f>
        <v/>
      </c>
      <c r="F44" s="174"/>
      <c r="G44" s="57" t="str">
        <f t="shared" si="1"/>
        <v/>
      </c>
      <c r="O44" s="170">
        <v>10</v>
      </c>
      <c r="P44" s="136"/>
      <c r="Q44" s="136"/>
      <c r="R44" s="174"/>
    </row>
    <row r="45" spans="2:18">
      <c r="B45" s="170">
        <v>11</v>
      </c>
      <c r="C45" s="136"/>
      <c r="D45" s="21"/>
      <c r="E45" s="57" t="str">
        <f>IF($C45&lt;&gt;"","ALERT_" &amp; UPPER(#REF!) &amp; "_" &amp; $C45,"")</f>
        <v/>
      </c>
      <c r="F45" s="174"/>
      <c r="G45" s="57" t="str">
        <f t="shared" si="1"/>
        <v/>
      </c>
      <c r="O45" s="170">
        <v>11</v>
      </c>
      <c r="P45" s="136"/>
      <c r="Q45" s="136"/>
      <c r="R45" s="174"/>
    </row>
    <row r="46" spans="2:18">
      <c r="B46" s="170">
        <v>12</v>
      </c>
      <c r="C46" s="136"/>
      <c r="D46" s="21"/>
      <c r="E46" s="57" t="str">
        <f>IF($C46&lt;&gt;"","ALERT_" &amp; UPPER(#REF!) &amp; "_" &amp; $C46,"")</f>
        <v/>
      </c>
      <c r="F46" s="174"/>
      <c r="G46" s="57" t="str">
        <f t="shared" si="1"/>
        <v/>
      </c>
      <c r="O46" s="170">
        <v>12</v>
      </c>
      <c r="P46" s="136"/>
      <c r="Q46" s="136"/>
      <c r="R46" s="174"/>
    </row>
    <row r="47" spans="2:18">
      <c r="B47" s="170">
        <v>13</v>
      </c>
      <c r="C47" s="136"/>
      <c r="D47" s="21"/>
      <c r="E47" s="57" t="str">
        <f>IF($C47&lt;&gt;"","ALERT_" &amp; UPPER(#REF!) &amp; "_" &amp; $C47,"")</f>
        <v/>
      </c>
      <c r="F47" s="174"/>
      <c r="G47" s="57" t="str">
        <f t="shared" si="1"/>
        <v/>
      </c>
      <c r="O47" s="170">
        <v>13</v>
      </c>
      <c r="P47" s="136"/>
      <c r="Q47" s="136"/>
      <c r="R47" s="174"/>
    </row>
    <row r="48" spans="2:18">
      <c r="B48" s="170">
        <v>14</v>
      </c>
      <c r="C48" s="136"/>
      <c r="D48" s="21"/>
      <c r="E48" s="57" t="str">
        <f>IF($C48&lt;&gt;"","ALERT_" &amp; UPPER(#REF!) &amp; "_" &amp; $C48,"")</f>
        <v/>
      </c>
      <c r="F48" s="174"/>
      <c r="G48" s="57" t="str">
        <f t="shared" si="1"/>
        <v/>
      </c>
      <c r="O48" s="170">
        <v>14</v>
      </c>
      <c r="P48" s="136"/>
      <c r="Q48" s="136"/>
      <c r="R48" s="174"/>
    </row>
    <row r="49" spans="2:18">
      <c r="B49" s="170">
        <v>15</v>
      </c>
      <c r="C49" s="136"/>
      <c r="D49" s="21"/>
      <c r="E49" s="57" t="str">
        <f>IF($C49&lt;&gt;"","ALERT_" &amp; UPPER(#REF!) &amp; "_" &amp; $C49,"")</f>
        <v/>
      </c>
      <c r="F49" s="174"/>
      <c r="G49" s="57" t="str">
        <f t="shared" si="1"/>
        <v/>
      </c>
      <c r="O49" s="170">
        <v>15</v>
      </c>
      <c r="P49" s="136"/>
      <c r="Q49" s="136"/>
      <c r="R49" s="174"/>
    </row>
    <row r="50" spans="2:18">
      <c r="B50" s="170">
        <v>16</v>
      </c>
      <c r="C50" s="136"/>
      <c r="D50" s="21"/>
      <c r="E50" s="57" t="str">
        <f>IF($C50&lt;&gt;"","ALERT_" &amp; UPPER(#REF!) &amp; "_" &amp; $C50,"")</f>
        <v/>
      </c>
      <c r="F50" s="174"/>
      <c r="G50" s="57" t="str">
        <f t="shared" si="1"/>
        <v/>
      </c>
      <c r="O50" s="170">
        <v>16</v>
      </c>
      <c r="P50" s="136"/>
      <c r="Q50" s="136"/>
      <c r="R50" s="174"/>
    </row>
    <row r="51" spans="2:18">
      <c r="B51" s="170">
        <v>17</v>
      </c>
      <c r="C51" s="136"/>
      <c r="D51" s="21"/>
      <c r="E51" s="57" t="str">
        <f>IF($C51&lt;&gt;"","ALERT_" &amp; UPPER(#REF!) &amp; "_" &amp; $C51,"")</f>
        <v/>
      </c>
      <c r="F51" s="174"/>
      <c r="G51" s="57" t="str">
        <f t="shared" si="1"/>
        <v/>
      </c>
      <c r="O51" s="170">
        <v>17</v>
      </c>
      <c r="P51" s="136"/>
      <c r="Q51" s="136"/>
      <c r="R51" s="174"/>
    </row>
    <row r="52" spans="2:18">
      <c r="B52" s="170">
        <v>18</v>
      </c>
      <c r="C52" s="136"/>
      <c r="D52" s="21"/>
      <c r="E52" s="57" t="str">
        <f>IF($C52&lt;&gt;"","ALERT_" &amp; UPPER(#REF!) &amp; "_" &amp; $C52,"")</f>
        <v/>
      </c>
      <c r="F52" s="174"/>
      <c r="G52" s="57" t="str">
        <f t="shared" si="1"/>
        <v/>
      </c>
      <c r="O52" s="170">
        <v>18</v>
      </c>
      <c r="P52" s="136"/>
      <c r="Q52" s="136"/>
      <c r="R52" s="174"/>
    </row>
    <row r="53" spans="2:18">
      <c r="B53" s="170">
        <v>19</v>
      </c>
      <c r="C53" s="136"/>
      <c r="D53" s="21"/>
      <c r="E53" s="57" t="str">
        <f>IF($C53&lt;&gt;"","ALERT_" &amp; UPPER(#REF!) &amp; "_" &amp; $C53,"")</f>
        <v/>
      </c>
      <c r="F53" s="174"/>
      <c r="G53" s="57" t="str">
        <f t="shared" si="1"/>
        <v/>
      </c>
      <c r="O53" s="170">
        <v>19</v>
      </c>
      <c r="P53" s="136"/>
      <c r="Q53" s="136"/>
      <c r="R53" s="174"/>
    </row>
    <row r="54" spans="2:18">
      <c r="B54" s="170">
        <v>20</v>
      </c>
      <c r="C54" s="136"/>
      <c r="D54" s="21"/>
      <c r="E54" s="57" t="str">
        <f>IF($C54&lt;&gt;"","ALERT_" &amp; UPPER(#REF!) &amp; "_" &amp; $C54,"")</f>
        <v/>
      </c>
      <c r="F54" s="174"/>
      <c r="G54" s="57" t="str">
        <f t="shared" si="1"/>
        <v/>
      </c>
      <c r="O54" s="170">
        <v>20</v>
      </c>
      <c r="P54" s="136"/>
      <c r="Q54" s="136"/>
      <c r="R54" s="174"/>
    </row>
    <row r="55" spans="2:18">
      <c r="B55" s="170">
        <v>21</v>
      </c>
      <c r="C55" s="136"/>
      <c r="D55" s="21"/>
      <c r="E55" s="57" t="str">
        <f>IF($C55&lt;&gt;"","ALERT_" &amp; UPPER(#REF!) &amp; "_" &amp; $C55,"")</f>
        <v/>
      </c>
      <c r="F55" s="174"/>
      <c r="G55" s="57" t="str">
        <f t="shared" si="1"/>
        <v/>
      </c>
      <c r="O55" s="170">
        <v>21</v>
      </c>
      <c r="P55" s="136"/>
      <c r="Q55" s="136"/>
      <c r="R55" s="174"/>
    </row>
    <row r="56" spans="2:18">
      <c r="B56" s="170">
        <v>22</v>
      </c>
      <c r="C56" s="136"/>
      <c r="D56" s="21"/>
      <c r="E56" s="57" t="str">
        <f>IF($C56&lt;&gt;"","ALERT_" &amp; UPPER(#REF!) &amp; "_" &amp; $C56,"")</f>
        <v/>
      </c>
      <c r="F56" s="174"/>
      <c r="G56" s="57" t="str">
        <f t="shared" si="1"/>
        <v/>
      </c>
      <c r="O56" s="170">
        <v>22</v>
      </c>
      <c r="P56" s="136"/>
      <c r="Q56" s="136"/>
      <c r="R56" s="174"/>
    </row>
    <row r="57" spans="2:18">
      <c r="B57" s="170">
        <v>23</v>
      </c>
      <c r="C57" s="136"/>
      <c r="D57" s="21"/>
      <c r="E57" s="57" t="str">
        <f>IF($C57&lt;&gt;"","ALERT_" &amp; UPPER(#REF!) &amp; "_" &amp; $C57,"")</f>
        <v/>
      </c>
      <c r="F57" s="174"/>
      <c r="G57" s="57" t="str">
        <f t="shared" si="1"/>
        <v/>
      </c>
      <c r="O57" s="170">
        <v>23</v>
      </c>
      <c r="P57" s="136"/>
      <c r="Q57" s="136"/>
      <c r="R57" s="174"/>
    </row>
    <row r="58" spans="2:18">
      <c r="B58" s="170">
        <v>24</v>
      </c>
      <c r="C58" s="136"/>
      <c r="D58" s="21"/>
      <c r="E58" s="57" t="str">
        <f>IF($C58&lt;&gt;"","ALERT_" &amp; UPPER(#REF!) &amp; "_" &amp; $C58,"")</f>
        <v/>
      </c>
      <c r="F58" s="174"/>
      <c r="G58" s="57" t="str">
        <f t="shared" si="1"/>
        <v/>
      </c>
      <c r="O58" s="170">
        <v>24</v>
      </c>
      <c r="P58" s="136"/>
      <c r="Q58" s="136"/>
      <c r="R58" s="174"/>
    </row>
    <row r="59" spans="2:18" ht="14.25" thickBot="1">
      <c r="B59" s="172">
        <v>25</v>
      </c>
      <c r="C59" s="134"/>
      <c r="D59" s="43"/>
      <c r="E59" s="58" t="str">
        <f>IF($C59&lt;&gt;"","ALERT_" &amp; UPPER(#REF!) &amp; "_" &amp; $C59,"")</f>
        <v/>
      </c>
      <c r="F59" s="175"/>
      <c r="G59" s="58" t="str">
        <f t="shared" si="1"/>
        <v/>
      </c>
      <c r="O59" s="172">
        <v>25</v>
      </c>
      <c r="P59" s="134"/>
      <c r="Q59" s="134"/>
      <c r="R59" s="175"/>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8.625" customWidth="1"/>
    <col min="7" max="7" width="12.375" customWidth="1"/>
    <col min="8" max="8" width="8.625" customWidth="1"/>
    <col min="9" max="9" width="12.375" customWidth="1"/>
    <col min="10" max="10" width="32"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1" t="s">
        <v>96</v>
      </c>
    </row>
    <row r="2" spans="2:21" ht="14.25" thickBot="1">
      <c r="B2" s="89" t="s">
        <v>54</v>
      </c>
      <c r="C2" s="90" t="s">
        <v>114</v>
      </c>
      <c r="D2" s="91" t="s">
        <v>48</v>
      </c>
      <c r="E2" s="92" t="s">
        <v>49</v>
      </c>
      <c r="F2" s="93" t="s">
        <v>22</v>
      </c>
      <c r="G2" s="92" t="s">
        <v>50</v>
      </c>
      <c r="H2" s="93" t="s">
        <v>24</v>
      </c>
      <c r="I2" s="92" t="s">
        <v>51</v>
      </c>
      <c r="J2" s="93" t="s">
        <v>152</v>
      </c>
      <c r="K2" s="92" t="s">
        <v>52</v>
      </c>
      <c r="L2" s="93" t="s">
        <v>25</v>
      </c>
      <c r="M2" s="90" t="s">
        <v>53</v>
      </c>
      <c r="N2" s="93" t="s">
        <v>109</v>
      </c>
      <c r="O2" s="114" t="s">
        <v>76</v>
      </c>
    </row>
    <row r="3" spans="2:21" ht="15" hidden="1" thickTop="1" thickBot="1">
      <c r="B3" s="22"/>
      <c r="C3" s="40" t="s">
        <v>100</v>
      </c>
      <c r="D3" s="105"/>
      <c r="E3" s="11"/>
      <c r="F3" s="12"/>
      <c r="G3" s="11"/>
      <c r="H3" s="12"/>
      <c r="I3" s="11"/>
      <c r="J3" s="12"/>
      <c r="K3" s="11"/>
      <c r="L3" s="12"/>
      <c r="M3" s="41"/>
      <c r="N3" s="101"/>
      <c r="O3" s="115"/>
      <c r="U3" s="85" t="s">
        <v>90</v>
      </c>
    </row>
    <row r="4" spans="2:21" ht="14.25" thickTop="1">
      <c r="B4" s="22" t="s">
        <v>220</v>
      </c>
      <c r="C4" s="40" t="s">
        <v>221</v>
      </c>
      <c r="D4" s="105">
        <v>0</v>
      </c>
      <c r="E4" s="106" t="s">
        <v>193</v>
      </c>
      <c r="F4" s="107" t="s">
        <v>194</v>
      </c>
      <c r="G4" s="106" t="s">
        <v>193</v>
      </c>
      <c r="H4" s="107" t="s">
        <v>194</v>
      </c>
      <c r="I4" s="106" t="s">
        <v>193</v>
      </c>
      <c r="J4" s="107" t="s">
        <v>249</v>
      </c>
      <c r="K4" s="106" t="s">
        <v>193</v>
      </c>
      <c r="L4" s="107" t="s">
        <v>194</v>
      </c>
      <c r="M4" s="41">
        <f ca="1">LEN(N4)</f>
        <v>30</v>
      </c>
      <c r="N4" s="101" t="str">
        <f ca="1">VLOOKUP($B4,Matrix!$H$13:$I$37,2,FALSE)&amp;"_"&amp;C4</f>
        <v>ALERT_REQ_H_MAICER_PD1_MALFUNC</v>
      </c>
      <c r="O4" s="115" t="str">
        <f t="shared" ref="O4:O35" ca="1" si="0">"#define "&amp;N4&amp;REPT(" ",48-M4)&amp;"("&amp;D4&amp;"U)"</f>
        <v>#define ALERT_REQ_H_MAICER_PD1_MALFUNC                  (0U)</v>
      </c>
      <c r="U4" s="85" t="s">
        <v>90</v>
      </c>
    </row>
    <row r="5" spans="2:21">
      <c r="B5" s="100" t="s">
        <v>222</v>
      </c>
      <c r="C5" s="21" t="s">
        <v>221</v>
      </c>
      <c r="D5" s="108">
        <v>0</v>
      </c>
      <c r="E5" s="176" t="s">
        <v>193</v>
      </c>
      <c r="F5" s="109" t="s">
        <v>194</v>
      </c>
      <c r="G5" s="176" t="s">
        <v>193</v>
      </c>
      <c r="H5" s="109" t="s">
        <v>194</v>
      </c>
      <c r="I5" s="176" t="s">
        <v>193</v>
      </c>
      <c r="J5" s="109" t="s">
        <v>250</v>
      </c>
      <c r="K5" s="176" t="s">
        <v>193</v>
      </c>
      <c r="L5" s="109" t="s">
        <v>194</v>
      </c>
      <c r="M5" s="36">
        <f t="shared" ref="M5:M68" ca="1" si="1">LEN(N5)</f>
        <v>30</v>
      </c>
      <c r="N5" s="101" t="str">
        <f ca="1">VLOOKUP($B5,Matrix!$H$13:$I$37,2,FALSE)&amp;"_"&amp;C5</f>
        <v>ALERT_REQ_H_MAICER_PD2_MALFUNC</v>
      </c>
      <c r="O5" s="116" t="str">
        <f t="shared" ca="1" si="0"/>
        <v>#define ALERT_REQ_H_MAICER_PD2_MALFUNC                  (0U)</v>
      </c>
      <c r="U5" s="83" t="s">
        <v>91</v>
      </c>
    </row>
    <row r="6" spans="2:21">
      <c r="B6" s="22" t="s">
        <v>223</v>
      </c>
      <c r="C6" s="98" t="s">
        <v>221</v>
      </c>
      <c r="D6" s="112">
        <v>0</v>
      </c>
      <c r="E6" s="22" t="s">
        <v>193</v>
      </c>
      <c r="F6" s="109" t="s">
        <v>194</v>
      </c>
      <c r="G6" s="22" t="s">
        <v>193</v>
      </c>
      <c r="H6" s="109" t="s">
        <v>194</v>
      </c>
      <c r="I6" s="22" t="s">
        <v>193</v>
      </c>
      <c r="J6" s="109" t="s">
        <v>251</v>
      </c>
      <c r="K6" s="22" t="s">
        <v>193</v>
      </c>
      <c r="L6" s="109" t="s">
        <v>194</v>
      </c>
      <c r="M6" s="36">
        <f t="shared" ca="1" si="1"/>
        <v>30</v>
      </c>
      <c r="N6" s="101" t="str">
        <f ca="1">VLOOKUP($B6,Matrix!$H$13:$I$37,2,FALSE)&amp;"_"&amp;C6</f>
        <v>ALERT_REQ_H_MAICER_PD3_MALFUNC</v>
      </c>
      <c r="O6" s="116" t="str">
        <f t="shared" ca="1" si="0"/>
        <v>#define ALERT_REQ_H_MAICER_PD3_MALFUNC                  (0U)</v>
      </c>
      <c r="U6" s="25" t="s">
        <v>92</v>
      </c>
    </row>
    <row r="7" spans="2:21">
      <c r="B7" s="100" t="s">
        <v>224</v>
      </c>
      <c r="C7" s="99" t="s">
        <v>221</v>
      </c>
      <c r="D7" s="113">
        <v>0</v>
      </c>
      <c r="E7" s="22" t="s">
        <v>193</v>
      </c>
      <c r="F7" s="109" t="s">
        <v>194</v>
      </c>
      <c r="G7" s="22" t="s">
        <v>193</v>
      </c>
      <c r="H7" s="109" t="s">
        <v>194</v>
      </c>
      <c r="I7" s="22" t="s">
        <v>193</v>
      </c>
      <c r="J7" s="109" t="s">
        <v>252</v>
      </c>
      <c r="K7" s="22" t="s">
        <v>193</v>
      </c>
      <c r="L7" s="109" t="s">
        <v>194</v>
      </c>
      <c r="M7" s="36">
        <f t="shared" ca="1" si="1"/>
        <v>30</v>
      </c>
      <c r="N7" s="101" t="str">
        <f ca="1">VLOOKUP($B7,Matrix!$H$13:$I$37,2,FALSE)&amp;"_"&amp;C7</f>
        <v>ALERT_REQ_H_MAICER_PD4_MALFUNC</v>
      </c>
      <c r="O7" s="116" t="str">
        <f t="shared" ca="1" si="0"/>
        <v>#define ALERT_REQ_H_MAICER_PD4_MALFUNC                  (0U)</v>
      </c>
      <c r="U7" s="25" t="s">
        <v>93</v>
      </c>
    </row>
    <row r="8" spans="2:21">
      <c r="B8" s="100"/>
      <c r="C8" s="99"/>
      <c r="D8" s="113"/>
      <c r="E8" s="22"/>
      <c r="F8" s="109"/>
      <c r="G8" s="22"/>
      <c r="H8" s="109"/>
      <c r="I8" s="22"/>
      <c r="J8" s="109"/>
      <c r="K8" s="22"/>
      <c r="L8" s="109"/>
      <c r="M8" s="36" t="e">
        <f t="shared" ca="1" si="1"/>
        <v>#N/A</v>
      </c>
      <c r="N8" s="101" t="e">
        <f ca="1">VLOOKUP($B8,Matrix!$H$13:$I$37,2,FALSE)&amp;"_"&amp;C8</f>
        <v>#N/A</v>
      </c>
      <c r="O8" s="116" t="e">
        <f t="shared" ca="1" si="0"/>
        <v>#N/A</v>
      </c>
      <c r="U8" s="25" t="s">
        <v>94</v>
      </c>
    </row>
    <row r="9" spans="2:21">
      <c r="B9" s="22"/>
      <c r="C9" s="21"/>
      <c r="D9" s="108"/>
      <c r="E9" s="22"/>
      <c r="F9" s="109"/>
      <c r="G9" s="22"/>
      <c r="H9" s="109"/>
      <c r="I9" s="22"/>
      <c r="J9" s="109"/>
      <c r="K9" s="22"/>
      <c r="L9" s="109"/>
      <c r="M9" s="36" t="e">
        <f t="shared" ca="1" si="1"/>
        <v>#N/A</v>
      </c>
      <c r="N9" s="101" t="e">
        <f ca="1">VLOOKUP($B9,Matrix!$H$13:$I$37,2,FALSE)&amp;"_"&amp;C9</f>
        <v>#N/A</v>
      </c>
      <c r="O9" s="116" t="e">
        <f t="shared" ca="1" si="0"/>
        <v>#N/A</v>
      </c>
      <c r="U9" s="25" t="s">
        <v>95</v>
      </c>
    </row>
    <row r="10" spans="2:21">
      <c r="B10" s="22"/>
      <c r="C10" s="21"/>
      <c r="D10" s="108"/>
      <c r="E10" s="22"/>
      <c r="F10" s="109"/>
      <c r="G10" s="22"/>
      <c r="H10" s="109"/>
      <c r="I10" s="22"/>
      <c r="J10" s="109"/>
      <c r="K10" s="22"/>
      <c r="L10" s="109"/>
      <c r="M10" s="36" t="e">
        <f t="shared" ca="1" si="1"/>
        <v>#N/A</v>
      </c>
      <c r="N10" s="101" t="e">
        <f ca="1">VLOOKUP($B10,Matrix!$H$13:$I$37,2,FALSE)&amp;"_"&amp;C10</f>
        <v>#N/A</v>
      </c>
      <c r="O10" s="116" t="e">
        <f t="shared" ca="1" si="0"/>
        <v>#N/A</v>
      </c>
      <c r="U10" s="25"/>
    </row>
    <row r="11" spans="2:21">
      <c r="B11" s="22"/>
      <c r="C11" s="21"/>
      <c r="D11" s="108"/>
      <c r="E11" s="22"/>
      <c r="F11" s="109"/>
      <c r="G11" s="22"/>
      <c r="H11" s="109"/>
      <c r="I11" s="22"/>
      <c r="J11" s="109"/>
      <c r="K11" s="22"/>
      <c r="L11" s="109"/>
      <c r="M11" s="36" t="e">
        <f t="shared" ca="1" si="1"/>
        <v>#N/A</v>
      </c>
      <c r="N11" s="101" t="e">
        <f ca="1">VLOOKUP($B11,Matrix!$H$13:$I$37,2,FALSE)&amp;"_"&amp;C11</f>
        <v>#N/A</v>
      </c>
      <c r="O11" s="116" t="e">
        <f t="shared" ca="1" si="0"/>
        <v>#N/A</v>
      </c>
      <c r="U11" s="25"/>
    </row>
    <row r="12" spans="2:21">
      <c r="B12" s="22"/>
      <c r="C12" s="21"/>
      <c r="D12" s="108"/>
      <c r="E12" s="22"/>
      <c r="F12" s="109"/>
      <c r="G12" s="22"/>
      <c r="H12" s="109"/>
      <c r="I12" s="22"/>
      <c r="J12" s="109"/>
      <c r="K12" s="22"/>
      <c r="L12" s="109"/>
      <c r="M12" s="36" t="e">
        <f t="shared" ca="1" si="1"/>
        <v>#N/A</v>
      </c>
      <c r="N12" s="101" t="e">
        <f ca="1">VLOOKUP($B12,Matrix!$H$13:$I$37,2,FALSE)&amp;"_"&amp;C12</f>
        <v>#N/A</v>
      </c>
      <c r="O12" s="116" t="e">
        <f t="shared" ca="1" si="0"/>
        <v>#N/A</v>
      </c>
      <c r="U12" s="25"/>
    </row>
    <row r="13" spans="2:21" ht="14.25" thickBot="1">
      <c r="B13" s="22"/>
      <c r="C13" s="21"/>
      <c r="D13" s="108"/>
      <c r="E13" s="22"/>
      <c r="F13" s="109"/>
      <c r="G13" s="22"/>
      <c r="H13" s="109"/>
      <c r="I13" s="22"/>
      <c r="J13" s="109"/>
      <c r="K13" s="22"/>
      <c r="L13" s="109"/>
      <c r="M13" s="36" t="e">
        <f t="shared" ca="1" si="1"/>
        <v>#N/A</v>
      </c>
      <c r="N13" s="101" t="e">
        <f ca="1">VLOOKUP($B13,Matrix!$H$13:$I$37,2,FALSE)&amp;"_"&amp;C13</f>
        <v>#N/A</v>
      </c>
      <c r="O13" s="116" t="e">
        <f t="shared" ca="1" si="0"/>
        <v>#N/A</v>
      </c>
      <c r="U13" s="84"/>
    </row>
    <row r="14" spans="2:21">
      <c r="B14" s="22"/>
      <c r="C14" s="21"/>
      <c r="D14" s="108"/>
      <c r="E14" s="22"/>
      <c r="F14" s="109"/>
      <c r="G14" s="22"/>
      <c r="H14" s="109"/>
      <c r="I14" s="22"/>
      <c r="J14" s="109"/>
      <c r="K14" s="22"/>
      <c r="L14" s="109"/>
      <c r="M14" s="36" t="e">
        <f t="shared" ca="1" si="1"/>
        <v>#N/A</v>
      </c>
      <c r="N14" s="101" t="e">
        <f ca="1">VLOOKUP($B14,Matrix!$H$13:$I$37,2,FALSE)&amp;"_"&amp;C14</f>
        <v>#N/A</v>
      </c>
      <c r="O14" s="116" t="e">
        <f t="shared" ca="1" si="0"/>
        <v>#N/A</v>
      </c>
    </row>
    <row r="15" spans="2:21">
      <c r="B15" s="22"/>
      <c r="C15" s="21"/>
      <c r="D15" s="108"/>
      <c r="E15" s="22"/>
      <c r="F15" s="109"/>
      <c r="G15" s="22"/>
      <c r="H15" s="109"/>
      <c r="I15" s="22"/>
      <c r="J15" s="109"/>
      <c r="K15" s="22"/>
      <c r="L15" s="109"/>
      <c r="M15" s="36" t="e">
        <f t="shared" ca="1" si="1"/>
        <v>#N/A</v>
      </c>
      <c r="N15" s="101" t="e">
        <f ca="1">VLOOKUP($B15,Matrix!$H$13:$I$37,2,FALSE)&amp;"_"&amp;C15</f>
        <v>#N/A</v>
      </c>
      <c r="O15" s="116" t="e">
        <f t="shared" ca="1" si="0"/>
        <v>#N/A</v>
      </c>
    </row>
    <row r="16" spans="2:21">
      <c r="B16" s="22"/>
      <c r="C16" s="21"/>
      <c r="D16" s="108"/>
      <c r="E16" s="22"/>
      <c r="F16" s="109"/>
      <c r="G16" s="22"/>
      <c r="H16" s="109"/>
      <c r="I16" s="22"/>
      <c r="J16" s="109"/>
      <c r="K16" s="22"/>
      <c r="L16" s="109"/>
      <c r="M16" s="36" t="e">
        <f t="shared" ca="1" si="1"/>
        <v>#N/A</v>
      </c>
      <c r="N16" s="101" t="e">
        <f ca="1">VLOOKUP($B16,Matrix!$H$13:$I$37,2,FALSE)&amp;"_"&amp;C16</f>
        <v>#N/A</v>
      </c>
      <c r="O16" s="116" t="e">
        <f t="shared" ca="1" si="0"/>
        <v>#N/A</v>
      </c>
    </row>
    <row r="17" spans="2:15">
      <c r="B17" s="22"/>
      <c r="C17" s="21"/>
      <c r="D17" s="108"/>
      <c r="E17" s="22"/>
      <c r="F17" s="109"/>
      <c r="G17" s="22"/>
      <c r="H17" s="109"/>
      <c r="I17" s="22"/>
      <c r="J17" s="109"/>
      <c r="K17" s="22"/>
      <c r="L17" s="109"/>
      <c r="M17" s="36" t="e">
        <f t="shared" ca="1" si="1"/>
        <v>#N/A</v>
      </c>
      <c r="N17" s="101" t="e">
        <f ca="1">VLOOKUP($B17,Matrix!$H$13:$I$37,2,FALSE)&amp;"_"&amp;C17</f>
        <v>#N/A</v>
      </c>
      <c r="O17" s="116" t="e">
        <f t="shared" ca="1" si="0"/>
        <v>#N/A</v>
      </c>
    </row>
    <row r="18" spans="2:15">
      <c r="B18" s="22"/>
      <c r="C18" s="21"/>
      <c r="D18" s="108"/>
      <c r="E18" s="22"/>
      <c r="F18" s="109"/>
      <c r="G18" s="22"/>
      <c r="H18" s="109"/>
      <c r="I18" s="22"/>
      <c r="J18" s="109"/>
      <c r="K18" s="22"/>
      <c r="L18" s="109"/>
      <c r="M18" s="36" t="e">
        <f t="shared" ca="1" si="1"/>
        <v>#N/A</v>
      </c>
      <c r="N18" s="101" t="e">
        <f ca="1">VLOOKUP($B18,Matrix!$H$13:$I$37,2,FALSE)&amp;"_"&amp;C18</f>
        <v>#N/A</v>
      </c>
      <c r="O18" s="116" t="e">
        <f t="shared" ca="1" si="0"/>
        <v>#N/A</v>
      </c>
    </row>
    <row r="19" spans="2:15">
      <c r="B19" s="22"/>
      <c r="C19" s="21"/>
      <c r="D19" s="108"/>
      <c r="E19" s="22"/>
      <c r="F19" s="109"/>
      <c r="G19" s="22"/>
      <c r="H19" s="109"/>
      <c r="I19" s="22"/>
      <c r="J19" s="109"/>
      <c r="K19" s="22"/>
      <c r="L19" s="109"/>
      <c r="M19" s="36" t="e">
        <f t="shared" ca="1" si="1"/>
        <v>#N/A</v>
      </c>
      <c r="N19" s="101" t="e">
        <f ca="1">VLOOKUP($B19,Matrix!$H$13:$I$37,2,FALSE)&amp;"_"&amp;C19</f>
        <v>#N/A</v>
      </c>
      <c r="O19" s="116" t="e">
        <f t="shared" ca="1" si="0"/>
        <v>#N/A</v>
      </c>
    </row>
    <row r="20" spans="2:15">
      <c r="B20" s="22"/>
      <c r="C20" s="21"/>
      <c r="D20" s="108"/>
      <c r="E20" s="22"/>
      <c r="F20" s="109"/>
      <c r="G20" s="22"/>
      <c r="H20" s="109"/>
      <c r="I20" s="22"/>
      <c r="J20" s="109"/>
      <c r="K20" s="22"/>
      <c r="L20" s="109"/>
      <c r="M20" s="36" t="e">
        <f t="shared" ca="1" si="1"/>
        <v>#N/A</v>
      </c>
      <c r="N20" s="101" t="e">
        <f ca="1">VLOOKUP($B20,Matrix!$H$13:$I$37,2,FALSE)&amp;"_"&amp;C20</f>
        <v>#N/A</v>
      </c>
      <c r="O20" s="116" t="e">
        <f t="shared" ca="1" si="0"/>
        <v>#N/A</v>
      </c>
    </row>
    <row r="21" spans="2:15">
      <c r="B21" s="22"/>
      <c r="C21" s="21"/>
      <c r="D21" s="108"/>
      <c r="E21" s="22"/>
      <c r="F21" s="109"/>
      <c r="G21" s="22"/>
      <c r="H21" s="109"/>
      <c r="I21" s="22"/>
      <c r="J21" s="109"/>
      <c r="K21" s="22"/>
      <c r="L21" s="109"/>
      <c r="M21" s="36" t="e">
        <f t="shared" ca="1" si="1"/>
        <v>#N/A</v>
      </c>
      <c r="N21" s="101" t="e">
        <f ca="1">VLOOKUP($B21,Matrix!$H$13:$I$37,2,FALSE)&amp;"_"&amp;C21</f>
        <v>#N/A</v>
      </c>
      <c r="O21" s="116" t="e">
        <f t="shared" ca="1" si="0"/>
        <v>#N/A</v>
      </c>
    </row>
    <row r="22" spans="2:15">
      <c r="B22" s="22"/>
      <c r="C22" s="21"/>
      <c r="D22" s="108"/>
      <c r="E22" s="22"/>
      <c r="F22" s="109"/>
      <c r="G22" s="22"/>
      <c r="H22" s="109"/>
      <c r="I22" s="22"/>
      <c r="J22" s="109"/>
      <c r="K22" s="22"/>
      <c r="L22" s="109"/>
      <c r="M22" s="36" t="e">
        <f t="shared" ca="1" si="1"/>
        <v>#N/A</v>
      </c>
      <c r="N22" s="101" t="e">
        <f ca="1">VLOOKUP($B22,Matrix!$H$13:$I$37,2,FALSE)&amp;"_"&amp;C22</f>
        <v>#N/A</v>
      </c>
      <c r="O22" s="116" t="e">
        <f t="shared" ca="1" si="0"/>
        <v>#N/A</v>
      </c>
    </row>
    <row r="23" spans="2:15">
      <c r="B23" s="22"/>
      <c r="C23" s="21"/>
      <c r="D23" s="108"/>
      <c r="E23" s="22"/>
      <c r="F23" s="109"/>
      <c r="G23" s="22"/>
      <c r="H23" s="109"/>
      <c r="I23" s="22"/>
      <c r="J23" s="109"/>
      <c r="K23" s="22"/>
      <c r="L23" s="109"/>
      <c r="M23" s="36" t="e">
        <f t="shared" ca="1" si="1"/>
        <v>#N/A</v>
      </c>
      <c r="N23" s="101" t="e">
        <f ca="1">VLOOKUP($B23,Matrix!$H$13:$I$37,2,FALSE)&amp;"_"&amp;C23</f>
        <v>#N/A</v>
      </c>
      <c r="O23" s="116" t="e">
        <f t="shared" ca="1" si="0"/>
        <v>#N/A</v>
      </c>
    </row>
    <row r="24" spans="2:15">
      <c r="B24" s="22"/>
      <c r="C24" s="21"/>
      <c r="D24" s="108"/>
      <c r="E24" s="22"/>
      <c r="F24" s="109"/>
      <c r="G24" s="22"/>
      <c r="H24" s="109"/>
      <c r="I24" s="22"/>
      <c r="J24" s="109"/>
      <c r="K24" s="22"/>
      <c r="L24" s="109"/>
      <c r="M24" s="36" t="e">
        <f t="shared" ca="1" si="1"/>
        <v>#N/A</v>
      </c>
      <c r="N24" s="101" t="e">
        <f ca="1">VLOOKUP($B24,Matrix!$H$13:$I$37,2,FALSE)&amp;"_"&amp;C24</f>
        <v>#N/A</v>
      </c>
      <c r="O24" s="116" t="e">
        <f t="shared" ca="1" si="0"/>
        <v>#N/A</v>
      </c>
    </row>
    <row r="25" spans="2:15">
      <c r="B25" s="22"/>
      <c r="C25" s="21"/>
      <c r="D25" s="108"/>
      <c r="E25" s="22"/>
      <c r="F25" s="109"/>
      <c r="G25" s="22"/>
      <c r="H25" s="109"/>
      <c r="I25" s="22"/>
      <c r="J25" s="109"/>
      <c r="K25" s="22"/>
      <c r="L25" s="109"/>
      <c r="M25" s="36" t="e">
        <f t="shared" ca="1" si="1"/>
        <v>#N/A</v>
      </c>
      <c r="N25" s="101" t="e">
        <f ca="1">VLOOKUP($B25,Matrix!$H$13:$I$37,2,FALSE)&amp;"_"&amp;C25</f>
        <v>#N/A</v>
      </c>
      <c r="O25" s="116" t="e">
        <f t="shared" ca="1" si="0"/>
        <v>#N/A</v>
      </c>
    </row>
    <row r="26" spans="2:15">
      <c r="B26" s="22"/>
      <c r="C26" s="21"/>
      <c r="D26" s="108"/>
      <c r="E26" s="22"/>
      <c r="F26" s="109"/>
      <c r="G26" s="22"/>
      <c r="H26" s="109"/>
      <c r="I26" s="22"/>
      <c r="J26" s="109"/>
      <c r="K26" s="22"/>
      <c r="L26" s="109"/>
      <c r="M26" s="36" t="e">
        <f t="shared" ca="1" si="1"/>
        <v>#N/A</v>
      </c>
      <c r="N26" s="101" t="e">
        <f ca="1">VLOOKUP($B26,Matrix!$H$13:$I$37,2,FALSE)&amp;"_"&amp;C26</f>
        <v>#N/A</v>
      </c>
      <c r="O26" s="116" t="e">
        <f t="shared" ca="1" si="0"/>
        <v>#N/A</v>
      </c>
    </row>
    <row r="27" spans="2:15">
      <c r="B27" s="22"/>
      <c r="C27" s="21"/>
      <c r="D27" s="108"/>
      <c r="E27" s="22"/>
      <c r="F27" s="109"/>
      <c r="G27" s="22"/>
      <c r="H27" s="109"/>
      <c r="I27" s="22"/>
      <c r="J27" s="109"/>
      <c r="K27" s="22"/>
      <c r="L27" s="109"/>
      <c r="M27" s="36" t="e">
        <f t="shared" ca="1" si="1"/>
        <v>#N/A</v>
      </c>
      <c r="N27" s="101" t="e">
        <f ca="1">VLOOKUP($B27,Matrix!$H$13:$I$37,2,FALSE)&amp;"_"&amp;C27</f>
        <v>#N/A</v>
      </c>
      <c r="O27" s="116" t="e">
        <f t="shared" ca="1" si="0"/>
        <v>#N/A</v>
      </c>
    </row>
    <row r="28" spans="2:15">
      <c r="B28" s="22"/>
      <c r="C28" s="21"/>
      <c r="D28" s="108"/>
      <c r="E28" s="22"/>
      <c r="F28" s="109"/>
      <c r="G28" s="22"/>
      <c r="H28" s="109"/>
      <c r="I28" s="22"/>
      <c r="J28" s="109"/>
      <c r="K28" s="22"/>
      <c r="L28" s="109"/>
      <c r="M28" s="36" t="e">
        <f t="shared" ca="1" si="1"/>
        <v>#N/A</v>
      </c>
      <c r="N28" s="101" t="e">
        <f ca="1">VLOOKUP($B28,Matrix!$H$13:$I$37,2,FALSE)&amp;"_"&amp;C28</f>
        <v>#N/A</v>
      </c>
      <c r="O28" s="116" t="e">
        <f t="shared" ca="1" si="0"/>
        <v>#N/A</v>
      </c>
    </row>
    <row r="29" spans="2:15">
      <c r="B29" s="22"/>
      <c r="C29" s="21"/>
      <c r="D29" s="108"/>
      <c r="E29" s="22"/>
      <c r="F29" s="109"/>
      <c r="G29" s="22"/>
      <c r="H29" s="109"/>
      <c r="I29" s="22"/>
      <c r="J29" s="109"/>
      <c r="K29" s="22"/>
      <c r="L29" s="109"/>
      <c r="M29" s="36" t="e">
        <f t="shared" ca="1" si="1"/>
        <v>#N/A</v>
      </c>
      <c r="N29" s="101" t="e">
        <f ca="1">VLOOKUP($B29,Matrix!$H$13:$I$37,2,FALSE)&amp;"_"&amp;C29</f>
        <v>#N/A</v>
      </c>
      <c r="O29" s="116" t="e">
        <f t="shared" ca="1" si="0"/>
        <v>#N/A</v>
      </c>
    </row>
    <row r="30" spans="2:15">
      <c r="B30" s="22"/>
      <c r="C30" s="21"/>
      <c r="D30" s="108"/>
      <c r="E30" s="22"/>
      <c r="F30" s="109"/>
      <c r="G30" s="22"/>
      <c r="H30" s="109"/>
      <c r="I30" s="22"/>
      <c r="J30" s="109"/>
      <c r="K30" s="22"/>
      <c r="L30" s="109"/>
      <c r="M30" s="36" t="e">
        <f t="shared" ca="1" si="1"/>
        <v>#N/A</v>
      </c>
      <c r="N30" s="101" t="e">
        <f ca="1">VLOOKUP($B30,Matrix!$H$13:$I$37,2,FALSE)&amp;"_"&amp;C30</f>
        <v>#N/A</v>
      </c>
      <c r="O30" s="116" t="e">
        <f t="shared" ca="1" si="0"/>
        <v>#N/A</v>
      </c>
    </row>
    <row r="31" spans="2:15">
      <c r="B31" s="22"/>
      <c r="C31" s="21"/>
      <c r="D31" s="108"/>
      <c r="E31" s="22"/>
      <c r="F31" s="109"/>
      <c r="G31" s="22"/>
      <c r="H31" s="109"/>
      <c r="I31" s="22"/>
      <c r="J31" s="109"/>
      <c r="K31" s="22"/>
      <c r="L31" s="109"/>
      <c r="M31" s="36" t="e">
        <f t="shared" ca="1" si="1"/>
        <v>#N/A</v>
      </c>
      <c r="N31" s="101" t="e">
        <f ca="1">VLOOKUP($B31,Matrix!$H$13:$I$37,2,FALSE)&amp;"_"&amp;C31</f>
        <v>#N/A</v>
      </c>
      <c r="O31" s="116" t="e">
        <f t="shared" ca="1" si="0"/>
        <v>#N/A</v>
      </c>
    </row>
    <row r="32" spans="2:15">
      <c r="B32" s="22"/>
      <c r="C32" s="21"/>
      <c r="D32" s="108"/>
      <c r="E32" s="22"/>
      <c r="F32" s="109"/>
      <c r="G32" s="22"/>
      <c r="H32" s="109"/>
      <c r="I32" s="22"/>
      <c r="J32" s="109"/>
      <c r="K32" s="22"/>
      <c r="L32" s="109"/>
      <c r="M32" s="36" t="e">
        <f t="shared" ca="1" si="1"/>
        <v>#N/A</v>
      </c>
      <c r="N32" s="101" t="e">
        <f ca="1">VLOOKUP($B32,Matrix!$H$13:$I$37,2,FALSE)&amp;"_"&amp;C32</f>
        <v>#N/A</v>
      </c>
      <c r="O32" s="116" t="e">
        <f t="shared" ca="1" si="0"/>
        <v>#N/A</v>
      </c>
    </row>
    <row r="33" spans="2:15">
      <c r="B33" s="22"/>
      <c r="C33" s="21"/>
      <c r="D33" s="108"/>
      <c r="E33" s="22"/>
      <c r="F33" s="109"/>
      <c r="G33" s="22"/>
      <c r="H33" s="109"/>
      <c r="I33" s="22"/>
      <c r="J33" s="109"/>
      <c r="K33" s="22"/>
      <c r="L33" s="109"/>
      <c r="M33" s="36" t="e">
        <f t="shared" ca="1" si="1"/>
        <v>#N/A</v>
      </c>
      <c r="N33" s="101" t="e">
        <f ca="1">VLOOKUP($B33,Matrix!$H$13:$I$37,2,FALSE)&amp;"_"&amp;C33</f>
        <v>#N/A</v>
      </c>
      <c r="O33" s="116" t="e">
        <f t="shared" ca="1" si="0"/>
        <v>#N/A</v>
      </c>
    </row>
    <row r="34" spans="2:15">
      <c r="B34" s="22"/>
      <c r="C34" s="21"/>
      <c r="D34" s="108"/>
      <c r="E34" s="22"/>
      <c r="F34" s="109"/>
      <c r="G34" s="22"/>
      <c r="H34" s="109"/>
      <c r="I34" s="22"/>
      <c r="J34" s="109"/>
      <c r="K34" s="22"/>
      <c r="L34" s="109"/>
      <c r="M34" s="36" t="e">
        <f t="shared" ca="1" si="1"/>
        <v>#N/A</v>
      </c>
      <c r="N34" s="101" t="e">
        <f ca="1">VLOOKUP($B34,Matrix!$H$13:$I$37,2,FALSE)&amp;"_"&amp;C34</f>
        <v>#N/A</v>
      </c>
      <c r="O34" s="116" t="e">
        <f t="shared" ca="1" si="0"/>
        <v>#N/A</v>
      </c>
    </row>
    <row r="35" spans="2:15">
      <c r="B35" s="22"/>
      <c r="C35" s="21"/>
      <c r="D35" s="108"/>
      <c r="E35" s="22"/>
      <c r="F35" s="109"/>
      <c r="G35" s="22"/>
      <c r="H35" s="109"/>
      <c r="I35" s="22"/>
      <c r="J35" s="109"/>
      <c r="K35" s="22"/>
      <c r="L35" s="109"/>
      <c r="M35" s="36" t="e">
        <f t="shared" ca="1" si="1"/>
        <v>#N/A</v>
      </c>
      <c r="N35" s="101" t="e">
        <f ca="1">VLOOKUP($B35,Matrix!$H$13:$I$37,2,FALSE)&amp;"_"&amp;C35</f>
        <v>#N/A</v>
      </c>
      <c r="O35" s="116" t="e">
        <f t="shared" ca="1" si="0"/>
        <v>#N/A</v>
      </c>
    </row>
    <row r="36" spans="2:15">
      <c r="B36" s="22"/>
      <c r="C36" s="21"/>
      <c r="D36" s="108"/>
      <c r="E36" s="22"/>
      <c r="F36" s="109"/>
      <c r="G36" s="22"/>
      <c r="H36" s="109"/>
      <c r="I36" s="22"/>
      <c r="J36" s="109"/>
      <c r="K36" s="22"/>
      <c r="L36" s="109"/>
      <c r="M36" s="36" t="e">
        <f t="shared" ca="1" si="1"/>
        <v>#N/A</v>
      </c>
      <c r="N36" s="101" t="e">
        <f ca="1">VLOOKUP($B36,Matrix!$H$13:$I$37,2,FALSE)&amp;"_"&amp;C36</f>
        <v>#N/A</v>
      </c>
      <c r="O36" s="116" t="e">
        <f t="shared" ref="O36:O67" ca="1" si="2">"#define "&amp;N36&amp;REPT(" ",48-M36)&amp;"("&amp;D36&amp;"U)"</f>
        <v>#N/A</v>
      </c>
    </row>
    <row r="37" spans="2:15">
      <c r="B37" s="22"/>
      <c r="C37" s="21"/>
      <c r="D37" s="108"/>
      <c r="E37" s="22"/>
      <c r="F37" s="109"/>
      <c r="G37" s="22"/>
      <c r="H37" s="109"/>
      <c r="I37" s="22"/>
      <c r="J37" s="109"/>
      <c r="K37" s="22"/>
      <c r="L37" s="109"/>
      <c r="M37" s="36" t="e">
        <f t="shared" ca="1" si="1"/>
        <v>#N/A</v>
      </c>
      <c r="N37" s="101" t="e">
        <f ca="1">VLOOKUP($B37,Matrix!$H$13:$I$37,2,FALSE)&amp;"_"&amp;C37</f>
        <v>#N/A</v>
      </c>
      <c r="O37" s="116" t="e">
        <f t="shared" ca="1" si="2"/>
        <v>#N/A</v>
      </c>
    </row>
    <row r="38" spans="2:15">
      <c r="B38" s="22"/>
      <c r="C38" s="21"/>
      <c r="D38" s="108"/>
      <c r="E38" s="22"/>
      <c r="F38" s="109"/>
      <c r="G38" s="22"/>
      <c r="H38" s="109"/>
      <c r="I38" s="22"/>
      <c r="J38" s="109"/>
      <c r="K38" s="22"/>
      <c r="L38" s="109"/>
      <c r="M38" s="36" t="e">
        <f t="shared" ca="1" si="1"/>
        <v>#N/A</v>
      </c>
      <c r="N38" s="101" t="e">
        <f ca="1">VLOOKUP($B38,Matrix!$H$13:$I$37,2,FALSE)&amp;"_"&amp;C38</f>
        <v>#N/A</v>
      </c>
      <c r="O38" s="116" t="e">
        <f t="shared" ca="1" si="2"/>
        <v>#N/A</v>
      </c>
    </row>
    <row r="39" spans="2:15">
      <c r="B39" s="22"/>
      <c r="C39" s="21"/>
      <c r="D39" s="108"/>
      <c r="E39" s="22"/>
      <c r="F39" s="109"/>
      <c r="G39" s="22"/>
      <c r="H39" s="109"/>
      <c r="I39" s="22"/>
      <c r="J39" s="109"/>
      <c r="K39" s="22"/>
      <c r="L39" s="109"/>
      <c r="M39" s="36" t="e">
        <f t="shared" ca="1" si="1"/>
        <v>#N/A</v>
      </c>
      <c r="N39" s="101" t="e">
        <f ca="1">VLOOKUP($B39,Matrix!$H$13:$I$37,2,FALSE)&amp;"_"&amp;C39</f>
        <v>#N/A</v>
      </c>
      <c r="O39" s="116" t="e">
        <f t="shared" ca="1" si="2"/>
        <v>#N/A</v>
      </c>
    </row>
    <row r="40" spans="2:15">
      <c r="B40" s="22"/>
      <c r="C40" s="21"/>
      <c r="D40" s="108"/>
      <c r="E40" s="22"/>
      <c r="F40" s="109"/>
      <c r="G40" s="22"/>
      <c r="H40" s="109"/>
      <c r="I40" s="22"/>
      <c r="J40" s="109"/>
      <c r="K40" s="22"/>
      <c r="L40" s="109"/>
      <c r="M40" s="36" t="e">
        <f t="shared" ca="1" si="1"/>
        <v>#N/A</v>
      </c>
      <c r="N40" s="101" t="e">
        <f ca="1">VLOOKUP($B40,Matrix!$H$13:$I$37,2,FALSE)&amp;"_"&amp;C40</f>
        <v>#N/A</v>
      </c>
      <c r="O40" s="116" t="e">
        <f t="shared" ca="1" si="2"/>
        <v>#N/A</v>
      </c>
    </row>
    <row r="41" spans="2:15">
      <c r="B41" s="22"/>
      <c r="C41" s="21"/>
      <c r="D41" s="108"/>
      <c r="E41" s="22"/>
      <c r="F41" s="109"/>
      <c r="G41" s="22"/>
      <c r="H41" s="109"/>
      <c r="I41" s="22"/>
      <c r="J41" s="109"/>
      <c r="K41" s="22"/>
      <c r="L41" s="109"/>
      <c r="M41" s="36" t="e">
        <f t="shared" ca="1" si="1"/>
        <v>#N/A</v>
      </c>
      <c r="N41" s="101" t="e">
        <f ca="1">VLOOKUP($B41,Matrix!$H$13:$I$37,2,FALSE)&amp;"_"&amp;C41</f>
        <v>#N/A</v>
      </c>
      <c r="O41" s="116" t="e">
        <f t="shared" ca="1" si="2"/>
        <v>#N/A</v>
      </c>
    </row>
    <row r="42" spans="2:15">
      <c r="B42" s="22"/>
      <c r="C42" s="21"/>
      <c r="D42" s="108"/>
      <c r="E42" s="22"/>
      <c r="F42" s="109"/>
      <c r="G42" s="22"/>
      <c r="H42" s="109"/>
      <c r="I42" s="22"/>
      <c r="J42" s="109"/>
      <c r="K42" s="22"/>
      <c r="L42" s="109"/>
      <c r="M42" s="36" t="e">
        <f t="shared" ca="1" si="1"/>
        <v>#N/A</v>
      </c>
      <c r="N42" s="101" t="e">
        <f ca="1">VLOOKUP($B42,Matrix!$H$13:$I$37,2,FALSE)&amp;"_"&amp;C42</f>
        <v>#N/A</v>
      </c>
      <c r="O42" s="116" t="e">
        <f t="shared" ca="1" si="2"/>
        <v>#N/A</v>
      </c>
    </row>
    <row r="43" spans="2:15">
      <c r="B43" s="22"/>
      <c r="C43" s="21"/>
      <c r="D43" s="108"/>
      <c r="E43" s="22"/>
      <c r="F43" s="109"/>
      <c r="G43" s="22"/>
      <c r="H43" s="109"/>
      <c r="I43" s="22"/>
      <c r="J43" s="109"/>
      <c r="K43" s="22"/>
      <c r="L43" s="109"/>
      <c r="M43" s="36" t="e">
        <f t="shared" ca="1" si="1"/>
        <v>#N/A</v>
      </c>
      <c r="N43" s="101" t="e">
        <f ca="1">VLOOKUP($B43,Matrix!$H$13:$I$37,2,FALSE)&amp;"_"&amp;C43</f>
        <v>#N/A</v>
      </c>
      <c r="O43" s="116" t="e">
        <f t="shared" ca="1" si="2"/>
        <v>#N/A</v>
      </c>
    </row>
    <row r="44" spans="2:15">
      <c r="B44" s="22"/>
      <c r="C44" s="21"/>
      <c r="D44" s="108"/>
      <c r="E44" s="22"/>
      <c r="F44" s="109"/>
      <c r="G44" s="22"/>
      <c r="H44" s="109"/>
      <c r="I44" s="22"/>
      <c r="J44" s="109"/>
      <c r="K44" s="22"/>
      <c r="L44" s="109"/>
      <c r="M44" s="36" t="e">
        <f t="shared" ca="1" si="1"/>
        <v>#N/A</v>
      </c>
      <c r="N44" s="101" t="e">
        <f ca="1">VLOOKUP($B44,Matrix!$H$13:$I$37,2,FALSE)&amp;"_"&amp;C44</f>
        <v>#N/A</v>
      </c>
      <c r="O44" s="116" t="e">
        <f t="shared" ca="1" si="2"/>
        <v>#N/A</v>
      </c>
    </row>
    <row r="45" spans="2:15">
      <c r="B45" s="22"/>
      <c r="C45" s="21"/>
      <c r="D45" s="108"/>
      <c r="E45" s="22"/>
      <c r="F45" s="109"/>
      <c r="G45" s="22"/>
      <c r="H45" s="109"/>
      <c r="I45" s="22"/>
      <c r="J45" s="109"/>
      <c r="K45" s="22"/>
      <c r="L45" s="109"/>
      <c r="M45" s="36" t="e">
        <f t="shared" ca="1" si="1"/>
        <v>#N/A</v>
      </c>
      <c r="N45" s="101" t="e">
        <f ca="1">VLOOKUP($B45,Matrix!$H$13:$I$37,2,FALSE)&amp;"_"&amp;C45</f>
        <v>#N/A</v>
      </c>
      <c r="O45" s="116" t="e">
        <f t="shared" ca="1" si="2"/>
        <v>#N/A</v>
      </c>
    </row>
    <row r="46" spans="2:15">
      <c r="B46" s="22"/>
      <c r="C46" s="21"/>
      <c r="D46" s="108"/>
      <c r="E46" s="22"/>
      <c r="F46" s="109"/>
      <c r="G46" s="22"/>
      <c r="H46" s="109"/>
      <c r="I46" s="22"/>
      <c r="J46" s="109"/>
      <c r="K46" s="22"/>
      <c r="L46" s="109"/>
      <c r="M46" s="36" t="e">
        <f t="shared" ca="1" si="1"/>
        <v>#N/A</v>
      </c>
      <c r="N46" s="101" t="e">
        <f ca="1">VLOOKUP($B46,Matrix!$H$13:$I$37,2,FALSE)&amp;"_"&amp;C46</f>
        <v>#N/A</v>
      </c>
      <c r="O46" s="116" t="e">
        <f t="shared" ca="1" si="2"/>
        <v>#N/A</v>
      </c>
    </row>
    <row r="47" spans="2:15">
      <c r="B47" s="22"/>
      <c r="C47" s="21"/>
      <c r="D47" s="108"/>
      <c r="E47" s="22"/>
      <c r="F47" s="109"/>
      <c r="G47" s="22"/>
      <c r="H47" s="109"/>
      <c r="I47" s="22"/>
      <c r="J47" s="109"/>
      <c r="K47" s="22"/>
      <c r="L47" s="109"/>
      <c r="M47" s="36" t="e">
        <f t="shared" ca="1" si="1"/>
        <v>#N/A</v>
      </c>
      <c r="N47" s="101" t="e">
        <f ca="1">VLOOKUP($B47,Matrix!$H$13:$I$37,2,FALSE)&amp;"_"&amp;C47</f>
        <v>#N/A</v>
      </c>
      <c r="O47" s="116" t="e">
        <f t="shared" ca="1" si="2"/>
        <v>#N/A</v>
      </c>
    </row>
    <row r="48" spans="2:15">
      <c r="B48" s="22"/>
      <c r="C48" s="21"/>
      <c r="D48" s="108"/>
      <c r="E48" s="22"/>
      <c r="F48" s="109"/>
      <c r="G48" s="22"/>
      <c r="H48" s="109"/>
      <c r="I48" s="22"/>
      <c r="J48" s="109"/>
      <c r="K48" s="22"/>
      <c r="L48" s="109"/>
      <c r="M48" s="36" t="e">
        <f t="shared" ca="1" si="1"/>
        <v>#N/A</v>
      </c>
      <c r="N48" s="101" t="e">
        <f ca="1">VLOOKUP($B48,Matrix!$H$13:$I$37,2,FALSE)&amp;"_"&amp;C48</f>
        <v>#N/A</v>
      </c>
      <c r="O48" s="116" t="e">
        <f t="shared" ca="1" si="2"/>
        <v>#N/A</v>
      </c>
    </row>
    <row r="49" spans="2:15">
      <c r="B49" s="22"/>
      <c r="C49" s="21"/>
      <c r="D49" s="108"/>
      <c r="E49" s="22"/>
      <c r="F49" s="109"/>
      <c r="G49" s="22"/>
      <c r="H49" s="109"/>
      <c r="I49" s="22"/>
      <c r="J49" s="109"/>
      <c r="K49" s="22"/>
      <c r="L49" s="109"/>
      <c r="M49" s="36" t="e">
        <f t="shared" ca="1" si="1"/>
        <v>#N/A</v>
      </c>
      <c r="N49" s="101" t="e">
        <f ca="1">VLOOKUP($B49,Matrix!$H$13:$I$37,2,FALSE)&amp;"_"&amp;C49</f>
        <v>#N/A</v>
      </c>
      <c r="O49" s="116" t="e">
        <f t="shared" ca="1" si="2"/>
        <v>#N/A</v>
      </c>
    </row>
    <row r="50" spans="2:15">
      <c r="B50" s="22"/>
      <c r="C50" s="21"/>
      <c r="D50" s="108"/>
      <c r="E50" s="22"/>
      <c r="F50" s="109"/>
      <c r="G50" s="22"/>
      <c r="H50" s="109"/>
      <c r="I50" s="22"/>
      <c r="J50" s="109"/>
      <c r="K50" s="22"/>
      <c r="L50" s="109"/>
      <c r="M50" s="36" t="e">
        <f t="shared" ca="1" si="1"/>
        <v>#N/A</v>
      </c>
      <c r="N50" s="101" t="e">
        <f ca="1">VLOOKUP($B50,Matrix!$H$13:$I$37,2,FALSE)&amp;"_"&amp;C50</f>
        <v>#N/A</v>
      </c>
      <c r="O50" s="116" t="e">
        <f t="shared" ca="1" si="2"/>
        <v>#N/A</v>
      </c>
    </row>
    <row r="51" spans="2:15">
      <c r="B51" s="22"/>
      <c r="C51" s="21"/>
      <c r="D51" s="108"/>
      <c r="E51" s="22"/>
      <c r="F51" s="109"/>
      <c r="G51" s="22"/>
      <c r="H51" s="109"/>
      <c r="I51" s="22"/>
      <c r="J51" s="109"/>
      <c r="K51" s="22"/>
      <c r="L51" s="109"/>
      <c r="M51" s="36" t="e">
        <f t="shared" ca="1" si="1"/>
        <v>#N/A</v>
      </c>
      <c r="N51" s="101" t="e">
        <f ca="1">VLOOKUP($B51,Matrix!$H$13:$I$37,2,FALSE)&amp;"_"&amp;C51</f>
        <v>#N/A</v>
      </c>
      <c r="O51" s="116" t="e">
        <f t="shared" ca="1" si="2"/>
        <v>#N/A</v>
      </c>
    </row>
    <row r="52" spans="2:15">
      <c r="B52" s="22"/>
      <c r="C52" s="21"/>
      <c r="D52" s="108"/>
      <c r="E52" s="22"/>
      <c r="F52" s="109"/>
      <c r="G52" s="22"/>
      <c r="H52" s="109"/>
      <c r="I52" s="22"/>
      <c r="J52" s="109"/>
      <c r="K52" s="22"/>
      <c r="L52" s="109"/>
      <c r="M52" s="36" t="e">
        <f t="shared" ca="1" si="1"/>
        <v>#N/A</v>
      </c>
      <c r="N52" s="101" t="e">
        <f ca="1">VLOOKUP($B52,Matrix!$H$13:$I$37,2,FALSE)&amp;"_"&amp;C52</f>
        <v>#N/A</v>
      </c>
      <c r="O52" s="116" t="e">
        <f t="shared" ca="1" si="2"/>
        <v>#N/A</v>
      </c>
    </row>
    <row r="53" spans="2:15">
      <c r="B53" s="22"/>
      <c r="C53" s="21"/>
      <c r="D53" s="108"/>
      <c r="E53" s="22"/>
      <c r="F53" s="109"/>
      <c r="G53" s="22"/>
      <c r="H53" s="109"/>
      <c r="I53" s="22"/>
      <c r="J53" s="109"/>
      <c r="K53" s="22"/>
      <c r="L53" s="109"/>
      <c r="M53" s="36" t="e">
        <f t="shared" ca="1" si="1"/>
        <v>#N/A</v>
      </c>
      <c r="N53" s="101" t="e">
        <f ca="1">VLOOKUP($B53,Matrix!$H$13:$I$37,2,FALSE)&amp;"_"&amp;C53</f>
        <v>#N/A</v>
      </c>
      <c r="O53" s="116" t="e">
        <f t="shared" ca="1" si="2"/>
        <v>#N/A</v>
      </c>
    </row>
    <row r="54" spans="2:15">
      <c r="B54" s="22"/>
      <c r="C54" s="21"/>
      <c r="D54" s="108"/>
      <c r="E54" s="22"/>
      <c r="F54" s="109"/>
      <c r="G54" s="22"/>
      <c r="H54" s="109"/>
      <c r="I54" s="22"/>
      <c r="J54" s="109"/>
      <c r="K54" s="22"/>
      <c r="L54" s="109"/>
      <c r="M54" s="36" t="e">
        <f t="shared" ca="1" si="1"/>
        <v>#N/A</v>
      </c>
      <c r="N54" s="101" t="e">
        <f ca="1">VLOOKUP($B54,Matrix!$H$13:$I$37,2,FALSE)&amp;"_"&amp;C54</f>
        <v>#N/A</v>
      </c>
      <c r="O54" s="116" t="e">
        <f t="shared" ca="1" si="2"/>
        <v>#N/A</v>
      </c>
    </row>
    <row r="55" spans="2:15">
      <c r="B55" s="22"/>
      <c r="C55" s="21"/>
      <c r="D55" s="108"/>
      <c r="E55" s="22"/>
      <c r="F55" s="109"/>
      <c r="G55" s="22"/>
      <c r="H55" s="109"/>
      <c r="I55" s="22"/>
      <c r="J55" s="109"/>
      <c r="K55" s="22"/>
      <c r="L55" s="109"/>
      <c r="M55" s="36" t="e">
        <f t="shared" ca="1" si="1"/>
        <v>#N/A</v>
      </c>
      <c r="N55" s="101" t="e">
        <f ca="1">VLOOKUP($B55,Matrix!$H$13:$I$37,2,FALSE)&amp;"_"&amp;C55</f>
        <v>#N/A</v>
      </c>
      <c r="O55" s="116" t="e">
        <f t="shared" ca="1" si="2"/>
        <v>#N/A</v>
      </c>
    </row>
    <row r="56" spans="2:15">
      <c r="B56" s="22"/>
      <c r="C56" s="21"/>
      <c r="D56" s="108"/>
      <c r="E56" s="22"/>
      <c r="F56" s="109"/>
      <c r="G56" s="22"/>
      <c r="H56" s="109"/>
      <c r="I56" s="22"/>
      <c r="J56" s="109"/>
      <c r="K56" s="22"/>
      <c r="L56" s="109"/>
      <c r="M56" s="36" t="e">
        <f t="shared" ca="1" si="1"/>
        <v>#N/A</v>
      </c>
      <c r="N56" s="101" t="e">
        <f ca="1">VLOOKUP($B56,Matrix!$H$13:$I$37,2,FALSE)&amp;"_"&amp;C56</f>
        <v>#N/A</v>
      </c>
      <c r="O56" s="116" t="e">
        <f t="shared" ca="1" si="2"/>
        <v>#N/A</v>
      </c>
    </row>
    <row r="57" spans="2:15">
      <c r="B57" s="22"/>
      <c r="C57" s="21"/>
      <c r="D57" s="108"/>
      <c r="E57" s="22"/>
      <c r="F57" s="109"/>
      <c r="G57" s="22"/>
      <c r="H57" s="109"/>
      <c r="I57" s="22"/>
      <c r="J57" s="109"/>
      <c r="K57" s="22"/>
      <c r="L57" s="109"/>
      <c r="M57" s="36" t="e">
        <f t="shared" ca="1" si="1"/>
        <v>#N/A</v>
      </c>
      <c r="N57" s="101" t="e">
        <f ca="1">VLOOKUP($B57,Matrix!$H$13:$I$37,2,FALSE)&amp;"_"&amp;C57</f>
        <v>#N/A</v>
      </c>
      <c r="O57" s="116" t="e">
        <f t="shared" ca="1" si="2"/>
        <v>#N/A</v>
      </c>
    </row>
    <row r="58" spans="2:15">
      <c r="B58" s="22"/>
      <c r="C58" s="21"/>
      <c r="D58" s="108"/>
      <c r="E58" s="22"/>
      <c r="F58" s="109"/>
      <c r="G58" s="22"/>
      <c r="H58" s="109"/>
      <c r="I58" s="22"/>
      <c r="J58" s="109"/>
      <c r="K58" s="22"/>
      <c r="L58" s="109"/>
      <c r="M58" s="36" t="e">
        <f t="shared" ca="1" si="1"/>
        <v>#N/A</v>
      </c>
      <c r="N58" s="101" t="e">
        <f ca="1">VLOOKUP($B58,Matrix!$H$13:$I$37,2,FALSE)&amp;"_"&amp;C58</f>
        <v>#N/A</v>
      </c>
      <c r="O58" s="116" t="e">
        <f t="shared" ca="1" si="2"/>
        <v>#N/A</v>
      </c>
    </row>
    <row r="59" spans="2:15">
      <c r="B59" s="22"/>
      <c r="C59" s="21"/>
      <c r="D59" s="108"/>
      <c r="E59" s="22"/>
      <c r="F59" s="109"/>
      <c r="G59" s="22"/>
      <c r="H59" s="109"/>
      <c r="I59" s="22"/>
      <c r="J59" s="109"/>
      <c r="K59" s="22"/>
      <c r="L59" s="109"/>
      <c r="M59" s="36" t="e">
        <f t="shared" ca="1" si="1"/>
        <v>#N/A</v>
      </c>
      <c r="N59" s="101" t="e">
        <f ca="1">VLOOKUP($B59,Matrix!$H$13:$I$37,2,FALSE)&amp;"_"&amp;C59</f>
        <v>#N/A</v>
      </c>
      <c r="O59" s="116" t="e">
        <f t="shared" ca="1" si="2"/>
        <v>#N/A</v>
      </c>
    </row>
    <row r="60" spans="2:15">
      <c r="B60" s="22"/>
      <c r="C60" s="21"/>
      <c r="D60" s="108"/>
      <c r="E60" s="22"/>
      <c r="F60" s="109"/>
      <c r="G60" s="22"/>
      <c r="H60" s="109"/>
      <c r="I60" s="22"/>
      <c r="J60" s="109"/>
      <c r="K60" s="22"/>
      <c r="L60" s="109"/>
      <c r="M60" s="36" t="e">
        <f t="shared" ca="1" si="1"/>
        <v>#N/A</v>
      </c>
      <c r="N60" s="101" t="e">
        <f ca="1">VLOOKUP($B60,Matrix!$H$13:$I$37,2,FALSE)&amp;"_"&amp;C60</f>
        <v>#N/A</v>
      </c>
      <c r="O60" s="116" t="e">
        <f t="shared" ca="1" si="2"/>
        <v>#N/A</v>
      </c>
    </row>
    <row r="61" spans="2:15">
      <c r="B61" s="22"/>
      <c r="C61" s="21"/>
      <c r="D61" s="108"/>
      <c r="E61" s="22"/>
      <c r="F61" s="109"/>
      <c r="G61" s="22"/>
      <c r="H61" s="109"/>
      <c r="I61" s="22"/>
      <c r="J61" s="109"/>
      <c r="K61" s="22"/>
      <c r="L61" s="109"/>
      <c r="M61" s="36" t="e">
        <f t="shared" ca="1" si="1"/>
        <v>#N/A</v>
      </c>
      <c r="N61" s="101" t="e">
        <f ca="1">VLOOKUP($B61,Matrix!$H$13:$I$37,2,FALSE)&amp;"_"&amp;C61</f>
        <v>#N/A</v>
      </c>
      <c r="O61" s="116" t="e">
        <f t="shared" ca="1" si="2"/>
        <v>#N/A</v>
      </c>
    </row>
    <row r="62" spans="2:15">
      <c r="B62" s="22"/>
      <c r="C62" s="21"/>
      <c r="D62" s="108"/>
      <c r="E62" s="22"/>
      <c r="F62" s="109"/>
      <c r="G62" s="22"/>
      <c r="H62" s="109"/>
      <c r="I62" s="22"/>
      <c r="J62" s="109"/>
      <c r="K62" s="22"/>
      <c r="L62" s="109"/>
      <c r="M62" s="36" t="e">
        <f t="shared" ca="1" si="1"/>
        <v>#N/A</v>
      </c>
      <c r="N62" s="101" t="e">
        <f ca="1">VLOOKUP($B62,Matrix!$H$13:$I$37,2,FALSE)&amp;"_"&amp;C62</f>
        <v>#N/A</v>
      </c>
      <c r="O62" s="116" t="e">
        <f t="shared" ca="1" si="2"/>
        <v>#N/A</v>
      </c>
    </row>
    <row r="63" spans="2:15">
      <c r="B63" s="22"/>
      <c r="C63" s="21"/>
      <c r="D63" s="108"/>
      <c r="E63" s="22"/>
      <c r="F63" s="109"/>
      <c r="G63" s="22"/>
      <c r="H63" s="109"/>
      <c r="I63" s="22"/>
      <c r="J63" s="109"/>
      <c r="K63" s="22"/>
      <c r="L63" s="109"/>
      <c r="M63" s="36" t="e">
        <f t="shared" ca="1" si="1"/>
        <v>#N/A</v>
      </c>
      <c r="N63" s="101" t="e">
        <f ca="1">VLOOKUP($B63,Matrix!$H$13:$I$37,2,FALSE)&amp;"_"&amp;C63</f>
        <v>#N/A</v>
      </c>
      <c r="O63" s="116" t="e">
        <f t="shared" ca="1" si="2"/>
        <v>#N/A</v>
      </c>
    </row>
    <row r="64" spans="2:15">
      <c r="B64" s="22"/>
      <c r="C64" s="21"/>
      <c r="D64" s="108"/>
      <c r="E64" s="22"/>
      <c r="F64" s="109"/>
      <c r="G64" s="22"/>
      <c r="H64" s="109"/>
      <c r="I64" s="22"/>
      <c r="J64" s="109"/>
      <c r="K64" s="22"/>
      <c r="L64" s="109"/>
      <c r="M64" s="36" t="e">
        <f t="shared" ca="1" si="1"/>
        <v>#N/A</v>
      </c>
      <c r="N64" s="101" t="e">
        <f ca="1">VLOOKUP($B64,Matrix!$H$13:$I$37,2,FALSE)&amp;"_"&amp;C64</f>
        <v>#N/A</v>
      </c>
      <c r="O64" s="116" t="e">
        <f t="shared" ca="1" si="2"/>
        <v>#N/A</v>
      </c>
    </row>
    <row r="65" spans="2:15">
      <c r="B65" s="22"/>
      <c r="C65" s="21"/>
      <c r="D65" s="108"/>
      <c r="E65" s="22"/>
      <c r="F65" s="109"/>
      <c r="G65" s="22"/>
      <c r="H65" s="109"/>
      <c r="I65" s="22"/>
      <c r="J65" s="109"/>
      <c r="K65" s="22"/>
      <c r="L65" s="109"/>
      <c r="M65" s="36" t="e">
        <f t="shared" ca="1" si="1"/>
        <v>#N/A</v>
      </c>
      <c r="N65" s="101" t="e">
        <f ca="1">VLOOKUP($B65,Matrix!$H$13:$I$37,2,FALSE)&amp;"_"&amp;C65</f>
        <v>#N/A</v>
      </c>
      <c r="O65" s="116" t="e">
        <f t="shared" ca="1" si="2"/>
        <v>#N/A</v>
      </c>
    </row>
    <row r="66" spans="2:15">
      <c r="B66" s="22"/>
      <c r="C66" s="21"/>
      <c r="D66" s="108"/>
      <c r="E66" s="22"/>
      <c r="F66" s="109"/>
      <c r="G66" s="22"/>
      <c r="H66" s="109"/>
      <c r="I66" s="22"/>
      <c r="J66" s="109"/>
      <c r="K66" s="22"/>
      <c r="L66" s="109"/>
      <c r="M66" s="36" t="e">
        <f t="shared" ca="1" si="1"/>
        <v>#N/A</v>
      </c>
      <c r="N66" s="101" t="e">
        <f ca="1">VLOOKUP($B66,Matrix!$H$13:$I$37,2,FALSE)&amp;"_"&amp;C66</f>
        <v>#N/A</v>
      </c>
      <c r="O66" s="116" t="e">
        <f t="shared" ca="1" si="2"/>
        <v>#N/A</v>
      </c>
    </row>
    <row r="67" spans="2:15">
      <c r="B67" s="22"/>
      <c r="C67" s="21"/>
      <c r="D67" s="108"/>
      <c r="E67" s="22"/>
      <c r="F67" s="109"/>
      <c r="G67" s="22"/>
      <c r="H67" s="109"/>
      <c r="I67" s="22"/>
      <c r="J67" s="109"/>
      <c r="K67" s="22"/>
      <c r="L67" s="109"/>
      <c r="M67" s="36" t="e">
        <f t="shared" ca="1" si="1"/>
        <v>#N/A</v>
      </c>
      <c r="N67" s="101" t="e">
        <f ca="1">VLOOKUP($B67,Matrix!$H$13:$I$37,2,FALSE)&amp;"_"&amp;C67</f>
        <v>#N/A</v>
      </c>
      <c r="O67" s="116" t="e">
        <f t="shared" ca="1" si="2"/>
        <v>#N/A</v>
      </c>
    </row>
    <row r="68" spans="2:15">
      <c r="B68" s="22"/>
      <c r="C68" s="21"/>
      <c r="D68" s="108"/>
      <c r="E68" s="22"/>
      <c r="F68" s="109"/>
      <c r="G68" s="22"/>
      <c r="H68" s="109"/>
      <c r="I68" s="22"/>
      <c r="J68" s="109"/>
      <c r="K68" s="22"/>
      <c r="L68" s="109"/>
      <c r="M68" s="36" t="e">
        <f t="shared" ca="1" si="1"/>
        <v>#N/A</v>
      </c>
      <c r="N68" s="101" t="e">
        <f ca="1">VLOOKUP($B68,Matrix!$H$13:$I$37,2,FALSE)&amp;"_"&amp;C68</f>
        <v>#N/A</v>
      </c>
      <c r="O68" s="116" t="e">
        <f t="shared" ref="O68:O99" ca="1" si="3">"#define "&amp;N68&amp;REPT(" ",48-M68)&amp;"("&amp;D68&amp;"U)"</f>
        <v>#N/A</v>
      </c>
    </row>
    <row r="69" spans="2:15">
      <c r="B69" s="22"/>
      <c r="C69" s="21"/>
      <c r="D69" s="108"/>
      <c r="E69" s="22"/>
      <c r="F69" s="109"/>
      <c r="G69" s="22"/>
      <c r="H69" s="109"/>
      <c r="I69" s="22"/>
      <c r="J69" s="109"/>
      <c r="K69" s="22"/>
      <c r="L69" s="109"/>
      <c r="M69" s="36" t="e">
        <f t="shared" ref="M69:M103" ca="1" si="4">LEN(N69)</f>
        <v>#N/A</v>
      </c>
      <c r="N69" s="101" t="e">
        <f ca="1">VLOOKUP($B69,Matrix!$H$13:$I$37,2,FALSE)&amp;"_"&amp;C69</f>
        <v>#N/A</v>
      </c>
      <c r="O69" s="116" t="e">
        <f t="shared" ca="1" si="3"/>
        <v>#N/A</v>
      </c>
    </row>
    <row r="70" spans="2:15">
      <c r="B70" s="22"/>
      <c r="C70" s="21"/>
      <c r="D70" s="108"/>
      <c r="E70" s="22"/>
      <c r="F70" s="109"/>
      <c r="G70" s="22"/>
      <c r="H70" s="109"/>
      <c r="I70" s="22"/>
      <c r="J70" s="109"/>
      <c r="K70" s="22"/>
      <c r="L70" s="109"/>
      <c r="M70" s="36" t="e">
        <f t="shared" ca="1" si="4"/>
        <v>#N/A</v>
      </c>
      <c r="N70" s="101" t="e">
        <f ca="1">VLOOKUP($B70,Matrix!$H$13:$I$37,2,FALSE)&amp;"_"&amp;C70</f>
        <v>#N/A</v>
      </c>
      <c r="O70" s="116" t="e">
        <f t="shared" ca="1" si="3"/>
        <v>#N/A</v>
      </c>
    </row>
    <row r="71" spans="2:15">
      <c r="B71" s="22"/>
      <c r="C71" s="21"/>
      <c r="D71" s="108"/>
      <c r="E71" s="22"/>
      <c r="F71" s="109"/>
      <c r="G71" s="22"/>
      <c r="H71" s="109"/>
      <c r="I71" s="22"/>
      <c r="J71" s="109"/>
      <c r="K71" s="22"/>
      <c r="L71" s="109"/>
      <c r="M71" s="36" t="e">
        <f t="shared" ca="1" si="4"/>
        <v>#N/A</v>
      </c>
      <c r="N71" s="101" t="e">
        <f ca="1">VLOOKUP($B71,Matrix!$H$13:$I$37,2,FALSE)&amp;"_"&amp;C71</f>
        <v>#N/A</v>
      </c>
      <c r="O71" s="116" t="e">
        <f t="shared" ca="1" si="3"/>
        <v>#N/A</v>
      </c>
    </row>
    <row r="72" spans="2:15">
      <c r="B72" s="22"/>
      <c r="C72" s="21"/>
      <c r="D72" s="108"/>
      <c r="E72" s="22"/>
      <c r="F72" s="109"/>
      <c r="G72" s="22"/>
      <c r="H72" s="109"/>
      <c r="I72" s="22"/>
      <c r="J72" s="109"/>
      <c r="K72" s="22"/>
      <c r="L72" s="109"/>
      <c r="M72" s="36" t="e">
        <f t="shared" ca="1" si="4"/>
        <v>#N/A</v>
      </c>
      <c r="N72" s="101" t="e">
        <f ca="1">VLOOKUP($B72,Matrix!$H$13:$I$37,2,FALSE)&amp;"_"&amp;C72</f>
        <v>#N/A</v>
      </c>
      <c r="O72" s="116" t="e">
        <f t="shared" ca="1" si="3"/>
        <v>#N/A</v>
      </c>
    </row>
    <row r="73" spans="2:15">
      <c r="B73" s="22"/>
      <c r="C73" s="21"/>
      <c r="D73" s="108"/>
      <c r="E73" s="22"/>
      <c r="F73" s="109"/>
      <c r="G73" s="22"/>
      <c r="H73" s="109"/>
      <c r="I73" s="22"/>
      <c r="J73" s="109"/>
      <c r="K73" s="22"/>
      <c r="L73" s="109"/>
      <c r="M73" s="36" t="e">
        <f t="shared" ca="1" si="4"/>
        <v>#N/A</v>
      </c>
      <c r="N73" s="101" t="e">
        <f ca="1">VLOOKUP($B73,Matrix!$H$13:$I$37,2,FALSE)&amp;"_"&amp;C73</f>
        <v>#N/A</v>
      </c>
      <c r="O73" s="116" t="e">
        <f t="shared" ca="1" si="3"/>
        <v>#N/A</v>
      </c>
    </row>
    <row r="74" spans="2:15">
      <c r="B74" s="22"/>
      <c r="C74" s="21"/>
      <c r="D74" s="108"/>
      <c r="E74" s="22"/>
      <c r="F74" s="109"/>
      <c r="G74" s="22"/>
      <c r="H74" s="109"/>
      <c r="I74" s="22"/>
      <c r="J74" s="109"/>
      <c r="K74" s="22"/>
      <c r="L74" s="109"/>
      <c r="M74" s="36" t="e">
        <f t="shared" ca="1" si="4"/>
        <v>#N/A</v>
      </c>
      <c r="N74" s="101" t="e">
        <f ca="1">VLOOKUP($B74,Matrix!$H$13:$I$37,2,FALSE)&amp;"_"&amp;C74</f>
        <v>#N/A</v>
      </c>
      <c r="O74" s="116" t="e">
        <f t="shared" ca="1" si="3"/>
        <v>#N/A</v>
      </c>
    </row>
    <row r="75" spans="2:15">
      <c r="B75" s="22"/>
      <c r="C75" s="21"/>
      <c r="D75" s="108"/>
      <c r="E75" s="22"/>
      <c r="F75" s="109"/>
      <c r="G75" s="22"/>
      <c r="H75" s="109"/>
      <c r="I75" s="22"/>
      <c r="J75" s="109"/>
      <c r="K75" s="22"/>
      <c r="L75" s="109"/>
      <c r="M75" s="36" t="e">
        <f t="shared" ca="1" si="4"/>
        <v>#N/A</v>
      </c>
      <c r="N75" s="101" t="e">
        <f ca="1">VLOOKUP($B75,Matrix!$H$13:$I$37,2,FALSE)&amp;"_"&amp;C75</f>
        <v>#N/A</v>
      </c>
      <c r="O75" s="116" t="e">
        <f t="shared" ca="1" si="3"/>
        <v>#N/A</v>
      </c>
    </row>
    <row r="76" spans="2:15">
      <c r="B76" s="22"/>
      <c r="C76" s="21"/>
      <c r="D76" s="108"/>
      <c r="E76" s="22"/>
      <c r="F76" s="109"/>
      <c r="G76" s="22"/>
      <c r="H76" s="109"/>
      <c r="I76" s="22"/>
      <c r="J76" s="109"/>
      <c r="K76" s="22"/>
      <c r="L76" s="109"/>
      <c r="M76" s="36" t="e">
        <f t="shared" ca="1" si="4"/>
        <v>#N/A</v>
      </c>
      <c r="N76" s="101" t="e">
        <f ca="1">VLOOKUP($B76,Matrix!$H$13:$I$37,2,FALSE)&amp;"_"&amp;C76</f>
        <v>#N/A</v>
      </c>
      <c r="O76" s="116" t="e">
        <f t="shared" ca="1" si="3"/>
        <v>#N/A</v>
      </c>
    </row>
    <row r="77" spans="2:15">
      <c r="B77" s="22"/>
      <c r="C77" s="21"/>
      <c r="D77" s="108"/>
      <c r="E77" s="22"/>
      <c r="F77" s="109"/>
      <c r="G77" s="22"/>
      <c r="H77" s="109"/>
      <c r="I77" s="22"/>
      <c r="J77" s="109"/>
      <c r="K77" s="22"/>
      <c r="L77" s="109"/>
      <c r="M77" s="36" t="e">
        <f t="shared" ca="1" si="4"/>
        <v>#N/A</v>
      </c>
      <c r="N77" s="101" t="e">
        <f ca="1">VLOOKUP($B77,Matrix!$H$13:$I$37,2,FALSE)&amp;"_"&amp;C77</f>
        <v>#N/A</v>
      </c>
      <c r="O77" s="116" t="e">
        <f t="shared" ca="1" si="3"/>
        <v>#N/A</v>
      </c>
    </row>
    <row r="78" spans="2:15">
      <c r="B78" s="22"/>
      <c r="C78" s="21"/>
      <c r="D78" s="108"/>
      <c r="E78" s="22"/>
      <c r="F78" s="109"/>
      <c r="G78" s="22"/>
      <c r="H78" s="109"/>
      <c r="I78" s="22"/>
      <c r="J78" s="109"/>
      <c r="K78" s="22"/>
      <c r="L78" s="109"/>
      <c r="M78" s="36" t="e">
        <f t="shared" ca="1" si="4"/>
        <v>#N/A</v>
      </c>
      <c r="N78" s="101" t="e">
        <f ca="1">VLOOKUP($B78,Matrix!$H$13:$I$37,2,FALSE)&amp;"_"&amp;C78</f>
        <v>#N/A</v>
      </c>
      <c r="O78" s="116" t="e">
        <f t="shared" ca="1" si="3"/>
        <v>#N/A</v>
      </c>
    </row>
    <row r="79" spans="2:15">
      <c r="B79" s="22"/>
      <c r="C79" s="21"/>
      <c r="D79" s="108"/>
      <c r="E79" s="22"/>
      <c r="F79" s="109"/>
      <c r="G79" s="22"/>
      <c r="H79" s="109"/>
      <c r="I79" s="22"/>
      <c r="J79" s="109"/>
      <c r="K79" s="22"/>
      <c r="L79" s="109"/>
      <c r="M79" s="36" t="e">
        <f t="shared" ca="1" si="4"/>
        <v>#N/A</v>
      </c>
      <c r="N79" s="101" t="e">
        <f ca="1">VLOOKUP($B79,Matrix!$H$13:$I$37,2,FALSE)&amp;"_"&amp;C79</f>
        <v>#N/A</v>
      </c>
      <c r="O79" s="116" t="e">
        <f t="shared" ca="1" si="3"/>
        <v>#N/A</v>
      </c>
    </row>
    <row r="80" spans="2:15">
      <c r="B80" s="22"/>
      <c r="C80" s="21"/>
      <c r="D80" s="108"/>
      <c r="E80" s="22"/>
      <c r="F80" s="109"/>
      <c r="G80" s="22"/>
      <c r="H80" s="109"/>
      <c r="I80" s="22"/>
      <c r="J80" s="109"/>
      <c r="K80" s="22"/>
      <c r="L80" s="109"/>
      <c r="M80" s="36" t="e">
        <f t="shared" ca="1" si="4"/>
        <v>#N/A</v>
      </c>
      <c r="N80" s="101" t="e">
        <f ca="1">VLOOKUP($B80,Matrix!$H$13:$I$37,2,FALSE)&amp;"_"&amp;C80</f>
        <v>#N/A</v>
      </c>
      <c r="O80" s="116" t="e">
        <f t="shared" ca="1" si="3"/>
        <v>#N/A</v>
      </c>
    </row>
    <row r="81" spans="2:15">
      <c r="B81" s="22"/>
      <c r="C81" s="21"/>
      <c r="D81" s="108"/>
      <c r="E81" s="22"/>
      <c r="F81" s="109"/>
      <c r="G81" s="22"/>
      <c r="H81" s="109"/>
      <c r="I81" s="22"/>
      <c r="J81" s="109"/>
      <c r="K81" s="22"/>
      <c r="L81" s="109"/>
      <c r="M81" s="36" t="e">
        <f t="shared" ca="1" si="4"/>
        <v>#N/A</v>
      </c>
      <c r="N81" s="101" t="e">
        <f ca="1">VLOOKUP($B81,Matrix!$H$13:$I$37,2,FALSE)&amp;"_"&amp;C81</f>
        <v>#N/A</v>
      </c>
      <c r="O81" s="116" t="e">
        <f t="shared" ca="1" si="3"/>
        <v>#N/A</v>
      </c>
    </row>
    <row r="82" spans="2:15">
      <c r="B82" s="22"/>
      <c r="C82" s="21"/>
      <c r="D82" s="108"/>
      <c r="E82" s="22"/>
      <c r="F82" s="109"/>
      <c r="G82" s="22"/>
      <c r="H82" s="109"/>
      <c r="I82" s="22"/>
      <c r="J82" s="109"/>
      <c r="K82" s="22"/>
      <c r="L82" s="109"/>
      <c r="M82" s="36" t="e">
        <f t="shared" ca="1" si="4"/>
        <v>#N/A</v>
      </c>
      <c r="N82" s="101" t="e">
        <f ca="1">VLOOKUP($B82,Matrix!$H$13:$I$37,2,FALSE)&amp;"_"&amp;C82</f>
        <v>#N/A</v>
      </c>
      <c r="O82" s="116" t="e">
        <f t="shared" ca="1" si="3"/>
        <v>#N/A</v>
      </c>
    </row>
    <row r="83" spans="2:15">
      <c r="B83" s="22"/>
      <c r="C83" s="21"/>
      <c r="D83" s="108"/>
      <c r="E83" s="22"/>
      <c r="F83" s="109"/>
      <c r="G83" s="22"/>
      <c r="H83" s="109"/>
      <c r="I83" s="22"/>
      <c r="J83" s="109"/>
      <c r="K83" s="22"/>
      <c r="L83" s="109"/>
      <c r="M83" s="36" t="e">
        <f t="shared" ca="1" si="4"/>
        <v>#N/A</v>
      </c>
      <c r="N83" s="101" t="e">
        <f ca="1">VLOOKUP($B83,Matrix!$H$13:$I$37,2,FALSE)&amp;"_"&amp;C83</f>
        <v>#N/A</v>
      </c>
      <c r="O83" s="116" t="e">
        <f t="shared" ca="1" si="3"/>
        <v>#N/A</v>
      </c>
    </row>
    <row r="84" spans="2:15">
      <c r="B84" s="22"/>
      <c r="C84" s="21"/>
      <c r="D84" s="108"/>
      <c r="E84" s="22"/>
      <c r="F84" s="109"/>
      <c r="G84" s="22"/>
      <c r="H84" s="109"/>
      <c r="I84" s="22"/>
      <c r="J84" s="109"/>
      <c r="K84" s="22"/>
      <c r="L84" s="109"/>
      <c r="M84" s="36" t="e">
        <f t="shared" ca="1" si="4"/>
        <v>#N/A</v>
      </c>
      <c r="N84" s="101" t="e">
        <f ca="1">VLOOKUP($B84,Matrix!$H$13:$I$37,2,FALSE)&amp;"_"&amp;C84</f>
        <v>#N/A</v>
      </c>
      <c r="O84" s="116" t="e">
        <f t="shared" ca="1" si="3"/>
        <v>#N/A</v>
      </c>
    </row>
    <row r="85" spans="2:15">
      <c r="B85" s="22"/>
      <c r="C85" s="21"/>
      <c r="D85" s="108"/>
      <c r="E85" s="22"/>
      <c r="F85" s="109"/>
      <c r="G85" s="22"/>
      <c r="H85" s="109"/>
      <c r="I85" s="22"/>
      <c r="J85" s="109"/>
      <c r="K85" s="22"/>
      <c r="L85" s="109"/>
      <c r="M85" s="36" t="e">
        <f t="shared" ca="1" si="4"/>
        <v>#N/A</v>
      </c>
      <c r="N85" s="101" t="e">
        <f ca="1">VLOOKUP($B85,Matrix!$H$13:$I$37,2,FALSE)&amp;"_"&amp;C85</f>
        <v>#N/A</v>
      </c>
      <c r="O85" s="116" t="e">
        <f t="shared" ca="1" si="3"/>
        <v>#N/A</v>
      </c>
    </row>
    <row r="86" spans="2:15">
      <c r="B86" s="22"/>
      <c r="C86" s="21"/>
      <c r="D86" s="108"/>
      <c r="E86" s="22"/>
      <c r="F86" s="109"/>
      <c r="G86" s="22"/>
      <c r="H86" s="109"/>
      <c r="I86" s="22"/>
      <c r="J86" s="109"/>
      <c r="K86" s="22"/>
      <c r="L86" s="109"/>
      <c r="M86" s="36" t="e">
        <f t="shared" ca="1" si="4"/>
        <v>#N/A</v>
      </c>
      <c r="N86" s="101" t="e">
        <f ca="1">VLOOKUP($B86,Matrix!$H$13:$I$37,2,FALSE)&amp;"_"&amp;C86</f>
        <v>#N/A</v>
      </c>
      <c r="O86" s="116" t="e">
        <f t="shared" ca="1" si="3"/>
        <v>#N/A</v>
      </c>
    </row>
    <row r="87" spans="2:15">
      <c r="B87" s="22"/>
      <c r="C87" s="21"/>
      <c r="D87" s="108"/>
      <c r="E87" s="22"/>
      <c r="F87" s="109"/>
      <c r="G87" s="22"/>
      <c r="H87" s="109"/>
      <c r="I87" s="22"/>
      <c r="J87" s="109"/>
      <c r="K87" s="22"/>
      <c r="L87" s="109"/>
      <c r="M87" s="36" t="e">
        <f t="shared" ca="1" si="4"/>
        <v>#N/A</v>
      </c>
      <c r="N87" s="57" t="e">
        <f ca="1">VLOOKUP($B87,Matrix!$H$13:$I$37,2,FALSE)&amp;"_"&amp;C87</f>
        <v>#N/A</v>
      </c>
      <c r="O87" s="116" t="e">
        <f t="shared" ca="1" si="3"/>
        <v>#N/A</v>
      </c>
    </row>
    <row r="88" spans="2:15">
      <c r="B88" s="22"/>
      <c r="C88" s="21"/>
      <c r="D88" s="108"/>
      <c r="E88" s="22"/>
      <c r="F88" s="109"/>
      <c r="G88" s="22"/>
      <c r="H88" s="109"/>
      <c r="I88" s="22"/>
      <c r="J88" s="109"/>
      <c r="K88" s="22"/>
      <c r="L88" s="109"/>
      <c r="M88" s="36" t="e">
        <f t="shared" ca="1" si="4"/>
        <v>#N/A</v>
      </c>
      <c r="N88" s="57" t="e">
        <f ca="1">VLOOKUP($B88,Matrix!$H$13:$I$37,2,FALSE)&amp;"_"&amp;C88</f>
        <v>#N/A</v>
      </c>
      <c r="O88" s="116" t="e">
        <f t="shared" ca="1" si="3"/>
        <v>#N/A</v>
      </c>
    </row>
    <row r="89" spans="2:15">
      <c r="B89" s="22"/>
      <c r="C89" s="21"/>
      <c r="D89" s="108"/>
      <c r="E89" s="22"/>
      <c r="F89" s="109"/>
      <c r="G89" s="22"/>
      <c r="H89" s="109"/>
      <c r="I89" s="22"/>
      <c r="J89" s="109"/>
      <c r="K89" s="22"/>
      <c r="L89" s="109"/>
      <c r="M89" s="36" t="e">
        <f t="shared" ca="1" si="4"/>
        <v>#N/A</v>
      </c>
      <c r="N89" s="57" t="e">
        <f ca="1">VLOOKUP($B89,Matrix!$H$13:$I$37,2,FALSE)&amp;"_"&amp;C89</f>
        <v>#N/A</v>
      </c>
      <c r="O89" s="116" t="e">
        <f t="shared" ca="1" si="3"/>
        <v>#N/A</v>
      </c>
    </row>
    <row r="90" spans="2:15">
      <c r="B90" s="22"/>
      <c r="C90" s="21"/>
      <c r="D90" s="108"/>
      <c r="E90" s="22"/>
      <c r="F90" s="109"/>
      <c r="G90" s="22"/>
      <c r="H90" s="109"/>
      <c r="I90" s="22"/>
      <c r="J90" s="109"/>
      <c r="K90" s="22"/>
      <c r="L90" s="109"/>
      <c r="M90" s="36" t="e">
        <f t="shared" ca="1" si="4"/>
        <v>#N/A</v>
      </c>
      <c r="N90" s="57" t="e">
        <f ca="1">VLOOKUP($B90,Matrix!$H$13:$I$37,2,FALSE)&amp;"_"&amp;C90</f>
        <v>#N/A</v>
      </c>
      <c r="O90" s="116" t="e">
        <f t="shared" ca="1" si="3"/>
        <v>#N/A</v>
      </c>
    </row>
    <row r="91" spans="2:15">
      <c r="B91" s="22"/>
      <c r="C91" s="21"/>
      <c r="D91" s="108"/>
      <c r="E91" s="22"/>
      <c r="F91" s="109"/>
      <c r="G91" s="22"/>
      <c r="H91" s="109"/>
      <c r="I91" s="22"/>
      <c r="J91" s="109"/>
      <c r="K91" s="22"/>
      <c r="L91" s="109"/>
      <c r="M91" s="36" t="e">
        <f t="shared" ca="1" si="4"/>
        <v>#N/A</v>
      </c>
      <c r="N91" s="57" t="e">
        <f ca="1">VLOOKUP($B91,Matrix!$H$13:$I$37,2,FALSE)&amp;"_"&amp;C91</f>
        <v>#N/A</v>
      </c>
      <c r="O91" s="116" t="e">
        <f t="shared" ca="1" si="3"/>
        <v>#N/A</v>
      </c>
    </row>
    <row r="92" spans="2:15">
      <c r="B92" s="22"/>
      <c r="C92" s="21"/>
      <c r="D92" s="108"/>
      <c r="E92" s="22"/>
      <c r="F92" s="109"/>
      <c r="G92" s="22"/>
      <c r="H92" s="109"/>
      <c r="I92" s="22"/>
      <c r="J92" s="109"/>
      <c r="K92" s="22"/>
      <c r="L92" s="109"/>
      <c r="M92" s="36" t="e">
        <f t="shared" ca="1" si="4"/>
        <v>#N/A</v>
      </c>
      <c r="N92" s="57" t="e">
        <f ca="1">VLOOKUP($B92,Matrix!$H$13:$I$37,2,FALSE)&amp;"_"&amp;C92</f>
        <v>#N/A</v>
      </c>
      <c r="O92" s="116" t="e">
        <f t="shared" ca="1" si="3"/>
        <v>#N/A</v>
      </c>
    </row>
    <row r="93" spans="2:15">
      <c r="B93" s="22"/>
      <c r="C93" s="21"/>
      <c r="D93" s="108"/>
      <c r="E93" s="22"/>
      <c r="F93" s="109"/>
      <c r="G93" s="22"/>
      <c r="H93" s="109"/>
      <c r="I93" s="22"/>
      <c r="J93" s="109"/>
      <c r="K93" s="22"/>
      <c r="L93" s="109"/>
      <c r="M93" s="36" t="e">
        <f t="shared" ca="1" si="4"/>
        <v>#N/A</v>
      </c>
      <c r="N93" s="57" t="e">
        <f ca="1">VLOOKUP($B93,Matrix!$H$13:$I$37,2,FALSE)&amp;"_"&amp;C93</f>
        <v>#N/A</v>
      </c>
      <c r="O93" s="116" t="e">
        <f t="shared" ca="1" si="3"/>
        <v>#N/A</v>
      </c>
    </row>
    <row r="94" spans="2:15">
      <c r="B94" s="22"/>
      <c r="C94" s="21"/>
      <c r="D94" s="108"/>
      <c r="E94" s="22"/>
      <c r="F94" s="109"/>
      <c r="G94" s="22"/>
      <c r="H94" s="109"/>
      <c r="I94" s="22"/>
      <c r="J94" s="109"/>
      <c r="K94" s="22"/>
      <c r="L94" s="109"/>
      <c r="M94" s="36" t="e">
        <f t="shared" ca="1" si="4"/>
        <v>#N/A</v>
      </c>
      <c r="N94" s="57" t="e">
        <f ca="1">VLOOKUP($B94,Matrix!$H$13:$I$37,2,FALSE)&amp;"_"&amp;C94</f>
        <v>#N/A</v>
      </c>
      <c r="O94" s="116" t="e">
        <f t="shared" ca="1" si="3"/>
        <v>#N/A</v>
      </c>
    </row>
    <row r="95" spans="2:15">
      <c r="B95" s="22"/>
      <c r="C95" s="21"/>
      <c r="D95" s="108"/>
      <c r="E95" s="22"/>
      <c r="F95" s="109"/>
      <c r="G95" s="22"/>
      <c r="H95" s="109"/>
      <c r="I95" s="22"/>
      <c r="J95" s="109"/>
      <c r="K95" s="22"/>
      <c r="L95" s="109"/>
      <c r="M95" s="36" t="e">
        <f t="shared" ca="1" si="4"/>
        <v>#N/A</v>
      </c>
      <c r="N95" s="57" t="e">
        <f ca="1">VLOOKUP($B95,Matrix!$H$13:$I$37,2,FALSE)&amp;"_"&amp;C95</f>
        <v>#N/A</v>
      </c>
      <c r="O95" s="116" t="e">
        <f t="shared" ca="1" si="3"/>
        <v>#N/A</v>
      </c>
    </row>
    <row r="96" spans="2:15">
      <c r="B96" s="22"/>
      <c r="C96" s="21"/>
      <c r="D96" s="108"/>
      <c r="E96" s="22"/>
      <c r="F96" s="109"/>
      <c r="G96" s="22"/>
      <c r="H96" s="109"/>
      <c r="I96" s="22"/>
      <c r="J96" s="109"/>
      <c r="K96" s="22"/>
      <c r="L96" s="109"/>
      <c r="M96" s="36" t="e">
        <f t="shared" ca="1" si="4"/>
        <v>#N/A</v>
      </c>
      <c r="N96" s="57" t="e">
        <f ca="1">VLOOKUP($B96,Matrix!$H$13:$I$37,2,FALSE)&amp;"_"&amp;C96</f>
        <v>#N/A</v>
      </c>
      <c r="O96" s="116" t="e">
        <f t="shared" ca="1" si="3"/>
        <v>#N/A</v>
      </c>
    </row>
    <row r="97" spans="2:15">
      <c r="B97" s="22"/>
      <c r="C97" s="21"/>
      <c r="D97" s="108"/>
      <c r="E97" s="22"/>
      <c r="F97" s="109"/>
      <c r="G97" s="22"/>
      <c r="H97" s="109"/>
      <c r="I97" s="22"/>
      <c r="J97" s="109"/>
      <c r="K97" s="22"/>
      <c r="L97" s="109"/>
      <c r="M97" s="36" t="e">
        <f t="shared" ca="1" si="4"/>
        <v>#N/A</v>
      </c>
      <c r="N97" s="57" t="e">
        <f ca="1">VLOOKUP($B97,Matrix!$H$13:$I$37,2,FALSE)&amp;"_"&amp;C97</f>
        <v>#N/A</v>
      </c>
      <c r="O97" s="116" t="e">
        <f t="shared" ca="1" si="3"/>
        <v>#N/A</v>
      </c>
    </row>
    <row r="98" spans="2:15">
      <c r="B98" s="22"/>
      <c r="C98" s="21"/>
      <c r="D98" s="108"/>
      <c r="E98" s="22"/>
      <c r="F98" s="109"/>
      <c r="G98" s="22"/>
      <c r="H98" s="109"/>
      <c r="I98" s="22"/>
      <c r="J98" s="109"/>
      <c r="K98" s="22"/>
      <c r="L98" s="109"/>
      <c r="M98" s="36" t="e">
        <f t="shared" ca="1" si="4"/>
        <v>#N/A</v>
      </c>
      <c r="N98" s="57" t="e">
        <f ca="1">VLOOKUP($B98,Matrix!$H$13:$I$37,2,FALSE)&amp;"_"&amp;C98</f>
        <v>#N/A</v>
      </c>
      <c r="O98" s="116" t="e">
        <f t="shared" ca="1" si="3"/>
        <v>#N/A</v>
      </c>
    </row>
    <row r="99" spans="2:15">
      <c r="B99" s="22"/>
      <c r="C99" s="21"/>
      <c r="D99" s="108"/>
      <c r="E99" s="22"/>
      <c r="F99" s="109"/>
      <c r="G99" s="22"/>
      <c r="H99" s="109"/>
      <c r="I99" s="22"/>
      <c r="J99" s="109"/>
      <c r="K99" s="22"/>
      <c r="L99" s="109"/>
      <c r="M99" s="36" t="e">
        <f t="shared" ca="1" si="4"/>
        <v>#N/A</v>
      </c>
      <c r="N99" s="57" t="e">
        <f ca="1">VLOOKUP($B99,Matrix!$H$13:$I$37,2,FALSE)&amp;"_"&amp;C99</f>
        <v>#N/A</v>
      </c>
      <c r="O99" s="116" t="e">
        <f t="shared" ca="1" si="3"/>
        <v>#N/A</v>
      </c>
    </row>
    <row r="100" spans="2:15">
      <c r="B100" s="22"/>
      <c r="C100" s="21"/>
      <c r="D100" s="108"/>
      <c r="E100" s="22"/>
      <c r="F100" s="109"/>
      <c r="G100" s="22"/>
      <c r="H100" s="109"/>
      <c r="I100" s="22"/>
      <c r="J100" s="109"/>
      <c r="K100" s="22"/>
      <c r="L100" s="109"/>
      <c r="M100" s="36" t="e">
        <f t="shared" ca="1" si="4"/>
        <v>#N/A</v>
      </c>
      <c r="N100" s="57" t="e">
        <f ca="1">VLOOKUP($B100,Matrix!$H$13:$I$37,2,FALSE)&amp;"_"&amp;C100</f>
        <v>#N/A</v>
      </c>
      <c r="O100" s="116" t="e">
        <f ca="1">"#define "&amp;N100&amp;REPT(" ",48-M100)&amp;"("&amp;D100&amp;"U)"</f>
        <v>#N/A</v>
      </c>
    </row>
    <row r="101" spans="2:15">
      <c r="B101" s="22"/>
      <c r="C101" s="21"/>
      <c r="D101" s="108"/>
      <c r="E101" s="22"/>
      <c r="F101" s="109"/>
      <c r="G101" s="22"/>
      <c r="H101" s="109"/>
      <c r="I101" s="22"/>
      <c r="J101" s="109"/>
      <c r="K101" s="22"/>
      <c r="L101" s="109"/>
      <c r="M101" s="36" t="e">
        <f t="shared" ca="1" si="4"/>
        <v>#N/A</v>
      </c>
      <c r="N101" s="57" t="e">
        <f ca="1">VLOOKUP($B101,Matrix!$H$13:$I$37,2,FALSE)&amp;"_"&amp;C101</f>
        <v>#N/A</v>
      </c>
      <c r="O101" s="116" t="e">
        <f ca="1">"#define "&amp;N101&amp;REPT(" ",48-M101)&amp;"("&amp;D101&amp;"U)"</f>
        <v>#N/A</v>
      </c>
    </row>
    <row r="102" spans="2:15">
      <c r="B102" s="22"/>
      <c r="C102" s="21"/>
      <c r="D102" s="108"/>
      <c r="E102" s="22"/>
      <c r="F102" s="109"/>
      <c r="G102" s="22"/>
      <c r="H102" s="109"/>
      <c r="I102" s="22"/>
      <c r="J102" s="109"/>
      <c r="K102" s="22"/>
      <c r="L102" s="109"/>
      <c r="M102" s="36" t="e">
        <f t="shared" ca="1" si="4"/>
        <v>#N/A</v>
      </c>
      <c r="N102" s="57" t="e">
        <f ca="1">VLOOKUP($B102,Matrix!$H$13:$I$37,2,FALSE)&amp;"_"&amp;C102</f>
        <v>#N/A</v>
      </c>
      <c r="O102" s="116" t="e">
        <f ca="1">"#define "&amp;N102&amp;REPT(" ",48-M102)&amp;"("&amp;D102&amp;"U)"</f>
        <v>#N/A</v>
      </c>
    </row>
    <row r="103" spans="2:15" ht="14.25" thickBot="1">
      <c r="B103" s="42"/>
      <c r="C103" s="43"/>
      <c r="D103" s="110"/>
      <c r="E103" s="42"/>
      <c r="F103" s="111"/>
      <c r="G103" s="42"/>
      <c r="H103" s="111"/>
      <c r="I103" s="42"/>
      <c r="J103" s="111"/>
      <c r="K103" s="42"/>
      <c r="L103" s="111"/>
      <c r="M103" s="44" t="e">
        <f t="shared" ca="1" si="4"/>
        <v>#N/A</v>
      </c>
      <c r="N103" s="58" t="e">
        <f ca="1">VLOOKUP($B103,Matrix!$H$13:$I$37,2,FALSE)&amp;"_"&amp;C103</f>
        <v>#N/A</v>
      </c>
      <c r="O103" s="117" t="e">
        <f ca="1">"#define "&amp;N103&amp;REPT(" ",48-M103)&amp;"("&amp;D103&amp;"U)"</f>
        <v>#N/A</v>
      </c>
    </row>
  </sheetData>
  <sheetProtection sheet="1" objects="1" scenarios="1"/>
  <protectedRanges>
    <protectedRange sqref="B4:L103" name="範囲1"/>
  </protectedRanges>
  <phoneticPr fontId="2"/>
  <conditionalFormatting sqref="M3:M103">
    <cfRule type="cellIs" dxfId="12"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K4:K103" xr:uid="{00000000-0002-0000-0400-000001000000}">
      <formula1>#REF!</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3000000}">
          <x14:formula1>
            <xm:f>Matrix!$H$13:$H$37</xm:f>
          </x14:formula1>
          <xm:sqref>B4 B5:B103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55</v>
      </c>
      <c r="AI1" t="s">
        <v>56</v>
      </c>
    </row>
    <row r="2" spans="1:49">
      <c r="B2" s="118" t="s">
        <v>115</v>
      </c>
      <c r="C2" s="293"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5" t="s">
        <v>192</v>
      </c>
    </row>
    <row r="3" spans="1:49" ht="213" customHeight="1" thickBot="1">
      <c r="B3" s="183" t="str">
        <f>IF(OR(IF(COUNTIF(D6:AC69,"0")&lt;&gt;0,TRUE,FALSE),IF(COUNTIF(D6:AC69,"1")&lt;&gt;0,TRUE,FALSE)),"Search Table","Index Table")</f>
        <v>Index Table</v>
      </c>
      <c r="C3" s="294"/>
      <c r="D3" s="120" t="s">
        <v>57</v>
      </c>
      <c r="E3" s="120" t="s">
        <v>62</v>
      </c>
      <c r="F3" s="120" t="s">
        <v>45</v>
      </c>
      <c r="G3" s="120" t="s">
        <v>44</v>
      </c>
      <c r="H3" s="120" t="s">
        <v>113</v>
      </c>
      <c r="I3" s="120" t="s">
        <v>112</v>
      </c>
      <c r="J3" s="120" t="s">
        <v>117</v>
      </c>
      <c r="K3" s="120" t="s">
        <v>116</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121" t="s">
        <v>58</v>
      </c>
      <c r="AG3" s="121" t="s">
        <v>58</v>
      </c>
      <c r="AH3" s="207" t="s">
        <v>226</v>
      </c>
      <c r="AI3" s="208" t="s">
        <v>268</v>
      </c>
      <c r="AJ3" s="296"/>
      <c r="AR3" s="82" t="s">
        <v>88</v>
      </c>
    </row>
    <row r="4" spans="1:49" ht="14.25" thickBot="1">
      <c r="A4" s="297" t="s">
        <v>59</v>
      </c>
      <c r="B4" s="298"/>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3"/>
      <c r="AR4" s="70" t="s">
        <v>75</v>
      </c>
      <c r="AS4" s="71"/>
      <c r="AT4" s="71"/>
      <c r="AU4" s="71"/>
      <c r="AV4" s="71"/>
      <c r="AW4" s="72"/>
    </row>
    <row r="5" spans="1:49" ht="14.25" thickBot="1">
      <c r="A5" s="299"/>
      <c r="B5" s="300"/>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24"/>
      <c r="AR5" s="73" t="str">
        <f ca="1">"static const U4  "&amp;AW8&amp;"["&amp;AW10&amp;"]"&amp;" = {"</f>
        <v>static const U4  u4_sp_ALERT_H_MAICER_PD1_CRIT[ALERT_H_MAICER_PD1_NUM_DST] = {</v>
      </c>
      <c r="AS5" s="73" t="str">
        <f ca="1">"static const U4  "&amp;$AW$9&amp;"["&amp;$AW$10&amp;"] = {"</f>
        <v>static const U4  u4_sp_ALERT_H_MAICER_PD1_MASK[ALERT_H_MAICER_PD1_NUM_DST] = {</v>
      </c>
      <c r="AT5" s="73" t="str">
        <f ca="1">"static const U1  "&amp;$AW$11&amp;"["&amp;$AW$10&amp;"] = {"</f>
        <v>static const U1  u1_sp_ALERT_H_MAICER_PD1_DST[ALERT_H_MAICER_PD1_NUM_DST] = {</v>
      </c>
      <c r="AU5" s="73" t="str">
        <f ca="1">"const ST_ALERT_MTRX "&amp;$AW$12&amp;" = {"</f>
        <v>const ST_ALERT_MTRX st_gp_ALERT_H_MAICER_MTRX[4] = {</v>
      </c>
      <c r="AV5" s="54" t="str">
        <f ca="1">"#define "&amp;AW10&amp;REPT(" ",41-LEN(AW10))&amp;"("&amp;AW13&amp;"U)"</f>
        <v>#define ALERT_H_MAICER_PD1_NUM_DST               (4U)</v>
      </c>
      <c r="AW5" s="55"/>
    </row>
    <row r="6" spans="1:49">
      <c r="B6" s="126" t="str">
        <f ca="1">"Table "&amp;$AW$6</f>
        <v>Table PD1</v>
      </c>
      <c r="C6" s="41">
        <f>ROW()-ROW($C$6)</f>
        <v>0</v>
      </c>
      <c r="D6" s="122" t="s">
        <v>176</v>
      </c>
      <c r="E6" s="122" t="s">
        <v>176</v>
      </c>
      <c r="F6" s="122" t="s">
        <v>176</v>
      </c>
      <c r="G6" s="122" t="s">
        <v>176</v>
      </c>
      <c r="H6" s="122" t="s">
        <v>176</v>
      </c>
      <c r="I6" s="122" t="s">
        <v>176</v>
      </c>
      <c r="J6" s="122" t="s">
        <v>176</v>
      </c>
      <c r="K6" s="122" t="s">
        <v>176</v>
      </c>
      <c r="L6" s="122" t="s">
        <v>176</v>
      </c>
      <c r="M6" s="122" t="s">
        <v>176</v>
      </c>
      <c r="N6" s="122" t="s">
        <v>176</v>
      </c>
      <c r="O6" s="122" t="s">
        <v>176</v>
      </c>
      <c r="P6" s="122" t="s">
        <v>176</v>
      </c>
      <c r="Q6" s="122" t="s">
        <v>176</v>
      </c>
      <c r="R6" s="122" t="s">
        <v>176</v>
      </c>
      <c r="S6" s="122" t="s">
        <v>176</v>
      </c>
      <c r="T6" s="122" t="s">
        <v>176</v>
      </c>
      <c r="U6" s="122" t="s">
        <v>176</v>
      </c>
      <c r="V6" s="122" t="s">
        <v>176</v>
      </c>
      <c r="W6" s="122" t="s">
        <v>176</v>
      </c>
      <c r="X6" s="122" t="s">
        <v>176</v>
      </c>
      <c r="Y6" s="122" t="s">
        <v>176</v>
      </c>
      <c r="Z6" s="122" t="s">
        <v>176</v>
      </c>
      <c r="AA6" s="122" t="s">
        <v>176</v>
      </c>
      <c r="AB6" s="122" t="s">
        <v>176</v>
      </c>
      <c r="AC6" s="122" t="s">
        <v>176</v>
      </c>
      <c r="AD6" s="122" t="s">
        <v>176</v>
      </c>
      <c r="AE6" s="122" t="s">
        <v>176</v>
      </c>
      <c r="AF6" s="122" t="s">
        <v>176</v>
      </c>
      <c r="AG6" s="122" t="s">
        <v>176</v>
      </c>
      <c r="AH6" s="122">
        <v>0</v>
      </c>
      <c r="AI6" s="122">
        <v>0</v>
      </c>
      <c r="AJ6" s="40" t="s">
        <v>30</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(U4)0x00000003U,                                                           /* 00 UNKNOWN                                         */</v>
      </c>
      <c r="AT6" s="52" t="str">
        <f t="shared" ref="AT6:AT69" si="1">IF(AJ6&lt;&gt;"",AL6&amp;IF(AJ7&lt;&gt;"",","," ")&amp;REPT(" ",78-LEN(AL6))&amp;"/* "&amp;IF(C6&lt;10,"0"&amp;C6,C6)&amp;" "&amp;AJ6&amp;REPT(" ",48-LEN(AJ6))&amp;"*/",IF(AJ5&lt;&gt;"","};",""))</f>
        <v xml:space="preserve">    (U1)ALERT_REQ_UNKNOWN,                                                     /* 00 UNKNOWN                                         */</v>
      </c>
      <c r="AU6" s="52" t="s">
        <v>200</v>
      </c>
      <c r="AV6" s="37" t="s">
        <v>64</v>
      </c>
      <c r="AW6" s="56" t="str">
        <f ca="1">UPPER(RIGHT(CELL("filename",A1),LEN(CELL("filename",A1))-FIND("]",CELL("filename",A1))))</f>
        <v>PD1</v>
      </c>
    </row>
    <row r="7" spans="1:49">
      <c r="B7" s="126"/>
      <c r="C7" s="36">
        <f t="shared" ref="C7:C69" si="2">ROW()-ROW($C$6)</f>
        <v>1</v>
      </c>
      <c r="D7" s="50" t="s">
        <v>176</v>
      </c>
      <c r="E7" s="50" t="s">
        <v>176</v>
      </c>
      <c r="F7" s="50" t="s">
        <v>176</v>
      </c>
      <c r="G7" s="50" t="s">
        <v>176</v>
      </c>
      <c r="H7" s="50" t="s">
        <v>176</v>
      </c>
      <c r="I7" s="50" t="s">
        <v>176</v>
      </c>
      <c r="J7" s="50" t="s">
        <v>176</v>
      </c>
      <c r="K7" s="50" t="s">
        <v>176</v>
      </c>
      <c r="L7" s="50" t="s">
        <v>176</v>
      </c>
      <c r="M7" s="50" t="s">
        <v>176</v>
      </c>
      <c r="N7" s="50" t="s">
        <v>176</v>
      </c>
      <c r="O7" s="50" t="s">
        <v>176</v>
      </c>
      <c r="P7" s="50" t="s">
        <v>176</v>
      </c>
      <c r="Q7" s="50" t="s">
        <v>176</v>
      </c>
      <c r="R7" s="50" t="s">
        <v>176</v>
      </c>
      <c r="S7" s="50" t="s">
        <v>176</v>
      </c>
      <c r="T7" s="50" t="s">
        <v>176</v>
      </c>
      <c r="U7" s="50" t="s">
        <v>176</v>
      </c>
      <c r="V7" s="50" t="s">
        <v>176</v>
      </c>
      <c r="W7" s="50" t="s">
        <v>176</v>
      </c>
      <c r="X7" s="50" t="s">
        <v>176</v>
      </c>
      <c r="Y7" s="50" t="s">
        <v>176</v>
      </c>
      <c r="Z7" s="50" t="s">
        <v>176</v>
      </c>
      <c r="AA7" s="50" t="s">
        <v>176</v>
      </c>
      <c r="AB7" s="50" t="s">
        <v>176</v>
      </c>
      <c r="AC7" s="50" t="s">
        <v>176</v>
      </c>
      <c r="AD7" s="50" t="s">
        <v>176</v>
      </c>
      <c r="AE7" s="50" t="s">
        <v>176</v>
      </c>
      <c r="AF7" s="50" t="s">
        <v>176</v>
      </c>
      <c r="AG7" s="50" t="s">
        <v>176</v>
      </c>
      <c r="AH7" s="50">
        <v>0</v>
      </c>
      <c r="AI7" s="50">
        <v>1</v>
      </c>
      <c r="AJ7" s="21" t="s">
        <v>221</v>
      </c>
      <c r="AL7" t="str">
        <f t="shared" ca="1" si="0"/>
        <v xml:space="preserve">    (U1)ALERT_REQ_H_MAICER_PD1_MALFUNC</v>
      </c>
      <c r="AR7" s="52" t="str">
        <f t="shared" ref="AR7:AR70" si="3">IF(AQ72&lt;&gt;"",AQ72,IF(AQ71&lt;&gt;"","};",""))</f>
        <v xml:space="preserve">    (U4)0x00000001U,                                                           /* 01 MALFUNC                                         */</v>
      </c>
      <c r="AS7" s="52" t="str">
        <f t="shared" ref="AS7:AS70" si="4">IF(AQ137&lt;&gt;"",AQ137,IF(AQ136&lt;&gt;"","};",""))</f>
        <v xml:space="preserve">    (U4)0x00000003U,                                                           /* 01 MALFUNC                                         */</v>
      </c>
      <c r="AT7" s="52" t="str">
        <f t="shared" ca="1" si="1"/>
        <v xml:space="preserve">    (U1)ALERT_REQ_H_MAICER_PD1_MALFUNC,                                        /* 01 MALFUNC                                         */</v>
      </c>
      <c r="AU7" s="52" t="str">
        <f ca="1">"        &amp;"&amp;$AW$14&amp;","&amp;REPT(" ",69-LEN($AW$14))&amp;"/* fp_u4_SRC_CHK                                      */"</f>
        <v xml:space="preserve">        &amp;u4_s_AlertH_maicerPd1Srcchk,                                          /* fp_u4_SRC_CHK                                      */</v>
      </c>
      <c r="AV7" s="38" t="s">
        <v>65</v>
      </c>
      <c r="AW7" s="125">
        <f>IF(B3="Search Table",1,0)</f>
        <v>0</v>
      </c>
    </row>
    <row r="8" spans="1:49">
      <c r="B8" s="126"/>
      <c r="C8" s="36">
        <f t="shared" si="2"/>
        <v>2</v>
      </c>
      <c r="D8" s="50" t="s">
        <v>176</v>
      </c>
      <c r="E8" s="50" t="s">
        <v>176</v>
      </c>
      <c r="F8" s="50" t="s">
        <v>176</v>
      </c>
      <c r="G8" s="50" t="s">
        <v>176</v>
      </c>
      <c r="H8" s="50" t="s">
        <v>176</v>
      </c>
      <c r="I8" s="50" t="s">
        <v>176</v>
      </c>
      <c r="J8" s="50" t="s">
        <v>176</v>
      </c>
      <c r="K8" s="50" t="s">
        <v>176</v>
      </c>
      <c r="L8" s="50" t="s">
        <v>176</v>
      </c>
      <c r="M8" s="50" t="s">
        <v>176</v>
      </c>
      <c r="N8" s="50" t="s">
        <v>176</v>
      </c>
      <c r="O8" s="50" t="s">
        <v>176</v>
      </c>
      <c r="P8" s="50" t="s">
        <v>176</v>
      </c>
      <c r="Q8" s="50" t="s">
        <v>176</v>
      </c>
      <c r="R8" s="50" t="s">
        <v>176</v>
      </c>
      <c r="S8" s="50" t="s">
        <v>176</v>
      </c>
      <c r="T8" s="50" t="s">
        <v>176</v>
      </c>
      <c r="U8" s="50" t="s">
        <v>176</v>
      </c>
      <c r="V8" s="50" t="s">
        <v>176</v>
      </c>
      <c r="W8" s="50" t="s">
        <v>176</v>
      </c>
      <c r="X8" s="50" t="s">
        <v>176</v>
      </c>
      <c r="Y8" s="50" t="s">
        <v>176</v>
      </c>
      <c r="Z8" s="50" t="s">
        <v>176</v>
      </c>
      <c r="AA8" s="50" t="s">
        <v>176</v>
      </c>
      <c r="AB8" s="50" t="s">
        <v>176</v>
      </c>
      <c r="AC8" s="50" t="s">
        <v>176</v>
      </c>
      <c r="AD8" s="50" t="s">
        <v>176</v>
      </c>
      <c r="AE8" s="50" t="s">
        <v>176</v>
      </c>
      <c r="AF8" s="50" t="s">
        <v>176</v>
      </c>
      <c r="AG8" s="50" t="s">
        <v>176</v>
      </c>
      <c r="AH8" s="50">
        <v>1</v>
      </c>
      <c r="AI8" s="50">
        <v>0</v>
      </c>
      <c r="AJ8" s="21" t="s">
        <v>30</v>
      </c>
      <c r="AL8" t="str">
        <f t="shared" si="0"/>
        <v xml:space="preserve">    (U1)ALERT_REQ_UNKNOWN</v>
      </c>
      <c r="AR8" s="52" t="str">
        <f t="shared" si="3"/>
        <v xml:space="preserve">    (U4)0x00000002U,                                                           /* 02 UNKNOWN                                         */</v>
      </c>
      <c r="AS8" s="52" t="str">
        <f t="shared" si="4"/>
        <v xml:space="preserve">    (U4)0x00000003U,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u4_sp_ALERT_H_MAICER_PD1_CRIT</v>
      </c>
    </row>
    <row r="9" spans="1:49">
      <c r="B9" s="126"/>
      <c r="C9" s="36">
        <f t="shared" si="2"/>
        <v>3</v>
      </c>
      <c r="D9" s="50" t="s">
        <v>176</v>
      </c>
      <c r="E9" s="50" t="s">
        <v>176</v>
      </c>
      <c r="F9" s="50" t="s">
        <v>176</v>
      </c>
      <c r="G9" s="50" t="s">
        <v>176</v>
      </c>
      <c r="H9" s="50" t="s">
        <v>176</v>
      </c>
      <c r="I9" s="50" t="s">
        <v>176</v>
      </c>
      <c r="J9" s="50" t="s">
        <v>176</v>
      </c>
      <c r="K9" s="50" t="s">
        <v>176</v>
      </c>
      <c r="L9" s="50" t="s">
        <v>176</v>
      </c>
      <c r="M9" s="50" t="s">
        <v>176</v>
      </c>
      <c r="N9" s="50" t="s">
        <v>176</v>
      </c>
      <c r="O9" s="50" t="s">
        <v>176</v>
      </c>
      <c r="P9" s="50" t="s">
        <v>176</v>
      </c>
      <c r="Q9" s="50" t="s">
        <v>176</v>
      </c>
      <c r="R9" s="50" t="s">
        <v>176</v>
      </c>
      <c r="S9" s="50" t="s">
        <v>176</v>
      </c>
      <c r="T9" s="50" t="s">
        <v>176</v>
      </c>
      <c r="U9" s="50" t="s">
        <v>176</v>
      </c>
      <c r="V9" s="50" t="s">
        <v>176</v>
      </c>
      <c r="W9" s="50" t="s">
        <v>176</v>
      </c>
      <c r="X9" s="50" t="s">
        <v>176</v>
      </c>
      <c r="Y9" s="50" t="s">
        <v>176</v>
      </c>
      <c r="Z9" s="50" t="s">
        <v>176</v>
      </c>
      <c r="AA9" s="50" t="s">
        <v>176</v>
      </c>
      <c r="AB9" s="50" t="s">
        <v>176</v>
      </c>
      <c r="AC9" s="50" t="s">
        <v>176</v>
      </c>
      <c r="AD9" s="50" t="s">
        <v>176</v>
      </c>
      <c r="AE9" s="50" t="s">
        <v>176</v>
      </c>
      <c r="AF9" s="50" t="s">
        <v>176</v>
      </c>
      <c r="AG9" s="50" t="s">
        <v>176</v>
      </c>
      <c r="AH9" s="50">
        <v>1</v>
      </c>
      <c r="AI9" s="50">
        <v>1</v>
      </c>
      <c r="AJ9" s="40" t="s">
        <v>30</v>
      </c>
      <c r="AL9" t="str">
        <f t="shared" si="0"/>
        <v xml:space="preserve">    (U1)ALERT_REQ_UNKNOWN</v>
      </c>
      <c r="AR9" s="52" t="str">
        <f t="shared" si="3"/>
        <v xml:space="preserve">    (U4)0x00000003U                                                            /* 03 UNKNOWN                                         */</v>
      </c>
      <c r="AS9" s="52" t="str">
        <f t="shared" si="4"/>
        <v xml:space="preserve">    (U4)0x00000003U                                                            /* 03 UNKNOWN                                         */</v>
      </c>
      <c r="AT9" s="52" t="str">
        <f t="shared" si="1"/>
        <v xml:space="preserve">    (U1)ALERT_REQ_UNKNOWN                                                      /* 03 UNKNOWN                                         */</v>
      </c>
      <c r="AU9" s="52"/>
      <c r="AV9" s="38" t="s">
        <v>67</v>
      </c>
      <c r="AW9" s="57" t="str">
        <f ca="1">"u4_sp_ALERT_"&amp;IF(AW6&lt;&gt;AW17,$AW$17&amp;"_"&amp;$AW$6,AW17)&amp;"_MASK"</f>
        <v>u4_sp_ALERT_H_MAICER_PD1_MASK</v>
      </c>
    </row>
    <row r="10" spans="1:49">
      <c r="B10" s="126"/>
      <c r="C10" s="36">
        <f t="shared" si="2"/>
        <v>4</v>
      </c>
      <c r="D10" s="50" t="s">
        <v>176</v>
      </c>
      <c r="E10" s="50" t="s">
        <v>176</v>
      </c>
      <c r="F10" s="50" t="s">
        <v>176</v>
      </c>
      <c r="G10" s="50" t="s">
        <v>176</v>
      </c>
      <c r="H10" s="50" t="s">
        <v>176</v>
      </c>
      <c r="I10" s="50" t="s">
        <v>176</v>
      </c>
      <c r="J10" s="50" t="s">
        <v>176</v>
      </c>
      <c r="K10" s="50" t="s">
        <v>176</v>
      </c>
      <c r="L10" s="50" t="s">
        <v>176</v>
      </c>
      <c r="M10" s="50" t="s">
        <v>176</v>
      </c>
      <c r="N10" s="50" t="s">
        <v>176</v>
      </c>
      <c r="O10" s="50" t="s">
        <v>176</v>
      </c>
      <c r="P10" s="50" t="s">
        <v>176</v>
      </c>
      <c r="Q10" s="50" t="s">
        <v>176</v>
      </c>
      <c r="R10" s="50" t="s">
        <v>176</v>
      </c>
      <c r="S10" s="50" t="s">
        <v>176</v>
      </c>
      <c r="T10" s="50" t="s">
        <v>176</v>
      </c>
      <c r="U10" s="50" t="s">
        <v>176</v>
      </c>
      <c r="V10" s="50" t="s">
        <v>176</v>
      </c>
      <c r="W10" s="50" t="s">
        <v>176</v>
      </c>
      <c r="X10" s="50" t="s">
        <v>176</v>
      </c>
      <c r="Y10" s="50" t="s">
        <v>176</v>
      </c>
      <c r="Z10" s="50" t="s">
        <v>176</v>
      </c>
      <c r="AA10" s="50" t="s">
        <v>176</v>
      </c>
      <c r="AB10" s="50" t="s">
        <v>176</v>
      </c>
      <c r="AC10" s="50" t="s">
        <v>176</v>
      </c>
      <c r="AD10" s="50" t="s">
        <v>176</v>
      </c>
      <c r="AE10" s="50" t="s">
        <v>176</v>
      </c>
      <c r="AF10" s="50" t="s">
        <v>176</v>
      </c>
      <c r="AG10" s="50" t="s">
        <v>176</v>
      </c>
      <c r="AH10" s="50" t="s">
        <v>176</v>
      </c>
      <c r="AI10" s="50" t="s">
        <v>176</v>
      </c>
      <c r="AJ10" s="40"/>
      <c r="AL10" t="str">
        <f t="shared" ca="1" si="0"/>
        <v xml:space="preserve">    (U1)ALERT_REQ_H_MAICER_PD1_</v>
      </c>
      <c r="AR10" s="52" t="str">
        <f t="shared" si="3"/>
        <v>};</v>
      </c>
      <c r="AS10" s="52" t="str">
        <f t="shared" si="4"/>
        <v>};</v>
      </c>
      <c r="AT10" s="52" t="str">
        <f t="shared" si="1"/>
        <v>};</v>
      </c>
      <c r="AU10" s="52" t="str">
        <f>IF($AW$7=1,"        &amp;"&amp;$AW$9&amp;"[0],"&amp;REPT(" ",66-LEN($AW$9))&amp;"/* u4p_MASK                                           */","        (const U4 *)vdp_PTR_NA,                                                /* u4p_MASK                                           */")</f>
        <v xml:space="preserve">        (const U4 *)vdp_PTR_NA,                                                /* u4p_MASK                                           */</v>
      </c>
      <c r="AV10" s="38" t="s">
        <v>68</v>
      </c>
      <c r="AW10" s="57" t="str">
        <f ca="1">"ALERT_"&amp;IF(AW6&lt;&gt;AW17,$AW$17&amp;"_"&amp;$AW$6,AW17)&amp;"_NUM_DST"</f>
        <v>ALERT_H_MAICER_PD1_NUM_DST</v>
      </c>
    </row>
    <row r="11" spans="1:49">
      <c r="B11" s="126"/>
      <c r="C11" s="36">
        <f t="shared" si="2"/>
        <v>5</v>
      </c>
      <c r="D11" s="50" t="s">
        <v>176</v>
      </c>
      <c r="E11" s="50" t="s">
        <v>176</v>
      </c>
      <c r="F11" s="50" t="s">
        <v>176</v>
      </c>
      <c r="G11" s="50" t="s">
        <v>176</v>
      </c>
      <c r="H11" s="50" t="s">
        <v>176</v>
      </c>
      <c r="I11" s="50" t="s">
        <v>176</v>
      </c>
      <c r="J11" s="50" t="s">
        <v>176</v>
      </c>
      <c r="K11" s="50" t="s">
        <v>176</v>
      </c>
      <c r="L11" s="50" t="s">
        <v>176</v>
      </c>
      <c r="M11" s="50" t="s">
        <v>176</v>
      </c>
      <c r="N11" s="50" t="s">
        <v>176</v>
      </c>
      <c r="O11" s="50" t="s">
        <v>176</v>
      </c>
      <c r="P11" s="50" t="s">
        <v>176</v>
      </c>
      <c r="Q11" s="50" t="s">
        <v>176</v>
      </c>
      <c r="R11" s="50" t="s">
        <v>176</v>
      </c>
      <c r="S11" s="50" t="s">
        <v>176</v>
      </c>
      <c r="T11" s="50" t="s">
        <v>176</v>
      </c>
      <c r="U11" s="50" t="s">
        <v>176</v>
      </c>
      <c r="V11" s="50" t="s">
        <v>176</v>
      </c>
      <c r="W11" s="50" t="s">
        <v>176</v>
      </c>
      <c r="X11" s="50" t="s">
        <v>176</v>
      </c>
      <c r="Y11" s="50" t="s">
        <v>176</v>
      </c>
      <c r="Z11" s="50" t="s">
        <v>176</v>
      </c>
      <c r="AA11" s="50" t="s">
        <v>176</v>
      </c>
      <c r="AB11" s="50" t="s">
        <v>176</v>
      </c>
      <c r="AC11" s="50" t="s">
        <v>176</v>
      </c>
      <c r="AD11" s="50" t="s">
        <v>176</v>
      </c>
      <c r="AE11" s="50" t="s">
        <v>176</v>
      </c>
      <c r="AF11" s="50" t="s">
        <v>176</v>
      </c>
      <c r="AG11" s="50" t="s">
        <v>176</v>
      </c>
      <c r="AH11" s="50" t="s">
        <v>176</v>
      </c>
      <c r="AI11" s="50" t="s">
        <v>176</v>
      </c>
      <c r="AJ11" s="40"/>
      <c r="AL11" t="str">
        <f t="shared" ca="1" si="0"/>
        <v xml:space="preserve">    (U1)ALERT_REQ_H_MAICER_PD1_</v>
      </c>
      <c r="AR11" s="52" t="str">
        <f t="shared" si="3"/>
        <v/>
      </c>
      <c r="AS11" s="52" t="str">
        <f t="shared" si="4"/>
        <v/>
      </c>
      <c r="AT11" s="52" t="str">
        <f t="shared" si="1"/>
        <v/>
      </c>
      <c r="AU11" s="52" t="str">
        <f>IF($AW$7=1,"        &amp;"&amp;$AW$8&amp;"[0],"&amp;REPT(" ",66-LEN($AW$8))&amp;"/* u4p_CRIT                                           */","        (const U4 *)vdp_PTR_NA,                                                /* u4p_CRIT                                           */")</f>
        <v xml:space="preserve">        (const U4 *)vdp_PTR_NA,                                                /* u4p_CRIT                                           */</v>
      </c>
      <c r="AV11" s="38" t="s">
        <v>69</v>
      </c>
      <c r="AW11" s="57" t="str">
        <f ca="1">"u1_sp_ALERT_"&amp;IF(AW6&lt;&gt;AW17,$AW$17&amp;"_"&amp;$AW$6,AW17)&amp;"_DST"</f>
        <v>u1_sp_ALERT_H_MAICER_PD1_DST</v>
      </c>
    </row>
    <row r="12" spans="1:49">
      <c r="B12" s="126"/>
      <c r="C12" s="36">
        <f t="shared" si="2"/>
        <v>6</v>
      </c>
      <c r="D12" s="50" t="s">
        <v>176</v>
      </c>
      <c r="E12" s="50" t="s">
        <v>176</v>
      </c>
      <c r="F12" s="50" t="s">
        <v>176</v>
      </c>
      <c r="G12" s="50" t="s">
        <v>176</v>
      </c>
      <c r="H12" s="50" t="s">
        <v>176</v>
      </c>
      <c r="I12" s="50" t="s">
        <v>176</v>
      </c>
      <c r="J12" s="50" t="s">
        <v>176</v>
      </c>
      <c r="K12" s="50" t="s">
        <v>176</v>
      </c>
      <c r="L12" s="50" t="s">
        <v>176</v>
      </c>
      <c r="M12" s="50" t="s">
        <v>176</v>
      </c>
      <c r="N12" s="50" t="s">
        <v>176</v>
      </c>
      <c r="O12" s="50" t="s">
        <v>176</v>
      </c>
      <c r="P12" s="50" t="s">
        <v>176</v>
      </c>
      <c r="Q12" s="50" t="s">
        <v>176</v>
      </c>
      <c r="R12" s="50" t="s">
        <v>176</v>
      </c>
      <c r="S12" s="50" t="s">
        <v>176</v>
      </c>
      <c r="T12" s="50" t="s">
        <v>176</v>
      </c>
      <c r="U12" s="50" t="s">
        <v>176</v>
      </c>
      <c r="V12" s="50" t="s">
        <v>176</v>
      </c>
      <c r="W12" s="50" t="s">
        <v>176</v>
      </c>
      <c r="X12" s="50" t="s">
        <v>176</v>
      </c>
      <c r="Y12" s="50" t="s">
        <v>176</v>
      </c>
      <c r="Z12" s="50" t="s">
        <v>176</v>
      </c>
      <c r="AA12" s="50" t="s">
        <v>176</v>
      </c>
      <c r="AB12" s="50" t="s">
        <v>176</v>
      </c>
      <c r="AC12" s="50" t="s">
        <v>176</v>
      </c>
      <c r="AD12" s="50" t="s">
        <v>176</v>
      </c>
      <c r="AE12" s="50" t="s">
        <v>176</v>
      </c>
      <c r="AF12" s="50" t="s">
        <v>176</v>
      </c>
      <c r="AG12" s="50" t="s">
        <v>176</v>
      </c>
      <c r="AH12" s="50" t="s">
        <v>176</v>
      </c>
      <c r="AI12" s="50" t="s">
        <v>176</v>
      </c>
      <c r="AJ12" s="40"/>
      <c r="AL12" t="str">
        <f t="shared" ca="1" si="0"/>
        <v xml:space="preserve">    (U1)ALERT_REQ_H_MAICER_PD1_</v>
      </c>
      <c r="AR12" s="52" t="str">
        <f t="shared" si="3"/>
        <v/>
      </c>
      <c r="AS12" s="52" t="str">
        <f t="shared" si="4"/>
        <v/>
      </c>
      <c r="AT12" s="52" t="str">
        <f t="shared" si="1"/>
        <v/>
      </c>
      <c r="AU12" s="52"/>
      <c r="AV12" s="38" t="s">
        <v>81</v>
      </c>
      <c r="AW12" s="57" t="str">
        <f ca="1">Matrix!D8&amp;"["&amp;Matrix!D7&amp;"]"</f>
        <v>st_gp_ALERT_H_MAICER_MTRX[4]</v>
      </c>
    </row>
    <row r="13" spans="1:49">
      <c r="B13" s="126"/>
      <c r="C13" s="36">
        <f t="shared" si="2"/>
        <v>7</v>
      </c>
      <c r="D13" s="50" t="s">
        <v>176</v>
      </c>
      <c r="E13" s="50" t="s">
        <v>176</v>
      </c>
      <c r="F13" s="50" t="s">
        <v>176</v>
      </c>
      <c r="G13" s="50" t="s">
        <v>177</v>
      </c>
      <c r="H13" s="50" t="s">
        <v>177</v>
      </c>
      <c r="I13" s="50" t="s">
        <v>177</v>
      </c>
      <c r="J13" s="50" t="s">
        <v>177</v>
      </c>
      <c r="K13" s="50" t="s">
        <v>177</v>
      </c>
      <c r="L13" s="50" t="s">
        <v>177</v>
      </c>
      <c r="M13" s="50" t="s">
        <v>177</v>
      </c>
      <c r="N13" s="50" t="s">
        <v>177</v>
      </c>
      <c r="O13" s="50" t="s">
        <v>177</v>
      </c>
      <c r="P13" s="50" t="s">
        <v>176</v>
      </c>
      <c r="Q13" s="50" t="s">
        <v>176</v>
      </c>
      <c r="R13" s="50" t="s">
        <v>176</v>
      </c>
      <c r="S13" s="50" t="s">
        <v>176</v>
      </c>
      <c r="T13" s="50" t="s">
        <v>176</v>
      </c>
      <c r="U13" s="50" t="s">
        <v>176</v>
      </c>
      <c r="V13" s="50" t="s">
        <v>176</v>
      </c>
      <c r="W13" s="50" t="s">
        <v>176</v>
      </c>
      <c r="X13" s="50" t="s">
        <v>176</v>
      </c>
      <c r="Y13" s="50" t="s">
        <v>176</v>
      </c>
      <c r="Z13" s="50" t="s">
        <v>176</v>
      </c>
      <c r="AA13" s="50" t="s">
        <v>176</v>
      </c>
      <c r="AB13" s="50" t="s">
        <v>176</v>
      </c>
      <c r="AC13" s="50" t="s">
        <v>176</v>
      </c>
      <c r="AD13" s="50" t="s">
        <v>176</v>
      </c>
      <c r="AE13" s="50" t="s">
        <v>176</v>
      </c>
      <c r="AF13" s="50" t="s">
        <v>176</v>
      </c>
      <c r="AG13" s="50" t="s">
        <v>176</v>
      </c>
      <c r="AH13" s="50" t="s">
        <v>176</v>
      </c>
      <c r="AI13" s="50" t="s">
        <v>176</v>
      </c>
      <c r="AJ13" s="40"/>
      <c r="AL13" t="str">
        <f t="shared" ca="1" si="0"/>
        <v xml:space="preserve">    (U1)ALERT_REQ_H_MAICER_PD1_</v>
      </c>
      <c r="AR13" s="52" t="str">
        <f t="shared" si="3"/>
        <v/>
      </c>
      <c r="AS13" s="52" t="str">
        <f t="shared" si="4"/>
        <v/>
      </c>
      <c r="AT13" s="52" t="str">
        <f t="shared" si="1"/>
        <v/>
      </c>
      <c r="AU13" s="52" t="str">
        <f ca="1">"        &amp;"&amp;$AW$11&amp;"[0],"&amp;REPT(" ",66-LEN($AW$11))&amp;"/* u1p_DST                                            */"</f>
        <v xml:space="preserve">        &amp;u1_sp_ALERT_H_MAICER_PD1_DST[0],                                      /* u1p_DST                                            */</v>
      </c>
      <c r="AV13" s="38" t="s">
        <v>70</v>
      </c>
      <c r="AW13" s="125">
        <f>COUNTA($AJ$6:$AJ$69)</f>
        <v>4</v>
      </c>
    </row>
    <row r="14" spans="1:49">
      <c r="B14" s="126"/>
      <c r="C14" s="36">
        <f t="shared" si="2"/>
        <v>8</v>
      </c>
      <c r="D14" s="50" t="s">
        <v>176</v>
      </c>
      <c r="E14" s="50" t="s">
        <v>176</v>
      </c>
      <c r="F14" s="50" t="s">
        <v>176</v>
      </c>
      <c r="G14" s="50" t="s">
        <v>177</v>
      </c>
      <c r="H14" s="50" t="s">
        <v>177</v>
      </c>
      <c r="I14" s="50" t="s">
        <v>177</v>
      </c>
      <c r="J14" s="50" t="s">
        <v>177</v>
      </c>
      <c r="K14" s="50" t="s">
        <v>177</v>
      </c>
      <c r="L14" s="50" t="s">
        <v>177</v>
      </c>
      <c r="M14" s="50" t="s">
        <v>177</v>
      </c>
      <c r="N14" s="50" t="s">
        <v>177</v>
      </c>
      <c r="O14" s="50" t="s">
        <v>177</v>
      </c>
      <c r="P14" s="50" t="s">
        <v>176</v>
      </c>
      <c r="Q14" s="50" t="s">
        <v>176</v>
      </c>
      <c r="R14" s="50" t="s">
        <v>176</v>
      </c>
      <c r="S14" s="50" t="s">
        <v>176</v>
      </c>
      <c r="T14" s="50" t="s">
        <v>176</v>
      </c>
      <c r="U14" s="50" t="s">
        <v>176</v>
      </c>
      <c r="V14" s="50" t="s">
        <v>176</v>
      </c>
      <c r="W14" s="50" t="s">
        <v>176</v>
      </c>
      <c r="X14" s="50" t="s">
        <v>176</v>
      </c>
      <c r="Y14" s="50" t="s">
        <v>176</v>
      </c>
      <c r="Z14" s="50" t="s">
        <v>176</v>
      </c>
      <c r="AA14" s="50" t="s">
        <v>176</v>
      </c>
      <c r="AB14" s="50" t="s">
        <v>176</v>
      </c>
      <c r="AC14" s="50" t="s">
        <v>176</v>
      </c>
      <c r="AD14" s="50" t="s">
        <v>176</v>
      </c>
      <c r="AE14" s="50" t="s">
        <v>176</v>
      </c>
      <c r="AF14" s="50" t="s">
        <v>176</v>
      </c>
      <c r="AG14" s="50" t="s">
        <v>176</v>
      </c>
      <c r="AH14" s="50" t="s">
        <v>176</v>
      </c>
      <c r="AI14" s="50" t="s">
        <v>176</v>
      </c>
      <c r="AJ14" s="40"/>
      <c r="AL14" t="str">
        <f t="shared" ca="1" si="0"/>
        <v xml:space="preserve">    (U1)ALERT_REQ_H_MAICER_PD1_</v>
      </c>
      <c r="AR14" s="52" t="str">
        <f t="shared" si="3"/>
        <v/>
      </c>
      <c r="AS14" s="52" t="str">
        <f t="shared" si="4"/>
        <v/>
      </c>
      <c r="AT14" s="52" t="str">
        <f t="shared" si="1"/>
        <v/>
      </c>
      <c r="AU14" s="52" t="str">
        <f ca="1">"        (U2)"&amp;$AW$10&amp;","&amp;REPT(" ",66-LEN($AW$10))&amp;"/* u2_num_srch                                        */"</f>
        <v xml:space="preserve">        (U2)ALERT_H_MAICER_PD1_NUM_DST,                                        /* u2_num_srch                                        */</v>
      </c>
      <c r="AV14" s="38" t="s">
        <v>71</v>
      </c>
      <c r="AW14" s="57" t="str">
        <f ca="1">IF(AW6&lt;&gt;AW17,VLOOKUP(AW6,Matrix!$C$13:$G$37,4,FALSE),Matrix!F13)</f>
        <v>u4_s_AlertH_maicerPd1Srcchk</v>
      </c>
    </row>
    <row r="15" spans="1:49">
      <c r="B15" s="126"/>
      <c r="C15" s="36">
        <f t="shared" si="2"/>
        <v>9</v>
      </c>
      <c r="D15" s="50" t="s">
        <v>176</v>
      </c>
      <c r="E15" s="50" t="s">
        <v>176</v>
      </c>
      <c r="F15" s="50" t="s">
        <v>176</v>
      </c>
      <c r="G15" s="50" t="s">
        <v>177</v>
      </c>
      <c r="H15" s="50" t="s">
        <v>177</v>
      </c>
      <c r="I15" s="50" t="s">
        <v>177</v>
      </c>
      <c r="J15" s="50" t="s">
        <v>177</v>
      </c>
      <c r="K15" s="50" t="s">
        <v>177</v>
      </c>
      <c r="L15" s="50" t="s">
        <v>177</v>
      </c>
      <c r="M15" s="50" t="s">
        <v>177</v>
      </c>
      <c r="N15" s="50" t="s">
        <v>177</v>
      </c>
      <c r="O15" s="50" t="s">
        <v>177</v>
      </c>
      <c r="P15" s="50" t="s">
        <v>176</v>
      </c>
      <c r="Q15" s="50" t="s">
        <v>176</v>
      </c>
      <c r="R15" s="50" t="s">
        <v>176</v>
      </c>
      <c r="S15" s="50" t="s">
        <v>176</v>
      </c>
      <c r="T15" s="50" t="s">
        <v>176</v>
      </c>
      <c r="U15" s="50" t="s">
        <v>176</v>
      </c>
      <c r="V15" s="50" t="s">
        <v>176</v>
      </c>
      <c r="W15" s="50" t="s">
        <v>176</v>
      </c>
      <c r="X15" s="50" t="s">
        <v>176</v>
      </c>
      <c r="Y15" s="50" t="s">
        <v>176</v>
      </c>
      <c r="Z15" s="50" t="s">
        <v>176</v>
      </c>
      <c r="AA15" s="50" t="s">
        <v>176</v>
      </c>
      <c r="AB15" s="50" t="s">
        <v>176</v>
      </c>
      <c r="AC15" s="50" t="s">
        <v>176</v>
      </c>
      <c r="AD15" s="50" t="s">
        <v>176</v>
      </c>
      <c r="AE15" s="50" t="s">
        <v>176</v>
      </c>
      <c r="AF15" s="50" t="s">
        <v>176</v>
      </c>
      <c r="AG15" s="50" t="s">
        <v>176</v>
      </c>
      <c r="AH15" s="50" t="s">
        <v>176</v>
      </c>
      <c r="AI15" s="50" t="s">
        <v>176</v>
      </c>
      <c r="AJ15" s="40"/>
      <c r="AL15" t="str">
        <f t="shared" ca="1" si="0"/>
        <v xml:space="preserve">    (U1)ALERT_REQ_H_MAICER_PD1_</v>
      </c>
      <c r="AR15" s="52" t="str">
        <f t="shared" si="3"/>
        <v/>
      </c>
      <c r="AS15" s="52" t="str">
        <f t="shared" si="4"/>
        <v/>
      </c>
      <c r="AT15" s="52" t="str">
        <f t="shared" si="1"/>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176</v>
      </c>
      <c r="E16" s="50" t="s">
        <v>176</v>
      </c>
      <c r="F16" s="50" t="s">
        <v>176</v>
      </c>
      <c r="G16" s="50" t="s">
        <v>177</v>
      </c>
      <c r="H16" s="50" t="s">
        <v>177</v>
      </c>
      <c r="I16" s="50" t="s">
        <v>177</v>
      </c>
      <c r="J16" s="50" t="s">
        <v>177</v>
      </c>
      <c r="K16" s="50" t="s">
        <v>177</v>
      </c>
      <c r="L16" s="50" t="s">
        <v>177</v>
      </c>
      <c r="M16" s="50" t="s">
        <v>177</v>
      </c>
      <c r="N16" s="50" t="s">
        <v>177</v>
      </c>
      <c r="O16" s="50" t="s">
        <v>177</v>
      </c>
      <c r="P16" s="50" t="s">
        <v>176</v>
      </c>
      <c r="Q16" s="50" t="s">
        <v>176</v>
      </c>
      <c r="R16" s="50" t="s">
        <v>176</v>
      </c>
      <c r="S16" s="50" t="s">
        <v>176</v>
      </c>
      <c r="T16" s="50" t="s">
        <v>176</v>
      </c>
      <c r="U16" s="50" t="s">
        <v>176</v>
      </c>
      <c r="V16" s="50" t="s">
        <v>176</v>
      </c>
      <c r="W16" s="50" t="s">
        <v>176</v>
      </c>
      <c r="X16" s="50" t="s">
        <v>176</v>
      </c>
      <c r="Y16" s="50" t="s">
        <v>176</v>
      </c>
      <c r="Z16" s="50" t="s">
        <v>176</v>
      </c>
      <c r="AA16" s="50" t="s">
        <v>176</v>
      </c>
      <c r="AB16" s="50" t="s">
        <v>176</v>
      </c>
      <c r="AC16" s="50" t="s">
        <v>176</v>
      </c>
      <c r="AD16" s="50" t="s">
        <v>176</v>
      </c>
      <c r="AE16" s="50" t="s">
        <v>176</v>
      </c>
      <c r="AF16" s="50" t="s">
        <v>176</v>
      </c>
      <c r="AG16" s="50" t="s">
        <v>176</v>
      </c>
      <c r="AH16" s="50" t="s">
        <v>176</v>
      </c>
      <c r="AI16" s="50" t="s">
        <v>176</v>
      </c>
      <c r="AJ16" s="40"/>
      <c r="AL16" t="str">
        <f t="shared" ca="1" si="0"/>
        <v xml:space="preserve">    (U1)ALERT_REQ_H_MAICER_PD1_</v>
      </c>
      <c r="AR16" s="52" t="str">
        <f t="shared" si="3"/>
        <v/>
      </c>
      <c r="AS16" s="52" t="str">
        <f t="shared" si="4"/>
        <v/>
      </c>
      <c r="AT16" s="52" t="str">
        <f t="shared" si="1"/>
        <v/>
      </c>
      <c r="AU16" s="52" t="s">
        <v>201</v>
      </c>
      <c r="AV16" s="38" t="s">
        <v>72</v>
      </c>
      <c r="AW16" s="57" t="str">
        <f ca="1">IF(AW6&lt;&gt;AW17,VLOOKUP(AW6,Matrix!$C$13:$G$37,2,FALSE),Matrix!D13)</f>
        <v>ALERT_VOM_IGN_ON</v>
      </c>
    </row>
    <row r="17" spans="2:49" ht="14.25" thickBot="1">
      <c r="B17" s="126"/>
      <c r="C17" s="36">
        <f t="shared" si="2"/>
        <v>11</v>
      </c>
      <c r="D17" s="50" t="s">
        <v>176</v>
      </c>
      <c r="E17" s="50" t="s">
        <v>176</v>
      </c>
      <c r="F17" s="50" t="s">
        <v>176</v>
      </c>
      <c r="G17" s="50" t="s">
        <v>177</v>
      </c>
      <c r="H17" s="50" t="s">
        <v>177</v>
      </c>
      <c r="I17" s="50" t="s">
        <v>177</v>
      </c>
      <c r="J17" s="50" t="s">
        <v>177</v>
      </c>
      <c r="K17" s="50" t="s">
        <v>177</v>
      </c>
      <c r="L17" s="50" t="s">
        <v>177</v>
      </c>
      <c r="M17" s="50" t="s">
        <v>177</v>
      </c>
      <c r="N17" s="50" t="s">
        <v>177</v>
      </c>
      <c r="O17" s="50" t="s">
        <v>177</v>
      </c>
      <c r="P17" s="50" t="s">
        <v>176</v>
      </c>
      <c r="Q17" s="50" t="s">
        <v>176</v>
      </c>
      <c r="R17" s="50" t="s">
        <v>176</v>
      </c>
      <c r="S17" s="50" t="s">
        <v>176</v>
      </c>
      <c r="T17" s="50" t="s">
        <v>176</v>
      </c>
      <c r="U17" s="50" t="s">
        <v>176</v>
      </c>
      <c r="V17" s="50" t="s">
        <v>176</v>
      </c>
      <c r="W17" s="50" t="s">
        <v>176</v>
      </c>
      <c r="X17" s="50" t="s">
        <v>176</v>
      </c>
      <c r="Y17" s="50" t="s">
        <v>176</v>
      </c>
      <c r="Z17" s="50" t="s">
        <v>176</v>
      </c>
      <c r="AA17" s="50" t="s">
        <v>176</v>
      </c>
      <c r="AB17" s="50" t="s">
        <v>176</v>
      </c>
      <c r="AC17" s="50" t="s">
        <v>176</v>
      </c>
      <c r="AD17" s="50" t="s">
        <v>176</v>
      </c>
      <c r="AE17" s="50" t="s">
        <v>176</v>
      </c>
      <c r="AF17" s="50" t="s">
        <v>176</v>
      </c>
      <c r="AG17" s="50" t="s">
        <v>176</v>
      </c>
      <c r="AH17" s="50" t="s">
        <v>176</v>
      </c>
      <c r="AI17" s="50" t="s">
        <v>176</v>
      </c>
      <c r="AJ17" s="40"/>
      <c r="AL17" t="str">
        <f t="shared" ca="1" si="0"/>
        <v xml:space="preserve">    (U1)ALERT_REQ_H_MAICER_PD1_</v>
      </c>
      <c r="AR17" s="52" t="str">
        <f t="shared" si="3"/>
        <v/>
      </c>
      <c r="AS17" s="52" t="str">
        <f t="shared" si="4"/>
        <v/>
      </c>
      <c r="AT17" s="52" t="str">
        <f t="shared" si="1"/>
        <v/>
      </c>
      <c r="AU17" s="53" t="s">
        <v>202</v>
      </c>
      <c r="AV17" s="39" t="s">
        <v>73</v>
      </c>
      <c r="AW17" s="58" t="str">
        <f ca="1">UPPER(Matrix!$D$6)</f>
        <v>H_MAICER</v>
      </c>
    </row>
    <row r="18" spans="2:49">
      <c r="B18" s="126"/>
      <c r="C18" s="36">
        <f t="shared" si="2"/>
        <v>12</v>
      </c>
      <c r="D18" s="50" t="s">
        <v>176</v>
      </c>
      <c r="E18" s="50" t="s">
        <v>176</v>
      </c>
      <c r="F18" s="50" t="s">
        <v>176</v>
      </c>
      <c r="G18" s="50" t="s">
        <v>177</v>
      </c>
      <c r="H18" s="50" t="s">
        <v>177</v>
      </c>
      <c r="I18" s="50" t="s">
        <v>177</v>
      </c>
      <c r="J18" s="50" t="s">
        <v>177</v>
      </c>
      <c r="K18" s="50" t="s">
        <v>177</v>
      </c>
      <c r="L18" s="50" t="s">
        <v>177</v>
      </c>
      <c r="M18" s="50" t="s">
        <v>177</v>
      </c>
      <c r="N18" s="50" t="s">
        <v>177</v>
      </c>
      <c r="O18" s="50" t="s">
        <v>177</v>
      </c>
      <c r="P18" s="50" t="s">
        <v>176</v>
      </c>
      <c r="Q18" s="50" t="s">
        <v>176</v>
      </c>
      <c r="R18" s="50" t="s">
        <v>176</v>
      </c>
      <c r="S18" s="50" t="s">
        <v>176</v>
      </c>
      <c r="T18" s="50" t="s">
        <v>176</v>
      </c>
      <c r="U18" s="50" t="s">
        <v>176</v>
      </c>
      <c r="V18" s="50" t="s">
        <v>176</v>
      </c>
      <c r="W18" s="50" t="s">
        <v>176</v>
      </c>
      <c r="X18" s="50" t="s">
        <v>176</v>
      </c>
      <c r="Y18" s="50" t="s">
        <v>176</v>
      </c>
      <c r="Z18" s="50" t="s">
        <v>176</v>
      </c>
      <c r="AA18" s="50" t="s">
        <v>176</v>
      </c>
      <c r="AB18" s="50" t="s">
        <v>176</v>
      </c>
      <c r="AC18" s="50" t="s">
        <v>176</v>
      </c>
      <c r="AD18" s="50" t="s">
        <v>176</v>
      </c>
      <c r="AE18" s="50" t="s">
        <v>176</v>
      </c>
      <c r="AF18" s="50" t="s">
        <v>176</v>
      </c>
      <c r="AG18" s="50" t="s">
        <v>176</v>
      </c>
      <c r="AH18" s="50" t="s">
        <v>176</v>
      </c>
      <c r="AI18" s="50" t="s">
        <v>176</v>
      </c>
      <c r="AJ18" s="40"/>
      <c r="AL18" t="str">
        <f t="shared" ca="1" si="0"/>
        <v xml:space="preserve">    (U1)ALERT_REQ_H_MAICER_PD1_</v>
      </c>
      <c r="AR18" s="52" t="str">
        <f t="shared" si="3"/>
        <v/>
      </c>
      <c r="AS18" s="52" t="str">
        <f t="shared" si="4"/>
        <v/>
      </c>
      <c r="AT18" s="52" t="str">
        <f t="shared" si="1"/>
        <v/>
      </c>
    </row>
    <row r="19" spans="2:49">
      <c r="B19" s="126"/>
      <c r="C19" s="36">
        <f t="shared" si="2"/>
        <v>13</v>
      </c>
      <c r="D19" s="50" t="s">
        <v>176</v>
      </c>
      <c r="E19" s="50" t="s">
        <v>176</v>
      </c>
      <c r="F19" s="50" t="s">
        <v>176</v>
      </c>
      <c r="G19" s="50" t="s">
        <v>177</v>
      </c>
      <c r="H19" s="50" t="s">
        <v>177</v>
      </c>
      <c r="I19" s="50" t="s">
        <v>177</v>
      </c>
      <c r="J19" s="50" t="s">
        <v>177</v>
      </c>
      <c r="K19" s="50" t="s">
        <v>177</v>
      </c>
      <c r="L19" s="50" t="s">
        <v>177</v>
      </c>
      <c r="M19" s="50" t="s">
        <v>177</v>
      </c>
      <c r="N19" s="50" t="s">
        <v>177</v>
      </c>
      <c r="O19" s="50" t="s">
        <v>177</v>
      </c>
      <c r="P19" s="50" t="s">
        <v>176</v>
      </c>
      <c r="Q19" s="50" t="s">
        <v>176</v>
      </c>
      <c r="R19" s="50" t="s">
        <v>176</v>
      </c>
      <c r="S19" s="50" t="s">
        <v>176</v>
      </c>
      <c r="T19" s="50" t="s">
        <v>176</v>
      </c>
      <c r="U19" s="50" t="s">
        <v>176</v>
      </c>
      <c r="V19" s="50" t="s">
        <v>176</v>
      </c>
      <c r="W19" s="50" t="s">
        <v>176</v>
      </c>
      <c r="X19" s="50" t="s">
        <v>176</v>
      </c>
      <c r="Y19" s="50" t="s">
        <v>176</v>
      </c>
      <c r="Z19" s="50" t="s">
        <v>176</v>
      </c>
      <c r="AA19" s="50" t="s">
        <v>176</v>
      </c>
      <c r="AB19" s="50" t="s">
        <v>176</v>
      </c>
      <c r="AC19" s="50" t="s">
        <v>176</v>
      </c>
      <c r="AD19" s="50" t="s">
        <v>176</v>
      </c>
      <c r="AE19" s="50" t="s">
        <v>176</v>
      </c>
      <c r="AF19" s="50" t="s">
        <v>176</v>
      </c>
      <c r="AG19" s="50" t="s">
        <v>176</v>
      </c>
      <c r="AH19" s="50" t="s">
        <v>176</v>
      </c>
      <c r="AI19" s="50" t="s">
        <v>176</v>
      </c>
      <c r="AJ19" s="40"/>
      <c r="AL19" t="str">
        <f t="shared" ca="1" si="0"/>
        <v xml:space="preserve">    (U1)ALERT_REQ_H_MAICER_PD1_</v>
      </c>
      <c r="AR19" s="52" t="str">
        <f t="shared" si="3"/>
        <v/>
      </c>
      <c r="AS19" s="52" t="str">
        <f t="shared" si="4"/>
        <v/>
      </c>
      <c r="AT19" s="52" t="str">
        <f t="shared" si="1"/>
        <v/>
      </c>
    </row>
    <row r="20" spans="2:49">
      <c r="B20" s="126"/>
      <c r="C20" s="36">
        <f t="shared" si="2"/>
        <v>14</v>
      </c>
      <c r="D20" s="50" t="s">
        <v>176</v>
      </c>
      <c r="E20" s="50" t="s">
        <v>176</v>
      </c>
      <c r="F20" s="50" t="s">
        <v>176</v>
      </c>
      <c r="G20" s="50" t="s">
        <v>176</v>
      </c>
      <c r="H20" s="50" t="s">
        <v>176</v>
      </c>
      <c r="I20" s="50" t="s">
        <v>176</v>
      </c>
      <c r="J20" s="50" t="s">
        <v>176</v>
      </c>
      <c r="K20" s="50" t="s">
        <v>176</v>
      </c>
      <c r="L20" s="50" t="s">
        <v>176</v>
      </c>
      <c r="M20" s="50" t="s">
        <v>176</v>
      </c>
      <c r="N20" s="50" t="s">
        <v>176</v>
      </c>
      <c r="O20" s="50" t="s">
        <v>176</v>
      </c>
      <c r="P20" s="50" t="s">
        <v>176</v>
      </c>
      <c r="Q20" s="50" t="s">
        <v>176</v>
      </c>
      <c r="R20" s="50" t="s">
        <v>176</v>
      </c>
      <c r="S20" s="50" t="s">
        <v>176</v>
      </c>
      <c r="T20" s="50" t="s">
        <v>176</v>
      </c>
      <c r="U20" s="50" t="s">
        <v>176</v>
      </c>
      <c r="V20" s="50" t="s">
        <v>176</v>
      </c>
      <c r="W20" s="50" t="s">
        <v>176</v>
      </c>
      <c r="X20" s="50" t="s">
        <v>176</v>
      </c>
      <c r="Y20" s="50" t="s">
        <v>176</v>
      </c>
      <c r="Z20" s="50" t="s">
        <v>176</v>
      </c>
      <c r="AA20" s="50" t="s">
        <v>176</v>
      </c>
      <c r="AB20" s="50" t="s">
        <v>176</v>
      </c>
      <c r="AC20" s="50" t="s">
        <v>176</v>
      </c>
      <c r="AD20" s="50" t="s">
        <v>176</v>
      </c>
      <c r="AE20" s="50" t="s">
        <v>176</v>
      </c>
      <c r="AF20" s="50" t="s">
        <v>176</v>
      </c>
      <c r="AG20" s="50" t="s">
        <v>176</v>
      </c>
      <c r="AH20" s="50" t="s">
        <v>176</v>
      </c>
      <c r="AI20" s="50" t="s">
        <v>176</v>
      </c>
      <c r="AJ20" s="40"/>
      <c r="AL20" t="str">
        <f t="shared" ca="1" si="0"/>
        <v xml:space="preserve">    (U1)ALERT_REQ_H_MAICER_PD1_</v>
      </c>
      <c r="AR20" s="52" t="str">
        <f t="shared" si="3"/>
        <v/>
      </c>
      <c r="AS20" s="52" t="str">
        <f t="shared" si="4"/>
        <v/>
      </c>
      <c r="AT20" s="52" t="str">
        <f t="shared" si="1"/>
        <v/>
      </c>
    </row>
    <row r="21" spans="2:49">
      <c r="B21" s="126"/>
      <c r="C21" s="36">
        <f t="shared" si="2"/>
        <v>15</v>
      </c>
      <c r="D21" s="50" t="s">
        <v>176</v>
      </c>
      <c r="E21" s="50" t="s">
        <v>176</v>
      </c>
      <c r="F21" s="50" t="s">
        <v>176</v>
      </c>
      <c r="G21" s="50" t="s">
        <v>176</v>
      </c>
      <c r="H21" s="50" t="s">
        <v>176</v>
      </c>
      <c r="I21" s="50" t="s">
        <v>176</v>
      </c>
      <c r="J21" s="50" t="s">
        <v>176</v>
      </c>
      <c r="K21" s="50" t="s">
        <v>176</v>
      </c>
      <c r="L21" s="50" t="s">
        <v>176</v>
      </c>
      <c r="M21" s="50" t="s">
        <v>176</v>
      </c>
      <c r="N21" s="50" t="s">
        <v>176</v>
      </c>
      <c r="O21" s="50" t="s">
        <v>176</v>
      </c>
      <c r="P21" s="50" t="s">
        <v>176</v>
      </c>
      <c r="Q21" s="50" t="s">
        <v>176</v>
      </c>
      <c r="R21" s="50" t="s">
        <v>176</v>
      </c>
      <c r="S21" s="50" t="s">
        <v>176</v>
      </c>
      <c r="T21" s="50" t="s">
        <v>176</v>
      </c>
      <c r="U21" s="50" t="s">
        <v>176</v>
      </c>
      <c r="V21" s="50" t="s">
        <v>176</v>
      </c>
      <c r="W21" s="50" t="s">
        <v>176</v>
      </c>
      <c r="X21" s="50" t="s">
        <v>176</v>
      </c>
      <c r="Y21" s="50" t="s">
        <v>176</v>
      </c>
      <c r="Z21" s="50" t="s">
        <v>176</v>
      </c>
      <c r="AA21" s="50" t="s">
        <v>176</v>
      </c>
      <c r="AB21" s="50" t="s">
        <v>176</v>
      </c>
      <c r="AC21" s="50" t="s">
        <v>176</v>
      </c>
      <c r="AD21" s="50" t="s">
        <v>176</v>
      </c>
      <c r="AE21" s="50" t="s">
        <v>176</v>
      </c>
      <c r="AF21" s="50" t="s">
        <v>176</v>
      </c>
      <c r="AG21" s="50" t="s">
        <v>176</v>
      </c>
      <c r="AH21" s="50" t="s">
        <v>176</v>
      </c>
      <c r="AI21" s="50" t="s">
        <v>176</v>
      </c>
      <c r="AJ21" s="40"/>
      <c r="AL21" t="str">
        <f t="shared" ca="1" si="0"/>
        <v xml:space="preserve">    (U1)ALERT_REQ_H_MAICER_PD1_</v>
      </c>
      <c r="AR21" s="52" t="str">
        <f t="shared" si="3"/>
        <v/>
      </c>
      <c r="AS21" s="52" t="str">
        <f t="shared" si="4"/>
        <v/>
      </c>
      <c r="AT21" s="52" t="str">
        <f t="shared" si="1"/>
        <v/>
      </c>
    </row>
    <row r="22" spans="2:49">
      <c r="B22" s="126"/>
      <c r="C22" s="36">
        <f t="shared" si="2"/>
        <v>16</v>
      </c>
      <c r="D22" s="50" t="s">
        <v>176</v>
      </c>
      <c r="E22" s="50" t="s">
        <v>176</v>
      </c>
      <c r="F22" s="50" t="s">
        <v>176</v>
      </c>
      <c r="G22" s="50" t="s">
        <v>176</v>
      </c>
      <c r="H22" s="50" t="s">
        <v>176</v>
      </c>
      <c r="I22" s="50" t="s">
        <v>176</v>
      </c>
      <c r="J22" s="50" t="s">
        <v>176</v>
      </c>
      <c r="K22" s="50" t="s">
        <v>176</v>
      </c>
      <c r="L22" s="50" t="s">
        <v>176</v>
      </c>
      <c r="M22" s="50" t="s">
        <v>176</v>
      </c>
      <c r="N22" s="50" t="s">
        <v>176</v>
      </c>
      <c r="O22" s="50" t="s">
        <v>176</v>
      </c>
      <c r="P22" s="50" t="s">
        <v>176</v>
      </c>
      <c r="Q22" s="50" t="s">
        <v>176</v>
      </c>
      <c r="R22" s="50" t="s">
        <v>176</v>
      </c>
      <c r="S22" s="50" t="s">
        <v>176</v>
      </c>
      <c r="T22" s="50" t="s">
        <v>176</v>
      </c>
      <c r="U22" s="50" t="s">
        <v>176</v>
      </c>
      <c r="V22" s="50" t="s">
        <v>176</v>
      </c>
      <c r="W22" s="50" t="s">
        <v>176</v>
      </c>
      <c r="X22" s="50" t="s">
        <v>176</v>
      </c>
      <c r="Y22" s="50" t="s">
        <v>176</v>
      </c>
      <c r="Z22" s="50" t="s">
        <v>176</v>
      </c>
      <c r="AA22" s="50" t="s">
        <v>176</v>
      </c>
      <c r="AB22" s="50" t="s">
        <v>176</v>
      </c>
      <c r="AC22" s="50" t="s">
        <v>176</v>
      </c>
      <c r="AD22" s="50" t="s">
        <v>176</v>
      </c>
      <c r="AE22" s="50" t="s">
        <v>176</v>
      </c>
      <c r="AF22" s="50" t="s">
        <v>176</v>
      </c>
      <c r="AG22" s="50" t="s">
        <v>176</v>
      </c>
      <c r="AH22" s="50" t="s">
        <v>176</v>
      </c>
      <c r="AI22" s="50" t="s">
        <v>176</v>
      </c>
      <c r="AJ22" s="40"/>
      <c r="AL22" t="str">
        <f t="shared" ca="1" si="0"/>
        <v xml:space="preserve">    (U1)ALERT_REQ_H_MAICER_PD1_</v>
      </c>
      <c r="AR22" s="52" t="str">
        <f t="shared" si="3"/>
        <v/>
      </c>
      <c r="AS22" s="52" t="str">
        <f t="shared" si="4"/>
        <v/>
      </c>
      <c r="AT22" s="52" t="str">
        <f t="shared" si="1"/>
        <v/>
      </c>
    </row>
    <row r="23" spans="2:49">
      <c r="B23" s="126"/>
      <c r="C23" s="36">
        <f t="shared" si="2"/>
        <v>17</v>
      </c>
      <c r="D23" s="50" t="s">
        <v>176</v>
      </c>
      <c r="E23" s="50" t="s">
        <v>176</v>
      </c>
      <c r="F23" s="50" t="s">
        <v>176</v>
      </c>
      <c r="G23" s="50" t="s">
        <v>176</v>
      </c>
      <c r="H23" s="50" t="s">
        <v>176</v>
      </c>
      <c r="I23" s="50" t="s">
        <v>176</v>
      </c>
      <c r="J23" s="50" t="s">
        <v>176</v>
      </c>
      <c r="K23" s="50" t="s">
        <v>176</v>
      </c>
      <c r="L23" s="50" t="s">
        <v>176</v>
      </c>
      <c r="M23" s="50" t="s">
        <v>176</v>
      </c>
      <c r="N23" s="50" t="s">
        <v>176</v>
      </c>
      <c r="O23" s="50" t="s">
        <v>176</v>
      </c>
      <c r="P23" s="50" t="s">
        <v>176</v>
      </c>
      <c r="Q23" s="50" t="s">
        <v>176</v>
      </c>
      <c r="R23" s="50" t="s">
        <v>176</v>
      </c>
      <c r="S23" s="50" t="s">
        <v>176</v>
      </c>
      <c r="T23" s="50" t="s">
        <v>176</v>
      </c>
      <c r="U23" s="50" t="s">
        <v>176</v>
      </c>
      <c r="V23" s="50" t="s">
        <v>176</v>
      </c>
      <c r="W23" s="50" t="s">
        <v>176</v>
      </c>
      <c r="X23" s="50" t="s">
        <v>176</v>
      </c>
      <c r="Y23" s="50" t="s">
        <v>176</v>
      </c>
      <c r="Z23" s="50" t="s">
        <v>176</v>
      </c>
      <c r="AA23" s="50" t="s">
        <v>176</v>
      </c>
      <c r="AB23" s="50" t="s">
        <v>176</v>
      </c>
      <c r="AC23" s="50" t="s">
        <v>176</v>
      </c>
      <c r="AD23" s="50" t="s">
        <v>176</v>
      </c>
      <c r="AE23" s="50" t="s">
        <v>176</v>
      </c>
      <c r="AF23" s="50" t="s">
        <v>176</v>
      </c>
      <c r="AG23" s="50" t="s">
        <v>176</v>
      </c>
      <c r="AH23" s="50" t="s">
        <v>176</v>
      </c>
      <c r="AI23" s="50" t="s">
        <v>176</v>
      </c>
      <c r="AJ23" s="40"/>
      <c r="AL23" t="str">
        <f t="shared" ca="1" si="0"/>
        <v xml:space="preserve">    (U1)ALERT_REQ_H_MAICER_PD1_</v>
      </c>
      <c r="AR23" s="52" t="str">
        <f t="shared" si="3"/>
        <v/>
      </c>
      <c r="AS23" s="52" t="str">
        <f t="shared" si="4"/>
        <v/>
      </c>
      <c r="AT23" s="52" t="str">
        <f t="shared" si="1"/>
        <v/>
      </c>
    </row>
    <row r="24" spans="2:49">
      <c r="B24" s="126"/>
      <c r="C24" s="36">
        <f t="shared" si="2"/>
        <v>18</v>
      </c>
      <c r="D24" s="50" t="s">
        <v>176</v>
      </c>
      <c r="E24" s="50" t="s">
        <v>176</v>
      </c>
      <c r="F24" s="50" t="s">
        <v>176</v>
      </c>
      <c r="G24" s="50" t="s">
        <v>176</v>
      </c>
      <c r="H24" s="50" t="s">
        <v>176</v>
      </c>
      <c r="I24" s="50" t="s">
        <v>176</v>
      </c>
      <c r="J24" s="50" t="s">
        <v>176</v>
      </c>
      <c r="K24" s="50" t="s">
        <v>176</v>
      </c>
      <c r="L24" s="50" t="s">
        <v>176</v>
      </c>
      <c r="M24" s="50" t="s">
        <v>176</v>
      </c>
      <c r="N24" s="50" t="s">
        <v>176</v>
      </c>
      <c r="O24" s="50" t="s">
        <v>176</v>
      </c>
      <c r="P24" s="50" t="s">
        <v>176</v>
      </c>
      <c r="Q24" s="50" t="s">
        <v>176</v>
      </c>
      <c r="R24" s="50" t="s">
        <v>176</v>
      </c>
      <c r="S24" s="50" t="s">
        <v>176</v>
      </c>
      <c r="T24" s="50" t="s">
        <v>176</v>
      </c>
      <c r="U24" s="50" t="s">
        <v>176</v>
      </c>
      <c r="V24" s="50" t="s">
        <v>176</v>
      </c>
      <c r="W24" s="50" t="s">
        <v>176</v>
      </c>
      <c r="X24" s="50" t="s">
        <v>176</v>
      </c>
      <c r="Y24" s="50" t="s">
        <v>176</v>
      </c>
      <c r="Z24" s="50" t="s">
        <v>176</v>
      </c>
      <c r="AA24" s="50" t="s">
        <v>176</v>
      </c>
      <c r="AB24" s="50" t="s">
        <v>176</v>
      </c>
      <c r="AC24" s="50" t="s">
        <v>176</v>
      </c>
      <c r="AD24" s="50" t="s">
        <v>176</v>
      </c>
      <c r="AE24" s="50" t="s">
        <v>176</v>
      </c>
      <c r="AF24" s="50" t="s">
        <v>176</v>
      </c>
      <c r="AG24" s="50" t="s">
        <v>176</v>
      </c>
      <c r="AH24" s="50" t="s">
        <v>176</v>
      </c>
      <c r="AI24" s="50" t="s">
        <v>176</v>
      </c>
      <c r="AJ24" s="40"/>
      <c r="AL24" t="str">
        <f t="shared" ca="1" si="0"/>
        <v xml:space="preserve">    (U1)ALERT_REQ_H_MAICER_PD1_</v>
      </c>
      <c r="AR24" s="52" t="str">
        <f t="shared" si="3"/>
        <v/>
      </c>
      <c r="AS24" s="52" t="str">
        <f t="shared" si="4"/>
        <v/>
      </c>
      <c r="AT24" s="52" t="str">
        <f t="shared" si="1"/>
        <v/>
      </c>
    </row>
    <row r="25" spans="2:49">
      <c r="B25" s="126"/>
      <c r="C25" s="36">
        <f t="shared" si="2"/>
        <v>19</v>
      </c>
      <c r="D25" s="50" t="s">
        <v>176</v>
      </c>
      <c r="E25" s="50" t="s">
        <v>176</v>
      </c>
      <c r="F25" s="50" t="s">
        <v>176</v>
      </c>
      <c r="G25" s="50" t="s">
        <v>176</v>
      </c>
      <c r="H25" s="50" t="s">
        <v>176</v>
      </c>
      <c r="I25" s="50" t="s">
        <v>176</v>
      </c>
      <c r="J25" s="50" t="s">
        <v>176</v>
      </c>
      <c r="K25" s="50" t="s">
        <v>176</v>
      </c>
      <c r="L25" s="50" t="s">
        <v>176</v>
      </c>
      <c r="M25" s="50" t="s">
        <v>176</v>
      </c>
      <c r="N25" s="50" t="s">
        <v>176</v>
      </c>
      <c r="O25" s="50" t="s">
        <v>176</v>
      </c>
      <c r="P25" s="50" t="s">
        <v>176</v>
      </c>
      <c r="Q25" s="50" t="s">
        <v>176</v>
      </c>
      <c r="R25" s="50" t="s">
        <v>176</v>
      </c>
      <c r="S25" s="50" t="s">
        <v>176</v>
      </c>
      <c r="T25" s="50" t="s">
        <v>176</v>
      </c>
      <c r="U25" s="50" t="s">
        <v>176</v>
      </c>
      <c r="V25" s="50" t="s">
        <v>176</v>
      </c>
      <c r="W25" s="50" t="s">
        <v>176</v>
      </c>
      <c r="X25" s="50" t="s">
        <v>176</v>
      </c>
      <c r="Y25" s="50" t="s">
        <v>176</v>
      </c>
      <c r="Z25" s="50" t="s">
        <v>176</v>
      </c>
      <c r="AA25" s="50" t="s">
        <v>176</v>
      </c>
      <c r="AB25" s="50" t="s">
        <v>176</v>
      </c>
      <c r="AC25" s="50" t="s">
        <v>176</v>
      </c>
      <c r="AD25" s="50" t="s">
        <v>176</v>
      </c>
      <c r="AE25" s="50" t="s">
        <v>176</v>
      </c>
      <c r="AF25" s="50" t="s">
        <v>176</v>
      </c>
      <c r="AG25" s="50" t="s">
        <v>176</v>
      </c>
      <c r="AH25" s="50" t="s">
        <v>176</v>
      </c>
      <c r="AI25" s="50" t="s">
        <v>176</v>
      </c>
      <c r="AJ25" s="40"/>
      <c r="AL25" t="str">
        <f t="shared" ca="1" si="0"/>
        <v xml:space="preserve">    (U1)ALERT_REQ_H_MAICER_PD1_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t="s">
        <v>63</v>
      </c>
      <c r="AE26" s="50" t="s">
        <v>63</v>
      </c>
      <c r="AF26" s="50" t="s">
        <v>63</v>
      </c>
      <c r="AG26" s="50" t="s">
        <v>63</v>
      </c>
      <c r="AH26" s="50" t="s">
        <v>63</v>
      </c>
      <c r="AI26" s="50" t="s">
        <v>63</v>
      </c>
      <c r="AJ26" s="40"/>
      <c r="AL26" t="str">
        <f t="shared" ca="1" si="0"/>
        <v xml:space="preserve">    (U1)ALERT_REQ_H_MAICER_PD1_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t="s">
        <v>63</v>
      </c>
      <c r="AE27" s="50" t="s">
        <v>63</v>
      </c>
      <c r="AF27" s="50" t="s">
        <v>63</v>
      </c>
      <c r="AG27" s="50" t="s">
        <v>63</v>
      </c>
      <c r="AH27" s="50" t="s">
        <v>63</v>
      </c>
      <c r="AI27" s="50" t="s">
        <v>63</v>
      </c>
      <c r="AJ27" s="40"/>
      <c r="AL27" t="str">
        <f t="shared" ca="1" si="0"/>
        <v xml:space="preserve">    (U1)ALERT_REQ_H_MAICER_PD1_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t="s">
        <v>63</v>
      </c>
      <c r="AE28" s="50" t="s">
        <v>63</v>
      </c>
      <c r="AF28" s="50" t="s">
        <v>63</v>
      </c>
      <c r="AG28" s="50" t="s">
        <v>63</v>
      </c>
      <c r="AH28" s="50" t="s">
        <v>63</v>
      </c>
      <c r="AI28" s="50" t="s">
        <v>63</v>
      </c>
      <c r="AJ28" s="40"/>
      <c r="AL28" t="str">
        <f t="shared" ca="1" si="0"/>
        <v xml:space="preserve">    (U1)ALERT_REQ_H_MAICER_PD1_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t="s">
        <v>63</v>
      </c>
      <c r="AE29" s="50" t="s">
        <v>63</v>
      </c>
      <c r="AF29" s="50" t="s">
        <v>63</v>
      </c>
      <c r="AG29" s="50" t="s">
        <v>63</v>
      </c>
      <c r="AH29" s="50" t="s">
        <v>63</v>
      </c>
      <c r="AI29" s="50" t="s">
        <v>63</v>
      </c>
      <c r="AJ29" s="40"/>
      <c r="AL29" t="str">
        <f t="shared" ca="1" si="0"/>
        <v xml:space="preserve">    (U1)ALERT_REQ_H_MAICER_PD1_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t="s">
        <v>63</v>
      </c>
      <c r="AE30" s="50" t="s">
        <v>63</v>
      </c>
      <c r="AF30" s="50" t="s">
        <v>63</v>
      </c>
      <c r="AG30" s="50" t="s">
        <v>63</v>
      </c>
      <c r="AH30" s="50" t="s">
        <v>63</v>
      </c>
      <c r="AI30" s="50" t="s">
        <v>63</v>
      </c>
      <c r="AJ30" s="40"/>
      <c r="AL30" t="str">
        <f t="shared" ca="1" si="0"/>
        <v xml:space="preserve">    (U1)ALERT_REQ_H_MAICER_PD1_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t="s">
        <v>63</v>
      </c>
      <c r="AE31" s="50" t="s">
        <v>63</v>
      </c>
      <c r="AF31" s="50" t="s">
        <v>63</v>
      </c>
      <c r="AG31" s="50" t="s">
        <v>63</v>
      </c>
      <c r="AH31" s="50" t="s">
        <v>63</v>
      </c>
      <c r="AI31" s="50" t="s">
        <v>63</v>
      </c>
      <c r="AJ31" s="40"/>
      <c r="AL31" t="str">
        <f t="shared" ca="1" si="0"/>
        <v xml:space="preserve">    (U1)ALERT_REQ_H_MAICER_PD1_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t="s">
        <v>63</v>
      </c>
      <c r="AE32" s="50" t="s">
        <v>63</v>
      </c>
      <c r="AF32" s="50" t="s">
        <v>63</v>
      </c>
      <c r="AG32" s="50" t="s">
        <v>63</v>
      </c>
      <c r="AH32" s="50" t="s">
        <v>63</v>
      </c>
      <c r="AI32" s="50" t="s">
        <v>63</v>
      </c>
      <c r="AJ32" s="40"/>
      <c r="AL32" t="str">
        <f t="shared" ca="1" si="0"/>
        <v xml:space="preserve">    (U1)ALERT_REQ_H_MAICER_PD1_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t="s">
        <v>63</v>
      </c>
      <c r="AE33" s="50" t="s">
        <v>63</v>
      </c>
      <c r="AF33" s="50" t="s">
        <v>63</v>
      </c>
      <c r="AG33" s="50" t="s">
        <v>63</v>
      </c>
      <c r="AH33" s="50" t="s">
        <v>63</v>
      </c>
      <c r="AI33" s="50" t="s">
        <v>63</v>
      </c>
      <c r="AJ33" s="40"/>
      <c r="AL33" t="str">
        <f t="shared" ca="1" si="0"/>
        <v xml:space="preserve">    (U1)ALERT_REQ_H_MAICER_PD1_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t="s">
        <v>63</v>
      </c>
      <c r="AE34" s="50" t="s">
        <v>63</v>
      </c>
      <c r="AF34" s="50" t="s">
        <v>63</v>
      </c>
      <c r="AG34" s="50" t="s">
        <v>63</v>
      </c>
      <c r="AH34" s="50" t="s">
        <v>63</v>
      </c>
      <c r="AI34" s="50" t="s">
        <v>63</v>
      </c>
      <c r="AJ34" s="40"/>
      <c r="AL34" t="str">
        <f t="shared" ca="1" si="0"/>
        <v xml:space="preserve">    (U1)ALERT_REQ_H_MAICER_PD1_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t="s">
        <v>63</v>
      </c>
      <c r="AE35" s="50" t="s">
        <v>63</v>
      </c>
      <c r="AF35" s="50" t="s">
        <v>63</v>
      </c>
      <c r="AG35" s="50" t="s">
        <v>63</v>
      </c>
      <c r="AH35" s="50" t="s">
        <v>63</v>
      </c>
      <c r="AI35" s="50" t="s">
        <v>63</v>
      </c>
      <c r="AJ35" s="40"/>
      <c r="AL35" t="str">
        <f t="shared" ca="1" si="0"/>
        <v xml:space="preserve">    (U1)ALERT_REQ_H_MAICER_PD1_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t="s">
        <v>63</v>
      </c>
      <c r="AE36" s="50" t="s">
        <v>63</v>
      </c>
      <c r="AF36" s="50" t="s">
        <v>63</v>
      </c>
      <c r="AG36" s="50" t="s">
        <v>63</v>
      </c>
      <c r="AH36" s="50" t="s">
        <v>63</v>
      </c>
      <c r="AI36" s="50" t="s">
        <v>63</v>
      </c>
      <c r="AJ36" s="40"/>
      <c r="AL36" t="str">
        <f t="shared" ca="1" si="0"/>
        <v xml:space="preserve">    (U1)ALERT_REQ_H_MAICER_PD1_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t="s">
        <v>63</v>
      </c>
      <c r="AE37" s="50" t="s">
        <v>63</v>
      </c>
      <c r="AF37" s="50" t="s">
        <v>63</v>
      </c>
      <c r="AG37" s="50" t="s">
        <v>63</v>
      </c>
      <c r="AH37" s="50" t="s">
        <v>63</v>
      </c>
      <c r="AI37" s="50" t="s">
        <v>63</v>
      </c>
      <c r="AJ37" s="40"/>
      <c r="AL37" t="str">
        <f t="shared" ca="1" si="0"/>
        <v xml:space="preserve">    (U1)ALERT_REQ_H_MAICER_PD1_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t="s">
        <v>63</v>
      </c>
      <c r="AE38" s="50" t="s">
        <v>63</v>
      </c>
      <c r="AF38" s="50" t="s">
        <v>63</v>
      </c>
      <c r="AG38" s="50" t="s">
        <v>63</v>
      </c>
      <c r="AH38" s="50" t="s">
        <v>63</v>
      </c>
      <c r="AI38" s="50" t="s">
        <v>63</v>
      </c>
      <c r="AJ38" s="40"/>
      <c r="AL38" t="str">
        <f t="shared" ca="1" si="0"/>
        <v xml:space="preserve">    (U1)ALERT_REQ_H_MAICER_PD1_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t="s">
        <v>63</v>
      </c>
      <c r="AE39" s="50" t="s">
        <v>63</v>
      </c>
      <c r="AF39" s="50" t="s">
        <v>63</v>
      </c>
      <c r="AG39" s="50" t="s">
        <v>63</v>
      </c>
      <c r="AH39" s="50" t="s">
        <v>63</v>
      </c>
      <c r="AI39" s="50" t="s">
        <v>63</v>
      </c>
      <c r="AJ39" s="40"/>
      <c r="AL39" t="str">
        <f t="shared" ca="1" si="0"/>
        <v xml:space="preserve">    (U1)ALERT_REQ_H_MAICER_PD1_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t="s">
        <v>63</v>
      </c>
      <c r="AE40" s="50" t="s">
        <v>63</v>
      </c>
      <c r="AF40" s="50" t="s">
        <v>63</v>
      </c>
      <c r="AG40" s="50" t="s">
        <v>63</v>
      </c>
      <c r="AH40" s="50" t="s">
        <v>63</v>
      </c>
      <c r="AI40" s="50" t="s">
        <v>63</v>
      </c>
      <c r="AJ40" s="40"/>
      <c r="AL40" t="str">
        <f t="shared" ca="1" si="0"/>
        <v xml:space="preserve">    (U1)ALERT_REQ_H_MAICER_PD1_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t="s">
        <v>63</v>
      </c>
      <c r="AE41" s="50" t="s">
        <v>63</v>
      </c>
      <c r="AF41" s="50" t="s">
        <v>63</v>
      </c>
      <c r="AG41" s="50" t="s">
        <v>63</v>
      </c>
      <c r="AH41" s="50" t="s">
        <v>63</v>
      </c>
      <c r="AI41" s="50" t="s">
        <v>63</v>
      </c>
      <c r="AJ41" s="40"/>
      <c r="AL41" t="str">
        <f t="shared" ca="1" si="0"/>
        <v xml:space="preserve">    (U1)ALERT_REQ_H_MAICER_PD1_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t="s">
        <v>63</v>
      </c>
      <c r="AE42" s="50" t="s">
        <v>63</v>
      </c>
      <c r="AF42" s="50" t="s">
        <v>63</v>
      </c>
      <c r="AG42" s="50" t="s">
        <v>63</v>
      </c>
      <c r="AH42" s="50" t="s">
        <v>63</v>
      </c>
      <c r="AI42" s="50" t="s">
        <v>63</v>
      </c>
      <c r="AJ42" s="40"/>
      <c r="AL42" t="str">
        <f t="shared" ca="1" si="0"/>
        <v xml:space="preserve">    (U1)ALERT_REQ_H_MAICER_PD1_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t="s">
        <v>63</v>
      </c>
      <c r="AE43" s="50" t="s">
        <v>63</v>
      </c>
      <c r="AF43" s="50" t="s">
        <v>63</v>
      </c>
      <c r="AG43" s="50" t="s">
        <v>63</v>
      </c>
      <c r="AH43" s="50" t="s">
        <v>63</v>
      </c>
      <c r="AI43" s="50" t="s">
        <v>63</v>
      </c>
      <c r="AJ43" s="40"/>
      <c r="AL43" t="str">
        <f t="shared" ca="1" si="0"/>
        <v xml:space="preserve">    (U1)ALERT_REQ_H_MAICER_PD1_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t="s">
        <v>63</v>
      </c>
      <c r="AE44" s="50" t="s">
        <v>63</v>
      </c>
      <c r="AF44" s="50" t="s">
        <v>63</v>
      </c>
      <c r="AG44" s="50" t="s">
        <v>63</v>
      </c>
      <c r="AH44" s="50" t="s">
        <v>63</v>
      </c>
      <c r="AI44" s="50" t="s">
        <v>63</v>
      </c>
      <c r="AJ44" s="40"/>
      <c r="AL44" t="str">
        <f t="shared" ca="1" si="0"/>
        <v xml:space="preserve">    (U1)ALERT_REQ_H_MAICER_PD1_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t="s">
        <v>63</v>
      </c>
      <c r="AE45" s="50" t="s">
        <v>63</v>
      </c>
      <c r="AF45" s="50" t="s">
        <v>63</v>
      </c>
      <c r="AG45" s="50" t="s">
        <v>63</v>
      </c>
      <c r="AH45" s="50" t="s">
        <v>63</v>
      </c>
      <c r="AI45" s="50" t="s">
        <v>63</v>
      </c>
      <c r="AJ45" s="40"/>
      <c r="AL45" t="str">
        <f t="shared" ca="1" si="0"/>
        <v xml:space="preserve">    (U1)ALERT_REQ_H_MAICER_PD1_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t="s">
        <v>63</v>
      </c>
      <c r="AE46" s="50" t="s">
        <v>63</v>
      </c>
      <c r="AF46" s="50" t="s">
        <v>63</v>
      </c>
      <c r="AG46" s="50" t="s">
        <v>63</v>
      </c>
      <c r="AH46" s="50" t="s">
        <v>63</v>
      </c>
      <c r="AI46" s="50" t="s">
        <v>63</v>
      </c>
      <c r="AJ46" s="40"/>
      <c r="AL46" t="str">
        <f t="shared" ca="1" si="0"/>
        <v xml:space="preserve">    (U1)ALERT_REQ_H_MAICER_PD1_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t="s">
        <v>63</v>
      </c>
      <c r="AE47" s="50" t="s">
        <v>63</v>
      </c>
      <c r="AF47" s="50" t="s">
        <v>63</v>
      </c>
      <c r="AG47" s="50" t="s">
        <v>63</v>
      </c>
      <c r="AH47" s="50" t="s">
        <v>63</v>
      </c>
      <c r="AI47" s="50" t="s">
        <v>63</v>
      </c>
      <c r="AJ47" s="40"/>
      <c r="AL47" t="str">
        <f t="shared" ca="1" si="0"/>
        <v xml:space="preserve">    (U1)ALERT_REQ_H_MAICER_PD1_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t="s">
        <v>63</v>
      </c>
      <c r="AE48" s="50" t="s">
        <v>63</v>
      </c>
      <c r="AF48" s="50" t="s">
        <v>63</v>
      </c>
      <c r="AG48" s="50" t="s">
        <v>63</v>
      </c>
      <c r="AH48" s="50" t="s">
        <v>63</v>
      </c>
      <c r="AI48" s="50" t="s">
        <v>63</v>
      </c>
      <c r="AJ48" s="40"/>
      <c r="AL48" t="str">
        <f t="shared" ca="1" si="0"/>
        <v xml:space="preserve">    (U1)ALERT_REQ_H_MAICER_PD1_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t="s">
        <v>63</v>
      </c>
      <c r="AE49" s="50" t="s">
        <v>63</v>
      </c>
      <c r="AF49" s="50" t="s">
        <v>63</v>
      </c>
      <c r="AG49" s="50" t="s">
        <v>63</v>
      </c>
      <c r="AH49" s="50" t="s">
        <v>63</v>
      </c>
      <c r="AI49" s="50" t="s">
        <v>63</v>
      </c>
      <c r="AJ49" s="21"/>
      <c r="AL49" t="str">
        <f t="shared" ca="1" si="0"/>
        <v xml:space="preserve">    (U1)ALERT_REQ_H_MAICER_PD1_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t="s">
        <v>63</v>
      </c>
      <c r="AE50" s="50" t="s">
        <v>63</v>
      </c>
      <c r="AF50" s="50" t="s">
        <v>63</v>
      </c>
      <c r="AG50" s="50" t="s">
        <v>63</v>
      </c>
      <c r="AH50" s="50" t="s">
        <v>63</v>
      </c>
      <c r="AI50" s="50" t="s">
        <v>63</v>
      </c>
      <c r="AJ50" s="21"/>
      <c r="AL50" t="str">
        <f t="shared" ca="1" si="0"/>
        <v xml:space="preserve">    (U1)ALERT_REQ_H_MAICER_PD1_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t="s">
        <v>63</v>
      </c>
      <c r="AE51" s="50" t="s">
        <v>63</v>
      </c>
      <c r="AF51" s="50" t="s">
        <v>63</v>
      </c>
      <c r="AG51" s="50" t="s">
        <v>63</v>
      </c>
      <c r="AH51" s="50" t="s">
        <v>63</v>
      </c>
      <c r="AI51" s="50" t="s">
        <v>63</v>
      </c>
      <c r="AJ51" s="21"/>
      <c r="AL51" t="str">
        <f t="shared" ca="1" si="0"/>
        <v xml:space="preserve">    (U1)ALERT_REQ_H_MAICER_PD1_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t="s">
        <v>63</v>
      </c>
      <c r="AE52" s="50" t="s">
        <v>63</v>
      </c>
      <c r="AF52" s="50" t="s">
        <v>63</v>
      </c>
      <c r="AG52" s="50" t="s">
        <v>63</v>
      </c>
      <c r="AH52" s="50" t="s">
        <v>63</v>
      </c>
      <c r="AI52" s="50" t="s">
        <v>63</v>
      </c>
      <c r="AJ52" s="21"/>
      <c r="AL52" t="str">
        <f t="shared" ca="1" si="0"/>
        <v xml:space="preserve">    (U1)ALERT_REQ_H_MAICER_PD1_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t="s">
        <v>63</v>
      </c>
      <c r="AE53" s="50" t="s">
        <v>63</v>
      </c>
      <c r="AF53" s="50" t="s">
        <v>63</v>
      </c>
      <c r="AG53" s="50" t="s">
        <v>63</v>
      </c>
      <c r="AH53" s="50" t="s">
        <v>63</v>
      </c>
      <c r="AI53" s="50" t="s">
        <v>63</v>
      </c>
      <c r="AJ53" s="21"/>
      <c r="AL53" t="str">
        <f t="shared" ca="1" si="0"/>
        <v xml:space="preserve">    (U1)ALERT_REQ_H_MAICER_PD1_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t="s">
        <v>63</v>
      </c>
      <c r="AE54" s="50" t="s">
        <v>63</v>
      </c>
      <c r="AF54" s="50" t="s">
        <v>63</v>
      </c>
      <c r="AG54" s="50" t="s">
        <v>63</v>
      </c>
      <c r="AH54" s="50" t="s">
        <v>63</v>
      </c>
      <c r="AI54" s="50" t="s">
        <v>63</v>
      </c>
      <c r="AJ54" s="21"/>
      <c r="AL54" t="str">
        <f t="shared" ca="1" si="0"/>
        <v xml:space="preserve">    (U1)ALERT_REQ_H_MAICER_PD1_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t="s">
        <v>63</v>
      </c>
      <c r="AE55" s="50" t="s">
        <v>63</v>
      </c>
      <c r="AF55" s="50" t="s">
        <v>63</v>
      </c>
      <c r="AG55" s="50" t="s">
        <v>63</v>
      </c>
      <c r="AH55" s="50" t="s">
        <v>63</v>
      </c>
      <c r="AI55" s="50" t="s">
        <v>63</v>
      </c>
      <c r="AJ55" s="21"/>
      <c r="AL55" t="str">
        <f t="shared" ca="1" si="0"/>
        <v xml:space="preserve">    (U1)ALERT_REQ_H_MAICER_PD1_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t="s">
        <v>63</v>
      </c>
      <c r="AE56" s="50" t="s">
        <v>63</v>
      </c>
      <c r="AF56" s="50" t="s">
        <v>63</v>
      </c>
      <c r="AG56" s="50" t="s">
        <v>63</v>
      </c>
      <c r="AH56" s="50" t="s">
        <v>63</v>
      </c>
      <c r="AI56" s="50" t="s">
        <v>63</v>
      </c>
      <c r="AJ56" s="21"/>
      <c r="AL56" t="str">
        <f t="shared" ca="1" si="0"/>
        <v xml:space="preserve">    (U1)ALERT_REQ_H_MAICER_PD1_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t="s">
        <v>63</v>
      </c>
      <c r="AE57" s="50" t="s">
        <v>63</v>
      </c>
      <c r="AF57" s="50" t="s">
        <v>63</v>
      </c>
      <c r="AG57" s="50" t="s">
        <v>63</v>
      </c>
      <c r="AH57" s="50" t="s">
        <v>63</v>
      </c>
      <c r="AI57" s="50" t="s">
        <v>63</v>
      </c>
      <c r="AJ57" s="21"/>
      <c r="AL57" t="str">
        <f t="shared" ca="1" si="0"/>
        <v xml:space="preserve">    (U1)ALERT_REQ_H_MAICER_PD1_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t="s">
        <v>63</v>
      </c>
      <c r="AE58" s="50" t="s">
        <v>63</v>
      </c>
      <c r="AF58" s="50" t="s">
        <v>63</v>
      </c>
      <c r="AG58" s="50" t="s">
        <v>63</v>
      </c>
      <c r="AH58" s="50" t="s">
        <v>63</v>
      </c>
      <c r="AI58" s="50" t="s">
        <v>63</v>
      </c>
      <c r="AJ58" s="21"/>
      <c r="AL58" t="str">
        <f t="shared" ca="1" si="0"/>
        <v xml:space="preserve">    (U1)ALERT_REQ_H_MAICER_PD1_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t="s">
        <v>63</v>
      </c>
      <c r="AE59" s="50" t="s">
        <v>63</v>
      </c>
      <c r="AF59" s="50" t="s">
        <v>63</v>
      </c>
      <c r="AG59" s="50" t="s">
        <v>63</v>
      </c>
      <c r="AH59" s="50" t="s">
        <v>63</v>
      </c>
      <c r="AI59" s="50" t="s">
        <v>63</v>
      </c>
      <c r="AJ59" s="21"/>
      <c r="AL59" t="str">
        <f t="shared" ca="1" si="0"/>
        <v xml:space="preserve">    (U1)ALERT_REQ_H_MAICER_PD1_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t="s">
        <v>63</v>
      </c>
      <c r="AE60" s="50" t="s">
        <v>63</v>
      </c>
      <c r="AF60" s="50" t="s">
        <v>63</v>
      </c>
      <c r="AG60" s="50" t="s">
        <v>63</v>
      </c>
      <c r="AH60" s="50" t="s">
        <v>63</v>
      </c>
      <c r="AI60" s="50" t="s">
        <v>63</v>
      </c>
      <c r="AJ60" s="21"/>
      <c r="AL60" t="str">
        <f t="shared" ca="1" si="0"/>
        <v xml:space="preserve">    (U1)ALERT_REQ_H_MAICER_PD1_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t="s">
        <v>63</v>
      </c>
      <c r="AE61" s="50" t="s">
        <v>63</v>
      </c>
      <c r="AF61" s="50" t="s">
        <v>63</v>
      </c>
      <c r="AG61" s="50" t="s">
        <v>63</v>
      </c>
      <c r="AH61" s="50" t="s">
        <v>63</v>
      </c>
      <c r="AI61" s="50" t="s">
        <v>63</v>
      </c>
      <c r="AJ61" s="21"/>
      <c r="AL61" t="str">
        <f t="shared" ca="1" si="0"/>
        <v xml:space="preserve">    (U1)ALERT_REQ_H_MAICER_PD1_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t="s">
        <v>63</v>
      </c>
      <c r="AE62" s="50" t="s">
        <v>63</v>
      </c>
      <c r="AF62" s="50" t="s">
        <v>63</v>
      </c>
      <c r="AG62" s="50" t="s">
        <v>63</v>
      </c>
      <c r="AH62" s="50" t="s">
        <v>63</v>
      </c>
      <c r="AI62" s="50" t="s">
        <v>63</v>
      </c>
      <c r="AJ62" s="21"/>
      <c r="AL62" t="str">
        <f t="shared" ca="1" si="0"/>
        <v xml:space="preserve">    (U1)ALERT_REQ_H_MAICER_PD1_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t="s">
        <v>63</v>
      </c>
      <c r="AE63" s="50" t="s">
        <v>63</v>
      </c>
      <c r="AF63" s="50" t="s">
        <v>63</v>
      </c>
      <c r="AG63" s="50" t="s">
        <v>63</v>
      </c>
      <c r="AH63" s="50" t="s">
        <v>63</v>
      </c>
      <c r="AI63" s="50" t="s">
        <v>63</v>
      </c>
      <c r="AJ63" s="21"/>
      <c r="AL63" t="str">
        <f t="shared" ca="1" si="0"/>
        <v xml:space="preserve">    (U1)ALERT_REQ_H_MAICER_PD1_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t="s">
        <v>63</v>
      </c>
      <c r="AE64" s="50" t="s">
        <v>63</v>
      </c>
      <c r="AF64" s="50" t="s">
        <v>63</v>
      </c>
      <c r="AG64" s="50" t="s">
        <v>63</v>
      </c>
      <c r="AH64" s="50" t="s">
        <v>63</v>
      </c>
      <c r="AI64" s="50" t="s">
        <v>63</v>
      </c>
      <c r="AJ64" s="21"/>
      <c r="AL64" t="str">
        <f t="shared" ca="1" si="0"/>
        <v xml:space="preserve">    (U1)ALERT_REQ_H_MAICER_PD1_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t="s">
        <v>63</v>
      </c>
      <c r="AE65" s="50" t="s">
        <v>63</v>
      </c>
      <c r="AF65" s="50" t="s">
        <v>63</v>
      </c>
      <c r="AG65" s="50" t="s">
        <v>63</v>
      </c>
      <c r="AH65" s="50" t="s">
        <v>63</v>
      </c>
      <c r="AI65" s="50" t="s">
        <v>63</v>
      </c>
      <c r="AJ65" s="21"/>
      <c r="AL65" t="str">
        <f t="shared" ca="1" si="0"/>
        <v xml:space="preserve">    (U1)ALERT_REQ_H_MAICER_PD1_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t="s">
        <v>63</v>
      </c>
      <c r="AE66" s="50" t="s">
        <v>63</v>
      </c>
      <c r="AF66" s="50" t="s">
        <v>63</v>
      </c>
      <c r="AG66" s="50" t="s">
        <v>63</v>
      </c>
      <c r="AH66" s="50" t="s">
        <v>63</v>
      </c>
      <c r="AI66" s="50" t="s">
        <v>63</v>
      </c>
      <c r="AJ66" s="21"/>
      <c r="AL66" t="str">
        <f t="shared" ca="1" si="0"/>
        <v xml:space="preserve">    (U1)ALERT_REQ_H_MAICER_PD1_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t="s">
        <v>63</v>
      </c>
      <c r="AE67" s="50" t="s">
        <v>63</v>
      </c>
      <c r="AF67" s="50" t="s">
        <v>63</v>
      </c>
      <c r="AG67" s="50" t="s">
        <v>63</v>
      </c>
      <c r="AH67" s="50" t="s">
        <v>63</v>
      </c>
      <c r="AI67" s="50" t="s">
        <v>63</v>
      </c>
      <c r="AJ67" s="21"/>
      <c r="AL67" t="str">
        <f t="shared" ca="1" si="0"/>
        <v xml:space="preserve">    (U1)ALERT_REQ_H_MAICER_PD1_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t="s">
        <v>63</v>
      </c>
      <c r="AE68" s="50" t="s">
        <v>63</v>
      </c>
      <c r="AF68" s="50" t="s">
        <v>63</v>
      </c>
      <c r="AG68" s="50" t="s">
        <v>63</v>
      </c>
      <c r="AH68" s="50" t="s">
        <v>63</v>
      </c>
      <c r="AI68" s="50" t="s">
        <v>63</v>
      </c>
      <c r="AJ68" s="21"/>
      <c r="AL68" t="str">
        <f t="shared" ca="1" si="0"/>
        <v xml:space="preserve">    (U1)ALERT_REQ_H_MAICER_PD1_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1"/>
      <c r="AL69" t="str">
        <f t="shared" ca="1" si="0"/>
        <v xml:space="preserve">    (U1)ALERT_REQ_H_MAICER_PD1_</v>
      </c>
      <c r="AR69" s="52" t="str">
        <f t="shared" si="3"/>
        <v/>
      </c>
      <c r="AS69" s="52" t="str">
        <f t="shared" si="4"/>
        <v/>
      </c>
      <c r="AT69" s="52" t="str">
        <f t="shared" si="1"/>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PD1</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MALFUNC</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t="str">
        <f t="shared" si="7"/>
        <v xml:space="preserve">    (U4)0x00000001U,                                                           /* 01 MALFUNC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0</v>
      </c>
      <c r="AH75" s="119">
        <f t="shared" si="5"/>
        <v>0</v>
      </c>
      <c r="AI75" s="119">
        <f t="shared" si="5"/>
        <v>0</v>
      </c>
      <c r="AJ75" s="36" t="str">
        <f t="shared" si="6"/>
        <v/>
      </c>
      <c r="AK75" s="49"/>
      <c r="AL75" s="49" t="str">
        <f t="shared" si="9"/>
        <v>00</v>
      </c>
      <c r="AM75" s="51" t="str">
        <f t="shared" si="10"/>
        <v>00</v>
      </c>
      <c r="AN75" s="51" t="str">
        <f t="shared" si="11"/>
        <v>00</v>
      </c>
      <c r="AO75" s="51" t="str">
        <f t="shared" si="12"/>
        <v>00</v>
      </c>
      <c r="AQ75" t="str">
        <f t="shared" si="7"/>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0</v>
      </c>
      <c r="AH76" s="119">
        <f t="shared" si="5"/>
        <v>0</v>
      </c>
      <c r="AI76" s="119">
        <f t="shared" si="5"/>
        <v>0</v>
      </c>
      <c r="AJ76" s="36" t="str">
        <f t="shared" si="6"/>
        <v/>
      </c>
      <c r="AK76" s="49"/>
      <c r="AL76" s="49" t="str">
        <f t="shared" si="9"/>
        <v>00</v>
      </c>
      <c r="AM76" s="51" t="str">
        <f t="shared" si="10"/>
        <v>00</v>
      </c>
      <c r="AN76" s="51" t="str">
        <f t="shared" si="11"/>
        <v>00</v>
      </c>
      <c r="AO76" s="51" t="str">
        <f t="shared" si="12"/>
        <v>00</v>
      </c>
      <c r="AQ76" t="str">
        <f t="shared" si="7"/>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0</v>
      </c>
      <c r="AH77" s="119">
        <f t="shared" si="5"/>
        <v>0</v>
      </c>
      <c r="AI77" s="119">
        <f t="shared" si="5"/>
        <v>0</v>
      </c>
      <c r="AJ77" s="36" t="str">
        <f t="shared" si="6"/>
        <v/>
      </c>
      <c r="AK77" s="49"/>
      <c r="AL77" s="49" t="str">
        <f t="shared" si="9"/>
        <v>00</v>
      </c>
      <c r="AM77" s="51" t="str">
        <f t="shared" si="10"/>
        <v>00</v>
      </c>
      <c r="AN77" s="51" t="str">
        <f t="shared" si="11"/>
        <v>00</v>
      </c>
      <c r="AO77" s="51" t="str">
        <f t="shared" si="12"/>
        <v>00</v>
      </c>
      <c r="AQ77" t="str">
        <f t="shared" si="7"/>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0</v>
      </c>
      <c r="AH78" s="119">
        <f t="shared" si="5"/>
        <v>0</v>
      </c>
      <c r="AI78" s="119">
        <f>IF(AI13=1,1,0)</f>
        <v>0</v>
      </c>
      <c r="AJ78" s="36" t="str">
        <f t="shared" si="6"/>
        <v/>
      </c>
      <c r="AK78" s="49"/>
      <c r="AL78" s="49" t="str">
        <f t="shared" si="9"/>
        <v>00</v>
      </c>
      <c r="AM78" s="51" t="str">
        <f t="shared" si="10"/>
        <v>00</v>
      </c>
      <c r="AN78" s="51" t="str">
        <f t="shared" si="11"/>
        <v>00</v>
      </c>
      <c r="AO78" s="51" t="str">
        <f t="shared" si="12"/>
        <v>00</v>
      </c>
      <c r="AQ78" t="str">
        <f t="shared" si="7"/>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0</v>
      </c>
      <c r="AG79" s="119">
        <f t="shared" si="13"/>
        <v>0</v>
      </c>
      <c r="AH79" s="119">
        <f t="shared" si="13"/>
        <v>0</v>
      </c>
      <c r="AI79" s="119">
        <f t="shared" si="13"/>
        <v>0</v>
      </c>
      <c r="AJ79" s="36" t="str">
        <f t="shared" si="6"/>
        <v/>
      </c>
      <c r="AK79" s="49"/>
      <c r="AL79" s="49" t="str">
        <f t="shared" si="9"/>
        <v>00</v>
      </c>
      <c r="AM79" s="51" t="str">
        <f t="shared" si="10"/>
        <v>00</v>
      </c>
      <c r="AN79" s="51" t="str">
        <f t="shared" si="11"/>
        <v>00</v>
      </c>
      <c r="AO79" s="51" t="str">
        <f t="shared" si="12"/>
        <v>00</v>
      </c>
      <c r="AQ79" t="str">
        <f t="shared" si="7"/>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0</v>
      </c>
      <c r="AG80" s="119">
        <f t="shared" si="13"/>
        <v>0</v>
      </c>
      <c r="AH80" s="119">
        <f t="shared" si="13"/>
        <v>0</v>
      </c>
      <c r="AI80" s="119">
        <f t="shared" si="13"/>
        <v>0</v>
      </c>
      <c r="AJ80" s="36" t="str">
        <f t="shared" si="6"/>
        <v/>
      </c>
      <c r="AK80" s="49"/>
      <c r="AL80" s="49" t="str">
        <f t="shared" si="9"/>
        <v>00</v>
      </c>
      <c r="AM80" s="51" t="str">
        <f t="shared" si="10"/>
        <v>00</v>
      </c>
      <c r="AN80" s="51" t="str">
        <f t="shared" si="11"/>
        <v>00</v>
      </c>
      <c r="AO80" s="51" t="str">
        <f t="shared" si="12"/>
        <v>00</v>
      </c>
      <c r="AQ80" t="str">
        <f t="shared" si="7"/>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0</v>
      </c>
      <c r="AG81" s="119">
        <f t="shared" si="13"/>
        <v>0</v>
      </c>
      <c r="AH81" s="119">
        <f t="shared" si="13"/>
        <v>0</v>
      </c>
      <c r="AI81" s="119">
        <f t="shared" si="13"/>
        <v>0</v>
      </c>
      <c r="AJ81" s="36" t="str">
        <f t="shared" si="6"/>
        <v/>
      </c>
      <c r="AK81" s="49"/>
      <c r="AL81" s="49" t="str">
        <f t="shared" si="9"/>
        <v>00</v>
      </c>
      <c r="AM81" s="51" t="str">
        <f t="shared" si="10"/>
        <v>00</v>
      </c>
      <c r="AN81" s="51" t="str">
        <f t="shared" si="11"/>
        <v>00</v>
      </c>
      <c r="AO81" s="51" t="str">
        <f t="shared" si="12"/>
        <v>00</v>
      </c>
      <c r="AQ81" t="str">
        <f t="shared" si="7"/>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0</v>
      </c>
      <c r="AG82" s="119">
        <f t="shared" si="13"/>
        <v>0</v>
      </c>
      <c r="AH82" s="119">
        <f t="shared" si="13"/>
        <v>0</v>
      </c>
      <c r="AI82" s="119">
        <f t="shared" si="13"/>
        <v>0</v>
      </c>
      <c r="AJ82" s="36" t="str">
        <f t="shared" si="6"/>
        <v/>
      </c>
      <c r="AK82" s="49"/>
      <c r="AL82" s="49" t="str">
        <f t="shared" si="9"/>
        <v>00</v>
      </c>
      <c r="AM82" s="51" t="str">
        <f t="shared" si="10"/>
        <v>00</v>
      </c>
      <c r="AN82" s="51" t="str">
        <f t="shared" si="11"/>
        <v>00</v>
      </c>
      <c r="AO82" s="51" t="str">
        <f t="shared" si="12"/>
        <v>00</v>
      </c>
      <c r="AQ82" t="str">
        <f t="shared" si="7"/>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0</v>
      </c>
      <c r="AG83" s="119">
        <f t="shared" si="13"/>
        <v>0</v>
      </c>
      <c r="AH83" s="119">
        <f t="shared" si="13"/>
        <v>0</v>
      </c>
      <c r="AI83" s="119">
        <f t="shared" si="13"/>
        <v>0</v>
      </c>
      <c r="AJ83" s="36" t="str">
        <f t="shared" si="6"/>
        <v/>
      </c>
      <c r="AK83" s="49"/>
      <c r="AL83" s="49" t="str">
        <f t="shared" si="9"/>
        <v>00</v>
      </c>
      <c r="AM83" s="51" t="str">
        <f t="shared" si="10"/>
        <v>00</v>
      </c>
      <c r="AN83" s="51" t="str">
        <f t="shared" si="11"/>
        <v>00</v>
      </c>
      <c r="AO83" s="51" t="str">
        <f t="shared" si="12"/>
        <v>00</v>
      </c>
      <c r="AQ83" t="str">
        <f t="shared" si="7"/>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0</v>
      </c>
      <c r="AG84" s="119">
        <f t="shared" si="13"/>
        <v>0</v>
      </c>
      <c r="AH84" s="119">
        <f t="shared" si="13"/>
        <v>0</v>
      </c>
      <c r="AI84" s="119">
        <f t="shared" si="13"/>
        <v>0</v>
      </c>
      <c r="AJ84" s="36" t="str">
        <f t="shared" si="6"/>
        <v/>
      </c>
      <c r="AK84" s="49"/>
      <c r="AL84" s="49" t="str">
        <f t="shared" si="9"/>
        <v>00</v>
      </c>
      <c r="AM84" s="51" t="str">
        <f t="shared" si="10"/>
        <v>00</v>
      </c>
      <c r="AN84" s="51" t="str">
        <f t="shared" si="11"/>
        <v>00</v>
      </c>
      <c r="AO84" s="51" t="str">
        <f t="shared" si="12"/>
        <v>00</v>
      </c>
      <c r="AQ84" t="str">
        <f t="shared" si="7"/>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0</v>
      </c>
      <c r="AG85" s="119">
        <f t="shared" si="13"/>
        <v>0</v>
      </c>
      <c r="AH85" s="119">
        <f t="shared" si="13"/>
        <v>0</v>
      </c>
      <c r="AI85" s="119">
        <f t="shared" si="13"/>
        <v>0</v>
      </c>
      <c r="AJ85" s="36" t="str">
        <f t="shared" si="6"/>
        <v/>
      </c>
      <c r="AK85" s="49"/>
      <c r="AL85" s="49" t="str">
        <f t="shared" si="9"/>
        <v>00</v>
      </c>
      <c r="AM85" s="51" t="str">
        <f t="shared" si="10"/>
        <v>00</v>
      </c>
      <c r="AN85" s="51" t="str">
        <f t="shared" si="11"/>
        <v>00</v>
      </c>
      <c r="AO85" s="51" t="str">
        <f t="shared" si="12"/>
        <v>00</v>
      </c>
      <c r="AQ85" t="str">
        <f t="shared" si="7"/>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0</v>
      </c>
      <c r="AG86" s="119">
        <f t="shared" si="13"/>
        <v>0</v>
      </c>
      <c r="AH86" s="119">
        <f t="shared" si="13"/>
        <v>0</v>
      </c>
      <c r="AI86" s="119">
        <f>IF(AI21=1,1,0)</f>
        <v>0</v>
      </c>
      <c r="AJ86" s="36" t="str">
        <f t="shared" si="6"/>
        <v/>
      </c>
      <c r="AK86" s="49"/>
      <c r="AL86" s="49" t="str">
        <f t="shared" si="9"/>
        <v>00</v>
      </c>
      <c r="AM86" s="51" t="str">
        <f t="shared" si="10"/>
        <v>00</v>
      </c>
      <c r="AN86" s="51" t="str">
        <f t="shared" si="11"/>
        <v>00</v>
      </c>
      <c r="AO86" s="51" t="str">
        <f t="shared" si="12"/>
        <v>00</v>
      </c>
      <c r="AQ86" t="str">
        <f t="shared" si="7"/>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PD1</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0</v>
      </c>
      <c r="AG136" s="119">
        <f t="shared" si="20"/>
        <v>0</v>
      </c>
      <c r="AH136" s="119">
        <f t="shared" si="20"/>
        <v>1</v>
      </c>
      <c r="AI136" s="119">
        <f t="shared" si="20"/>
        <v>1</v>
      </c>
      <c r="AJ136" s="36" t="str">
        <f t="shared" ref="AJ136:AJ199" si="21">IF(AJ6&lt;&gt;"",AJ6,"")</f>
        <v>UNKNOWN</v>
      </c>
      <c r="AK136" s="49"/>
      <c r="AL136" s="49" t="str">
        <f>BIN2HEX(AB136&amp;AC136&amp;AD136&amp;AE136&amp;AF136&amp;AG136&amp;AH136&amp;AI136,2)</f>
        <v>03</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(U4)0x00000003U,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0</v>
      </c>
      <c r="AG137" s="119">
        <f t="shared" si="20"/>
        <v>0</v>
      </c>
      <c r="AH137" s="119">
        <f t="shared" si="20"/>
        <v>1</v>
      </c>
      <c r="AI137" s="119">
        <f t="shared" si="20"/>
        <v>1</v>
      </c>
      <c r="AJ137" s="36" t="str">
        <f t="shared" si="21"/>
        <v>MALFUNC</v>
      </c>
      <c r="AK137" s="49"/>
      <c r="AL137" s="49" t="str">
        <f t="shared" ref="AL137:AL199" si="24">BIN2HEX(AB137&amp;AC137&amp;AD137&amp;AE137&amp;AF137&amp;AG137&amp;AH137&amp;AI137,2)</f>
        <v>03</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t="str">
        <f t="shared" si="22"/>
        <v xml:space="preserve">    (U4)0x00000003U,                                                           /* 01 MALFUNC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0</v>
      </c>
      <c r="AG138" s="119">
        <f t="shared" si="20"/>
        <v>0</v>
      </c>
      <c r="AH138" s="119">
        <f t="shared" si="20"/>
        <v>1</v>
      </c>
      <c r="AI138" s="119">
        <f t="shared" si="20"/>
        <v>1</v>
      </c>
      <c r="AJ138" s="36" t="str">
        <f t="shared" si="21"/>
        <v>UNKNOWN</v>
      </c>
      <c r="AK138" s="49"/>
      <c r="AL138" s="49" t="str">
        <f t="shared" si="24"/>
        <v>03</v>
      </c>
      <c r="AM138" s="51" t="str">
        <f t="shared" si="25"/>
        <v>00</v>
      </c>
      <c r="AN138" s="51" t="str">
        <f t="shared" si="26"/>
        <v>00</v>
      </c>
      <c r="AO138" s="51" t="str">
        <f t="shared" si="27"/>
        <v>00</v>
      </c>
      <c r="AQ138" t="str">
        <f t="shared" si="22"/>
        <v xml:space="preserve">    (U4)0x00000003U,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0</v>
      </c>
      <c r="AG139" s="119">
        <f t="shared" si="20"/>
        <v>0</v>
      </c>
      <c r="AH139" s="119">
        <f t="shared" si="20"/>
        <v>1</v>
      </c>
      <c r="AI139" s="119">
        <f t="shared" si="20"/>
        <v>1</v>
      </c>
      <c r="AJ139" s="36" t="str">
        <f t="shared" si="21"/>
        <v>UNKNOWN</v>
      </c>
      <c r="AK139" s="49"/>
      <c r="AL139" s="49" t="str">
        <f t="shared" si="24"/>
        <v>03</v>
      </c>
      <c r="AM139" s="51" t="str">
        <f t="shared" si="25"/>
        <v>00</v>
      </c>
      <c r="AN139" s="51" t="str">
        <f t="shared" si="26"/>
        <v>00</v>
      </c>
      <c r="AO139" s="51" t="str">
        <f t="shared" si="27"/>
        <v>00</v>
      </c>
      <c r="AQ139" t="str">
        <f t="shared" si="22"/>
        <v xml:space="preserve">    (U4)0x00000003U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0</v>
      </c>
      <c r="AG140" s="119">
        <f t="shared" si="20"/>
        <v>0</v>
      </c>
      <c r="AH140" s="119">
        <f t="shared" si="20"/>
        <v>0</v>
      </c>
      <c r="AI140" s="119">
        <f t="shared" si="20"/>
        <v>0</v>
      </c>
      <c r="AJ140" s="36" t="str">
        <f t="shared" si="21"/>
        <v/>
      </c>
      <c r="AK140" s="49"/>
      <c r="AL140" s="49" t="str">
        <f t="shared" si="24"/>
        <v>00</v>
      </c>
      <c r="AM140" s="51" t="str">
        <f t="shared" si="25"/>
        <v>00</v>
      </c>
      <c r="AN140" s="51" t="str">
        <f t="shared" si="26"/>
        <v>00</v>
      </c>
      <c r="AO140" s="51" t="str">
        <f t="shared" si="27"/>
        <v>00</v>
      </c>
      <c r="AQ140" t="str">
        <f t="shared" si="22"/>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0</v>
      </c>
      <c r="AG141" s="119">
        <f t="shared" si="20"/>
        <v>0</v>
      </c>
      <c r="AH141" s="119">
        <f t="shared" si="20"/>
        <v>0</v>
      </c>
      <c r="AI141" s="119">
        <f t="shared" si="20"/>
        <v>0</v>
      </c>
      <c r="AJ141" s="36" t="str">
        <f t="shared" si="21"/>
        <v/>
      </c>
      <c r="AK141" s="49"/>
      <c r="AL141" s="49" t="str">
        <f t="shared" si="24"/>
        <v>00</v>
      </c>
      <c r="AM141" s="51" t="str">
        <f t="shared" si="25"/>
        <v>00</v>
      </c>
      <c r="AN141" s="51" t="str">
        <f t="shared" si="26"/>
        <v>00</v>
      </c>
      <c r="AO141" s="51" t="str">
        <f t="shared" si="27"/>
        <v>00</v>
      </c>
      <c r="AQ141" t="str">
        <f t="shared" si="22"/>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0</v>
      </c>
      <c r="AG142" s="119">
        <f t="shared" si="20"/>
        <v>0</v>
      </c>
      <c r="AH142" s="119">
        <f t="shared" si="20"/>
        <v>0</v>
      </c>
      <c r="AI142" s="119">
        <f t="shared" si="20"/>
        <v>0</v>
      </c>
      <c r="AJ142" s="36" t="str">
        <f t="shared" si="21"/>
        <v/>
      </c>
      <c r="AK142" s="49"/>
      <c r="AL142" s="49" t="str">
        <f t="shared" si="24"/>
        <v>00</v>
      </c>
      <c r="AM142" s="51" t="str">
        <f t="shared" si="25"/>
        <v>00</v>
      </c>
      <c r="AN142" s="51" t="str">
        <f t="shared" si="26"/>
        <v>00</v>
      </c>
      <c r="AO142" s="51" t="str">
        <f t="shared" si="27"/>
        <v>00</v>
      </c>
      <c r="AQ142" t="str">
        <f t="shared" si="22"/>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0</v>
      </c>
      <c r="AG143" s="119">
        <f t="shared" si="20"/>
        <v>0</v>
      </c>
      <c r="AH143" s="119">
        <f t="shared" si="20"/>
        <v>0</v>
      </c>
      <c r="AI143" s="119">
        <f>IF(OR(AI13=0,AI13=1),1,0)</f>
        <v>0</v>
      </c>
      <c r="AJ143" s="36" t="str">
        <f t="shared" si="21"/>
        <v/>
      </c>
      <c r="AK143" s="49"/>
      <c r="AL143" s="49" t="str">
        <f t="shared" si="24"/>
        <v>00</v>
      </c>
      <c r="AM143" s="51" t="str">
        <f t="shared" si="25"/>
        <v>00</v>
      </c>
      <c r="AN143" s="51" t="str">
        <f t="shared" si="26"/>
        <v>00</v>
      </c>
      <c r="AO143" s="51" t="str">
        <f t="shared" si="27"/>
        <v>00</v>
      </c>
      <c r="AQ143" t="str">
        <f t="shared" si="22"/>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0</v>
      </c>
      <c r="AG144" s="119">
        <f t="shared" si="28"/>
        <v>0</v>
      </c>
      <c r="AH144" s="119">
        <f t="shared" si="28"/>
        <v>0</v>
      </c>
      <c r="AI144" s="119">
        <f t="shared" si="28"/>
        <v>0</v>
      </c>
      <c r="AJ144" s="36" t="str">
        <f t="shared" si="21"/>
        <v/>
      </c>
      <c r="AK144" s="49"/>
      <c r="AL144" s="49" t="str">
        <f t="shared" si="24"/>
        <v>00</v>
      </c>
      <c r="AM144" s="51" t="str">
        <f t="shared" si="25"/>
        <v>00</v>
      </c>
      <c r="AN144" s="51" t="str">
        <f t="shared" si="26"/>
        <v>00</v>
      </c>
      <c r="AO144" s="51" t="str">
        <f t="shared" si="27"/>
        <v>00</v>
      </c>
      <c r="AQ144" t="str">
        <f t="shared" si="22"/>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0</v>
      </c>
      <c r="AG145" s="119">
        <f t="shared" si="28"/>
        <v>0</v>
      </c>
      <c r="AH145" s="119">
        <f t="shared" si="28"/>
        <v>0</v>
      </c>
      <c r="AI145" s="119">
        <f t="shared" si="28"/>
        <v>0</v>
      </c>
      <c r="AJ145" s="36" t="str">
        <f t="shared" si="21"/>
        <v/>
      </c>
      <c r="AK145" s="49"/>
      <c r="AL145" s="49" t="str">
        <f t="shared" si="24"/>
        <v>00</v>
      </c>
      <c r="AM145" s="51" t="str">
        <f t="shared" si="25"/>
        <v>00</v>
      </c>
      <c r="AN145" s="51" t="str">
        <f t="shared" si="26"/>
        <v>00</v>
      </c>
      <c r="AO145" s="51" t="str">
        <f t="shared" si="27"/>
        <v>00</v>
      </c>
      <c r="AQ145" t="str">
        <f t="shared" si="22"/>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0</v>
      </c>
      <c r="AG146" s="119">
        <f t="shared" si="28"/>
        <v>0</v>
      </c>
      <c r="AH146" s="119">
        <f t="shared" si="28"/>
        <v>0</v>
      </c>
      <c r="AI146" s="119">
        <f t="shared" si="28"/>
        <v>0</v>
      </c>
      <c r="AJ146" s="36" t="str">
        <f t="shared" si="21"/>
        <v/>
      </c>
      <c r="AK146" s="49"/>
      <c r="AL146" s="49" t="str">
        <f t="shared" si="24"/>
        <v>00</v>
      </c>
      <c r="AM146" s="51" t="str">
        <f t="shared" si="25"/>
        <v>00</v>
      </c>
      <c r="AN146" s="51" t="str">
        <f t="shared" si="26"/>
        <v>00</v>
      </c>
      <c r="AO146" s="51" t="str">
        <f t="shared" si="27"/>
        <v>00</v>
      </c>
      <c r="AQ146" t="str">
        <f t="shared" si="22"/>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0</v>
      </c>
      <c r="AG147" s="119">
        <f t="shared" si="28"/>
        <v>0</v>
      </c>
      <c r="AH147" s="119">
        <f t="shared" si="28"/>
        <v>0</v>
      </c>
      <c r="AI147" s="119">
        <f t="shared" si="28"/>
        <v>0</v>
      </c>
      <c r="AJ147" s="36" t="str">
        <f t="shared" si="21"/>
        <v/>
      </c>
      <c r="AK147" s="49"/>
      <c r="AL147" s="49" t="str">
        <f t="shared" si="24"/>
        <v>00</v>
      </c>
      <c r="AM147" s="51" t="str">
        <f t="shared" si="25"/>
        <v>00</v>
      </c>
      <c r="AN147" s="51" t="str">
        <f t="shared" si="26"/>
        <v>00</v>
      </c>
      <c r="AO147" s="51" t="str">
        <f t="shared" si="27"/>
        <v>00</v>
      </c>
      <c r="AQ147" t="str">
        <f t="shared" si="22"/>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0</v>
      </c>
      <c r="AG148" s="119">
        <f t="shared" si="28"/>
        <v>0</v>
      </c>
      <c r="AH148" s="119">
        <f t="shared" si="28"/>
        <v>0</v>
      </c>
      <c r="AI148" s="119">
        <f t="shared" si="28"/>
        <v>0</v>
      </c>
      <c r="AJ148" s="36" t="str">
        <f t="shared" si="21"/>
        <v/>
      </c>
      <c r="AK148" s="49"/>
      <c r="AL148" s="49" t="str">
        <f t="shared" si="24"/>
        <v>00</v>
      </c>
      <c r="AM148" s="51" t="str">
        <f t="shared" si="25"/>
        <v>00</v>
      </c>
      <c r="AN148" s="51" t="str">
        <f t="shared" si="26"/>
        <v>00</v>
      </c>
      <c r="AO148" s="51" t="str">
        <f t="shared" si="27"/>
        <v>00</v>
      </c>
      <c r="AQ148" t="str">
        <f t="shared" si="22"/>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0</v>
      </c>
      <c r="AG149" s="119">
        <f t="shared" si="28"/>
        <v>0</v>
      </c>
      <c r="AH149" s="119">
        <f t="shared" si="28"/>
        <v>0</v>
      </c>
      <c r="AI149" s="119">
        <f t="shared" si="28"/>
        <v>0</v>
      </c>
      <c r="AJ149" s="36" t="str">
        <f t="shared" si="21"/>
        <v/>
      </c>
      <c r="AK149" s="49"/>
      <c r="AL149" s="49" t="str">
        <f t="shared" si="24"/>
        <v>00</v>
      </c>
      <c r="AM149" s="51" t="str">
        <f t="shared" si="25"/>
        <v>00</v>
      </c>
      <c r="AN149" s="51" t="str">
        <f t="shared" si="26"/>
        <v>00</v>
      </c>
      <c r="AO149" s="51" t="str">
        <f t="shared" si="27"/>
        <v>00</v>
      </c>
      <c r="AQ149" t="str">
        <f t="shared" si="22"/>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0</v>
      </c>
      <c r="AG150" s="119">
        <f t="shared" si="28"/>
        <v>0</v>
      </c>
      <c r="AH150" s="119">
        <f t="shared" si="28"/>
        <v>0</v>
      </c>
      <c r="AI150" s="119">
        <f t="shared" si="28"/>
        <v>0</v>
      </c>
      <c r="AJ150" s="36" t="str">
        <f t="shared" si="21"/>
        <v/>
      </c>
      <c r="AK150" s="49"/>
      <c r="AL150" s="49" t="str">
        <f t="shared" si="24"/>
        <v>00</v>
      </c>
      <c r="AM150" s="51" t="str">
        <f t="shared" si="25"/>
        <v>00</v>
      </c>
      <c r="AN150" s="51" t="str">
        <f t="shared" si="26"/>
        <v>00</v>
      </c>
      <c r="AO150" s="51" t="str">
        <f t="shared" si="27"/>
        <v>00</v>
      </c>
      <c r="AQ150" t="str">
        <f t="shared" si="22"/>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0</v>
      </c>
      <c r="AG151" s="119">
        <f t="shared" si="28"/>
        <v>0</v>
      </c>
      <c r="AH151" s="119">
        <f t="shared" si="28"/>
        <v>0</v>
      </c>
      <c r="AI151" s="119">
        <f>IF(OR(AI21=0,AI21=1),1,0)</f>
        <v>0</v>
      </c>
      <c r="AJ151" s="36" t="str">
        <f t="shared" si="21"/>
        <v/>
      </c>
      <c r="AK151" s="49"/>
      <c r="AL151" s="49" t="str">
        <f t="shared" si="24"/>
        <v>00</v>
      </c>
      <c r="AM151" s="51" t="str">
        <f t="shared" si="25"/>
        <v>00</v>
      </c>
      <c r="AN151" s="51" t="str">
        <f t="shared" si="26"/>
        <v>00</v>
      </c>
      <c r="AO151" s="51" t="str">
        <f t="shared" si="27"/>
        <v>00</v>
      </c>
      <c r="AQ151" t="str">
        <f t="shared" si="22"/>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t="str">
        <f t="shared" si="22"/>
        <v/>
      </c>
    </row>
  </sheetData>
  <protectedRanges>
    <protectedRange sqref="L3:AG3 D6:AJ69" name="Table作成編集範囲"/>
    <protectedRange sqref="B3" name="Table作成編集範囲_1"/>
    <protectedRange sqref="AH3:AI3" name="Table作成編集範囲_2_1"/>
  </protectedRanges>
  <mergeCells count="3">
    <mergeCell ref="C2:C3"/>
    <mergeCell ref="AJ2:AJ3"/>
    <mergeCell ref="A4:B5"/>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style="203" customWidth="1"/>
    <col min="2" max="2" width="16.75" style="203" bestFit="1" customWidth="1"/>
    <col min="3" max="3" width="3" style="203" bestFit="1" customWidth="1"/>
    <col min="4" max="35" width="3" style="203" customWidth="1"/>
    <col min="36" max="36" width="36.375" style="203" bestFit="1" customWidth="1"/>
    <col min="37" max="37" width="4.125" style="203" customWidth="1"/>
    <col min="38" max="42" width="9" style="203" hidden="1" customWidth="1"/>
    <col min="43" max="43" width="20.625" style="203" hidden="1" customWidth="1"/>
    <col min="44" max="47" width="41.125" style="203" customWidth="1"/>
    <col min="48" max="48" width="23.625" style="203" customWidth="1"/>
    <col min="49" max="49" width="29" style="203" bestFit="1" customWidth="1"/>
    <col min="50" max="16384" width="9" style="203"/>
  </cols>
  <sheetData>
    <row r="1" spans="1:49">
      <c r="AH1" s="203" t="s">
        <v>55</v>
      </c>
      <c r="AI1" s="203" t="s">
        <v>56</v>
      </c>
    </row>
    <row r="2" spans="1:49">
      <c r="B2" s="118" t="s">
        <v>115</v>
      </c>
      <c r="C2" s="293"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5" t="s">
        <v>47</v>
      </c>
    </row>
    <row r="3" spans="1:49" ht="213" customHeight="1" thickBot="1">
      <c r="B3" s="183" t="str">
        <f>IF(OR(IF(COUNTIF(D6:AC69,"0")&lt;&gt;0,TRUE,FALSE),IF(COUNTIF(D6:AC69,"1")&lt;&gt;0,TRUE,FALSE)),"Search Table","Index Table")</f>
        <v>Index Table</v>
      </c>
      <c r="C3" s="294"/>
      <c r="D3" s="120" t="s">
        <v>57</v>
      </c>
      <c r="E3" s="120" t="s">
        <v>62</v>
      </c>
      <c r="F3" s="120" t="s">
        <v>45</v>
      </c>
      <c r="G3" s="120" t="s">
        <v>44</v>
      </c>
      <c r="H3" s="120" t="s">
        <v>113</v>
      </c>
      <c r="I3" s="120" t="s">
        <v>112</v>
      </c>
      <c r="J3" s="120" t="s">
        <v>117</v>
      </c>
      <c r="K3" s="120" t="s">
        <v>116</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121" t="s">
        <v>58</v>
      </c>
      <c r="AG3" s="121" t="s">
        <v>58</v>
      </c>
      <c r="AH3" s="207" t="s">
        <v>225</v>
      </c>
      <c r="AI3" s="208" t="s">
        <v>272</v>
      </c>
      <c r="AJ3" s="296"/>
      <c r="AR3" s="82" t="s">
        <v>88</v>
      </c>
    </row>
    <row r="4" spans="1:49" ht="14.25" thickBot="1">
      <c r="A4" s="297" t="s">
        <v>59</v>
      </c>
      <c r="B4" s="298"/>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123"/>
      <c r="AR4" s="70" t="s">
        <v>75</v>
      </c>
      <c r="AS4" s="71"/>
      <c r="AT4" s="71"/>
      <c r="AU4" s="71"/>
      <c r="AV4" s="71"/>
      <c r="AW4" s="72"/>
    </row>
    <row r="5" spans="1:49" ht="14.25" thickBot="1">
      <c r="A5" s="299"/>
      <c r="B5" s="300"/>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124"/>
      <c r="AR5" s="73" t="str">
        <f ca="1">"static const U4  "&amp;AW8&amp;"["&amp;AW10&amp;"]"&amp;" = {"</f>
        <v>static const U4  u4_sp_ALERT_H_MAICER_PD2_CRIT[ALERT_H_MAICER_PD2_NUM_DST] = {</v>
      </c>
      <c r="AS5" s="73" t="str">
        <f ca="1">"static const U4  "&amp;$AW$9&amp;"["&amp;$AW$10&amp;"] = {"</f>
        <v>static const U4  u4_sp_ALERT_H_MAICER_PD2_MASK[ALERT_H_MAICER_PD2_NUM_DST] = {</v>
      </c>
      <c r="AT5" s="73" t="str">
        <f ca="1">"static const U1  "&amp;$AW$11&amp;"["&amp;$AW$10&amp;"] = {"</f>
        <v>static const U1  u1_sp_ALERT_H_MAICER_PD2_DST[ALERT_H_MAICER_PD2_NUM_DST] = {</v>
      </c>
      <c r="AU5" s="73" t="str">
        <f ca="1">"const ST_ALERT_MTRX "&amp;$AW$12&amp;" = {"</f>
        <v>const ST_ALERT_MTRX st_gp_ALERT_H_MAICER_MTRX[4] = {</v>
      </c>
      <c r="AV5" s="54" t="str">
        <f ca="1">"#define "&amp;AW10&amp;REPT(" ",41-LEN(AW10))&amp;"("&amp;AW13&amp;"U)"</f>
        <v>#define ALERT_H_MAICER_PD2_NUM_DST               (4U)</v>
      </c>
      <c r="AW5" s="55"/>
    </row>
    <row r="6" spans="1:49">
      <c r="B6" s="126" t="str">
        <f ca="1">"Table "&amp;$AW$6</f>
        <v>Table PD2</v>
      </c>
      <c r="C6" s="41">
        <f>ROW()-ROW($C$6)</f>
        <v>0</v>
      </c>
      <c r="D6" s="122" t="s">
        <v>176</v>
      </c>
      <c r="E6" s="122" t="s">
        <v>176</v>
      </c>
      <c r="F6" s="122" t="s">
        <v>176</v>
      </c>
      <c r="G6" s="122" t="s">
        <v>176</v>
      </c>
      <c r="H6" s="122" t="s">
        <v>176</v>
      </c>
      <c r="I6" s="122" t="s">
        <v>176</v>
      </c>
      <c r="J6" s="122" t="s">
        <v>176</v>
      </c>
      <c r="K6" s="122" t="s">
        <v>176</v>
      </c>
      <c r="L6" s="122" t="s">
        <v>176</v>
      </c>
      <c r="M6" s="122" t="s">
        <v>176</v>
      </c>
      <c r="N6" s="122" t="s">
        <v>176</v>
      </c>
      <c r="O6" s="122" t="s">
        <v>176</v>
      </c>
      <c r="P6" s="122" t="s">
        <v>176</v>
      </c>
      <c r="Q6" s="122" t="s">
        <v>176</v>
      </c>
      <c r="R6" s="122" t="s">
        <v>176</v>
      </c>
      <c r="S6" s="122" t="s">
        <v>176</v>
      </c>
      <c r="T6" s="122" t="s">
        <v>176</v>
      </c>
      <c r="U6" s="122" t="s">
        <v>176</v>
      </c>
      <c r="V6" s="122" t="s">
        <v>176</v>
      </c>
      <c r="W6" s="122" t="s">
        <v>176</v>
      </c>
      <c r="X6" s="122" t="s">
        <v>176</v>
      </c>
      <c r="Y6" s="122" t="s">
        <v>176</v>
      </c>
      <c r="Z6" s="122" t="s">
        <v>176</v>
      </c>
      <c r="AA6" s="122" t="s">
        <v>176</v>
      </c>
      <c r="AB6" s="122" t="s">
        <v>176</v>
      </c>
      <c r="AC6" s="122" t="s">
        <v>176</v>
      </c>
      <c r="AD6" s="122" t="s">
        <v>176</v>
      </c>
      <c r="AE6" s="122" t="s">
        <v>176</v>
      </c>
      <c r="AF6" s="122" t="s">
        <v>176</v>
      </c>
      <c r="AG6" s="122" t="s">
        <v>176</v>
      </c>
      <c r="AH6" s="122">
        <v>0</v>
      </c>
      <c r="AI6" s="122">
        <v>0</v>
      </c>
      <c r="AJ6" s="40" t="s">
        <v>30</v>
      </c>
      <c r="AL6" s="203"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(U4)0x00000003U,                                                           /* 00 UNKNOWN                                         */</v>
      </c>
      <c r="AT6" s="52" t="str">
        <f t="shared" ref="AT6:AT69" si="1">IF(AJ6&lt;&gt;"",AL6&amp;IF(AJ7&lt;&gt;"",","," ")&amp;REPT(" ",78-LEN(AL6))&amp;"/* "&amp;IF(C6&lt;10,"0"&amp;C6,C6)&amp;" "&amp;AJ6&amp;REPT(" ",48-LEN(AJ6))&amp;"*/",IF(AJ5&lt;&gt;"","};",""))</f>
        <v xml:space="preserve">    (U1)ALERT_REQ_UNKNOWN,                                                     /* 00 UNKNOWN                                         */</v>
      </c>
      <c r="AU6" s="52" t="s">
        <v>200</v>
      </c>
      <c r="AV6" s="37" t="s">
        <v>64</v>
      </c>
      <c r="AW6" s="56" t="str">
        <f ca="1">UPPER(RIGHT(CELL("filename",A1),LEN(CELL("filename",A1))-FIND("]",CELL("filename",A1))))</f>
        <v>PD2</v>
      </c>
    </row>
    <row r="7" spans="1:49">
      <c r="B7" s="126"/>
      <c r="C7" s="36">
        <f t="shared" ref="C7:C69" si="2">ROW()-ROW($C$6)</f>
        <v>1</v>
      </c>
      <c r="D7" s="50" t="s">
        <v>176</v>
      </c>
      <c r="E7" s="50" t="s">
        <v>176</v>
      </c>
      <c r="F7" s="50" t="s">
        <v>176</v>
      </c>
      <c r="G7" s="50" t="s">
        <v>176</v>
      </c>
      <c r="H7" s="50" t="s">
        <v>176</v>
      </c>
      <c r="I7" s="50" t="s">
        <v>176</v>
      </c>
      <c r="J7" s="50" t="s">
        <v>176</v>
      </c>
      <c r="K7" s="50" t="s">
        <v>176</v>
      </c>
      <c r="L7" s="50" t="s">
        <v>176</v>
      </c>
      <c r="M7" s="50" t="s">
        <v>176</v>
      </c>
      <c r="N7" s="50" t="s">
        <v>176</v>
      </c>
      <c r="O7" s="50" t="s">
        <v>176</v>
      </c>
      <c r="P7" s="50" t="s">
        <v>176</v>
      </c>
      <c r="Q7" s="50" t="s">
        <v>176</v>
      </c>
      <c r="R7" s="50" t="s">
        <v>176</v>
      </c>
      <c r="S7" s="50" t="s">
        <v>176</v>
      </c>
      <c r="T7" s="50" t="s">
        <v>176</v>
      </c>
      <c r="U7" s="50" t="s">
        <v>176</v>
      </c>
      <c r="V7" s="50" t="s">
        <v>176</v>
      </c>
      <c r="W7" s="50" t="s">
        <v>176</v>
      </c>
      <c r="X7" s="50" t="s">
        <v>176</v>
      </c>
      <c r="Y7" s="50" t="s">
        <v>176</v>
      </c>
      <c r="Z7" s="50" t="s">
        <v>176</v>
      </c>
      <c r="AA7" s="50" t="s">
        <v>176</v>
      </c>
      <c r="AB7" s="50" t="s">
        <v>176</v>
      </c>
      <c r="AC7" s="50" t="s">
        <v>176</v>
      </c>
      <c r="AD7" s="50" t="s">
        <v>176</v>
      </c>
      <c r="AE7" s="50" t="s">
        <v>176</v>
      </c>
      <c r="AF7" s="50" t="s">
        <v>176</v>
      </c>
      <c r="AG7" s="50" t="s">
        <v>176</v>
      </c>
      <c r="AH7" s="50">
        <v>0</v>
      </c>
      <c r="AI7" s="50">
        <v>1</v>
      </c>
      <c r="AJ7" s="21" t="s">
        <v>221</v>
      </c>
      <c r="AL7" s="203" t="str">
        <f t="shared" ca="1" si="0"/>
        <v xml:space="preserve">    (U1)ALERT_REQ_H_MAICER_PD2_MALFUNC</v>
      </c>
      <c r="AR7" s="52" t="str">
        <f t="shared" ref="AR7:AR70" si="3">IF(AQ72&lt;&gt;"",AQ72,IF(AQ71&lt;&gt;"","};",""))</f>
        <v xml:space="preserve">    (U4)0x00000001U,                                                           /* 01 MALFUNC                                         */</v>
      </c>
      <c r="AS7" s="52" t="str">
        <f t="shared" ref="AS7:AS70" si="4">IF(AQ137&lt;&gt;"",AQ137,IF(AQ136&lt;&gt;"","};",""))</f>
        <v xml:space="preserve">    (U4)0x00000003U,                                                           /* 01 MALFUNC                                         */</v>
      </c>
      <c r="AT7" s="52" t="str">
        <f t="shared" ca="1" si="1"/>
        <v xml:space="preserve">    (U1)ALERT_REQ_H_MAICER_PD2_MALFUNC,                                        /* 01 MALFUNC                                         */</v>
      </c>
      <c r="AU7" s="52" t="str">
        <f ca="1">"        &amp;"&amp;$AW$14&amp;","&amp;REPT(" ",69-LEN($AW$14))&amp;"/* fp_u4_SRC_CHK                                      */"</f>
        <v xml:space="preserve">        &amp;u4_s_AlertH_maicerPd2Srcchk,                                          /* fp_u4_SRC_CHK                                      */</v>
      </c>
      <c r="AV7" s="38" t="s">
        <v>65</v>
      </c>
      <c r="AW7" s="125">
        <f>IF(B3="Search Table",1,0)</f>
        <v>0</v>
      </c>
    </row>
    <row r="8" spans="1:49">
      <c r="B8" s="126"/>
      <c r="C8" s="36">
        <f t="shared" si="2"/>
        <v>2</v>
      </c>
      <c r="D8" s="50" t="s">
        <v>176</v>
      </c>
      <c r="E8" s="50" t="s">
        <v>176</v>
      </c>
      <c r="F8" s="50" t="s">
        <v>176</v>
      </c>
      <c r="G8" s="50" t="s">
        <v>176</v>
      </c>
      <c r="H8" s="50" t="s">
        <v>176</v>
      </c>
      <c r="I8" s="50" t="s">
        <v>176</v>
      </c>
      <c r="J8" s="50" t="s">
        <v>176</v>
      </c>
      <c r="K8" s="50" t="s">
        <v>176</v>
      </c>
      <c r="L8" s="50" t="s">
        <v>176</v>
      </c>
      <c r="M8" s="50" t="s">
        <v>176</v>
      </c>
      <c r="N8" s="50" t="s">
        <v>176</v>
      </c>
      <c r="O8" s="50" t="s">
        <v>176</v>
      </c>
      <c r="P8" s="50" t="s">
        <v>176</v>
      </c>
      <c r="Q8" s="50" t="s">
        <v>176</v>
      </c>
      <c r="R8" s="50" t="s">
        <v>176</v>
      </c>
      <c r="S8" s="50" t="s">
        <v>176</v>
      </c>
      <c r="T8" s="50" t="s">
        <v>176</v>
      </c>
      <c r="U8" s="50" t="s">
        <v>176</v>
      </c>
      <c r="V8" s="50" t="s">
        <v>176</v>
      </c>
      <c r="W8" s="50" t="s">
        <v>176</v>
      </c>
      <c r="X8" s="50" t="s">
        <v>176</v>
      </c>
      <c r="Y8" s="50" t="s">
        <v>176</v>
      </c>
      <c r="Z8" s="50" t="s">
        <v>176</v>
      </c>
      <c r="AA8" s="50" t="s">
        <v>176</v>
      </c>
      <c r="AB8" s="50" t="s">
        <v>176</v>
      </c>
      <c r="AC8" s="50" t="s">
        <v>176</v>
      </c>
      <c r="AD8" s="50" t="s">
        <v>176</v>
      </c>
      <c r="AE8" s="50" t="s">
        <v>176</v>
      </c>
      <c r="AF8" s="50" t="s">
        <v>176</v>
      </c>
      <c r="AG8" s="50" t="s">
        <v>176</v>
      </c>
      <c r="AH8" s="50">
        <v>1</v>
      </c>
      <c r="AI8" s="50">
        <v>0</v>
      </c>
      <c r="AJ8" s="21" t="s">
        <v>30</v>
      </c>
      <c r="AL8" s="203" t="str">
        <f t="shared" si="0"/>
        <v xml:space="preserve">    (U1)ALERT_REQ_UNKNOWN</v>
      </c>
      <c r="AR8" s="52" t="str">
        <f t="shared" si="3"/>
        <v xml:space="preserve">    (U4)0x00000002U,                                                           /* 02 UNKNOWN                                         */</v>
      </c>
      <c r="AS8" s="52" t="str">
        <f t="shared" si="4"/>
        <v xml:space="preserve">    (U4)0x00000003U,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u4_sp_ALERT_H_MAICER_PD2_CRIT</v>
      </c>
    </row>
    <row r="9" spans="1:49">
      <c r="B9" s="126"/>
      <c r="C9" s="36">
        <f t="shared" si="2"/>
        <v>3</v>
      </c>
      <c r="D9" s="50" t="s">
        <v>176</v>
      </c>
      <c r="E9" s="50" t="s">
        <v>176</v>
      </c>
      <c r="F9" s="50" t="s">
        <v>176</v>
      </c>
      <c r="G9" s="50" t="s">
        <v>176</v>
      </c>
      <c r="H9" s="50" t="s">
        <v>176</v>
      </c>
      <c r="I9" s="50" t="s">
        <v>176</v>
      </c>
      <c r="J9" s="50" t="s">
        <v>176</v>
      </c>
      <c r="K9" s="50" t="s">
        <v>176</v>
      </c>
      <c r="L9" s="50" t="s">
        <v>176</v>
      </c>
      <c r="M9" s="50" t="s">
        <v>176</v>
      </c>
      <c r="N9" s="50" t="s">
        <v>176</v>
      </c>
      <c r="O9" s="50" t="s">
        <v>176</v>
      </c>
      <c r="P9" s="50" t="s">
        <v>176</v>
      </c>
      <c r="Q9" s="50" t="s">
        <v>176</v>
      </c>
      <c r="R9" s="50" t="s">
        <v>176</v>
      </c>
      <c r="S9" s="50" t="s">
        <v>176</v>
      </c>
      <c r="T9" s="50" t="s">
        <v>176</v>
      </c>
      <c r="U9" s="50" t="s">
        <v>176</v>
      </c>
      <c r="V9" s="50" t="s">
        <v>176</v>
      </c>
      <c r="W9" s="50" t="s">
        <v>176</v>
      </c>
      <c r="X9" s="50" t="s">
        <v>176</v>
      </c>
      <c r="Y9" s="50" t="s">
        <v>176</v>
      </c>
      <c r="Z9" s="50" t="s">
        <v>176</v>
      </c>
      <c r="AA9" s="50" t="s">
        <v>176</v>
      </c>
      <c r="AB9" s="50" t="s">
        <v>176</v>
      </c>
      <c r="AC9" s="50" t="s">
        <v>176</v>
      </c>
      <c r="AD9" s="50" t="s">
        <v>176</v>
      </c>
      <c r="AE9" s="50" t="s">
        <v>176</v>
      </c>
      <c r="AF9" s="50" t="s">
        <v>176</v>
      </c>
      <c r="AG9" s="50" t="s">
        <v>176</v>
      </c>
      <c r="AH9" s="50">
        <v>1</v>
      </c>
      <c r="AI9" s="50">
        <v>1</v>
      </c>
      <c r="AJ9" s="40" t="s">
        <v>30</v>
      </c>
      <c r="AL9" s="203" t="str">
        <f t="shared" si="0"/>
        <v xml:space="preserve">    (U1)ALERT_REQ_UNKNOWN</v>
      </c>
      <c r="AR9" s="52" t="str">
        <f t="shared" si="3"/>
        <v xml:space="preserve">    (U4)0x00000003U                                                            /* 03 UNKNOWN                                         */</v>
      </c>
      <c r="AS9" s="52" t="str">
        <f t="shared" si="4"/>
        <v xml:space="preserve">    (U4)0x00000003U                                                            /* 03 UNKNOWN                                         */</v>
      </c>
      <c r="AT9" s="52" t="str">
        <f t="shared" si="1"/>
        <v xml:space="preserve">    (U1)ALERT_REQ_UNKNOWN                                                      /* 03 UNKNOWN                                         */</v>
      </c>
      <c r="AU9" s="52"/>
      <c r="AV9" s="38" t="s">
        <v>67</v>
      </c>
      <c r="AW9" s="57" t="str">
        <f ca="1">"u4_sp_ALERT_"&amp;IF(AW6&lt;&gt;AW17,$AW$17&amp;"_"&amp;$AW$6,AW17)&amp;"_MASK"</f>
        <v>u4_sp_ALERT_H_MAICER_PD2_MASK</v>
      </c>
    </row>
    <row r="10" spans="1:49">
      <c r="B10" s="126"/>
      <c r="C10" s="36">
        <f t="shared" si="2"/>
        <v>4</v>
      </c>
      <c r="D10" s="50" t="s">
        <v>176</v>
      </c>
      <c r="E10" s="50" t="s">
        <v>176</v>
      </c>
      <c r="F10" s="50" t="s">
        <v>176</v>
      </c>
      <c r="G10" s="50" t="s">
        <v>176</v>
      </c>
      <c r="H10" s="50" t="s">
        <v>176</v>
      </c>
      <c r="I10" s="50" t="s">
        <v>176</v>
      </c>
      <c r="J10" s="50" t="s">
        <v>176</v>
      </c>
      <c r="K10" s="50" t="s">
        <v>176</v>
      </c>
      <c r="L10" s="50" t="s">
        <v>176</v>
      </c>
      <c r="M10" s="50" t="s">
        <v>176</v>
      </c>
      <c r="N10" s="50" t="s">
        <v>176</v>
      </c>
      <c r="O10" s="50" t="s">
        <v>176</v>
      </c>
      <c r="P10" s="50" t="s">
        <v>176</v>
      </c>
      <c r="Q10" s="50" t="s">
        <v>176</v>
      </c>
      <c r="R10" s="50" t="s">
        <v>176</v>
      </c>
      <c r="S10" s="50" t="s">
        <v>176</v>
      </c>
      <c r="T10" s="50" t="s">
        <v>176</v>
      </c>
      <c r="U10" s="50" t="s">
        <v>176</v>
      </c>
      <c r="V10" s="50" t="s">
        <v>176</v>
      </c>
      <c r="W10" s="50" t="s">
        <v>176</v>
      </c>
      <c r="X10" s="50" t="s">
        <v>176</v>
      </c>
      <c r="Y10" s="50" t="s">
        <v>176</v>
      </c>
      <c r="Z10" s="50" t="s">
        <v>176</v>
      </c>
      <c r="AA10" s="50" t="s">
        <v>176</v>
      </c>
      <c r="AB10" s="50" t="s">
        <v>176</v>
      </c>
      <c r="AC10" s="50" t="s">
        <v>176</v>
      </c>
      <c r="AD10" s="50" t="s">
        <v>176</v>
      </c>
      <c r="AE10" s="50" t="s">
        <v>176</v>
      </c>
      <c r="AF10" s="50" t="s">
        <v>176</v>
      </c>
      <c r="AG10" s="50" t="s">
        <v>176</v>
      </c>
      <c r="AH10" s="50" t="s">
        <v>176</v>
      </c>
      <c r="AI10" s="50" t="s">
        <v>176</v>
      </c>
      <c r="AJ10" s="40"/>
      <c r="AL10" s="203" t="str">
        <f t="shared" ca="1" si="0"/>
        <v xml:space="preserve">    (U1)ALERT_REQ_H_MAICER_PD2_</v>
      </c>
      <c r="AR10" s="52" t="str">
        <f t="shared" si="3"/>
        <v>};</v>
      </c>
      <c r="AS10" s="52" t="str">
        <f t="shared" si="4"/>
        <v>};</v>
      </c>
      <c r="AT10" s="52" t="str">
        <f t="shared" si="1"/>
        <v>};</v>
      </c>
      <c r="AU10" s="52" t="str">
        <f>IF($AW$7=1,"        &amp;"&amp;$AW$9&amp;"[0],"&amp;REPT(" ",66-LEN($AW$9))&amp;"/* u4p_MASK                                           */","        (const U4 *)vdp_PTR_NA,                                                /* u4p_MASK                                           */")</f>
        <v xml:space="preserve">        (const U4 *)vdp_PTR_NA,                                                /* u4p_MASK                                           */</v>
      </c>
      <c r="AV10" s="38" t="s">
        <v>68</v>
      </c>
      <c r="AW10" s="57" t="str">
        <f ca="1">"ALERT_"&amp;IF(AW6&lt;&gt;AW17,$AW$17&amp;"_"&amp;$AW$6,AW17)&amp;"_NUM_DST"</f>
        <v>ALERT_H_MAICER_PD2_NUM_DST</v>
      </c>
    </row>
    <row r="11" spans="1:49">
      <c r="B11" s="126"/>
      <c r="C11" s="36">
        <f t="shared" si="2"/>
        <v>5</v>
      </c>
      <c r="D11" s="50" t="s">
        <v>176</v>
      </c>
      <c r="E11" s="50" t="s">
        <v>176</v>
      </c>
      <c r="F11" s="50" t="s">
        <v>176</v>
      </c>
      <c r="G11" s="50" t="s">
        <v>176</v>
      </c>
      <c r="H11" s="50" t="s">
        <v>176</v>
      </c>
      <c r="I11" s="50" t="s">
        <v>176</v>
      </c>
      <c r="J11" s="50" t="s">
        <v>176</v>
      </c>
      <c r="K11" s="50" t="s">
        <v>176</v>
      </c>
      <c r="L11" s="50" t="s">
        <v>176</v>
      </c>
      <c r="M11" s="50" t="s">
        <v>176</v>
      </c>
      <c r="N11" s="50" t="s">
        <v>176</v>
      </c>
      <c r="O11" s="50" t="s">
        <v>176</v>
      </c>
      <c r="P11" s="50" t="s">
        <v>176</v>
      </c>
      <c r="Q11" s="50" t="s">
        <v>176</v>
      </c>
      <c r="R11" s="50" t="s">
        <v>176</v>
      </c>
      <c r="S11" s="50" t="s">
        <v>176</v>
      </c>
      <c r="T11" s="50" t="s">
        <v>176</v>
      </c>
      <c r="U11" s="50" t="s">
        <v>176</v>
      </c>
      <c r="V11" s="50" t="s">
        <v>176</v>
      </c>
      <c r="W11" s="50" t="s">
        <v>176</v>
      </c>
      <c r="X11" s="50" t="s">
        <v>176</v>
      </c>
      <c r="Y11" s="50" t="s">
        <v>176</v>
      </c>
      <c r="Z11" s="50" t="s">
        <v>176</v>
      </c>
      <c r="AA11" s="50" t="s">
        <v>176</v>
      </c>
      <c r="AB11" s="50" t="s">
        <v>176</v>
      </c>
      <c r="AC11" s="50" t="s">
        <v>176</v>
      </c>
      <c r="AD11" s="50" t="s">
        <v>176</v>
      </c>
      <c r="AE11" s="50" t="s">
        <v>176</v>
      </c>
      <c r="AF11" s="50" t="s">
        <v>176</v>
      </c>
      <c r="AG11" s="50" t="s">
        <v>176</v>
      </c>
      <c r="AH11" s="50" t="s">
        <v>176</v>
      </c>
      <c r="AI11" s="50" t="s">
        <v>176</v>
      </c>
      <c r="AJ11" s="40"/>
      <c r="AL11" s="203" t="str">
        <f t="shared" ca="1" si="0"/>
        <v xml:space="preserve">    (U1)ALERT_REQ_H_MAICER_PD2_</v>
      </c>
      <c r="AR11" s="52" t="str">
        <f t="shared" si="3"/>
        <v/>
      </c>
      <c r="AS11" s="52" t="str">
        <f t="shared" si="4"/>
        <v/>
      </c>
      <c r="AT11" s="52" t="str">
        <f t="shared" si="1"/>
        <v/>
      </c>
      <c r="AU11" s="52" t="str">
        <f>IF($AW$7=1,"        &amp;"&amp;$AW$8&amp;"[0],"&amp;REPT(" ",66-LEN($AW$8))&amp;"/* u4p_CRIT                                           */","        (const U4 *)vdp_PTR_NA,                                                /* u4p_CRIT                                           */")</f>
        <v xml:space="preserve">        (const U4 *)vdp_PTR_NA,                                                /* u4p_CRIT                                           */</v>
      </c>
      <c r="AV11" s="38" t="s">
        <v>69</v>
      </c>
      <c r="AW11" s="57" t="str">
        <f ca="1">"u1_sp_ALERT_"&amp;IF(AW6&lt;&gt;AW17,$AW$17&amp;"_"&amp;$AW$6,AW17)&amp;"_DST"</f>
        <v>u1_sp_ALERT_H_MAICER_PD2_DST</v>
      </c>
    </row>
    <row r="12" spans="1:49">
      <c r="B12" s="126"/>
      <c r="C12" s="36">
        <f t="shared" si="2"/>
        <v>6</v>
      </c>
      <c r="D12" s="50" t="s">
        <v>176</v>
      </c>
      <c r="E12" s="50" t="s">
        <v>176</v>
      </c>
      <c r="F12" s="50" t="s">
        <v>176</v>
      </c>
      <c r="G12" s="50" t="s">
        <v>176</v>
      </c>
      <c r="H12" s="50" t="s">
        <v>176</v>
      </c>
      <c r="I12" s="50" t="s">
        <v>176</v>
      </c>
      <c r="J12" s="50" t="s">
        <v>176</v>
      </c>
      <c r="K12" s="50" t="s">
        <v>176</v>
      </c>
      <c r="L12" s="50" t="s">
        <v>176</v>
      </c>
      <c r="M12" s="50" t="s">
        <v>176</v>
      </c>
      <c r="N12" s="50" t="s">
        <v>176</v>
      </c>
      <c r="O12" s="50" t="s">
        <v>176</v>
      </c>
      <c r="P12" s="50" t="s">
        <v>176</v>
      </c>
      <c r="Q12" s="50" t="s">
        <v>176</v>
      </c>
      <c r="R12" s="50" t="s">
        <v>176</v>
      </c>
      <c r="S12" s="50" t="s">
        <v>176</v>
      </c>
      <c r="T12" s="50" t="s">
        <v>176</v>
      </c>
      <c r="U12" s="50" t="s">
        <v>176</v>
      </c>
      <c r="V12" s="50" t="s">
        <v>176</v>
      </c>
      <c r="W12" s="50" t="s">
        <v>176</v>
      </c>
      <c r="X12" s="50" t="s">
        <v>176</v>
      </c>
      <c r="Y12" s="50" t="s">
        <v>176</v>
      </c>
      <c r="Z12" s="50" t="s">
        <v>176</v>
      </c>
      <c r="AA12" s="50" t="s">
        <v>176</v>
      </c>
      <c r="AB12" s="50" t="s">
        <v>176</v>
      </c>
      <c r="AC12" s="50" t="s">
        <v>176</v>
      </c>
      <c r="AD12" s="50" t="s">
        <v>176</v>
      </c>
      <c r="AE12" s="50" t="s">
        <v>176</v>
      </c>
      <c r="AF12" s="50" t="s">
        <v>176</v>
      </c>
      <c r="AG12" s="50" t="s">
        <v>176</v>
      </c>
      <c r="AH12" s="50" t="s">
        <v>176</v>
      </c>
      <c r="AI12" s="50" t="s">
        <v>176</v>
      </c>
      <c r="AJ12" s="40"/>
      <c r="AL12" s="203" t="str">
        <f t="shared" ca="1" si="0"/>
        <v xml:space="preserve">    (U1)ALERT_REQ_H_MAICER_PD2_</v>
      </c>
      <c r="AR12" s="52" t="str">
        <f t="shared" si="3"/>
        <v/>
      </c>
      <c r="AS12" s="52" t="str">
        <f t="shared" si="4"/>
        <v/>
      </c>
      <c r="AT12" s="52" t="str">
        <f t="shared" si="1"/>
        <v/>
      </c>
      <c r="AU12" s="52"/>
      <c r="AV12" s="38" t="s">
        <v>81</v>
      </c>
      <c r="AW12" s="57" t="str">
        <f ca="1">Matrix!D8&amp;"["&amp;Matrix!D7&amp;"]"</f>
        <v>st_gp_ALERT_H_MAICER_MTRX[4]</v>
      </c>
    </row>
    <row r="13" spans="1:49">
      <c r="B13" s="126"/>
      <c r="C13" s="36">
        <f t="shared" si="2"/>
        <v>7</v>
      </c>
      <c r="D13" s="50" t="s">
        <v>176</v>
      </c>
      <c r="E13" s="50" t="s">
        <v>176</v>
      </c>
      <c r="F13" s="50" t="s">
        <v>176</v>
      </c>
      <c r="G13" s="50" t="s">
        <v>63</v>
      </c>
      <c r="H13" s="50" t="s">
        <v>63</v>
      </c>
      <c r="I13" s="50" t="s">
        <v>63</v>
      </c>
      <c r="J13" s="50" t="s">
        <v>63</v>
      </c>
      <c r="K13" s="50" t="s">
        <v>63</v>
      </c>
      <c r="L13" s="50" t="s">
        <v>63</v>
      </c>
      <c r="M13" s="50" t="s">
        <v>63</v>
      </c>
      <c r="N13" s="50" t="s">
        <v>63</v>
      </c>
      <c r="O13" s="50" t="s">
        <v>63</v>
      </c>
      <c r="P13" s="50" t="s">
        <v>176</v>
      </c>
      <c r="Q13" s="50" t="s">
        <v>176</v>
      </c>
      <c r="R13" s="50" t="s">
        <v>176</v>
      </c>
      <c r="S13" s="50" t="s">
        <v>176</v>
      </c>
      <c r="T13" s="50" t="s">
        <v>176</v>
      </c>
      <c r="U13" s="50" t="s">
        <v>176</v>
      </c>
      <c r="V13" s="50" t="s">
        <v>176</v>
      </c>
      <c r="W13" s="50" t="s">
        <v>176</v>
      </c>
      <c r="X13" s="50" t="s">
        <v>176</v>
      </c>
      <c r="Y13" s="50" t="s">
        <v>176</v>
      </c>
      <c r="Z13" s="50" t="s">
        <v>176</v>
      </c>
      <c r="AA13" s="50" t="s">
        <v>176</v>
      </c>
      <c r="AB13" s="50" t="s">
        <v>176</v>
      </c>
      <c r="AC13" s="50" t="s">
        <v>176</v>
      </c>
      <c r="AD13" s="50" t="s">
        <v>176</v>
      </c>
      <c r="AE13" s="50" t="s">
        <v>176</v>
      </c>
      <c r="AF13" s="50" t="s">
        <v>176</v>
      </c>
      <c r="AG13" s="50" t="s">
        <v>176</v>
      </c>
      <c r="AH13" s="50" t="s">
        <v>176</v>
      </c>
      <c r="AI13" s="50" t="s">
        <v>176</v>
      </c>
      <c r="AJ13" s="40"/>
      <c r="AL13" s="203" t="str">
        <f t="shared" ca="1" si="0"/>
        <v xml:space="preserve">    (U1)ALERT_REQ_H_MAICER_PD2_</v>
      </c>
      <c r="AR13" s="52" t="str">
        <f t="shared" si="3"/>
        <v/>
      </c>
      <c r="AS13" s="52" t="str">
        <f t="shared" si="4"/>
        <v/>
      </c>
      <c r="AT13" s="52" t="str">
        <f t="shared" si="1"/>
        <v/>
      </c>
      <c r="AU13" s="52" t="str">
        <f ca="1">"        &amp;"&amp;$AW$11&amp;"[0],"&amp;REPT(" ",66-LEN($AW$11))&amp;"/* u1p_DST                                            */"</f>
        <v xml:space="preserve">        &amp;u1_sp_ALERT_H_MAICER_PD2_DST[0],                                      /* u1p_DST                                            */</v>
      </c>
      <c r="AV13" s="38" t="s">
        <v>70</v>
      </c>
      <c r="AW13" s="125">
        <f>COUNTA($AJ$6:$AJ$69)</f>
        <v>4</v>
      </c>
    </row>
    <row r="14" spans="1:49">
      <c r="B14" s="126"/>
      <c r="C14" s="36">
        <f t="shared" si="2"/>
        <v>8</v>
      </c>
      <c r="D14" s="50" t="s">
        <v>176</v>
      </c>
      <c r="E14" s="50" t="s">
        <v>176</v>
      </c>
      <c r="F14" s="50" t="s">
        <v>176</v>
      </c>
      <c r="G14" s="50" t="s">
        <v>63</v>
      </c>
      <c r="H14" s="50" t="s">
        <v>63</v>
      </c>
      <c r="I14" s="50" t="s">
        <v>63</v>
      </c>
      <c r="J14" s="50" t="s">
        <v>63</v>
      </c>
      <c r="K14" s="50" t="s">
        <v>63</v>
      </c>
      <c r="L14" s="50" t="s">
        <v>63</v>
      </c>
      <c r="M14" s="50" t="s">
        <v>63</v>
      </c>
      <c r="N14" s="50" t="s">
        <v>63</v>
      </c>
      <c r="O14" s="50" t="s">
        <v>63</v>
      </c>
      <c r="P14" s="50" t="s">
        <v>176</v>
      </c>
      <c r="Q14" s="50" t="s">
        <v>176</v>
      </c>
      <c r="R14" s="50" t="s">
        <v>176</v>
      </c>
      <c r="S14" s="50" t="s">
        <v>176</v>
      </c>
      <c r="T14" s="50" t="s">
        <v>176</v>
      </c>
      <c r="U14" s="50" t="s">
        <v>176</v>
      </c>
      <c r="V14" s="50" t="s">
        <v>176</v>
      </c>
      <c r="W14" s="50" t="s">
        <v>176</v>
      </c>
      <c r="X14" s="50" t="s">
        <v>176</v>
      </c>
      <c r="Y14" s="50" t="s">
        <v>176</v>
      </c>
      <c r="Z14" s="50" t="s">
        <v>176</v>
      </c>
      <c r="AA14" s="50" t="s">
        <v>176</v>
      </c>
      <c r="AB14" s="50" t="s">
        <v>176</v>
      </c>
      <c r="AC14" s="50" t="s">
        <v>176</v>
      </c>
      <c r="AD14" s="50" t="s">
        <v>176</v>
      </c>
      <c r="AE14" s="50" t="s">
        <v>176</v>
      </c>
      <c r="AF14" s="50" t="s">
        <v>176</v>
      </c>
      <c r="AG14" s="50" t="s">
        <v>176</v>
      </c>
      <c r="AH14" s="50" t="s">
        <v>176</v>
      </c>
      <c r="AI14" s="50" t="s">
        <v>176</v>
      </c>
      <c r="AJ14" s="40"/>
      <c r="AL14" s="203" t="str">
        <f t="shared" ca="1" si="0"/>
        <v xml:space="preserve">    (U1)ALERT_REQ_H_MAICER_PD2_</v>
      </c>
      <c r="AR14" s="52" t="str">
        <f t="shared" si="3"/>
        <v/>
      </c>
      <c r="AS14" s="52" t="str">
        <f t="shared" si="4"/>
        <v/>
      </c>
      <c r="AT14" s="52" t="str">
        <f t="shared" si="1"/>
        <v/>
      </c>
      <c r="AU14" s="52" t="str">
        <f ca="1">"        (U2)"&amp;$AW$10&amp;","&amp;REPT(" ",66-LEN($AW$10))&amp;"/* u2_num_srch                                        */"</f>
        <v xml:space="preserve">        (U2)ALERT_H_MAICER_PD2_NUM_DST,                                        /* u2_num_srch                                        */</v>
      </c>
      <c r="AV14" s="38" t="s">
        <v>71</v>
      </c>
      <c r="AW14" s="57" t="str">
        <f ca="1">IF(AW6&lt;&gt;AW17,VLOOKUP(AW6,Matrix!$C$13:$G$37,4,FALSE),Matrix!F13)</f>
        <v>u4_s_AlertH_maicerPd2Srcchk</v>
      </c>
    </row>
    <row r="15" spans="1:49">
      <c r="B15" s="126"/>
      <c r="C15" s="36">
        <f t="shared" si="2"/>
        <v>9</v>
      </c>
      <c r="D15" s="50" t="s">
        <v>176</v>
      </c>
      <c r="E15" s="50" t="s">
        <v>176</v>
      </c>
      <c r="F15" s="50" t="s">
        <v>176</v>
      </c>
      <c r="G15" s="50" t="s">
        <v>63</v>
      </c>
      <c r="H15" s="50" t="s">
        <v>63</v>
      </c>
      <c r="I15" s="50" t="s">
        <v>63</v>
      </c>
      <c r="J15" s="50" t="s">
        <v>63</v>
      </c>
      <c r="K15" s="50" t="s">
        <v>63</v>
      </c>
      <c r="L15" s="50" t="s">
        <v>63</v>
      </c>
      <c r="M15" s="50" t="s">
        <v>63</v>
      </c>
      <c r="N15" s="50" t="s">
        <v>63</v>
      </c>
      <c r="O15" s="50" t="s">
        <v>63</v>
      </c>
      <c r="P15" s="50" t="s">
        <v>176</v>
      </c>
      <c r="Q15" s="50" t="s">
        <v>176</v>
      </c>
      <c r="R15" s="50" t="s">
        <v>176</v>
      </c>
      <c r="S15" s="50" t="s">
        <v>176</v>
      </c>
      <c r="T15" s="50" t="s">
        <v>176</v>
      </c>
      <c r="U15" s="50" t="s">
        <v>176</v>
      </c>
      <c r="V15" s="50" t="s">
        <v>176</v>
      </c>
      <c r="W15" s="50" t="s">
        <v>176</v>
      </c>
      <c r="X15" s="50" t="s">
        <v>176</v>
      </c>
      <c r="Y15" s="50" t="s">
        <v>176</v>
      </c>
      <c r="Z15" s="50" t="s">
        <v>176</v>
      </c>
      <c r="AA15" s="50" t="s">
        <v>176</v>
      </c>
      <c r="AB15" s="50" t="s">
        <v>176</v>
      </c>
      <c r="AC15" s="50" t="s">
        <v>176</v>
      </c>
      <c r="AD15" s="50" t="s">
        <v>176</v>
      </c>
      <c r="AE15" s="50" t="s">
        <v>176</v>
      </c>
      <c r="AF15" s="50" t="s">
        <v>176</v>
      </c>
      <c r="AG15" s="50" t="s">
        <v>176</v>
      </c>
      <c r="AH15" s="50" t="s">
        <v>176</v>
      </c>
      <c r="AI15" s="50" t="s">
        <v>176</v>
      </c>
      <c r="AJ15" s="40"/>
      <c r="AL15" s="203" t="str">
        <f t="shared" ca="1" si="0"/>
        <v xml:space="preserve">    (U1)ALERT_REQ_H_MAICER_PD2_</v>
      </c>
      <c r="AR15" s="52" t="str">
        <f t="shared" si="3"/>
        <v/>
      </c>
      <c r="AS15" s="52" t="str">
        <f t="shared" si="4"/>
        <v/>
      </c>
      <c r="AT15" s="52" t="str">
        <f t="shared" si="1"/>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176</v>
      </c>
      <c r="E16" s="50" t="s">
        <v>176</v>
      </c>
      <c r="F16" s="50" t="s">
        <v>176</v>
      </c>
      <c r="G16" s="50" t="s">
        <v>63</v>
      </c>
      <c r="H16" s="50" t="s">
        <v>63</v>
      </c>
      <c r="I16" s="50" t="s">
        <v>63</v>
      </c>
      <c r="J16" s="50" t="s">
        <v>63</v>
      </c>
      <c r="K16" s="50" t="s">
        <v>63</v>
      </c>
      <c r="L16" s="50" t="s">
        <v>63</v>
      </c>
      <c r="M16" s="50" t="s">
        <v>63</v>
      </c>
      <c r="N16" s="50" t="s">
        <v>63</v>
      </c>
      <c r="O16" s="50" t="s">
        <v>63</v>
      </c>
      <c r="P16" s="50" t="s">
        <v>176</v>
      </c>
      <c r="Q16" s="50" t="s">
        <v>176</v>
      </c>
      <c r="R16" s="50" t="s">
        <v>176</v>
      </c>
      <c r="S16" s="50" t="s">
        <v>176</v>
      </c>
      <c r="T16" s="50" t="s">
        <v>176</v>
      </c>
      <c r="U16" s="50" t="s">
        <v>176</v>
      </c>
      <c r="V16" s="50" t="s">
        <v>176</v>
      </c>
      <c r="W16" s="50" t="s">
        <v>176</v>
      </c>
      <c r="X16" s="50" t="s">
        <v>176</v>
      </c>
      <c r="Y16" s="50" t="s">
        <v>176</v>
      </c>
      <c r="Z16" s="50" t="s">
        <v>176</v>
      </c>
      <c r="AA16" s="50" t="s">
        <v>176</v>
      </c>
      <c r="AB16" s="50" t="s">
        <v>176</v>
      </c>
      <c r="AC16" s="50" t="s">
        <v>176</v>
      </c>
      <c r="AD16" s="50" t="s">
        <v>176</v>
      </c>
      <c r="AE16" s="50" t="s">
        <v>176</v>
      </c>
      <c r="AF16" s="50" t="s">
        <v>176</v>
      </c>
      <c r="AG16" s="50" t="s">
        <v>176</v>
      </c>
      <c r="AH16" s="50" t="s">
        <v>176</v>
      </c>
      <c r="AI16" s="50" t="s">
        <v>176</v>
      </c>
      <c r="AJ16" s="40"/>
      <c r="AL16" s="203" t="str">
        <f t="shared" ca="1" si="0"/>
        <v xml:space="preserve">    (U1)ALERT_REQ_H_MAICER_PD2_</v>
      </c>
      <c r="AR16" s="52" t="str">
        <f t="shared" si="3"/>
        <v/>
      </c>
      <c r="AS16" s="52" t="str">
        <f t="shared" si="4"/>
        <v/>
      </c>
      <c r="AT16" s="52" t="str">
        <f t="shared" si="1"/>
        <v/>
      </c>
      <c r="AU16" s="52" t="s">
        <v>201</v>
      </c>
      <c r="AV16" s="38" t="s">
        <v>72</v>
      </c>
      <c r="AW16" s="57" t="str">
        <f ca="1">IF(AW6&lt;&gt;AW17,VLOOKUP(AW6,Matrix!$C$13:$G$37,2,FALSE),Matrix!D13)</f>
        <v>ALERT_VOM_IGN_ON</v>
      </c>
    </row>
    <row r="17" spans="2:49" ht="14.25" thickBot="1">
      <c r="B17" s="126"/>
      <c r="C17" s="36">
        <f t="shared" si="2"/>
        <v>11</v>
      </c>
      <c r="D17" s="50" t="s">
        <v>176</v>
      </c>
      <c r="E17" s="50" t="s">
        <v>176</v>
      </c>
      <c r="F17" s="50" t="s">
        <v>176</v>
      </c>
      <c r="G17" s="50" t="s">
        <v>63</v>
      </c>
      <c r="H17" s="50" t="s">
        <v>63</v>
      </c>
      <c r="I17" s="50" t="s">
        <v>63</v>
      </c>
      <c r="J17" s="50" t="s">
        <v>63</v>
      </c>
      <c r="K17" s="50" t="s">
        <v>63</v>
      </c>
      <c r="L17" s="50" t="s">
        <v>63</v>
      </c>
      <c r="M17" s="50" t="s">
        <v>63</v>
      </c>
      <c r="N17" s="50" t="s">
        <v>63</v>
      </c>
      <c r="O17" s="50" t="s">
        <v>63</v>
      </c>
      <c r="P17" s="50" t="s">
        <v>176</v>
      </c>
      <c r="Q17" s="50" t="s">
        <v>176</v>
      </c>
      <c r="R17" s="50" t="s">
        <v>176</v>
      </c>
      <c r="S17" s="50" t="s">
        <v>176</v>
      </c>
      <c r="T17" s="50" t="s">
        <v>176</v>
      </c>
      <c r="U17" s="50" t="s">
        <v>176</v>
      </c>
      <c r="V17" s="50" t="s">
        <v>176</v>
      </c>
      <c r="W17" s="50" t="s">
        <v>176</v>
      </c>
      <c r="X17" s="50" t="s">
        <v>176</v>
      </c>
      <c r="Y17" s="50" t="s">
        <v>176</v>
      </c>
      <c r="Z17" s="50" t="s">
        <v>176</v>
      </c>
      <c r="AA17" s="50" t="s">
        <v>176</v>
      </c>
      <c r="AB17" s="50" t="s">
        <v>176</v>
      </c>
      <c r="AC17" s="50" t="s">
        <v>176</v>
      </c>
      <c r="AD17" s="50" t="s">
        <v>176</v>
      </c>
      <c r="AE17" s="50" t="s">
        <v>176</v>
      </c>
      <c r="AF17" s="50" t="s">
        <v>176</v>
      </c>
      <c r="AG17" s="50" t="s">
        <v>176</v>
      </c>
      <c r="AH17" s="50" t="s">
        <v>176</v>
      </c>
      <c r="AI17" s="50" t="s">
        <v>176</v>
      </c>
      <c r="AJ17" s="40"/>
      <c r="AL17" s="203" t="str">
        <f t="shared" ca="1" si="0"/>
        <v xml:space="preserve">    (U1)ALERT_REQ_H_MAICER_PD2_</v>
      </c>
      <c r="AR17" s="52" t="str">
        <f t="shared" si="3"/>
        <v/>
      </c>
      <c r="AS17" s="52" t="str">
        <f t="shared" si="4"/>
        <v/>
      </c>
      <c r="AT17" s="52" t="str">
        <f t="shared" si="1"/>
        <v/>
      </c>
      <c r="AU17" s="53" t="s">
        <v>202</v>
      </c>
      <c r="AV17" s="39" t="s">
        <v>73</v>
      </c>
      <c r="AW17" s="58" t="str">
        <f ca="1">UPPER(Matrix!$D$6)</f>
        <v>H_MAICER</v>
      </c>
    </row>
    <row r="18" spans="2:49">
      <c r="B18" s="126"/>
      <c r="C18" s="36">
        <f t="shared" si="2"/>
        <v>12</v>
      </c>
      <c r="D18" s="50" t="s">
        <v>176</v>
      </c>
      <c r="E18" s="50" t="s">
        <v>176</v>
      </c>
      <c r="F18" s="50" t="s">
        <v>176</v>
      </c>
      <c r="G18" s="50" t="s">
        <v>63</v>
      </c>
      <c r="H18" s="50" t="s">
        <v>63</v>
      </c>
      <c r="I18" s="50" t="s">
        <v>63</v>
      </c>
      <c r="J18" s="50" t="s">
        <v>63</v>
      </c>
      <c r="K18" s="50" t="s">
        <v>63</v>
      </c>
      <c r="L18" s="50" t="s">
        <v>63</v>
      </c>
      <c r="M18" s="50" t="s">
        <v>63</v>
      </c>
      <c r="N18" s="50" t="s">
        <v>63</v>
      </c>
      <c r="O18" s="50" t="s">
        <v>63</v>
      </c>
      <c r="P18" s="50" t="s">
        <v>176</v>
      </c>
      <c r="Q18" s="50" t="s">
        <v>176</v>
      </c>
      <c r="R18" s="50" t="s">
        <v>176</v>
      </c>
      <c r="S18" s="50" t="s">
        <v>176</v>
      </c>
      <c r="T18" s="50" t="s">
        <v>176</v>
      </c>
      <c r="U18" s="50" t="s">
        <v>176</v>
      </c>
      <c r="V18" s="50" t="s">
        <v>176</v>
      </c>
      <c r="W18" s="50" t="s">
        <v>176</v>
      </c>
      <c r="X18" s="50" t="s">
        <v>176</v>
      </c>
      <c r="Y18" s="50" t="s">
        <v>176</v>
      </c>
      <c r="Z18" s="50" t="s">
        <v>176</v>
      </c>
      <c r="AA18" s="50" t="s">
        <v>176</v>
      </c>
      <c r="AB18" s="50" t="s">
        <v>176</v>
      </c>
      <c r="AC18" s="50" t="s">
        <v>176</v>
      </c>
      <c r="AD18" s="50" t="s">
        <v>176</v>
      </c>
      <c r="AE18" s="50" t="s">
        <v>176</v>
      </c>
      <c r="AF18" s="50" t="s">
        <v>176</v>
      </c>
      <c r="AG18" s="50" t="s">
        <v>176</v>
      </c>
      <c r="AH18" s="50" t="s">
        <v>176</v>
      </c>
      <c r="AI18" s="50" t="s">
        <v>176</v>
      </c>
      <c r="AJ18" s="40"/>
      <c r="AL18" s="203" t="str">
        <f t="shared" ca="1" si="0"/>
        <v xml:space="preserve">    (U1)ALERT_REQ_H_MAICER_PD2_</v>
      </c>
      <c r="AR18" s="52" t="str">
        <f t="shared" si="3"/>
        <v/>
      </c>
      <c r="AS18" s="52" t="str">
        <f t="shared" si="4"/>
        <v/>
      </c>
      <c r="AT18" s="52" t="str">
        <f t="shared" si="1"/>
        <v/>
      </c>
    </row>
    <row r="19" spans="2:49">
      <c r="B19" s="126"/>
      <c r="C19" s="36">
        <f t="shared" si="2"/>
        <v>13</v>
      </c>
      <c r="D19" s="50" t="s">
        <v>176</v>
      </c>
      <c r="E19" s="50" t="s">
        <v>176</v>
      </c>
      <c r="F19" s="50" t="s">
        <v>176</v>
      </c>
      <c r="G19" s="50" t="s">
        <v>63</v>
      </c>
      <c r="H19" s="50" t="s">
        <v>63</v>
      </c>
      <c r="I19" s="50" t="s">
        <v>63</v>
      </c>
      <c r="J19" s="50" t="s">
        <v>63</v>
      </c>
      <c r="K19" s="50" t="s">
        <v>63</v>
      </c>
      <c r="L19" s="50" t="s">
        <v>63</v>
      </c>
      <c r="M19" s="50" t="s">
        <v>63</v>
      </c>
      <c r="N19" s="50" t="s">
        <v>63</v>
      </c>
      <c r="O19" s="50" t="s">
        <v>63</v>
      </c>
      <c r="P19" s="50" t="s">
        <v>176</v>
      </c>
      <c r="Q19" s="50" t="s">
        <v>176</v>
      </c>
      <c r="R19" s="50" t="s">
        <v>176</v>
      </c>
      <c r="S19" s="50" t="s">
        <v>176</v>
      </c>
      <c r="T19" s="50" t="s">
        <v>176</v>
      </c>
      <c r="U19" s="50" t="s">
        <v>176</v>
      </c>
      <c r="V19" s="50" t="s">
        <v>176</v>
      </c>
      <c r="W19" s="50" t="s">
        <v>176</v>
      </c>
      <c r="X19" s="50" t="s">
        <v>176</v>
      </c>
      <c r="Y19" s="50" t="s">
        <v>176</v>
      </c>
      <c r="Z19" s="50" t="s">
        <v>176</v>
      </c>
      <c r="AA19" s="50" t="s">
        <v>176</v>
      </c>
      <c r="AB19" s="50" t="s">
        <v>176</v>
      </c>
      <c r="AC19" s="50" t="s">
        <v>176</v>
      </c>
      <c r="AD19" s="50" t="s">
        <v>176</v>
      </c>
      <c r="AE19" s="50" t="s">
        <v>176</v>
      </c>
      <c r="AF19" s="50" t="s">
        <v>176</v>
      </c>
      <c r="AG19" s="50" t="s">
        <v>176</v>
      </c>
      <c r="AH19" s="50" t="s">
        <v>176</v>
      </c>
      <c r="AI19" s="50" t="s">
        <v>176</v>
      </c>
      <c r="AJ19" s="40"/>
      <c r="AL19" s="203" t="str">
        <f t="shared" ca="1" si="0"/>
        <v xml:space="preserve">    (U1)ALERT_REQ_H_MAICER_PD2_</v>
      </c>
      <c r="AR19" s="52" t="str">
        <f t="shared" si="3"/>
        <v/>
      </c>
      <c r="AS19" s="52" t="str">
        <f t="shared" si="4"/>
        <v/>
      </c>
      <c r="AT19" s="52" t="str">
        <f t="shared" si="1"/>
        <v/>
      </c>
    </row>
    <row r="20" spans="2:49">
      <c r="B20" s="126"/>
      <c r="C20" s="36">
        <f t="shared" si="2"/>
        <v>14</v>
      </c>
      <c r="D20" s="50" t="s">
        <v>176</v>
      </c>
      <c r="E20" s="50" t="s">
        <v>176</v>
      </c>
      <c r="F20" s="50" t="s">
        <v>176</v>
      </c>
      <c r="G20" s="50" t="s">
        <v>176</v>
      </c>
      <c r="H20" s="50" t="s">
        <v>176</v>
      </c>
      <c r="I20" s="50" t="s">
        <v>176</v>
      </c>
      <c r="J20" s="50" t="s">
        <v>176</v>
      </c>
      <c r="K20" s="50" t="s">
        <v>176</v>
      </c>
      <c r="L20" s="50" t="s">
        <v>176</v>
      </c>
      <c r="M20" s="50" t="s">
        <v>176</v>
      </c>
      <c r="N20" s="50" t="s">
        <v>176</v>
      </c>
      <c r="O20" s="50" t="s">
        <v>176</v>
      </c>
      <c r="P20" s="50" t="s">
        <v>176</v>
      </c>
      <c r="Q20" s="50" t="s">
        <v>176</v>
      </c>
      <c r="R20" s="50" t="s">
        <v>176</v>
      </c>
      <c r="S20" s="50" t="s">
        <v>176</v>
      </c>
      <c r="T20" s="50" t="s">
        <v>176</v>
      </c>
      <c r="U20" s="50" t="s">
        <v>176</v>
      </c>
      <c r="V20" s="50" t="s">
        <v>176</v>
      </c>
      <c r="W20" s="50" t="s">
        <v>176</v>
      </c>
      <c r="X20" s="50" t="s">
        <v>176</v>
      </c>
      <c r="Y20" s="50" t="s">
        <v>176</v>
      </c>
      <c r="Z20" s="50" t="s">
        <v>176</v>
      </c>
      <c r="AA20" s="50" t="s">
        <v>176</v>
      </c>
      <c r="AB20" s="50" t="s">
        <v>176</v>
      </c>
      <c r="AC20" s="50" t="s">
        <v>176</v>
      </c>
      <c r="AD20" s="50" t="s">
        <v>176</v>
      </c>
      <c r="AE20" s="50" t="s">
        <v>176</v>
      </c>
      <c r="AF20" s="50" t="s">
        <v>176</v>
      </c>
      <c r="AG20" s="50" t="s">
        <v>176</v>
      </c>
      <c r="AH20" s="50" t="s">
        <v>176</v>
      </c>
      <c r="AI20" s="50" t="s">
        <v>176</v>
      </c>
      <c r="AJ20" s="40"/>
      <c r="AL20" s="203" t="str">
        <f t="shared" ca="1" si="0"/>
        <v xml:space="preserve">    (U1)ALERT_REQ_H_MAICER_PD2_</v>
      </c>
      <c r="AR20" s="52" t="str">
        <f t="shared" si="3"/>
        <v/>
      </c>
      <c r="AS20" s="52" t="str">
        <f t="shared" si="4"/>
        <v/>
      </c>
      <c r="AT20" s="52" t="str">
        <f t="shared" si="1"/>
        <v/>
      </c>
    </row>
    <row r="21" spans="2:49">
      <c r="B21" s="126"/>
      <c r="C21" s="36">
        <f t="shared" si="2"/>
        <v>15</v>
      </c>
      <c r="D21" s="50" t="s">
        <v>176</v>
      </c>
      <c r="E21" s="50" t="s">
        <v>176</v>
      </c>
      <c r="F21" s="50" t="s">
        <v>176</v>
      </c>
      <c r="G21" s="50" t="s">
        <v>176</v>
      </c>
      <c r="H21" s="50" t="s">
        <v>176</v>
      </c>
      <c r="I21" s="50" t="s">
        <v>176</v>
      </c>
      <c r="J21" s="50" t="s">
        <v>176</v>
      </c>
      <c r="K21" s="50" t="s">
        <v>176</v>
      </c>
      <c r="L21" s="50" t="s">
        <v>176</v>
      </c>
      <c r="M21" s="50" t="s">
        <v>176</v>
      </c>
      <c r="N21" s="50" t="s">
        <v>176</v>
      </c>
      <c r="O21" s="50" t="s">
        <v>176</v>
      </c>
      <c r="P21" s="50" t="s">
        <v>176</v>
      </c>
      <c r="Q21" s="50" t="s">
        <v>176</v>
      </c>
      <c r="R21" s="50" t="s">
        <v>176</v>
      </c>
      <c r="S21" s="50" t="s">
        <v>176</v>
      </c>
      <c r="T21" s="50" t="s">
        <v>176</v>
      </c>
      <c r="U21" s="50" t="s">
        <v>176</v>
      </c>
      <c r="V21" s="50" t="s">
        <v>176</v>
      </c>
      <c r="W21" s="50" t="s">
        <v>176</v>
      </c>
      <c r="X21" s="50" t="s">
        <v>176</v>
      </c>
      <c r="Y21" s="50" t="s">
        <v>176</v>
      </c>
      <c r="Z21" s="50" t="s">
        <v>176</v>
      </c>
      <c r="AA21" s="50" t="s">
        <v>176</v>
      </c>
      <c r="AB21" s="50" t="s">
        <v>176</v>
      </c>
      <c r="AC21" s="50" t="s">
        <v>176</v>
      </c>
      <c r="AD21" s="50" t="s">
        <v>176</v>
      </c>
      <c r="AE21" s="50" t="s">
        <v>176</v>
      </c>
      <c r="AF21" s="50" t="s">
        <v>176</v>
      </c>
      <c r="AG21" s="50" t="s">
        <v>176</v>
      </c>
      <c r="AH21" s="50" t="s">
        <v>176</v>
      </c>
      <c r="AI21" s="50" t="s">
        <v>176</v>
      </c>
      <c r="AJ21" s="40"/>
      <c r="AL21" s="203" t="str">
        <f t="shared" ca="1" si="0"/>
        <v xml:space="preserve">    (U1)ALERT_REQ_H_MAICER_PD2_</v>
      </c>
      <c r="AR21" s="52" t="str">
        <f t="shared" si="3"/>
        <v/>
      </c>
      <c r="AS21" s="52" t="str">
        <f t="shared" si="4"/>
        <v/>
      </c>
      <c r="AT21" s="52" t="str">
        <f t="shared" si="1"/>
        <v/>
      </c>
    </row>
    <row r="22" spans="2:49">
      <c r="B22" s="126"/>
      <c r="C22" s="36">
        <f t="shared" si="2"/>
        <v>16</v>
      </c>
      <c r="D22" s="50" t="s">
        <v>176</v>
      </c>
      <c r="E22" s="50" t="s">
        <v>176</v>
      </c>
      <c r="F22" s="50" t="s">
        <v>176</v>
      </c>
      <c r="G22" s="50" t="s">
        <v>176</v>
      </c>
      <c r="H22" s="50" t="s">
        <v>176</v>
      </c>
      <c r="I22" s="50" t="s">
        <v>176</v>
      </c>
      <c r="J22" s="50" t="s">
        <v>176</v>
      </c>
      <c r="K22" s="50" t="s">
        <v>176</v>
      </c>
      <c r="L22" s="50" t="s">
        <v>176</v>
      </c>
      <c r="M22" s="50" t="s">
        <v>176</v>
      </c>
      <c r="N22" s="50" t="s">
        <v>176</v>
      </c>
      <c r="O22" s="50" t="s">
        <v>176</v>
      </c>
      <c r="P22" s="50" t="s">
        <v>176</v>
      </c>
      <c r="Q22" s="50" t="s">
        <v>176</v>
      </c>
      <c r="R22" s="50" t="s">
        <v>176</v>
      </c>
      <c r="S22" s="50" t="s">
        <v>176</v>
      </c>
      <c r="T22" s="50" t="s">
        <v>176</v>
      </c>
      <c r="U22" s="50" t="s">
        <v>176</v>
      </c>
      <c r="V22" s="50" t="s">
        <v>176</v>
      </c>
      <c r="W22" s="50" t="s">
        <v>176</v>
      </c>
      <c r="X22" s="50" t="s">
        <v>176</v>
      </c>
      <c r="Y22" s="50" t="s">
        <v>176</v>
      </c>
      <c r="Z22" s="50" t="s">
        <v>176</v>
      </c>
      <c r="AA22" s="50" t="s">
        <v>176</v>
      </c>
      <c r="AB22" s="50" t="s">
        <v>176</v>
      </c>
      <c r="AC22" s="50" t="s">
        <v>176</v>
      </c>
      <c r="AD22" s="50" t="s">
        <v>176</v>
      </c>
      <c r="AE22" s="50" t="s">
        <v>176</v>
      </c>
      <c r="AF22" s="50" t="s">
        <v>176</v>
      </c>
      <c r="AG22" s="50" t="s">
        <v>176</v>
      </c>
      <c r="AH22" s="50" t="s">
        <v>176</v>
      </c>
      <c r="AI22" s="50" t="s">
        <v>176</v>
      </c>
      <c r="AJ22" s="40"/>
      <c r="AL22" s="203" t="str">
        <f t="shared" ca="1" si="0"/>
        <v xml:space="preserve">    (U1)ALERT_REQ_H_MAICER_PD2_</v>
      </c>
      <c r="AR22" s="52" t="str">
        <f t="shared" si="3"/>
        <v/>
      </c>
      <c r="AS22" s="52" t="str">
        <f t="shared" si="4"/>
        <v/>
      </c>
      <c r="AT22" s="52" t="str">
        <f t="shared" si="1"/>
        <v/>
      </c>
    </row>
    <row r="23" spans="2:49">
      <c r="B23" s="126"/>
      <c r="C23" s="36">
        <f t="shared" si="2"/>
        <v>17</v>
      </c>
      <c r="D23" s="50" t="s">
        <v>176</v>
      </c>
      <c r="E23" s="50" t="s">
        <v>176</v>
      </c>
      <c r="F23" s="50" t="s">
        <v>176</v>
      </c>
      <c r="G23" s="50" t="s">
        <v>176</v>
      </c>
      <c r="H23" s="50" t="s">
        <v>176</v>
      </c>
      <c r="I23" s="50" t="s">
        <v>176</v>
      </c>
      <c r="J23" s="50" t="s">
        <v>176</v>
      </c>
      <c r="K23" s="50" t="s">
        <v>176</v>
      </c>
      <c r="L23" s="50" t="s">
        <v>176</v>
      </c>
      <c r="M23" s="50" t="s">
        <v>176</v>
      </c>
      <c r="N23" s="50" t="s">
        <v>176</v>
      </c>
      <c r="O23" s="50" t="s">
        <v>176</v>
      </c>
      <c r="P23" s="50" t="s">
        <v>176</v>
      </c>
      <c r="Q23" s="50" t="s">
        <v>176</v>
      </c>
      <c r="R23" s="50" t="s">
        <v>176</v>
      </c>
      <c r="S23" s="50" t="s">
        <v>176</v>
      </c>
      <c r="T23" s="50" t="s">
        <v>176</v>
      </c>
      <c r="U23" s="50" t="s">
        <v>176</v>
      </c>
      <c r="V23" s="50" t="s">
        <v>176</v>
      </c>
      <c r="W23" s="50" t="s">
        <v>176</v>
      </c>
      <c r="X23" s="50" t="s">
        <v>176</v>
      </c>
      <c r="Y23" s="50" t="s">
        <v>176</v>
      </c>
      <c r="Z23" s="50" t="s">
        <v>176</v>
      </c>
      <c r="AA23" s="50" t="s">
        <v>176</v>
      </c>
      <c r="AB23" s="50" t="s">
        <v>176</v>
      </c>
      <c r="AC23" s="50" t="s">
        <v>176</v>
      </c>
      <c r="AD23" s="50" t="s">
        <v>176</v>
      </c>
      <c r="AE23" s="50" t="s">
        <v>176</v>
      </c>
      <c r="AF23" s="50" t="s">
        <v>176</v>
      </c>
      <c r="AG23" s="50" t="s">
        <v>176</v>
      </c>
      <c r="AH23" s="50" t="s">
        <v>176</v>
      </c>
      <c r="AI23" s="50" t="s">
        <v>176</v>
      </c>
      <c r="AJ23" s="40"/>
      <c r="AL23" s="203" t="str">
        <f t="shared" ca="1" si="0"/>
        <v xml:space="preserve">    (U1)ALERT_REQ_H_MAICER_PD2_</v>
      </c>
      <c r="AR23" s="52" t="str">
        <f t="shared" si="3"/>
        <v/>
      </c>
      <c r="AS23" s="52" t="str">
        <f t="shared" si="4"/>
        <v/>
      </c>
      <c r="AT23" s="52" t="str">
        <f t="shared" si="1"/>
        <v/>
      </c>
    </row>
    <row r="24" spans="2:49">
      <c r="B24" s="126"/>
      <c r="C24" s="36">
        <f t="shared" si="2"/>
        <v>18</v>
      </c>
      <c r="D24" s="50" t="s">
        <v>176</v>
      </c>
      <c r="E24" s="50" t="s">
        <v>176</v>
      </c>
      <c r="F24" s="50" t="s">
        <v>176</v>
      </c>
      <c r="G24" s="50" t="s">
        <v>176</v>
      </c>
      <c r="H24" s="50" t="s">
        <v>176</v>
      </c>
      <c r="I24" s="50" t="s">
        <v>176</v>
      </c>
      <c r="J24" s="50" t="s">
        <v>176</v>
      </c>
      <c r="K24" s="50" t="s">
        <v>176</v>
      </c>
      <c r="L24" s="50" t="s">
        <v>176</v>
      </c>
      <c r="M24" s="50" t="s">
        <v>176</v>
      </c>
      <c r="N24" s="50" t="s">
        <v>176</v>
      </c>
      <c r="O24" s="50" t="s">
        <v>176</v>
      </c>
      <c r="P24" s="50" t="s">
        <v>176</v>
      </c>
      <c r="Q24" s="50" t="s">
        <v>176</v>
      </c>
      <c r="R24" s="50" t="s">
        <v>176</v>
      </c>
      <c r="S24" s="50" t="s">
        <v>176</v>
      </c>
      <c r="T24" s="50" t="s">
        <v>176</v>
      </c>
      <c r="U24" s="50" t="s">
        <v>176</v>
      </c>
      <c r="V24" s="50" t="s">
        <v>176</v>
      </c>
      <c r="W24" s="50" t="s">
        <v>176</v>
      </c>
      <c r="X24" s="50" t="s">
        <v>176</v>
      </c>
      <c r="Y24" s="50" t="s">
        <v>176</v>
      </c>
      <c r="Z24" s="50" t="s">
        <v>176</v>
      </c>
      <c r="AA24" s="50" t="s">
        <v>176</v>
      </c>
      <c r="AB24" s="50" t="s">
        <v>176</v>
      </c>
      <c r="AC24" s="50" t="s">
        <v>176</v>
      </c>
      <c r="AD24" s="50" t="s">
        <v>176</v>
      </c>
      <c r="AE24" s="50" t="s">
        <v>176</v>
      </c>
      <c r="AF24" s="50" t="s">
        <v>176</v>
      </c>
      <c r="AG24" s="50" t="s">
        <v>176</v>
      </c>
      <c r="AH24" s="50" t="s">
        <v>176</v>
      </c>
      <c r="AI24" s="50" t="s">
        <v>176</v>
      </c>
      <c r="AJ24" s="40"/>
      <c r="AL24" s="203" t="str">
        <f t="shared" ca="1" si="0"/>
        <v xml:space="preserve">    (U1)ALERT_REQ_H_MAICER_PD2_</v>
      </c>
      <c r="AR24" s="52" t="str">
        <f t="shared" si="3"/>
        <v/>
      </c>
      <c r="AS24" s="52" t="str">
        <f t="shared" si="4"/>
        <v/>
      </c>
      <c r="AT24" s="52" t="str">
        <f t="shared" si="1"/>
        <v/>
      </c>
    </row>
    <row r="25" spans="2:49">
      <c r="B25" s="126"/>
      <c r="C25" s="36">
        <f t="shared" si="2"/>
        <v>19</v>
      </c>
      <c r="D25" s="50" t="s">
        <v>176</v>
      </c>
      <c r="E25" s="50" t="s">
        <v>176</v>
      </c>
      <c r="F25" s="50" t="s">
        <v>176</v>
      </c>
      <c r="G25" s="50" t="s">
        <v>176</v>
      </c>
      <c r="H25" s="50" t="s">
        <v>176</v>
      </c>
      <c r="I25" s="50" t="s">
        <v>176</v>
      </c>
      <c r="J25" s="50" t="s">
        <v>176</v>
      </c>
      <c r="K25" s="50" t="s">
        <v>176</v>
      </c>
      <c r="L25" s="50" t="s">
        <v>176</v>
      </c>
      <c r="M25" s="50" t="s">
        <v>176</v>
      </c>
      <c r="N25" s="50" t="s">
        <v>176</v>
      </c>
      <c r="O25" s="50" t="s">
        <v>176</v>
      </c>
      <c r="P25" s="50" t="s">
        <v>176</v>
      </c>
      <c r="Q25" s="50" t="s">
        <v>176</v>
      </c>
      <c r="R25" s="50" t="s">
        <v>176</v>
      </c>
      <c r="S25" s="50" t="s">
        <v>176</v>
      </c>
      <c r="T25" s="50" t="s">
        <v>176</v>
      </c>
      <c r="U25" s="50" t="s">
        <v>176</v>
      </c>
      <c r="V25" s="50" t="s">
        <v>176</v>
      </c>
      <c r="W25" s="50" t="s">
        <v>176</v>
      </c>
      <c r="X25" s="50" t="s">
        <v>176</v>
      </c>
      <c r="Y25" s="50" t="s">
        <v>176</v>
      </c>
      <c r="Z25" s="50" t="s">
        <v>176</v>
      </c>
      <c r="AA25" s="50" t="s">
        <v>176</v>
      </c>
      <c r="AB25" s="50" t="s">
        <v>176</v>
      </c>
      <c r="AC25" s="50" t="s">
        <v>176</v>
      </c>
      <c r="AD25" s="50" t="s">
        <v>176</v>
      </c>
      <c r="AE25" s="50" t="s">
        <v>176</v>
      </c>
      <c r="AF25" s="50" t="s">
        <v>176</v>
      </c>
      <c r="AG25" s="50" t="s">
        <v>176</v>
      </c>
      <c r="AH25" s="50" t="s">
        <v>176</v>
      </c>
      <c r="AI25" s="50" t="s">
        <v>176</v>
      </c>
      <c r="AJ25" s="40"/>
      <c r="AL25" s="203" t="str">
        <f t="shared" ca="1" si="0"/>
        <v xml:space="preserve">    (U1)ALERT_REQ_H_MAICER_PD2_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t="s">
        <v>63</v>
      </c>
      <c r="AE26" s="50" t="s">
        <v>63</v>
      </c>
      <c r="AF26" s="50" t="s">
        <v>63</v>
      </c>
      <c r="AG26" s="50" t="s">
        <v>63</v>
      </c>
      <c r="AH26" s="50" t="s">
        <v>63</v>
      </c>
      <c r="AI26" s="50" t="s">
        <v>63</v>
      </c>
      <c r="AJ26" s="40"/>
      <c r="AL26" s="203" t="str">
        <f t="shared" ca="1" si="0"/>
        <v xml:space="preserve">    (U1)ALERT_REQ_H_MAICER_PD2_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t="s">
        <v>63</v>
      </c>
      <c r="AE27" s="50" t="s">
        <v>63</v>
      </c>
      <c r="AF27" s="50" t="s">
        <v>63</v>
      </c>
      <c r="AG27" s="50" t="s">
        <v>63</v>
      </c>
      <c r="AH27" s="50" t="s">
        <v>63</v>
      </c>
      <c r="AI27" s="50" t="s">
        <v>63</v>
      </c>
      <c r="AJ27" s="40"/>
      <c r="AL27" s="203" t="str">
        <f t="shared" ca="1" si="0"/>
        <v xml:space="preserve">    (U1)ALERT_REQ_H_MAICER_PD2_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t="s">
        <v>63</v>
      </c>
      <c r="AE28" s="50" t="s">
        <v>63</v>
      </c>
      <c r="AF28" s="50" t="s">
        <v>63</v>
      </c>
      <c r="AG28" s="50" t="s">
        <v>63</v>
      </c>
      <c r="AH28" s="50" t="s">
        <v>63</v>
      </c>
      <c r="AI28" s="50" t="s">
        <v>63</v>
      </c>
      <c r="AJ28" s="40"/>
      <c r="AL28" s="203" t="str">
        <f t="shared" ca="1" si="0"/>
        <v xml:space="preserve">    (U1)ALERT_REQ_H_MAICER_PD2_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t="s">
        <v>63</v>
      </c>
      <c r="AE29" s="50" t="s">
        <v>63</v>
      </c>
      <c r="AF29" s="50" t="s">
        <v>63</v>
      </c>
      <c r="AG29" s="50" t="s">
        <v>63</v>
      </c>
      <c r="AH29" s="50" t="s">
        <v>63</v>
      </c>
      <c r="AI29" s="50" t="s">
        <v>63</v>
      </c>
      <c r="AJ29" s="40"/>
      <c r="AL29" s="203" t="str">
        <f t="shared" ca="1" si="0"/>
        <v xml:space="preserve">    (U1)ALERT_REQ_H_MAICER_PD2_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t="s">
        <v>63</v>
      </c>
      <c r="AE30" s="50" t="s">
        <v>63</v>
      </c>
      <c r="AF30" s="50" t="s">
        <v>63</v>
      </c>
      <c r="AG30" s="50" t="s">
        <v>63</v>
      </c>
      <c r="AH30" s="50" t="s">
        <v>63</v>
      </c>
      <c r="AI30" s="50" t="s">
        <v>63</v>
      </c>
      <c r="AJ30" s="40"/>
      <c r="AL30" s="203" t="str">
        <f t="shared" ca="1" si="0"/>
        <v xml:space="preserve">    (U1)ALERT_REQ_H_MAICER_PD2_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t="s">
        <v>63</v>
      </c>
      <c r="AE31" s="50" t="s">
        <v>63</v>
      </c>
      <c r="AF31" s="50" t="s">
        <v>63</v>
      </c>
      <c r="AG31" s="50" t="s">
        <v>63</v>
      </c>
      <c r="AH31" s="50" t="s">
        <v>63</v>
      </c>
      <c r="AI31" s="50" t="s">
        <v>63</v>
      </c>
      <c r="AJ31" s="40"/>
      <c r="AL31" s="203" t="str">
        <f t="shared" ca="1" si="0"/>
        <v xml:space="preserve">    (U1)ALERT_REQ_H_MAICER_PD2_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t="s">
        <v>63</v>
      </c>
      <c r="AE32" s="50" t="s">
        <v>63</v>
      </c>
      <c r="AF32" s="50" t="s">
        <v>63</v>
      </c>
      <c r="AG32" s="50" t="s">
        <v>63</v>
      </c>
      <c r="AH32" s="50" t="s">
        <v>63</v>
      </c>
      <c r="AI32" s="50" t="s">
        <v>63</v>
      </c>
      <c r="AJ32" s="40"/>
      <c r="AL32" s="203" t="str">
        <f t="shared" ca="1" si="0"/>
        <v xml:space="preserve">    (U1)ALERT_REQ_H_MAICER_PD2_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t="s">
        <v>63</v>
      </c>
      <c r="AE33" s="50" t="s">
        <v>63</v>
      </c>
      <c r="AF33" s="50" t="s">
        <v>63</v>
      </c>
      <c r="AG33" s="50" t="s">
        <v>63</v>
      </c>
      <c r="AH33" s="50" t="s">
        <v>63</v>
      </c>
      <c r="AI33" s="50" t="s">
        <v>63</v>
      </c>
      <c r="AJ33" s="40"/>
      <c r="AL33" s="203" t="str">
        <f t="shared" ca="1" si="0"/>
        <v xml:space="preserve">    (U1)ALERT_REQ_H_MAICER_PD2_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t="s">
        <v>63</v>
      </c>
      <c r="AE34" s="50" t="s">
        <v>63</v>
      </c>
      <c r="AF34" s="50" t="s">
        <v>63</v>
      </c>
      <c r="AG34" s="50" t="s">
        <v>63</v>
      </c>
      <c r="AH34" s="50" t="s">
        <v>63</v>
      </c>
      <c r="AI34" s="50" t="s">
        <v>63</v>
      </c>
      <c r="AJ34" s="40"/>
      <c r="AL34" s="203" t="str">
        <f t="shared" ca="1" si="0"/>
        <v xml:space="preserve">    (U1)ALERT_REQ_H_MAICER_PD2_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t="s">
        <v>63</v>
      </c>
      <c r="AE35" s="50" t="s">
        <v>63</v>
      </c>
      <c r="AF35" s="50" t="s">
        <v>63</v>
      </c>
      <c r="AG35" s="50" t="s">
        <v>63</v>
      </c>
      <c r="AH35" s="50" t="s">
        <v>63</v>
      </c>
      <c r="AI35" s="50" t="s">
        <v>63</v>
      </c>
      <c r="AJ35" s="40"/>
      <c r="AL35" s="203" t="str">
        <f t="shared" ca="1" si="0"/>
        <v xml:space="preserve">    (U1)ALERT_REQ_H_MAICER_PD2_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t="s">
        <v>63</v>
      </c>
      <c r="AE36" s="50" t="s">
        <v>63</v>
      </c>
      <c r="AF36" s="50" t="s">
        <v>63</v>
      </c>
      <c r="AG36" s="50" t="s">
        <v>63</v>
      </c>
      <c r="AH36" s="50" t="s">
        <v>63</v>
      </c>
      <c r="AI36" s="50" t="s">
        <v>63</v>
      </c>
      <c r="AJ36" s="40"/>
      <c r="AL36" s="203" t="str">
        <f t="shared" ca="1" si="0"/>
        <v xml:space="preserve">    (U1)ALERT_REQ_H_MAICER_PD2_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t="s">
        <v>63</v>
      </c>
      <c r="AE37" s="50" t="s">
        <v>63</v>
      </c>
      <c r="AF37" s="50" t="s">
        <v>63</v>
      </c>
      <c r="AG37" s="50" t="s">
        <v>63</v>
      </c>
      <c r="AH37" s="50" t="s">
        <v>63</v>
      </c>
      <c r="AI37" s="50" t="s">
        <v>63</v>
      </c>
      <c r="AJ37" s="40"/>
      <c r="AL37" s="203" t="str">
        <f t="shared" ca="1" si="0"/>
        <v xml:space="preserve">    (U1)ALERT_REQ_H_MAICER_PD2_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t="s">
        <v>63</v>
      </c>
      <c r="AE38" s="50" t="s">
        <v>63</v>
      </c>
      <c r="AF38" s="50" t="s">
        <v>63</v>
      </c>
      <c r="AG38" s="50" t="s">
        <v>63</v>
      </c>
      <c r="AH38" s="50" t="s">
        <v>63</v>
      </c>
      <c r="AI38" s="50" t="s">
        <v>63</v>
      </c>
      <c r="AJ38" s="40"/>
      <c r="AL38" s="203" t="str">
        <f t="shared" ca="1" si="0"/>
        <v xml:space="preserve">    (U1)ALERT_REQ_H_MAICER_PD2_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t="s">
        <v>63</v>
      </c>
      <c r="AE39" s="50" t="s">
        <v>63</v>
      </c>
      <c r="AF39" s="50" t="s">
        <v>63</v>
      </c>
      <c r="AG39" s="50" t="s">
        <v>63</v>
      </c>
      <c r="AH39" s="50" t="s">
        <v>63</v>
      </c>
      <c r="AI39" s="50" t="s">
        <v>63</v>
      </c>
      <c r="AJ39" s="40"/>
      <c r="AL39" s="203" t="str">
        <f t="shared" ca="1" si="0"/>
        <v xml:space="preserve">    (U1)ALERT_REQ_H_MAICER_PD2_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t="s">
        <v>63</v>
      </c>
      <c r="AE40" s="50" t="s">
        <v>63</v>
      </c>
      <c r="AF40" s="50" t="s">
        <v>63</v>
      </c>
      <c r="AG40" s="50" t="s">
        <v>63</v>
      </c>
      <c r="AH40" s="50" t="s">
        <v>63</v>
      </c>
      <c r="AI40" s="50" t="s">
        <v>63</v>
      </c>
      <c r="AJ40" s="40"/>
      <c r="AL40" s="203" t="str">
        <f t="shared" ca="1" si="0"/>
        <v xml:space="preserve">    (U1)ALERT_REQ_H_MAICER_PD2_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t="s">
        <v>63</v>
      </c>
      <c r="AE41" s="50" t="s">
        <v>63</v>
      </c>
      <c r="AF41" s="50" t="s">
        <v>63</v>
      </c>
      <c r="AG41" s="50" t="s">
        <v>63</v>
      </c>
      <c r="AH41" s="50" t="s">
        <v>63</v>
      </c>
      <c r="AI41" s="50" t="s">
        <v>63</v>
      </c>
      <c r="AJ41" s="40"/>
      <c r="AL41" s="203" t="str">
        <f t="shared" ca="1" si="0"/>
        <v xml:space="preserve">    (U1)ALERT_REQ_H_MAICER_PD2_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t="s">
        <v>63</v>
      </c>
      <c r="AE42" s="50" t="s">
        <v>63</v>
      </c>
      <c r="AF42" s="50" t="s">
        <v>63</v>
      </c>
      <c r="AG42" s="50" t="s">
        <v>63</v>
      </c>
      <c r="AH42" s="50" t="s">
        <v>63</v>
      </c>
      <c r="AI42" s="50" t="s">
        <v>63</v>
      </c>
      <c r="AJ42" s="40"/>
      <c r="AL42" s="203" t="str">
        <f t="shared" ca="1" si="0"/>
        <v xml:space="preserve">    (U1)ALERT_REQ_H_MAICER_PD2_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t="s">
        <v>63</v>
      </c>
      <c r="AE43" s="50" t="s">
        <v>63</v>
      </c>
      <c r="AF43" s="50" t="s">
        <v>63</v>
      </c>
      <c r="AG43" s="50" t="s">
        <v>63</v>
      </c>
      <c r="AH43" s="50" t="s">
        <v>63</v>
      </c>
      <c r="AI43" s="50" t="s">
        <v>63</v>
      </c>
      <c r="AJ43" s="40"/>
      <c r="AL43" s="203" t="str">
        <f t="shared" ca="1" si="0"/>
        <v xml:space="preserve">    (U1)ALERT_REQ_H_MAICER_PD2_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t="s">
        <v>63</v>
      </c>
      <c r="AE44" s="50" t="s">
        <v>63</v>
      </c>
      <c r="AF44" s="50" t="s">
        <v>63</v>
      </c>
      <c r="AG44" s="50" t="s">
        <v>63</v>
      </c>
      <c r="AH44" s="50" t="s">
        <v>63</v>
      </c>
      <c r="AI44" s="50" t="s">
        <v>63</v>
      </c>
      <c r="AJ44" s="40"/>
      <c r="AL44" s="203" t="str">
        <f t="shared" ca="1" si="0"/>
        <v xml:space="preserve">    (U1)ALERT_REQ_H_MAICER_PD2_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t="s">
        <v>63</v>
      </c>
      <c r="AE45" s="50" t="s">
        <v>63</v>
      </c>
      <c r="AF45" s="50" t="s">
        <v>63</v>
      </c>
      <c r="AG45" s="50" t="s">
        <v>63</v>
      </c>
      <c r="AH45" s="50" t="s">
        <v>63</v>
      </c>
      <c r="AI45" s="50" t="s">
        <v>63</v>
      </c>
      <c r="AJ45" s="40"/>
      <c r="AL45" s="203" t="str">
        <f t="shared" ca="1" si="0"/>
        <v xml:space="preserve">    (U1)ALERT_REQ_H_MAICER_PD2_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t="s">
        <v>63</v>
      </c>
      <c r="AE46" s="50" t="s">
        <v>63</v>
      </c>
      <c r="AF46" s="50" t="s">
        <v>63</v>
      </c>
      <c r="AG46" s="50" t="s">
        <v>63</v>
      </c>
      <c r="AH46" s="50" t="s">
        <v>63</v>
      </c>
      <c r="AI46" s="50" t="s">
        <v>63</v>
      </c>
      <c r="AJ46" s="40"/>
      <c r="AL46" s="203" t="str">
        <f t="shared" ca="1" si="0"/>
        <v xml:space="preserve">    (U1)ALERT_REQ_H_MAICER_PD2_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t="s">
        <v>63</v>
      </c>
      <c r="AE47" s="50" t="s">
        <v>63</v>
      </c>
      <c r="AF47" s="50" t="s">
        <v>63</v>
      </c>
      <c r="AG47" s="50" t="s">
        <v>63</v>
      </c>
      <c r="AH47" s="50" t="s">
        <v>63</v>
      </c>
      <c r="AI47" s="50" t="s">
        <v>63</v>
      </c>
      <c r="AJ47" s="40"/>
      <c r="AL47" s="203" t="str">
        <f t="shared" ca="1" si="0"/>
        <v xml:space="preserve">    (U1)ALERT_REQ_H_MAICER_PD2_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t="s">
        <v>63</v>
      </c>
      <c r="AE48" s="50" t="s">
        <v>63</v>
      </c>
      <c r="AF48" s="50" t="s">
        <v>63</v>
      </c>
      <c r="AG48" s="50" t="s">
        <v>63</v>
      </c>
      <c r="AH48" s="50" t="s">
        <v>63</v>
      </c>
      <c r="AI48" s="50" t="s">
        <v>63</v>
      </c>
      <c r="AJ48" s="40"/>
      <c r="AL48" s="203" t="str">
        <f t="shared" ca="1" si="0"/>
        <v xml:space="preserve">    (U1)ALERT_REQ_H_MAICER_PD2_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t="s">
        <v>63</v>
      </c>
      <c r="AE49" s="50" t="s">
        <v>63</v>
      </c>
      <c r="AF49" s="50" t="s">
        <v>63</v>
      </c>
      <c r="AG49" s="50" t="s">
        <v>63</v>
      </c>
      <c r="AH49" s="50" t="s">
        <v>63</v>
      </c>
      <c r="AI49" s="50" t="s">
        <v>63</v>
      </c>
      <c r="AJ49" s="21"/>
      <c r="AL49" s="203" t="str">
        <f t="shared" ca="1" si="0"/>
        <v xml:space="preserve">    (U1)ALERT_REQ_H_MAICER_PD2_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t="s">
        <v>63</v>
      </c>
      <c r="AE50" s="50" t="s">
        <v>63</v>
      </c>
      <c r="AF50" s="50" t="s">
        <v>63</v>
      </c>
      <c r="AG50" s="50" t="s">
        <v>63</v>
      </c>
      <c r="AH50" s="50" t="s">
        <v>63</v>
      </c>
      <c r="AI50" s="50" t="s">
        <v>63</v>
      </c>
      <c r="AJ50" s="21"/>
      <c r="AL50" s="203" t="str">
        <f t="shared" ca="1" si="0"/>
        <v xml:space="preserve">    (U1)ALERT_REQ_H_MAICER_PD2_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t="s">
        <v>63</v>
      </c>
      <c r="AE51" s="50" t="s">
        <v>63</v>
      </c>
      <c r="AF51" s="50" t="s">
        <v>63</v>
      </c>
      <c r="AG51" s="50" t="s">
        <v>63</v>
      </c>
      <c r="AH51" s="50" t="s">
        <v>63</v>
      </c>
      <c r="AI51" s="50" t="s">
        <v>63</v>
      </c>
      <c r="AJ51" s="21"/>
      <c r="AL51" s="203" t="str">
        <f t="shared" ca="1" si="0"/>
        <v xml:space="preserve">    (U1)ALERT_REQ_H_MAICER_PD2_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t="s">
        <v>63</v>
      </c>
      <c r="AE52" s="50" t="s">
        <v>63</v>
      </c>
      <c r="AF52" s="50" t="s">
        <v>63</v>
      </c>
      <c r="AG52" s="50" t="s">
        <v>63</v>
      </c>
      <c r="AH52" s="50" t="s">
        <v>63</v>
      </c>
      <c r="AI52" s="50" t="s">
        <v>63</v>
      </c>
      <c r="AJ52" s="21"/>
      <c r="AL52" s="203" t="str">
        <f t="shared" ca="1" si="0"/>
        <v xml:space="preserve">    (U1)ALERT_REQ_H_MAICER_PD2_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t="s">
        <v>63</v>
      </c>
      <c r="AE53" s="50" t="s">
        <v>63</v>
      </c>
      <c r="AF53" s="50" t="s">
        <v>63</v>
      </c>
      <c r="AG53" s="50" t="s">
        <v>63</v>
      </c>
      <c r="AH53" s="50" t="s">
        <v>63</v>
      </c>
      <c r="AI53" s="50" t="s">
        <v>63</v>
      </c>
      <c r="AJ53" s="21"/>
      <c r="AL53" s="203" t="str">
        <f t="shared" ca="1" si="0"/>
        <v xml:space="preserve">    (U1)ALERT_REQ_H_MAICER_PD2_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t="s">
        <v>63</v>
      </c>
      <c r="AE54" s="50" t="s">
        <v>63</v>
      </c>
      <c r="AF54" s="50" t="s">
        <v>63</v>
      </c>
      <c r="AG54" s="50" t="s">
        <v>63</v>
      </c>
      <c r="AH54" s="50" t="s">
        <v>63</v>
      </c>
      <c r="AI54" s="50" t="s">
        <v>63</v>
      </c>
      <c r="AJ54" s="21"/>
      <c r="AL54" s="203" t="str">
        <f t="shared" ca="1" si="0"/>
        <v xml:space="preserve">    (U1)ALERT_REQ_H_MAICER_PD2_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t="s">
        <v>63</v>
      </c>
      <c r="AE55" s="50" t="s">
        <v>63</v>
      </c>
      <c r="AF55" s="50" t="s">
        <v>63</v>
      </c>
      <c r="AG55" s="50" t="s">
        <v>63</v>
      </c>
      <c r="AH55" s="50" t="s">
        <v>63</v>
      </c>
      <c r="AI55" s="50" t="s">
        <v>63</v>
      </c>
      <c r="AJ55" s="21"/>
      <c r="AL55" s="203" t="str">
        <f t="shared" ca="1" si="0"/>
        <v xml:space="preserve">    (U1)ALERT_REQ_H_MAICER_PD2_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t="s">
        <v>63</v>
      </c>
      <c r="AE56" s="50" t="s">
        <v>63</v>
      </c>
      <c r="AF56" s="50" t="s">
        <v>63</v>
      </c>
      <c r="AG56" s="50" t="s">
        <v>63</v>
      </c>
      <c r="AH56" s="50" t="s">
        <v>63</v>
      </c>
      <c r="AI56" s="50" t="s">
        <v>63</v>
      </c>
      <c r="AJ56" s="21"/>
      <c r="AL56" s="203" t="str">
        <f t="shared" ca="1" si="0"/>
        <v xml:space="preserve">    (U1)ALERT_REQ_H_MAICER_PD2_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t="s">
        <v>63</v>
      </c>
      <c r="AE57" s="50" t="s">
        <v>63</v>
      </c>
      <c r="AF57" s="50" t="s">
        <v>63</v>
      </c>
      <c r="AG57" s="50" t="s">
        <v>63</v>
      </c>
      <c r="AH57" s="50" t="s">
        <v>63</v>
      </c>
      <c r="AI57" s="50" t="s">
        <v>63</v>
      </c>
      <c r="AJ57" s="21"/>
      <c r="AL57" s="203" t="str">
        <f t="shared" ca="1" si="0"/>
        <v xml:space="preserve">    (U1)ALERT_REQ_H_MAICER_PD2_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t="s">
        <v>63</v>
      </c>
      <c r="AE58" s="50" t="s">
        <v>63</v>
      </c>
      <c r="AF58" s="50" t="s">
        <v>63</v>
      </c>
      <c r="AG58" s="50" t="s">
        <v>63</v>
      </c>
      <c r="AH58" s="50" t="s">
        <v>63</v>
      </c>
      <c r="AI58" s="50" t="s">
        <v>63</v>
      </c>
      <c r="AJ58" s="21"/>
      <c r="AL58" s="203" t="str">
        <f t="shared" ca="1" si="0"/>
        <v xml:space="preserve">    (U1)ALERT_REQ_H_MAICER_PD2_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t="s">
        <v>63</v>
      </c>
      <c r="AE59" s="50" t="s">
        <v>63</v>
      </c>
      <c r="AF59" s="50" t="s">
        <v>63</v>
      </c>
      <c r="AG59" s="50" t="s">
        <v>63</v>
      </c>
      <c r="AH59" s="50" t="s">
        <v>63</v>
      </c>
      <c r="AI59" s="50" t="s">
        <v>63</v>
      </c>
      <c r="AJ59" s="21"/>
      <c r="AL59" s="203" t="str">
        <f t="shared" ca="1" si="0"/>
        <v xml:space="preserve">    (U1)ALERT_REQ_H_MAICER_PD2_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t="s">
        <v>63</v>
      </c>
      <c r="AE60" s="50" t="s">
        <v>63</v>
      </c>
      <c r="AF60" s="50" t="s">
        <v>63</v>
      </c>
      <c r="AG60" s="50" t="s">
        <v>63</v>
      </c>
      <c r="AH60" s="50" t="s">
        <v>63</v>
      </c>
      <c r="AI60" s="50" t="s">
        <v>63</v>
      </c>
      <c r="AJ60" s="21"/>
      <c r="AL60" s="203" t="str">
        <f t="shared" ca="1" si="0"/>
        <v xml:space="preserve">    (U1)ALERT_REQ_H_MAICER_PD2_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t="s">
        <v>63</v>
      </c>
      <c r="AE61" s="50" t="s">
        <v>63</v>
      </c>
      <c r="AF61" s="50" t="s">
        <v>63</v>
      </c>
      <c r="AG61" s="50" t="s">
        <v>63</v>
      </c>
      <c r="AH61" s="50" t="s">
        <v>63</v>
      </c>
      <c r="AI61" s="50" t="s">
        <v>63</v>
      </c>
      <c r="AJ61" s="21"/>
      <c r="AL61" s="203" t="str">
        <f t="shared" ca="1" si="0"/>
        <v xml:space="preserve">    (U1)ALERT_REQ_H_MAICER_PD2_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t="s">
        <v>63</v>
      </c>
      <c r="AE62" s="50" t="s">
        <v>63</v>
      </c>
      <c r="AF62" s="50" t="s">
        <v>63</v>
      </c>
      <c r="AG62" s="50" t="s">
        <v>63</v>
      </c>
      <c r="AH62" s="50" t="s">
        <v>63</v>
      </c>
      <c r="AI62" s="50" t="s">
        <v>63</v>
      </c>
      <c r="AJ62" s="21"/>
      <c r="AL62" s="203" t="str">
        <f t="shared" ca="1" si="0"/>
        <v xml:space="preserve">    (U1)ALERT_REQ_H_MAICER_PD2_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t="s">
        <v>63</v>
      </c>
      <c r="AE63" s="50" t="s">
        <v>63</v>
      </c>
      <c r="AF63" s="50" t="s">
        <v>63</v>
      </c>
      <c r="AG63" s="50" t="s">
        <v>63</v>
      </c>
      <c r="AH63" s="50" t="s">
        <v>63</v>
      </c>
      <c r="AI63" s="50" t="s">
        <v>63</v>
      </c>
      <c r="AJ63" s="21"/>
      <c r="AL63" s="203" t="str">
        <f t="shared" ca="1" si="0"/>
        <v xml:space="preserve">    (U1)ALERT_REQ_H_MAICER_PD2_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t="s">
        <v>63</v>
      </c>
      <c r="AE64" s="50" t="s">
        <v>63</v>
      </c>
      <c r="AF64" s="50" t="s">
        <v>63</v>
      </c>
      <c r="AG64" s="50" t="s">
        <v>63</v>
      </c>
      <c r="AH64" s="50" t="s">
        <v>63</v>
      </c>
      <c r="AI64" s="50" t="s">
        <v>63</v>
      </c>
      <c r="AJ64" s="21"/>
      <c r="AL64" s="203" t="str">
        <f t="shared" ca="1" si="0"/>
        <v xml:space="preserve">    (U1)ALERT_REQ_H_MAICER_PD2_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t="s">
        <v>63</v>
      </c>
      <c r="AE65" s="50" t="s">
        <v>63</v>
      </c>
      <c r="AF65" s="50" t="s">
        <v>63</v>
      </c>
      <c r="AG65" s="50" t="s">
        <v>63</v>
      </c>
      <c r="AH65" s="50" t="s">
        <v>63</v>
      </c>
      <c r="AI65" s="50" t="s">
        <v>63</v>
      </c>
      <c r="AJ65" s="21"/>
      <c r="AL65" s="203" t="str">
        <f t="shared" ca="1" si="0"/>
        <v xml:space="preserve">    (U1)ALERT_REQ_H_MAICER_PD2_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t="s">
        <v>63</v>
      </c>
      <c r="AE66" s="50" t="s">
        <v>63</v>
      </c>
      <c r="AF66" s="50" t="s">
        <v>63</v>
      </c>
      <c r="AG66" s="50" t="s">
        <v>63</v>
      </c>
      <c r="AH66" s="50" t="s">
        <v>63</v>
      </c>
      <c r="AI66" s="50" t="s">
        <v>63</v>
      </c>
      <c r="AJ66" s="21"/>
      <c r="AL66" s="203" t="str">
        <f t="shared" ca="1" si="0"/>
        <v xml:space="preserve">    (U1)ALERT_REQ_H_MAICER_PD2_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t="s">
        <v>63</v>
      </c>
      <c r="AE67" s="50" t="s">
        <v>63</v>
      </c>
      <c r="AF67" s="50" t="s">
        <v>63</v>
      </c>
      <c r="AG67" s="50" t="s">
        <v>63</v>
      </c>
      <c r="AH67" s="50" t="s">
        <v>63</v>
      </c>
      <c r="AI67" s="50" t="s">
        <v>63</v>
      </c>
      <c r="AJ67" s="21"/>
      <c r="AL67" s="203" t="str">
        <f t="shared" ca="1" si="0"/>
        <v xml:space="preserve">    (U1)ALERT_REQ_H_MAICER_PD2_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t="s">
        <v>63</v>
      </c>
      <c r="AE68" s="50" t="s">
        <v>63</v>
      </c>
      <c r="AF68" s="50" t="s">
        <v>63</v>
      </c>
      <c r="AG68" s="50" t="s">
        <v>63</v>
      </c>
      <c r="AH68" s="50" t="s">
        <v>63</v>
      </c>
      <c r="AI68" s="50" t="s">
        <v>63</v>
      </c>
      <c r="AJ68" s="21"/>
      <c r="AL68" s="203" t="str">
        <f t="shared" ca="1" si="0"/>
        <v xml:space="preserve">    (U1)ALERT_REQ_H_MAICER_PD2_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1"/>
      <c r="AL69" s="203" t="str">
        <f t="shared" ca="1" si="0"/>
        <v xml:space="preserve">    (U1)ALERT_REQ_H_MAICER_PD2_</v>
      </c>
      <c r="AR69" s="52" t="str">
        <f t="shared" si="3"/>
        <v/>
      </c>
      <c r="AS69" s="52" t="str">
        <f t="shared" si="4"/>
        <v/>
      </c>
      <c r="AT69" s="52" t="str">
        <f t="shared" si="1"/>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PD2</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s="203"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MALFUNC</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s="203" t="str">
        <f t="shared" si="7"/>
        <v xml:space="preserve">    (U4)0x00000001U,                                                           /* 01 MALFUNC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s="20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s="203"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0</v>
      </c>
      <c r="AH75" s="119">
        <f t="shared" si="5"/>
        <v>0</v>
      </c>
      <c r="AI75" s="119">
        <f t="shared" si="5"/>
        <v>0</v>
      </c>
      <c r="AJ75" s="36" t="str">
        <f t="shared" si="6"/>
        <v/>
      </c>
      <c r="AK75" s="49"/>
      <c r="AL75" s="49" t="str">
        <f t="shared" si="9"/>
        <v>00</v>
      </c>
      <c r="AM75" s="51" t="str">
        <f t="shared" si="10"/>
        <v>00</v>
      </c>
      <c r="AN75" s="51" t="str">
        <f t="shared" si="11"/>
        <v>00</v>
      </c>
      <c r="AO75" s="51" t="str">
        <f t="shared" si="12"/>
        <v>00</v>
      </c>
      <c r="AQ75" s="203" t="str">
        <f t="shared" si="7"/>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0</v>
      </c>
      <c r="AH76" s="119">
        <f t="shared" si="5"/>
        <v>0</v>
      </c>
      <c r="AI76" s="119">
        <f t="shared" si="5"/>
        <v>0</v>
      </c>
      <c r="AJ76" s="36" t="str">
        <f t="shared" si="6"/>
        <v/>
      </c>
      <c r="AK76" s="49"/>
      <c r="AL76" s="49" t="str">
        <f t="shared" si="9"/>
        <v>00</v>
      </c>
      <c r="AM76" s="51" t="str">
        <f t="shared" si="10"/>
        <v>00</v>
      </c>
      <c r="AN76" s="51" t="str">
        <f t="shared" si="11"/>
        <v>00</v>
      </c>
      <c r="AO76" s="51" t="str">
        <f t="shared" si="12"/>
        <v>00</v>
      </c>
      <c r="AQ76" s="203" t="str">
        <f t="shared" si="7"/>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0</v>
      </c>
      <c r="AH77" s="119">
        <f t="shared" si="5"/>
        <v>0</v>
      </c>
      <c r="AI77" s="119">
        <f t="shared" si="5"/>
        <v>0</v>
      </c>
      <c r="AJ77" s="36" t="str">
        <f t="shared" si="6"/>
        <v/>
      </c>
      <c r="AK77" s="49"/>
      <c r="AL77" s="49" t="str">
        <f t="shared" si="9"/>
        <v>00</v>
      </c>
      <c r="AM77" s="51" t="str">
        <f t="shared" si="10"/>
        <v>00</v>
      </c>
      <c r="AN77" s="51" t="str">
        <f t="shared" si="11"/>
        <v>00</v>
      </c>
      <c r="AO77" s="51" t="str">
        <f t="shared" si="12"/>
        <v>00</v>
      </c>
      <c r="AQ77" s="203" t="str">
        <f t="shared" si="7"/>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0</v>
      </c>
      <c r="AH78" s="119">
        <f t="shared" si="5"/>
        <v>0</v>
      </c>
      <c r="AI78" s="119">
        <f>IF(AI13=1,1,0)</f>
        <v>0</v>
      </c>
      <c r="AJ78" s="36" t="str">
        <f t="shared" si="6"/>
        <v/>
      </c>
      <c r="AK78" s="49"/>
      <c r="AL78" s="49" t="str">
        <f t="shared" si="9"/>
        <v>00</v>
      </c>
      <c r="AM78" s="51" t="str">
        <f t="shared" si="10"/>
        <v>00</v>
      </c>
      <c r="AN78" s="51" t="str">
        <f t="shared" si="11"/>
        <v>00</v>
      </c>
      <c r="AO78" s="51" t="str">
        <f t="shared" si="12"/>
        <v>00</v>
      </c>
      <c r="AQ78" s="203" t="str">
        <f t="shared" si="7"/>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0</v>
      </c>
      <c r="AG79" s="119">
        <f t="shared" si="13"/>
        <v>0</v>
      </c>
      <c r="AH79" s="119">
        <f t="shared" si="13"/>
        <v>0</v>
      </c>
      <c r="AI79" s="119">
        <f t="shared" si="13"/>
        <v>0</v>
      </c>
      <c r="AJ79" s="36" t="str">
        <f t="shared" si="6"/>
        <v/>
      </c>
      <c r="AK79" s="49"/>
      <c r="AL79" s="49" t="str">
        <f t="shared" si="9"/>
        <v>00</v>
      </c>
      <c r="AM79" s="51" t="str">
        <f t="shared" si="10"/>
        <v>00</v>
      </c>
      <c r="AN79" s="51" t="str">
        <f t="shared" si="11"/>
        <v>00</v>
      </c>
      <c r="AO79" s="51" t="str">
        <f t="shared" si="12"/>
        <v>00</v>
      </c>
      <c r="AQ79" s="203" t="str">
        <f t="shared" si="7"/>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0</v>
      </c>
      <c r="AG80" s="119">
        <f t="shared" si="13"/>
        <v>0</v>
      </c>
      <c r="AH80" s="119">
        <f t="shared" si="13"/>
        <v>0</v>
      </c>
      <c r="AI80" s="119">
        <f t="shared" si="13"/>
        <v>0</v>
      </c>
      <c r="AJ80" s="36" t="str">
        <f t="shared" si="6"/>
        <v/>
      </c>
      <c r="AK80" s="49"/>
      <c r="AL80" s="49" t="str">
        <f t="shared" si="9"/>
        <v>00</v>
      </c>
      <c r="AM80" s="51" t="str">
        <f t="shared" si="10"/>
        <v>00</v>
      </c>
      <c r="AN80" s="51" t="str">
        <f t="shared" si="11"/>
        <v>00</v>
      </c>
      <c r="AO80" s="51" t="str">
        <f t="shared" si="12"/>
        <v>00</v>
      </c>
      <c r="AQ80" s="203" t="str">
        <f t="shared" si="7"/>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0</v>
      </c>
      <c r="AG81" s="119">
        <f t="shared" si="13"/>
        <v>0</v>
      </c>
      <c r="AH81" s="119">
        <f t="shared" si="13"/>
        <v>0</v>
      </c>
      <c r="AI81" s="119">
        <f t="shared" si="13"/>
        <v>0</v>
      </c>
      <c r="AJ81" s="36" t="str">
        <f t="shared" si="6"/>
        <v/>
      </c>
      <c r="AK81" s="49"/>
      <c r="AL81" s="49" t="str">
        <f t="shared" si="9"/>
        <v>00</v>
      </c>
      <c r="AM81" s="51" t="str">
        <f t="shared" si="10"/>
        <v>00</v>
      </c>
      <c r="AN81" s="51" t="str">
        <f t="shared" si="11"/>
        <v>00</v>
      </c>
      <c r="AO81" s="51" t="str">
        <f t="shared" si="12"/>
        <v>00</v>
      </c>
      <c r="AQ81" s="203" t="str">
        <f t="shared" si="7"/>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0</v>
      </c>
      <c r="AG82" s="119">
        <f t="shared" si="13"/>
        <v>0</v>
      </c>
      <c r="AH82" s="119">
        <f t="shared" si="13"/>
        <v>0</v>
      </c>
      <c r="AI82" s="119">
        <f t="shared" si="13"/>
        <v>0</v>
      </c>
      <c r="AJ82" s="36" t="str">
        <f t="shared" si="6"/>
        <v/>
      </c>
      <c r="AK82" s="49"/>
      <c r="AL82" s="49" t="str">
        <f t="shared" si="9"/>
        <v>00</v>
      </c>
      <c r="AM82" s="51" t="str">
        <f t="shared" si="10"/>
        <v>00</v>
      </c>
      <c r="AN82" s="51" t="str">
        <f t="shared" si="11"/>
        <v>00</v>
      </c>
      <c r="AO82" s="51" t="str">
        <f t="shared" si="12"/>
        <v>00</v>
      </c>
      <c r="AQ82" s="203" t="str">
        <f t="shared" si="7"/>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0</v>
      </c>
      <c r="AG83" s="119">
        <f t="shared" si="13"/>
        <v>0</v>
      </c>
      <c r="AH83" s="119">
        <f t="shared" si="13"/>
        <v>0</v>
      </c>
      <c r="AI83" s="119">
        <f t="shared" si="13"/>
        <v>0</v>
      </c>
      <c r="AJ83" s="36" t="str">
        <f t="shared" si="6"/>
        <v/>
      </c>
      <c r="AK83" s="49"/>
      <c r="AL83" s="49" t="str">
        <f t="shared" si="9"/>
        <v>00</v>
      </c>
      <c r="AM83" s="51" t="str">
        <f t="shared" si="10"/>
        <v>00</v>
      </c>
      <c r="AN83" s="51" t="str">
        <f t="shared" si="11"/>
        <v>00</v>
      </c>
      <c r="AO83" s="51" t="str">
        <f t="shared" si="12"/>
        <v>00</v>
      </c>
      <c r="AQ83" s="203" t="str">
        <f t="shared" si="7"/>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0</v>
      </c>
      <c r="AG84" s="119">
        <f t="shared" si="13"/>
        <v>0</v>
      </c>
      <c r="AH84" s="119">
        <f t="shared" si="13"/>
        <v>0</v>
      </c>
      <c r="AI84" s="119">
        <f t="shared" si="13"/>
        <v>0</v>
      </c>
      <c r="AJ84" s="36" t="str">
        <f t="shared" si="6"/>
        <v/>
      </c>
      <c r="AK84" s="49"/>
      <c r="AL84" s="49" t="str">
        <f t="shared" si="9"/>
        <v>00</v>
      </c>
      <c r="AM84" s="51" t="str">
        <f t="shared" si="10"/>
        <v>00</v>
      </c>
      <c r="AN84" s="51" t="str">
        <f t="shared" si="11"/>
        <v>00</v>
      </c>
      <c r="AO84" s="51" t="str">
        <f t="shared" si="12"/>
        <v>00</v>
      </c>
      <c r="AQ84" s="203" t="str">
        <f t="shared" si="7"/>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0</v>
      </c>
      <c r="AG85" s="119">
        <f t="shared" si="13"/>
        <v>0</v>
      </c>
      <c r="AH85" s="119">
        <f t="shared" si="13"/>
        <v>0</v>
      </c>
      <c r="AI85" s="119">
        <f t="shared" si="13"/>
        <v>0</v>
      </c>
      <c r="AJ85" s="36" t="str">
        <f t="shared" si="6"/>
        <v/>
      </c>
      <c r="AK85" s="49"/>
      <c r="AL85" s="49" t="str">
        <f t="shared" si="9"/>
        <v>00</v>
      </c>
      <c r="AM85" s="51" t="str">
        <f t="shared" si="10"/>
        <v>00</v>
      </c>
      <c r="AN85" s="51" t="str">
        <f t="shared" si="11"/>
        <v>00</v>
      </c>
      <c r="AO85" s="51" t="str">
        <f t="shared" si="12"/>
        <v>00</v>
      </c>
      <c r="AQ85" s="203" t="str">
        <f t="shared" si="7"/>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0</v>
      </c>
      <c r="AG86" s="119">
        <f t="shared" si="13"/>
        <v>0</v>
      </c>
      <c r="AH86" s="119">
        <f t="shared" si="13"/>
        <v>0</v>
      </c>
      <c r="AI86" s="119">
        <f>IF(AI21=1,1,0)</f>
        <v>0</v>
      </c>
      <c r="AJ86" s="36" t="str">
        <f t="shared" si="6"/>
        <v/>
      </c>
      <c r="AK86" s="49"/>
      <c r="AL86" s="49" t="str">
        <f t="shared" si="9"/>
        <v>00</v>
      </c>
      <c r="AM86" s="51" t="str">
        <f t="shared" si="10"/>
        <v>00</v>
      </c>
      <c r="AN86" s="51" t="str">
        <f t="shared" si="11"/>
        <v>00</v>
      </c>
      <c r="AO86" s="51" t="str">
        <f t="shared" si="12"/>
        <v>00</v>
      </c>
      <c r="AQ86" s="203" t="str">
        <f t="shared" si="7"/>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s="203"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s="203"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s="203"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s="203"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s="203"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s="203"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s="20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s="203"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s="203"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s="203"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s="203"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s="203"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s="203"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s="203"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s="203"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s="203"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s="2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s="203"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s="203"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s="203"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s="203"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s="203"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s="203"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s="203"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s="203"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s="203"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s="20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s="203"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s="203"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s="203"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s="203"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s="203"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s="203"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s="203"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s="203"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s="203"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s="20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s="203"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s="203"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s="203"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s="203"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s="203"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s="203"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s="203"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s="203"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s="203"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s="20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s="203"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PD2</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0</v>
      </c>
      <c r="AG136" s="119">
        <f t="shared" si="20"/>
        <v>0</v>
      </c>
      <c r="AH136" s="119">
        <f t="shared" si="20"/>
        <v>1</v>
      </c>
      <c r="AI136" s="119">
        <f t="shared" si="20"/>
        <v>1</v>
      </c>
      <c r="AJ136" s="36" t="str">
        <f t="shared" ref="AJ136:AJ199" si="21">IF(AJ6&lt;&gt;"",AJ6,"")</f>
        <v>UNKNOWN</v>
      </c>
      <c r="AK136" s="49"/>
      <c r="AL136" s="49" t="str">
        <f>BIN2HEX(AB136&amp;AC136&amp;AD136&amp;AE136&amp;AF136&amp;AG136&amp;AH136&amp;AI136,2)</f>
        <v>03</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s="203" t="str">
        <f t="shared" ref="AQ136:AQ199" si="22">IF(AJ136="","","    (U4)0x"&amp;AO136&amp;AN136&amp;AM136&amp;AL136&amp;"U"&amp;IF(AJ137=""," ",",")&amp;REPT(" ",59)&amp;"/* "&amp;IF(C136&lt;10,"0"&amp;C136,C136)&amp;" "&amp;AJ136&amp;REPT(" ",47-LEN(AJ136))&amp;" */")</f>
        <v xml:space="preserve">    (U4)0x00000003U,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0</v>
      </c>
      <c r="AG137" s="119">
        <f t="shared" si="20"/>
        <v>0</v>
      </c>
      <c r="AH137" s="119">
        <f t="shared" si="20"/>
        <v>1</v>
      </c>
      <c r="AI137" s="119">
        <f t="shared" si="20"/>
        <v>1</v>
      </c>
      <c r="AJ137" s="36" t="str">
        <f t="shared" si="21"/>
        <v>MALFUNC</v>
      </c>
      <c r="AK137" s="49"/>
      <c r="AL137" s="49" t="str">
        <f t="shared" ref="AL137:AL199" si="24">BIN2HEX(AB137&amp;AC137&amp;AD137&amp;AE137&amp;AF137&amp;AG137&amp;AH137&amp;AI137,2)</f>
        <v>03</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s="203" t="str">
        <f t="shared" si="22"/>
        <v xml:space="preserve">    (U4)0x00000003U,                                                           /* 01 MALFUNC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0</v>
      </c>
      <c r="AG138" s="119">
        <f t="shared" si="20"/>
        <v>0</v>
      </c>
      <c r="AH138" s="119">
        <f t="shared" si="20"/>
        <v>1</v>
      </c>
      <c r="AI138" s="119">
        <f t="shared" si="20"/>
        <v>1</v>
      </c>
      <c r="AJ138" s="36" t="str">
        <f t="shared" si="21"/>
        <v>UNKNOWN</v>
      </c>
      <c r="AK138" s="49"/>
      <c r="AL138" s="49" t="str">
        <f t="shared" si="24"/>
        <v>03</v>
      </c>
      <c r="AM138" s="51" t="str">
        <f t="shared" si="25"/>
        <v>00</v>
      </c>
      <c r="AN138" s="51" t="str">
        <f t="shared" si="26"/>
        <v>00</v>
      </c>
      <c r="AO138" s="51" t="str">
        <f t="shared" si="27"/>
        <v>00</v>
      </c>
      <c r="AQ138" s="203" t="str">
        <f t="shared" si="22"/>
        <v xml:space="preserve">    (U4)0x00000003U,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0</v>
      </c>
      <c r="AG139" s="119">
        <f t="shared" si="20"/>
        <v>0</v>
      </c>
      <c r="AH139" s="119">
        <f t="shared" si="20"/>
        <v>1</v>
      </c>
      <c r="AI139" s="119">
        <f t="shared" si="20"/>
        <v>1</v>
      </c>
      <c r="AJ139" s="36" t="str">
        <f t="shared" si="21"/>
        <v>UNKNOWN</v>
      </c>
      <c r="AK139" s="49"/>
      <c r="AL139" s="49" t="str">
        <f t="shared" si="24"/>
        <v>03</v>
      </c>
      <c r="AM139" s="51" t="str">
        <f t="shared" si="25"/>
        <v>00</v>
      </c>
      <c r="AN139" s="51" t="str">
        <f t="shared" si="26"/>
        <v>00</v>
      </c>
      <c r="AO139" s="51" t="str">
        <f t="shared" si="27"/>
        <v>00</v>
      </c>
      <c r="AQ139" s="203" t="str">
        <f t="shared" si="22"/>
        <v xml:space="preserve">    (U4)0x00000003U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0</v>
      </c>
      <c r="AG140" s="119">
        <f t="shared" si="20"/>
        <v>0</v>
      </c>
      <c r="AH140" s="119">
        <f t="shared" si="20"/>
        <v>0</v>
      </c>
      <c r="AI140" s="119">
        <f t="shared" si="20"/>
        <v>0</v>
      </c>
      <c r="AJ140" s="36" t="str">
        <f t="shared" si="21"/>
        <v/>
      </c>
      <c r="AK140" s="49"/>
      <c r="AL140" s="49" t="str">
        <f t="shared" si="24"/>
        <v>00</v>
      </c>
      <c r="AM140" s="51" t="str">
        <f t="shared" si="25"/>
        <v>00</v>
      </c>
      <c r="AN140" s="51" t="str">
        <f t="shared" si="26"/>
        <v>00</v>
      </c>
      <c r="AO140" s="51" t="str">
        <f t="shared" si="27"/>
        <v>00</v>
      </c>
      <c r="AQ140" s="203" t="str">
        <f t="shared" si="22"/>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0</v>
      </c>
      <c r="AG141" s="119">
        <f t="shared" si="20"/>
        <v>0</v>
      </c>
      <c r="AH141" s="119">
        <f t="shared" si="20"/>
        <v>0</v>
      </c>
      <c r="AI141" s="119">
        <f t="shared" si="20"/>
        <v>0</v>
      </c>
      <c r="AJ141" s="36" t="str">
        <f t="shared" si="21"/>
        <v/>
      </c>
      <c r="AK141" s="49"/>
      <c r="AL141" s="49" t="str">
        <f t="shared" si="24"/>
        <v>00</v>
      </c>
      <c r="AM141" s="51" t="str">
        <f t="shared" si="25"/>
        <v>00</v>
      </c>
      <c r="AN141" s="51" t="str">
        <f t="shared" si="26"/>
        <v>00</v>
      </c>
      <c r="AO141" s="51" t="str">
        <f t="shared" si="27"/>
        <v>00</v>
      </c>
      <c r="AQ141" s="203" t="str">
        <f t="shared" si="22"/>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0</v>
      </c>
      <c r="AG142" s="119">
        <f t="shared" si="20"/>
        <v>0</v>
      </c>
      <c r="AH142" s="119">
        <f t="shared" si="20"/>
        <v>0</v>
      </c>
      <c r="AI142" s="119">
        <f t="shared" si="20"/>
        <v>0</v>
      </c>
      <c r="AJ142" s="36" t="str">
        <f t="shared" si="21"/>
        <v/>
      </c>
      <c r="AK142" s="49"/>
      <c r="AL142" s="49" t="str">
        <f t="shared" si="24"/>
        <v>00</v>
      </c>
      <c r="AM142" s="51" t="str">
        <f t="shared" si="25"/>
        <v>00</v>
      </c>
      <c r="AN142" s="51" t="str">
        <f t="shared" si="26"/>
        <v>00</v>
      </c>
      <c r="AO142" s="51" t="str">
        <f t="shared" si="27"/>
        <v>00</v>
      </c>
      <c r="AQ142" s="203" t="str">
        <f t="shared" si="22"/>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0</v>
      </c>
      <c r="AG143" s="119">
        <f t="shared" si="20"/>
        <v>0</v>
      </c>
      <c r="AH143" s="119">
        <f t="shared" si="20"/>
        <v>0</v>
      </c>
      <c r="AI143" s="119">
        <f>IF(OR(AI13=0,AI13=1),1,0)</f>
        <v>0</v>
      </c>
      <c r="AJ143" s="36" t="str">
        <f t="shared" si="21"/>
        <v/>
      </c>
      <c r="AK143" s="49"/>
      <c r="AL143" s="49" t="str">
        <f t="shared" si="24"/>
        <v>00</v>
      </c>
      <c r="AM143" s="51" t="str">
        <f t="shared" si="25"/>
        <v>00</v>
      </c>
      <c r="AN143" s="51" t="str">
        <f t="shared" si="26"/>
        <v>00</v>
      </c>
      <c r="AO143" s="51" t="str">
        <f t="shared" si="27"/>
        <v>00</v>
      </c>
      <c r="AQ143" s="203" t="str">
        <f t="shared" si="22"/>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0</v>
      </c>
      <c r="AG144" s="119">
        <f t="shared" si="28"/>
        <v>0</v>
      </c>
      <c r="AH144" s="119">
        <f t="shared" si="28"/>
        <v>0</v>
      </c>
      <c r="AI144" s="119">
        <f t="shared" si="28"/>
        <v>0</v>
      </c>
      <c r="AJ144" s="36" t="str">
        <f t="shared" si="21"/>
        <v/>
      </c>
      <c r="AK144" s="49"/>
      <c r="AL144" s="49" t="str">
        <f t="shared" si="24"/>
        <v>00</v>
      </c>
      <c r="AM144" s="51" t="str">
        <f t="shared" si="25"/>
        <v>00</v>
      </c>
      <c r="AN144" s="51" t="str">
        <f t="shared" si="26"/>
        <v>00</v>
      </c>
      <c r="AO144" s="51" t="str">
        <f t="shared" si="27"/>
        <v>00</v>
      </c>
      <c r="AQ144" s="203" t="str">
        <f t="shared" si="22"/>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0</v>
      </c>
      <c r="AG145" s="119">
        <f t="shared" si="28"/>
        <v>0</v>
      </c>
      <c r="AH145" s="119">
        <f t="shared" si="28"/>
        <v>0</v>
      </c>
      <c r="AI145" s="119">
        <f t="shared" si="28"/>
        <v>0</v>
      </c>
      <c r="AJ145" s="36" t="str">
        <f t="shared" si="21"/>
        <v/>
      </c>
      <c r="AK145" s="49"/>
      <c r="AL145" s="49" t="str">
        <f t="shared" si="24"/>
        <v>00</v>
      </c>
      <c r="AM145" s="51" t="str">
        <f t="shared" si="25"/>
        <v>00</v>
      </c>
      <c r="AN145" s="51" t="str">
        <f t="shared" si="26"/>
        <v>00</v>
      </c>
      <c r="AO145" s="51" t="str">
        <f t="shared" si="27"/>
        <v>00</v>
      </c>
      <c r="AQ145" s="203" t="str">
        <f t="shared" si="22"/>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0</v>
      </c>
      <c r="AG146" s="119">
        <f t="shared" si="28"/>
        <v>0</v>
      </c>
      <c r="AH146" s="119">
        <f t="shared" si="28"/>
        <v>0</v>
      </c>
      <c r="AI146" s="119">
        <f t="shared" si="28"/>
        <v>0</v>
      </c>
      <c r="AJ146" s="36" t="str">
        <f t="shared" si="21"/>
        <v/>
      </c>
      <c r="AK146" s="49"/>
      <c r="AL146" s="49" t="str">
        <f t="shared" si="24"/>
        <v>00</v>
      </c>
      <c r="AM146" s="51" t="str">
        <f t="shared" si="25"/>
        <v>00</v>
      </c>
      <c r="AN146" s="51" t="str">
        <f t="shared" si="26"/>
        <v>00</v>
      </c>
      <c r="AO146" s="51" t="str">
        <f t="shared" si="27"/>
        <v>00</v>
      </c>
      <c r="AQ146" s="203" t="str">
        <f t="shared" si="22"/>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0</v>
      </c>
      <c r="AG147" s="119">
        <f t="shared" si="28"/>
        <v>0</v>
      </c>
      <c r="AH147" s="119">
        <f t="shared" si="28"/>
        <v>0</v>
      </c>
      <c r="AI147" s="119">
        <f t="shared" si="28"/>
        <v>0</v>
      </c>
      <c r="AJ147" s="36" t="str">
        <f t="shared" si="21"/>
        <v/>
      </c>
      <c r="AK147" s="49"/>
      <c r="AL147" s="49" t="str">
        <f t="shared" si="24"/>
        <v>00</v>
      </c>
      <c r="AM147" s="51" t="str">
        <f t="shared" si="25"/>
        <v>00</v>
      </c>
      <c r="AN147" s="51" t="str">
        <f t="shared" si="26"/>
        <v>00</v>
      </c>
      <c r="AO147" s="51" t="str">
        <f t="shared" si="27"/>
        <v>00</v>
      </c>
      <c r="AQ147" s="203" t="str">
        <f t="shared" si="22"/>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0</v>
      </c>
      <c r="AG148" s="119">
        <f t="shared" si="28"/>
        <v>0</v>
      </c>
      <c r="AH148" s="119">
        <f t="shared" si="28"/>
        <v>0</v>
      </c>
      <c r="AI148" s="119">
        <f t="shared" si="28"/>
        <v>0</v>
      </c>
      <c r="AJ148" s="36" t="str">
        <f t="shared" si="21"/>
        <v/>
      </c>
      <c r="AK148" s="49"/>
      <c r="AL148" s="49" t="str">
        <f t="shared" si="24"/>
        <v>00</v>
      </c>
      <c r="AM148" s="51" t="str">
        <f t="shared" si="25"/>
        <v>00</v>
      </c>
      <c r="AN148" s="51" t="str">
        <f t="shared" si="26"/>
        <v>00</v>
      </c>
      <c r="AO148" s="51" t="str">
        <f t="shared" si="27"/>
        <v>00</v>
      </c>
      <c r="AQ148" s="203" t="str">
        <f t="shared" si="22"/>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0</v>
      </c>
      <c r="AG149" s="119">
        <f t="shared" si="28"/>
        <v>0</v>
      </c>
      <c r="AH149" s="119">
        <f t="shared" si="28"/>
        <v>0</v>
      </c>
      <c r="AI149" s="119">
        <f t="shared" si="28"/>
        <v>0</v>
      </c>
      <c r="AJ149" s="36" t="str">
        <f t="shared" si="21"/>
        <v/>
      </c>
      <c r="AK149" s="49"/>
      <c r="AL149" s="49" t="str">
        <f t="shared" si="24"/>
        <v>00</v>
      </c>
      <c r="AM149" s="51" t="str">
        <f t="shared" si="25"/>
        <v>00</v>
      </c>
      <c r="AN149" s="51" t="str">
        <f t="shared" si="26"/>
        <v>00</v>
      </c>
      <c r="AO149" s="51" t="str">
        <f t="shared" si="27"/>
        <v>00</v>
      </c>
      <c r="AQ149" s="203" t="str">
        <f t="shared" si="22"/>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0</v>
      </c>
      <c r="AG150" s="119">
        <f t="shared" si="28"/>
        <v>0</v>
      </c>
      <c r="AH150" s="119">
        <f t="shared" si="28"/>
        <v>0</v>
      </c>
      <c r="AI150" s="119">
        <f t="shared" si="28"/>
        <v>0</v>
      </c>
      <c r="AJ150" s="36" t="str">
        <f t="shared" si="21"/>
        <v/>
      </c>
      <c r="AK150" s="49"/>
      <c r="AL150" s="49" t="str">
        <f t="shared" si="24"/>
        <v>00</v>
      </c>
      <c r="AM150" s="51" t="str">
        <f t="shared" si="25"/>
        <v>00</v>
      </c>
      <c r="AN150" s="51" t="str">
        <f t="shared" si="26"/>
        <v>00</v>
      </c>
      <c r="AO150" s="51" t="str">
        <f t="shared" si="27"/>
        <v>00</v>
      </c>
      <c r="AQ150" s="203" t="str">
        <f t="shared" si="22"/>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0</v>
      </c>
      <c r="AG151" s="119">
        <f t="shared" si="28"/>
        <v>0</v>
      </c>
      <c r="AH151" s="119">
        <f t="shared" si="28"/>
        <v>0</v>
      </c>
      <c r="AI151" s="119">
        <f>IF(OR(AI21=0,AI21=1),1,0)</f>
        <v>0</v>
      </c>
      <c r="AJ151" s="36" t="str">
        <f t="shared" si="21"/>
        <v/>
      </c>
      <c r="AK151" s="49"/>
      <c r="AL151" s="49" t="str">
        <f t="shared" si="24"/>
        <v>00</v>
      </c>
      <c r="AM151" s="51" t="str">
        <f t="shared" si="25"/>
        <v>00</v>
      </c>
      <c r="AN151" s="51" t="str">
        <f t="shared" si="26"/>
        <v>00</v>
      </c>
      <c r="AO151" s="51" t="str">
        <f t="shared" si="27"/>
        <v>00</v>
      </c>
      <c r="AQ151" s="203" t="str">
        <f t="shared" si="22"/>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s="203"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s="20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s="203"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s="203"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s="203"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s="203"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s="203"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s="203"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s="203"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s="203"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s="203"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s="20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s="203"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s="203"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s="203"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s="203"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s="203"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s="203"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s="203"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s="203"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s="203"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s="20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s="203"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s="203"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s="203"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s="203"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s="203"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s="203"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s="203"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s="203"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s="203"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s="20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s="203"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s="203"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s="203"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s="203"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s="203"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s="203"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s="203"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s="203"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s="203"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s="20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s="203"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s="203"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s="203"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s="203"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s="203"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s="203" t="str">
        <f t="shared" si="22"/>
        <v/>
      </c>
    </row>
  </sheetData>
  <protectedRanges>
    <protectedRange sqref="L3:AG3 D6:AJ69" name="Table作成編集範囲"/>
    <protectedRange sqref="B3" name="Table作成編集範囲_1"/>
    <protectedRange sqref="AH3:AI3" name="Table作成編集範囲_2_1"/>
  </protectedRanges>
  <mergeCells count="3">
    <mergeCell ref="C2:C3"/>
    <mergeCell ref="AJ2:AJ3"/>
    <mergeCell ref="A4:B5"/>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style="203" customWidth="1"/>
    <col min="2" max="2" width="16.75" style="203" bestFit="1" customWidth="1"/>
    <col min="3" max="3" width="3" style="203" bestFit="1" customWidth="1"/>
    <col min="4" max="35" width="3" style="203" customWidth="1"/>
    <col min="36" max="36" width="36.375" style="203" bestFit="1" customWidth="1"/>
    <col min="37" max="37" width="4.125" style="203" customWidth="1"/>
    <col min="38" max="42" width="9" style="203" hidden="1" customWidth="1"/>
    <col min="43" max="43" width="20.625" style="203" hidden="1" customWidth="1"/>
    <col min="44" max="47" width="41.125" style="203" customWidth="1"/>
    <col min="48" max="48" width="23.625" style="203" customWidth="1"/>
    <col min="49" max="49" width="29" style="203" bestFit="1" customWidth="1"/>
    <col min="50" max="16384" width="9" style="203"/>
  </cols>
  <sheetData>
    <row r="1" spans="1:49">
      <c r="AH1" s="203" t="s">
        <v>55</v>
      </c>
      <c r="AI1" s="203" t="s">
        <v>56</v>
      </c>
    </row>
    <row r="2" spans="1:49">
      <c r="B2" s="118" t="s">
        <v>115</v>
      </c>
      <c r="C2" s="293"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5" t="s">
        <v>47</v>
      </c>
    </row>
    <row r="3" spans="1:49" ht="213" customHeight="1" thickBot="1">
      <c r="B3" s="183" t="str">
        <f>IF(OR(IF(COUNTIF(D6:AC69,"0")&lt;&gt;0,TRUE,FALSE),IF(COUNTIF(D6:AC69,"1")&lt;&gt;0,TRUE,FALSE)),"Search Table","Index Table")</f>
        <v>Index Table</v>
      </c>
      <c r="C3" s="294"/>
      <c r="D3" s="120" t="s">
        <v>57</v>
      </c>
      <c r="E3" s="120" t="s">
        <v>62</v>
      </c>
      <c r="F3" s="120" t="s">
        <v>45</v>
      </c>
      <c r="G3" s="120" t="s">
        <v>44</v>
      </c>
      <c r="H3" s="120" t="s">
        <v>113</v>
      </c>
      <c r="I3" s="120" t="s">
        <v>112</v>
      </c>
      <c r="J3" s="120" t="s">
        <v>117</v>
      </c>
      <c r="K3" s="120" t="s">
        <v>116</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121" t="s">
        <v>58</v>
      </c>
      <c r="AG3" s="121" t="s">
        <v>58</v>
      </c>
      <c r="AH3" s="207" t="s">
        <v>225</v>
      </c>
      <c r="AI3" s="208" t="s">
        <v>270</v>
      </c>
      <c r="AJ3" s="296"/>
      <c r="AR3" s="82" t="s">
        <v>88</v>
      </c>
    </row>
    <row r="4" spans="1:49" ht="14.25" thickBot="1">
      <c r="A4" s="297" t="s">
        <v>59</v>
      </c>
      <c r="B4" s="298"/>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123"/>
      <c r="AR4" s="70" t="s">
        <v>75</v>
      </c>
      <c r="AS4" s="71"/>
      <c r="AT4" s="71"/>
      <c r="AU4" s="71"/>
      <c r="AV4" s="71"/>
      <c r="AW4" s="72"/>
    </row>
    <row r="5" spans="1:49" ht="14.25" thickBot="1">
      <c r="A5" s="299"/>
      <c r="B5" s="300"/>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124"/>
      <c r="AR5" s="73" t="str">
        <f ca="1">"static const U4  "&amp;AW8&amp;"["&amp;AW10&amp;"]"&amp;" = {"</f>
        <v>static const U4  u4_sp_ALERT_H_MAICER_PD3_CRIT[ALERT_H_MAICER_PD3_NUM_DST] = {</v>
      </c>
      <c r="AS5" s="73" t="str">
        <f ca="1">"static const U4  "&amp;$AW$9&amp;"["&amp;$AW$10&amp;"] = {"</f>
        <v>static const U4  u4_sp_ALERT_H_MAICER_PD3_MASK[ALERT_H_MAICER_PD3_NUM_DST] = {</v>
      </c>
      <c r="AT5" s="73" t="str">
        <f ca="1">"static const U1  "&amp;$AW$11&amp;"["&amp;$AW$10&amp;"] = {"</f>
        <v>static const U1  u1_sp_ALERT_H_MAICER_PD3_DST[ALERT_H_MAICER_PD3_NUM_DST] = {</v>
      </c>
      <c r="AU5" s="73" t="str">
        <f ca="1">"const ST_ALERT_MTRX "&amp;$AW$12&amp;" = {"</f>
        <v>const ST_ALERT_MTRX st_gp_ALERT_H_MAICER_MTRX[4] = {</v>
      </c>
      <c r="AV5" s="54" t="str">
        <f ca="1">"#define "&amp;AW10&amp;REPT(" ",41-LEN(AW10))&amp;"("&amp;AW13&amp;"U)"</f>
        <v>#define ALERT_H_MAICER_PD3_NUM_DST               (4U)</v>
      </c>
      <c r="AW5" s="55"/>
    </row>
    <row r="6" spans="1:49">
      <c r="B6" s="126" t="str">
        <f ca="1">"Table "&amp;$AW$6</f>
        <v>Table PD3</v>
      </c>
      <c r="C6" s="41">
        <f>ROW()-ROW($C$6)</f>
        <v>0</v>
      </c>
      <c r="D6" s="122" t="s">
        <v>176</v>
      </c>
      <c r="E6" s="122" t="s">
        <v>176</v>
      </c>
      <c r="F6" s="122" t="s">
        <v>176</v>
      </c>
      <c r="G6" s="122" t="s">
        <v>176</v>
      </c>
      <c r="H6" s="122" t="s">
        <v>176</v>
      </c>
      <c r="I6" s="122" t="s">
        <v>176</v>
      </c>
      <c r="J6" s="122" t="s">
        <v>176</v>
      </c>
      <c r="K6" s="122" t="s">
        <v>176</v>
      </c>
      <c r="L6" s="122" t="s">
        <v>176</v>
      </c>
      <c r="M6" s="122" t="s">
        <v>176</v>
      </c>
      <c r="N6" s="122" t="s">
        <v>176</v>
      </c>
      <c r="O6" s="122" t="s">
        <v>176</v>
      </c>
      <c r="P6" s="122" t="s">
        <v>176</v>
      </c>
      <c r="Q6" s="122" t="s">
        <v>176</v>
      </c>
      <c r="R6" s="122" t="s">
        <v>176</v>
      </c>
      <c r="S6" s="122" t="s">
        <v>176</v>
      </c>
      <c r="T6" s="122" t="s">
        <v>176</v>
      </c>
      <c r="U6" s="122" t="s">
        <v>176</v>
      </c>
      <c r="V6" s="122" t="s">
        <v>176</v>
      </c>
      <c r="W6" s="122" t="s">
        <v>176</v>
      </c>
      <c r="X6" s="122" t="s">
        <v>176</v>
      </c>
      <c r="Y6" s="122" t="s">
        <v>176</v>
      </c>
      <c r="Z6" s="122" t="s">
        <v>176</v>
      </c>
      <c r="AA6" s="122" t="s">
        <v>176</v>
      </c>
      <c r="AB6" s="122" t="s">
        <v>176</v>
      </c>
      <c r="AC6" s="122" t="s">
        <v>176</v>
      </c>
      <c r="AD6" s="122" t="s">
        <v>176</v>
      </c>
      <c r="AE6" s="122" t="s">
        <v>176</v>
      </c>
      <c r="AF6" s="122" t="s">
        <v>176</v>
      </c>
      <c r="AG6" s="122" t="s">
        <v>176</v>
      </c>
      <c r="AH6" s="122">
        <v>0</v>
      </c>
      <c r="AI6" s="122">
        <v>0</v>
      </c>
      <c r="AJ6" s="40" t="s">
        <v>30</v>
      </c>
      <c r="AL6" s="203"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(U4)0x00000003U,                                                           /* 00 UNKNOWN                                         */</v>
      </c>
      <c r="AT6" s="52" t="str">
        <f t="shared" ref="AT6:AT69" si="1">IF(AJ6&lt;&gt;"",AL6&amp;IF(AJ7&lt;&gt;"",","," ")&amp;REPT(" ",78-LEN(AL6))&amp;"/* "&amp;IF(C6&lt;10,"0"&amp;C6,C6)&amp;" "&amp;AJ6&amp;REPT(" ",48-LEN(AJ6))&amp;"*/",IF(AJ5&lt;&gt;"","};",""))</f>
        <v xml:space="preserve">    (U1)ALERT_REQ_UNKNOWN,                                                     /* 00 UNKNOWN                                         */</v>
      </c>
      <c r="AU6" s="52" t="s">
        <v>200</v>
      </c>
      <c r="AV6" s="37" t="s">
        <v>64</v>
      </c>
      <c r="AW6" s="56" t="str">
        <f ca="1">UPPER(RIGHT(CELL("filename",A1),LEN(CELL("filename",A1))-FIND("]",CELL("filename",A1))))</f>
        <v>PD3</v>
      </c>
    </row>
    <row r="7" spans="1:49">
      <c r="B7" s="126"/>
      <c r="C7" s="36">
        <f t="shared" ref="C7:C69" si="2">ROW()-ROW($C$6)</f>
        <v>1</v>
      </c>
      <c r="D7" s="50" t="s">
        <v>176</v>
      </c>
      <c r="E7" s="50" t="s">
        <v>176</v>
      </c>
      <c r="F7" s="50" t="s">
        <v>176</v>
      </c>
      <c r="G7" s="50" t="s">
        <v>176</v>
      </c>
      <c r="H7" s="50" t="s">
        <v>176</v>
      </c>
      <c r="I7" s="50" t="s">
        <v>176</v>
      </c>
      <c r="J7" s="50" t="s">
        <v>176</v>
      </c>
      <c r="K7" s="50" t="s">
        <v>176</v>
      </c>
      <c r="L7" s="50" t="s">
        <v>176</v>
      </c>
      <c r="M7" s="50" t="s">
        <v>176</v>
      </c>
      <c r="N7" s="50" t="s">
        <v>176</v>
      </c>
      <c r="O7" s="50" t="s">
        <v>176</v>
      </c>
      <c r="P7" s="50" t="s">
        <v>176</v>
      </c>
      <c r="Q7" s="50" t="s">
        <v>176</v>
      </c>
      <c r="R7" s="50" t="s">
        <v>176</v>
      </c>
      <c r="S7" s="50" t="s">
        <v>176</v>
      </c>
      <c r="T7" s="50" t="s">
        <v>176</v>
      </c>
      <c r="U7" s="50" t="s">
        <v>176</v>
      </c>
      <c r="V7" s="50" t="s">
        <v>176</v>
      </c>
      <c r="W7" s="50" t="s">
        <v>176</v>
      </c>
      <c r="X7" s="50" t="s">
        <v>176</v>
      </c>
      <c r="Y7" s="50" t="s">
        <v>176</v>
      </c>
      <c r="Z7" s="50" t="s">
        <v>176</v>
      </c>
      <c r="AA7" s="50" t="s">
        <v>176</v>
      </c>
      <c r="AB7" s="50" t="s">
        <v>176</v>
      </c>
      <c r="AC7" s="50" t="s">
        <v>176</v>
      </c>
      <c r="AD7" s="50" t="s">
        <v>176</v>
      </c>
      <c r="AE7" s="50" t="s">
        <v>176</v>
      </c>
      <c r="AF7" s="50" t="s">
        <v>176</v>
      </c>
      <c r="AG7" s="50" t="s">
        <v>176</v>
      </c>
      <c r="AH7" s="50">
        <v>0</v>
      </c>
      <c r="AI7" s="50">
        <v>1</v>
      </c>
      <c r="AJ7" s="21" t="s">
        <v>221</v>
      </c>
      <c r="AL7" s="203" t="str">
        <f t="shared" ca="1" si="0"/>
        <v xml:space="preserve">    (U1)ALERT_REQ_H_MAICER_PD3_MALFUNC</v>
      </c>
      <c r="AR7" s="52" t="str">
        <f t="shared" ref="AR7:AR70" si="3">IF(AQ72&lt;&gt;"",AQ72,IF(AQ71&lt;&gt;"","};",""))</f>
        <v xml:space="preserve">    (U4)0x00000001U,                                                           /* 01 MALFUNC                                         */</v>
      </c>
      <c r="AS7" s="52" t="str">
        <f t="shared" ref="AS7:AS70" si="4">IF(AQ137&lt;&gt;"",AQ137,IF(AQ136&lt;&gt;"","};",""))</f>
        <v xml:space="preserve">    (U4)0x00000003U,                                                           /* 01 MALFUNC                                         */</v>
      </c>
      <c r="AT7" s="52" t="str">
        <f t="shared" ca="1" si="1"/>
        <v xml:space="preserve">    (U1)ALERT_REQ_H_MAICER_PD3_MALFUNC,                                        /* 01 MALFUNC                                         */</v>
      </c>
      <c r="AU7" s="52" t="str">
        <f ca="1">"        &amp;"&amp;$AW$14&amp;","&amp;REPT(" ",69-LEN($AW$14))&amp;"/* fp_u4_SRC_CHK                                      */"</f>
        <v xml:space="preserve">        &amp;u4_s_AlertH_maicerPd3Srcchk,                                          /* fp_u4_SRC_CHK                                      */</v>
      </c>
      <c r="AV7" s="38" t="s">
        <v>65</v>
      </c>
      <c r="AW7" s="125">
        <f>IF(B3="Search Table",1,0)</f>
        <v>0</v>
      </c>
    </row>
    <row r="8" spans="1:49">
      <c r="B8" s="126"/>
      <c r="C8" s="36">
        <f t="shared" si="2"/>
        <v>2</v>
      </c>
      <c r="D8" s="50" t="s">
        <v>176</v>
      </c>
      <c r="E8" s="50" t="s">
        <v>176</v>
      </c>
      <c r="F8" s="50" t="s">
        <v>176</v>
      </c>
      <c r="G8" s="50" t="s">
        <v>176</v>
      </c>
      <c r="H8" s="50" t="s">
        <v>176</v>
      </c>
      <c r="I8" s="50" t="s">
        <v>176</v>
      </c>
      <c r="J8" s="50" t="s">
        <v>176</v>
      </c>
      <c r="K8" s="50" t="s">
        <v>176</v>
      </c>
      <c r="L8" s="50" t="s">
        <v>176</v>
      </c>
      <c r="M8" s="50" t="s">
        <v>176</v>
      </c>
      <c r="N8" s="50" t="s">
        <v>176</v>
      </c>
      <c r="O8" s="50" t="s">
        <v>176</v>
      </c>
      <c r="P8" s="50" t="s">
        <v>176</v>
      </c>
      <c r="Q8" s="50" t="s">
        <v>176</v>
      </c>
      <c r="R8" s="50" t="s">
        <v>176</v>
      </c>
      <c r="S8" s="50" t="s">
        <v>176</v>
      </c>
      <c r="T8" s="50" t="s">
        <v>176</v>
      </c>
      <c r="U8" s="50" t="s">
        <v>176</v>
      </c>
      <c r="V8" s="50" t="s">
        <v>176</v>
      </c>
      <c r="W8" s="50" t="s">
        <v>176</v>
      </c>
      <c r="X8" s="50" t="s">
        <v>176</v>
      </c>
      <c r="Y8" s="50" t="s">
        <v>176</v>
      </c>
      <c r="Z8" s="50" t="s">
        <v>176</v>
      </c>
      <c r="AA8" s="50" t="s">
        <v>176</v>
      </c>
      <c r="AB8" s="50" t="s">
        <v>176</v>
      </c>
      <c r="AC8" s="50" t="s">
        <v>176</v>
      </c>
      <c r="AD8" s="50" t="s">
        <v>176</v>
      </c>
      <c r="AE8" s="50" t="s">
        <v>176</v>
      </c>
      <c r="AF8" s="50" t="s">
        <v>176</v>
      </c>
      <c r="AG8" s="50" t="s">
        <v>176</v>
      </c>
      <c r="AH8" s="50">
        <v>1</v>
      </c>
      <c r="AI8" s="50">
        <v>0</v>
      </c>
      <c r="AJ8" s="21" t="s">
        <v>30</v>
      </c>
      <c r="AL8" s="203" t="str">
        <f t="shared" si="0"/>
        <v xml:space="preserve">    (U1)ALERT_REQ_UNKNOWN</v>
      </c>
      <c r="AR8" s="52" t="str">
        <f t="shared" si="3"/>
        <v xml:space="preserve">    (U4)0x00000002U,                                                           /* 02 UNKNOWN                                         */</v>
      </c>
      <c r="AS8" s="52" t="str">
        <f t="shared" si="4"/>
        <v xml:space="preserve">    (U4)0x00000003U,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u4_sp_ALERT_H_MAICER_PD3_CRIT</v>
      </c>
    </row>
    <row r="9" spans="1:49">
      <c r="B9" s="126"/>
      <c r="C9" s="36">
        <f t="shared" si="2"/>
        <v>3</v>
      </c>
      <c r="D9" s="50" t="s">
        <v>176</v>
      </c>
      <c r="E9" s="50" t="s">
        <v>176</v>
      </c>
      <c r="F9" s="50" t="s">
        <v>176</v>
      </c>
      <c r="G9" s="50" t="s">
        <v>176</v>
      </c>
      <c r="H9" s="50" t="s">
        <v>176</v>
      </c>
      <c r="I9" s="50" t="s">
        <v>176</v>
      </c>
      <c r="J9" s="50" t="s">
        <v>176</v>
      </c>
      <c r="K9" s="50" t="s">
        <v>176</v>
      </c>
      <c r="L9" s="50" t="s">
        <v>176</v>
      </c>
      <c r="M9" s="50" t="s">
        <v>176</v>
      </c>
      <c r="N9" s="50" t="s">
        <v>176</v>
      </c>
      <c r="O9" s="50" t="s">
        <v>176</v>
      </c>
      <c r="P9" s="50" t="s">
        <v>176</v>
      </c>
      <c r="Q9" s="50" t="s">
        <v>176</v>
      </c>
      <c r="R9" s="50" t="s">
        <v>176</v>
      </c>
      <c r="S9" s="50" t="s">
        <v>176</v>
      </c>
      <c r="T9" s="50" t="s">
        <v>176</v>
      </c>
      <c r="U9" s="50" t="s">
        <v>176</v>
      </c>
      <c r="V9" s="50" t="s">
        <v>176</v>
      </c>
      <c r="W9" s="50" t="s">
        <v>176</v>
      </c>
      <c r="X9" s="50" t="s">
        <v>176</v>
      </c>
      <c r="Y9" s="50" t="s">
        <v>176</v>
      </c>
      <c r="Z9" s="50" t="s">
        <v>176</v>
      </c>
      <c r="AA9" s="50" t="s">
        <v>176</v>
      </c>
      <c r="AB9" s="50" t="s">
        <v>176</v>
      </c>
      <c r="AC9" s="50" t="s">
        <v>176</v>
      </c>
      <c r="AD9" s="50" t="s">
        <v>176</v>
      </c>
      <c r="AE9" s="50" t="s">
        <v>176</v>
      </c>
      <c r="AF9" s="50" t="s">
        <v>176</v>
      </c>
      <c r="AG9" s="50" t="s">
        <v>176</v>
      </c>
      <c r="AH9" s="50">
        <v>1</v>
      </c>
      <c r="AI9" s="50">
        <v>1</v>
      </c>
      <c r="AJ9" s="40" t="s">
        <v>30</v>
      </c>
      <c r="AL9" s="203" t="str">
        <f t="shared" si="0"/>
        <v xml:space="preserve">    (U1)ALERT_REQ_UNKNOWN</v>
      </c>
      <c r="AR9" s="52" t="str">
        <f t="shared" si="3"/>
        <v xml:space="preserve">    (U4)0x00000003U                                                            /* 03 UNKNOWN                                         */</v>
      </c>
      <c r="AS9" s="52" t="str">
        <f t="shared" si="4"/>
        <v xml:space="preserve">    (U4)0x00000003U                                                            /* 03 UNKNOWN                                         */</v>
      </c>
      <c r="AT9" s="52" t="str">
        <f t="shared" si="1"/>
        <v xml:space="preserve">    (U1)ALERT_REQ_UNKNOWN                                                      /* 03 UNKNOWN                                         */</v>
      </c>
      <c r="AU9" s="52"/>
      <c r="AV9" s="38" t="s">
        <v>67</v>
      </c>
      <c r="AW9" s="57" t="str">
        <f ca="1">"u4_sp_ALERT_"&amp;IF(AW6&lt;&gt;AW17,$AW$17&amp;"_"&amp;$AW$6,AW17)&amp;"_MASK"</f>
        <v>u4_sp_ALERT_H_MAICER_PD3_MASK</v>
      </c>
    </row>
    <row r="10" spans="1:49">
      <c r="B10" s="126"/>
      <c r="C10" s="36">
        <f t="shared" si="2"/>
        <v>4</v>
      </c>
      <c r="D10" s="50" t="s">
        <v>176</v>
      </c>
      <c r="E10" s="50" t="s">
        <v>176</v>
      </c>
      <c r="F10" s="50" t="s">
        <v>176</v>
      </c>
      <c r="G10" s="50" t="s">
        <v>176</v>
      </c>
      <c r="H10" s="50" t="s">
        <v>176</v>
      </c>
      <c r="I10" s="50" t="s">
        <v>176</v>
      </c>
      <c r="J10" s="50" t="s">
        <v>176</v>
      </c>
      <c r="K10" s="50" t="s">
        <v>176</v>
      </c>
      <c r="L10" s="50" t="s">
        <v>176</v>
      </c>
      <c r="M10" s="50" t="s">
        <v>176</v>
      </c>
      <c r="N10" s="50" t="s">
        <v>176</v>
      </c>
      <c r="O10" s="50" t="s">
        <v>176</v>
      </c>
      <c r="P10" s="50" t="s">
        <v>176</v>
      </c>
      <c r="Q10" s="50" t="s">
        <v>176</v>
      </c>
      <c r="R10" s="50" t="s">
        <v>176</v>
      </c>
      <c r="S10" s="50" t="s">
        <v>176</v>
      </c>
      <c r="T10" s="50" t="s">
        <v>176</v>
      </c>
      <c r="U10" s="50" t="s">
        <v>176</v>
      </c>
      <c r="V10" s="50" t="s">
        <v>176</v>
      </c>
      <c r="W10" s="50" t="s">
        <v>176</v>
      </c>
      <c r="X10" s="50" t="s">
        <v>176</v>
      </c>
      <c r="Y10" s="50" t="s">
        <v>176</v>
      </c>
      <c r="Z10" s="50" t="s">
        <v>176</v>
      </c>
      <c r="AA10" s="50" t="s">
        <v>176</v>
      </c>
      <c r="AB10" s="50" t="s">
        <v>176</v>
      </c>
      <c r="AC10" s="50" t="s">
        <v>176</v>
      </c>
      <c r="AD10" s="50" t="s">
        <v>176</v>
      </c>
      <c r="AE10" s="50" t="s">
        <v>176</v>
      </c>
      <c r="AF10" s="50" t="s">
        <v>176</v>
      </c>
      <c r="AG10" s="50" t="s">
        <v>176</v>
      </c>
      <c r="AH10" s="50" t="s">
        <v>176</v>
      </c>
      <c r="AI10" s="50" t="s">
        <v>176</v>
      </c>
      <c r="AJ10" s="40"/>
      <c r="AL10" s="203" t="str">
        <f t="shared" ca="1" si="0"/>
        <v xml:space="preserve">    (U1)ALERT_REQ_H_MAICER_PD3_</v>
      </c>
      <c r="AR10" s="52" t="str">
        <f t="shared" si="3"/>
        <v>};</v>
      </c>
      <c r="AS10" s="52" t="str">
        <f t="shared" si="4"/>
        <v>};</v>
      </c>
      <c r="AT10" s="52" t="str">
        <f t="shared" si="1"/>
        <v>};</v>
      </c>
      <c r="AU10" s="52" t="str">
        <f>IF($AW$7=1,"        &amp;"&amp;$AW$9&amp;"[0],"&amp;REPT(" ",66-LEN($AW$9))&amp;"/* u4p_MASK                                           */","        (const U4 *)vdp_PTR_NA,                                                /* u4p_MASK                                           */")</f>
        <v xml:space="preserve">        (const U4 *)vdp_PTR_NA,                                                /* u4p_MASK                                           */</v>
      </c>
      <c r="AV10" s="38" t="s">
        <v>68</v>
      </c>
      <c r="AW10" s="57" t="str">
        <f ca="1">"ALERT_"&amp;IF(AW6&lt;&gt;AW17,$AW$17&amp;"_"&amp;$AW$6,AW17)&amp;"_NUM_DST"</f>
        <v>ALERT_H_MAICER_PD3_NUM_DST</v>
      </c>
    </row>
    <row r="11" spans="1:49">
      <c r="B11" s="126"/>
      <c r="C11" s="36">
        <f t="shared" si="2"/>
        <v>5</v>
      </c>
      <c r="D11" s="50" t="s">
        <v>176</v>
      </c>
      <c r="E11" s="50" t="s">
        <v>176</v>
      </c>
      <c r="F11" s="50" t="s">
        <v>176</v>
      </c>
      <c r="G11" s="50" t="s">
        <v>176</v>
      </c>
      <c r="H11" s="50" t="s">
        <v>176</v>
      </c>
      <c r="I11" s="50" t="s">
        <v>176</v>
      </c>
      <c r="J11" s="50" t="s">
        <v>176</v>
      </c>
      <c r="K11" s="50" t="s">
        <v>176</v>
      </c>
      <c r="L11" s="50" t="s">
        <v>176</v>
      </c>
      <c r="M11" s="50" t="s">
        <v>176</v>
      </c>
      <c r="N11" s="50" t="s">
        <v>176</v>
      </c>
      <c r="O11" s="50" t="s">
        <v>176</v>
      </c>
      <c r="P11" s="50" t="s">
        <v>176</v>
      </c>
      <c r="Q11" s="50" t="s">
        <v>176</v>
      </c>
      <c r="R11" s="50" t="s">
        <v>176</v>
      </c>
      <c r="S11" s="50" t="s">
        <v>176</v>
      </c>
      <c r="T11" s="50" t="s">
        <v>176</v>
      </c>
      <c r="U11" s="50" t="s">
        <v>176</v>
      </c>
      <c r="V11" s="50" t="s">
        <v>176</v>
      </c>
      <c r="W11" s="50" t="s">
        <v>176</v>
      </c>
      <c r="X11" s="50" t="s">
        <v>176</v>
      </c>
      <c r="Y11" s="50" t="s">
        <v>176</v>
      </c>
      <c r="Z11" s="50" t="s">
        <v>176</v>
      </c>
      <c r="AA11" s="50" t="s">
        <v>176</v>
      </c>
      <c r="AB11" s="50" t="s">
        <v>176</v>
      </c>
      <c r="AC11" s="50" t="s">
        <v>176</v>
      </c>
      <c r="AD11" s="50" t="s">
        <v>176</v>
      </c>
      <c r="AE11" s="50" t="s">
        <v>176</v>
      </c>
      <c r="AF11" s="50" t="s">
        <v>176</v>
      </c>
      <c r="AG11" s="50" t="s">
        <v>176</v>
      </c>
      <c r="AH11" s="50" t="s">
        <v>176</v>
      </c>
      <c r="AI11" s="50" t="s">
        <v>176</v>
      </c>
      <c r="AJ11" s="40"/>
      <c r="AL11" s="203" t="str">
        <f t="shared" ca="1" si="0"/>
        <v xml:space="preserve">    (U1)ALERT_REQ_H_MAICER_PD3_</v>
      </c>
      <c r="AR11" s="52" t="str">
        <f t="shared" si="3"/>
        <v/>
      </c>
      <c r="AS11" s="52" t="str">
        <f t="shared" si="4"/>
        <v/>
      </c>
      <c r="AT11" s="52" t="str">
        <f t="shared" si="1"/>
        <v/>
      </c>
      <c r="AU11" s="52" t="str">
        <f>IF($AW$7=1,"        &amp;"&amp;$AW$8&amp;"[0],"&amp;REPT(" ",66-LEN($AW$8))&amp;"/* u4p_CRIT                                           */","        (const U4 *)vdp_PTR_NA,                                                /* u4p_CRIT                                           */")</f>
        <v xml:space="preserve">        (const U4 *)vdp_PTR_NA,                                                /* u4p_CRIT                                           */</v>
      </c>
      <c r="AV11" s="38" t="s">
        <v>69</v>
      </c>
      <c r="AW11" s="57" t="str">
        <f ca="1">"u1_sp_ALERT_"&amp;IF(AW6&lt;&gt;AW17,$AW$17&amp;"_"&amp;$AW$6,AW17)&amp;"_DST"</f>
        <v>u1_sp_ALERT_H_MAICER_PD3_DST</v>
      </c>
    </row>
    <row r="12" spans="1:49">
      <c r="B12" s="126"/>
      <c r="C12" s="36">
        <f t="shared" si="2"/>
        <v>6</v>
      </c>
      <c r="D12" s="50" t="s">
        <v>176</v>
      </c>
      <c r="E12" s="50" t="s">
        <v>176</v>
      </c>
      <c r="F12" s="50" t="s">
        <v>176</v>
      </c>
      <c r="G12" s="50" t="s">
        <v>176</v>
      </c>
      <c r="H12" s="50" t="s">
        <v>176</v>
      </c>
      <c r="I12" s="50" t="s">
        <v>176</v>
      </c>
      <c r="J12" s="50" t="s">
        <v>176</v>
      </c>
      <c r="K12" s="50" t="s">
        <v>176</v>
      </c>
      <c r="L12" s="50" t="s">
        <v>176</v>
      </c>
      <c r="M12" s="50" t="s">
        <v>176</v>
      </c>
      <c r="N12" s="50" t="s">
        <v>176</v>
      </c>
      <c r="O12" s="50" t="s">
        <v>176</v>
      </c>
      <c r="P12" s="50" t="s">
        <v>176</v>
      </c>
      <c r="Q12" s="50" t="s">
        <v>176</v>
      </c>
      <c r="R12" s="50" t="s">
        <v>176</v>
      </c>
      <c r="S12" s="50" t="s">
        <v>176</v>
      </c>
      <c r="T12" s="50" t="s">
        <v>176</v>
      </c>
      <c r="U12" s="50" t="s">
        <v>176</v>
      </c>
      <c r="V12" s="50" t="s">
        <v>176</v>
      </c>
      <c r="W12" s="50" t="s">
        <v>176</v>
      </c>
      <c r="X12" s="50" t="s">
        <v>176</v>
      </c>
      <c r="Y12" s="50" t="s">
        <v>176</v>
      </c>
      <c r="Z12" s="50" t="s">
        <v>176</v>
      </c>
      <c r="AA12" s="50" t="s">
        <v>176</v>
      </c>
      <c r="AB12" s="50" t="s">
        <v>176</v>
      </c>
      <c r="AC12" s="50" t="s">
        <v>176</v>
      </c>
      <c r="AD12" s="50" t="s">
        <v>176</v>
      </c>
      <c r="AE12" s="50" t="s">
        <v>176</v>
      </c>
      <c r="AF12" s="50" t="s">
        <v>176</v>
      </c>
      <c r="AG12" s="50" t="s">
        <v>176</v>
      </c>
      <c r="AH12" s="50" t="s">
        <v>176</v>
      </c>
      <c r="AI12" s="50" t="s">
        <v>176</v>
      </c>
      <c r="AJ12" s="40"/>
      <c r="AL12" s="203" t="str">
        <f t="shared" ca="1" si="0"/>
        <v xml:space="preserve">    (U1)ALERT_REQ_H_MAICER_PD3_</v>
      </c>
      <c r="AR12" s="52" t="str">
        <f t="shared" si="3"/>
        <v/>
      </c>
      <c r="AS12" s="52" t="str">
        <f t="shared" si="4"/>
        <v/>
      </c>
      <c r="AT12" s="52" t="str">
        <f t="shared" si="1"/>
        <v/>
      </c>
      <c r="AU12" s="52"/>
      <c r="AV12" s="38" t="s">
        <v>81</v>
      </c>
      <c r="AW12" s="57" t="str">
        <f ca="1">Matrix!D8&amp;"["&amp;Matrix!D7&amp;"]"</f>
        <v>st_gp_ALERT_H_MAICER_MTRX[4]</v>
      </c>
    </row>
    <row r="13" spans="1:49">
      <c r="B13" s="126"/>
      <c r="C13" s="36">
        <f t="shared" si="2"/>
        <v>7</v>
      </c>
      <c r="D13" s="50" t="s">
        <v>176</v>
      </c>
      <c r="E13" s="50" t="s">
        <v>176</v>
      </c>
      <c r="F13" s="50" t="s">
        <v>176</v>
      </c>
      <c r="G13" s="50" t="s">
        <v>63</v>
      </c>
      <c r="H13" s="50" t="s">
        <v>63</v>
      </c>
      <c r="I13" s="50" t="s">
        <v>63</v>
      </c>
      <c r="J13" s="50" t="s">
        <v>63</v>
      </c>
      <c r="K13" s="50" t="s">
        <v>63</v>
      </c>
      <c r="L13" s="50" t="s">
        <v>63</v>
      </c>
      <c r="M13" s="50" t="s">
        <v>63</v>
      </c>
      <c r="N13" s="50" t="s">
        <v>63</v>
      </c>
      <c r="O13" s="50" t="s">
        <v>63</v>
      </c>
      <c r="P13" s="50" t="s">
        <v>176</v>
      </c>
      <c r="Q13" s="50" t="s">
        <v>176</v>
      </c>
      <c r="R13" s="50" t="s">
        <v>176</v>
      </c>
      <c r="S13" s="50" t="s">
        <v>176</v>
      </c>
      <c r="T13" s="50" t="s">
        <v>176</v>
      </c>
      <c r="U13" s="50" t="s">
        <v>176</v>
      </c>
      <c r="V13" s="50" t="s">
        <v>176</v>
      </c>
      <c r="W13" s="50" t="s">
        <v>176</v>
      </c>
      <c r="X13" s="50" t="s">
        <v>176</v>
      </c>
      <c r="Y13" s="50" t="s">
        <v>176</v>
      </c>
      <c r="Z13" s="50" t="s">
        <v>176</v>
      </c>
      <c r="AA13" s="50" t="s">
        <v>176</v>
      </c>
      <c r="AB13" s="50" t="s">
        <v>176</v>
      </c>
      <c r="AC13" s="50" t="s">
        <v>176</v>
      </c>
      <c r="AD13" s="50" t="s">
        <v>176</v>
      </c>
      <c r="AE13" s="50" t="s">
        <v>176</v>
      </c>
      <c r="AF13" s="50" t="s">
        <v>176</v>
      </c>
      <c r="AG13" s="50" t="s">
        <v>176</v>
      </c>
      <c r="AH13" s="50" t="s">
        <v>176</v>
      </c>
      <c r="AI13" s="50" t="s">
        <v>176</v>
      </c>
      <c r="AJ13" s="40"/>
      <c r="AL13" s="203" t="str">
        <f t="shared" ca="1" si="0"/>
        <v xml:space="preserve">    (U1)ALERT_REQ_H_MAICER_PD3_</v>
      </c>
      <c r="AR13" s="52" t="str">
        <f t="shared" si="3"/>
        <v/>
      </c>
      <c r="AS13" s="52" t="str">
        <f t="shared" si="4"/>
        <v/>
      </c>
      <c r="AT13" s="52" t="str">
        <f t="shared" si="1"/>
        <v/>
      </c>
      <c r="AU13" s="52" t="str">
        <f ca="1">"        &amp;"&amp;$AW$11&amp;"[0],"&amp;REPT(" ",66-LEN($AW$11))&amp;"/* u1p_DST                                            */"</f>
        <v xml:space="preserve">        &amp;u1_sp_ALERT_H_MAICER_PD3_DST[0],                                      /* u1p_DST                                            */</v>
      </c>
      <c r="AV13" s="38" t="s">
        <v>70</v>
      </c>
      <c r="AW13" s="125">
        <f>COUNTA($AJ$6:$AJ$69)</f>
        <v>4</v>
      </c>
    </row>
    <row r="14" spans="1:49">
      <c r="B14" s="126"/>
      <c r="C14" s="36">
        <f t="shared" si="2"/>
        <v>8</v>
      </c>
      <c r="D14" s="50" t="s">
        <v>176</v>
      </c>
      <c r="E14" s="50" t="s">
        <v>176</v>
      </c>
      <c r="F14" s="50" t="s">
        <v>176</v>
      </c>
      <c r="G14" s="50" t="s">
        <v>63</v>
      </c>
      <c r="H14" s="50" t="s">
        <v>63</v>
      </c>
      <c r="I14" s="50" t="s">
        <v>63</v>
      </c>
      <c r="J14" s="50" t="s">
        <v>63</v>
      </c>
      <c r="K14" s="50" t="s">
        <v>63</v>
      </c>
      <c r="L14" s="50" t="s">
        <v>63</v>
      </c>
      <c r="M14" s="50" t="s">
        <v>63</v>
      </c>
      <c r="N14" s="50" t="s">
        <v>63</v>
      </c>
      <c r="O14" s="50" t="s">
        <v>63</v>
      </c>
      <c r="P14" s="50" t="s">
        <v>176</v>
      </c>
      <c r="Q14" s="50" t="s">
        <v>176</v>
      </c>
      <c r="R14" s="50" t="s">
        <v>176</v>
      </c>
      <c r="S14" s="50" t="s">
        <v>176</v>
      </c>
      <c r="T14" s="50" t="s">
        <v>176</v>
      </c>
      <c r="U14" s="50" t="s">
        <v>176</v>
      </c>
      <c r="V14" s="50" t="s">
        <v>176</v>
      </c>
      <c r="W14" s="50" t="s">
        <v>176</v>
      </c>
      <c r="X14" s="50" t="s">
        <v>176</v>
      </c>
      <c r="Y14" s="50" t="s">
        <v>176</v>
      </c>
      <c r="Z14" s="50" t="s">
        <v>176</v>
      </c>
      <c r="AA14" s="50" t="s">
        <v>176</v>
      </c>
      <c r="AB14" s="50" t="s">
        <v>176</v>
      </c>
      <c r="AC14" s="50" t="s">
        <v>176</v>
      </c>
      <c r="AD14" s="50" t="s">
        <v>176</v>
      </c>
      <c r="AE14" s="50" t="s">
        <v>176</v>
      </c>
      <c r="AF14" s="50" t="s">
        <v>176</v>
      </c>
      <c r="AG14" s="50" t="s">
        <v>176</v>
      </c>
      <c r="AH14" s="50" t="s">
        <v>176</v>
      </c>
      <c r="AI14" s="50" t="s">
        <v>176</v>
      </c>
      <c r="AJ14" s="40"/>
      <c r="AL14" s="203" t="str">
        <f t="shared" ca="1" si="0"/>
        <v xml:space="preserve">    (U1)ALERT_REQ_H_MAICER_PD3_</v>
      </c>
      <c r="AR14" s="52" t="str">
        <f t="shared" si="3"/>
        <v/>
      </c>
      <c r="AS14" s="52" t="str">
        <f t="shared" si="4"/>
        <v/>
      </c>
      <c r="AT14" s="52" t="str">
        <f t="shared" si="1"/>
        <v/>
      </c>
      <c r="AU14" s="52" t="str">
        <f ca="1">"        (U2)"&amp;$AW$10&amp;","&amp;REPT(" ",66-LEN($AW$10))&amp;"/* u2_num_srch                                        */"</f>
        <v xml:space="preserve">        (U2)ALERT_H_MAICER_PD3_NUM_DST,                                        /* u2_num_srch                                        */</v>
      </c>
      <c r="AV14" s="38" t="s">
        <v>71</v>
      </c>
      <c r="AW14" s="57" t="str">
        <f ca="1">IF(AW6&lt;&gt;AW17,VLOOKUP(AW6,Matrix!$C$13:$G$37,4,FALSE),Matrix!F13)</f>
        <v>u4_s_AlertH_maicerPd3Srcchk</v>
      </c>
    </row>
    <row r="15" spans="1:49">
      <c r="B15" s="126"/>
      <c r="C15" s="36">
        <f t="shared" si="2"/>
        <v>9</v>
      </c>
      <c r="D15" s="50" t="s">
        <v>176</v>
      </c>
      <c r="E15" s="50" t="s">
        <v>176</v>
      </c>
      <c r="F15" s="50" t="s">
        <v>176</v>
      </c>
      <c r="G15" s="50" t="s">
        <v>63</v>
      </c>
      <c r="H15" s="50" t="s">
        <v>63</v>
      </c>
      <c r="I15" s="50" t="s">
        <v>63</v>
      </c>
      <c r="J15" s="50" t="s">
        <v>63</v>
      </c>
      <c r="K15" s="50" t="s">
        <v>63</v>
      </c>
      <c r="L15" s="50" t="s">
        <v>63</v>
      </c>
      <c r="M15" s="50" t="s">
        <v>63</v>
      </c>
      <c r="N15" s="50" t="s">
        <v>63</v>
      </c>
      <c r="O15" s="50" t="s">
        <v>63</v>
      </c>
      <c r="P15" s="50" t="s">
        <v>176</v>
      </c>
      <c r="Q15" s="50" t="s">
        <v>176</v>
      </c>
      <c r="R15" s="50" t="s">
        <v>176</v>
      </c>
      <c r="S15" s="50" t="s">
        <v>176</v>
      </c>
      <c r="T15" s="50" t="s">
        <v>176</v>
      </c>
      <c r="U15" s="50" t="s">
        <v>176</v>
      </c>
      <c r="V15" s="50" t="s">
        <v>176</v>
      </c>
      <c r="W15" s="50" t="s">
        <v>176</v>
      </c>
      <c r="X15" s="50" t="s">
        <v>176</v>
      </c>
      <c r="Y15" s="50" t="s">
        <v>176</v>
      </c>
      <c r="Z15" s="50" t="s">
        <v>176</v>
      </c>
      <c r="AA15" s="50" t="s">
        <v>176</v>
      </c>
      <c r="AB15" s="50" t="s">
        <v>176</v>
      </c>
      <c r="AC15" s="50" t="s">
        <v>176</v>
      </c>
      <c r="AD15" s="50" t="s">
        <v>176</v>
      </c>
      <c r="AE15" s="50" t="s">
        <v>176</v>
      </c>
      <c r="AF15" s="50" t="s">
        <v>176</v>
      </c>
      <c r="AG15" s="50" t="s">
        <v>176</v>
      </c>
      <c r="AH15" s="50" t="s">
        <v>176</v>
      </c>
      <c r="AI15" s="50" t="s">
        <v>176</v>
      </c>
      <c r="AJ15" s="40"/>
      <c r="AL15" s="203" t="str">
        <f t="shared" ca="1" si="0"/>
        <v xml:space="preserve">    (U1)ALERT_REQ_H_MAICER_PD3_</v>
      </c>
      <c r="AR15" s="52" t="str">
        <f t="shared" si="3"/>
        <v/>
      </c>
      <c r="AS15" s="52" t="str">
        <f t="shared" si="4"/>
        <v/>
      </c>
      <c r="AT15" s="52" t="str">
        <f t="shared" si="1"/>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176</v>
      </c>
      <c r="E16" s="50" t="s">
        <v>176</v>
      </c>
      <c r="F16" s="50" t="s">
        <v>176</v>
      </c>
      <c r="G16" s="50" t="s">
        <v>63</v>
      </c>
      <c r="H16" s="50" t="s">
        <v>63</v>
      </c>
      <c r="I16" s="50" t="s">
        <v>63</v>
      </c>
      <c r="J16" s="50" t="s">
        <v>63</v>
      </c>
      <c r="K16" s="50" t="s">
        <v>63</v>
      </c>
      <c r="L16" s="50" t="s">
        <v>63</v>
      </c>
      <c r="M16" s="50" t="s">
        <v>63</v>
      </c>
      <c r="N16" s="50" t="s">
        <v>63</v>
      </c>
      <c r="O16" s="50" t="s">
        <v>63</v>
      </c>
      <c r="P16" s="50" t="s">
        <v>176</v>
      </c>
      <c r="Q16" s="50" t="s">
        <v>176</v>
      </c>
      <c r="R16" s="50" t="s">
        <v>176</v>
      </c>
      <c r="S16" s="50" t="s">
        <v>176</v>
      </c>
      <c r="T16" s="50" t="s">
        <v>176</v>
      </c>
      <c r="U16" s="50" t="s">
        <v>176</v>
      </c>
      <c r="V16" s="50" t="s">
        <v>176</v>
      </c>
      <c r="W16" s="50" t="s">
        <v>176</v>
      </c>
      <c r="X16" s="50" t="s">
        <v>176</v>
      </c>
      <c r="Y16" s="50" t="s">
        <v>176</v>
      </c>
      <c r="Z16" s="50" t="s">
        <v>176</v>
      </c>
      <c r="AA16" s="50" t="s">
        <v>176</v>
      </c>
      <c r="AB16" s="50" t="s">
        <v>176</v>
      </c>
      <c r="AC16" s="50" t="s">
        <v>176</v>
      </c>
      <c r="AD16" s="50" t="s">
        <v>176</v>
      </c>
      <c r="AE16" s="50" t="s">
        <v>176</v>
      </c>
      <c r="AF16" s="50" t="s">
        <v>176</v>
      </c>
      <c r="AG16" s="50" t="s">
        <v>176</v>
      </c>
      <c r="AH16" s="50" t="s">
        <v>176</v>
      </c>
      <c r="AI16" s="50" t="s">
        <v>176</v>
      </c>
      <c r="AJ16" s="40"/>
      <c r="AL16" s="203" t="str">
        <f t="shared" ca="1" si="0"/>
        <v xml:space="preserve">    (U1)ALERT_REQ_H_MAICER_PD3_</v>
      </c>
      <c r="AR16" s="52" t="str">
        <f t="shared" si="3"/>
        <v/>
      </c>
      <c r="AS16" s="52" t="str">
        <f t="shared" si="4"/>
        <v/>
      </c>
      <c r="AT16" s="52" t="str">
        <f t="shared" si="1"/>
        <v/>
      </c>
      <c r="AU16" s="52" t="s">
        <v>201</v>
      </c>
      <c r="AV16" s="38" t="s">
        <v>72</v>
      </c>
      <c r="AW16" s="57" t="str">
        <f ca="1">IF(AW6&lt;&gt;AW17,VLOOKUP(AW6,Matrix!$C$13:$G$37,2,FALSE),Matrix!D13)</f>
        <v>ALERT_VOM_IGN_ON</v>
      </c>
    </row>
    <row r="17" spans="2:49" ht="14.25" thickBot="1">
      <c r="B17" s="126"/>
      <c r="C17" s="36">
        <f t="shared" si="2"/>
        <v>11</v>
      </c>
      <c r="D17" s="50" t="s">
        <v>176</v>
      </c>
      <c r="E17" s="50" t="s">
        <v>176</v>
      </c>
      <c r="F17" s="50" t="s">
        <v>176</v>
      </c>
      <c r="G17" s="50" t="s">
        <v>63</v>
      </c>
      <c r="H17" s="50" t="s">
        <v>63</v>
      </c>
      <c r="I17" s="50" t="s">
        <v>63</v>
      </c>
      <c r="J17" s="50" t="s">
        <v>63</v>
      </c>
      <c r="K17" s="50" t="s">
        <v>63</v>
      </c>
      <c r="L17" s="50" t="s">
        <v>63</v>
      </c>
      <c r="M17" s="50" t="s">
        <v>63</v>
      </c>
      <c r="N17" s="50" t="s">
        <v>63</v>
      </c>
      <c r="O17" s="50" t="s">
        <v>63</v>
      </c>
      <c r="P17" s="50" t="s">
        <v>176</v>
      </c>
      <c r="Q17" s="50" t="s">
        <v>176</v>
      </c>
      <c r="R17" s="50" t="s">
        <v>176</v>
      </c>
      <c r="S17" s="50" t="s">
        <v>176</v>
      </c>
      <c r="T17" s="50" t="s">
        <v>176</v>
      </c>
      <c r="U17" s="50" t="s">
        <v>176</v>
      </c>
      <c r="V17" s="50" t="s">
        <v>176</v>
      </c>
      <c r="W17" s="50" t="s">
        <v>176</v>
      </c>
      <c r="X17" s="50" t="s">
        <v>176</v>
      </c>
      <c r="Y17" s="50" t="s">
        <v>176</v>
      </c>
      <c r="Z17" s="50" t="s">
        <v>176</v>
      </c>
      <c r="AA17" s="50" t="s">
        <v>176</v>
      </c>
      <c r="AB17" s="50" t="s">
        <v>176</v>
      </c>
      <c r="AC17" s="50" t="s">
        <v>176</v>
      </c>
      <c r="AD17" s="50" t="s">
        <v>176</v>
      </c>
      <c r="AE17" s="50" t="s">
        <v>176</v>
      </c>
      <c r="AF17" s="50" t="s">
        <v>176</v>
      </c>
      <c r="AG17" s="50" t="s">
        <v>176</v>
      </c>
      <c r="AH17" s="50" t="s">
        <v>176</v>
      </c>
      <c r="AI17" s="50" t="s">
        <v>176</v>
      </c>
      <c r="AJ17" s="40"/>
      <c r="AL17" s="203" t="str">
        <f t="shared" ca="1" si="0"/>
        <v xml:space="preserve">    (U1)ALERT_REQ_H_MAICER_PD3_</v>
      </c>
      <c r="AR17" s="52" t="str">
        <f t="shared" si="3"/>
        <v/>
      </c>
      <c r="AS17" s="52" t="str">
        <f t="shared" si="4"/>
        <v/>
      </c>
      <c r="AT17" s="52" t="str">
        <f t="shared" si="1"/>
        <v/>
      </c>
      <c r="AU17" s="53" t="s">
        <v>202</v>
      </c>
      <c r="AV17" s="39" t="s">
        <v>73</v>
      </c>
      <c r="AW17" s="58" t="str">
        <f ca="1">UPPER(Matrix!$D$6)</f>
        <v>H_MAICER</v>
      </c>
    </row>
    <row r="18" spans="2:49">
      <c r="B18" s="126"/>
      <c r="C18" s="36">
        <f t="shared" si="2"/>
        <v>12</v>
      </c>
      <c r="D18" s="50" t="s">
        <v>176</v>
      </c>
      <c r="E18" s="50" t="s">
        <v>176</v>
      </c>
      <c r="F18" s="50" t="s">
        <v>176</v>
      </c>
      <c r="G18" s="50" t="s">
        <v>63</v>
      </c>
      <c r="H18" s="50" t="s">
        <v>63</v>
      </c>
      <c r="I18" s="50" t="s">
        <v>63</v>
      </c>
      <c r="J18" s="50" t="s">
        <v>63</v>
      </c>
      <c r="K18" s="50" t="s">
        <v>63</v>
      </c>
      <c r="L18" s="50" t="s">
        <v>63</v>
      </c>
      <c r="M18" s="50" t="s">
        <v>63</v>
      </c>
      <c r="N18" s="50" t="s">
        <v>63</v>
      </c>
      <c r="O18" s="50" t="s">
        <v>63</v>
      </c>
      <c r="P18" s="50" t="s">
        <v>176</v>
      </c>
      <c r="Q18" s="50" t="s">
        <v>176</v>
      </c>
      <c r="R18" s="50" t="s">
        <v>176</v>
      </c>
      <c r="S18" s="50" t="s">
        <v>176</v>
      </c>
      <c r="T18" s="50" t="s">
        <v>176</v>
      </c>
      <c r="U18" s="50" t="s">
        <v>176</v>
      </c>
      <c r="V18" s="50" t="s">
        <v>176</v>
      </c>
      <c r="W18" s="50" t="s">
        <v>176</v>
      </c>
      <c r="X18" s="50" t="s">
        <v>176</v>
      </c>
      <c r="Y18" s="50" t="s">
        <v>176</v>
      </c>
      <c r="Z18" s="50" t="s">
        <v>176</v>
      </c>
      <c r="AA18" s="50" t="s">
        <v>176</v>
      </c>
      <c r="AB18" s="50" t="s">
        <v>176</v>
      </c>
      <c r="AC18" s="50" t="s">
        <v>176</v>
      </c>
      <c r="AD18" s="50" t="s">
        <v>176</v>
      </c>
      <c r="AE18" s="50" t="s">
        <v>176</v>
      </c>
      <c r="AF18" s="50" t="s">
        <v>176</v>
      </c>
      <c r="AG18" s="50" t="s">
        <v>176</v>
      </c>
      <c r="AH18" s="50" t="s">
        <v>176</v>
      </c>
      <c r="AI18" s="50" t="s">
        <v>176</v>
      </c>
      <c r="AJ18" s="40"/>
      <c r="AL18" s="203" t="str">
        <f t="shared" ca="1" si="0"/>
        <v xml:space="preserve">    (U1)ALERT_REQ_H_MAICER_PD3_</v>
      </c>
      <c r="AR18" s="52" t="str">
        <f t="shared" si="3"/>
        <v/>
      </c>
      <c r="AS18" s="52" t="str">
        <f t="shared" si="4"/>
        <v/>
      </c>
      <c r="AT18" s="52" t="str">
        <f t="shared" si="1"/>
        <v/>
      </c>
    </row>
    <row r="19" spans="2:49">
      <c r="B19" s="126"/>
      <c r="C19" s="36">
        <f t="shared" si="2"/>
        <v>13</v>
      </c>
      <c r="D19" s="50" t="s">
        <v>176</v>
      </c>
      <c r="E19" s="50" t="s">
        <v>176</v>
      </c>
      <c r="F19" s="50" t="s">
        <v>176</v>
      </c>
      <c r="G19" s="50" t="s">
        <v>63</v>
      </c>
      <c r="H19" s="50" t="s">
        <v>63</v>
      </c>
      <c r="I19" s="50" t="s">
        <v>63</v>
      </c>
      <c r="J19" s="50" t="s">
        <v>63</v>
      </c>
      <c r="K19" s="50" t="s">
        <v>63</v>
      </c>
      <c r="L19" s="50" t="s">
        <v>63</v>
      </c>
      <c r="M19" s="50" t="s">
        <v>63</v>
      </c>
      <c r="N19" s="50" t="s">
        <v>63</v>
      </c>
      <c r="O19" s="50" t="s">
        <v>63</v>
      </c>
      <c r="P19" s="50" t="s">
        <v>176</v>
      </c>
      <c r="Q19" s="50" t="s">
        <v>176</v>
      </c>
      <c r="R19" s="50" t="s">
        <v>176</v>
      </c>
      <c r="S19" s="50" t="s">
        <v>176</v>
      </c>
      <c r="T19" s="50" t="s">
        <v>176</v>
      </c>
      <c r="U19" s="50" t="s">
        <v>176</v>
      </c>
      <c r="V19" s="50" t="s">
        <v>176</v>
      </c>
      <c r="W19" s="50" t="s">
        <v>176</v>
      </c>
      <c r="X19" s="50" t="s">
        <v>176</v>
      </c>
      <c r="Y19" s="50" t="s">
        <v>176</v>
      </c>
      <c r="Z19" s="50" t="s">
        <v>176</v>
      </c>
      <c r="AA19" s="50" t="s">
        <v>176</v>
      </c>
      <c r="AB19" s="50" t="s">
        <v>176</v>
      </c>
      <c r="AC19" s="50" t="s">
        <v>176</v>
      </c>
      <c r="AD19" s="50" t="s">
        <v>176</v>
      </c>
      <c r="AE19" s="50" t="s">
        <v>176</v>
      </c>
      <c r="AF19" s="50" t="s">
        <v>176</v>
      </c>
      <c r="AG19" s="50" t="s">
        <v>176</v>
      </c>
      <c r="AH19" s="50" t="s">
        <v>176</v>
      </c>
      <c r="AI19" s="50" t="s">
        <v>176</v>
      </c>
      <c r="AJ19" s="40"/>
      <c r="AL19" s="203" t="str">
        <f t="shared" ca="1" si="0"/>
        <v xml:space="preserve">    (U1)ALERT_REQ_H_MAICER_PD3_</v>
      </c>
      <c r="AR19" s="52" t="str">
        <f t="shared" si="3"/>
        <v/>
      </c>
      <c r="AS19" s="52" t="str">
        <f t="shared" si="4"/>
        <v/>
      </c>
      <c r="AT19" s="52" t="str">
        <f t="shared" si="1"/>
        <v/>
      </c>
    </row>
    <row r="20" spans="2:49">
      <c r="B20" s="126"/>
      <c r="C20" s="36">
        <f t="shared" si="2"/>
        <v>14</v>
      </c>
      <c r="D20" s="50" t="s">
        <v>176</v>
      </c>
      <c r="E20" s="50" t="s">
        <v>176</v>
      </c>
      <c r="F20" s="50" t="s">
        <v>176</v>
      </c>
      <c r="G20" s="50" t="s">
        <v>176</v>
      </c>
      <c r="H20" s="50" t="s">
        <v>176</v>
      </c>
      <c r="I20" s="50" t="s">
        <v>176</v>
      </c>
      <c r="J20" s="50" t="s">
        <v>176</v>
      </c>
      <c r="K20" s="50" t="s">
        <v>176</v>
      </c>
      <c r="L20" s="50" t="s">
        <v>176</v>
      </c>
      <c r="M20" s="50" t="s">
        <v>176</v>
      </c>
      <c r="N20" s="50" t="s">
        <v>176</v>
      </c>
      <c r="O20" s="50" t="s">
        <v>176</v>
      </c>
      <c r="P20" s="50" t="s">
        <v>176</v>
      </c>
      <c r="Q20" s="50" t="s">
        <v>176</v>
      </c>
      <c r="R20" s="50" t="s">
        <v>176</v>
      </c>
      <c r="S20" s="50" t="s">
        <v>176</v>
      </c>
      <c r="T20" s="50" t="s">
        <v>176</v>
      </c>
      <c r="U20" s="50" t="s">
        <v>176</v>
      </c>
      <c r="V20" s="50" t="s">
        <v>176</v>
      </c>
      <c r="W20" s="50" t="s">
        <v>176</v>
      </c>
      <c r="X20" s="50" t="s">
        <v>176</v>
      </c>
      <c r="Y20" s="50" t="s">
        <v>176</v>
      </c>
      <c r="Z20" s="50" t="s">
        <v>176</v>
      </c>
      <c r="AA20" s="50" t="s">
        <v>176</v>
      </c>
      <c r="AB20" s="50" t="s">
        <v>176</v>
      </c>
      <c r="AC20" s="50" t="s">
        <v>176</v>
      </c>
      <c r="AD20" s="50" t="s">
        <v>176</v>
      </c>
      <c r="AE20" s="50" t="s">
        <v>176</v>
      </c>
      <c r="AF20" s="50" t="s">
        <v>176</v>
      </c>
      <c r="AG20" s="50" t="s">
        <v>176</v>
      </c>
      <c r="AH20" s="50" t="s">
        <v>176</v>
      </c>
      <c r="AI20" s="50" t="s">
        <v>176</v>
      </c>
      <c r="AJ20" s="40"/>
      <c r="AL20" s="203" t="str">
        <f t="shared" ca="1" si="0"/>
        <v xml:space="preserve">    (U1)ALERT_REQ_H_MAICER_PD3_</v>
      </c>
      <c r="AR20" s="52" t="str">
        <f t="shared" si="3"/>
        <v/>
      </c>
      <c r="AS20" s="52" t="str">
        <f t="shared" si="4"/>
        <v/>
      </c>
      <c r="AT20" s="52" t="str">
        <f t="shared" si="1"/>
        <v/>
      </c>
    </row>
    <row r="21" spans="2:49">
      <c r="B21" s="126"/>
      <c r="C21" s="36">
        <f t="shared" si="2"/>
        <v>15</v>
      </c>
      <c r="D21" s="50" t="s">
        <v>176</v>
      </c>
      <c r="E21" s="50" t="s">
        <v>176</v>
      </c>
      <c r="F21" s="50" t="s">
        <v>176</v>
      </c>
      <c r="G21" s="50" t="s">
        <v>176</v>
      </c>
      <c r="H21" s="50" t="s">
        <v>176</v>
      </c>
      <c r="I21" s="50" t="s">
        <v>176</v>
      </c>
      <c r="J21" s="50" t="s">
        <v>176</v>
      </c>
      <c r="K21" s="50" t="s">
        <v>176</v>
      </c>
      <c r="L21" s="50" t="s">
        <v>176</v>
      </c>
      <c r="M21" s="50" t="s">
        <v>176</v>
      </c>
      <c r="N21" s="50" t="s">
        <v>176</v>
      </c>
      <c r="O21" s="50" t="s">
        <v>176</v>
      </c>
      <c r="P21" s="50" t="s">
        <v>176</v>
      </c>
      <c r="Q21" s="50" t="s">
        <v>176</v>
      </c>
      <c r="R21" s="50" t="s">
        <v>176</v>
      </c>
      <c r="S21" s="50" t="s">
        <v>176</v>
      </c>
      <c r="T21" s="50" t="s">
        <v>176</v>
      </c>
      <c r="U21" s="50" t="s">
        <v>176</v>
      </c>
      <c r="V21" s="50" t="s">
        <v>176</v>
      </c>
      <c r="W21" s="50" t="s">
        <v>176</v>
      </c>
      <c r="X21" s="50" t="s">
        <v>176</v>
      </c>
      <c r="Y21" s="50" t="s">
        <v>176</v>
      </c>
      <c r="Z21" s="50" t="s">
        <v>176</v>
      </c>
      <c r="AA21" s="50" t="s">
        <v>176</v>
      </c>
      <c r="AB21" s="50" t="s">
        <v>176</v>
      </c>
      <c r="AC21" s="50" t="s">
        <v>176</v>
      </c>
      <c r="AD21" s="50" t="s">
        <v>176</v>
      </c>
      <c r="AE21" s="50" t="s">
        <v>176</v>
      </c>
      <c r="AF21" s="50" t="s">
        <v>176</v>
      </c>
      <c r="AG21" s="50" t="s">
        <v>176</v>
      </c>
      <c r="AH21" s="50" t="s">
        <v>176</v>
      </c>
      <c r="AI21" s="50" t="s">
        <v>176</v>
      </c>
      <c r="AJ21" s="40"/>
      <c r="AL21" s="203" t="str">
        <f t="shared" ca="1" si="0"/>
        <v xml:space="preserve">    (U1)ALERT_REQ_H_MAICER_PD3_</v>
      </c>
      <c r="AR21" s="52" t="str">
        <f t="shared" si="3"/>
        <v/>
      </c>
      <c r="AS21" s="52" t="str">
        <f t="shared" si="4"/>
        <v/>
      </c>
      <c r="AT21" s="52" t="str">
        <f t="shared" si="1"/>
        <v/>
      </c>
    </row>
    <row r="22" spans="2:49">
      <c r="B22" s="126"/>
      <c r="C22" s="36">
        <f t="shared" si="2"/>
        <v>16</v>
      </c>
      <c r="D22" s="50" t="s">
        <v>176</v>
      </c>
      <c r="E22" s="50" t="s">
        <v>176</v>
      </c>
      <c r="F22" s="50" t="s">
        <v>176</v>
      </c>
      <c r="G22" s="50" t="s">
        <v>176</v>
      </c>
      <c r="H22" s="50" t="s">
        <v>176</v>
      </c>
      <c r="I22" s="50" t="s">
        <v>176</v>
      </c>
      <c r="J22" s="50" t="s">
        <v>176</v>
      </c>
      <c r="K22" s="50" t="s">
        <v>176</v>
      </c>
      <c r="L22" s="50" t="s">
        <v>176</v>
      </c>
      <c r="M22" s="50" t="s">
        <v>176</v>
      </c>
      <c r="N22" s="50" t="s">
        <v>176</v>
      </c>
      <c r="O22" s="50" t="s">
        <v>176</v>
      </c>
      <c r="P22" s="50" t="s">
        <v>176</v>
      </c>
      <c r="Q22" s="50" t="s">
        <v>176</v>
      </c>
      <c r="R22" s="50" t="s">
        <v>176</v>
      </c>
      <c r="S22" s="50" t="s">
        <v>176</v>
      </c>
      <c r="T22" s="50" t="s">
        <v>176</v>
      </c>
      <c r="U22" s="50" t="s">
        <v>176</v>
      </c>
      <c r="V22" s="50" t="s">
        <v>176</v>
      </c>
      <c r="W22" s="50" t="s">
        <v>176</v>
      </c>
      <c r="X22" s="50" t="s">
        <v>176</v>
      </c>
      <c r="Y22" s="50" t="s">
        <v>176</v>
      </c>
      <c r="Z22" s="50" t="s">
        <v>176</v>
      </c>
      <c r="AA22" s="50" t="s">
        <v>176</v>
      </c>
      <c r="AB22" s="50" t="s">
        <v>176</v>
      </c>
      <c r="AC22" s="50" t="s">
        <v>176</v>
      </c>
      <c r="AD22" s="50" t="s">
        <v>176</v>
      </c>
      <c r="AE22" s="50" t="s">
        <v>176</v>
      </c>
      <c r="AF22" s="50" t="s">
        <v>176</v>
      </c>
      <c r="AG22" s="50" t="s">
        <v>176</v>
      </c>
      <c r="AH22" s="50" t="s">
        <v>176</v>
      </c>
      <c r="AI22" s="50" t="s">
        <v>176</v>
      </c>
      <c r="AJ22" s="40"/>
      <c r="AL22" s="203" t="str">
        <f t="shared" ca="1" si="0"/>
        <v xml:space="preserve">    (U1)ALERT_REQ_H_MAICER_PD3_</v>
      </c>
      <c r="AR22" s="52" t="str">
        <f t="shared" si="3"/>
        <v/>
      </c>
      <c r="AS22" s="52" t="str">
        <f t="shared" si="4"/>
        <v/>
      </c>
      <c r="AT22" s="52" t="str">
        <f t="shared" si="1"/>
        <v/>
      </c>
    </row>
    <row r="23" spans="2:49">
      <c r="B23" s="126"/>
      <c r="C23" s="36">
        <f t="shared" si="2"/>
        <v>17</v>
      </c>
      <c r="D23" s="50" t="s">
        <v>176</v>
      </c>
      <c r="E23" s="50" t="s">
        <v>176</v>
      </c>
      <c r="F23" s="50" t="s">
        <v>176</v>
      </c>
      <c r="G23" s="50" t="s">
        <v>176</v>
      </c>
      <c r="H23" s="50" t="s">
        <v>176</v>
      </c>
      <c r="I23" s="50" t="s">
        <v>176</v>
      </c>
      <c r="J23" s="50" t="s">
        <v>176</v>
      </c>
      <c r="K23" s="50" t="s">
        <v>176</v>
      </c>
      <c r="L23" s="50" t="s">
        <v>176</v>
      </c>
      <c r="M23" s="50" t="s">
        <v>176</v>
      </c>
      <c r="N23" s="50" t="s">
        <v>176</v>
      </c>
      <c r="O23" s="50" t="s">
        <v>176</v>
      </c>
      <c r="P23" s="50" t="s">
        <v>176</v>
      </c>
      <c r="Q23" s="50" t="s">
        <v>176</v>
      </c>
      <c r="R23" s="50" t="s">
        <v>176</v>
      </c>
      <c r="S23" s="50" t="s">
        <v>176</v>
      </c>
      <c r="T23" s="50" t="s">
        <v>176</v>
      </c>
      <c r="U23" s="50" t="s">
        <v>176</v>
      </c>
      <c r="V23" s="50" t="s">
        <v>176</v>
      </c>
      <c r="W23" s="50" t="s">
        <v>176</v>
      </c>
      <c r="X23" s="50" t="s">
        <v>176</v>
      </c>
      <c r="Y23" s="50" t="s">
        <v>176</v>
      </c>
      <c r="Z23" s="50" t="s">
        <v>176</v>
      </c>
      <c r="AA23" s="50" t="s">
        <v>176</v>
      </c>
      <c r="AB23" s="50" t="s">
        <v>176</v>
      </c>
      <c r="AC23" s="50" t="s">
        <v>176</v>
      </c>
      <c r="AD23" s="50" t="s">
        <v>176</v>
      </c>
      <c r="AE23" s="50" t="s">
        <v>176</v>
      </c>
      <c r="AF23" s="50" t="s">
        <v>176</v>
      </c>
      <c r="AG23" s="50" t="s">
        <v>176</v>
      </c>
      <c r="AH23" s="50" t="s">
        <v>176</v>
      </c>
      <c r="AI23" s="50" t="s">
        <v>176</v>
      </c>
      <c r="AJ23" s="40"/>
      <c r="AL23" s="203" t="str">
        <f t="shared" ca="1" si="0"/>
        <v xml:space="preserve">    (U1)ALERT_REQ_H_MAICER_PD3_</v>
      </c>
      <c r="AR23" s="52" t="str">
        <f t="shared" si="3"/>
        <v/>
      </c>
      <c r="AS23" s="52" t="str">
        <f t="shared" si="4"/>
        <v/>
      </c>
      <c r="AT23" s="52" t="str">
        <f t="shared" si="1"/>
        <v/>
      </c>
    </row>
    <row r="24" spans="2:49">
      <c r="B24" s="126"/>
      <c r="C24" s="36">
        <f t="shared" si="2"/>
        <v>18</v>
      </c>
      <c r="D24" s="50" t="s">
        <v>176</v>
      </c>
      <c r="E24" s="50" t="s">
        <v>176</v>
      </c>
      <c r="F24" s="50" t="s">
        <v>176</v>
      </c>
      <c r="G24" s="50" t="s">
        <v>176</v>
      </c>
      <c r="H24" s="50" t="s">
        <v>176</v>
      </c>
      <c r="I24" s="50" t="s">
        <v>176</v>
      </c>
      <c r="J24" s="50" t="s">
        <v>176</v>
      </c>
      <c r="K24" s="50" t="s">
        <v>176</v>
      </c>
      <c r="L24" s="50" t="s">
        <v>176</v>
      </c>
      <c r="M24" s="50" t="s">
        <v>176</v>
      </c>
      <c r="N24" s="50" t="s">
        <v>176</v>
      </c>
      <c r="O24" s="50" t="s">
        <v>176</v>
      </c>
      <c r="P24" s="50" t="s">
        <v>176</v>
      </c>
      <c r="Q24" s="50" t="s">
        <v>176</v>
      </c>
      <c r="R24" s="50" t="s">
        <v>176</v>
      </c>
      <c r="S24" s="50" t="s">
        <v>176</v>
      </c>
      <c r="T24" s="50" t="s">
        <v>176</v>
      </c>
      <c r="U24" s="50" t="s">
        <v>176</v>
      </c>
      <c r="V24" s="50" t="s">
        <v>176</v>
      </c>
      <c r="W24" s="50" t="s">
        <v>176</v>
      </c>
      <c r="X24" s="50" t="s">
        <v>176</v>
      </c>
      <c r="Y24" s="50" t="s">
        <v>176</v>
      </c>
      <c r="Z24" s="50" t="s">
        <v>176</v>
      </c>
      <c r="AA24" s="50" t="s">
        <v>176</v>
      </c>
      <c r="AB24" s="50" t="s">
        <v>176</v>
      </c>
      <c r="AC24" s="50" t="s">
        <v>176</v>
      </c>
      <c r="AD24" s="50" t="s">
        <v>176</v>
      </c>
      <c r="AE24" s="50" t="s">
        <v>176</v>
      </c>
      <c r="AF24" s="50" t="s">
        <v>176</v>
      </c>
      <c r="AG24" s="50" t="s">
        <v>176</v>
      </c>
      <c r="AH24" s="50" t="s">
        <v>176</v>
      </c>
      <c r="AI24" s="50" t="s">
        <v>176</v>
      </c>
      <c r="AJ24" s="40"/>
      <c r="AL24" s="203" t="str">
        <f t="shared" ca="1" si="0"/>
        <v xml:space="preserve">    (U1)ALERT_REQ_H_MAICER_PD3_</v>
      </c>
      <c r="AR24" s="52" t="str">
        <f t="shared" si="3"/>
        <v/>
      </c>
      <c r="AS24" s="52" t="str">
        <f t="shared" si="4"/>
        <v/>
      </c>
      <c r="AT24" s="52" t="str">
        <f t="shared" si="1"/>
        <v/>
      </c>
    </row>
    <row r="25" spans="2:49">
      <c r="B25" s="126"/>
      <c r="C25" s="36">
        <f t="shared" si="2"/>
        <v>19</v>
      </c>
      <c r="D25" s="50" t="s">
        <v>176</v>
      </c>
      <c r="E25" s="50" t="s">
        <v>176</v>
      </c>
      <c r="F25" s="50" t="s">
        <v>176</v>
      </c>
      <c r="G25" s="50" t="s">
        <v>176</v>
      </c>
      <c r="H25" s="50" t="s">
        <v>176</v>
      </c>
      <c r="I25" s="50" t="s">
        <v>176</v>
      </c>
      <c r="J25" s="50" t="s">
        <v>176</v>
      </c>
      <c r="K25" s="50" t="s">
        <v>176</v>
      </c>
      <c r="L25" s="50" t="s">
        <v>176</v>
      </c>
      <c r="M25" s="50" t="s">
        <v>176</v>
      </c>
      <c r="N25" s="50" t="s">
        <v>176</v>
      </c>
      <c r="O25" s="50" t="s">
        <v>176</v>
      </c>
      <c r="P25" s="50" t="s">
        <v>176</v>
      </c>
      <c r="Q25" s="50" t="s">
        <v>176</v>
      </c>
      <c r="R25" s="50" t="s">
        <v>176</v>
      </c>
      <c r="S25" s="50" t="s">
        <v>176</v>
      </c>
      <c r="T25" s="50" t="s">
        <v>176</v>
      </c>
      <c r="U25" s="50" t="s">
        <v>176</v>
      </c>
      <c r="V25" s="50" t="s">
        <v>176</v>
      </c>
      <c r="W25" s="50" t="s">
        <v>176</v>
      </c>
      <c r="X25" s="50" t="s">
        <v>176</v>
      </c>
      <c r="Y25" s="50" t="s">
        <v>176</v>
      </c>
      <c r="Z25" s="50" t="s">
        <v>176</v>
      </c>
      <c r="AA25" s="50" t="s">
        <v>176</v>
      </c>
      <c r="AB25" s="50" t="s">
        <v>176</v>
      </c>
      <c r="AC25" s="50" t="s">
        <v>176</v>
      </c>
      <c r="AD25" s="50" t="s">
        <v>176</v>
      </c>
      <c r="AE25" s="50" t="s">
        <v>176</v>
      </c>
      <c r="AF25" s="50" t="s">
        <v>176</v>
      </c>
      <c r="AG25" s="50" t="s">
        <v>176</v>
      </c>
      <c r="AH25" s="50" t="s">
        <v>176</v>
      </c>
      <c r="AI25" s="50" t="s">
        <v>176</v>
      </c>
      <c r="AJ25" s="40"/>
      <c r="AL25" s="203" t="str">
        <f t="shared" ca="1" si="0"/>
        <v xml:space="preserve">    (U1)ALERT_REQ_H_MAICER_PD3_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t="s">
        <v>63</v>
      </c>
      <c r="AE26" s="50" t="s">
        <v>63</v>
      </c>
      <c r="AF26" s="50" t="s">
        <v>63</v>
      </c>
      <c r="AG26" s="50" t="s">
        <v>63</v>
      </c>
      <c r="AH26" s="50" t="s">
        <v>63</v>
      </c>
      <c r="AI26" s="50" t="s">
        <v>63</v>
      </c>
      <c r="AJ26" s="40"/>
      <c r="AL26" s="203" t="str">
        <f t="shared" ca="1" si="0"/>
        <v xml:space="preserve">    (U1)ALERT_REQ_H_MAICER_PD3_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t="s">
        <v>63</v>
      </c>
      <c r="AE27" s="50" t="s">
        <v>63</v>
      </c>
      <c r="AF27" s="50" t="s">
        <v>63</v>
      </c>
      <c r="AG27" s="50" t="s">
        <v>63</v>
      </c>
      <c r="AH27" s="50" t="s">
        <v>63</v>
      </c>
      <c r="AI27" s="50" t="s">
        <v>63</v>
      </c>
      <c r="AJ27" s="40"/>
      <c r="AL27" s="203" t="str">
        <f t="shared" ca="1" si="0"/>
        <v xml:space="preserve">    (U1)ALERT_REQ_H_MAICER_PD3_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t="s">
        <v>63</v>
      </c>
      <c r="AE28" s="50" t="s">
        <v>63</v>
      </c>
      <c r="AF28" s="50" t="s">
        <v>63</v>
      </c>
      <c r="AG28" s="50" t="s">
        <v>63</v>
      </c>
      <c r="AH28" s="50" t="s">
        <v>63</v>
      </c>
      <c r="AI28" s="50" t="s">
        <v>63</v>
      </c>
      <c r="AJ28" s="40"/>
      <c r="AL28" s="203" t="str">
        <f t="shared" ca="1" si="0"/>
        <v xml:space="preserve">    (U1)ALERT_REQ_H_MAICER_PD3_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t="s">
        <v>63</v>
      </c>
      <c r="AE29" s="50" t="s">
        <v>63</v>
      </c>
      <c r="AF29" s="50" t="s">
        <v>63</v>
      </c>
      <c r="AG29" s="50" t="s">
        <v>63</v>
      </c>
      <c r="AH29" s="50" t="s">
        <v>63</v>
      </c>
      <c r="AI29" s="50" t="s">
        <v>63</v>
      </c>
      <c r="AJ29" s="40"/>
      <c r="AL29" s="203" t="str">
        <f t="shared" ca="1" si="0"/>
        <v xml:space="preserve">    (U1)ALERT_REQ_H_MAICER_PD3_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t="s">
        <v>63</v>
      </c>
      <c r="AE30" s="50" t="s">
        <v>63</v>
      </c>
      <c r="AF30" s="50" t="s">
        <v>63</v>
      </c>
      <c r="AG30" s="50" t="s">
        <v>63</v>
      </c>
      <c r="AH30" s="50" t="s">
        <v>63</v>
      </c>
      <c r="AI30" s="50" t="s">
        <v>63</v>
      </c>
      <c r="AJ30" s="40"/>
      <c r="AL30" s="203" t="str">
        <f t="shared" ca="1" si="0"/>
        <v xml:space="preserve">    (U1)ALERT_REQ_H_MAICER_PD3_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t="s">
        <v>63</v>
      </c>
      <c r="AE31" s="50" t="s">
        <v>63</v>
      </c>
      <c r="AF31" s="50" t="s">
        <v>63</v>
      </c>
      <c r="AG31" s="50" t="s">
        <v>63</v>
      </c>
      <c r="AH31" s="50" t="s">
        <v>63</v>
      </c>
      <c r="AI31" s="50" t="s">
        <v>63</v>
      </c>
      <c r="AJ31" s="40"/>
      <c r="AL31" s="203" t="str">
        <f t="shared" ca="1" si="0"/>
        <v xml:space="preserve">    (U1)ALERT_REQ_H_MAICER_PD3_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t="s">
        <v>63</v>
      </c>
      <c r="AE32" s="50" t="s">
        <v>63</v>
      </c>
      <c r="AF32" s="50" t="s">
        <v>63</v>
      </c>
      <c r="AG32" s="50" t="s">
        <v>63</v>
      </c>
      <c r="AH32" s="50" t="s">
        <v>63</v>
      </c>
      <c r="AI32" s="50" t="s">
        <v>63</v>
      </c>
      <c r="AJ32" s="40"/>
      <c r="AL32" s="203" t="str">
        <f t="shared" ca="1" si="0"/>
        <v xml:space="preserve">    (U1)ALERT_REQ_H_MAICER_PD3_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t="s">
        <v>63</v>
      </c>
      <c r="AE33" s="50" t="s">
        <v>63</v>
      </c>
      <c r="AF33" s="50" t="s">
        <v>63</v>
      </c>
      <c r="AG33" s="50" t="s">
        <v>63</v>
      </c>
      <c r="AH33" s="50" t="s">
        <v>63</v>
      </c>
      <c r="AI33" s="50" t="s">
        <v>63</v>
      </c>
      <c r="AJ33" s="40"/>
      <c r="AL33" s="203" t="str">
        <f t="shared" ca="1" si="0"/>
        <v xml:space="preserve">    (U1)ALERT_REQ_H_MAICER_PD3_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t="s">
        <v>63</v>
      </c>
      <c r="AE34" s="50" t="s">
        <v>63</v>
      </c>
      <c r="AF34" s="50" t="s">
        <v>63</v>
      </c>
      <c r="AG34" s="50" t="s">
        <v>63</v>
      </c>
      <c r="AH34" s="50" t="s">
        <v>63</v>
      </c>
      <c r="AI34" s="50" t="s">
        <v>63</v>
      </c>
      <c r="AJ34" s="40"/>
      <c r="AL34" s="203" t="str">
        <f t="shared" ca="1" si="0"/>
        <v xml:space="preserve">    (U1)ALERT_REQ_H_MAICER_PD3_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t="s">
        <v>63</v>
      </c>
      <c r="AE35" s="50" t="s">
        <v>63</v>
      </c>
      <c r="AF35" s="50" t="s">
        <v>63</v>
      </c>
      <c r="AG35" s="50" t="s">
        <v>63</v>
      </c>
      <c r="AH35" s="50" t="s">
        <v>63</v>
      </c>
      <c r="AI35" s="50" t="s">
        <v>63</v>
      </c>
      <c r="AJ35" s="40"/>
      <c r="AL35" s="203" t="str">
        <f t="shared" ca="1" si="0"/>
        <v xml:space="preserve">    (U1)ALERT_REQ_H_MAICER_PD3_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t="s">
        <v>63</v>
      </c>
      <c r="AE36" s="50" t="s">
        <v>63</v>
      </c>
      <c r="AF36" s="50" t="s">
        <v>63</v>
      </c>
      <c r="AG36" s="50" t="s">
        <v>63</v>
      </c>
      <c r="AH36" s="50" t="s">
        <v>63</v>
      </c>
      <c r="AI36" s="50" t="s">
        <v>63</v>
      </c>
      <c r="AJ36" s="40"/>
      <c r="AL36" s="203" t="str">
        <f t="shared" ca="1" si="0"/>
        <v xml:space="preserve">    (U1)ALERT_REQ_H_MAICER_PD3_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t="s">
        <v>63</v>
      </c>
      <c r="AE37" s="50" t="s">
        <v>63</v>
      </c>
      <c r="AF37" s="50" t="s">
        <v>63</v>
      </c>
      <c r="AG37" s="50" t="s">
        <v>63</v>
      </c>
      <c r="AH37" s="50" t="s">
        <v>63</v>
      </c>
      <c r="AI37" s="50" t="s">
        <v>63</v>
      </c>
      <c r="AJ37" s="40"/>
      <c r="AL37" s="203" t="str">
        <f t="shared" ca="1" si="0"/>
        <v xml:space="preserve">    (U1)ALERT_REQ_H_MAICER_PD3_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t="s">
        <v>63</v>
      </c>
      <c r="AE38" s="50" t="s">
        <v>63</v>
      </c>
      <c r="AF38" s="50" t="s">
        <v>63</v>
      </c>
      <c r="AG38" s="50" t="s">
        <v>63</v>
      </c>
      <c r="AH38" s="50" t="s">
        <v>63</v>
      </c>
      <c r="AI38" s="50" t="s">
        <v>63</v>
      </c>
      <c r="AJ38" s="40"/>
      <c r="AL38" s="203" t="str">
        <f t="shared" ca="1" si="0"/>
        <v xml:space="preserve">    (U1)ALERT_REQ_H_MAICER_PD3_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t="s">
        <v>63</v>
      </c>
      <c r="AE39" s="50" t="s">
        <v>63</v>
      </c>
      <c r="AF39" s="50" t="s">
        <v>63</v>
      </c>
      <c r="AG39" s="50" t="s">
        <v>63</v>
      </c>
      <c r="AH39" s="50" t="s">
        <v>63</v>
      </c>
      <c r="AI39" s="50" t="s">
        <v>63</v>
      </c>
      <c r="AJ39" s="40"/>
      <c r="AL39" s="203" t="str">
        <f t="shared" ca="1" si="0"/>
        <v xml:space="preserve">    (U1)ALERT_REQ_H_MAICER_PD3_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t="s">
        <v>63</v>
      </c>
      <c r="AE40" s="50" t="s">
        <v>63</v>
      </c>
      <c r="AF40" s="50" t="s">
        <v>63</v>
      </c>
      <c r="AG40" s="50" t="s">
        <v>63</v>
      </c>
      <c r="AH40" s="50" t="s">
        <v>63</v>
      </c>
      <c r="AI40" s="50" t="s">
        <v>63</v>
      </c>
      <c r="AJ40" s="40"/>
      <c r="AL40" s="203" t="str">
        <f t="shared" ca="1" si="0"/>
        <v xml:space="preserve">    (U1)ALERT_REQ_H_MAICER_PD3_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t="s">
        <v>63</v>
      </c>
      <c r="AE41" s="50" t="s">
        <v>63</v>
      </c>
      <c r="AF41" s="50" t="s">
        <v>63</v>
      </c>
      <c r="AG41" s="50" t="s">
        <v>63</v>
      </c>
      <c r="AH41" s="50" t="s">
        <v>63</v>
      </c>
      <c r="AI41" s="50" t="s">
        <v>63</v>
      </c>
      <c r="AJ41" s="40"/>
      <c r="AL41" s="203" t="str">
        <f t="shared" ca="1" si="0"/>
        <v xml:space="preserve">    (U1)ALERT_REQ_H_MAICER_PD3_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t="s">
        <v>63</v>
      </c>
      <c r="AE42" s="50" t="s">
        <v>63</v>
      </c>
      <c r="AF42" s="50" t="s">
        <v>63</v>
      </c>
      <c r="AG42" s="50" t="s">
        <v>63</v>
      </c>
      <c r="AH42" s="50" t="s">
        <v>63</v>
      </c>
      <c r="AI42" s="50" t="s">
        <v>63</v>
      </c>
      <c r="AJ42" s="40"/>
      <c r="AL42" s="203" t="str">
        <f t="shared" ca="1" si="0"/>
        <v xml:space="preserve">    (U1)ALERT_REQ_H_MAICER_PD3_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t="s">
        <v>63</v>
      </c>
      <c r="AE43" s="50" t="s">
        <v>63</v>
      </c>
      <c r="AF43" s="50" t="s">
        <v>63</v>
      </c>
      <c r="AG43" s="50" t="s">
        <v>63</v>
      </c>
      <c r="AH43" s="50" t="s">
        <v>63</v>
      </c>
      <c r="AI43" s="50" t="s">
        <v>63</v>
      </c>
      <c r="AJ43" s="40"/>
      <c r="AL43" s="203" t="str">
        <f t="shared" ca="1" si="0"/>
        <v xml:space="preserve">    (U1)ALERT_REQ_H_MAICER_PD3_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t="s">
        <v>63</v>
      </c>
      <c r="AE44" s="50" t="s">
        <v>63</v>
      </c>
      <c r="AF44" s="50" t="s">
        <v>63</v>
      </c>
      <c r="AG44" s="50" t="s">
        <v>63</v>
      </c>
      <c r="AH44" s="50" t="s">
        <v>63</v>
      </c>
      <c r="AI44" s="50" t="s">
        <v>63</v>
      </c>
      <c r="AJ44" s="40"/>
      <c r="AL44" s="203" t="str">
        <f t="shared" ca="1" si="0"/>
        <v xml:space="preserve">    (U1)ALERT_REQ_H_MAICER_PD3_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t="s">
        <v>63</v>
      </c>
      <c r="AE45" s="50" t="s">
        <v>63</v>
      </c>
      <c r="AF45" s="50" t="s">
        <v>63</v>
      </c>
      <c r="AG45" s="50" t="s">
        <v>63</v>
      </c>
      <c r="AH45" s="50" t="s">
        <v>63</v>
      </c>
      <c r="AI45" s="50" t="s">
        <v>63</v>
      </c>
      <c r="AJ45" s="40"/>
      <c r="AL45" s="203" t="str">
        <f t="shared" ca="1" si="0"/>
        <v xml:space="preserve">    (U1)ALERT_REQ_H_MAICER_PD3_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t="s">
        <v>63</v>
      </c>
      <c r="AE46" s="50" t="s">
        <v>63</v>
      </c>
      <c r="AF46" s="50" t="s">
        <v>63</v>
      </c>
      <c r="AG46" s="50" t="s">
        <v>63</v>
      </c>
      <c r="AH46" s="50" t="s">
        <v>63</v>
      </c>
      <c r="AI46" s="50" t="s">
        <v>63</v>
      </c>
      <c r="AJ46" s="40"/>
      <c r="AL46" s="203" t="str">
        <f t="shared" ca="1" si="0"/>
        <v xml:space="preserve">    (U1)ALERT_REQ_H_MAICER_PD3_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t="s">
        <v>63</v>
      </c>
      <c r="AE47" s="50" t="s">
        <v>63</v>
      </c>
      <c r="AF47" s="50" t="s">
        <v>63</v>
      </c>
      <c r="AG47" s="50" t="s">
        <v>63</v>
      </c>
      <c r="AH47" s="50" t="s">
        <v>63</v>
      </c>
      <c r="AI47" s="50" t="s">
        <v>63</v>
      </c>
      <c r="AJ47" s="40"/>
      <c r="AL47" s="203" t="str">
        <f t="shared" ca="1" si="0"/>
        <v xml:space="preserve">    (U1)ALERT_REQ_H_MAICER_PD3_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t="s">
        <v>63</v>
      </c>
      <c r="AE48" s="50" t="s">
        <v>63</v>
      </c>
      <c r="AF48" s="50" t="s">
        <v>63</v>
      </c>
      <c r="AG48" s="50" t="s">
        <v>63</v>
      </c>
      <c r="AH48" s="50" t="s">
        <v>63</v>
      </c>
      <c r="AI48" s="50" t="s">
        <v>63</v>
      </c>
      <c r="AJ48" s="40"/>
      <c r="AL48" s="203" t="str">
        <f t="shared" ca="1" si="0"/>
        <v xml:space="preserve">    (U1)ALERT_REQ_H_MAICER_PD3_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t="s">
        <v>63</v>
      </c>
      <c r="AE49" s="50" t="s">
        <v>63</v>
      </c>
      <c r="AF49" s="50" t="s">
        <v>63</v>
      </c>
      <c r="AG49" s="50" t="s">
        <v>63</v>
      </c>
      <c r="AH49" s="50" t="s">
        <v>63</v>
      </c>
      <c r="AI49" s="50" t="s">
        <v>63</v>
      </c>
      <c r="AJ49" s="21"/>
      <c r="AL49" s="203" t="str">
        <f t="shared" ca="1" si="0"/>
        <v xml:space="preserve">    (U1)ALERT_REQ_H_MAICER_PD3_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t="s">
        <v>63</v>
      </c>
      <c r="AE50" s="50" t="s">
        <v>63</v>
      </c>
      <c r="AF50" s="50" t="s">
        <v>63</v>
      </c>
      <c r="AG50" s="50" t="s">
        <v>63</v>
      </c>
      <c r="AH50" s="50" t="s">
        <v>63</v>
      </c>
      <c r="AI50" s="50" t="s">
        <v>63</v>
      </c>
      <c r="AJ50" s="21"/>
      <c r="AL50" s="203" t="str">
        <f t="shared" ca="1" si="0"/>
        <v xml:space="preserve">    (U1)ALERT_REQ_H_MAICER_PD3_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t="s">
        <v>63</v>
      </c>
      <c r="AE51" s="50" t="s">
        <v>63</v>
      </c>
      <c r="AF51" s="50" t="s">
        <v>63</v>
      </c>
      <c r="AG51" s="50" t="s">
        <v>63</v>
      </c>
      <c r="AH51" s="50" t="s">
        <v>63</v>
      </c>
      <c r="AI51" s="50" t="s">
        <v>63</v>
      </c>
      <c r="AJ51" s="21"/>
      <c r="AL51" s="203" t="str">
        <f t="shared" ca="1" si="0"/>
        <v xml:space="preserve">    (U1)ALERT_REQ_H_MAICER_PD3_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t="s">
        <v>63</v>
      </c>
      <c r="AE52" s="50" t="s">
        <v>63</v>
      </c>
      <c r="AF52" s="50" t="s">
        <v>63</v>
      </c>
      <c r="AG52" s="50" t="s">
        <v>63</v>
      </c>
      <c r="AH52" s="50" t="s">
        <v>63</v>
      </c>
      <c r="AI52" s="50" t="s">
        <v>63</v>
      </c>
      <c r="AJ52" s="21"/>
      <c r="AL52" s="203" t="str">
        <f t="shared" ca="1" si="0"/>
        <v xml:space="preserve">    (U1)ALERT_REQ_H_MAICER_PD3_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t="s">
        <v>63</v>
      </c>
      <c r="AE53" s="50" t="s">
        <v>63</v>
      </c>
      <c r="AF53" s="50" t="s">
        <v>63</v>
      </c>
      <c r="AG53" s="50" t="s">
        <v>63</v>
      </c>
      <c r="AH53" s="50" t="s">
        <v>63</v>
      </c>
      <c r="AI53" s="50" t="s">
        <v>63</v>
      </c>
      <c r="AJ53" s="21"/>
      <c r="AL53" s="203" t="str">
        <f t="shared" ca="1" si="0"/>
        <v xml:space="preserve">    (U1)ALERT_REQ_H_MAICER_PD3_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t="s">
        <v>63</v>
      </c>
      <c r="AE54" s="50" t="s">
        <v>63</v>
      </c>
      <c r="AF54" s="50" t="s">
        <v>63</v>
      </c>
      <c r="AG54" s="50" t="s">
        <v>63</v>
      </c>
      <c r="AH54" s="50" t="s">
        <v>63</v>
      </c>
      <c r="AI54" s="50" t="s">
        <v>63</v>
      </c>
      <c r="AJ54" s="21"/>
      <c r="AL54" s="203" t="str">
        <f t="shared" ca="1" si="0"/>
        <v xml:space="preserve">    (U1)ALERT_REQ_H_MAICER_PD3_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t="s">
        <v>63</v>
      </c>
      <c r="AE55" s="50" t="s">
        <v>63</v>
      </c>
      <c r="AF55" s="50" t="s">
        <v>63</v>
      </c>
      <c r="AG55" s="50" t="s">
        <v>63</v>
      </c>
      <c r="AH55" s="50" t="s">
        <v>63</v>
      </c>
      <c r="AI55" s="50" t="s">
        <v>63</v>
      </c>
      <c r="AJ55" s="21"/>
      <c r="AL55" s="203" t="str">
        <f t="shared" ca="1" si="0"/>
        <v xml:space="preserve">    (U1)ALERT_REQ_H_MAICER_PD3_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t="s">
        <v>63</v>
      </c>
      <c r="AE56" s="50" t="s">
        <v>63</v>
      </c>
      <c r="AF56" s="50" t="s">
        <v>63</v>
      </c>
      <c r="AG56" s="50" t="s">
        <v>63</v>
      </c>
      <c r="AH56" s="50" t="s">
        <v>63</v>
      </c>
      <c r="AI56" s="50" t="s">
        <v>63</v>
      </c>
      <c r="AJ56" s="21"/>
      <c r="AL56" s="203" t="str">
        <f t="shared" ca="1" si="0"/>
        <v xml:space="preserve">    (U1)ALERT_REQ_H_MAICER_PD3_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t="s">
        <v>63</v>
      </c>
      <c r="AE57" s="50" t="s">
        <v>63</v>
      </c>
      <c r="AF57" s="50" t="s">
        <v>63</v>
      </c>
      <c r="AG57" s="50" t="s">
        <v>63</v>
      </c>
      <c r="AH57" s="50" t="s">
        <v>63</v>
      </c>
      <c r="AI57" s="50" t="s">
        <v>63</v>
      </c>
      <c r="AJ57" s="21"/>
      <c r="AL57" s="203" t="str">
        <f t="shared" ca="1" si="0"/>
        <v xml:space="preserve">    (U1)ALERT_REQ_H_MAICER_PD3_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t="s">
        <v>63</v>
      </c>
      <c r="AE58" s="50" t="s">
        <v>63</v>
      </c>
      <c r="AF58" s="50" t="s">
        <v>63</v>
      </c>
      <c r="AG58" s="50" t="s">
        <v>63</v>
      </c>
      <c r="AH58" s="50" t="s">
        <v>63</v>
      </c>
      <c r="AI58" s="50" t="s">
        <v>63</v>
      </c>
      <c r="AJ58" s="21"/>
      <c r="AL58" s="203" t="str">
        <f t="shared" ca="1" si="0"/>
        <v xml:space="preserve">    (U1)ALERT_REQ_H_MAICER_PD3_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t="s">
        <v>63</v>
      </c>
      <c r="AE59" s="50" t="s">
        <v>63</v>
      </c>
      <c r="AF59" s="50" t="s">
        <v>63</v>
      </c>
      <c r="AG59" s="50" t="s">
        <v>63</v>
      </c>
      <c r="AH59" s="50" t="s">
        <v>63</v>
      </c>
      <c r="AI59" s="50" t="s">
        <v>63</v>
      </c>
      <c r="AJ59" s="21"/>
      <c r="AL59" s="203" t="str">
        <f t="shared" ca="1" si="0"/>
        <v xml:space="preserve">    (U1)ALERT_REQ_H_MAICER_PD3_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t="s">
        <v>63</v>
      </c>
      <c r="AE60" s="50" t="s">
        <v>63</v>
      </c>
      <c r="AF60" s="50" t="s">
        <v>63</v>
      </c>
      <c r="AG60" s="50" t="s">
        <v>63</v>
      </c>
      <c r="AH60" s="50" t="s">
        <v>63</v>
      </c>
      <c r="AI60" s="50" t="s">
        <v>63</v>
      </c>
      <c r="AJ60" s="21"/>
      <c r="AL60" s="203" t="str">
        <f t="shared" ca="1" si="0"/>
        <v xml:space="preserve">    (U1)ALERT_REQ_H_MAICER_PD3_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t="s">
        <v>63</v>
      </c>
      <c r="AE61" s="50" t="s">
        <v>63</v>
      </c>
      <c r="AF61" s="50" t="s">
        <v>63</v>
      </c>
      <c r="AG61" s="50" t="s">
        <v>63</v>
      </c>
      <c r="AH61" s="50" t="s">
        <v>63</v>
      </c>
      <c r="AI61" s="50" t="s">
        <v>63</v>
      </c>
      <c r="AJ61" s="21"/>
      <c r="AL61" s="203" t="str">
        <f t="shared" ca="1" si="0"/>
        <v xml:space="preserve">    (U1)ALERT_REQ_H_MAICER_PD3_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t="s">
        <v>63</v>
      </c>
      <c r="AE62" s="50" t="s">
        <v>63</v>
      </c>
      <c r="AF62" s="50" t="s">
        <v>63</v>
      </c>
      <c r="AG62" s="50" t="s">
        <v>63</v>
      </c>
      <c r="AH62" s="50" t="s">
        <v>63</v>
      </c>
      <c r="AI62" s="50" t="s">
        <v>63</v>
      </c>
      <c r="AJ62" s="21"/>
      <c r="AL62" s="203" t="str">
        <f t="shared" ca="1" si="0"/>
        <v xml:space="preserve">    (U1)ALERT_REQ_H_MAICER_PD3_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t="s">
        <v>63</v>
      </c>
      <c r="AE63" s="50" t="s">
        <v>63</v>
      </c>
      <c r="AF63" s="50" t="s">
        <v>63</v>
      </c>
      <c r="AG63" s="50" t="s">
        <v>63</v>
      </c>
      <c r="AH63" s="50" t="s">
        <v>63</v>
      </c>
      <c r="AI63" s="50" t="s">
        <v>63</v>
      </c>
      <c r="AJ63" s="21"/>
      <c r="AL63" s="203" t="str">
        <f t="shared" ca="1" si="0"/>
        <v xml:space="preserve">    (U1)ALERT_REQ_H_MAICER_PD3_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t="s">
        <v>63</v>
      </c>
      <c r="AE64" s="50" t="s">
        <v>63</v>
      </c>
      <c r="AF64" s="50" t="s">
        <v>63</v>
      </c>
      <c r="AG64" s="50" t="s">
        <v>63</v>
      </c>
      <c r="AH64" s="50" t="s">
        <v>63</v>
      </c>
      <c r="AI64" s="50" t="s">
        <v>63</v>
      </c>
      <c r="AJ64" s="21"/>
      <c r="AL64" s="203" t="str">
        <f t="shared" ca="1" si="0"/>
        <v xml:space="preserve">    (U1)ALERT_REQ_H_MAICER_PD3_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t="s">
        <v>63</v>
      </c>
      <c r="AE65" s="50" t="s">
        <v>63</v>
      </c>
      <c r="AF65" s="50" t="s">
        <v>63</v>
      </c>
      <c r="AG65" s="50" t="s">
        <v>63</v>
      </c>
      <c r="AH65" s="50" t="s">
        <v>63</v>
      </c>
      <c r="AI65" s="50" t="s">
        <v>63</v>
      </c>
      <c r="AJ65" s="21"/>
      <c r="AL65" s="203" t="str">
        <f t="shared" ca="1" si="0"/>
        <v xml:space="preserve">    (U1)ALERT_REQ_H_MAICER_PD3_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t="s">
        <v>63</v>
      </c>
      <c r="AE66" s="50" t="s">
        <v>63</v>
      </c>
      <c r="AF66" s="50" t="s">
        <v>63</v>
      </c>
      <c r="AG66" s="50" t="s">
        <v>63</v>
      </c>
      <c r="AH66" s="50" t="s">
        <v>63</v>
      </c>
      <c r="AI66" s="50" t="s">
        <v>63</v>
      </c>
      <c r="AJ66" s="21"/>
      <c r="AL66" s="203" t="str">
        <f t="shared" ca="1" si="0"/>
        <v xml:space="preserve">    (U1)ALERT_REQ_H_MAICER_PD3_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t="s">
        <v>63</v>
      </c>
      <c r="AE67" s="50" t="s">
        <v>63</v>
      </c>
      <c r="AF67" s="50" t="s">
        <v>63</v>
      </c>
      <c r="AG67" s="50" t="s">
        <v>63</v>
      </c>
      <c r="AH67" s="50" t="s">
        <v>63</v>
      </c>
      <c r="AI67" s="50" t="s">
        <v>63</v>
      </c>
      <c r="AJ67" s="21"/>
      <c r="AL67" s="203" t="str">
        <f t="shared" ca="1" si="0"/>
        <v xml:space="preserve">    (U1)ALERT_REQ_H_MAICER_PD3_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t="s">
        <v>63</v>
      </c>
      <c r="AE68" s="50" t="s">
        <v>63</v>
      </c>
      <c r="AF68" s="50" t="s">
        <v>63</v>
      </c>
      <c r="AG68" s="50" t="s">
        <v>63</v>
      </c>
      <c r="AH68" s="50" t="s">
        <v>63</v>
      </c>
      <c r="AI68" s="50" t="s">
        <v>63</v>
      </c>
      <c r="AJ68" s="21"/>
      <c r="AL68" s="203" t="str">
        <f t="shared" ca="1" si="0"/>
        <v xml:space="preserve">    (U1)ALERT_REQ_H_MAICER_PD3_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1"/>
      <c r="AL69" s="203" t="str">
        <f t="shared" ca="1" si="0"/>
        <v xml:space="preserve">    (U1)ALERT_REQ_H_MAICER_PD3_</v>
      </c>
      <c r="AR69" s="52" t="str">
        <f t="shared" si="3"/>
        <v/>
      </c>
      <c r="AS69" s="52" t="str">
        <f t="shared" si="4"/>
        <v/>
      </c>
      <c r="AT69" s="52" t="str">
        <f t="shared" si="1"/>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PD3</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s="203"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MALFUNC</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s="203" t="str">
        <f t="shared" si="7"/>
        <v xml:space="preserve">    (U4)0x00000001U,                                                           /* 01 MALFUNC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s="20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s="203"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0</v>
      </c>
      <c r="AH75" s="119">
        <f t="shared" si="5"/>
        <v>0</v>
      </c>
      <c r="AI75" s="119">
        <f t="shared" si="5"/>
        <v>0</v>
      </c>
      <c r="AJ75" s="36" t="str">
        <f t="shared" si="6"/>
        <v/>
      </c>
      <c r="AK75" s="49"/>
      <c r="AL75" s="49" t="str">
        <f t="shared" si="9"/>
        <v>00</v>
      </c>
      <c r="AM75" s="51" t="str">
        <f t="shared" si="10"/>
        <v>00</v>
      </c>
      <c r="AN75" s="51" t="str">
        <f t="shared" si="11"/>
        <v>00</v>
      </c>
      <c r="AO75" s="51" t="str">
        <f t="shared" si="12"/>
        <v>00</v>
      </c>
      <c r="AQ75" s="203" t="str">
        <f t="shared" si="7"/>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0</v>
      </c>
      <c r="AH76" s="119">
        <f t="shared" si="5"/>
        <v>0</v>
      </c>
      <c r="AI76" s="119">
        <f t="shared" si="5"/>
        <v>0</v>
      </c>
      <c r="AJ76" s="36" t="str">
        <f t="shared" si="6"/>
        <v/>
      </c>
      <c r="AK76" s="49"/>
      <c r="AL76" s="49" t="str">
        <f t="shared" si="9"/>
        <v>00</v>
      </c>
      <c r="AM76" s="51" t="str">
        <f t="shared" si="10"/>
        <v>00</v>
      </c>
      <c r="AN76" s="51" t="str">
        <f t="shared" si="11"/>
        <v>00</v>
      </c>
      <c r="AO76" s="51" t="str">
        <f t="shared" si="12"/>
        <v>00</v>
      </c>
      <c r="AQ76" s="203" t="str">
        <f t="shared" si="7"/>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0</v>
      </c>
      <c r="AH77" s="119">
        <f t="shared" si="5"/>
        <v>0</v>
      </c>
      <c r="AI77" s="119">
        <f t="shared" si="5"/>
        <v>0</v>
      </c>
      <c r="AJ77" s="36" t="str">
        <f t="shared" si="6"/>
        <v/>
      </c>
      <c r="AK77" s="49"/>
      <c r="AL77" s="49" t="str">
        <f t="shared" si="9"/>
        <v>00</v>
      </c>
      <c r="AM77" s="51" t="str">
        <f t="shared" si="10"/>
        <v>00</v>
      </c>
      <c r="AN77" s="51" t="str">
        <f t="shared" si="11"/>
        <v>00</v>
      </c>
      <c r="AO77" s="51" t="str">
        <f t="shared" si="12"/>
        <v>00</v>
      </c>
      <c r="AQ77" s="203" t="str">
        <f t="shared" si="7"/>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0</v>
      </c>
      <c r="AH78" s="119">
        <f t="shared" si="5"/>
        <v>0</v>
      </c>
      <c r="AI78" s="119">
        <f>IF(AI13=1,1,0)</f>
        <v>0</v>
      </c>
      <c r="AJ78" s="36" t="str">
        <f t="shared" si="6"/>
        <v/>
      </c>
      <c r="AK78" s="49"/>
      <c r="AL78" s="49" t="str">
        <f t="shared" si="9"/>
        <v>00</v>
      </c>
      <c r="AM78" s="51" t="str">
        <f t="shared" si="10"/>
        <v>00</v>
      </c>
      <c r="AN78" s="51" t="str">
        <f t="shared" si="11"/>
        <v>00</v>
      </c>
      <c r="AO78" s="51" t="str">
        <f t="shared" si="12"/>
        <v>00</v>
      </c>
      <c r="AQ78" s="203" t="str">
        <f t="shared" si="7"/>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0</v>
      </c>
      <c r="AG79" s="119">
        <f t="shared" si="13"/>
        <v>0</v>
      </c>
      <c r="AH79" s="119">
        <f t="shared" si="13"/>
        <v>0</v>
      </c>
      <c r="AI79" s="119">
        <f t="shared" si="13"/>
        <v>0</v>
      </c>
      <c r="AJ79" s="36" t="str">
        <f t="shared" si="6"/>
        <v/>
      </c>
      <c r="AK79" s="49"/>
      <c r="AL79" s="49" t="str">
        <f t="shared" si="9"/>
        <v>00</v>
      </c>
      <c r="AM79" s="51" t="str">
        <f t="shared" si="10"/>
        <v>00</v>
      </c>
      <c r="AN79" s="51" t="str">
        <f t="shared" si="11"/>
        <v>00</v>
      </c>
      <c r="AO79" s="51" t="str">
        <f t="shared" si="12"/>
        <v>00</v>
      </c>
      <c r="AQ79" s="203" t="str">
        <f t="shared" si="7"/>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0</v>
      </c>
      <c r="AG80" s="119">
        <f t="shared" si="13"/>
        <v>0</v>
      </c>
      <c r="AH80" s="119">
        <f t="shared" si="13"/>
        <v>0</v>
      </c>
      <c r="AI80" s="119">
        <f t="shared" si="13"/>
        <v>0</v>
      </c>
      <c r="AJ80" s="36" t="str">
        <f t="shared" si="6"/>
        <v/>
      </c>
      <c r="AK80" s="49"/>
      <c r="AL80" s="49" t="str">
        <f t="shared" si="9"/>
        <v>00</v>
      </c>
      <c r="AM80" s="51" t="str">
        <f t="shared" si="10"/>
        <v>00</v>
      </c>
      <c r="AN80" s="51" t="str">
        <f t="shared" si="11"/>
        <v>00</v>
      </c>
      <c r="AO80" s="51" t="str">
        <f t="shared" si="12"/>
        <v>00</v>
      </c>
      <c r="AQ80" s="203" t="str">
        <f t="shared" si="7"/>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0</v>
      </c>
      <c r="AG81" s="119">
        <f t="shared" si="13"/>
        <v>0</v>
      </c>
      <c r="AH81" s="119">
        <f t="shared" si="13"/>
        <v>0</v>
      </c>
      <c r="AI81" s="119">
        <f t="shared" si="13"/>
        <v>0</v>
      </c>
      <c r="AJ81" s="36" t="str">
        <f t="shared" si="6"/>
        <v/>
      </c>
      <c r="AK81" s="49"/>
      <c r="AL81" s="49" t="str">
        <f t="shared" si="9"/>
        <v>00</v>
      </c>
      <c r="AM81" s="51" t="str">
        <f t="shared" si="10"/>
        <v>00</v>
      </c>
      <c r="AN81" s="51" t="str">
        <f t="shared" si="11"/>
        <v>00</v>
      </c>
      <c r="AO81" s="51" t="str">
        <f t="shared" si="12"/>
        <v>00</v>
      </c>
      <c r="AQ81" s="203" t="str">
        <f t="shared" si="7"/>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0</v>
      </c>
      <c r="AG82" s="119">
        <f t="shared" si="13"/>
        <v>0</v>
      </c>
      <c r="AH82" s="119">
        <f t="shared" si="13"/>
        <v>0</v>
      </c>
      <c r="AI82" s="119">
        <f t="shared" si="13"/>
        <v>0</v>
      </c>
      <c r="AJ82" s="36" t="str">
        <f t="shared" si="6"/>
        <v/>
      </c>
      <c r="AK82" s="49"/>
      <c r="AL82" s="49" t="str">
        <f t="shared" si="9"/>
        <v>00</v>
      </c>
      <c r="AM82" s="51" t="str">
        <f t="shared" si="10"/>
        <v>00</v>
      </c>
      <c r="AN82" s="51" t="str">
        <f t="shared" si="11"/>
        <v>00</v>
      </c>
      <c r="AO82" s="51" t="str">
        <f t="shared" si="12"/>
        <v>00</v>
      </c>
      <c r="AQ82" s="203" t="str">
        <f t="shared" si="7"/>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0</v>
      </c>
      <c r="AG83" s="119">
        <f t="shared" si="13"/>
        <v>0</v>
      </c>
      <c r="AH83" s="119">
        <f t="shared" si="13"/>
        <v>0</v>
      </c>
      <c r="AI83" s="119">
        <f t="shared" si="13"/>
        <v>0</v>
      </c>
      <c r="AJ83" s="36" t="str">
        <f t="shared" si="6"/>
        <v/>
      </c>
      <c r="AK83" s="49"/>
      <c r="AL83" s="49" t="str">
        <f t="shared" si="9"/>
        <v>00</v>
      </c>
      <c r="AM83" s="51" t="str">
        <f t="shared" si="10"/>
        <v>00</v>
      </c>
      <c r="AN83" s="51" t="str">
        <f t="shared" si="11"/>
        <v>00</v>
      </c>
      <c r="AO83" s="51" t="str">
        <f t="shared" si="12"/>
        <v>00</v>
      </c>
      <c r="AQ83" s="203" t="str">
        <f t="shared" si="7"/>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0</v>
      </c>
      <c r="AG84" s="119">
        <f t="shared" si="13"/>
        <v>0</v>
      </c>
      <c r="AH84" s="119">
        <f t="shared" si="13"/>
        <v>0</v>
      </c>
      <c r="AI84" s="119">
        <f t="shared" si="13"/>
        <v>0</v>
      </c>
      <c r="AJ84" s="36" t="str">
        <f t="shared" si="6"/>
        <v/>
      </c>
      <c r="AK84" s="49"/>
      <c r="AL84" s="49" t="str">
        <f t="shared" si="9"/>
        <v>00</v>
      </c>
      <c r="AM84" s="51" t="str">
        <f t="shared" si="10"/>
        <v>00</v>
      </c>
      <c r="AN84" s="51" t="str">
        <f t="shared" si="11"/>
        <v>00</v>
      </c>
      <c r="AO84" s="51" t="str">
        <f t="shared" si="12"/>
        <v>00</v>
      </c>
      <c r="AQ84" s="203" t="str">
        <f t="shared" si="7"/>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0</v>
      </c>
      <c r="AG85" s="119">
        <f t="shared" si="13"/>
        <v>0</v>
      </c>
      <c r="AH85" s="119">
        <f t="shared" si="13"/>
        <v>0</v>
      </c>
      <c r="AI85" s="119">
        <f t="shared" si="13"/>
        <v>0</v>
      </c>
      <c r="AJ85" s="36" t="str">
        <f t="shared" si="6"/>
        <v/>
      </c>
      <c r="AK85" s="49"/>
      <c r="AL85" s="49" t="str">
        <f t="shared" si="9"/>
        <v>00</v>
      </c>
      <c r="AM85" s="51" t="str">
        <f t="shared" si="10"/>
        <v>00</v>
      </c>
      <c r="AN85" s="51" t="str">
        <f t="shared" si="11"/>
        <v>00</v>
      </c>
      <c r="AO85" s="51" t="str">
        <f t="shared" si="12"/>
        <v>00</v>
      </c>
      <c r="AQ85" s="203" t="str">
        <f t="shared" si="7"/>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0</v>
      </c>
      <c r="AG86" s="119">
        <f t="shared" si="13"/>
        <v>0</v>
      </c>
      <c r="AH86" s="119">
        <f t="shared" si="13"/>
        <v>0</v>
      </c>
      <c r="AI86" s="119">
        <f>IF(AI21=1,1,0)</f>
        <v>0</v>
      </c>
      <c r="AJ86" s="36" t="str">
        <f t="shared" si="6"/>
        <v/>
      </c>
      <c r="AK86" s="49"/>
      <c r="AL86" s="49" t="str">
        <f t="shared" si="9"/>
        <v>00</v>
      </c>
      <c r="AM86" s="51" t="str">
        <f t="shared" si="10"/>
        <v>00</v>
      </c>
      <c r="AN86" s="51" t="str">
        <f t="shared" si="11"/>
        <v>00</v>
      </c>
      <c r="AO86" s="51" t="str">
        <f t="shared" si="12"/>
        <v>00</v>
      </c>
      <c r="AQ86" s="203" t="str">
        <f t="shared" si="7"/>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s="203"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s="203"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s="203"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s="203"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s="203"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s="203"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s="20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s="203"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s="203"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s="203"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s="203"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s="203"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s="203"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s="203"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s="203"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s="203"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s="2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s="203"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s="203"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s="203"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s="203"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s="203"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s="203"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s="203"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s="203"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s="203"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s="20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s="203"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s="203"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s="203"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s="203"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s="203"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s="203"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s="203"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s="203"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s="203"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s="20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s="203"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s="203"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s="203"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s="203"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s="203"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s="203"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s="203"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s="203"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s="203"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s="20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s="203"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PD3</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0</v>
      </c>
      <c r="AG136" s="119">
        <f t="shared" si="20"/>
        <v>0</v>
      </c>
      <c r="AH136" s="119">
        <f t="shared" si="20"/>
        <v>1</v>
      </c>
      <c r="AI136" s="119">
        <f t="shared" si="20"/>
        <v>1</v>
      </c>
      <c r="AJ136" s="36" t="str">
        <f t="shared" ref="AJ136:AJ199" si="21">IF(AJ6&lt;&gt;"",AJ6,"")</f>
        <v>UNKNOWN</v>
      </c>
      <c r="AK136" s="49"/>
      <c r="AL136" s="49" t="str">
        <f>BIN2HEX(AB136&amp;AC136&amp;AD136&amp;AE136&amp;AF136&amp;AG136&amp;AH136&amp;AI136,2)</f>
        <v>03</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s="203" t="str">
        <f t="shared" ref="AQ136:AQ199" si="22">IF(AJ136="","","    (U4)0x"&amp;AO136&amp;AN136&amp;AM136&amp;AL136&amp;"U"&amp;IF(AJ137=""," ",",")&amp;REPT(" ",59)&amp;"/* "&amp;IF(C136&lt;10,"0"&amp;C136,C136)&amp;" "&amp;AJ136&amp;REPT(" ",47-LEN(AJ136))&amp;" */")</f>
        <v xml:space="preserve">    (U4)0x00000003U,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0</v>
      </c>
      <c r="AG137" s="119">
        <f t="shared" si="20"/>
        <v>0</v>
      </c>
      <c r="AH137" s="119">
        <f t="shared" si="20"/>
        <v>1</v>
      </c>
      <c r="AI137" s="119">
        <f t="shared" si="20"/>
        <v>1</v>
      </c>
      <c r="AJ137" s="36" t="str">
        <f t="shared" si="21"/>
        <v>MALFUNC</v>
      </c>
      <c r="AK137" s="49"/>
      <c r="AL137" s="49" t="str">
        <f t="shared" ref="AL137:AL199" si="24">BIN2HEX(AB137&amp;AC137&amp;AD137&amp;AE137&amp;AF137&amp;AG137&amp;AH137&amp;AI137,2)</f>
        <v>03</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s="203" t="str">
        <f t="shared" si="22"/>
        <v xml:space="preserve">    (U4)0x00000003U,                                                           /* 01 MALFUNC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0</v>
      </c>
      <c r="AG138" s="119">
        <f t="shared" si="20"/>
        <v>0</v>
      </c>
      <c r="AH138" s="119">
        <f t="shared" si="20"/>
        <v>1</v>
      </c>
      <c r="AI138" s="119">
        <f t="shared" si="20"/>
        <v>1</v>
      </c>
      <c r="AJ138" s="36" t="str">
        <f t="shared" si="21"/>
        <v>UNKNOWN</v>
      </c>
      <c r="AK138" s="49"/>
      <c r="AL138" s="49" t="str">
        <f t="shared" si="24"/>
        <v>03</v>
      </c>
      <c r="AM138" s="51" t="str">
        <f t="shared" si="25"/>
        <v>00</v>
      </c>
      <c r="AN138" s="51" t="str">
        <f t="shared" si="26"/>
        <v>00</v>
      </c>
      <c r="AO138" s="51" t="str">
        <f t="shared" si="27"/>
        <v>00</v>
      </c>
      <c r="AQ138" s="203" t="str">
        <f t="shared" si="22"/>
        <v xml:space="preserve">    (U4)0x00000003U,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0</v>
      </c>
      <c r="AG139" s="119">
        <f t="shared" si="20"/>
        <v>0</v>
      </c>
      <c r="AH139" s="119">
        <f t="shared" si="20"/>
        <v>1</v>
      </c>
      <c r="AI139" s="119">
        <f t="shared" si="20"/>
        <v>1</v>
      </c>
      <c r="AJ139" s="36" t="str">
        <f t="shared" si="21"/>
        <v>UNKNOWN</v>
      </c>
      <c r="AK139" s="49"/>
      <c r="AL139" s="49" t="str">
        <f t="shared" si="24"/>
        <v>03</v>
      </c>
      <c r="AM139" s="51" t="str">
        <f t="shared" si="25"/>
        <v>00</v>
      </c>
      <c r="AN139" s="51" t="str">
        <f t="shared" si="26"/>
        <v>00</v>
      </c>
      <c r="AO139" s="51" t="str">
        <f t="shared" si="27"/>
        <v>00</v>
      </c>
      <c r="AQ139" s="203" t="str">
        <f t="shared" si="22"/>
        <v xml:space="preserve">    (U4)0x00000003U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0</v>
      </c>
      <c r="AG140" s="119">
        <f t="shared" si="20"/>
        <v>0</v>
      </c>
      <c r="AH140" s="119">
        <f t="shared" si="20"/>
        <v>0</v>
      </c>
      <c r="AI140" s="119">
        <f t="shared" si="20"/>
        <v>0</v>
      </c>
      <c r="AJ140" s="36" t="str">
        <f t="shared" si="21"/>
        <v/>
      </c>
      <c r="AK140" s="49"/>
      <c r="AL140" s="49" t="str">
        <f t="shared" si="24"/>
        <v>00</v>
      </c>
      <c r="AM140" s="51" t="str">
        <f t="shared" si="25"/>
        <v>00</v>
      </c>
      <c r="AN140" s="51" t="str">
        <f t="shared" si="26"/>
        <v>00</v>
      </c>
      <c r="AO140" s="51" t="str">
        <f t="shared" si="27"/>
        <v>00</v>
      </c>
      <c r="AQ140" s="203" t="str">
        <f t="shared" si="22"/>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0</v>
      </c>
      <c r="AG141" s="119">
        <f t="shared" si="20"/>
        <v>0</v>
      </c>
      <c r="AH141" s="119">
        <f t="shared" si="20"/>
        <v>0</v>
      </c>
      <c r="AI141" s="119">
        <f t="shared" si="20"/>
        <v>0</v>
      </c>
      <c r="AJ141" s="36" t="str">
        <f t="shared" si="21"/>
        <v/>
      </c>
      <c r="AK141" s="49"/>
      <c r="AL141" s="49" t="str">
        <f t="shared" si="24"/>
        <v>00</v>
      </c>
      <c r="AM141" s="51" t="str">
        <f t="shared" si="25"/>
        <v>00</v>
      </c>
      <c r="AN141" s="51" t="str">
        <f t="shared" si="26"/>
        <v>00</v>
      </c>
      <c r="AO141" s="51" t="str">
        <f t="shared" si="27"/>
        <v>00</v>
      </c>
      <c r="AQ141" s="203" t="str">
        <f t="shared" si="22"/>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0</v>
      </c>
      <c r="AG142" s="119">
        <f t="shared" si="20"/>
        <v>0</v>
      </c>
      <c r="AH142" s="119">
        <f t="shared" si="20"/>
        <v>0</v>
      </c>
      <c r="AI142" s="119">
        <f t="shared" si="20"/>
        <v>0</v>
      </c>
      <c r="AJ142" s="36" t="str">
        <f t="shared" si="21"/>
        <v/>
      </c>
      <c r="AK142" s="49"/>
      <c r="AL142" s="49" t="str">
        <f t="shared" si="24"/>
        <v>00</v>
      </c>
      <c r="AM142" s="51" t="str">
        <f t="shared" si="25"/>
        <v>00</v>
      </c>
      <c r="AN142" s="51" t="str">
        <f t="shared" si="26"/>
        <v>00</v>
      </c>
      <c r="AO142" s="51" t="str">
        <f t="shared" si="27"/>
        <v>00</v>
      </c>
      <c r="AQ142" s="203" t="str">
        <f t="shared" si="22"/>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0</v>
      </c>
      <c r="AG143" s="119">
        <f t="shared" si="20"/>
        <v>0</v>
      </c>
      <c r="AH143" s="119">
        <f t="shared" si="20"/>
        <v>0</v>
      </c>
      <c r="AI143" s="119">
        <f>IF(OR(AI13=0,AI13=1),1,0)</f>
        <v>0</v>
      </c>
      <c r="AJ143" s="36" t="str">
        <f t="shared" si="21"/>
        <v/>
      </c>
      <c r="AK143" s="49"/>
      <c r="AL143" s="49" t="str">
        <f t="shared" si="24"/>
        <v>00</v>
      </c>
      <c r="AM143" s="51" t="str">
        <f t="shared" si="25"/>
        <v>00</v>
      </c>
      <c r="AN143" s="51" t="str">
        <f t="shared" si="26"/>
        <v>00</v>
      </c>
      <c r="AO143" s="51" t="str">
        <f t="shared" si="27"/>
        <v>00</v>
      </c>
      <c r="AQ143" s="203" t="str">
        <f t="shared" si="22"/>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0</v>
      </c>
      <c r="AG144" s="119">
        <f t="shared" si="28"/>
        <v>0</v>
      </c>
      <c r="AH144" s="119">
        <f t="shared" si="28"/>
        <v>0</v>
      </c>
      <c r="AI144" s="119">
        <f t="shared" si="28"/>
        <v>0</v>
      </c>
      <c r="AJ144" s="36" t="str">
        <f t="shared" si="21"/>
        <v/>
      </c>
      <c r="AK144" s="49"/>
      <c r="AL144" s="49" t="str">
        <f t="shared" si="24"/>
        <v>00</v>
      </c>
      <c r="AM144" s="51" t="str">
        <f t="shared" si="25"/>
        <v>00</v>
      </c>
      <c r="AN144" s="51" t="str">
        <f t="shared" si="26"/>
        <v>00</v>
      </c>
      <c r="AO144" s="51" t="str">
        <f t="shared" si="27"/>
        <v>00</v>
      </c>
      <c r="AQ144" s="203" t="str">
        <f t="shared" si="22"/>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0</v>
      </c>
      <c r="AG145" s="119">
        <f t="shared" si="28"/>
        <v>0</v>
      </c>
      <c r="AH145" s="119">
        <f t="shared" si="28"/>
        <v>0</v>
      </c>
      <c r="AI145" s="119">
        <f t="shared" si="28"/>
        <v>0</v>
      </c>
      <c r="AJ145" s="36" t="str">
        <f t="shared" si="21"/>
        <v/>
      </c>
      <c r="AK145" s="49"/>
      <c r="AL145" s="49" t="str">
        <f t="shared" si="24"/>
        <v>00</v>
      </c>
      <c r="AM145" s="51" t="str">
        <f t="shared" si="25"/>
        <v>00</v>
      </c>
      <c r="AN145" s="51" t="str">
        <f t="shared" si="26"/>
        <v>00</v>
      </c>
      <c r="AO145" s="51" t="str">
        <f t="shared" si="27"/>
        <v>00</v>
      </c>
      <c r="AQ145" s="203" t="str">
        <f t="shared" si="22"/>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0</v>
      </c>
      <c r="AG146" s="119">
        <f t="shared" si="28"/>
        <v>0</v>
      </c>
      <c r="AH146" s="119">
        <f t="shared" si="28"/>
        <v>0</v>
      </c>
      <c r="AI146" s="119">
        <f t="shared" si="28"/>
        <v>0</v>
      </c>
      <c r="AJ146" s="36" t="str">
        <f t="shared" si="21"/>
        <v/>
      </c>
      <c r="AK146" s="49"/>
      <c r="AL146" s="49" t="str">
        <f t="shared" si="24"/>
        <v>00</v>
      </c>
      <c r="AM146" s="51" t="str">
        <f t="shared" si="25"/>
        <v>00</v>
      </c>
      <c r="AN146" s="51" t="str">
        <f t="shared" si="26"/>
        <v>00</v>
      </c>
      <c r="AO146" s="51" t="str">
        <f t="shared" si="27"/>
        <v>00</v>
      </c>
      <c r="AQ146" s="203" t="str">
        <f t="shared" si="22"/>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0</v>
      </c>
      <c r="AG147" s="119">
        <f t="shared" si="28"/>
        <v>0</v>
      </c>
      <c r="AH147" s="119">
        <f t="shared" si="28"/>
        <v>0</v>
      </c>
      <c r="AI147" s="119">
        <f t="shared" si="28"/>
        <v>0</v>
      </c>
      <c r="AJ147" s="36" t="str">
        <f t="shared" si="21"/>
        <v/>
      </c>
      <c r="AK147" s="49"/>
      <c r="AL147" s="49" t="str">
        <f t="shared" si="24"/>
        <v>00</v>
      </c>
      <c r="AM147" s="51" t="str">
        <f t="shared" si="25"/>
        <v>00</v>
      </c>
      <c r="AN147" s="51" t="str">
        <f t="shared" si="26"/>
        <v>00</v>
      </c>
      <c r="AO147" s="51" t="str">
        <f t="shared" si="27"/>
        <v>00</v>
      </c>
      <c r="AQ147" s="203" t="str">
        <f t="shared" si="22"/>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0</v>
      </c>
      <c r="AG148" s="119">
        <f t="shared" si="28"/>
        <v>0</v>
      </c>
      <c r="AH148" s="119">
        <f t="shared" si="28"/>
        <v>0</v>
      </c>
      <c r="AI148" s="119">
        <f t="shared" si="28"/>
        <v>0</v>
      </c>
      <c r="AJ148" s="36" t="str">
        <f t="shared" si="21"/>
        <v/>
      </c>
      <c r="AK148" s="49"/>
      <c r="AL148" s="49" t="str">
        <f t="shared" si="24"/>
        <v>00</v>
      </c>
      <c r="AM148" s="51" t="str">
        <f t="shared" si="25"/>
        <v>00</v>
      </c>
      <c r="AN148" s="51" t="str">
        <f t="shared" si="26"/>
        <v>00</v>
      </c>
      <c r="AO148" s="51" t="str">
        <f t="shared" si="27"/>
        <v>00</v>
      </c>
      <c r="AQ148" s="203" t="str">
        <f t="shared" si="22"/>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0</v>
      </c>
      <c r="AG149" s="119">
        <f t="shared" si="28"/>
        <v>0</v>
      </c>
      <c r="AH149" s="119">
        <f t="shared" si="28"/>
        <v>0</v>
      </c>
      <c r="AI149" s="119">
        <f t="shared" si="28"/>
        <v>0</v>
      </c>
      <c r="AJ149" s="36" t="str">
        <f t="shared" si="21"/>
        <v/>
      </c>
      <c r="AK149" s="49"/>
      <c r="AL149" s="49" t="str">
        <f t="shared" si="24"/>
        <v>00</v>
      </c>
      <c r="AM149" s="51" t="str">
        <f t="shared" si="25"/>
        <v>00</v>
      </c>
      <c r="AN149" s="51" t="str">
        <f t="shared" si="26"/>
        <v>00</v>
      </c>
      <c r="AO149" s="51" t="str">
        <f t="shared" si="27"/>
        <v>00</v>
      </c>
      <c r="AQ149" s="203" t="str">
        <f t="shared" si="22"/>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0</v>
      </c>
      <c r="AG150" s="119">
        <f t="shared" si="28"/>
        <v>0</v>
      </c>
      <c r="AH150" s="119">
        <f t="shared" si="28"/>
        <v>0</v>
      </c>
      <c r="AI150" s="119">
        <f t="shared" si="28"/>
        <v>0</v>
      </c>
      <c r="AJ150" s="36" t="str">
        <f t="shared" si="21"/>
        <v/>
      </c>
      <c r="AK150" s="49"/>
      <c r="AL150" s="49" t="str">
        <f t="shared" si="24"/>
        <v>00</v>
      </c>
      <c r="AM150" s="51" t="str">
        <f t="shared" si="25"/>
        <v>00</v>
      </c>
      <c r="AN150" s="51" t="str">
        <f t="shared" si="26"/>
        <v>00</v>
      </c>
      <c r="AO150" s="51" t="str">
        <f t="shared" si="27"/>
        <v>00</v>
      </c>
      <c r="AQ150" s="203" t="str">
        <f t="shared" si="22"/>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0</v>
      </c>
      <c r="AG151" s="119">
        <f t="shared" si="28"/>
        <v>0</v>
      </c>
      <c r="AH151" s="119">
        <f t="shared" si="28"/>
        <v>0</v>
      </c>
      <c r="AI151" s="119">
        <f>IF(OR(AI21=0,AI21=1),1,0)</f>
        <v>0</v>
      </c>
      <c r="AJ151" s="36" t="str">
        <f t="shared" si="21"/>
        <v/>
      </c>
      <c r="AK151" s="49"/>
      <c r="AL151" s="49" t="str">
        <f t="shared" si="24"/>
        <v>00</v>
      </c>
      <c r="AM151" s="51" t="str">
        <f t="shared" si="25"/>
        <v>00</v>
      </c>
      <c r="AN151" s="51" t="str">
        <f t="shared" si="26"/>
        <v>00</v>
      </c>
      <c r="AO151" s="51" t="str">
        <f t="shared" si="27"/>
        <v>00</v>
      </c>
      <c r="AQ151" s="203" t="str">
        <f t="shared" si="22"/>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s="203"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s="20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s="203"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s="203"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s="203"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s="203"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s="203"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s="203"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s="203"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s="203"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s="203"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s="20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s="203"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s="203"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s="203"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s="203"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s="203"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s="203"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s="203"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s="203"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s="203"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s="20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s="203"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s="203"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s="203"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s="203"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s="203"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s="203"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s="203"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s="203"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s="203"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s="20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s="203"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s="203"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s="203"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s="203"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s="203"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s="203"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s="203"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s="203"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s="203"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s="20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s="203"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s="203"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s="203"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s="203"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s="203"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s="203" t="str">
        <f t="shared" si="22"/>
        <v/>
      </c>
    </row>
  </sheetData>
  <protectedRanges>
    <protectedRange sqref="L3:AG3 D6:AJ69" name="Table作成編集範囲"/>
    <protectedRange sqref="B3" name="Table作成編集範囲_1"/>
    <protectedRange sqref="AH3:AI3" name="Table作成編集範囲_2_1"/>
  </protectedRanges>
  <mergeCells count="3">
    <mergeCell ref="C2:C3"/>
    <mergeCell ref="AJ2:AJ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style="203" customWidth="1"/>
    <col min="2" max="2" width="16.75" style="203" bestFit="1" customWidth="1"/>
    <col min="3" max="3" width="3" style="203" bestFit="1" customWidth="1"/>
    <col min="4" max="35" width="3" style="203" customWidth="1"/>
    <col min="36" max="36" width="36.375" style="203" bestFit="1" customWidth="1"/>
    <col min="37" max="37" width="4.125" style="203" customWidth="1"/>
    <col min="38" max="42" width="9" style="203" hidden="1" customWidth="1"/>
    <col min="43" max="43" width="20.625" style="203" hidden="1" customWidth="1"/>
    <col min="44" max="47" width="41.125" style="203" customWidth="1"/>
    <col min="48" max="48" width="23.625" style="203" customWidth="1"/>
    <col min="49" max="49" width="29" style="203" bestFit="1" customWidth="1"/>
    <col min="50" max="16384" width="9" style="203"/>
  </cols>
  <sheetData>
    <row r="1" spans="1:49">
      <c r="AH1" s="203" t="s">
        <v>55</v>
      </c>
      <c r="AI1" s="203" t="s">
        <v>56</v>
      </c>
    </row>
    <row r="2" spans="1:49">
      <c r="B2" s="118" t="s">
        <v>115</v>
      </c>
      <c r="C2" s="293"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5" t="s">
        <v>47</v>
      </c>
    </row>
    <row r="3" spans="1:49" ht="213" customHeight="1" thickBot="1">
      <c r="B3" s="183" t="str">
        <f>IF(OR(IF(COUNTIF(D6:AC69,"0")&lt;&gt;0,TRUE,FALSE),IF(COUNTIF(D6:AC69,"1")&lt;&gt;0,TRUE,FALSE)),"Search Table","Index Table")</f>
        <v>Index Table</v>
      </c>
      <c r="C3" s="294"/>
      <c r="D3" s="120" t="s">
        <v>57</v>
      </c>
      <c r="E3" s="120" t="s">
        <v>62</v>
      </c>
      <c r="F3" s="120" t="s">
        <v>45</v>
      </c>
      <c r="G3" s="120" t="s">
        <v>44</v>
      </c>
      <c r="H3" s="120" t="s">
        <v>113</v>
      </c>
      <c r="I3" s="120" t="s">
        <v>112</v>
      </c>
      <c r="J3" s="120" t="s">
        <v>117</v>
      </c>
      <c r="K3" s="120" t="s">
        <v>116</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121" t="s">
        <v>58</v>
      </c>
      <c r="AG3" s="121" t="s">
        <v>58</v>
      </c>
      <c r="AH3" s="207" t="s">
        <v>225</v>
      </c>
      <c r="AI3" s="208" t="s">
        <v>271</v>
      </c>
      <c r="AJ3" s="296"/>
      <c r="AR3" s="82" t="s">
        <v>88</v>
      </c>
    </row>
    <row r="4" spans="1:49" ht="14.25" thickBot="1">
      <c r="A4" s="297" t="s">
        <v>59</v>
      </c>
      <c r="B4" s="298"/>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123"/>
      <c r="AR4" s="70" t="s">
        <v>75</v>
      </c>
      <c r="AS4" s="71"/>
      <c r="AT4" s="71"/>
      <c r="AU4" s="71"/>
      <c r="AV4" s="71"/>
      <c r="AW4" s="72"/>
    </row>
    <row r="5" spans="1:49" ht="14.25" thickBot="1">
      <c r="A5" s="299"/>
      <c r="B5" s="300"/>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124"/>
      <c r="AR5" s="73" t="str">
        <f ca="1">"static const U4  "&amp;AW8&amp;"["&amp;AW10&amp;"]"&amp;" = {"</f>
        <v>static const U4  u4_sp_ALERT_H_MAICER_PD4_CRIT[ALERT_H_MAICER_PD4_NUM_DST] = {</v>
      </c>
      <c r="AS5" s="73" t="str">
        <f ca="1">"static const U4  "&amp;$AW$9&amp;"["&amp;$AW$10&amp;"] = {"</f>
        <v>static const U4  u4_sp_ALERT_H_MAICER_PD4_MASK[ALERT_H_MAICER_PD4_NUM_DST] = {</v>
      </c>
      <c r="AT5" s="73" t="str">
        <f ca="1">"static const U1  "&amp;$AW$11&amp;"["&amp;$AW$10&amp;"] = {"</f>
        <v>static const U1  u1_sp_ALERT_H_MAICER_PD4_DST[ALERT_H_MAICER_PD4_NUM_DST] = {</v>
      </c>
      <c r="AU5" s="73" t="str">
        <f ca="1">"const ST_ALERT_MTRX "&amp;$AW$12&amp;" = {"</f>
        <v>const ST_ALERT_MTRX st_gp_ALERT_H_MAICER_MTRX[4] = {</v>
      </c>
      <c r="AV5" s="54" t="str">
        <f ca="1">"#define "&amp;AW10&amp;REPT(" ",41-LEN(AW10))&amp;"("&amp;AW13&amp;"U)"</f>
        <v>#define ALERT_H_MAICER_PD4_NUM_DST               (4U)</v>
      </c>
      <c r="AW5" s="55"/>
    </row>
    <row r="6" spans="1:49">
      <c r="B6" s="126" t="str">
        <f ca="1">"Table "&amp;$AW$6</f>
        <v>Table PD4</v>
      </c>
      <c r="C6" s="41">
        <f>ROW()-ROW($C$6)</f>
        <v>0</v>
      </c>
      <c r="D6" s="122" t="s">
        <v>176</v>
      </c>
      <c r="E6" s="122" t="s">
        <v>176</v>
      </c>
      <c r="F6" s="122" t="s">
        <v>176</v>
      </c>
      <c r="G6" s="122" t="s">
        <v>176</v>
      </c>
      <c r="H6" s="122" t="s">
        <v>176</v>
      </c>
      <c r="I6" s="122" t="s">
        <v>176</v>
      </c>
      <c r="J6" s="122" t="s">
        <v>176</v>
      </c>
      <c r="K6" s="122" t="s">
        <v>176</v>
      </c>
      <c r="L6" s="122" t="s">
        <v>176</v>
      </c>
      <c r="M6" s="122" t="s">
        <v>176</v>
      </c>
      <c r="N6" s="122" t="s">
        <v>176</v>
      </c>
      <c r="O6" s="122" t="s">
        <v>176</v>
      </c>
      <c r="P6" s="122" t="s">
        <v>176</v>
      </c>
      <c r="Q6" s="122" t="s">
        <v>176</v>
      </c>
      <c r="R6" s="122" t="s">
        <v>176</v>
      </c>
      <c r="S6" s="122" t="s">
        <v>176</v>
      </c>
      <c r="T6" s="122" t="s">
        <v>176</v>
      </c>
      <c r="U6" s="122" t="s">
        <v>176</v>
      </c>
      <c r="V6" s="122" t="s">
        <v>176</v>
      </c>
      <c r="W6" s="122" t="s">
        <v>176</v>
      </c>
      <c r="X6" s="122" t="s">
        <v>176</v>
      </c>
      <c r="Y6" s="122" t="s">
        <v>176</v>
      </c>
      <c r="Z6" s="122" t="s">
        <v>176</v>
      </c>
      <c r="AA6" s="122" t="s">
        <v>176</v>
      </c>
      <c r="AB6" s="122" t="s">
        <v>176</v>
      </c>
      <c r="AC6" s="122" t="s">
        <v>176</v>
      </c>
      <c r="AD6" s="122" t="s">
        <v>176</v>
      </c>
      <c r="AE6" s="122" t="s">
        <v>176</v>
      </c>
      <c r="AF6" s="122" t="s">
        <v>176</v>
      </c>
      <c r="AG6" s="122" t="s">
        <v>176</v>
      </c>
      <c r="AH6" s="122">
        <v>0</v>
      </c>
      <c r="AI6" s="122">
        <v>0</v>
      </c>
      <c r="AJ6" s="40" t="s">
        <v>30</v>
      </c>
      <c r="AL6" s="203"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(U4)0x00000003U,                                                           /* 00 UNKNOWN                                         */</v>
      </c>
      <c r="AT6" s="52" t="str">
        <f t="shared" ref="AT6:AT69" si="1">IF(AJ6&lt;&gt;"",AL6&amp;IF(AJ7&lt;&gt;"",","," ")&amp;REPT(" ",78-LEN(AL6))&amp;"/* "&amp;IF(C6&lt;10,"0"&amp;C6,C6)&amp;" "&amp;AJ6&amp;REPT(" ",48-LEN(AJ6))&amp;"*/",IF(AJ5&lt;&gt;"","};",""))</f>
        <v xml:space="preserve">    (U1)ALERT_REQ_UNKNOWN,                                                     /* 00 UNKNOWN                                         */</v>
      </c>
      <c r="AU6" s="52" t="s">
        <v>200</v>
      </c>
      <c r="AV6" s="37" t="s">
        <v>64</v>
      </c>
      <c r="AW6" s="56" t="str">
        <f ca="1">UPPER(RIGHT(CELL("filename",A1),LEN(CELL("filename",A1))-FIND("]",CELL("filename",A1))))</f>
        <v>PD4</v>
      </c>
    </row>
    <row r="7" spans="1:49">
      <c r="B7" s="126"/>
      <c r="C7" s="36">
        <f t="shared" ref="C7:C69" si="2">ROW()-ROW($C$6)</f>
        <v>1</v>
      </c>
      <c r="D7" s="50" t="s">
        <v>176</v>
      </c>
      <c r="E7" s="50" t="s">
        <v>176</v>
      </c>
      <c r="F7" s="50" t="s">
        <v>176</v>
      </c>
      <c r="G7" s="50" t="s">
        <v>176</v>
      </c>
      <c r="H7" s="50" t="s">
        <v>176</v>
      </c>
      <c r="I7" s="50" t="s">
        <v>176</v>
      </c>
      <c r="J7" s="50" t="s">
        <v>176</v>
      </c>
      <c r="K7" s="50" t="s">
        <v>176</v>
      </c>
      <c r="L7" s="50" t="s">
        <v>176</v>
      </c>
      <c r="M7" s="50" t="s">
        <v>176</v>
      </c>
      <c r="N7" s="50" t="s">
        <v>176</v>
      </c>
      <c r="O7" s="50" t="s">
        <v>176</v>
      </c>
      <c r="P7" s="50" t="s">
        <v>176</v>
      </c>
      <c r="Q7" s="50" t="s">
        <v>176</v>
      </c>
      <c r="R7" s="50" t="s">
        <v>176</v>
      </c>
      <c r="S7" s="50" t="s">
        <v>176</v>
      </c>
      <c r="T7" s="50" t="s">
        <v>176</v>
      </c>
      <c r="U7" s="50" t="s">
        <v>176</v>
      </c>
      <c r="V7" s="50" t="s">
        <v>176</v>
      </c>
      <c r="W7" s="50" t="s">
        <v>176</v>
      </c>
      <c r="X7" s="50" t="s">
        <v>176</v>
      </c>
      <c r="Y7" s="50" t="s">
        <v>176</v>
      </c>
      <c r="Z7" s="50" t="s">
        <v>176</v>
      </c>
      <c r="AA7" s="50" t="s">
        <v>176</v>
      </c>
      <c r="AB7" s="50" t="s">
        <v>176</v>
      </c>
      <c r="AC7" s="50" t="s">
        <v>176</v>
      </c>
      <c r="AD7" s="50" t="s">
        <v>176</v>
      </c>
      <c r="AE7" s="50" t="s">
        <v>176</v>
      </c>
      <c r="AF7" s="50" t="s">
        <v>176</v>
      </c>
      <c r="AG7" s="50" t="s">
        <v>176</v>
      </c>
      <c r="AH7" s="50">
        <v>0</v>
      </c>
      <c r="AI7" s="50">
        <v>1</v>
      </c>
      <c r="AJ7" s="21" t="s">
        <v>221</v>
      </c>
      <c r="AL7" s="203" t="str">
        <f t="shared" ca="1" si="0"/>
        <v xml:space="preserve">    (U1)ALERT_REQ_H_MAICER_PD4_MALFUNC</v>
      </c>
      <c r="AR7" s="52" t="str">
        <f t="shared" ref="AR7:AR70" si="3">IF(AQ72&lt;&gt;"",AQ72,IF(AQ71&lt;&gt;"","};",""))</f>
        <v xml:space="preserve">    (U4)0x00000001U,                                                           /* 01 MALFUNC                                         */</v>
      </c>
      <c r="AS7" s="52" t="str">
        <f t="shared" ref="AS7:AS70" si="4">IF(AQ137&lt;&gt;"",AQ137,IF(AQ136&lt;&gt;"","};",""))</f>
        <v xml:space="preserve">    (U4)0x00000003U,                                                           /* 01 MALFUNC                                         */</v>
      </c>
      <c r="AT7" s="52" t="str">
        <f t="shared" ca="1" si="1"/>
        <v xml:space="preserve">    (U1)ALERT_REQ_H_MAICER_PD4_MALFUNC,                                        /* 01 MALFUNC                                         */</v>
      </c>
      <c r="AU7" s="52" t="str">
        <f ca="1">"        &amp;"&amp;$AW$14&amp;","&amp;REPT(" ",69-LEN($AW$14))&amp;"/* fp_u4_SRC_CHK                                      */"</f>
        <v xml:space="preserve">        &amp;u4_s_AlertH_maicerPd4Srcchk,                                          /* fp_u4_SRC_CHK                                      */</v>
      </c>
      <c r="AV7" s="38" t="s">
        <v>65</v>
      </c>
      <c r="AW7" s="125">
        <f>IF(B3="Search Table",1,0)</f>
        <v>0</v>
      </c>
    </row>
    <row r="8" spans="1:49">
      <c r="B8" s="126"/>
      <c r="C8" s="36">
        <f t="shared" si="2"/>
        <v>2</v>
      </c>
      <c r="D8" s="50" t="s">
        <v>176</v>
      </c>
      <c r="E8" s="50" t="s">
        <v>176</v>
      </c>
      <c r="F8" s="50" t="s">
        <v>176</v>
      </c>
      <c r="G8" s="50" t="s">
        <v>176</v>
      </c>
      <c r="H8" s="50" t="s">
        <v>176</v>
      </c>
      <c r="I8" s="50" t="s">
        <v>176</v>
      </c>
      <c r="J8" s="50" t="s">
        <v>176</v>
      </c>
      <c r="K8" s="50" t="s">
        <v>176</v>
      </c>
      <c r="L8" s="50" t="s">
        <v>176</v>
      </c>
      <c r="M8" s="50" t="s">
        <v>176</v>
      </c>
      <c r="N8" s="50" t="s">
        <v>176</v>
      </c>
      <c r="O8" s="50" t="s">
        <v>176</v>
      </c>
      <c r="P8" s="50" t="s">
        <v>176</v>
      </c>
      <c r="Q8" s="50" t="s">
        <v>176</v>
      </c>
      <c r="R8" s="50" t="s">
        <v>176</v>
      </c>
      <c r="S8" s="50" t="s">
        <v>176</v>
      </c>
      <c r="T8" s="50" t="s">
        <v>176</v>
      </c>
      <c r="U8" s="50" t="s">
        <v>176</v>
      </c>
      <c r="V8" s="50" t="s">
        <v>176</v>
      </c>
      <c r="W8" s="50" t="s">
        <v>176</v>
      </c>
      <c r="X8" s="50" t="s">
        <v>176</v>
      </c>
      <c r="Y8" s="50" t="s">
        <v>176</v>
      </c>
      <c r="Z8" s="50" t="s">
        <v>176</v>
      </c>
      <c r="AA8" s="50" t="s">
        <v>176</v>
      </c>
      <c r="AB8" s="50" t="s">
        <v>176</v>
      </c>
      <c r="AC8" s="50" t="s">
        <v>176</v>
      </c>
      <c r="AD8" s="50" t="s">
        <v>176</v>
      </c>
      <c r="AE8" s="50" t="s">
        <v>176</v>
      </c>
      <c r="AF8" s="50" t="s">
        <v>176</v>
      </c>
      <c r="AG8" s="50" t="s">
        <v>176</v>
      </c>
      <c r="AH8" s="50">
        <v>1</v>
      </c>
      <c r="AI8" s="50">
        <v>0</v>
      </c>
      <c r="AJ8" s="21" t="s">
        <v>30</v>
      </c>
      <c r="AL8" s="203" t="str">
        <f t="shared" si="0"/>
        <v xml:space="preserve">    (U1)ALERT_REQ_UNKNOWN</v>
      </c>
      <c r="AR8" s="52" t="str">
        <f t="shared" si="3"/>
        <v xml:space="preserve">    (U4)0x00000002U,                                                           /* 02 UNKNOWN                                         */</v>
      </c>
      <c r="AS8" s="52" t="str">
        <f t="shared" si="4"/>
        <v xml:space="preserve">    (U4)0x00000003U,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u4_sp_ALERT_H_MAICER_PD4_CRIT</v>
      </c>
    </row>
    <row r="9" spans="1:49">
      <c r="B9" s="126"/>
      <c r="C9" s="36">
        <f t="shared" si="2"/>
        <v>3</v>
      </c>
      <c r="D9" s="50" t="s">
        <v>176</v>
      </c>
      <c r="E9" s="50" t="s">
        <v>176</v>
      </c>
      <c r="F9" s="50" t="s">
        <v>176</v>
      </c>
      <c r="G9" s="50" t="s">
        <v>176</v>
      </c>
      <c r="H9" s="50" t="s">
        <v>176</v>
      </c>
      <c r="I9" s="50" t="s">
        <v>176</v>
      </c>
      <c r="J9" s="50" t="s">
        <v>176</v>
      </c>
      <c r="K9" s="50" t="s">
        <v>176</v>
      </c>
      <c r="L9" s="50" t="s">
        <v>176</v>
      </c>
      <c r="M9" s="50" t="s">
        <v>176</v>
      </c>
      <c r="N9" s="50" t="s">
        <v>176</v>
      </c>
      <c r="O9" s="50" t="s">
        <v>176</v>
      </c>
      <c r="P9" s="50" t="s">
        <v>176</v>
      </c>
      <c r="Q9" s="50" t="s">
        <v>176</v>
      </c>
      <c r="R9" s="50" t="s">
        <v>176</v>
      </c>
      <c r="S9" s="50" t="s">
        <v>176</v>
      </c>
      <c r="T9" s="50" t="s">
        <v>176</v>
      </c>
      <c r="U9" s="50" t="s">
        <v>176</v>
      </c>
      <c r="V9" s="50" t="s">
        <v>176</v>
      </c>
      <c r="W9" s="50" t="s">
        <v>176</v>
      </c>
      <c r="X9" s="50" t="s">
        <v>176</v>
      </c>
      <c r="Y9" s="50" t="s">
        <v>176</v>
      </c>
      <c r="Z9" s="50" t="s">
        <v>176</v>
      </c>
      <c r="AA9" s="50" t="s">
        <v>176</v>
      </c>
      <c r="AB9" s="50" t="s">
        <v>176</v>
      </c>
      <c r="AC9" s="50" t="s">
        <v>176</v>
      </c>
      <c r="AD9" s="50" t="s">
        <v>176</v>
      </c>
      <c r="AE9" s="50" t="s">
        <v>176</v>
      </c>
      <c r="AF9" s="50" t="s">
        <v>176</v>
      </c>
      <c r="AG9" s="50" t="s">
        <v>176</v>
      </c>
      <c r="AH9" s="50">
        <v>1</v>
      </c>
      <c r="AI9" s="50">
        <v>1</v>
      </c>
      <c r="AJ9" s="40" t="s">
        <v>30</v>
      </c>
      <c r="AL9" s="203" t="str">
        <f t="shared" si="0"/>
        <v xml:space="preserve">    (U1)ALERT_REQ_UNKNOWN</v>
      </c>
      <c r="AR9" s="52" t="str">
        <f t="shared" si="3"/>
        <v xml:space="preserve">    (U4)0x00000003U                                                            /* 03 UNKNOWN                                         */</v>
      </c>
      <c r="AS9" s="52" t="str">
        <f t="shared" si="4"/>
        <v xml:space="preserve">    (U4)0x00000003U                                                            /* 03 UNKNOWN                                         */</v>
      </c>
      <c r="AT9" s="52" t="str">
        <f t="shared" si="1"/>
        <v xml:space="preserve">    (U1)ALERT_REQ_UNKNOWN                                                      /* 03 UNKNOWN                                         */</v>
      </c>
      <c r="AU9" s="52"/>
      <c r="AV9" s="38" t="s">
        <v>67</v>
      </c>
      <c r="AW9" s="57" t="str">
        <f ca="1">"u4_sp_ALERT_"&amp;IF(AW6&lt;&gt;AW17,$AW$17&amp;"_"&amp;$AW$6,AW17)&amp;"_MASK"</f>
        <v>u4_sp_ALERT_H_MAICER_PD4_MASK</v>
      </c>
    </row>
    <row r="10" spans="1:49">
      <c r="B10" s="126"/>
      <c r="C10" s="36">
        <f t="shared" si="2"/>
        <v>4</v>
      </c>
      <c r="D10" s="50" t="s">
        <v>176</v>
      </c>
      <c r="E10" s="50" t="s">
        <v>176</v>
      </c>
      <c r="F10" s="50" t="s">
        <v>176</v>
      </c>
      <c r="G10" s="50" t="s">
        <v>176</v>
      </c>
      <c r="H10" s="50" t="s">
        <v>176</v>
      </c>
      <c r="I10" s="50" t="s">
        <v>176</v>
      </c>
      <c r="J10" s="50" t="s">
        <v>176</v>
      </c>
      <c r="K10" s="50" t="s">
        <v>176</v>
      </c>
      <c r="L10" s="50" t="s">
        <v>176</v>
      </c>
      <c r="M10" s="50" t="s">
        <v>176</v>
      </c>
      <c r="N10" s="50" t="s">
        <v>176</v>
      </c>
      <c r="O10" s="50" t="s">
        <v>176</v>
      </c>
      <c r="P10" s="50" t="s">
        <v>176</v>
      </c>
      <c r="Q10" s="50" t="s">
        <v>176</v>
      </c>
      <c r="R10" s="50" t="s">
        <v>176</v>
      </c>
      <c r="S10" s="50" t="s">
        <v>176</v>
      </c>
      <c r="T10" s="50" t="s">
        <v>176</v>
      </c>
      <c r="U10" s="50" t="s">
        <v>176</v>
      </c>
      <c r="V10" s="50" t="s">
        <v>176</v>
      </c>
      <c r="W10" s="50" t="s">
        <v>176</v>
      </c>
      <c r="X10" s="50" t="s">
        <v>176</v>
      </c>
      <c r="Y10" s="50" t="s">
        <v>176</v>
      </c>
      <c r="Z10" s="50" t="s">
        <v>176</v>
      </c>
      <c r="AA10" s="50" t="s">
        <v>176</v>
      </c>
      <c r="AB10" s="50" t="s">
        <v>176</v>
      </c>
      <c r="AC10" s="50" t="s">
        <v>176</v>
      </c>
      <c r="AD10" s="50" t="s">
        <v>176</v>
      </c>
      <c r="AE10" s="50" t="s">
        <v>176</v>
      </c>
      <c r="AF10" s="50" t="s">
        <v>176</v>
      </c>
      <c r="AG10" s="50" t="s">
        <v>176</v>
      </c>
      <c r="AH10" s="50" t="s">
        <v>176</v>
      </c>
      <c r="AI10" s="50" t="s">
        <v>176</v>
      </c>
      <c r="AJ10" s="40"/>
      <c r="AL10" s="203" t="str">
        <f t="shared" ca="1" si="0"/>
        <v xml:space="preserve">    (U1)ALERT_REQ_H_MAICER_PD4_</v>
      </c>
      <c r="AR10" s="52" t="str">
        <f t="shared" si="3"/>
        <v>};</v>
      </c>
      <c r="AS10" s="52" t="str">
        <f t="shared" si="4"/>
        <v>};</v>
      </c>
      <c r="AT10" s="52" t="str">
        <f t="shared" si="1"/>
        <v>};</v>
      </c>
      <c r="AU10" s="52" t="str">
        <f>IF($AW$7=1,"        &amp;"&amp;$AW$9&amp;"[0],"&amp;REPT(" ",66-LEN($AW$9))&amp;"/* u4p_MASK                                           */","        (const U4 *)vdp_PTR_NA,                                                /* u4p_MASK                                           */")</f>
        <v xml:space="preserve">        (const U4 *)vdp_PTR_NA,                                                /* u4p_MASK                                           */</v>
      </c>
      <c r="AV10" s="38" t="s">
        <v>68</v>
      </c>
      <c r="AW10" s="57" t="str">
        <f ca="1">"ALERT_"&amp;IF(AW6&lt;&gt;AW17,$AW$17&amp;"_"&amp;$AW$6,AW17)&amp;"_NUM_DST"</f>
        <v>ALERT_H_MAICER_PD4_NUM_DST</v>
      </c>
    </row>
    <row r="11" spans="1:49">
      <c r="B11" s="126"/>
      <c r="C11" s="36">
        <f t="shared" si="2"/>
        <v>5</v>
      </c>
      <c r="D11" s="50" t="s">
        <v>176</v>
      </c>
      <c r="E11" s="50" t="s">
        <v>176</v>
      </c>
      <c r="F11" s="50" t="s">
        <v>176</v>
      </c>
      <c r="G11" s="50" t="s">
        <v>176</v>
      </c>
      <c r="H11" s="50" t="s">
        <v>176</v>
      </c>
      <c r="I11" s="50" t="s">
        <v>176</v>
      </c>
      <c r="J11" s="50" t="s">
        <v>176</v>
      </c>
      <c r="K11" s="50" t="s">
        <v>176</v>
      </c>
      <c r="L11" s="50" t="s">
        <v>176</v>
      </c>
      <c r="M11" s="50" t="s">
        <v>176</v>
      </c>
      <c r="N11" s="50" t="s">
        <v>176</v>
      </c>
      <c r="O11" s="50" t="s">
        <v>176</v>
      </c>
      <c r="P11" s="50" t="s">
        <v>176</v>
      </c>
      <c r="Q11" s="50" t="s">
        <v>176</v>
      </c>
      <c r="R11" s="50" t="s">
        <v>176</v>
      </c>
      <c r="S11" s="50" t="s">
        <v>176</v>
      </c>
      <c r="T11" s="50" t="s">
        <v>176</v>
      </c>
      <c r="U11" s="50" t="s">
        <v>176</v>
      </c>
      <c r="V11" s="50" t="s">
        <v>176</v>
      </c>
      <c r="W11" s="50" t="s">
        <v>176</v>
      </c>
      <c r="X11" s="50" t="s">
        <v>176</v>
      </c>
      <c r="Y11" s="50" t="s">
        <v>176</v>
      </c>
      <c r="Z11" s="50" t="s">
        <v>176</v>
      </c>
      <c r="AA11" s="50" t="s">
        <v>176</v>
      </c>
      <c r="AB11" s="50" t="s">
        <v>176</v>
      </c>
      <c r="AC11" s="50" t="s">
        <v>176</v>
      </c>
      <c r="AD11" s="50" t="s">
        <v>176</v>
      </c>
      <c r="AE11" s="50" t="s">
        <v>176</v>
      </c>
      <c r="AF11" s="50" t="s">
        <v>176</v>
      </c>
      <c r="AG11" s="50" t="s">
        <v>176</v>
      </c>
      <c r="AH11" s="50" t="s">
        <v>176</v>
      </c>
      <c r="AI11" s="50" t="s">
        <v>176</v>
      </c>
      <c r="AJ11" s="40"/>
      <c r="AL11" s="203" t="str">
        <f t="shared" ca="1" si="0"/>
        <v xml:space="preserve">    (U1)ALERT_REQ_H_MAICER_PD4_</v>
      </c>
      <c r="AR11" s="52" t="str">
        <f t="shared" si="3"/>
        <v/>
      </c>
      <c r="AS11" s="52" t="str">
        <f t="shared" si="4"/>
        <v/>
      </c>
      <c r="AT11" s="52" t="str">
        <f t="shared" si="1"/>
        <v/>
      </c>
      <c r="AU11" s="52" t="str">
        <f>IF($AW$7=1,"        &amp;"&amp;$AW$8&amp;"[0],"&amp;REPT(" ",66-LEN($AW$8))&amp;"/* u4p_CRIT                                           */","        (const U4 *)vdp_PTR_NA,                                                /* u4p_CRIT                                           */")</f>
        <v xml:space="preserve">        (const U4 *)vdp_PTR_NA,                                                /* u4p_CRIT                                           */</v>
      </c>
      <c r="AV11" s="38" t="s">
        <v>69</v>
      </c>
      <c r="AW11" s="57" t="str">
        <f ca="1">"u1_sp_ALERT_"&amp;IF(AW6&lt;&gt;AW17,$AW$17&amp;"_"&amp;$AW$6,AW17)&amp;"_DST"</f>
        <v>u1_sp_ALERT_H_MAICER_PD4_DST</v>
      </c>
    </row>
    <row r="12" spans="1:49">
      <c r="B12" s="126"/>
      <c r="C12" s="36">
        <f t="shared" si="2"/>
        <v>6</v>
      </c>
      <c r="D12" s="50" t="s">
        <v>176</v>
      </c>
      <c r="E12" s="50" t="s">
        <v>176</v>
      </c>
      <c r="F12" s="50" t="s">
        <v>176</v>
      </c>
      <c r="G12" s="50" t="s">
        <v>176</v>
      </c>
      <c r="H12" s="50" t="s">
        <v>176</v>
      </c>
      <c r="I12" s="50" t="s">
        <v>176</v>
      </c>
      <c r="J12" s="50" t="s">
        <v>176</v>
      </c>
      <c r="K12" s="50" t="s">
        <v>176</v>
      </c>
      <c r="L12" s="50" t="s">
        <v>176</v>
      </c>
      <c r="M12" s="50" t="s">
        <v>176</v>
      </c>
      <c r="N12" s="50" t="s">
        <v>176</v>
      </c>
      <c r="O12" s="50" t="s">
        <v>176</v>
      </c>
      <c r="P12" s="50" t="s">
        <v>176</v>
      </c>
      <c r="Q12" s="50" t="s">
        <v>176</v>
      </c>
      <c r="R12" s="50" t="s">
        <v>176</v>
      </c>
      <c r="S12" s="50" t="s">
        <v>176</v>
      </c>
      <c r="T12" s="50" t="s">
        <v>176</v>
      </c>
      <c r="U12" s="50" t="s">
        <v>176</v>
      </c>
      <c r="V12" s="50" t="s">
        <v>176</v>
      </c>
      <c r="W12" s="50" t="s">
        <v>176</v>
      </c>
      <c r="X12" s="50" t="s">
        <v>176</v>
      </c>
      <c r="Y12" s="50" t="s">
        <v>176</v>
      </c>
      <c r="Z12" s="50" t="s">
        <v>176</v>
      </c>
      <c r="AA12" s="50" t="s">
        <v>176</v>
      </c>
      <c r="AB12" s="50" t="s">
        <v>176</v>
      </c>
      <c r="AC12" s="50" t="s">
        <v>176</v>
      </c>
      <c r="AD12" s="50" t="s">
        <v>176</v>
      </c>
      <c r="AE12" s="50" t="s">
        <v>176</v>
      </c>
      <c r="AF12" s="50" t="s">
        <v>176</v>
      </c>
      <c r="AG12" s="50" t="s">
        <v>176</v>
      </c>
      <c r="AH12" s="50" t="s">
        <v>176</v>
      </c>
      <c r="AI12" s="50" t="s">
        <v>176</v>
      </c>
      <c r="AJ12" s="40"/>
      <c r="AL12" s="203" t="str">
        <f t="shared" ca="1" si="0"/>
        <v xml:space="preserve">    (U1)ALERT_REQ_H_MAICER_PD4_</v>
      </c>
      <c r="AR12" s="52" t="str">
        <f t="shared" si="3"/>
        <v/>
      </c>
      <c r="AS12" s="52" t="str">
        <f t="shared" si="4"/>
        <v/>
      </c>
      <c r="AT12" s="52" t="str">
        <f t="shared" si="1"/>
        <v/>
      </c>
      <c r="AU12" s="52"/>
      <c r="AV12" s="38" t="s">
        <v>81</v>
      </c>
      <c r="AW12" s="57" t="str">
        <f ca="1">Matrix!D8&amp;"["&amp;Matrix!D7&amp;"]"</f>
        <v>st_gp_ALERT_H_MAICER_MTRX[4]</v>
      </c>
    </row>
    <row r="13" spans="1:49">
      <c r="B13" s="126"/>
      <c r="C13" s="36">
        <f t="shared" si="2"/>
        <v>7</v>
      </c>
      <c r="D13" s="50" t="s">
        <v>176</v>
      </c>
      <c r="E13" s="50" t="s">
        <v>176</v>
      </c>
      <c r="F13" s="50" t="s">
        <v>176</v>
      </c>
      <c r="G13" s="50" t="s">
        <v>63</v>
      </c>
      <c r="H13" s="50" t="s">
        <v>63</v>
      </c>
      <c r="I13" s="50" t="s">
        <v>63</v>
      </c>
      <c r="J13" s="50" t="s">
        <v>63</v>
      </c>
      <c r="K13" s="50" t="s">
        <v>63</v>
      </c>
      <c r="L13" s="50" t="s">
        <v>63</v>
      </c>
      <c r="M13" s="50" t="s">
        <v>63</v>
      </c>
      <c r="N13" s="50" t="s">
        <v>63</v>
      </c>
      <c r="O13" s="50" t="s">
        <v>63</v>
      </c>
      <c r="P13" s="50" t="s">
        <v>176</v>
      </c>
      <c r="Q13" s="50" t="s">
        <v>176</v>
      </c>
      <c r="R13" s="50" t="s">
        <v>176</v>
      </c>
      <c r="S13" s="50" t="s">
        <v>176</v>
      </c>
      <c r="T13" s="50" t="s">
        <v>176</v>
      </c>
      <c r="U13" s="50" t="s">
        <v>176</v>
      </c>
      <c r="V13" s="50" t="s">
        <v>176</v>
      </c>
      <c r="W13" s="50" t="s">
        <v>176</v>
      </c>
      <c r="X13" s="50" t="s">
        <v>176</v>
      </c>
      <c r="Y13" s="50" t="s">
        <v>176</v>
      </c>
      <c r="Z13" s="50" t="s">
        <v>176</v>
      </c>
      <c r="AA13" s="50" t="s">
        <v>176</v>
      </c>
      <c r="AB13" s="50" t="s">
        <v>176</v>
      </c>
      <c r="AC13" s="50" t="s">
        <v>176</v>
      </c>
      <c r="AD13" s="50" t="s">
        <v>176</v>
      </c>
      <c r="AE13" s="50" t="s">
        <v>176</v>
      </c>
      <c r="AF13" s="50" t="s">
        <v>176</v>
      </c>
      <c r="AG13" s="50" t="s">
        <v>176</v>
      </c>
      <c r="AH13" s="50" t="s">
        <v>176</v>
      </c>
      <c r="AI13" s="50" t="s">
        <v>176</v>
      </c>
      <c r="AJ13" s="40"/>
      <c r="AL13" s="203" t="str">
        <f t="shared" ca="1" si="0"/>
        <v xml:space="preserve">    (U1)ALERT_REQ_H_MAICER_PD4_</v>
      </c>
      <c r="AR13" s="52" t="str">
        <f t="shared" si="3"/>
        <v/>
      </c>
      <c r="AS13" s="52" t="str">
        <f t="shared" si="4"/>
        <v/>
      </c>
      <c r="AT13" s="52" t="str">
        <f t="shared" si="1"/>
        <v/>
      </c>
      <c r="AU13" s="52" t="str">
        <f ca="1">"        &amp;"&amp;$AW$11&amp;"[0],"&amp;REPT(" ",66-LEN($AW$11))&amp;"/* u1p_DST                                            */"</f>
        <v xml:space="preserve">        &amp;u1_sp_ALERT_H_MAICER_PD4_DST[0],                                      /* u1p_DST                                            */</v>
      </c>
      <c r="AV13" s="38" t="s">
        <v>70</v>
      </c>
      <c r="AW13" s="125">
        <f>COUNTA($AJ$6:$AJ$69)</f>
        <v>4</v>
      </c>
    </row>
    <row r="14" spans="1:49">
      <c r="B14" s="126"/>
      <c r="C14" s="36">
        <f t="shared" si="2"/>
        <v>8</v>
      </c>
      <c r="D14" s="50" t="s">
        <v>176</v>
      </c>
      <c r="E14" s="50" t="s">
        <v>176</v>
      </c>
      <c r="F14" s="50" t="s">
        <v>176</v>
      </c>
      <c r="G14" s="50" t="s">
        <v>63</v>
      </c>
      <c r="H14" s="50" t="s">
        <v>63</v>
      </c>
      <c r="I14" s="50" t="s">
        <v>63</v>
      </c>
      <c r="J14" s="50" t="s">
        <v>63</v>
      </c>
      <c r="K14" s="50" t="s">
        <v>63</v>
      </c>
      <c r="L14" s="50" t="s">
        <v>63</v>
      </c>
      <c r="M14" s="50" t="s">
        <v>63</v>
      </c>
      <c r="N14" s="50" t="s">
        <v>63</v>
      </c>
      <c r="O14" s="50" t="s">
        <v>63</v>
      </c>
      <c r="P14" s="50" t="s">
        <v>176</v>
      </c>
      <c r="Q14" s="50" t="s">
        <v>176</v>
      </c>
      <c r="R14" s="50" t="s">
        <v>176</v>
      </c>
      <c r="S14" s="50" t="s">
        <v>176</v>
      </c>
      <c r="T14" s="50" t="s">
        <v>176</v>
      </c>
      <c r="U14" s="50" t="s">
        <v>176</v>
      </c>
      <c r="V14" s="50" t="s">
        <v>176</v>
      </c>
      <c r="W14" s="50" t="s">
        <v>176</v>
      </c>
      <c r="X14" s="50" t="s">
        <v>176</v>
      </c>
      <c r="Y14" s="50" t="s">
        <v>176</v>
      </c>
      <c r="Z14" s="50" t="s">
        <v>176</v>
      </c>
      <c r="AA14" s="50" t="s">
        <v>176</v>
      </c>
      <c r="AB14" s="50" t="s">
        <v>176</v>
      </c>
      <c r="AC14" s="50" t="s">
        <v>176</v>
      </c>
      <c r="AD14" s="50" t="s">
        <v>176</v>
      </c>
      <c r="AE14" s="50" t="s">
        <v>176</v>
      </c>
      <c r="AF14" s="50" t="s">
        <v>176</v>
      </c>
      <c r="AG14" s="50" t="s">
        <v>176</v>
      </c>
      <c r="AH14" s="50" t="s">
        <v>176</v>
      </c>
      <c r="AI14" s="50" t="s">
        <v>176</v>
      </c>
      <c r="AJ14" s="40"/>
      <c r="AL14" s="203" t="str">
        <f t="shared" ca="1" si="0"/>
        <v xml:space="preserve">    (U1)ALERT_REQ_H_MAICER_PD4_</v>
      </c>
      <c r="AR14" s="52" t="str">
        <f t="shared" si="3"/>
        <v/>
      </c>
      <c r="AS14" s="52" t="str">
        <f t="shared" si="4"/>
        <v/>
      </c>
      <c r="AT14" s="52" t="str">
        <f t="shared" si="1"/>
        <v/>
      </c>
      <c r="AU14" s="52" t="str">
        <f ca="1">"        (U2)"&amp;$AW$10&amp;","&amp;REPT(" ",66-LEN($AW$10))&amp;"/* u2_num_srch                                        */"</f>
        <v xml:space="preserve">        (U2)ALERT_H_MAICER_PD4_NUM_DST,                                        /* u2_num_srch                                        */</v>
      </c>
      <c r="AV14" s="38" t="s">
        <v>71</v>
      </c>
      <c r="AW14" s="57" t="str">
        <f ca="1">IF(AW6&lt;&gt;AW17,VLOOKUP(AW6,Matrix!$C$13:$G$37,4,FALSE),Matrix!F13)</f>
        <v>u4_s_AlertH_maicerPd4Srcchk</v>
      </c>
    </row>
    <row r="15" spans="1:49">
      <c r="B15" s="126"/>
      <c r="C15" s="36">
        <f t="shared" si="2"/>
        <v>9</v>
      </c>
      <c r="D15" s="50" t="s">
        <v>176</v>
      </c>
      <c r="E15" s="50" t="s">
        <v>176</v>
      </c>
      <c r="F15" s="50" t="s">
        <v>176</v>
      </c>
      <c r="G15" s="50" t="s">
        <v>63</v>
      </c>
      <c r="H15" s="50" t="s">
        <v>63</v>
      </c>
      <c r="I15" s="50" t="s">
        <v>63</v>
      </c>
      <c r="J15" s="50" t="s">
        <v>63</v>
      </c>
      <c r="K15" s="50" t="s">
        <v>63</v>
      </c>
      <c r="L15" s="50" t="s">
        <v>63</v>
      </c>
      <c r="M15" s="50" t="s">
        <v>63</v>
      </c>
      <c r="N15" s="50" t="s">
        <v>63</v>
      </c>
      <c r="O15" s="50" t="s">
        <v>63</v>
      </c>
      <c r="P15" s="50" t="s">
        <v>176</v>
      </c>
      <c r="Q15" s="50" t="s">
        <v>176</v>
      </c>
      <c r="R15" s="50" t="s">
        <v>176</v>
      </c>
      <c r="S15" s="50" t="s">
        <v>176</v>
      </c>
      <c r="T15" s="50" t="s">
        <v>176</v>
      </c>
      <c r="U15" s="50" t="s">
        <v>176</v>
      </c>
      <c r="V15" s="50" t="s">
        <v>176</v>
      </c>
      <c r="W15" s="50" t="s">
        <v>176</v>
      </c>
      <c r="X15" s="50" t="s">
        <v>176</v>
      </c>
      <c r="Y15" s="50" t="s">
        <v>176</v>
      </c>
      <c r="Z15" s="50" t="s">
        <v>176</v>
      </c>
      <c r="AA15" s="50" t="s">
        <v>176</v>
      </c>
      <c r="AB15" s="50" t="s">
        <v>176</v>
      </c>
      <c r="AC15" s="50" t="s">
        <v>176</v>
      </c>
      <c r="AD15" s="50" t="s">
        <v>176</v>
      </c>
      <c r="AE15" s="50" t="s">
        <v>176</v>
      </c>
      <c r="AF15" s="50" t="s">
        <v>176</v>
      </c>
      <c r="AG15" s="50" t="s">
        <v>176</v>
      </c>
      <c r="AH15" s="50" t="s">
        <v>176</v>
      </c>
      <c r="AI15" s="50" t="s">
        <v>176</v>
      </c>
      <c r="AJ15" s="40"/>
      <c r="AL15" s="203" t="str">
        <f t="shared" ca="1" si="0"/>
        <v xml:space="preserve">    (U1)ALERT_REQ_H_MAICER_PD4_</v>
      </c>
      <c r="AR15" s="52" t="str">
        <f t="shared" si="3"/>
        <v/>
      </c>
      <c r="AS15" s="52" t="str">
        <f t="shared" si="4"/>
        <v/>
      </c>
      <c r="AT15" s="52" t="str">
        <f t="shared" si="1"/>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176</v>
      </c>
      <c r="E16" s="50" t="s">
        <v>176</v>
      </c>
      <c r="F16" s="50" t="s">
        <v>176</v>
      </c>
      <c r="G16" s="50" t="s">
        <v>63</v>
      </c>
      <c r="H16" s="50" t="s">
        <v>63</v>
      </c>
      <c r="I16" s="50" t="s">
        <v>63</v>
      </c>
      <c r="J16" s="50" t="s">
        <v>63</v>
      </c>
      <c r="K16" s="50" t="s">
        <v>63</v>
      </c>
      <c r="L16" s="50" t="s">
        <v>63</v>
      </c>
      <c r="M16" s="50" t="s">
        <v>63</v>
      </c>
      <c r="N16" s="50" t="s">
        <v>63</v>
      </c>
      <c r="O16" s="50" t="s">
        <v>63</v>
      </c>
      <c r="P16" s="50" t="s">
        <v>176</v>
      </c>
      <c r="Q16" s="50" t="s">
        <v>176</v>
      </c>
      <c r="R16" s="50" t="s">
        <v>176</v>
      </c>
      <c r="S16" s="50" t="s">
        <v>176</v>
      </c>
      <c r="T16" s="50" t="s">
        <v>176</v>
      </c>
      <c r="U16" s="50" t="s">
        <v>176</v>
      </c>
      <c r="V16" s="50" t="s">
        <v>176</v>
      </c>
      <c r="W16" s="50" t="s">
        <v>176</v>
      </c>
      <c r="X16" s="50" t="s">
        <v>176</v>
      </c>
      <c r="Y16" s="50" t="s">
        <v>176</v>
      </c>
      <c r="Z16" s="50" t="s">
        <v>176</v>
      </c>
      <c r="AA16" s="50" t="s">
        <v>176</v>
      </c>
      <c r="AB16" s="50" t="s">
        <v>176</v>
      </c>
      <c r="AC16" s="50" t="s">
        <v>176</v>
      </c>
      <c r="AD16" s="50" t="s">
        <v>176</v>
      </c>
      <c r="AE16" s="50" t="s">
        <v>176</v>
      </c>
      <c r="AF16" s="50" t="s">
        <v>176</v>
      </c>
      <c r="AG16" s="50" t="s">
        <v>176</v>
      </c>
      <c r="AH16" s="50" t="s">
        <v>176</v>
      </c>
      <c r="AI16" s="50" t="s">
        <v>176</v>
      </c>
      <c r="AJ16" s="40"/>
      <c r="AL16" s="203" t="str">
        <f t="shared" ca="1" si="0"/>
        <v xml:space="preserve">    (U1)ALERT_REQ_H_MAICER_PD4_</v>
      </c>
      <c r="AR16" s="52" t="str">
        <f t="shared" si="3"/>
        <v/>
      </c>
      <c r="AS16" s="52" t="str">
        <f t="shared" si="4"/>
        <v/>
      </c>
      <c r="AT16" s="52" t="str">
        <f t="shared" si="1"/>
        <v/>
      </c>
      <c r="AU16" s="52" t="s">
        <v>201</v>
      </c>
      <c r="AV16" s="38" t="s">
        <v>72</v>
      </c>
      <c r="AW16" s="57" t="str">
        <f ca="1">IF(AW6&lt;&gt;AW17,VLOOKUP(AW6,Matrix!$C$13:$G$37,2,FALSE),Matrix!D13)</f>
        <v>ALERT_VOM_IGN_ON</v>
      </c>
    </row>
    <row r="17" spans="2:49" ht="14.25" thickBot="1">
      <c r="B17" s="126"/>
      <c r="C17" s="36">
        <f t="shared" si="2"/>
        <v>11</v>
      </c>
      <c r="D17" s="50" t="s">
        <v>176</v>
      </c>
      <c r="E17" s="50" t="s">
        <v>176</v>
      </c>
      <c r="F17" s="50" t="s">
        <v>176</v>
      </c>
      <c r="G17" s="50" t="s">
        <v>63</v>
      </c>
      <c r="H17" s="50" t="s">
        <v>63</v>
      </c>
      <c r="I17" s="50" t="s">
        <v>63</v>
      </c>
      <c r="J17" s="50" t="s">
        <v>63</v>
      </c>
      <c r="K17" s="50" t="s">
        <v>63</v>
      </c>
      <c r="L17" s="50" t="s">
        <v>63</v>
      </c>
      <c r="M17" s="50" t="s">
        <v>63</v>
      </c>
      <c r="N17" s="50" t="s">
        <v>63</v>
      </c>
      <c r="O17" s="50" t="s">
        <v>63</v>
      </c>
      <c r="P17" s="50" t="s">
        <v>176</v>
      </c>
      <c r="Q17" s="50" t="s">
        <v>176</v>
      </c>
      <c r="R17" s="50" t="s">
        <v>176</v>
      </c>
      <c r="S17" s="50" t="s">
        <v>176</v>
      </c>
      <c r="T17" s="50" t="s">
        <v>176</v>
      </c>
      <c r="U17" s="50" t="s">
        <v>176</v>
      </c>
      <c r="V17" s="50" t="s">
        <v>176</v>
      </c>
      <c r="W17" s="50" t="s">
        <v>176</v>
      </c>
      <c r="X17" s="50" t="s">
        <v>176</v>
      </c>
      <c r="Y17" s="50" t="s">
        <v>176</v>
      </c>
      <c r="Z17" s="50" t="s">
        <v>176</v>
      </c>
      <c r="AA17" s="50" t="s">
        <v>176</v>
      </c>
      <c r="AB17" s="50" t="s">
        <v>176</v>
      </c>
      <c r="AC17" s="50" t="s">
        <v>176</v>
      </c>
      <c r="AD17" s="50" t="s">
        <v>176</v>
      </c>
      <c r="AE17" s="50" t="s">
        <v>176</v>
      </c>
      <c r="AF17" s="50" t="s">
        <v>176</v>
      </c>
      <c r="AG17" s="50" t="s">
        <v>176</v>
      </c>
      <c r="AH17" s="50" t="s">
        <v>176</v>
      </c>
      <c r="AI17" s="50" t="s">
        <v>176</v>
      </c>
      <c r="AJ17" s="40"/>
      <c r="AL17" s="203" t="str">
        <f t="shared" ca="1" si="0"/>
        <v xml:space="preserve">    (U1)ALERT_REQ_H_MAICER_PD4_</v>
      </c>
      <c r="AR17" s="52" t="str">
        <f t="shared" si="3"/>
        <v/>
      </c>
      <c r="AS17" s="52" t="str">
        <f t="shared" si="4"/>
        <v/>
      </c>
      <c r="AT17" s="52" t="str">
        <f t="shared" si="1"/>
        <v/>
      </c>
      <c r="AU17" s="53" t="s">
        <v>202</v>
      </c>
      <c r="AV17" s="39" t="s">
        <v>73</v>
      </c>
      <c r="AW17" s="58" t="str">
        <f ca="1">UPPER(Matrix!$D$6)</f>
        <v>H_MAICER</v>
      </c>
    </row>
    <row r="18" spans="2:49">
      <c r="B18" s="126"/>
      <c r="C18" s="36">
        <f t="shared" si="2"/>
        <v>12</v>
      </c>
      <c r="D18" s="50" t="s">
        <v>176</v>
      </c>
      <c r="E18" s="50" t="s">
        <v>176</v>
      </c>
      <c r="F18" s="50" t="s">
        <v>176</v>
      </c>
      <c r="G18" s="50" t="s">
        <v>63</v>
      </c>
      <c r="H18" s="50" t="s">
        <v>63</v>
      </c>
      <c r="I18" s="50" t="s">
        <v>63</v>
      </c>
      <c r="J18" s="50" t="s">
        <v>63</v>
      </c>
      <c r="K18" s="50" t="s">
        <v>63</v>
      </c>
      <c r="L18" s="50" t="s">
        <v>63</v>
      </c>
      <c r="M18" s="50" t="s">
        <v>63</v>
      </c>
      <c r="N18" s="50" t="s">
        <v>63</v>
      </c>
      <c r="O18" s="50" t="s">
        <v>63</v>
      </c>
      <c r="P18" s="50" t="s">
        <v>176</v>
      </c>
      <c r="Q18" s="50" t="s">
        <v>176</v>
      </c>
      <c r="R18" s="50" t="s">
        <v>176</v>
      </c>
      <c r="S18" s="50" t="s">
        <v>176</v>
      </c>
      <c r="T18" s="50" t="s">
        <v>176</v>
      </c>
      <c r="U18" s="50" t="s">
        <v>176</v>
      </c>
      <c r="V18" s="50" t="s">
        <v>176</v>
      </c>
      <c r="W18" s="50" t="s">
        <v>176</v>
      </c>
      <c r="X18" s="50" t="s">
        <v>176</v>
      </c>
      <c r="Y18" s="50" t="s">
        <v>176</v>
      </c>
      <c r="Z18" s="50" t="s">
        <v>176</v>
      </c>
      <c r="AA18" s="50" t="s">
        <v>176</v>
      </c>
      <c r="AB18" s="50" t="s">
        <v>176</v>
      </c>
      <c r="AC18" s="50" t="s">
        <v>176</v>
      </c>
      <c r="AD18" s="50" t="s">
        <v>176</v>
      </c>
      <c r="AE18" s="50" t="s">
        <v>176</v>
      </c>
      <c r="AF18" s="50" t="s">
        <v>176</v>
      </c>
      <c r="AG18" s="50" t="s">
        <v>176</v>
      </c>
      <c r="AH18" s="50" t="s">
        <v>176</v>
      </c>
      <c r="AI18" s="50" t="s">
        <v>176</v>
      </c>
      <c r="AJ18" s="40"/>
      <c r="AL18" s="203" t="str">
        <f t="shared" ca="1" si="0"/>
        <v xml:space="preserve">    (U1)ALERT_REQ_H_MAICER_PD4_</v>
      </c>
      <c r="AR18" s="52" t="str">
        <f t="shared" si="3"/>
        <v/>
      </c>
      <c r="AS18" s="52" t="str">
        <f t="shared" si="4"/>
        <v/>
      </c>
      <c r="AT18" s="52" t="str">
        <f t="shared" si="1"/>
        <v/>
      </c>
    </row>
    <row r="19" spans="2:49">
      <c r="B19" s="126"/>
      <c r="C19" s="36">
        <f t="shared" si="2"/>
        <v>13</v>
      </c>
      <c r="D19" s="50" t="s">
        <v>176</v>
      </c>
      <c r="E19" s="50" t="s">
        <v>176</v>
      </c>
      <c r="F19" s="50" t="s">
        <v>176</v>
      </c>
      <c r="G19" s="50" t="s">
        <v>63</v>
      </c>
      <c r="H19" s="50" t="s">
        <v>63</v>
      </c>
      <c r="I19" s="50" t="s">
        <v>63</v>
      </c>
      <c r="J19" s="50" t="s">
        <v>63</v>
      </c>
      <c r="K19" s="50" t="s">
        <v>63</v>
      </c>
      <c r="L19" s="50" t="s">
        <v>63</v>
      </c>
      <c r="M19" s="50" t="s">
        <v>63</v>
      </c>
      <c r="N19" s="50" t="s">
        <v>63</v>
      </c>
      <c r="O19" s="50" t="s">
        <v>63</v>
      </c>
      <c r="P19" s="50" t="s">
        <v>176</v>
      </c>
      <c r="Q19" s="50" t="s">
        <v>176</v>
      </c>
      <c r="R19" s="50" t="s">
        <v>176</v>
      </c>
      <c r="S19" s="50" t="s">
        <v>176</v>
      </c>
      <c r="T19" s="50" t="s">
        <v>176</v>
      </c>
      <c r="U19" s="50" t="s">
        <v>176</v>
      </c>
      <c r="V19" s="50" t="s">
        <v>176</v>
      </c>
      <c r="W19" s="50" t="s">
        <v>176</v>
      </c>
      <c r="X19" s="50" t="s">
        <v>176</v>
      </c>
      <c r="Y19" s="50" t="s">
        <v>176</v>
      </c>
      <c r="Z19" s="50" t="s">
        <v>176</v>
      </c>
      <c r="AA19" s="50" t="s">
        <v>176</v>
      </c>
      <c r="AB19" s="50" t="s">
        <v>176</v>
      </c>
      <c r="AC19" s="50" t="s">
        <v>176</v>
      </c>
      <c r="AD19" s="50" t="s">
        <v>176</v>
      </c>
      <c r="AE19" s="50" t="s">
        <v>176</v>
      </c>
      <c r="AF19" s="50" t="s">
        <v>176</v>
      </c>
      <c r="AG19" s="50" t="s">
        <v>176</v>
      </c>
      <c r="AH19" s="50" t="s">
        <v>176</v>
      </c>
      <c r="AI19" s="50" t="s">
        <v>176</v>
      </c>
      <c r="AJ19" s="40"/>
      <c r="AL19" s="203" t="str">
        <f t="shared" ca="1" si="0"/>
        <v xml:space="preserve">    (U1)ALERT_REQ_H_MAICER_PD4_</v>
      </c>
      <c r="AR19" s="52" t="str">
        <f t="shared" si="3"/>
        <v/>
      </c>
      <c r="AS19" s="52" t="str">
        <f t="shared" si="4"/>
        <v/>
      </c>
      <c r="AT19" s="52" t="str">
        <f t="shared" si="1"/>
        <v/>
      </c>
    </row>
    <row r="20" spans="2:49">
      <c r="B20" s="126"/>
      <c r="C20" s="36">
        <f t="shared" si="2"/>
        <v>14</v>
      </c>
      <c r="D20" s="50" t="s">
        <v>176</v>
      </c>
      <c r="E20" s="50" t="s">
        <v>176</v>
      </c>
      <c r="F20" s="50" t="s">
        <v>176</v>
      </c>
      <c r="G20" s="50" t="s">
        <v>176</v>
      </c>
      <c r="H20" s="50" t="s">
        <v>176</v>
      </c>
      <c r="I20" s="50" t="s">
        <v>176</v>
      </c>
      <c r="J20" s="50" t="s">
        <v>176</v>
      </c>
      <c r="K20" s="50" t="s">
        <v>176</v>
      </c>
      <c r="L20" s="50" t="s">
        <v>176</v>
      </c>
      <c r="M20" s="50" t="s">
        <v>176</v>
      </c>
      <c r="N20" s="50" t="s">
        <v>176</v>
      </c>
      <c r="O20" s="50" t="s">
        <v>176</v>
      </c>
      <c r="P20" s="50" t="s">
        <v>176</v>
      </c>
      <c r="Q20" s="50" t="s">
        <v>176</v>
      </c>
      <c r="R20" s="50" t="s">
        <v>176</v>
      </c>
      <c r="S20" s="50" t="s">
        <v>176</v>
      </c>
      <c r="T20" s="50" t="s">
        <v>176</v>
      </c>
      <c r="U20" s="50" t="s">
        <v>176</v>
      </c>
      <c r="V20" s="50" t="s">
        <v>176</v>
      </c>
      <c r="W20" s="50" t="s">
        <v>176</v>
      </c>
      <c r="X20" s="50" t="s">
        <v>176</v>
      </c>
      <c r="Y20" s="50" t="s">
        <v>176</v>
      </c>
      <c r="Z20" s="50" t="s">
        <v>176</v>
      </c>
      <c r="AA20" s="50" t="s">
        <v>176</v>
      </c>
      <c r="AB20" s="50" t="s">
        <v>176</v>
      </c>
      <c r="AC20" s="50" t="s">
        <v>176</v>
      </c>
      <c r="AD20" s="50" t="s">
        <v>176</v>
      </c>
      <c r="AE20" s="50" t="s">
        <v>176</v>
      </c>
      <c r="AF20" s="50" t="s">
        <v>176</v>
      </c>
      <c r="AG20" s="50" t="s">
        <v>176</v>
      </c>
      <c r="AH20" s="50" t="s">
        <v>176</v>
      </c>
      <c r="AI20" s="50" t="s">
        <v>176</v>
      </c>
      <c r="AJ20" s="40"/>
      <c r="AL20" s="203" t="str">
        <f t="shared" ca="1" si="0"/>
        <v xml:space="preserve">    (U1)ALERT_REQ_H_MAICER_PD4_</v>
      </c>
      <c r="AR20" s="52" t="str">
        <f t="shared" si="3"/>
        <v/>
      </c>
      <c r="AS20" s="52" t="str">
        <f t="shared" si="4"/>
        <v/>
      </c>
      <c r="AT20" s="52" t="str">
        <f t="shared" si="1"/>
        <v/>
      </c>
    </row>
    <row r="21" spans="2:49">
      <c r="B21" s="126"/>
      <c r="C21" s="36">
        <f t="shared" si="2"/>
        <v>15</v>
      </c>
      <c r="D21" s="50" t="s">
        <v>176</v>
      </c>
      <c r="E21" s="50" t="s">
        <v>176</v>
      </c>
      <c r="F21" s="50" t="s">
        <v>176</v>
      </c>
      <c r="G21" s="50" t="s">
        <v>176</v>
      </c>
      <c r="H21" s="50" t="s">
        <v>176</v>
      </c>
      <c r="I21" s="50" t="s">
        <v>176</v>
      </c>
      <c r="J21" s="50" t="s">
        <v>176</v>
      </c>
      <c r="K21" s="50" t="s">
        <v>176</v>
      </c>
      <c r="L21" s="50" t="s">
        <v>176</v>
      </c>
      <c r="M21" s="50" t="s">
        <v>176</v>
      </c>
      <c r="N21" s="50" t="s">
        <v>176</v>
      </c>
      <c r="O21" s="50" t="s">
        <v>176</v>
      </c>
      <c r="P21" s="50" t="s">
        <v>176</v>
      </c>
      <c r="Q21" s="50" t="s">
        <v>176</v>
      </c>
      <c r="R21" s="50" t="s">
        <v>176</v>
      </c>
      <c r="S21" s="50" t="s">
        <v>176</v>
      </c>
      <c r="T21" s="50" t="s">
        <v>176</v>
      </c>
      <c r="U21" s="50" t="s">
        <v>176</v>
      </c>
      <c r="V21" s="50" t="s">
        <v>176</v>
      </c>
      <c r="W21" s="50" t="s">
        <v>176</v>
      </c>
      <c r="X21" s="50" t="s">
        <v>176</v>
      </c>
      <c r="Y21" s="50" t="s">
        <v>176</v>
      </c>
      <c r="Z21" s="50" t="s">
        <v>176</v>
      </c>
      <c r="AA21" s="50" t="s">
        <v>176</v>
      </c>
      <c r="AB21" s="50" t="s">
        <v>176</v>
      </c>
      <c r="AC21" s="50" t="s">
        <v>176</v>
      </c>
      <c r="AD21" s="50" t="s">
        <v>176</v>
      </c>
      <c r="AE21" s="50" t="s">
        <v>176</v>
      </c>
      <c r="AF21" s="50" t="s">
        <v>176</v>
      </c>
      <c r="AG21" s="50" t="s">
        <v>176</v>
      </c>
      <c r="AH21" s="50" t="s">
        <v>176</v>
      </c>
      <c r="AI21" s="50" t="s">
        <v>176</v>
      </c>
      <c r="AJ21" s="40"/>
      <c r="AL21" s="203" t="str">
        <f t="shared" ca="1" si="0"/>
        <v xml:space="preserve">    (U1)ALERT_REQ_H_MAICER_PD4_</v>
      </c>
      <c r="AR21" s="52" t="str">
        <f t="shared" si="3"/>
        <v/>
      </c>
      <c r="AS21" s="52" t="str">
        <f t="shared" si="4"/>
        <v/>
      </c>
      <c r="AT21" s="52" t="str">
        <f t="shared" si="1"/>
        <v/>
      </c>
    </row>
    <row r="22" spans="2:49">
      <c r="B22" s="126"/>
      <c r="C22" s="36">
        <f t="shared" si="2"/>
        <v>16</v>
      </c>
      <c r="D22" s="50" t="s">
        <v>176</v>
      </c>
      <c r="E22" s="50" t="s">
        <v>176</v>
      </c>
      <c r="F22" s="50" t="s">
        <v>176</v>
      </c>
      <c r="G22" s="50" t="s">
        <v>176</v>
      </c>
      <c r="H22" s="50" t="s">
        <v>176</v>
      </c>
      <c r="I22" s="50" t="s">
        <v>176</v>
      </c>
      <c r="J22" s="50" t="s">
        <v>176</v>
      </c>
      <c r="K22" s="50" t="s">
        <v>176</v>
      </c>
      <c r="L22" s="50" t="s">
        <v>176</v>
      </c>
      <c r="M22" s="50" t="s">
        <v>176</v>
      </c>
      <c r="N22" s="50" t="s">
        <v>176</v>
      </c>
      <c r="O22" s="50" t="s">
        <v>176</v>
      </c>
      <c r="P22" s="50" t="s">
        <v>176</v>
      </c>
      <c r="Q22" s="50" t="s">
        <v>176</v>
      </c>
      <c r="R22" s="50" t="s">
        <v>176</v>
      </c>
      <c r="S22" s="50" t="s">
        <v>176</v>
      </c>
      <c r="T22" s="50" t="s">
        <v>176</v>
      </c>
      <c r="U22" s="50" t="s">
        <v>176</v>
      </c>
      <c r="V22" s="50" t="s">
        <v>176</v>
      </c>
      <c r="W22" s="50" t="s">
        <v>176</v>
      </c>
      <c r="X22" s="50" t="s">
        <v>176</v>
      </c>
      <c r="Y22" s="50" t="s">
        <v>176</v>
      </c>
      <c r="Z22" s="50" t="s">
        <v>176</v>
      </c>
      <c r="AA22" s="50" t="s">
        <v>176</v>
      </c>
      <c r="AB22" s="50" t="s">
        <v>176</v>
      </c>
      <c r="AC22" s="50" t="s">
        <v>176</v>
      </c>
      <c r="AD22" s="50" t="s">
        <v>176</v>
      </c>
      <c r="AE22" s="50" t="s">
        <v>176</v>
      </c>
      <c r="AF22" s="50" t="s">
        <v>176</v>
      </c>
      <c r="AG22" s="50" t="s">
        <v>176</v>
      </c>
      <c r="AH22" s="50" t="s">
        <v>176</v>
      </c>
      <c r="AI22" s="50" t="s">
        <v>176</v>
      </c>
      <c r="AJ22" s="40"/>
      <c r="AL22" s="203" t="str">
        <f t="shared" ca="1" si="0"/>
        <v xml:space="preserve">    (U1)ALERT_REQ_H_MAICER_PD4_</v>
      </c>
      <c r="AR22" s="52" t="str">
        <f t="shared" si="3"/>
        <v/>
      </c>
      <c r="AS22" s="52" t="str">
        <f t="shared" si="4"/>
        <v/>
      </c>
      <c r="AT22" s="52" t="str">
        <f t="shared" si="1"/>
        <v/>
      </c>
    </row>
    <row r="23" spans="2:49">
      <c r="B23" s="126"/>
      <c r="C23" s="36">
        <f t="shared" si="2"/>
        <v>17</v>
      </c>
      <c r="D23" s="50" t="s">
        <v>176</v>
      </c>
      <c r="E23" s="50" t="s">
        <v>176</v>
      </c>
      <c r="F23" s="50" t="s">
        <v>176</v>
      </c>
      <c r="G23" s="50" t="s">
        <v>176</v>
      </c>
      <c r="H23" s="50" t="s">
        <v>176</v>
      </c>
      <c r="I23" s="50" t="s">
        <v>176</v>
      </c>
      <c r="J23" s="50" t="s">
        <v>176</v>
      </c>
      <c r="K23" s="50" t="s">
        <v>176</v>
      </c>
      <c r="L23" s="50" t="s">
        <v>176</v>
      </c>
      <c r="M23" s="50" t="s">
        <v>176</v>
      </c>
      <c r="N23" s="50" t="s">
        <v>176</v>
      </c>
      <c r="O23" s="50" t="s">
        <v>176</v>
      </c>
      <c r="P23" s="50" t="s">
        <v>176</v>
      </c>
      <c r="Q23" s="50" t="s">
        <v>176</v>
      </c>
      <c r="R23" s="50" t="s">
        <v>176</v>
      </c>
      <c r="S23" s="50" t="s">
        <v>176</v>
      </c>
      <c r="T23" s="50" t="s">
        <v>176</v>
      </c>
      <c r="U23" s="50" t="s">
        <v>176</v>
      </c>
      <c r="V23" s="50" t="s">
        <v>176</v>
      </c>
      <c r="W23" s="50" t="s">
        <v>176</v>
      </c>
      <c r="X23" s="50" t="s">
        <v>176</v>
      </c>
      <c r="Y23" s="50" t="s">
        <v>176</v>
      </c>
      <c r="Z23" s="50" t="s">
        <v>176</v>
      </c>
      <c r="AA23" s="50" t="s">
        <v>176</v>
      </c>
      <c r="AB23" s="50" t="s">
        <v>176</v>
      </c>
      <c r="AC23" s="50" t="s">
        <v>176</v>
      </c>
      <c r="AD23" s="50" t="s">
        <v>176</v>
      </c>
      <c r="AE23" s="50" t="s">
        <v>176</v>
      </c>
      <c r="AF23" s="50" t="s">
        <v>176</v>
      </c>
      <c r="AG23" s="50" t="s">
        <v>176</v>
      </c>
      <c r="AH23" s="50" t="s">
        <v>176</v>
      </c>
      <c r="AI23" s="50" t="s">
        <v>176</v>
      </c>
      <c r="AJ23" s="40"/>
      <c r="AL23" s="203" t="str">
        <f t="shared" ca="1" si="0"/>
        <v xml:space="preserve">    (U1)ALERT_REQ_H_MAICER_PD4_</v>
      </c>
      <c r="AR23" s="52" t="str">
        <f t="shared" si="3"/>
        <v/>
      </c>
      <c r="AS23" s="52" t="str">
        <f t="shared" si="4"/>
        <v/>
      </c>
      <c r="AT23" s="52" t="str">
        <f t="shared" si="1"/>
        <v/>
      </c>
    </row>
    <row r="24" spans="2:49">
      <c r="B24" s="126"/>
      <c r="C24" s="36">
        <f t="shared" si="2"/>
        <v>18</v>
      </c>
      <c r="D24" s="50" t="s">
        <v>176</v>
      </c>
      <c r="E24" s="50" t="s">
        <v>176</v>
      </c>
      <c r="F24" s="50" t="s">
        <v>176</v>
      </c>
      <c r="G24" s="50" t="s">
        <v>176</v>
      </c>
      <c r="H24" s="50" t="s">
        <v>176</v>
      </c>
      <c r="I24" s="50" t="s">
        <v>176</v>
      </c>
      <c r="J24" s="50" t="s">
        <v>176</v>
      </c>
      <c r="K24" s="50" t="s">
        <v>176</v>
      </c>
      <c r="L24" s="50" t="s">
        <v>176</v>
      </c>
      <c r="M24" s="50" t="s">
        <v>176</v>
      </c>
      <c r="N24" s="50" t="s">
        <v>176</v>
      </c>
      <c r="O24" s="50" t="s">
        <v>176</v>
      </c>
      <c r="P24" s="50" t="s">
        <v>176</v>
      </c>
      <c r="Q24" s="50" t="s">
        <v>176</v>
      </c>
      <c r="R24" s="50" t="s">
        <v>176</v>
      </c>
      <c r="S24" s="50" t="s">
        <v>176</v>
      </c>
      <c r="T24" s="50" t="s">
        <v>176</v>
      </c>
      <c r="U24" s="50" t="s">
        <v>176</v>
      </c>
      <c r="V24" s="50" t="s">
        <v>176</v>
      </c>
      <c r="W24" s="50" t="s">
        <v>176</v>
      </c>
      <c r="X24" s="50" t="s">
        <v>176</v>
      </c>
      <c r="Y24" s="50" t="s">
        <v>176</v>
      </c>
      <c r="Z24" s="50" t="s">
        <v>176</v>
      </c>
      <c r="AA24" s="50" t="s">
        <v>176</v>
      </c>
      <c r="AB24" s="50" t="s">
        <v>176</v>
      </c>
      <c r="AC24" s="50" t="s">
        <v>176</v>
      </c>
      <c r="AD24" s="50" t="s">
        <v>176</v>
      </c>
      <c r="AE24" s="50" t="s">
        <v>176</v>
      </c>
      <c r="AF24" s="50" t="s">
        <v>176</v>
      </c>
      <c r="AG24" s="50" t="s">
        <v>176</v>
      </c>
      <c r="AH24" s="50" t="s">
        <v>176</v>
      </c>
      <c r="AI24" s="50" t="s">
        <v>176</v>
      </c>
      <c r="AJ24" s="40"/>
      <c r="AL24" s="203" t="str">
        <f t="shared" ca="1" si="0"/>
        <v xml:space="preserve">    (U1)ALERT_REQ_H_MAICER_PD4_</v>
      </c>
      <c r="AR24" s="52" t="str">
        <f t="shared" si="3"/>
        <v/>
      </c>
      <c r="AS24" s="52" t="str">
        <f t="shared" si="4"/>
        <v/>
      </c>
      <c r="AT24" s="52" t="str">
        <f t="shared" si="1"/>
        <v/>
      </c>
    </row>
    <row r="25" spans="2:49">
      <c r="B25" s="126"/>
      <c r="C25" s="36">
        <f t="shared" si="2"/>
        <v>19</v>
      </c>
      <c r="D25" s="50" t="s">
        <v>176</v>
      </c>
      <c r="E25" s="50" t="s">
        <v>176</v>
      </c>
      <c r="F25" s="50" t="s">
        <v>176</v>
      </c>
      <c r="G25" s="50" t="s">
        <v>176</v>
      </c>
      <c r="H25" s="50" t="s">
        <v>176</v>
      </c>
      <c r="I25" s="50" t="s">
        <v>176</v>
      </c>
      <c r="J25" s="50" t="s">
        <v>176</v>
      </c>
      <c r="K25" s="50" t="s">
        <v>176</v>
      </c>
      <c r="L25" s="50" t="s">
        <v>176</v>
      </c>
      <c r="M25" s="50" t="s">
        <v>176</v>
      </c>
      <c r="N25" s="50" t="s">
        <v>176</v>
      </c>
      <c r="O25" s="50" t="s">
        <v>176</v>
      </c>
      <c r="P25" s="50" t="s">
        <v>176</v>
      </c>
      <c r="Q25" s="50" t="s">
        <v>176</v>
      </c>
      <c r="R25" s="50" t="s">
        <v>176</v>
      </c>
      <c r="S25" s="50" t="s">
        <v>176</v>
      </c>
      <c r="T25" s="50" t="s">
        <v>176</v>
      </c>
      <c r="U25" s="50" t="s">
        <v>176</v>
      </c>
      <c r="V25" s="50" t="s">
        <v>176</v>
      </c>
      <c r="W25" s="50" t="s">
        <v>176</v>
      </c>
      <c r="X25" s="50" t="s">
        <v>176</v>
      </c>
      <c r="Y25" s="50" t="s">
        <v>176</v>
      </c>
      <c r="Z25" s="50" t="s">
        <v>176</v>
      </c>
      <c r="AA25" s="50" t="s">
        <v>176</v>
      </c>
      <c r="AB25" s="50" t="s">
        <v>176</v>
      </c>
      <c r="AC25" s="50" t="s">
        <v>176</v>
      </c>
      <c r="AD25" s="50" t="s">
        <v>176</v>
      </c>
      <c r="AE25" s="50" t="s">
        <v>176</v>
      </c>
      <c r="AF25" s="50" t="s">
        <v>176</v>
      </c>
      <c r="AG25" s="50" t="s">
        <v>176</v>
      </c>
      <c r="AH25" s="50" t="s">
        <v>176</v>
      </c>
      <c r="AI25" s="50" t="s">
        <v>176</v>
      </c>
      <c r="AJ25" s="40"/>
      <c r="AL25" s="203" t="str">
        <f t="shared" ca="1" si="0"/>
        <v xml:space="preserve">    (U1)ALERT_REQ_H_MAICER_PD4_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t="s">
        <v>63</v>
      </c>
      <c r="AE26" s="50" t="s">
        <v>63</v>
      </c>
      <c r="AF26" s="50" t="s">
        <v>63</v>
      </c>
      <c r="AG26" s="50" t="s">
        <v>63</v>
      </c>
      <c r="AH26" s="50" t="s">
        <v>63</v>
      </c>
      <c r="AI26" s="50" t="s">
        <v>63</v>
      </c>
      <c r="AJ26" s="40"/>
      <c r="AL26" s="203" t="str">
        <f t="shared" ca="1" si="0"/>
        <v xml:space="preserve">    (U1)ALERT_REQ_H_MAICER_PD4_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t="s">
        <v>63</v>
      </c>
      <c r="AE27" s="50" t="s">
        <v>63</v>
      </c>
      <c r="AF27" s="50" t="s">
        <v>63</v>
      </c>
      <c r="AG27" s="50" t="s">
        <v>63</v>
      </c>
      <c r="AH27" s="50" t="s">
        <v>63</v>
      </c>
      <c r="AI27" s="50" t="s">
        <v>63</v>
      </c>
      <c r="AJ27" s="40"/>
      <c r="AL27" s="203" t="str">
        <f t="shared" ca="1" si="0"/>
        <v xml:space="preserve">    (U1)ALERT_REQ_H_MAICER_PD4_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t="s">
        <v>63</v>
      </c>
      <c r="AE28" s="50" t="s">
        <v>63</v>
      </c>
      <c r="AF28" s="50" t="s">
        <v>63</v>
      </c>
      <c r="AG28" s="50" t="s">
        <v>63</v>
      </c>
      <c r="AH28" s="50" t="s">
        <v>63</v>
      </c>
      <c r="AI28" s="50" t="s">
        <v>63</v>
      </c>
      <c r="AJ28" s="40"/>
      <c r="AL28" s="203" t="str">
        <f t="shared" ca="1" si="0"/>
        <v xml:space="preserve">    (U1)ALERT_REQ_H_MAICER_PD4_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t="s">
        <v>63</v>
      </c>
      <c r="AE29" s="50" t="s">
        <v>63</v>
      </c>
      <c r="AF29" s="50" t="s">
        <v>63</v>
      </c>
      <c r="AG29" s="50" t="s">
        <v>63</v>
      </c>
      <c r="AH29" s="50" t="s">
        <v>63</v>
      </c>
      <c r="AI29" s="50" t="s">
        <v>63</v>
      </c>
      <c r="AJ29" s="40"/>
      <c r="AL29" s="203" t="str">
        <f t="shared" ca="1" si="0"/>
        <v xml:space="preserve">    (U1)ALERT_REQ_H_MAICER_PD4_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t="s">
        <v>63</v>
      </c>
      <c r="AE30" s="50" t="s">
        <v>63</v>
      </c>
      <c r="AF30" s="50" t="s">
        <v>63</v>
      </c>
      <c r="AG30" s="50" t="s">
        <v>63</v>
      </c>
      <c r="AH30" s="50" t="s">
        <v>63</v>
      </c>
      <c r="AI30" s="50" t="s">
        <v>63</v>
      </c>
      <c r="AJ30" s="40"/>
      <c r="AL30" s="203" t="str">
        <f t="shared" ca="1" si="0"/>
        <v xml:space="preserve">    (U1)ALERT_REQ_H_MAICER_PD4_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t="s">
        <v>63</v>
      </c>
      <c r="AE31" s="50" t="s">
        <v>63</v>
      </c>
      <c r="AF31" s="50" t="s">
        <v>63</v>
      </c>
      <c r="AG31" s="50" t="s">
        <v>63</v>
      </c>
      <c r="AH31" s="50" t="s">
        <v>63</v>
      </c>
      <c r="AI31" s="50" t="s">
        <v>63</v>
      </c>
      <c r="AJ31" s="40"/>
      <c r="AL31" s="203" t="str">
        <f t="shared" ca="1" si="0"/>
        <v xml:space="preserve">    (U1)ALERT_REQ_H_MAICER_PD4_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t="s">
        <v>63</v>
      </c>
      <c r="AE32" s="50" t="s">
        <v>63</v>
      </c>
      <c r="AF32" s="50" t="s">
        <v>63</v>
      </c>
      <c r="AG32" s="50" t="s">
        <v>63</v>
      </c>
      <c r="AH32" s="50" t="s">
        <v>63</v>
      </c>
      <c r="AI32" s="50" t="s">
        <v>63</v>
      </c>
      <c r="AJ32" s="40"/>
      <c r="AL32" s="203" t="str">
        <f t="shared" ca="1" si="0"/>
        <v xml:space="preserve">    (U1)ALERT_REQ_H_MAICER_PD4_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t="s">
        <v>63</v>
      </c>
      <c r="AE33" s="50" t="s">
        <v>63</v>
      </c>
      <c r="AF33" s="50" t="s">
        <v>63</v>
      </c>
      <c r="AG33" s="50" t="s">
        <v>63</v>
      </c>
      <c r="AH33" s="50" t="s">
        <v>63</v>
      </c>
      <c r="AI33" s="50" t="s">
        <v>63</v>
      </c>
      <c r="AJ33" s="40"/>
      <c r="AL33" s="203" t="str">
        <f t="shared" ca="1" si="0"/>
        <v xml:space="preserve">    (U1)ALERT_REQ_H_MAICER_PD4_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t="s">
        <v>63</v>
      </c>
      <c r="AE34" s="50" t="s">
        <v>63</v>
      </c>
      <c r="AF34" s="50" t="s">
        <v>63</v>
      </c>
      <c r="AG34" s="50" t="s">
        <v>63</v>
      </c>
      <c r="AH34" s="50" t="s">
        <v>63</v>
      </c>
      <c r="AI34" s="50" t="s">
        <v>63</v>
      </c>
      <c r="AJ34" s="40"/>
      <c r="AL34" s="203" t="str">
        <f t="shared" ca="1" si="0"/>
        <v xml:space="preserve">    (U1)ALERT_REQ_H_MAICER_PD4_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t="s">
        <v>63</v>
      </c>
      <c r="AE35" s="50" t="s">
        <v>63</v>
      </c>
      <c r="AF35" s="50" t="s">
        <v>63</v>
      </c>
      <c r="AG35" s="50" t="s">
        <v>63</v>
      </c>
      <c r="AH35" s="50" t="s">
        <v>63</v>
      </c>
      <c r="AI35" s="50" t="s">
        <v>63</v>
      </c>
      <c r="AJ35" s="40"/>
      <c r="AL35" s="203" t="str">
        <f t="shared" ca="1" si="0"/>
        <v xml:space="preserve">    (U1)ALERT_REQ_H_MAICER_PD4_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t="s">
        <v>63</v>
      </c>
      <c r="AE36" s="50" t="s">
        <v>63</v>
      </c>
      <c r="AF36" s="50" t="s">
        <v>63</v>
      </c>
      <c r="AG36" s="50" t="s">
        <v>63</v>
      </c>
      <c r="AH36" s="50" t="s">
        <v>63</v>
      </c>
      <c r="AI36" s="50" t="s">
        <v>63</v>
      </c>
      <c r="AJ36" s="40"/>
      <c r="AL36" s="203" t="str">
        <f t="shared" ca="1" si="0"/>
        <v xml:space="preserve">    (U1)ALERT_REQ_H_MAICER_PD4_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t="s">
        <v>63</v>
      </c>
      <c r="AE37" s="50" t="s">
        <v>63</v>
      </c>
      <c r="AF37" s="50" t="s">
        <v>63</v>
      </c>
      <c r="AG37" s="50" t="s">
        <v>63</v>
      </c>
      <c r="AH37" s="50" t="s">
        <v>63</v>
      </c>
      <c r="AI37" s="50" t="s">
        <v>63</v>
      </c>
      <c r="AJ37" s="40"/>
      <c r="AL37" s="203" t="str">
        <f t="shared" ca="1" si="0"/>
        <v xml:space="preserve">    (U1)ALERT_REQ_H_MAICER_PD4_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t="s">
        <v>63</v>
      </c>
      <c r="AE38" s="50" t="s">
        <v>63</v>
      </c>
      <c r="AF38" s="50" t="s">
        <v>63</v>
      </c>
      <c r="AG38" s="50" t="s">
        <v>63</v>
      </c>
      <c r="AH38" s="50" t="s">
        <v>63</v>
      </c>
      <c r="AI38" s="50" t="s">
        <v>63</v>
      </c>
      <c r="AJ38" s="40"/>
      <c r="AL38" s="203" t="str">
        <f t="shared" ca="1" si="0"/>
        <v xml:space="preserve">    (U1)ALERT_REQ_H_MAICER_PD4_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t="s">
        <v>63</v>
      </c>
      <c r="AE39" s="50" t="s">
        <v>63</v>
      </c>
      <c r="AF39" s="50" t="s">
        <v>63</v>
      </c>
      <c r="AG39" s="50" t="s">
        <v>63</v>
      </c>
      <c r="AH39" s="50" t="s">
        <v>63</v>
      </c>
      <c r="AI39" s="50" t="s">
        <v>63</v>
      </c>
      <c r="AJ39" s="40"/>
      <c r="AL39" s="203" t="str">
        <f t="shared" ca="1" si="0"/>
        <v xml:space="preserve">    (U1)ALERT_REQ_H_MAICER_PD4_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t="s">
        <v>63</v>
      </c>
      <c r="AE40" s="50" t="s">
        <v>63</v>
      </c>
      <c r="AF40" s="50" t="s">
        <v>63</v>
      </c>
      <c r="AG40" s="50" t="s">
        <v>63</v>
      </c>
      <c r="AH40" s="50" t="s">
        <v>63</v>
      </c>
      <c r="AI40" s="50" t="s">
        <v>63</v>
      </c>
      <c r="AJ40" s="40"/>
      <c r="AL40" s="203" t="str">
        <f t="shared" ca="1" si="0"/>
        <v xml:space="preserve">    (U1)ALERT_REQ_H_MAICER_PD4_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t="s">
        <v>63</v>
      </c>
      <c r="AE41" s="50" t="s">
        <v>63</v>
      </c>
      <c r="AF41" s="50" t="s">
        <v>63</v>
      </c>
      <c r="AG41" s="50" t="s">
        <v>63</v>
      </c>
      <c r="AH41" s="50" t="s">
        <v>63</v>
      </c>
      <c r="AI41" s="50" t="s">
        <v>63</v>
      </c>
      <c r="AJ41" s="40"/>
      <c r="AL41" s="203" t="str">
        <f t="shared" ca="1" si="0"/>
        <v xml:space="preserve">    (U1)ALERT_REQ_H_MAICER_PD4_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t="s">
        <v>63</v>
      </c>
      <c r="AE42" s="50" t="s">
        <v>63</v>
      </c>
      <c r="AF42" s="50" t="s">
        <v>63</v>
      </c>
      <c r="AG42" s="50" t="s">
        <v>63</v>
      </c>
      <c r="AH42" s="50" t="s">
        <v>63</v>
      </c>
      <c r="AI42" s="50" t="s">
        <v>63</v>
      </c>
      <c r="AJ42" s="40"/>
      <c r="AL42" s="203" t="str">
        <f t="shared" ca="1" si="0"/>
        <v xml:space="preserve">    (U1)ALERT_REQ_H_MAICER_PD4_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t="s">
        <v>63</v>
      </c>
      <c r="AE43" s="50" t="s">
        <v>63</v>
      </c>
      <c r="AF43" s="50" t="s">
        <v>63</v>
      </c>
      <c r="AG43" s="50" t="s">
        <v>63</v>
      </c>
      <c r="AH43" s="50" t="s">
        <v>63</v>
      </c>
      <c r="AI43" s="50" t="s">
        <v>63</v>
      </c>
      <c r="AJ43" s="40"/>
      <c r="AL43" s="203" t="str">
        <f t="shared" ca="1" si="0"/>
        <v xml:space="preserve">    (U1)ALERT_REQ_H_MAICER_PD4_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t="s">
        <v>63</v>
      </c>
      <c r="AE44" s="50" t="s">
        <v>63</v>
      </c>
      <c r="AF44" s="50" t="s">
        <v>63</v>
      </c>
      <c r="AG44" s="50" t="s">
        <v>63</v>
      </c>
      <c r="AH44" s="50" t="s">
        <v>63</v>
      </c>
      <c r="AI44" s="50" t="s">
        <v>63</v>
      </c>
      <c r="AJ44" s="40"/>
      <c r="AL44" s="203" t="str">
        <f t="shared" ca="1" si="0"/>
        <v xml:space="preserve">    (U1)ALERT_REQ_H_MAICER_PD4_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t="s">
        <v>63</v>
      </c>
      <c r="AE45" s="50" t="s">
        <v>63</v>
      </c>
      <c r="AF45" s="50" t="s">
        <v>63</v>
      </c>
      <c r="AG45" s="50" t="s">
        <v>63</v>
      </c>
      <c r="AH45" s="50" t="s">
        <v>63</v>
      </c>
      <c r="AI45" s="50" t="s">
        <v>63</v>
      </c>
      <c r="AJ45" s="40"/>
      <c r="AL45" s="203" t="str">
        <f t="shared" ca="1" si="0"/>
        <v xml:space="preserve">    (U1)ALERT_REQ_H_MAICER_PD4_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t="s">
        <v>63</v>
      </c>
      <c r="AE46" s="50" t="s">
        <v>63</v>
      </c>
      <c r="AF46" s="50" t="s">
        <v>63</v>
      </c>
      <c r="AG46" s="50" t="s">
        <v>63</v>
      </c>
      <c r="AH46" s="50" t="s">
        <v>63</v>
      </c>
      <c r="AI46" s="50" t="s">
        <v>63</v>
      </c>
      <c r="AJ46" s="40"/>
      <c r="AL46" s="203" t="str">
        <f t="shared" ca="1" si="0"/>
        <v xml:space="preserve">    (U1)ALERT_REQ_H_MAICER_PD4_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t="s">
        <v>63</v>
      </c>
      <c r="AE47" s="50" t="s">
        <v>63</v>
      </c>
      <c r="AF47" s="50" t="s">
        <v>63</v>
      </c>
      <c r="AG47" s="50" t="s">
        <v>63</v>
      </c>
      <c r="AH47" s="50" t="s">
        <v>63</v>
      </c>
      <c r="AI47" s="50" t="s">
        <v>63</v>
      </c>
      <c r="AJ47" s="40"/>
      <c r="AL47" s="203" t="str">
        <f t="shared" ca="1" si="0"/>
        <v xml:space="preserve">    (U1)ALERT_REQ_H_MAICER_PD4_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t="s">
        <v>63</v>
      </c>
      <c r="AE48" s="50" t="s">
        <v>63</v>
      </c>
      <c r="AF48" s="50" t="s">
        <v>63</v>
      </c>
      <c r="AG48" s="50" t="s">
        <v>63</v>
      </c>
      <c r="AH48" s="50" t="s">
        <v>63</v>
      </c>
      <c r="AI48" s="50" t="s">
        <v>63</v>
      </c>
      <c r="AJ48" s="40"/>
      <c r="AL48" s="203" t="str">
        <f t="shared" ca="1" si="0"/>
        <v xml:space="preserve">    (U1)ALERT_REQ_H_MAICER_PD4_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t="s">
        <v>63</v>
      </c>
      <c r="AE49" s="50" t="s">
        <v>63</v>
      </c>
      <c r="AF49" s="50" t="s">
        <v>63</v>
      </c>
      <c r="AG49" s="50" t="s">
        <v>63</v>
      </c>
      <c r="AH49" s="50" t="s">
        <v>63</v>
      </c>
      <c r="AI49" s="50" t="s">
        <v>63</v>
      </c>
      <c r="AJ49" s="21"/>
      <c r="AL49" s="203" t="str">
        <f t="shared" ca="1" si="0"/>
        <v xml:space="preserve">    (U1)ALERT_REQ_H_MAICER_PD4_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t="s">
        <v>63</v>
      </c>
      <c r="AE50" s="50" t="s">
        <v>63</v>
      </c>
      <c r="AF50" s="50" t="s">
        <v>63</v>
      </c>
      <c r="AG50" s="50" t="s">
        <v>63</v>
      </c>
      <c r="AH50" s="50" t="s">
        <v>63</v>
      </c>
      <c r="AI50" s="50" t="s">
        <v>63</v>
      </c>
      <c r="AJ50" s="21"/>
      <c r="AL50" s="203" t="str">
        <f t="shared" ca="1" si="0"/>
        <v xml:space="preserve">    (U1)ALERT_REQ_H_MAICER_PD4_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t="s">
        <v>63</v>
      </c>
      <c r="AE51" s="50" t="s">
        <v>63</v>
      </c>
      <c r="AF51" s="50" t="s">
        <v>63</v>
      </c>
      <c r="AG51" s="50" t="s">
        <v>63</v>
      </c>
      <c r="AH51" s="50" t="s">
        <v>63</v>
      </c>
      <c r="AI51" s="50" t="s">
        <v>63</v>
      </c>
      <c r="AJ51" s="21"/>
      <c r="AL51" s="203" t="str">
        <f t="shared" ca="1" si="0"/>
        <v xml:space="preserve">    (U1)ALERT_REQ_H_MAICER_PD4_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t="s">
        <v>63</v>
      </c>
      <c r="AE52" s="50" t="s">
        <v>63</v>
      </c>
      <c r="AF52" s="50" t="s">
        <v>63</v>
      </c>
      <c r="AG52" s="50" t="s">
        <v>63</v>
      </c>
      <c r="AH52" s="50" t="s">
        <v>63</v>
      </c>
      <c r="AI52" s="50" t="s">
        <v>63</v>
      </c>
      <c r="AJ52" s="21"/>
      <c r="AL52" s="203" t="str">
        <f t="shared" ca="1" si="0"/>
        <v xml:space="preserve">    (U1)ALERT_REQ_H_MAICER_PD4_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t="s">
        <v>63</v>
      </c>
      <c r="AE53" s="50" t="s">
        <v>63</v>
      </c>
      <c r="AF53" s="50" t="s">
        <v>63</v>
      </c>
      <c r="AG53" s="50" t="s">
        <v>63</v>
      </c>
      <c r="AH53" s="50" t="s">
        <v>63</v>
      </c>
      <c r="AI53" s="50" t="s">
        <v>63</v>
      </c>
      <c r="AJ53" s="21"/>
      <c r="AL53" s="203" t="str">
        <f t="shared" ca="1" si="0"/>
        <v xml:space="preserve">    (U1)ALERT_REQ_H_MAICER_PD4_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t="s">
        <v>63</v>
      </c>
      <c r="AE54" s="50" t="s">
        <v>63</v>
      </c>
      <c r="AF54" s="50" t="s">
        <v>63</v>
      </c>
      <c r="AG54" s="50" t="s">
        <v>63</v>
      </c>
      <c r="AH54" s="50" t="s">
        <v>63</v>
      </c>
      <c r="AI54" s="50" t="s">
        <v>63</v>
      </c>
      <c r="AJ54" s="21"/>
      <c r="AL54" s="203" t="str">
        <f t="shared" ca="1" si="0"/>
        <v xml:space="preserve">    (U1)ALERT_REQ_H_MAICER_PD4_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t="s">
        <v>63</v>
      </c>
      <c r="AE55" s="50" t="s">
        <v>63</v>
      </c>
      <c r="AF55" s="50" t="s">
        <v>63</v>
      </c>
      <c r="AG55" s="50" t="s">
        <v>63</v>
      </c>
      <c r="AH55" s="50" t="s">
        <v>63</v>
      </c>
      <c r="AI55" s="50" t="s">
        <v>63</v>
      </c>
      <c r="AJ55" s="21"/>
      <c r="AL55" s="203" t="str">
        <f t="shared" ca="1" si="0"/>
        <v xml:space="preserve">    (U1)ALERT_REQ_H_MAICER_PD4_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t="s">
        <v>63</v>
      </c>
      <c r="AE56" s="50" t="s">
        <v>63</v>
      </c>
      <c r="AF56" s="50" t="s">
        <v>63</v>
      </c>
      <c r="AG56" s="50" t="s">
        <v>63</v>
      </c>
      <c r="AH56" s="50" t="s">
        <v>63</v>
      </c>
      <c r="AI56" s="50" t="s">
        <v>63</v>
      </c>
      <c r="AJ56" s="21"/>
      <c r="AL56" s="203" t="str">
        <f t="shared" ca="1" si="0"/>
        <v xml:space="preserve">    (U1)ALERT_REQ_H_MAICER_PD4_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t="s">
        <v>63</v>
      </c>
      <c r="AE57" s="50" t="s">
        <v>63</v>
      </c>
      <c r="AF57" s="50" t="s">
        <v>63</v>
      </c>
      <c r="AG57" s="50" t="s">
        <v>63</v>
      </c>
      <c r="AH57" s="50" t="s">
        <v>63</v>
      </c>
      <c r="AI57" s="50" t="s">
        <v>63</v>
      </c>
      <c r="AJ57" s="21"/>
      <c r="AL57" s="203" t="str">
        <f t="shared" ca="1" si="0"/>
        <v xml:space="preserve">    (U1)ALERT_REQ_H_MAICER_PD4_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t="s">
        <v>63</v>
      </c>
      <c r="AE58" s="50" t="s">
        <v>63</v>
      </c>
      <c r="AF58" s="50" t="s">
        <v>63</v>
      </c>
      <c r="AG58" s="50" t="s">
        <v>63</v>
      </c>
      <c r="AH58" s="50" t="s">
        <v>63</v>
      </c>
      <c r="AI58" s="50" t="s">
        <v>63</v>
      </c>
      <c r="AJ58" s="21"/>
      <c r="AL58" s="203" t="str">
        <f t="shared" ca="1" si="0"/>
        <v xml:space="preserve">    (U1)ALERT_REQ_H_MAICER_PD4_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t="s">
        <v>63</v>
      </c>
      <c r="AE59" s="50" t="s">
        <v>63</v>
      </c>
      <c r="AF59" s="50" t="s">
        <v>63</v>
      </c>
      <c r="AG59" s="50" t="s">
        <v>63</v>
      </c>
      <c r="AH59" s="50" t="s">
        <v>63</v>
      </c>
      <c r="AI59" s="50" t="s">
        <v>63</v>
      </c>
      <c r="AJ59" s="21"/>
      <c r="AL59" s="203" t="str">
        <f t="shared" ca="1" si="0"/>
        <v xml:space="preserve">    (U1)ALERT_REQ_H_MAICER_PD4_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t="s">
        <v>63</v>
      </c>
      <c r="AE60" s="50" t="s">
        <v>63</v>
      </c>
      <c r="AF60" s="50" t="s">
        <v>63</v>
      </c>
      <c r="AG60" s="50" t="s">
        <v>63</v>
      </c>
      <c r="AH60" s="50" t="s">
        <v>63</v>
      </c>
      <c r="AI60" s="50" t="s">
        <v>63</v>
      </c>
      <c r="AJ60" s="21"/>
      <c r="AL60" s="203" t="str">
        <f t="shared" ca="1" si="0"/>
        <v xml:space="preserve">    (U1)ALERT_REQ_H_MAICER_PD4_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t="s">
        <v>63</v>
      </c>
      <c r="AE61" s="50" t="s">
        <v>63</v>
      </c>
      <c r="AF61" s="50" t="s">
        <v>63</v>
      </c>
      <c r="AG61" s="50" t="s">
        <v>63</v>
      </c>
      <c r="AH61" s="50" t="s">
        <v>63</v>
      </c>
      <c r="AI61" s="50" t="s">
        <v>63</v>
      </c>
      <c r="AJ61" s="21"/>
      <c r="AL61" s="203" t="str">
        <f t="shared" ca="1" si="0"/>
        <v xml:space="preserve">    (U1)ALERT_REQ_H_MAICER_PD4_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t="s">
        <v>63</v>
      </c>
      <c r="AE62" s="50" t="s">
        <v>63</v>
      </c>
      <c r="AF62" s="50" t="s">
        <v>63</v>
      </c>
      <c r="AG62" s="50" t="s">
        <v>63</v>
      </c>
      <c r="AH62" s="50" t="s">
        <v>63</v>
      </c>
      <c r="AI62" s="50" t="s">
        <v>63</v>
      </c>
      <c r="AJ62" s="21"/>
      <c r="AL62" s="203" t="str">
        <f t="shared" ca="1" si="0"/>
        <v xml:space="preserve">    (U1)ALERT_REQ_H_MAICER_PD4_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t="s">
        <v>63</v>
      </c>
      <c r="AE63" s="50" t="s">
        <v>63</v>
      </c>
      <c r="AF63" s="50" t="s">
        <v>63</v>
      </c>
      <c r="AG63" s="50" t="s">
        <v>63</v>
      </c>
      <c r="AH63" s="50" t="s">
        <v>63</v>
      </c>
      <c r="AI63" s="50" t="s">
        <v>63</v>
      </c>
      <c r="AJ63" s="21"/>
      <c r="AL63" s="203" t="str">
        <f t="shared" ca="1" si="0"/>
        <v xml:space="preserve">    (U1)ALERT_REQ_H_MAICER_PD4_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t="s">
        <v>63</v>
      </c>
      <c r="AE64" s="50" t="s">
        <v>63</v>
      </c>
      <c r="AF64" s="50" t="s">
        <v>63</v>
      </c>
      <c r="AG64" s="50" t="s">
        <v>63</v>
      </c>
      <c r="AH64" s="50" t="s">
        <v>63</v>
      </c>
      <c r="AI64" s="50" t="s">
        <v>63</v>
      </c>
      <c r="AJ64" s="21"/>
      <c r="AL64" s="203" t="str">
        <f t="shared" ca="1" si="0"/>
        <v xml:space="preserve">    (U1)ALERT_REQ_H_MAICER_PD4_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t="s">
        <v>63</v>
      </c>
      <c r="AE65" s="50" t="s">
        <v>63</v>
      </c>
      <c r="AF65" s="50" t="s">
        <v>63</v>
      </c>
      <c r="AG65" s="50" t="s">
        <v>63</v>
      </c>
      <c r="AH65" s="50" t="s">
        <v>63</v>
      </c>
      <c r="AI65" s="50" t="s">
        <v>63</v>
      </c>
      <c r="AJ65" s="21"/>
      <c r="AL65" s="203" t="str">
        <f t="shared" ca="1" si="0"/>
        <v xml:space="preserve">    (U1)ALERT_REQ_H_MAICER_PD4_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t="s">
        <v>63</v>
      </c>
      <c r="AE66" s="50" t="s">
        <v>63</v>
      </c>
      <c r="AF66" s="50" t="s">
        <v>63</v>
      </c>
      <c r="AG66" s="50" t="s">
        <v>63</v>
      </c>
      <c r="AH66" s="50" t="s">
        <v>63</v>
      </c>
      <c r="AI66" s="50" t="s">
        <v>63</v>
      </c>
      <c r="AJ66" s="21"/>
      <c r="AL66" s="203" t="str">
        <f t="shared" ca="1" si="0"/>
        <v xml:space="preserve">    (U1)ALERT_REQ_H_MAICER_PD4_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t="s">
        <v>63</v>
      </c>
      <c r="AE67" s="50" t="s">
        <v>63</v>
      </c>
      <c r="AF67" s="50" t="s">
        <v>63</v>
      </c>
      <c r="AG67" s="50" t="s">
        <v>63</v>
      </c>
      <c r="AH67" s="50" t="s">
        <v>63</v>
      </c>
      <c r="AI67" s="50" t="s">
        <v>63</v>
      </c>
      <c r="AJ67" s="21"/>
      <c r="AL67" s="203" t="str">
        <f t="shared" ca="1" si="0"/>
        <v xml:space="preserve">    (U1)ALERT_REQ_H_MAICER_PD4_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t="s">
        <v>63</v>
      </c>
      <c r="AE68" s="50" t="s">
        <v>63</v>
      </c>
      <c r="AF68" s="50" t="s">
        <v>63</v>
      </c>
      <c r="AG68" s="50" t="s">
        <v>63</v>
      </c>
      <c r="AH68" s="50" t="s">
        <v>63</v>
      </c>
      <c r="AI68" s="50" t="s">
        <v>63</v>
      </c>
      <c r="AJ68" s="21"/>
      <c r="AL68" s="203" t="str">
        <f t="shared" ca="1" si="0"/>
        <v xml:space="preserve">    (U1)ALERT_REQ_H_MAICER_PD4_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1"/>
      <c r="AL69" s="203" t="str">
        <f t="shared" ca="1" si="0"/>
        <v xml:space="preserve">    (U1)ALERT_REQ_H_MAICER_PD4_</v>
      </c>
      <c r="AR69" s="52" t="str">
        <f t="shared" si="3"/>
        <v/>
      </c>
      <c r="AS69" s="52" t="str">
        <f t="shared" si="4"/>
        <v/>
      </c>
      <c r="AT69" s="52" t="str">
        <f t="shared" si="1"/>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PD4</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s="203"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MALFUNC</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s="203" t="str">
        <f t="shared" si="7"/>
        <v xml:space="preserve">    (U4)0x00000001U,                                                           /* 01 MALFUNC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s="20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s="203"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0</v>
      </c>
      <c r="AH75" s="119">
        <f t="shared" si="5"/>
        <v>0</v>
      </c>
      <c r="AI75" s="119">
        <f t="shared" si="5"/>
        <v>0</v>
      </c>
      <c r="AJ75" s="36" t="str">
        <f t="shared" si="6"/>
        <v/>
      </c>
      <c r="AK75" s="49"/>
      <c r="AL75" s="49" t="str">
        <f t="shared" si="9"/>
        <v>00</v>
      </c>
      <c r="AM75" s="51" t="str">
        <f t="shared" si="10"/>
        <v>00</v>
      </c>
      <c r="AN75" s="51" t="str">
        <f t="shared" si="11"/>
        <v>00</v>
      </c>
      <c r="AO75" s="51" t="str">
        <f t="shared" si="12"/>
        <v>00</v>
      </c>
      <c r="AQ75" s="203" t="str">
        <f t="shared" si="7"/>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0</v>
      </c>
      <c r="AH76" s="119">
        <f t="shared" si="5"/>
        <v>0</v>
      </c>
      <c r="AI76" s="119">
        <f t="shared" si="5"/>
        <v>0</v>
      </c>
      <c r="AJ76" s="36" t="str">
        <f t="shared" si="6"/>
        <v/>
      </c>
      <c r="AK76" s="49"/>
      <c r="AL76" s="49" t="str">
        <f t="shared" si="9"/>
        <v>00</v>
      </c>
      <c r="AM76" s="51" t="str">
        <f t="shared" si="10"/>
        <v>00</v>
      </c>
      <c r="AN76" s="51" t="str">
        <f t="shared" si="11"/>
        <v>00</v>
      </c>
      <c r="AO76" s="51" t="str">
        <f t="shared" si="12"/>
        <v>00</v>
      </c>
      <c r="AQ76" s="203" t="str">
        <f t="shared" si="7"/>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0</v>
      </c>
      <c r="AH77" s="119">
        <f t="shared" si="5"/>
        <v>0</v>
      </c>
      <c r="AI77" s="119">
        <f t="shared" si="5"/>
        <v>0</v>
      </c>
      <c r="AJ77" s="36" t="str">
        <f t="shared" si="6"/>
        <v/>
      </c>
      <c r="AK77" s="49"/>
      <c r="AL77" s="49" t="str">
        <f t="shared" si="9"/>
        <v>00</v>
      </c>
      <c r="AM77" s="51" t="str">
        <f t="shared" si="10"/>
        <v>00</v>
      </c>
      <c r="AN77" s="51" t="str">
        <f t="shared" si="11"/>
        <v>00</v>
      </c>
      <c r="AO77" s="51" t="str">
        <f t="shared" si="12"/>
        <v>00</v>
      </c>
      <c r="AQ77" s="203" t="str">
        <f t="shared" si="7"/>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0</v>
      </c>
      <c r="AH78" s="119">
        <f t="shared" si="5"/>
        <v>0</v>
      </c>
      <c r="AI78" s="119">
        <f>IF(AI13=1,1,0)</f>
        <v>0</v>
      </c>
      <c r="AJ78" s="36" t="str">
        <f t="shared" si="6"/>
        <v/>
      </c>
      <c r="AK78" s="49"/>
      <c r="AL78" s="49" t="str">
        <f t="shared" si="9"/>
        <v>00</v>
      </c>
      <c r="AM78" s="51" t="str">
        <f t="shared" si="10"/>
        <v>00</v>
      </c>
      <c r="AN78" s="51" t="str">
        <f t="shared" si="11"/>
        <v>00</v>
      </c>
      <c r="AO78" s="51" t="str">
        <f t="shared" si="12"/>
        <v>00</v>
      </c>
      <c r="AQ78" s="203" t="str">
        <f t="shared" si="7"/>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0</v>
      </c>
      <c r="AG79" s="119">
        <f t="shared" si="13"/>
        <v>0</v>
      </c>
      <c r="AH79" s="119">
        <f t="shared" si="13"/>
        <v>0</v>
      </c>
      <c r="AI79" s="119">
        <f t="shared" si="13"/>
        <v>0</v>
      </c>
      <c r="AJ79" s="36" t="str">
        <f t="shared" si="6"/>
        <v/>
      </c>
      <c r="AK79" s="49"/>
      <c r="AL79" s="49" t="str">
        <f t="shared" si="9"/>
        <v>00</v>
      </c>
      <c r="AM79" s="51" t="str">
        <f t="shared" si="10"/>
        <v>00</v>
      </c>
      <c r="AN79" s="51" t="str">
        <f t="shared" si="11"/>
        <v>00</v>
      </c>
      <c r="AO79" s="51" t="str">
        <f t="shared" si="12"/>
        <v>00</v>
      </c>
      <c r="AQ79" s="203" t="str">
        <f t="shared" si="7"/>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0</v>
      </c>
      <c r="AG80" s="119">
        <f t="shared" si="13"/>
        <v>0</v>
      </c>
      <c r="AH80" s="119">
        <f t="shared" si="13"/>
        <v>0</v>
      </c>
      <c r="AI80" s="119">
        <f t="shared" si="13"/>
        <v>0</v>
      </c>
      <c r="AJ80" s="36" t="str">
        <f t="shared" si="6"/>
        <v/>
      </c>
      <c r="AK80" s="49"/>
      <c r="AL80" s="49" t="str">
        <f t="shared" si="9"/>
        <v>00</v>
      </c>
      <c r="AM80" s="51" t="str">
        <f t="shared" si="10"/>
        <v>00</v>
      </c>
      <c r="AN80" s="51" t="str">
        <f t="shared" si="11"/>
        <v>00</v>
      </c>
      <c r="AO80" s="51" t="str">
        <f t="shared" si="12"/>
        <v>00</v>
      </c>
      <c r="AQ80" s="203" t="str">
        <f t="shared" si="7"/>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0</v>
      </c>
      <c r="AG81" s="119">
        <f t="shared" si="13"/>
        <v>0</v>
      </c>
      <c r="AH81" s="119">
        <f t="shared" si="13"/>
        <v>0</v>
      </c>
      <c r="AI81" s="119">
        <f t="shared" si="13"/>
        <v>0</v>
      </c>
      <c r="AJ81" s="36" t="str">
        <f t="shared" si="6"/>
        <v/>
      </c>
      <c r="AK81" s="49"/>
      <c r="AL81" s="49" t="str">
        <f t="shared" si="9"/>
        <v>00</v>
      </c>
      <c r="AM81" s="51" t="str">
        <f t="shared" si="10"/>
        <v>00</v>
      </c>
      <c r="AN81" s="51" t="str">
        <f t="shared" si="11"/>
        <v>00</v>
      </c>
      <c r="AO81" s="51" t="str">
        <f t="shared" si="12"/>
        <v>00</v>
      </c>
      <c r="AQ81" s="203" t="str">
        <f t="shared" si="7"/>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0</v>
      </c>
      <c r="AG82" s="119">
        <f t="shared" si="13"/>
        <v>0</v>
      </c>
      <c r="AH82" s="119">
        <f t="shared" si="13"/>
        <v>0</v>
      </c>
      <c r="AI82" s="119">
        <f t="shared" si="13"/>
        <v>0</v>
      </c>
      <c r="AJ82" s="36" t="str">
        <f t="shared" si="6"/>
        <v/>
      </c>
      <c r="AK82" s="49"/>
      <c r="AL82" s="49" t="str">
        <f t="shared" si="9"/>
        <v>00</v>
      </c>
      <c r="AM82" s="51" t="str">
        <f t="shared" si="10"/>
        <v>00</v>
      </c>
      <c r="AN82" s="51" t="str">
        <f t="shared" si="11"/>
        <v>00</v>
      </c>
      <c r="AO82" s="51" t="str">
        <f t="shared" si="12"/>
        <v>00</v>
      </c>
      <c r="AQ82" s="203" t="str">
        <f t="shared" si="7"/>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0</v>
      </c>
      <c r="AG83" s="119">
        <f t="shared" si="13"/>
        <v>0</v>
      </c>
      <c r="AH83" s="119">
        <f t="shared" si="13"/>
        <v>0</v>
      </c>
      <c r="AI83" s="119">
        <f t="shared" si="13"/>
        <v>0</v>
      </c>
      <c r="AJ83" s="36" t="str">
        <f t="shared" si="6"/>
        <v/>
      </c>
      <c r="AK83" s="49"/>
      <c r="AL83" s="49" t="str">
        <f t="shared" si="9"/>
        <v>00</v>
      </c>
      <c r="AM83" s="51" t="str">
        <f t="shared" si="10"/>
        <v>00</v>
      </c>
      <c r="AN83" s="51" t="str">
        <f t="shared" si="11"/>
        <v>00</v>
      </c>
      <c r="AO83" s="51" t="str">
        <f t="shared" si="12"/>
        <v>00</v>
      </c>
      <c r="AQ83" s="203" t="str">
        <f t="shared" si="7"/>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0</v>
      </c>
      <c r="AG84" s="119">
        <f t="shared" si="13"/>
        <v>0</v>
      </c>
      <c r="AH84" s="119">
        <f t="shared" si="13"/>
        <v>0</v>
      </c>
      <c r="AI84" s="119">
        <f t="shared" si="13"/>
        <v>0</v>
      </c>
      <c r="AJ84" s="36" t="str">
        <f t="shared" si="6"/>
        <v/>
      </c>
      <c r="AK84" s="49"/>
      <c r="AL84" s="49" t="str">
        <f t="shared" si="9"/>
        <v>00</v>
      </c>
      <c r="AM84" s="51" t="str">
        <f t="shared" si="10"/>
        <v>00</v>
      </c>
      <c r="AN84" s="51" t="str">
        <f t="shared" si="11"/>
        <v>00</v>
      </c>
      <c r="AO84" s="51" t="str">
        <f t="shared" si="12"/>
        <v>00</v>
      </c>
      <c r="AQ84" s="203" t="str">
        <f t="shared" si="7"/>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0</v>
      </c>
      <c r="AG85" s="119">
        <f t="shared" si="13"/>
        <v>0</v>
      </c>
      <c r="AH85" s="119">
        <f t="shared" si="13"/>
        <v>0</v>
      </c>
      <c r="AI85" s="119">
        <f t="shared" si="13"/>
        <v>0</v>
      </c>
      <c r="AJ85" s="36" t="str">
        <f t="shared" si="6"/>
        <v/>
      </c>
      <c r="AK85" s="49"/>
      <c r="AL85" s="49" t="str">
        <f t="shared" si="9"/>
        <v>00</v>
      </c>
      <c r="AM85" s="51" t="str">
        <f t="shared" si="10"/>
        <v>00</v>
      </c>
      <c r="AN85" s="51" t="str">
        <f t="shared" si="11"/>
        <v>00</v>
      </c>
      <c r="AO85" s="51" t="str">
        <f t="shared" si="12"/>
        <v>00</v>
      </c>
      <c r="AQ85" s="203" t="str">
        <f t="shared" si="7"/>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0</v>
      </c>
      <c r="AG86" s="119">
        <f t="shared" si="13"/>
        <v>0</v>
      </c>
      <c r="AH86" s="119">
        <f t="shared" si="13"/>
        <v>0</v>
      </c>
      <c r="AI86" s="119">
        <f>IF(AI21=1,1,0)</f>
        <v>0</v>
      </c>
      <c r="AJ86" s="36" t="str">
        <f t="shared" si="6"/>
        <v/>
      </c>
      <c r="AK86" s="49"/>
      <c r="AL86" s="49" t="str">
        <f t="shared" si="9"/>
        <v>00</v>
      </c>
      <c r="AM86" s="51" t="str">
        <f t="shared" si="10"/>
        <v>00</v>
      </c>
      <c r="AN86" s="51" t="str">
        <f t="shared" si="11"/>
        <v>00</v>
      </c>
      <c r="AO86" s="51" t="str">
        <f t="shared" si="12"/>
        <v>00</v>
      </c>
      <c r="AQ86" s="203" t="str">
        <f t="shared" si="7"/>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s="203"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s="203"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s="203"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s="203"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s="203"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s="203"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s="20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s="203"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s="203"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s="203"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s="203"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s="203"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s="203"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s="203"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s="203"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s="203"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s="2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s="203"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s="203"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s="203"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s="203"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s="203"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s="203"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s="203"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s="203"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s="203"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s="20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s="203"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s="203"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s="203"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s="203"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s="203"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s="203"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s="203"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s="203"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s="203"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s="20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s="203"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s="203"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s="203"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s="203"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s="203"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s="203"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s="203"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s="203"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s="203"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s="20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s="203"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PD4</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0</v>
      </c>
      <c r="AG136" s="119">
        <f t="shared" si="20"/>
        <v>0</v>
      </c>
      <c r="AH136" s="119">
        <f t="shared" si="20"/>
        <v>1</v>
      </c>
      <c r="AI136" s="119">
        <f t="shared" si="20"/>
        <v>1</v>
      </c>
      <c r="AJ136" s="36" t="str">
        <f t="shared" ref="AJ136:AJ199" si="21">IF(AJ6&lt;&gt;"",AJ6,"")</f>
        <v>UNKNOWN</v>
      </c>
      <c r="AK136" s="49"/>
      <c r="AL136" s="49" t="str">
        <f>BIN2HEX(AB136&amp;AC136&amp;AD136&amp;AE136&amp;AF136&amp;AG136&amp;AH136&amp;AI136,2)</f>
        <v>03</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s="203" t="str">
        <f t="shared" ref="AQ136:AQ199" si="22">IF(AJ136="","","    (U4)0x"&amp;AO136&amp;AN136&amp;AM136&amp;AL136&amp;"U"&amp;IF(AJ137=""," ",",")&amp;REPT(" ",59)&amp;"/* "&amp;IF(C136&lt;10,"0"&amp;C136,C136)&amp;" "&amp;AJ136&amp;REPT(" ",47-LEN(AJ136))&amp;" */")</f>
        <v xml:space="preserve">    (U4)0x00000003U,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0</v>
      </c>
      <c r="AG137" s="119">
        <f t="shared" si="20"/>
        <v>0</v>
      </c>
      <c r="AH137" s="119">
        <f t="shared" si="20"/>
        <v>1</v>
      </c>
      <c r="AI137" s="119">
        <f t="shared" si="20"/>
        <v>1</v>
      </c>
      <c r="AJ137" s="36" t="str">
        <f t="shared" si="21"/>
        <v>MALFUNC</v>
      </c>
      <c r="AK137" s="49"/>
      <c r="AL137" s="49" t="str">
        <f t="shared" ref="AL137:AL199" si="24">BIN2HEX(AB137&amp;AC137&amp;AD137&amp;AE137&amp;AF137&amp;AG137&amp;AH137&amp;AI137,2)</f>
        <v>03</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s="203" t="str">
        <f t="shared" si="22"/>
        <v xml:space="preserve">    (U4)0x00000003U,                                                           /* 01 MALFUNC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0</v>
      </c>
      <c r="AG138" s="119">
        <f t="shared" si="20"/>
        <v>0</v>
      </c>
      <c r="AH138" s="119">
        <f t="shared" si="20"/>
        <v>1</v>
      </c>
      <c r="AI138" s="119">
        <f t="shared" si="20"/>
        <v>1</v>
      </c>
      <c r="AJ138" s="36" t="str">
        <f t="shared" si="21"/>
        <v>UNKNOWN</v>
      </c>
      <c r="AK138" s="49"/>
      <c r="AL138" s="49" t="str">
        <f t="shared" si="24"/>
        <v>03</v>
      </c>
      <c r="AM138" s="51" t="str">
        <f t="shared" si="25"/>
        <v>00</v>
      </c>
      <c r="AN138" s="51" t="str">
        <f t="shared" si="26"/>
        <v>00</v>
      </c>
      <c r="AO138" s="51" t="str">
        <f t="shared" si="27"/>
        <v>00</v>
      </c>
      <c r="AQ138" s="203" t="str">
        <f t="shared" si="22"/>
        <v xml:space="preserve">    (U4)0x00000003U,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0</v>
      </c>
      <c r="AG139" s="119">
        <f t="shared" si="20"/>
        <v>0</v>
      </c>
      <c r="AH139" s="119">
        <f t="shared" si="20"/>
        <v>1</v>
      </c>
      <c r="AI139" s="119">
        <f t="shared" si="20"/>
        <v>1</v>
      </c>
      <c r="AJ139" s="36" t="str">
        <f t="shared" si="21"/>
        <v>UNKNOWN</v>
      </c>
      <c r="AK139" s="49"/>
      <c r="AL139" s="49" t="str">
        <f t="shared" si="24"/>
        <v>03</v>
      </c>
      <c r="AM139" s="51" t="str">
        <f t="shared" si="25"/>
        <v>00</v>
      </c>
      <c r="AN139" s="51" t="str">
        <f t="shared" si="26"/>
        <v>00</v>
      </c>
      <c r="AO139" s="51" t="str">
        <f t="shared" si="27"/>
        <v>00</v>
      </c>
      <c r="AQ139" s="203" t="str">
        <f t="shared" si="22"/>
        <v xml:space="preserve">    (U4)0x00000003U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0</v>
      </c>
      <c r="AG140" s="119">
        <f t="shared" si="20"/>
        <v>0</v>
      </c>
      <c r="AH140" s="119">
        <f t="shared" si="20"/>
        <v>0</v>
      </c>
      <c r="AI140" s="119">
        <f t="shared" si="20"/>
        <v>0</v>
      </c>
      <c r="AJ140" s="36" t="str">
        <f t="shared" si="21"/>
        <v/>
      </c>
      <c r="AK140" s="49"/>
      <c r="AL140" s="49" t="str">
        <f t="shared" si="24"/>
        <v>00</v>
      </c>
      <c r="AM140" s="51" t="str">
        <f t="shared" si="25"/>
        <v>00</v>
      </c>
      <c r="AN140" s="51" t="str">
        <f t="shared" si="26"/>
        <v>00</v>
      </c>
      <c r="AO140" s="51" t="str">
        <f t="shared" si="27"/>
        <v>00</v>
      </c>
      <c r="AQ140" s="203" t="str">
        <f t="shared" si="22"/>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0</v>
      </c>
      <c r="AG141" s="119">
        <f t="shared" si="20"/>
        <v>0</v>
      </c>
      <c r="AH141" s="119">
        <f t="shared" si="20"/>
        <v>0</v>
      </c>
      <c r="AI141" s="119">
        <f t="shared" si="20"/>
        <v>0</v>
      </c>
      <c r="AJ141" s="36" t="str">
        <f t="shared" si="21"/>
        <v/>
      </c>
      <c r="AK141" s="49"/>
      <c r="AL141" s="49" t="str">
        <f t="shared" si="24"/>
        <v>00</v>
      </c>
      <c r="AM141" s="51" t="str">
        <f t="shared" si="25"/>
        <v>00</v>
      </c>
      <c r="AN141" s="51" t="str">
        <f t="shared" si="26"/>
        <v>00</v>
      </c>
      <c r="AO141" s="51" t="str">
        <f t="shared" si="27"/>
        <v>00</v>
      </c>
      <c r="AQ141" s="203" t="str">
        <f t="shared" si="22"/>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0</v>
      </c>
      <c r="AG142" s="119">
        <f t="shared" si="20"/>
        <v>0</v>
      </c>
      <c r="AH142" s="119">
        <f t="shared" si="20"/>
        <v>0</v>
      </c>
      <c r="AI142" s="119">
        <f t="shared" si="20"/>
        <v>0</v>
      </c>
      <c r="AJ142" s="36" t="str">
        <f t="shared" si="21"/>
        <v/>
      </c>
      <c r="AK142" s="49"/>
      <c r="AL142" s="49" t="str">
        <f t="shared" si="24"/>
        <v>00</v>
      </c>
      <c r="AM142" s="51" t="str">
        <f t="shared" si="25"/>
        <v>00</v>
      </c>
      <c r="AN142" s="51" t="str">
        <f t="shared" si="26"/>
        <v>00</v>
      </c>
      <c r="AO142" s="51" t="str">
        <f t="shared" si="27"/>
        <v>00</v>
      </c>
      <c r="AQ142" s="203" t="str">
        <f t="shared" si="22"/>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0</v>
      </c>
      <c r="AG143" s="119">
        <f t="shared" si="20"/>
        <v>0</v>
      </c>
      <c r="AH143" s="119">
        <f t="shared" si="20"/>
        <v>0</v>
      </c>
      <c r="AI143" s="119">
        <f>IF(OR(AI13=0,AI13=1),1,0)</f>
        <v>0</v>
      </c>
      <c r="AJ143" s="36" t="str">
        <f t="shared" si="21"/>
        <v/>
      </c>
      <c r="AK143" s="49"/>
      <c r="AL143" s="49" t="str">
        <f t="shared" si="24"/>
        <v>00</v>
      </c>
      <c r="AM143" s="51" t="str">
        <f t="shared" si="25"/>
        <v>00</v>
      </c>
      <c r="AN143" s="51" t="str">
        <f t="shared" si="26"/>
        <v>00</v>
      </c>
      <c r="AO143" s="51" t="str">
        <f t="shared" si="27"/>
        <v>00</v>
      </c>
      <c r="AQ143" s="203" t="str">
        <f t="shared" si="22"/>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0</v>
      </c>
      <c r="AG144" s="119">
        <f t="shared" si="28"/>
        <v>0</v>
      </c>
      <c r="AH144" s="119">
        <f t="shared" si="28"/>
        <v>0</v>
      </c>
      <c r="AI144" s="119">
        <f t="shared" si="28"/>
        <v>0</v>
      </c>
      <c r="AJ144" s="36" t="str">
        <f t="shared" si="21"/>
        <v/>
      </c>
      <c r="AK144" s="49"/>
      <c r="AL144" s="49" t="str">
        <f t="shared" si="24"/>
        <v>00</v>
      </c>
      <c r="AM144" s="51" t="str">
        <f t="shared" si="25"/>
        <v>00</v>
      </c>
      <c r="AN144" s="51" t="str">
        <f t="shared" si="26"/>
        <v>00</v>
      </c>
      <c r="AO144" s="51" t="str">
        <f t="shared" si="27"/>
        <v>00</v>
      </c>
      <c r="AQ144" s="203" t="str">
        <f t="shared" si="22"/>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0</v>
      </c>
      <c r="AG145" s="119">
        <f t="shared" si="28"/>
        <v>0</v>
      </c>
      <c r="AH145" s="119">
        <f t="shared" si="28"/>
        <v>0</v>
      </c>
      <c r="AI145" s="119">
        <f t="shared" si="28"/>
        <v>0</v>
      </c>
      <c r="AJ145" s="36" t="str">
        <f t="shared" si="21"/>
        <v/>
      </c>
      <c r="AK145" s="49"/>
      <c r="AL145" s="49" t="str">
        <f t="shared" si="24"/>
        <v>00</v>
      </c>
      <c r="AM145" s="51" t="str">
        <f t="shared" si="25"/>
        <v>00</v>
      </c>
      <c r="AN145" s="51" t="str">
        <f t="shared" si="26"/>
        <v>00</v>
      </c>
      <c r="AO145" s="51" t="str">
        <f t="shared" si="27"/>
        <v>00</v>
      </c>
      <c r="AQ145" s="203" t="str">
        <f t="shared" si="22"/>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0</v>
      </c>
      <c r="AG146" s="119">
        <f t="shared" si="28"/>
        <v>0</v>
      </c>
      <c r="AH146" s="119">
        <f t="shared" si="28"/>
        <v>0</v>
      </c>
      <c r="AI146" s="119">
        <f t="shared" si="28"/>
        <v>0</v>
      </c>
      <c r="AJ146" s="36" t="str">
        <f t="shared" si="21"/>
        <v/>
      </c>
      <c r="AK146" s="49"/>
      <c r="AL146" s="49" t="str">
        <f t="shared" si="24"/>
        <v>00</v>
      </c>
      <c r="AM146" s="51" t="str">
        <f t="shared" si="25"/>
        <v>00</v>
      </c>
      <c r="AN146" s="51" t="str">
        <f t="shared" si="26"/>
        <v>00</v>
      </c>
      <c r="AO146" s="51" t="str">
        <f t="shared" si="27"/>
        <v>00</v>
      </c>
      <c r="AQ146" s="203" t="str">
        <f t="shared" si="22"/>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0</v>
      </c>
      <c r="AG147" s="119">
        <f t="shared" si="28"/>
        <v>0</v>
      </c>
      <c r="AH147" s="119">
        <f t="shared" si="28"/>
        <v>0</v>
      </c>
      <c r="AI147" s="119">
        <f t="shared" si="28"/>
        <v>0</v>
      </c>
      <c r="AJ147" s="36" t="str">
        <f t="shared" si="21"/>
        <v/>
      </c>
      <c r="AK147" s="49"/>
      <c r="AL147" s="49" t="str">
        <f t="shared" si="24"/>
        <v>00</v>
      </c>
      <c r="AM147" s="51" t="str">
        <f t="shared" si="25"/>
        <v>00</v>
      </c>
      <c r="AN147" s="51" t="str">
        <f t="shared" si="26"/>
        <v>00</v>
      </c>
      <c r="AO147" s="51" t="str">
        <f t="shared" si="27"/>
        <v>00</v>
      </c>
      <c r="AQ147" s="203" t="str">
        <f t="shared" si="22"/>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0</v>
      </c>
      <c r="AG148" s="119">
        <f t="shared" si="28"/>
        <v>0</v>
      </c>
      <c r="AH148" s="119">
        <f t="shared" si="28"/>
        <v>0</v>
      </c>
      <c r="AI148" s="119">
        <f t="shared" si="28"/>
        <v>0</v>
      </c>
      <c r="AJ148" s="36" t="str">
        <f t="shared" si="21"/>
        <v/>
      </c>
      <c r="AK148" s="49"/>
      <c r="AL148" s="49" t="str">
        <f t="shared" si="24"/>
        <v>00</v>
      </c>
      <c r="AM148" s="51" t="str">
        <f t="shared" si="25"/>
        <v>00</v>
      </c>
      <c r="AN148" s="51" t="str">
        <f t="shared" si="26"/>
        <v>00</v>
      </c>
      <c r="AO148" s="51" t="str">
        <f t="shared" si="27"/>
        <v>00</v>
      </c>
      <c r="AQ148" s="203" t="str">
        <f t="shared" si="22"/>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0</v>
      </c>
      <c r="AG149" s="119">
        <f t="shared" si="28"/>
        <v>0</v>
      </c>
      <c r="AH149" s="119">
        <f t="shared" si="28"/>
        <v>0</v>
      </c>
      <c r="AI149" s="119">
        <f t="shared" si="28"/>
        <v>0</v>
      </c>
      <c r="AJ149" s="36" t="str">
        <f t="shared" si="21"/>
        <v/>
      </c>
      <c r="AK149" s="49"/>
      <c r="AL149" s="49" t="str">
        <f t="shared" si="24"/>
        <v>00</v>
      </c>
      <c r="AM149" s="51" t="str">
        <f t="shared" si="25"/>
        <v>00</v>
      </c>
      <c r="AN149" s="51" t="str">
        <f t="shared" si="26"/>
        <v>00</v>
      </c>
      <c r="AO149" s="51" t="str">
        <f t="shared" si="27"/>
        <v>00</v>
      </c>
      <c r="AQ149" s="203" t="str">
        <f t="shared" si="22"/>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0</v>
      </c>
      <c r="AG150" s="119">
        <f t="shared" si="28"/>
        <v>0</v>
      </c>
      <c r="AH150" s="119">
        <f t="shared" si="28"/>
        <v>0</v>
      </c>
      <c r="AI150" s="119">
        <f t="shared" si="28"/>
        <v>0</v>
      </c>
      <c r="AJ150" s="36" t="str">
        <f t="shared" si="21"/>
        <v/>
      </c>
      <c r="AK150" s="49"/>
      <c r="AL150" s="49" t="str">
        <f t="shared" si="24"/>
        <v>00</v>
      </c>
      <c r="AM150" s="51" t="str">
        <f t="shared" si="25"/>
        <v>00</v>
      </c>
      <c r="AN150" s="51" t="str">
        <f t="shared" si="26"/>
        <v>00</v>
      </c>
      <c r="AO150" s="51" t="str">
        <f t="shared" si="27"/>
        <v>00</v>
      </c>
      <c r="AQ150" s="203" t="str">
        <f t="shared" si="22"/>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0</v>
      </c>
      <c r="AG151" s="119">
        <f t="shared" si="28"/>
        <v>0</v>
      </c>
      <c r="AH151" s="119">
        <f t="shared" si="28"/>
        <v>0</v>
      </c>
      <c r="AI151" s="119">
        <f>IF(OR(AI21=0,AI21=1),1,0)</f>
        <v>0</v>
      </c>
      <c r="AJ151" s="36" t="str">
        <f t="shared" si="21"/>
        <v/>
      </c>
      <c r="AK151" s="49"/>
      <c r="AL151" s="49" t="str">
        <f t="shared" si="24"/>
        <v>00</v>
      </c>
      <c r="AM151" s="51" t="str">
        <f t="shared" si="25"/>
        <v>00</v>
      </c>
      <c r="AN151" s="51" t="str">
        <f t="shared" si="26"/>
        <v>00</v>
      </c>
      <c r="AO151" s="51" t="str">
        <f t="shared" si="27"/>
        <v>00</v>
      </c>
      <c r="AQ151" s="203" t="str">
        <f t="shared" si="22"/>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s="203"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s="20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s="203"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s="203"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s="203"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s="203"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s="203"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s="203"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s="203"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s="203"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s="203"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s="20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s="203"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s="203"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s="203"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s="203"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s="203"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s="203"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s="203"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s="203"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s="203"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s="20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s="203"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s="203"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s="203"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s="203"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s="203"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s="203"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s="203"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s="203"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s="203"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s="20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s="203"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s="203"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s="203"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s="203"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s="203"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s="203"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s="203"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s="203"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s="203"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s="20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s="203"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s="203"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s="203"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s="203"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s="203"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s="203" t="str">
        <f t="shared" si="22"/>
        <v/>
      </c>
    </row>
  </sheetData>
  <protectedRanges>
    <protectedRange sqref="L3:AG3 D6:AJ69" name="Table作成編集範囲"/>
    <protectedRange sqref="B3" name="Table作成編集範囲_1"/>
    <protectedRange sqref="AH3:AI3" name="Table作成編集範囲_2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Q68"/>
  <sheetViews>
    <sheetView zoomScale="85" zoomScaleNormal="85" workbookViewId="0"/>
  </sheetViews>
  <sheetFormatPr defaultRowHeight="13.5"/>
  <cols>
    <col min="1" max="1" width="9" style="203"/>
    <col min="2" max="2" width="35.375" style="203" bestFit="1" customWidth="1"/>
    <col min="3" max="10" width="3.375" style="203" customWidth="1"/>
    <col min="11" max="11" width="17" style="203" customWidth="1"/>
    <col min="12" max="12" width="39.875" style="203" bestFit="1" customWidth="1"/>
    <col min="13" max="13" width="24.25" style="203" bestFit="1" customWidth="1"/>
    <col min="14" max="14" width="10.875" style="203" customWidth="1"/>
    <col min="15" max="15" width="34.625" style="203" customWidth="1"/>
    <col min="16" max="17" width="10.875" style="203" customWidth="1"/>
    <col min="18" max="16384" width="9" style="203"/>
  </cols>
  <sheetData>
    <row r="2" spans="2:17" ht="15" thickBot="1">
      <c r="B2" s="184" t="s">
        <v>227</v>
      </c>
    </row>
    <row r="3" spans="2:17" ht="15" thickBot="1">
      <c r="B3" s="86" t="s">
        <v>115</v>
      </c>
      <c r="C3" s="304" t="s">
        <v>209</v>
      </c>
      <c r="D3" s="305"/>
      <c r="E3" s="305"/>
      <c r="F3" s="305"/>
      <c r="G3" s="305"/>
      <c r="H3" s="305"/>
      <c r="I3" s="305"/>
      <c r="J3" s="306"/>
      <c r="K3" s="157"/>
      <c r="L3" s="157"/>
      <c r="M3" s="160"/>
      <c r="N3" s="158"/>
      <c r="O3" s="158"/>
      <c r="P3" s="158"/>
      <c r="Q3" s="159"/>
    </row>
    <row r="4" spans="2:17">
      <c r="B4" s="59"/>
      <c r="C4" s="28" t="s">
        <v>150</v>
      </c>
      <c r="D4" s="28"/>
      <c r="E4" s="28"/>
      <c r="F4" s="28"/>
      <c r="G4" s="28"/>
      <c r="H4" s="28"/>
      <c r="I4" s="28"/>
      <c r="J4" s="28"/>
      <c r="K4" s="28"/>
      <c r="L4" s="209"/>
      <c r="M4" s="24" t="s">
        <v>47</v>
      </c>
      <c r="N4" s="32" t="s">
        <v>20</v>
      </c>
      <c r="O4" s="33"/>
      <c r="P4" s="33"/>
      <c r="Q4" s="34"/>
    </row>
    <row r="5" spans="2:17">
      <c r="B5" s="60" t="s">
        <v>21</v>
      </c>
      <c r="C5" s="307" t="s">
        <v>157</v>
      </c>
      <c r="D5" s="302"/>
      <c r="E5" s="302"/>
      <c r="F5" s="302"/>
      <c r="G5" s="302"/>
      <c r="H5" s="302"/>
      <c r="I5" s="302"/>
      <c r="J5" s="303"/>
      <c r="K5" s="78" t="s">
        <v>228</v>
      </c>
      <c r="L5" s="29" t="s">
        <v>229</v>
      </c>
      <c r="M5" s="25" t="s">
        <v>230</v>
      </c>
      <c r="N5" s="210" t="s">
        <v>22</v>
      </c>
      <c r="O5" s="1" t="s">
        <v>23</v>
      </c>
      <c r="P5" s="66" t="s">
        <v>24</v>
      </c>
      <c r="Q5" s="131" t="s">
        <v>25</v>
      </c>
    </row>
    <row r="6" spans="2:17">
      <c r="B6" s="60" t="s">
        <v>31</v>
      </c>
      <c r="C6" s="154" t="s">
        <v>167</v>
      </c>
      <c r="D6" s="154" t="s">
        <v>167</v>
      </c>
      <c r="E6" s="154" t="s">
        <v>167</v>
      </c>
      <c r="F6" s="154" t="s">
        <v>167</v>
      </c>
      <c r="G6" s="154" t="s">
        <v>167</v>
      </c>
      <c r="H6" s="154" t="s">
        <v>167</v>
      </c>
      <c r="I6" s="154" t="s">
        <v>167</v>
      </c>
      <c r="J6" s="154" t="s">
        <v>167</v>
      </c>
      <c r="K6" s="185" t="s">
        <v>92</v>
      </c>
      <c r="L6" s="1" t="s">
        <v>231</v>
      </c>
      <c r="M6" s="25" t="s">
        <v>273</v>
      </c>
      <c r="N6" s="211"/>
      <c r="O6" s="190"/>
      <c r="P6" s="67"/>
      <c r="Q6" s="131"/>
    </row>
    <row r="7" spans="2:17" ht="27">
      <c r="B7" s="61" t="s">
        <v>26</v>
      </c>
      <c r="C7" s="301" t="s">
        <v>33</v>
      </c>
      <c r="D7" s="302"/>
      <c r="E7" s="302"/>
      <c r="F7" s="302"/>
      <c r="G7" s="302"/>
      <c r="H7" s="302"/>
      <c r="I7" s="302"/>
      <c r="J7" s="303"/>
      <c r="K7" s="185" t="s">
        <v>232</v>
      </c>
      <c r="L7" s="1" t="s">
        <v>232</v>
      </c>
      <c r="M7" s="26"/>
      <c r="N7" s="211"/>
      <c r="O7" s="190"/>
      <c r="P7" s="67"/>
      <c r="Q7" s="131"/>
    </row>
    <row r="8" spans="2:17" ht="163.5" customHeight="1">
      <c r="B8" s="60" t="s">
        <v>27</v>
      </c>
      <c r="C8" s="155" t="s">
        <v>168</v>
      </c>
      <c r="D8" s="155" t="s">
        <v>58</v>
      </c>
      <c r="E8" s="155" t="s">
        <v>169</v>
      </c>
      <c r="F8" s="155" t="s">
        <v>170</v>
      </c>
      <c r="G8" s="155" t="s">
        <v>171</v>
      </c>
      <c r="H8" s="155" t="s">
        <v>172</v>
      </c>
      <c r="I8" s="155" t="s">
        <v>173</v>
      </c>
      <c r="J8" s="155" t="s">
        <v>174</v>
      </c>
      <c r="K8" s="185" t="s">
        <v>226</v>
      </c>
      <c r="L8" s="1" t="s">
        <v>268</v>
      </c>
      <c r="M8" s="25" t="s">
        <v>28</v>
      </c>
      <c r="N8" s="211"/>
      <c r="O8" s="190"/>
      <c r="P8" s="67"/>
      <c r="Q8" s="131"/>
    </row>
    <row r="9" spans="2:17" ht="58.5" customHeight="1" thickBot="1">
      <c r="B9" s="62" t="s">
        <v>29</v>
      </c>
      <c r="C9" s="156" t="s">
        <v>175</v>
      </c>
      <c r="D9" s="156" t="s">
        <v>167</v>
      </c>
      <c r="E9" s="156" t="s">
        <v>175</v>
      </c>
      <c r="F9" s="156" t="s">
        <v>175</v>
      </c>
      <c r="G9" s="156" t="s">
        <v>175</v>
      </c>
      <c r="H9" s="156" t="s">
        <v>175</v>
      </c>
      <c r="I9" s="156" t="s">
        <v>175</v>
      </c>
      <c r="J9" s="156" t="s">
        <v>175</v>
      </c>
      <c r="K9" s="186" t="s">
        <v>233</v>
      </c>
      <c r="L9" s="23" t="s">
        <v>254</v>
      </c>
      <c r="M9" s="27" t="s">
        <v>234</v>
      </c>
      <c r="N9" s="212"/>
      <c r="O9" s="220" t="s">
        <v>241</v>
      </c>
      <c r="P9" s="65"/>
      <c r="Q9" s="213"/>
    </row>
    <row r="10" spans="2:17" ht="14.25" thickTop="1">
      <c r="B10" s="63" t="s">
        <v>253</v>
      </c>
      <c r="C10" s="191" t="s">
        <v>151</v>
      </c>
      <c r="D10" s="191" t="s">
        <v>151</v>
      </c>
      <c r="E10" s="191" t="s">
        <v>151</v>
      </c>
      <c r="F10" s="191" t="s">
        <v>151</v>
      </c>
      <c r="G10" s="191" t="s">
        <v>151</v>
      </c>
      <c r="H10" s="191" t="s">
        <v>151</v>
      </c>
      <c r="I10" s="191" t="s">
        <v>151</v>
      </c>
      <c r="J10" s="191" t="s">
        <v>151</v>
      </c>
      <c r="K10" s="192" t="s">
        <v>195</v>
      </c>
      <c r="L10" s="30" t="s">
        <v>195</v>
      </c>
      <c r="M10" s="31" t="s">
        <v>30</v>
      </c>
      <c r="N10" s="191"/>
      <c r="O10" s="30" t="s">
        <v>167</v>
      </c>
      <c r="P10" s="196"/>
      <c r="Q10" s="214"/>
    </row>
    <row r="11" spans="2:17">
      <c r="B11" s="215" t="s">
        <v>255</v>
      </c>
      <c r="C11" s="194" t="s">
        <v>151</v>
      </c>
      <c r="D11" s="194" t="s">
        <v>151</v>
      </c>
      <c r="E11" s="194" t="s">
        <v>151</v>
      </c>
      <c r="F11" s="194" t="s">
        <v>151</v>
      </c>
      <c r="G11" s="194" t="s">
        <v>151</v>
      </c>
      <c r="H11" s="194" t="s">
        <v>151</v>
      </c>
      <c r="I11" s="194" t="s">
        <v>151</v>
      </c>
      <c r="J11" s="194" t="s">
        <v>151</v>
      </c>
      <c r="K11" s="216" t="s">
        <v>195</v>
      </c>
      <c r="L11" s="204" t="s">
        <v>196</v>
      </c>
      <c r="M11" s="217" t="s">
        <v>221</v>
      </c>
      <c r="N11" s="194"/>
      <c r="O11" s="219" t="s">
        <v>242</v>
      </c>
      <c r="P11" s="193"/>
      <c r="Q11" s="195"/>
    </row>
    <row r="12" spans="2:17">
      <c r="B12" s="215" t="s">
        <v>256</v>
      </c>
      <c r="C12" s="194" t="s">
        <v>151</v>
      </c>
      <c r="D12" s="194" t="s">
        <v>151</v>
      </c>
      <c r="E12" s="194" t="s">
        <v>151</v>
      </c>
      <c r="F12" s="194" t="s">
        <v>151</v>
      </c>
      <c r="G12" s="194" t="s">
        <v>151</v>
      </c>
      <c r="H12" s="194" t="s">
        <v>151</v>
      </c>
      <c r="I12" s="194" t="s">
        <v>151</v>
      </c>
      <c r="J12" s="194" t="s">
        <v>151</v>
      </c>
      <c r="K12" s="216" t="s">
        <v>196</v>
      </c>
      <c r="L12" s="204" t="s">
        <v>195</v>
      </c>
      <c r="M12" s="217" t="s">
        <v>30</v>
      </c>
      <c r="N12" s="194"/>
      <c r="O12" s="204" t="s">
        <v>194</v>
      </c>
      <c r="P12" s="193"/>
      <c r="Q12" s="195"/>
    </row>
    <row r="13" spans="2:17" ht="14.25" thickBot="1">
      <c r="B13" s="19" t="s">
        <v>257</v>
      </c>
      <c r="C13" s="197" t="s">
        <v>151</v>
      </c>
      <c r="D13" s="197" t="s">
        <v>151</v>
      </c>
      <c r="E13" s="197" t="s">
        <v>151</v>
      </c>
      <c r="F13" s="197" t="s">
        <v>151</v>
      </c>
      <c r="G13" s="197" t="s">
        <v>151</v>
      </c>
      <c r="H13" s="197" t="s">
        <v>151</v>
      </c>
      <c r="I13" s="197" t="s">
        <v>151</v>
      </c>
      <c r="J13" s="197" t="s">
        <v>151</v>
      </c>
      <c r="K13" s="199" t="s">
        <v>196</v>
      </c>
      <c r="L13" s="187" t="s">
        <v>196</v>
      </c>
      <c r="M13" s="198" t="s">
        <v>30</v>
      </c>
      <c r="N13" s="197"/>
      <c r="O13" s="187" t="s">
        <v>167</v>
      </c>
      <c r="P13" s="200"/>
      <c r="Q13" s="218"/>
    </row>
    <row r="21" spans="2:17" ht="15" thickBot="1">
      <c r="B21" s="184" t="s">
        <v>235</v>
      </c>
    </row>
    <row r="22" spans="2:17" ht="15" thickBot="1">
      <c r="B22" s="86" t="s">
        <v>115</v>
      </c>
      <c r="C22" s="304" t="s">
        <v>209</v>
      </c>
      <c r="D22" s="305"/>
      <c r="E22" s="305"/>
      <c r="F22" s="305"/>
      <c r="G22" s="305"/>
      <c r="H22" s="305"/>
      <c r="I22" s="305"/>
      <c r="J22" s="306"/>
      <c r="K22" s="157"/>
      <c r="L22" s="157"/>
      <c r="M22" s="160"/>
      <c r="N22" s="158"/>
      <c r="O22" s="158"/>
      <c r="P22" s="158"/>
      <c r="Q22" s="159"/>
    </row>
    <row r="23" spans="2:17">
      <c r="B23" s="59"/>
      <c r="C23" s="28" t="s">
        <v>150</v>
      </c>
      <c r="D23" s="28"/>
      <c r="E23" s="28"/>
      <c r="F23" s="28"/>
      <c r="G23" s="28"/>
      <c r="H23" s="28"/>
      <c r="I23" s="28"/>
      <c r="J23" s="28"/>
      <c r="K23" s="28"/>
      <c r="L23" s="209"/>
      <c r="M23" s="24" t="s">
        <v>47</v>
      </c>
      <c r="N23" s="32" t="s">
        <v>20</v>
      </c>
      <c r="O23" s="33"/>
      <c r="P23" s="33"/>
      <c r="Q23" s="34"/>
    </row>
    <row r="24" spans="2:17">
      <c r="B24" s="60" t="s">
        <v>21</v>
      </c>
      <c r="C24" s="307" t="s">
        <v>157</v>
      </c>
      <c r="D24" s="302"/>
      <c r="E24" s="302"/>
      <c r="F24" s="302"/>
      <c r="G24" s="302"/>
      <c r="H24" s="302"/>
      <c r="I24" s="302"/>
      <c r="J24" s="303"/>
      <c r="K24" s="78" t="s">
        <v>228</v>
      </c>
      <c r="L24" s="29" t="s">
        <v>229</v>
      </c>
      <c r="M24" s="25" t="s">
        <v>236</v>
      </c>
      <c r="N24" s="210" t="s">
        <v>22</v>
      </c>
      <c r="O24" s="1" t="s">
        <v>23</v>
      </c>
      <c r="P24" s="66" t="s">
        <v>24</v>
      </c>
      <c r="Q24" s="131" t="s">
        <v>25</v>
      </c>
    </row>
    <row r="25" spans="2:17">
      <c r="B25" s="60" t="s">
        <v>31</v>
      </c>
      <c r="C25" s="154" t="s">
        <v>167</v>
      </c>
      <c r="D25" s="154" t="s">
        <v>167</v>
      </c>
      <c r="E25" s="154" t="s">
        <v>167</v>
      </c>
      <c r="F25" s="154" t="s">
        <v>167</v>
      </c>
      <c r="G25" s="154" t="s">
        <v>167</v>
      </c>
      <c r="H25" s="154" t="s">
        <v>167</v>
      </c>
      <c r="I25" s="154" t="s">
        <v>167</v>
      </c>
      <c r="J25" s="154" t="s">
        <v>167</v>
      </c>
      <c r="K25" s="185" t="s">
        <v>92</v>
      </c>
      <c r="L25" s="1" t="s">
        <v>231</v>
      </c>
      <c r="M25" s="25" t="s">
        <v>273</v>
      </c>
      <c r="N25" s="211"/>
      <c r="O25" s="190"/>
      <c r="P25" s="67"/>
      <c r="Q25" s="131"/>
    </row>
    <row r="26" spans="2:17" ht="27">
      <c r="B26" s="61" t="s">
        <v>26</v>
      </c>
      <c r="C26" s="301" t="s">
        <v>33</v>
      </c>
      <c r="D26" s="302"/>
      <c r="E26" s="302"/>
      <c r="F26" s="302"/>
      <c r="G26" s="302"/>
      <c r="H26" s="302"/>
      <c r="I26" s="302"/>
      <c r="J26" s="303"/>
      <c r="K26" s="185" t="s">
        <v>232</v>
      </c>
      <c r="L26" s="1" t="s">
        <v>232</v>
      </c>
      <c r="M26" s="26"/>
      <c r="N26" s="211"/>
      <c r="O26" s="190"/>
      <c r="P26" s="67"/>
      <c r="Q26" s="131"/>
    </row>
    <row r="27" spans="2:17" ht="163.5" customHeight="1">
      <c r="B27" s="60" t="s">
        <v>27</v>
      </c>
      <c r="C27" s="155" t="s">
        <v>168</v>
      </c>
      <c r="D27" s="155" t="s">
        <v>58</v>
      </c>
      <c r="E27" s="155" t="s">
        <v>169</v>
      </c>
      <c r="F27" s="155" t="s">
        <v>170</v>
      </c>
      <c r="G27" s="155" t="s">
        <v>171</v>
      </c>
      <c r="H27" s="155" t="s">
        <v>172</v>
      </c>
      <c r="I27" s="155" t="s">
        <v>173</v>
      </c>
      <c r="J27" s="155" t="s">
        <v>174</v>
      </c>
      <c r="K27" s="185" t="s">
        <v>226</v>
      </c>
      <c r="L27" s="1" t="s">
        <v>269</v>
      </c>
      <c r="M27" s="25" t="s">
        <v>28</v>
      </c>
      <c r="N27" s="211"/>
      <c r="O27" s="190"/>
      <c r="P27" s="67"/>
      <c r="Q27" s="131"/>
    </row>
    <row r="28" spans="2:17" ht="48" customHeight="1" thickBot="1">
      <c r="B28" s="62" t="s">
        <v>29</v>
      </c>
      <c r="C28" s="156" t="s">
        <v>175</v>
      </c>
      <c r="D28" s="156" t="s">
        <v>167</v>
      </c>
      <c r="E28" s="156" t="s">
        <v>175</v>
      </c>
      <c r="F28" s="156" t="s">
        <v>175</v>
      </c>
      <c r="G28" s="156" t="s">
        <v>175</v>
      </c>
      <c r="H28" s="156" t="s">
        <v>175</v>
      </c>
      <c r="I28" s="156" t="s">
        <v>175</v>
      </c>
      <c r="J28" s="156" t="s">
        <v>175</v>
      </c>
      <c r="K28" s="186" t="s">
        <v>233</v>
      </c>
      <c r="L28" s="23" t="s">
        <v>258</v>
      </c>
      <c r="M28" s="27" t="s">
        <v>234</v>
      </c>
      <c r="N28" s="212"/>
      <c r="O28" s="220" t="s">
        <v>243</v>
      </c>
      <c r="P28" s="65"/>
      <c r="Q28" s="213"/>
    </row>
    <row r="29" spans="2:17" ht="14.25" thickTop="1">
      <c r="B29" s="63" t="s">
        <v>253</v>
      </c>
      <c r="C29" s="191" t="s">
        <v>151</v>
      </c>
      <c r="D29" s="191" t="s">
        <v>151</v>
      </c>
      <c r="E29" s="191" t="s">
        <v>151</v>
      </c>
      <c r="F29" s="191" t="s">
        <v>151</v>
      </c>
      <c r="G29" s="191" t="s">
        <v>151</v>
      </c>
      <c r="H29" s="191" t="s">
        <v>151</v>
      </c>
      <c r="I29" s="191" t="s">
        <v>151</v>
      </c>
      <c r="J29" s="191" t="s">
        <v>151</v>
      </c>
      <c r="K29" s="192" t="s">
        <v>195</v>
      </c>
      <c r="L29" s="30" t="s">
        <v>195</v>
      </c>
      <c r="M29" s="31" t="s">
        <v>30</v>
      </c>
      <c r="N29" s="191"/>
      <c r="O29" s="30" t="s">
        <v>167</v>
      </c>
      <c r="P29" s="196"/>
      <c r="Q29" s="214"/>
    </row>
    <row r="30" spans="2:17">
      <c r="B30" s="215" t="s">
        <v>259</v>
      </c>
      <c r="C30" s="194" t="s">
        <v>151</v>
      </c>
      <c r="D30" s="194" t="s">
        <v>151</v>
      </c>
      <c r="E30" s="194" t="s">
        <v>151</v>
      </c>
      <c r="F30" s="194" t="s">
        <v>151</v>
      </c>
      <c r="G30" s="194" t="s">
        <v>151</v>
      </c>
      <c r="H30" s="194" t="s">
        <v>151</v>
      </c>
      <c r="I30" s="194" t="s">
        <v>151</v>
      </c>
      <c r="J30" s="194" t="s">
        <v>151</v>
      </c>
      <c r="K30" s="216" t="s">
        <v>195</v>
      </c>
      <c r="L30" s="204" t="s">
        <v>196</v>
      </c>
      <c r="M30" s="217" t="s">
        <v>221</v>
      </c>
      <c r="N30" s="194"/>
      <c r="O30" s="219" t="s">
        <v>244</v>
      </c>
      <c r="P30" s="193"/>
      <c r="Q30" s="195"/>
    </row>
    <row r="31" spans="2:17">
      <c r="B31" s="215" t="s">
        <v>256</v>
      </c>
      <c r="C31" s="194" t="s">
        <v>151</v>
      </c>
      <c r="D31" s="194" t="s">
        <v>151</v>
      </c>
      <c r="E31" s="194" t="s">
        <v>151</v>
      </c>
      <c r="F31" s="194" t="s">
        <v>151</v>
      </c>
      <c r="G31" s="194" t="s">
        <v>151</v>
      </c>
      <c r="H31" s="194" t="s">
        <v>151</v>
      </c>
      <c r="I31" s="194" t="s">
        <v>151</v>
      </c>
      <c r="J31" s="194" t="s">
        <v>151</v>
      </c>
      <c r="K31" s="216" t="s">
        <v>196</v>
      </c>
      <c r="L31" s="204" t="s">
        <v>195</v>
      </c>
      <c r="M31" s="217" t="s">
        <v>30</v>
      </c>
      <c r="N31" s="194"/>
      <c r="O31" s="204" t="s">
        <v>194</v>
      </c>
      <c r="P31" s="193"/>
      <c r="Q31" s="195"/>
    </row>
    <row r="32" spans="2:17" ht="14.25" thickBot="1">
      <c r="B32" s="19" t="s">
        <v>260</v>
      </c>
      <c r="C32" s="197" t="s">
        <v>151</v>
      </c>
      <c r="D32" s="197" t="s">
        <v>151</v>
      </c>
      <c r="E32" s="197" t="s">
        <v>151</v>
      </c>
      <c r="F32" s="197" t="s">
        <v>151</v>
      </c>
      <c r="G32" s="197" t="s">
        <v>151</v>
      </c>
      <c r="H32" s="197" t="s">
        <v>151</v>
      </c>
      <c r="I32" s="197" t="s">
        <v>151</v>
      </c>
      <c r="J32" s="197" t="s">
        <v>151</v>
      </c>
      <c r="K32" s="199" t="s">
        <v>196</v>
      </c>
      <c r="L32" s="187" t="s">
        <v>196</v>
      </c>
      <c r="M32" s="198" t="s">
        <v>30</v>
      </c>
      <c r="N32" s="197"/>
      <c r="O32" s="187" t="s">
        <v>167</v>
      </c>
      <c r="P32" s="200"/>
      <c r="Q32" s="218"/>
    </row>
    <row r="39" spans="2:17" ht="15" thickBot="1">
      <c r="B39" s="184" t="s">
        <v>237</v>
      </c>
    </row>
    <row r="40" spans="2:17" ht="15" thickBot="1">
      <c r="B40" s="86" t="s">
        <v>115</v>
      </c>
      <c r="C40" s="304" t="s">
        <v>209</v>
      </c>
      <c r="D40" s="305"/>
      <c r="E40" s="305"/>
      <c r="F40" s="305"/>
      <c r="G40" s="305"/>
      <c r="H40" s="305"/>
      <c r="I40" s="305"/>
      <c r="J40" s="306"/>
      <c r="K40" s="157"/>
      <c r="L40" s="157"/>
      <c r="M40" s="160"/>
      <c r="N40" s="158"/>
      <c r="O40" s="158"/>
      <c r="P40" s="158"/>
      <c r="Q40" s="159"/>
    </row>
    <row r="41" spans="2:17">
      <c r="B41" s="59"/>
      <c r="C41" s="28" t="s">
        <v>150</v>
      </c>
      <c r="D41" s="28"/>
      <c r="E41" s="28"/>
      <c r="F41" s="28"/>
      <c r="G41" s="28"/>
      <c r="H41" s="28"/>
      <c r="I41" s="28"/>
      <c r="J41" s="28"/>
      <c r="K41" s="28"/>
      <c r="L41" s="209"/>
      <c r="M41" s="24" t="s">
        <v>47</v>
      </c>
      <c r="N41" s="32" t="s">
        <v>20</v>
      </c>
      <c r="O41" s="33"/>
      <c r="P41" s="33"/>
      <c r="Q41" s="34"/>
    </row>
    <row r="42" spans="2:17">
      <c r="B42" s="60" t="s">
        <v>21</v>
      </c>
      <c r="C42" s="307" t="s">
        <v>157</v>
      </c>
      <c r="D42" s="302"/>
      <c r="E42" s="302"/>
      <c r="F42" s="302"/>
      <c r="G42" s="302"/>
      <c r="H42" s="302"/>
      <c r="I42" s="302"/>
      <c r="J42" s="303"/>
      <c r="K42" s="78" t="s">
        <v>229</v>
      </c>
      <c r="L42" s="29" t="s">
        <v>229</v>
      </c>
      <c r="M42" s="25" t="s">
        <v>223</v>
      </c>
      <c r="N42" s="210" t="s">
        <v>22</v>
      </c>
      <c r="O42" s="1" t="s">
        <v>23</v>
      </c>
      <c r="P42" s="66" t="s">
        <v>24</v>
      </c>
      <c r="Q42" s="131" t="s">
        <v>25</v>
      </c>
    </row>
    <row r="43" spans="2:17">
      <c r="B43" s="60" t="s">
        <v>31</v>
      </c>
      <c r="C43" s="154" t="s">
        <v>167</v>
      </c>
      <c r="D43" s="154" t="s">
        <v>167</v>
      </c>
      <c r="E43" s="154" t="s">
        <v>167</v>
      </c>
      <c r="F43" s="154" t="s">
        <v>167</v>
      </c>
      <c r="G43" s="154" t="s">
        <v>167</v>
      </c>
      <c r="H43" s="154" t="s">
        <v>167</v>
      </c>
      <c r="I43" s="154" t="s">
        <v>167</v>
      </c>
      <c r="J43" s="154" t="s">
        <v>167</v>
      </c>
      <c r="K43" s="185" t="s">
        <v>231</v>
      </c>
      <c r="L43" s="1" t="s">
        <v>231</v>
      </c>
      <c r="M43" s="25" t="s">
        <v>273</v>
      </c>
      <c r="N43" s="211"/>
      <c r="O43" s="190"/>
      <c r="P43" s="67"/>
      <c r="Q43" s="131"/>
    </row>
    <row r="44" spans="2:17" ht="27">
      <c r="B44" s="61" t="s">
        <v>26</v>
      </c>
      <c r="C44" s="301" t="s">
        <v>33</v>
      </c>
      <c r="D44" s="302"/>
      <c r="E44" s="302"/>
      <c r="F44" s="302"/>
      <c r="G44" s="302"/>
      <c r="H44" s="302"/>
      <c r="I44" s="302"/>
      <c r="J44" s="303"/>
      <c r="K44" s="185" t="s">
        <v>238</v>
      </c>
      <c r="L44" s="1" t="s">
        <v>238</v>
      </c>
      <c r="M44" s="26"/>
      <c r="N44" s="211"/>
      <c r="O44" s="190"/>
      <c r="P44" s="67"/>
      <c r="Q44" s="131"/>
    </row>
    <row r="45" spans="2:17" ht="159.75" customHeight="1">
      <c r="B45" s="60" t="s">
        <v>27</v>
      </c>
      <c r="C45" s="155" t="s">
        <v>168</v>
      </c>
      <c r="D45" s="155" t="s">
        <v>58</v>
      </c>
      <c r="E45" s="155" t="s">
        <v>169</v>
      </c>
      <c r="F45" s="155" t="s">
        <v>170</v>
      </c>
      <c r="G45" s="155" t="s">
        <v>171</v>
      </c>
      <c r="H45" s="155" t="s">
        <v>172</v>
      </c>
      <c r="I45" s="155" t="s">
        <v>173</v>
      </c>
      <c r="J45" s="155" t="s">
        <v>174</v>
      </c>
      <c r="K45" s="185" t="s">
        <v>225</v>
      </c>
      <c r="L45" s="1" t="s">
        <v>270</v>
      </c>
      <c r="M45" s="25" t="s">
        <v>28</v>
      </c>
      <c r="N45" s="211"/>
      <c r="O45" s="190"/>
      <c r="P45" s="67"/>
      <c r="Q45" s="131"/>
    </row>
    <row r="46" spans="2:17" ht="67.5" customHeight="1" thickBot="1">
      <c r="B46" s="62" t="s">
        <v>29</v>
      </c>
      <c r="C46" s="156" t="s">
        <v>175</v>
      </c>
      <c r="D46" s="156" t="s">
        <v>167</v>
      </c>
      <c r="E46" s="156" t="s">
        <v>175</v>
      </c>
      <c r="F46" s="156" t="s">
        <v>175</v>
      </c>
      <c r="G46" s="156" t="s">
        <v>175</v>
      </c>
      <c r="H46" s="156" t="s">
        <v>175</v>
      </c>
      <c r="I46" s="156" t="s">
        <v>175</v>
      </c>
      <c r="J46" s="156" t="s">
        <v>175</v>
      </c>
      <c r="K46" s="186" t="s">
        <v>239</v>
      </c>
      <c r="L46" s="23" t="s">
        <v>261</v>
      </c>
      <c r="M46" s="27" t="s">
        <v>234</v>
      </c>
      <c r="N46" s="212"/>
      <c r="O46" s="220" t="s">
        <v>245</v>
      </c>
      <c r="P46" s="65"/>
      <c r="Q46" s="213"/>
    </row>
    <row r="47" spans="2:17" ht="14.25" thickTop="1">
      <c r="B47" s="63" t="s">
        <v>253</v>
      </c>
      <c r="C47" s="191" t="s">
        <v>151</v>
      </c>
      <c r="D47" s="191" t="s">
        <v>151</v>
      </c>
      <c r="E47" s="191" t="s">
        <v>151</v>
      </c>
      <c r="F47" s="191" t="s">
        <v>151</v>
      </c>
      <c r="G47" s="191" t="s">
        <v>151</v>
      </c>
      <c r="H47" s="191" t="s">
        <v>151</v>
      </c>
      <c r="I47" s="191" t="s">
        <v>151</v>
      </c>
      <c r="J47" s="191" t="s">
        <v>151</v>
      </c>
      <c r="K47" s="192" t="s">
        <v>210</v>
      </c>
      <c r="L47" s="30" t="s">
        <v>210</v>
      </c>
      <c r="M47" s="31" t="s">
        <v>30</v>
      </c>
      <c r="N47" s="191"/>
      <c r="O47" s="30" t="s">
        <v>194</v>
      </c>
      <c r="P47" s="196"/>
      <c r="Q47" s="214"/>
    </row>
    <row r="48" spans="2:17">
      <c r="B48" s="215" t="s">
        <v>262</v>
      </c>
      <c r="C48" s="194" t="s">
        <v>151</v>
      </c>
      <c r="D48" s="194" t="s">
        <v>151</v>
      </c>
      <c r="E48" s="194" t="s">
        <v>151</v>
      </c>
      <c r="F48" s="194" t="s">
        <v>151</v>
      </c>
      <c r="G48" s="194" t="s">
        <v>151</v>
      </c>
      <c r="H48" s="194" t="s">
        <v>151</v>
      </c>
      <c r="I48" s="194" t="s">
        <v>151</v>
      </c>
      <c r="J48" s="194" t="s">
        <v>151</v>
      </c>
      <c r="K48" s="216" t="s">
        <v>210</v>
      </c>
      <c r="L48" s="204" t="s">
        <v>211</v>
      </c>
      <c r="M48" s="217" t="s">
        <v>221</v>
      </c>
      <c r="N48" s="194"/>
      <c r="O48" s="219" t="s">
        <v>246</v>
      </c>
      <c r="P48" s="193"/>
      <c r="Q48" s="195"/>
    </row>
    <row r="49" spans="2:17">
      <c r="B49" s="215" t="s">
        <v>256</v>
      </c>
      <c r="C49" s="194" t="s">
        <v>151</v>
      </c>
      <c r="D49" s="194" t="s">
        <v>151</v>
      </c>
      <c r="E49" s="194" t="s">
        <v>151</v>
      </c>
      <c r="F49" s="194" t="s">
        <v>151</v>
      </c>
      <c r="G49" s="194" t="s">
        <v>151</v>
      </c>
      <c r="H49" s="194" t="s">
        <v>151</v>
      </c>
      <c r="I49" s="194" t="s">
        <v>151</v>
      </c>
      <c r="J49" s="194" t="s">
        <v>151</v>
      </c>
      <c r="K49" s="216" t="s">
        <v>211</v>
      </c>
      <c r="L49" s="204" t="s">
        <v>195</v>
      </c>
      <c r="M49" s="217" t="s">
        <v>30</v>
      </c>
      <c r="N49" s="194"/>
      <c r="O49" s="204" t="s">
        <v>194</v>
      </c>
      <c r="P49" s="193"/>
      <c r="Q49" s="195"/>
    </row>
    <row r="50" spans="2:17" ht="14.25" thickBot="1">
      <c r="B50" s="19" t="s">
        <v>263</v>
      </c>
      <c r="C50" s="197" t="s">
        <v>151</v>
      </c>
      <c r="D50" s="197" t="s">
        <v>151</v>
      </c>
      <c r="E50" s="197" t="s">
        <v>151</v>
      </c>
      <c r="F50" s="197" t="s">
        <v>151</v>
      </c>
      <c r="G50" s="197" t="s">
        <v>151</v>
      </c>
      <c r="H50" s="197" t="s">
        <v>151</v>
      </c>
      <c r="I50" s="197" t="s">
        <v>151</v>
      </c>
      <c r="J50" s="197" t="s">
        <v>151</v>
      </c>
      <c r="K50" s="199" t="s">
        <v>196</v>
      </c>
      <c r="L50" s="187" t="s">
        <v>196</v>
      </c>
      <c r="M50" s="198" t="s">
        <v>30</v>
      </c>
      <c r="N50" s="197"/>
      <c r="O50" s="187" t="s">
        <v>194</v>
      </c>
      <c r="P50" s="200"/>
      <c r="Q50" s="218"/>
    </row>
    <row r="57" spans="2:17" ht="15" thickBot="1">
      <c r="B57" s="184" t="s">
        <v>240</v>
      </c>
    </row>
    <row r="58" spans="2:17" ht="15" thickBot="1">
      <c r="B58" s="86" t="s">
        <v>115</v>
      </c>
      <c r="C58" s="304" t="s">
        <v>209</v>
      </c>
      <c r="D58" s="305"/>
      <c r="E58" s="305"/>
      <c r="F58" s="305"/>
      <c r="G58" s="305"/>
      <c r="H58" s="305"/>
      <c r="I58" s="305"/>
      <c r="J58" s="306"/>
      <c r="K58" s="157"/>
      <c r="L58" s="157"/>
      <c r="M58" s="160"/>
      <c r="N58" s="158"/>
      <c r="O58" s="158"/>
      <c r="P58" s="158"/>
      <c r="Q58" s="159"/>
    </row>
    <row r="59" spans="2:17">
      <c r="B59" s="59"/>
      <c r="C59" s="28" t="s">
        <v>150</v>
      </c>
      <c r="D59" s="28"/>
      <c r="E59" s="28"/>
      <c r="F59" s="28"/>
      <c r="G59" s="28"/>
      <c r="H59" s="28"/>
      <c r="I59" s="28"/>
      <c r="J59" s="28"/>
      <c r="K59" s="28"/>
      <c r="L59" s="209"/>
      <c r="M59" s="24" t="s">
        <v>47</v>
      </c>
      <c r="N59" s="32" t="s">
        <v>20</v>
      </c>
      <c r="O59" s="33"/>
      <c r="P59" s="33"/>
      <c r="Q59" s="34"/>
    </row>
    <row r="60" spans="2:17">
      <c r="B60" s="60" t="s">
        <v>21</v>
      </c>
      <c r="C60" s="307" t="s">
        <v>157</v>
      </c>
      <c r="D60" s="302"/>
      <c r="E60" s="302"/>
      <c r="F60" s="302"/>
      <c r="G60" s="302"/>
      <c r="H60" s="302"/>
      <c r="I60" s="302"/>
      <c r="J60" s="303"/>
      <c r="K60" s="78" t="s">
        <v>229</v>
      </c>
      <c r="L60" s="29" t="s">
        <v>229</v>
      </c>
      <c r="M60" s="25" t="s">
        <v>224</v>
      </c>
      <c r="N60" s="210" t="s">
        <v>22</v>
      </c>
      <c r="O60" s="1" t="s">
        <v>23</v>
      </c>
      <c r="P60" s="66" t="s">
        <v>24</v>
      </c>
      <c r="Q60" s="131" t="s">
        <v>25</v>
      </c>
    </row>
    <row r="61" spans="2:17">
      <c r="B61" s="60" t="s">
        <v>31</v>
      </c>
      <c r="C61" s="154" t="s">
        <v>167</v>
      </c>
      <c r="D61" s="154" t="s">
        <v>167</v>
      </c>
      <c r="E61" s="154" t="s">
        <v>167</v>
      </c>
      <c r="F61" s="154" t="s">
        <v>167</v>
      </c>
      <c r="G61" s="154" t="s">
        <v>167</v>
      </c>
      <c r="H61" s="154" t="s">
        <v>167</v>
      </c>
      <c r="I61" s="154" t="s">
        <v>167</v>
      </c>
      <c r="J61" s="154" t="s">
        <v>167</v>
      </c>
      <c r="K61" s="185" t="s">
        <v>231</v>
      </c>
      <c r="L61" s="1" t="s">
        <v>231</v>
      </c>
      <c r="M61" s="25" t="s">
        <v>273</v>
      </c>
      <c r="N61" s="211"/>
      <c r="O61" s="190"/>
      <c r="P61" s="67"/>
      <c r="Q61" s="131"/>
    </row>
    <row r="62" spans="2:17" ht="27">
      <c r="B62" s="61" t="s">
        <v>26</v>
      </c>
      <c r="C62" s="301" t="s">
        <v>33</v>
      </c>
      <c r="D62" s="302"/>
      <c r="E62" s="302"/>
      <c r="F62" s="302"/>
      <c r="G62" s="302"/>
      <c r="H62" s="302"/>
      <c r="I62" s="302"/>
      <c r="J62" s="303"/>
      <c r="K62" s="185" t="s">
        <v>238</v>
      </c>
      <c r="L62" s="1" t="s">
        <v>238</v>
      </c>
      <c r="M62" s="26"/>
      <c r="N62" s="211"/>
      <c r="O62" s="190"/>
      <c r="P62" s="67"/>
      <c r="Q62" s="131"/>
    </row>
    <row r="63" spans="2:17" ht="150.75" customHeight="1">
      <c r="B63" s="60" t="s">
        <v>27</v>
      </c>
      <c r="C63" s="155" t="s">
        <v>168</v>
      </c>
      <c r="D63" s="155" t="s">
        <v>58</v>
      </c>
      <c r="E63" s="155" t="s">
        <v>169</v>
      </c>
      <c r="F63" s="155" t="s">
        <v>170</v>
      </c>
      <c r="G63" s="155" t="s">
        <v>171</v>
      </c>
      <c r="H63" s="155" t="s">
        <v>172</v>
      </c>
      <c r="I63" s="155" t="s">
        <v>173</v>
      </c>
      <c r="J63" s="155" t="s">
        <v>174</v>
      </c>
      <c r="K63" s="185" t="s">
        <v>225</v>
      </c>
      <c r="L63" s="1" t="s">
        <v>271</v>
      </c>
      <c r="M63" s="25" t="s">
        <v>28</v>
      </c>
      <c r="N63" s="211"/>
      <c r="O63" s="190"/>
      <c r="P63" s="67"/>
      <c r="Q63" s="131"/>
    </row>
    <row r="64" spans="2:17" ht="51.75" customHeight="1" thickBot="1">
      <c r="B64" s="62" t="s">
        <v>29</v>
      </c>
      <c r="C64" s="156" t="s">
        <v>175</v>
      </c>
      <c r="D64" s="156" t="s">
        <v>167</v>
      </c>
      <c r="E64" s="156" t="s">
        <v>175</v>
      </c>
      <c r="F64" s="156" t="s">
        <v>175</v>
      </c>
      <c r="G64" s="156" t="s">
        <v>175</v>
      </c>
      <c r="H64" s="156" t="s">
        <v>175</v>
      </c>
      <c r="I64" s="156" t="s">
        <v>175</v>
      </c>
      <c r="J64" s="156" t="s">
        <v>175</v>
      </c>
      <c r="K64" s="186" t="s">
        <v>239</v>
      </c>
      <c r="L64" s="23" t="s">
        <v>264</v>
      </c>
      <c r="M64" s="27" t="s">
        <v>234</v>
      </c>
      <c r="N64" s="212"/>
      <c r="O64" s="220" t="s">
        <v>247</v>
      </c>
      <c r="P64" s="65"/>
      <c r="Q64" s="213"/>
    </row>
    <row r="65" spans="2:17" ht="14.25" thickTop="1">
      <c r="B65" s="63" t="s">
        <v>253</v>
      </c>
      <c r="C65" s="191" t="s">
        <v>151</v>
      </c>
      <c r="D65" s="191" t="s">
        <v>151</v>
      </c>
      <c r="E65" s="191" t="s">
        <v>151</v>
      </c>
      <c r="F65" s="191" t="s">
        <v>151</v>
      </c>
      <c r="G65" s="191" t="s">
        <v>151</v>
      </c>
      <c r="H65" s="191" t="s">
        <v>151</v>
      </c>
      <c r="I65" s="191" t="s">
        <v>151</v>
      </c>
      <c r="J65" s="191" t="s">
        <v>151</v>
      </c>
      <c r="K65" s="192" t="s">
        <v>210</v>
      </c>
      <c r="L65" s="30" t="s">
        <v>210</v>
      </c>
      <c r="M65" s="31" t="s">
        <v>30</v>
      </c>
      <c r="N65" s="191"/>
      <c r="O65" s="30" t="s">
        <v>194</v>
      </c>
      <c r="P65" s="196"/>
      <c r="Q65" s="214"/>
    </row>
    <row r="66" spans="2:17">
      <c r="B66" s="215" t="s">
        <v>265</v>
      </c>
      <c r="C66" s="194" t="s">
        <v>151</v>
      </c>
      <c r="D66" s="194" t="s">
        <v>151</v>
      </c>
      <c r="E66" s="194" t="s">
        <v>151</v>
      </c>
      <c r="F66" s="194" t="s">
        <v>151</v>
      </c>
      <c r="G66" s="194" t="s">
        <v>151</v>
      </c>
      <c r="H66" s="194" t="s">
        <v>151</v>
      </c>
      <c r="I66" s="194" t="s">
        <v>151</v>
      </c>
      <c r="J66" s="194" t="s">
        <v>151</v>
      </c>
      <c r="K66" s="216" t="s">
        <v>210</v>
      </c>
      <c r="L66" s="204" t="s">
        <v>211</v>
      </c>
      <c r="M66" s="217" t="s">
        <v>221</v>
      </c>
      <c r="N66" s="194"/>
      <c r="O66" s="219" t="s">
        <v>248</v>
      </c>
      <c r="P66" s="193"/>
      <c r="Q66" s="195"/>
    </row>
    <row r="67" spans="2:17">
      <c r="B67" s="215" t="s">
        <v>256</v>
      </c>
      <c r="C67" s="194" t="s">
        <v>151</v>
      </c>
      <c r="D67" s="194" t="s">
        <v>151</v>
      </c>
      <c r="E67" s="194" t="s">
        <v>151</v>
      </c>
      <c r="F67" s="194" t="s">
        <v>151</v>
      </c>
      <c r="G67" s="194" t="s">
        <v>151</v>
      </c>
      <c r="H67" s="194" t="s">
        <v>151</v>
      </c>
      <c r="I67" s="194" t="s">
        <v>151</v>
      </c>
      <c r="J67" s="194" t="s">
        <v>151</v>
      </c>
      <c r="K67" s="216" t="s">
        <v>211</v>
      </c>
      <c r="L67" s="204" t="s">
        <v>195</v>
      </c>
      <c r="M67" s="217" t="s">
        <v>30</v>
      </c>
      <c r="N67" s="194"/>
      <c r="O67" s="204" t="s">
        <v>194</v>
      </c>
      <c r="P67" s="193"/>
      <c r="Q67" s="195"/>
    </row>
    <row r="68" spans="2:17" ht="14.25" thickBot="1">
      <c r="B68" s="19" t="s">
        <v>266</v>
      </c>
      <c r="C68" s="197" t="s">
        <v>151</v>
      </c>
      <c r="D68" s="197" t="s">
        <v>151</v>
      </c>
      <c r="E68" s="197" t="s">
        <v>151</v>
      </c>
      <c r="F68" s="197" t="s">
        <v>151</v>
      </c>
      <c r="G68" s="197" t="s">
        <v>151</v>
      </c>
      <c r="H68" s="197" t="s">
        <v>151</v>
      </c>
      <c r="I68" s="197" t="s">
        <v>151</v>
      </c>
      <c r="J68" s="197" t="s">
        <v>151</v>
      </c>
      <c r="K68" s="199" t="s">
        <v>196</v>
      </c>
      <c r="L68" s="187" t="s">
        <v>196</v>
      </c>
      <c r="M68" s="198" t="s">
        <v>30</v>
      </c>
      <c r="N68" s="197"/>
      <c r="O68" s="187" t="s">
        <v>194</v>
      </c>
      <c r="P68" s="200"/>
      <c r="Q68" s="218"/>
    </row>
  </sheetData>
  <mergeCells count="12">
    <mergeCell ref="C62:J62"/>
    <mergeCell ref="C3:J3"/>
    <mergeCell ref="C5:J5"/>
    <mergeCell ref="C7:J7"/>
    <mergeCell ref="C22:J22"/>
    <mergeCell ref="C24:J24"/>
    <mergeCell ref="C26:J26"/>
    <mergeCell ref="C40:J40"/>
    <mergeCell ref="C42:J42"/>
    <mergeCell ref="C44:J44"/>
    <mergeCell ref="C58:J58"/>
    <mergeCell ref="C60:J60"/>
  </mergeCells>
  <phoneticPr fontId="2"/>
  <dataValidations count="1">
    <dataValidation type="list" allowBlank="1" showInputMessage="1" showErrorMessage="1" sqref="C3 C22 C40 C58" xr:uid="{00000000-0002-0000-09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4" t="s">
        <v>78</v>
      </c>
      <c r="C2" s="75">
        <f>MAX(B4:B28)</f>
        <v>19</v>
      </c>
      <c r="D2" s="75"/>
    </row>
    <row r="3" spans="2:4" ht="14.25" thickBot="1">
      <c r="B3" s="68" t="s">
        <v>78</v>
      </c>
      <c r="C3" s="76" t="s">
        <v>82</v>
      </c>
      <c r="D3" s="69" t="s">
        <v>79</v>
      </c>
    </row>
    <row r="4" spans="2:4" ht="14.25" thickTop="1">
      <c r="B4" s="11">
        <v>0</v>
      </c>
      <c r="C4" s="77" t="s">
        <v>83</v>
      </c>
      <c r="D4" s="12" t="s">
        <v>19</v>
      </c>
    </row>
    <row r="5" spans="2:4" ht="40.5">
      <c r="B5" s="2">
        <v>1</v>
      </c>
      <c r="C5" s="78" t="s">
        <v>83</v>
      </c>
      <c r="D5" s="80" t="s">
        <v>84</v>
      </c>
    </row>
    <row r="6" spans="2:4" ht="27">
      <c r="B6" s="2">
        <v>2</v>
      </c>
      <c r="C6" s="78" t="s">
        <v>85</v>
      </c>
      <c r="D6" s="80" t="s">
        <v>86</v>
      </c>
    </row>
    <row r="7" spans="2:4" ht="54">
      <c r="B7" s="2">
        <v>3</v>
      </c>
      <c r="C7" s="78" t="s">
        <v>83</v>
      </c>
      <c r="D7" s="80" t="s">
        <v>89</v>
      </c>
    </row>
    <row r="8" spans="2:4" ht="81">
      <c r="B8" s="2">
        <v>4</v>
      </c>
      <c r="C8" s="78" t="s">
        <v>97</v>
      </c>
      <c r="D8" s="80" t="s">
        <v>103</v>
      </c>
    </row>
    <row r="9" spans="2:4" ht="41.25" customHeight="1">
      <c r="B9" s="2">
        <v>5</v>
      </c>
      <c r="C9" s="78" t="s">
        <v>98</v>
      </c>
      <c r="D9" s="80" t="s">
        <v>99</v>
      </c>
    </row>
    <row r="10" spans="2:4" ht="27">
      <c r="B10" s="2">
        <v>6</v>
      </c>
      <c r="C10" s="78" t="s">
        <v>83</v>
      </c>
      <c r="D10" s="80" t="s">
        <v>102</v>
      </c>
    </row>
    <row r="11" spans="2:4" ht="27">
      <c r="B11" s="2">
        <v>7</v>
      </c>
      <c r="C11" s="78" t="s">
        <v>97</v>
      </c>
      <c r="D11" s="80" t="s">
        <v>101</v>
      </c>
    </row>
    <row r="12" spans="2:4" ht="27">
      <c r="B12" s="2">
        <v>8</v>
      </c>
      <c r="C12" s="78" t="s">
        <v>83</v>
      </c>
      <c r="D12" s="80" t="s">
        <v>104</v>
      </c>
    </row>
    <row r="13" spans="2:4" ht="27">
      <c r="B13" s="2">
        <v>9</v>
      </c>
      <c r="C13" s="78" t="s">
        <v>83</v>
      </c>
      <c r="D13" s="80" t="s">
        <v>105</v>
      </c>
    </row>
    <row r="14" spans="2:4" ht="27">
      <c r="B14" s="2">
        <v>10</v>
      </c>
      <c r="C14" s="78" t="s">
        <v>106</v>
      </c>
      <c r="D14" s="80" t="s">
        <v>107</v>
      </c>
    </row>
    <row r="15" spans="2:4" ht="135">
      <c r="B15" s="2">
        <v>11</v>
      </c>
      <c r="C15" s="78" t="s">
        <v>83</v>
      </c>
      <c r="D15" s="80" t="s">
        <v>118</v>
      </c>
    </row>
    <row r="16" spans="2:4" ht="191.25" customHeight="1">
      <c r="B16" s="2">
        <v>12</v>
      </c>
      <c r="C16" s="78" t="s">
        <v>146</v>
      </c>
      <c r="D16" s="80" t="s">
        <v>155</v>
      </c>
    </row>
    <row r="17" spans="2:4" ht="27">
      <c r="B17" s="2">
        <v>13</v>
      </c>
      <c r="C17" s="78" t="s">
        <v>85</v>
      </c>
      <c r="D17" s="80" t="s">
        <v>158</v>
      </c>
    </row>
    <row r="18" spans="2:4" ht="67.5">
      <c r="B18" s="2">
        <v>14</v>
      </c>
      <c r="C18" s="78" t="s">
        <v>85</v>
      </c>
      <c r="D18" s="80" t="s">
        <v>160</v>
      </c>
    </row>
    <row r="19" spans="2:4" ht="40.5">
      <c r="B19" s="2">
        <v>15</v>
      </c>
      <c r="C19" s="78" t="s">
        <v>98</v>
      </c>
      <c r="D19" s="80" t="s">
        <v>164</v>
      </c>
    </row>
    <row r="20" spans="2:4" ht="64.5" customHeight="1">
      <c r="B20" s="2">
        <v>16</v>
      </c>
      <c r="C20" s="78" t="s">
        <v>98</v>
      </c>
      <c r="D20" s="80" t="s">
        <v>166</v>
      </c>
    </row>
    <row r="21" spans="2:4" ht="66.75" customHeight="1">
      <c r="B21" s="2">
        <v>17</v>
      </c>
      <c r="C21" s="78" t="s">
        <v>97</v>
      </c>
      <c r="D21" s="80" t="s">
        <v>197</v>
      </c>
    </row>
    <row r="22" spans="2:4" ht="27">
      <c r="B22" s="2">
        <v>18</v>
      </c>
      <c r="C22" s="78" t="s">
        <v>203</v>
      </c>
      <c r="D22" s="80" t="s">
        <v>204</v>
      </c>
    </row>
    <row r="23" spans="2:4" ht="27">
      <c r="B23" s="2">
        <v>19</v>
      </c>
      <c r="C23" s="78" t="s">
        <v>203</v>
      </c>
      <c r="D23" s="80" t="s">
        <v>205</v>
      </c>
    </row>
    <row r="24" spans="2:4">
      <c r="B24" s="2"/>
      <c r="C24" s="78"/>
      <c r="D24" s="80"/>
    </row>
    <row r="25" spans="2:4">
      <c r="B25" s="2"/>
      <c r="C25" s="78"/>
      <c r="D25" s="64"/>
    </row>
    <row r="26" spans="2:4">
      <c r="B26" s="2"/>
      <c r="C26" s="78"/>
      <c r="D26" s="64"/>
    </row>
    <row r="27" spans="2:4" ht="14.25" thickBot="1">
      <c r="B27" s="3"/>
      <c r="C27" s="79"/>
      <c r="D27" s="4"/>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表紙（承認欄）</vt:lpstr>
      <vt:lpstr>表紙</vt:lpstr>
      <vt:lpstr>はじめに</vt:lpstr>
      <vt:lpstr>Matrix</vt:lpstr>
      <vt:lpstr>Config_IF</vt:lpstr>
      <vt:lpstr>CH_Design</vt:lpstr>
      <vt:lpstr>PD1</vt:lpstr>
      <vt:lpstr>PD2</vt:lpstr>
      <vt:lpstr>PD3</vt:lpstr>
      <vt:lpstr>PD4</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Shun Watanabe (渡邊　駿)</cp:lastModifiedBy>
  <dcterms:created xsi:type="dcterms:W3CDTF">2019-02-05T04:25:17Z</dcterms:created>
  <dcterms:modified xsi:type="dcterms:W3CDTF">2025-06-11T02:29:49Z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2025-06-02T05:04:10Z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0e075f62-939a-4d32-8058-2a8b71e3ca83</vt:lpwstr>
  </property>
  <property fmtid="{D5CDD505-2E9C-101B-9397-08002B2CF9AE}" pid="8" name="MSIP_Label_7ed1414a-99f2-46f9-bbe5-740af8d1b502_ContentBits">
    <vt:lpwstr>1</vt:lpwstr>
  </property>
</Properties>
</file>