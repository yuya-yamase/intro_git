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MainProject\19pfv3_code\00.SourceTree\19epfv3_mcu_app_mainline\src\IpcApplication\Vom\Alert\matrix-CSTD-1-03-A-C0\scc\"/>
    </mc:Choice>
  </mc:AlternateContent>
  <xr:revisionPtr revIDLastSave="0" documentId="13_ncr:1_{E3AFE5E2-C79E-4B9C-8826-C696F4282B88}" xr6:coauthVersionLast="47" xr6:coauthVersionMax="47" xr10:uidLastSave="{00000000-0000-0000-0000-000000000000}"/>
  <bookViews>
    <workbookView xWindow="57480" yWindow="-105" windowWidth="29040" windowHeight="15990" activeTab="2" xr2:uid="{00000000-000D-0000-FFFF-FFFF00000000}"/>
  </bookViews>
  <sheets>
    <sheet name="表紙" sheetId="1" r:id="rId1"/>
    <sheet name="はじめに" sheetId="10" r:id="rId2"/>
    <sheet name="Matrix" sheetId="4" r:id="rId3"/>
    <sheet name="Config_IF" sheetId="11" r:id="rId4"/>
    <sheet name="CH_Design" sheetId="5" r:id="rId5"/>
    <sheet name="H_CHGCON"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Q139" i="8" s="1"/>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Q138" i="8" s="1"/>
  <c r="AS9" i="8" s="1"/>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R16"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R12"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Q74" i="8" s="1"/>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Q73" i="8" s="1"/>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AT13" i="8"/>
  <c r="C13" i="8"/>
  <c r="AT12" i="8"/>
  <c r="C12" i="8"/>
  <c r="C142" i="8" s="1"/>
  <c r="AT11" i="8"/>
  <c r="C11" i="8"/>
  <c r="C141" i="8" s="1"/>
  <c r="AT10" i="8"/>
  <c r="C10" i="8"/>
  <c r="C140" i="8" s="1"/>
  <c r="AT9" i="8"/>
  <c r="C9" i="8"/>
  <c r="C139" i="8" s="1"/>
  <c r="AT8" i="8"/>
  <c r="C8" i="8"/>
  <c r="C138" i="8" s="1"/>
  <c r="AW7" i="8"/>
  <c r="C7" i="8"/>
  <c r="AW6" i="8"/>
  <c r="C6" i="8"/>
  <c r="C136" i="8" s="1"/>
  <c r="AR47" i="8" l="1"/>
  <c r="AS65" i="8"/>
  <c r="AM163" i="8"/>
  <c r="AO189" i="8"/>
  <c r="AS34" i="8"/>
  <c r="AL182" i="8"/>
  <c r="AS20" i="8"/>
  <c r="AS16" i="8"/>
  <c r="AM121" i="8"/>
  <c r="AN122" i="8"/>
  <c r="AR57" i="8"/>
  <c r="AS40" i="8"/>
  <c r="AS14" i="8"/>
  <c r="AS15" i="8"/>
  <c r="AO138" i="8"/>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S10"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9" i="8"/>
  <c r="AR22" i="8"/>
  <c r="AR26" i="8"/>
  <c r="AR35" i="8"/>
  <c r="AR56" i="8"/>
  <c r="AR61" i="8"/>
  <c r="AS30" i="8"/>
  <c r="AS12" i="8"/>
  <c r="AS22" i="8"/>
  <c r="AS66" i="8"/>
  <c r="AR67" i="8"/>
  <c r="AR21" i="8"/>
  <c r="AS59" i="8"/>
  <c r="C94" i="8"/>
  <c r="AR64" i="8"/>
  <c r="AR68" i="8"/>
  <c r="C88" i="8"/>
  <c r="AR53" i="8"/>
  <c r="AR13" i="8"/>
  <c r="AL136" i="8"/>
  <c r="AO72" i="8"/>
  <c r="AO71" i="8"/>
  <c r="AL137" i="8"/>
  <c r="AL71" i="8"/>
  <c r="AR10"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7" i="8" l="1"/>
  <c r="AS8" i="8" s="1"/>
  <c r="AQ72" i="8"/>
  <c r="AR8" i="8" s="1"/>
  <c r="AQ71" i="8"/>
  <c r="AR6" i="8" s="1"/>
  <c r="AQ136" i="8"/>
  <c r="AS6" i="8" s="1"/>
  <c r="B136" i="8"/>
  <c r="B71" i="8"/>
  <c r="D7" i="4"/>
  <c r="M13" i="4"/>
  <c r="N13" i="4" s="1"/>
  <c r="AS7"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L50" i="8"/>
  <c r="AL24" i="8"/>
  <c r="AW8" i="8"/>
  <c r="AU11" i="8" s="1"/>
  <c r="AL26" i="8"/>
  <c r="AL27" i="8"/>
  <c r="AL20" i="8"/>
  <c r="AL59" i="8"/>
  <c r="AL56" i="8"/>
  <c r="AL49" i="8"/>
  <c r="AL25" i="8"/>
  <c r="AL65" i="8"/>
  <c r="AL37" i="8"/>
  <c r="AW16" i="8"/>
  <c r="AU15" i="8" s="1"/>
  <c r="AL42" i="8"/>
  <c r="AL15" i="8"/>
  <c r="AL12" i="8"/>
  <c r="AL52" i="8"/>
  <c r="AL43" i="8"/>
  <c r="AL44" i="8"/>
  <c r="AL32" i="8"/>
  <c r="AL16" i="8"/>
  <c r="AL62" i="8"/>
  <c r="AL19" i="8"/>
  <c r="AL7" i="8"/>
  <c r="AT7" i="8" s="1"/>
  <c r="AL57" i="8"/>
  <c r="AL38" i="8"/>
  <c r="AW9" i="8"/>
  <c r="AU10" i="8" s="1"/>
  <c r="AL6" i="8"/>
  <c r="AT6" i="8" s="1"/>
  <c r="AL11" i="8"/>
  <c r="AL21" i="8"/>
  <c r="AL41" i="8"/>
  <c r="AL22" i="8"/>
  <c r="AL31" i="8"/>
  <c r="AL40" i="8"/>
  <c r="AL45" i="8"/>
  <c r="AL60" i="8"/>
  <c r="AL30" i="8"/>
  <c r="AL48" i="8"/>
  <c r="AL29" i="8"/>
  <c r="AL34" i="8"/>
  <c r="AL54" i="8"/>
  <c r="AL17" i="8"/>
  <c r="AL67" i="8"/>
  <c r="AL39" i="8"/>
  <c r="AL10" i="8"/>
  <c r="AL51" i="8"/>
  <c r="AL13" i="8"/>
  <c r="AL58" i="8"/>
  <c r="AW10" i="8"/>
  <c r="AU14" i="8" s="1"/>
  <c r="AL14" i="8"/>
  <c r="AL63" i="8"/>
  <c r="AL55" i="8"/>
  <c r="AL46" i="8"/>
  <c r="AL35" i="8"/>
  <c r="AL36" i="8"/>
  <c r="AL9" i="8"/>
  <c r="AL23" i="8"/>
  <c r="AL64" i="8"/>
  <c r="AL69" i="8"/>
  <c r="AL61" i="8"/>
  <c r="AL53" i="8"/>
  <c r="AL18" i="8"/>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<sst xmlns="http://schemas.openxmlformats.org/spreadsheetml/2006/main" count="3253" uniqueCount="342">
  <si>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</si>
  <si>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</si>
  <si>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</si>
  <si>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</si>
  <si>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</si>
  <si>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</si>
  <si>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</si>
  <si>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</si>
  <si>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</si>
  <si>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</si>
  <si>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</si>
  <si>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</si>
  <si>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</si>
  <si>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</si>
  <si>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</si>
  <si>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</si>
  <si>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</si>
  <si>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</si>
  <si>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</si>
  <si>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</si>
  <si>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</si>
  <si>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</si>
  <si>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</si>
  <si>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</si>
  <si>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</si>
  <si>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</si>
  <si>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</si>
  <si>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</si>
  <si>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</si>
  <si>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</si>
  <si>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</si>
  <si>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</si>
  <si>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</si>
  <si>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</si>
  <si>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</si>
  <si>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</si>
  <si>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</si>
  <si>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</si>
  <si>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</si>
  <si>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</si>
  <si>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</si>
  <si>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</si>
  <si>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</si>
  <si>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</si>
  <si>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</si>
  <si>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</si>
  <si>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</si>
  <si>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</si>
  <si>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</si>
  <si>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</si>
  <si>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</si>
  <si>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</si>
  <si>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</si>
  <si>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</si>
  <si>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</si>
  <si>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</si>
  <si>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</si>
  <si>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</si>
  <si>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</si>
  <si>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</si>
  <si>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</si>
  <si>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</si>
  <si>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</si>
  <si>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</si>
  <si>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</si>
  <si>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</si>
  <si>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</si>
  <si>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</si>
  <si>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</si>
  <si>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</si>
  <si>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</si>
  <si>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</si>
  <si>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</si>
  <si>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</si>
  <si>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</si>
  <si>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</si>
  <si>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</si>
  <si>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</si>
  <si>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</si>
  <si>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</si>
  <si>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</si>
  <si>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</si>
  <si>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</si>
  <si>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</si>
  <si>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</si>
  <si>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</si>
  <si>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</si>
  <si>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</si>
  <si>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</si>
  <si>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</si>
  <si>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</si>
  <si>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</si>
  <si>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</si>
  <si>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</si>
  <si>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</si>
  <si>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</si>
  <si>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</si>
  <si>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</si>
  <si>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</si>
  <si>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</si>
  <si>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</si>
  <si>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</si>
  <si>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</si>
  <si>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</si>
  <si>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</si>
  <si>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</si>
  <si>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</si>
  <si>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</si>
  <si>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</si>
  <si>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</si>
  <si>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</si>
  <si>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</si>
  <si>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</si>
  <si>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</si>
  <si>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</si>
  <si>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</si>
  <si>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</si>
  <si>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</si>
  <si>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</si>
  <si>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</si>
  <si>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</si>
  <si>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</si>
  <si>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</si>
  <si>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</si>
  <si>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</si>
  <si>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</si>
  <si>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</si>
  <si>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</si>
  <si>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</si>
  <si>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Search Table</t>
  </si>
  <si>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</si>
  <si>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</si>
  <si>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</si>
  <si>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</si>
  <si>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</si>
  <si>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</si>
  <si>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</si>
  <si>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</si>
  <si>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</si>
  <si>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</si>
  <si>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</si>
  <si>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</si>
  <si>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</si>
  <si>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</si>
  <si>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</si>
  <si>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</si>
  <si>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</si>
  <si>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</si>
  <si>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</si>
  <si>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</si>
  <si>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</si>
  <si>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</si>
  <si>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</si>
  <si>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</si>
  <si>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</si>
  <si>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</si>
  <si>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</si>
  <si>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</si>
  <si>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</si>
  <si>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</si>
  <si>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</si>
  <si>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</si>
  <si>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</si>
  <si>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</si>
  <si>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</si>
  <si>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</si>
  <si>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</si>
  <si>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</si>
  <si>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</si>
  <si>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</si>
  <si>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</si>
  <si>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</si>
  <si>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</si>
  <si>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</si>
  <si>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</si>
  <si>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</si>
  <si>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</si>
  <si>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</si>
  <si>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</si>
  <si>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</si>
  <si>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</si>
  <si>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</si>
  <si>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</si>
  <si>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</si>
  <si>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</si>
  <si>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</si>
  <si>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</si>
  <si>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</si>
  <si>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</si>
  <si>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</si>
  <si>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</si>
  <si>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</si>
  <si>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</si>
  <si>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</si>
  <si>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</si>
  <si>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</si>
  <si>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</si>
  <si>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</si>
  <si>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</si>
  <si>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</si>
  <si>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</si>
  <si>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</si>
  <si>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</si>
  <si>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</si>
  <si>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</si>
  <si>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</si>
  <si>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</si>
  <si>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</si>
  <si>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</si>
  <si>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</si>
  <si>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</si>
  <si>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</si>
  <si>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</si>
  <si>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</si>
  <si>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</si>
  <si>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</si>
  <si>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</si>
  <si>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</si>
  <si>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</si>
  <si>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</si>
  <si>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</si>
  <si>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</si>
  <si>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</si>
  <si>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</si>
  <si>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新規作成</t>
  </si>
  <si>
    <t>MSE吉澤</t>
  </si>
  <si>
    <t>5.5.0</t>
    <phoneticPr fontId="2"/>
  </si>
  <si>
    <t>NULL</t>
  </si>
  <si>
    <t>MET-H_CHGCON-CSTD-0-00-A-C0.xlsm</t>
    <phoneticPr fontId="2"/>
  </si>
  <si>
    <t>ALERT_CH_H_CHGCON</t>
  </si>
  <si>
    <t>H_CHGCON判定</t>
    <rPh sb="8" eb="10">
      <t>ハンテイ</t>
    </rPh>
    <phoneticPr fontId="2"/>
  </si>
  <si>
    <t>ALERT_CH_H_CHGCON</t>
    <phoneticPr fontId="2"/>
  </si>
  <si>
    <t>EHV1S93</t>
    <phoneticPr fontId="2"/>
  </si>
  <si>
    <t>EHV1S93</t>
    <phoneticPr fontId="2"/>
  </si>
  <si>
    <t>通常(0b)/
未受信(1b)</t>
    <phoneticPr fontId="2"/>
  </si>
  <si>
    <t>0b</t>
    <phoneticPr fontId="2"/>
  </si>
  <si>
    <t>0b</t>
    <phoneticPr fontId="2"/>
  </si>
  <si>
    <t>000000b</t>
  </si>
  <si>
    <t>000001b</t>
  </si>
  <si>
    <t>000010b</t>
  </si>
  <si>
    <t>000011b</t>
  </si>
  <si>
    <t>000100b</t>
  </si>
  <si>
    <t>000101b</t>
  </si>
  <si>
    <t>000110b</t>
  </si>
  <si>
    <t>000111b</t>
  </si>
  <si>
    <t>001000b</t>
  </si>
  <si>
    <t>001001b</t>
  </si>
  <si>
    <t>001010b</t>
  </si>
  <si>
    <t>001011b</t>
  </si>
  <si>
    <t>001100b</t>
  </si>
  <si>
    <t>001101b</t>
  </si>
  <si>
    <t>001110b</t>
  </si>
  <si>
    <t>001111b</t>
  </si>
  <si>
    <t>010000b</t>
  </si>
  <si>
    <t>010001b</t>
  </si>
  <si>
    <t>010010b</t>
  </si>
  <si>
    <t>010011b</t>
  </si>
  <si>
    <t>010100b</t>
  </si>
  <si>
    <t>010101b</t>
  </si>
  <si>
    <t>010110b</t>
  </si>
  <si>
    <t>010111b</t>
  </si>
  <si>
    <t>011000b</t>
  </si>
  <si>
    <t>011001b</t>
  </si>
  <si>
    <t>011010b</t>
  </si>
  <si>
    <t>011011b</t>
  </si>
  <si>
    <t>011100b</t>
  </si>
  <si>
    <t>011101b</t>
  </si>
  <si>
    <t>011110b</t>
  </si>
  <si>
    <t>011111b</t>
  </si>
  <si>
    <t>100000b</t>
  </si>
  <si>
    <t>100001b</t>
  </si>
  <si>
    <t>100010b</t>
  </si>
  <si>
    <t>100011b</t>
  </si>
  <si>
    <t>100100b</t>
  </si>
  <si>
    <t>100101b</t>
  </si>
  <si>
    <t>100110b</t>
  </si>
  <si>
    <t>100111b</t>
  </si>
  <si>
    <t>101000b</t>
  </si>
  <si>
    <t>101001b</t>
  </si>
  <si>
    <t>101010b</t>
  </si>
  <si>
    <t>101011b</t>
  </si>
  <si>
    <t>101100b</t>
  </si>
  <si>
    <t>101101b</t>
  </si>
  <si>
    <t>101110b</t>
  </si>
  <si>
    <t>101111b</t>
  </si>
  <si>
    <t>110000b</t>
  </si>
  <si>
    <t>110001b</t>
  </si>
  <si>
    <t>110010b</t>
  </si>
  <si>
    <t>110011b</t>
  </si>
  <si>
    <t>110100b</t>
  </si>
  <si>
    <t>110101b</t>
  </si>
  <si>
    <t>110110b</t>
  </si>
  <si>
    <t>110111b</t>
  </si>
  <si>
    <t>111000b</t>
  </si>
  <si>
    <t>111001b</t>
  </si>
  <si>
    <t>111010b</t>
  </si>
  <si>
    <t>111011b</t>
  </si>
  <si>
    <t>111100b</t>
  </si>
  <si>
    <t>111101b</t>
  </si>
  <si>
    <t>111110b</t>
  </si>
  <si>
    <t>111111b</t>
  </si>
  <si>
    <t>1b</t>
    <phoneticPr fontId="2"/>
  </si>
  <si>
    <t>IG-ON + 通常 + 未定義</t>
  </si>
  <si>
    <t>IG-ON + 通常 + 正常</t>
    <phoneticPr fontId="2"/>
  </si>
  <si>
    <t>IG-ON + 通常 + Ready-ON不可</t>
    <phoneticPr fontId="2"/>
  </si>
  <si>
    <t>IG-ON + 通常 + 走行不可</t>
    <phoneticPr fontId="2"/>
  </si>
  <si>
    <t>正常(000000b)/
走行不可(000100b)/
Ready-ON不可(010000b)/
未定義(上記以外)</t>
    <rPh sb="49" eb="52">
      <t>ミテイギ</t>
    </rPh>
    <phoneticPr fontId="2"/>
  </si>
  <si>
    <t>IG-ON + 通常 + 未定義</t>
    <phoneticPr fontId="2"/>
  </si>
  <si>
    <t>IG-ON + 未受信 + *</t>
    <rPh sb="8" eb="11">
      <t>ミジュシン</t>
    </rPh>
    <phoneticPr fontId="2"/>
  </si>
  <si>
    <t>IG-OFF + * + *</t>
  </si>
  <si>
    <t>*b</t>
    <phoneticPr fontId="2"/>
  </si>
  <si>
    <t>******b</t>
    <phoneticPr fontId="2"/>
  </si>
  <si>
    <t>******b</t>
    <phoneticPr fontId="2"/>
  </si>
  <si>
    <t>UNKNOWN</t>
    <phoneticPr fontId="2"/>
  </si>
  <si>
    <t>REQ02</t>
    <phoneticPr fontId="2"/>
  </si>
  <si>
    <t>REQ03</t>
    <phoneticPr fontId="2"/>
  </si>
  <si>
    <t>H_CHGCON-CSTD-0-MEF01-REQ02-</t>
  </si>
  <si>
    <t>H_CHGCON-CSTD-0-MEF01-REQ02~REQ03</t>
    <phoneticPr fontId="2"/>
  </si>
  <si>
    <t>-</t>
    <phoneticPr fontId="2"/>
  </si>
  <si>
    <t>-</t>
    <phoneticPr fontId="2"/>
  </si>
  <si>
    <t>-</t>
    <phoneticPr fontId="2"/>
  </si>
  <si>
    <t>EHV1S93_STS</t>
    <phoneticPr fontId="2"/>
  </si>
  <si>
    <t>EHV1S93_STS</t>
    <phoneticPr fontId="2"/>
  </si>
  <si>
    <t>PICAU</t>
    <phoneticPr fontId="2"/>
  </si>
  <si>
    <t>-</t>
    <phoneticPr fontId="2"/>
  </si>
  <si>
    <t>-</t>
    <phoneticPr fontId="2"/>
  </si>
  <si>
    <t>H_CHGCON-CSTD-0-MEF01-REQ03-</t>
  </si>
  <si>
    <t>-</t>
    <phoneticPr fontId="2"/>
  </si>
  <si>
    <t>NOTRUN</t>
  </si>
  <si>
    <t>NOTRUN</t>
    <phoneticPr fontId="2"/>
  </si>
  <si>
    <t>NOTRDY</t>
  </si>
  <si>
    <t>NOTRDY</t>
    <phoneticPr fontId="2"/>
  </si>
  <si>
    <t>UNKNOWN/
NOTRUN/
NOTRDY</t>
    <phoneticPr fontId="2"/>
  </si>
  <si>
    <t>NOTRUN</t>
    <phoneticPr fontId="2"/>
  </si>
  <si>
    <t>NOTRDY</t>
    <phoneticPr fontId="2"/>
  </si>
  <si>
    <t>PICAU</t>
    <phoneticPr fontId="2"/>
  </si>
  <si>
    <t>IGP+Special</t>
  </si>
  <si>
    <t>IGP+Special</t>
    <phoneticPr fontId="2"/>
  </si>
  <si>
    <t>×</t>
  </si>
  <si>
    <t>MSE鈴木直行</t>
    <phoneticPr fontId="2"/>
  </si>
  <si>
    <t>MSE鈴木大</t>
    <phoneticPr fontId="2"/>
  </si>
  <si>
    <t>https://aip01.dndev.net/svn/met/toyota/std/rd/spec/19PFver3/tags/00.Product/v0.0.d/制御仕様/MET-H_CHGCON-CSTD-0-00-A-C0/MET-H_CHGCON-CSTD-0-00-A-C0.xlsm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</si>
</sst>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2" xfId="0" applyFill="1" applyBorder="1">
      <alignment vertical="center"/>
    </xf>
    <xf numFmtId="0" fontId="0" fillId="0" borderId="27"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14" fontId="0" fillId="0" borderId="14"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Hyperlink" xfId="1" builtinId="8"/>
    <cellStyle name="Normal"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313766</xdr:colOff>
      <xdr:row>0</xdr:row>
      <xdr:rowOff>67235</xdr:rowOff>
    </xdr:from>
    <xdr:to>
      <xdr:col>12</xdr:col>
      <xdr:colOff>1501589</xdr:colOff>
      <xdr:row>2</xdr:row>
      <xdr:rowOff>45589</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5759825" y="67235"/>
          <a:ext cx="4045323" cy="33694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44822</xdr:colOff>
      <xdr:row>78</xdr:row>
      <xdr:rowOff>145676</xdr:rowOff>
    </xdr:from>
    <xdr:to>
      <xdr:col>11</xdr:col>
      <xdr:colOff>840441</xdr:colOff>
      <xdr:row>81</xdr:row>
      <xdr:rowOff>1412</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4459940" y="14847794"/>
          <a:ext cx="2846295" cy="360000"/>
        </a:xfrm>
        <a:prstGeom prst="borderCallout1">
          <a:avLst>
            <a:gd name="adj1" fmla="val 47144"/>
            <a:gd name="adj2" fmla="val -921"/>
            <a:gd name="adj3" fmla="val -204046"/>
            <a:gd name="adj4" fmla="val -54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907675</xdr:colOff>
      <xdr:row>76</xdr:row>
      <xdr:rowOff>1</xdr:rowOff>
    </xdr:from>
    <xdr:to>
      <xdr:col>13</xdr:col>
      <xdr:colOff>761999</xdr:colOff>
      <xdr:row>78</xdr:row>
      <xdr:rowOff>23824</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6353734" y="14365942"/>
          <a:ext cx="4303059" cy="360000"/>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2</xdr:row>
      <xdr:rowOff>0</xdr:rowOff>
    </xdr:from>
    <xdr:to>
      <xdr:col>46</xdr:col>
      <xdr:colOff>54001</xdr:colOff>
      <xdr:row>39</xdr:row>
      <xdr:rowOff>25181</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5294" y="358588"/>
          <a:ext cx="19193648" cy="7802064"/>
        </a:xfrm>
        <a:prstGeom prst="rect">
          <a:avLst/>
        </a:prstGeom>
      </xdr:spPr>
    </xdr:pic>
    <xdr:clientData/>
  </xdr:twoCellAnchor>
  <xdr:twoCellAnchor>
    <xdr:from>
      <xdr:col>32</xdr:col>
      <xdr:colOff>112058</xdr:colOff>
      <xdr:row>6</xdr:row>
      <xdr:rowOff>56029</xdr:rowOff>
    </xdr:from>
    <xdr:to>
      <xdr:col>34</xdr:col>
      <xdr:colOff>30815</xdr:colOff>
      <xdr:row>7</xdr:row>
      <xdr:rowOff>68648</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23577176" y="1109382"/>
          <a:ext cx="1285874" cy="360001"/>
        </a:xfrm>
        <a:prstGeom prst="borderCallout1">
          <a:avLst>
            <a:gd name="adj1" fmla="val 42429"/>
            <a:gd name="adj2" fmla="val -3670"/>
            <a:gd name="adj3" fmla="val 438595"/>
            <a:gd name="adj4" fmla="val -2222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27</xdr:col>
      <xdr:colOff>257735</xdr:colOff>
      <xdr:row>7</xdr:row>
      <xdr:rowOff>336177</xdr:rowOff>
    </xdr:from>
    <xdr:to>
      <xdr:col>29</xdr:col>
      <xdr:colOff>56030</xdr:colOff>
      <xdr:row>15</xdr:row>
      <xdr:rowOff>100853</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20305059" y="1736912"/>
          <a:ext cx="1165412" cy="2465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381000</xdr:colOff>
      <xdr:row>7</xdr:row>
      <xdr:rowOff>336177</xdr:rowOff>
    </xdr:from>
    <xdr:to>
      <xdr:col>40</xdr:col>
      <xdr:colOff>257736</xdr:colOff>
      <xdr:row>15</xdr:row>
      <xdr:rowOff>100853</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28631029" y="1736912"/>
          <a:ext cx="560295" cy="2465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44823</xdr:colOff>
      <xdr:row>18</xdr:row>
      <xdr:rowOff>67235</xdr:rowOff>
    </xdr:from>
    <xdr:to>
      <xdr:col>33</xdr:col>
      <xdr:colOff>11206</xdr:colOff>
      <xdr:row>23</xdr:row>
      <xdr:rowOff>44824</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21459264" y="4672853"/>
          <a:ext cx="2700618"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280146</xdr:colOff>
      <xdr:row>18</xdr:row>
      <xdr:rowOff>56029</xdr:rowOff>
    </xdr:from>
    <xdr:to>
      <xdr:col>29</xdr:col>
      <xdr:colOff>44824</xdr:colOff>
      <xdr:row>23</xdr:row>
      <xdr:rowOff>44824</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20327470" y="4661647"/>
          <a:ext cx="1131795" cy="8292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448235</xdr:colOff>
      <xdr:row>18</xdr:row>
      <xdr:rowOff>89647</xdr:rowOff>
    </xdr:from>
    <xdr:to>
      <xdr:col>38</xdr:col>
      <xdr:colOff>504264</xdr:colOff>
      <xdr:row>20</xdr:row>
      <xdr:rowOff>113471</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25964029" y="4695265"/>
          <a:ext cx="2106706" cy="360000"/>
        </a:xfrm>
        <a:prstGeom prst="borderCallout1">
          <a:avLst>
            <a:gd name="adj1" fmla="val 44823"/>
            <a:gd name="adj2" fmla="val -3207"/>
            <a:gd name="adj3" fmla="val 190886"/>
            <a:gd name="adj4" fmla="val -1801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168088</xdr:colOff>
      <xdr:row>6</xdr:row>
      <xdr:rowOff>67236</xdr:rowOff>
    </xdr:from>
    <xdr:to>
      <xdr:col>43</xdr:col>
      <xdr:colOff>289252</xdr:colOff>
      <xdr:row>7</xdr:row>
      <xdr:rowOff>79854</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29785235" y="1120589"/>
          <a:ext cx="1488282" cy="360000"/>
        </a:xfrm>
        <a:prstGeom prst="borderCallout1">
          <a:avLst>
            <a:gd name="adj1" fmla="val 33093"/>
            <a:gd name="adj2" fmla="val -2637"/>
            <a:gd name="adj3" fmla="val 590157"/>
            <a:gd name="adj4" fmla="val -557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481853</xdr:colOff>
      <xdr:row>24</xdr:row>
      <xdr:rowOff>1</xdr:rowOff>
    </xdr:from>
    <xdr:to>
      <xdr:col>37</xdr:col>
      <xdr:colOff>409068</xdr:colOff>
      <xdr:row>26</xdr:row>
      <xdr:rowOff>23825</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25997647" y="5614148"/>
          <a:ext cx="1294333" cy="360001"/>
        </a:xfrm>
        <a:prstGeom prst="borderCallout1">
          <a:avLst>
            <a:gd name="adj1" fmla="val 45277"/>
            <a:gd name="adj2" fmla="val -3670"/>
            <a:gd name="adj3" fmla="val -56908"/>
            <a:gd name="adj4" fmla="val -378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35</xdr:col>
      <xdr:colOff>78441</xdr:colOff>
      <xdr:row>32</xdr:row>
      <xdr:rowOff>112059</xdr:rowOff>
    </xdr:from>
    <xdr:to>
      <xdr:col>43</xdr:col>
      <xdr:colOff>313063</xdr:colOff>
      <xdr:row>34</xdr:row>
      <xdr:rowOff>135883</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5594235" y="7070912"/>
          <a:ext cx="5703093" cy="360000"/>
        </a:xfrm>
        <a:prstGeom prst="borderCallout1">
          <a:avLst>
            <a:gd name="adj1" fmla="val 42429"/>
            <a:gd name="adj2" fmla="val -3670"/>
            <a:gd name="adj3" fmla="val -460285"/>
            <a:gd name="adj4" fmla="val -1898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470647</xdr:colOff>
      <xdr:row>18</xdr:row>
      <xdr:rowOff>33619</xdr:rowOff>
    </xdr:from>
    <xdr:to>
      <xdr:col>21</xdr:col>
      <xdr:colOff>369794</xdr:colOff>
      <xdr:row>23</xdr:row>
      <xdr:rowOff>56030</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14365941" y="4639237"/>
          <a:ext cx="1949824" cy="8628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5" customWidth="1"/>
    <col min="2" max="2" width="9" style="10" hidden="1" customWidth="1"/>
    <col min="4" max="4" width="69.5" customWidth="1"/>
    <col min="5" max="6" width="12.875" customWidth="1"/>
    <col min="7" max="18" width="13.125" customWidth="1"/>
  </cols>
  <sheetData>
    <row r="2" spans="2:18" ht="25.5" customHeight="1">
      <c r="C2" s="7"/>
      <c r="D2" s="7"/>
      <c r="E2" s="7"/>
      <c r="F2" s="7"/>
      <c r="H2" s="8" t="s">
        <v>13</v>
      </c>
      <c r="I2" s="224" t="s">
        <v>14</v>
      </c>
      <c r="J2" s="224"/>
      <c r="K2" s="224"/>
      <c r="L2" s="224"/>
      <c r="M2" s="224"/>
      <c r="N2" s="224"/>
      <c r="O2" s="224"/>
      <c r="P2" s="224"/>
      <c r="Q2" s="224"/>
      <c r="R2" s="224"/>
    </row>
    <row r="3" spans="2:18" ht="25.5" customHeight="1">
      <c r="C3" s="7"/>
      <c r="D3" s="11" t="str">
        <f ca="1">REPLACE(LEFT(CELL("filename",$B$1),FIND(".xls",CELL("filename",$B$1))-1),1,FIND("[",CELL("filename",$B$1)),)</f>
        <v>alert_H_CHGCON-CSTD-0-00-A-C0</v>
      </c>
      <c r="E3" s="7"/>
      <c r="F3" s="7"/>
      <c r="H3" s="9" t="s">
        <v>200</v>
      </c>
      <c r="I3" s="225" t="s">
        <v>199</v>
      </c>
      <c r="J3" s="226"/>
      <c r="K3" s="226"/>
      <c r="L3" s="226"/>
      <c r="M3" s="226"/>
      <c r="N3" s="226"/>
      <c r="O3" s="226"/>
      <c r="P3" s="226"/>
      <c r="Q3" s="226"/>
      <c r="R3" s="226"/>
    </row>
    <row r="4" spans="2:18" ht="25.5" customHeight="1">
      <c r="C4" s="7"/>
      <c r="D4" s="7"/>
      <c r="E4" s="25" t="str">
        <f>DGET(B8:C14,"Ver.",H4:H5)</f>
        <v>1.0.0</v>
      </c>
      <c r="F4" s="7"/>
      <c r="H4" s="10" t="s">
        <v>15</v>
      </c>
    </row>
    <row r="5" spans="2:18" ht="25.5" customHeight="1">
      <c r="C5" s="7"/>
      <c r="D5" s="7"/>
      <c r="E5" s="7"/>
      <c r="F5" s="7"/>
      <c r="H5" s="12">
        <f>MAX(B9:B14)</f>
        <v>1</v>
      </c>
    </row>
    <row r="6" spans="2:18" ht="14.25" thickBot="1"/>
    <row r="7" spans="2:18">
      <c r="C7" s="218" t="s">
        <v>0</v>
      </c>
      <c r="D7" s="219"/>
      <c r="E7" s="220" t="s">
        <v>2</v>
      </c>
      <c r="F7" s="220"/>
      <c r="G7" s="221" t="s">
        <v>5</v>
      </c>
      <c r="H7" s="221"/>
      <c r="I7" s="221"/>
      <c r="J7" s="221"/>
      <c r="K7" s="221"/>
      <c r="L7" s="221"/>
      <c r="M7" s="222" t="s">
        <v>12</v>
      </c>
      <c r="N7" s="222"/>
      <c r="O7" s="222"/>
      <c r="P7" s="222"/>
      <c r="Q7" s="222"/>
      <c r="R7" s="223"/>
    </row>
    <row r="8" spans="2:18" ht="27.75" thickBot="1">
      <c r="B8" s="10" t="s">
        <v>93</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223</v>
      </c>
      <c r="D9" s="14" t="s">
        <v>224</v>
      </c>
      <c r="E9" s="14" t="s">
        <v>31</v>
      </c>
      <c r="F9" s="14" t="s">
        <v>226</v>
      </c>
      <c r="G9" s="14" t="s">
        <v>31</v>
      </c>
      <c r="H9" s="14" t="s">
        <v>31</v>
      </c>
      <c r="I9" s="14" t="s">
        <v>31</v>
      </c>
      <c r="J9" s="14" t="s">
        <v>31</v>
      </c>
      <c r="K9" s="14" t="s">
        <v>31</v>
      </c>
      <c r="L9" s="14" t="s">
        <v>31</v>
      </c>
      <c r="M9" s="14" t="s">
        <v>339</v>
      </c>
      <c r="N9" s="217">
        <v>43972</v>
      </c>
      <c r="O9" s="14" t="s">
        <v>340</v>
      </c>
      <c r="P9" s="217">
        <v>43972</v>
      </c>
      <c r="Q9" s="14" t="s">
        <v>225</v>
      </c>
      <c r="R9" s="207">
        <v>43874</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24"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9" t="s">
        <v>139</v>
      </c>
    </row>
    <row r="3" spans="2:5">
      <c r="C3" t="s">
        <v>149</v>
      </c>
    </row>
    <row r="6" spans="2:5" ht="14.25" thickBot="1">
      <c r="B6" s="169" t="s">
        <v>140</v>
      </c>
      <c r="C6" s="169"/>
    </row>
    <row r="7" spans="2:5" ht="14.25" thickBot="1">
      <c r="C7" s="88" t="s">
        <v>142</v>
      </c>
      <c r="D7" s="96"/>
      <c r="E7" s="89" t="s">
        <v>150</v>
      </c>
    </row>
    <row r="8" spans="2:5" ht="20.25" customHeight="1" thickTop="1">
      <c r="C8" s="173">
        <v>0</v>
      </c>
      <c r="D8" s="97" t="s">
        <v>151</v>
      </c>
      <c r="E8" s="172" t="s">
        <v>152</v>
      </c>
    </row>
    <row r="9" spans="2:5" ht="27">
      <c r="C9" s="179">
        <v>1</v>
      </c>
      <c r="D9" s="181" t="s">
        <v>173</v>
      </c>
      <c r="E9" s="180" t="s">
        <v>172</v>
      </c>
    </row>
    <row r="10" spans="2:5" ht="14.25" thickBot="1">
      <c r="C10" s="177"/>
      <c r="D10" s="99"/>
      <c r="E10" s="6"/>
    </row>
    <row r="11" spans="2:5">
      <c r="C11" s="175"/>
    </row>
    <row r="12" spans="2:5" ht="14.25" thickBot="1">
      <c r="B12" s="170" t="s">
        <v>141</v>
      </c>
      <c r="C12" s="95"/>
      <c r="D12" s="95"/>
    </row>
    <row r="13" spans="2:5" ht="14.25" thickBot="1">
      <c r="B13" s="171"/>
      <c r="C13" s="176" t="s">
        <v>142</v>
      </c>
      <c r="D13" s="96" t="s">
        <v>143</v>
      </c>
      <c r="E13" s="89" t="s">
        <v>144</v>
      </c>
    </row>
    <row r="14" spans="2:5" ht="14.25" thickTop="1">
      <c r="C14" s="173">
        <v>0</v>
      </c>
      <c r="D14" s="97" t="s">
        <v>157</v>
      </c>
      <c r="E14" s="178" t="s">
        <v>158</v>
      </c>
    </row>
    <row r="15" spans="2:5">
      <c r="C15" s="174">
        <v>1</v>
      </c>
      <c r="D15" s="98" t="s">
        <v>23</v>
      </c>
      <c r="E15" s="84" t="s">
        <v>145</v>
      </c>
    </row>
    <row r="16" spans="2:5">
      <c r="C16" s="174">
        <v>2</v>
      </c>
      <c r="D16" s="98" t="s">
        <v>24</v>
      </c>
      <c r="E16" s="84" t="s">
        <v>146</v>
      </c>
    </row>
    <row r="17" spans="2:5">
      <c r="C17" s="174">
        <v>3</v>
      </c>
      <c r="D17" s="98" t="s">
        <v>25</v>
      </c>
      <c r="E17" s="84" t="s">
        <v>147</v>
      </c>
    </row>
    <row r="18" spans="2:5">
      <c r="C18" s="174">
        <v>4</v>
      </c>
      <c r="D18" s="98" t="s">
        <v>26</v>
      </c>
      <c r="E18" s="84" t="s">
        <v>148</v>
      </c>
    </row>
    <row r="19" spans="2:5">
      <c r="C19" s="174">
        <v>5</v>
      </c>
      <c r="D19" s="98" t="s">
        <v>159</v>
      </c>
      <c r="E19" s="84" t="s">
        <v>161</v>
      </c>
    </row>
    <row r="20" spans="2:5">
      <c r="C20" s="174">
        <v>6</v>
      </c>
      <c r="D20" s="98" t="s">
        <v>166</v>
      </c>
      <c r="E20" s="84" t="s">
        <v>193</v>
      </c>
    </row>
    <row r="21" spans="2:5" ht="14.25" thickBot="1">
      <c r="C21" s="177"/>
      <c r="D21" s="99"/>
      <c r="E21" s="6"/>
    </row>
    <row r="24" spans="2:5" ht="14.25" thickBot="1">
      <c r="B24" s="169" t="s">
        <v>153</v>
      </c>
    </row>
    <row r="25" spans="2:5" ht="14.25" thickBot="1">
      <c r="C25" s="176" t="s">
        <v>142</v>
      </c>
      <c r="D25" s="96" t="s">
        <v>143</v>
      </c>
      <c r="E25" s="89" t="s">
        <v>144</v>
      </c>
    </row>
    <row r="26" spans="2:5" ht="30.75" customHeight="1" thickTop="1">
      <c r="C26" s="173">
        <v>0</v>
      </c>
      <c r="D26" s="97" t="s">
        <v>154</v>
      </c>
      <c r="E26" s="178" t="s">
        <v>163</v>
      </c>
    </row>
    <row r="27" spans="2:5" ht="120" customHeight="1">
      <c r="C27" s="174">
        <v>1</v>
      </c>
      <c r="D27" s="98" t="s">
        <v>196</v>
      </c>
      <c r="E27" s="100" t="s">
        <v>198</v>
      </c>
    </row>
    <row r="28" spans="2:5" ht="81" customHeight="1">
      <c r="C28" s="174">
        <v>2</v>
      </c>
      <c r="D28" s="98" t="s">
        <v>192</v>
      </c>
      <c r="E28" s="100" t="s">
        <v>204</v>
      </c>
    </row>
    <row r="29" spans="2:5" ht="45" customHeight="1">
      <c r="C29" s="174">
        <v>3</v>
      </c>
      <c r="D29" s="98" t="s">
        <v>160</v>
      </c>
      <c r="E29" s="100" t="s">
        <v>164</v>
      </c>
    </row>
    <row r="30" spans="2:5" ht="16.5" customHeight="1">
      <c r="C30" s="174">
        <v>4</v>
      </c>
      <c r="D30" s="98" t="s">
        <v>155</v>
      </c>
      <c r="E30" s="84" t="s">
        <v>171</v>
      </c>
    </row>
    <row r="31" spans="2:5" ht="16.5" customHeight="1">
      <c r="C31" s="174">
        <v>5</v>
      </c>
      <c r="D31" s="98" t="s">
        <v>156</v>
      </c>
      <c r="E31" s="84" t="s">
        <v>165</v>
      </c>
    </row>
    <row r="32" spans="2:5">
      <c r="C32" s="174"/>
      <c r="D32" s="98"/>
      <c r="E32" s="84"/>
    </row>
    <row r="33" spans="2:5">
      <c r="C33" s="174"/>
      <c r="D33" s="98"/>
      <c r="E33" s="84"/>
    </row>
    <row r="34" spans="2:5" ht="14.25" thickBot="1">
      <c r="C34" s="177"/>
      <c r="D34" s="99"/>
      <c r="E34" s="6"/>
    </row>
    <row r="37" spans="2:5" ht="14.25" thickBot="1">
      <c r="B37" s="169" t="s">
        <v>189</v>
      </c>
    </row>
    <row r="38" spans="2:5">
      <c r="C38" s="227"/>
      <c r="D38" s="228"/>
      <c r="E38" s="124" t="s">
        <v>124</v>
      </c>
    </row>
    <row r="39" spans="2:5" ht="14.25" thickBot="1">
      <c r="C39" s="229"/>
      <c r="D39" s="230"/>
      <c r="E39" s="6" t="s">
        <v>125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F21" sqref="F21"/>
    </sheetView>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31" t="s">
        <v>18</v>
      </c>
      <c r="C2" s="232"/>
      <c r="D2" s="237" t="s">
        <v>228</v>
      </c>
      <c r="E2" s="238"/>
      <c r="F2" s="238"/>
      <c r="G2" s="238"/>
      <c r="H2" s="239"/>
    </row>
    <row r="3" spans="2:14">
      <c r="B3" s="233" t="s">
        <v>121</v>
      </c>
      <c r="C3" s="234"/>
      <c r="D3" s="240" t="s">
        <v>341</v>
      </c>
      <c r="E3" s="241"/>
      <c r="F3" s="241"/>
      <c r="G3" s="241"/>
      <c r="H3" s="242"/>
    </row>
    <row r="4" spans="2:14" ht="14.25" thickBot="1">
      <c r="B4" s="235" t="s">
        <v>17</v>
      </c>
      <c r="C4" s="236"/>
      <c r="D4" s="243" t="str">
        <f ca="1">表紙!D3&amp;".c"</f>
        <v>alert_H_CHGCON-CSTD-0-00-A-C0.c</v>
      </c>
      <c r="E4" s="244"/>
      <c r="F4" s="244"/>
      <c r="G4" s="244"/>
      <c r="H4" s="24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1" t="s">
        <v>36</v>
      </c>
      <c r="C6" s="232"/>
      <c r="D6" s="246" t="str">
        <f ca="1">MID(D4, LEN("alert_") + 1, FIND("-",D4,1) - LEN("alert_") - 1)</f>
        <v>H_CHGCON</v>
      </c>
      <c r="E6" s="247"/>
      <c r="F6" s="247"/>
      <c r="G6" s="247"/>
      <c r="H6" s="248"/>
    </row>
    <row r="7" spans="2:14">
      <c r="B7" s="233" t="s">
        <v>37</v>
      </c>
      <c r="C7" s="234"/>
      <c r="D7" s="249">
        <f>COUNTA($D$13:$D$37)</f>
        <v>1</v>
      </c>
      <c r="E7" s="250"/>
      <c r="F7" s="250"/>
      <c r="G7" s="250"/>
      <c r="H7" s="251"/>
    </row>
    <row r="8" spans="2:14">
      <c r="B8" s="233" t="s">
        <v>97</v>
      </c>
      <c r="C8" s="234"/>
      <c r="D8" s="249" t="str">
        <f ca="1">"st_gp_ALERT_"&amp;UPPER(D6)&amp;"_MTRX"</f>
        <v>st_gp_ALERT_H_CHGCON_MTRX</v>
      </c>
      <c r="E8" s="250"/>
      <c r="F8" s="250"/>
      <c r="G8" s="250"/>
      <c r="H8" s="251"/>
    </row>
    <row r="9" spans="2:14">
      <c r="B9" s="233" t="s">
        <v>38</v>
      </c>
      <c r="C9" s="234"/>
      <c r="D9" s="252" t="s">
        <v>227</v>
      </c>
      <c r="E9" s="253"/>
      <c r="F9" s="253"/>
      <c r="G9" s="253"/>
      <c r="H9" s="254"/>
    </row>
    <row r="10" spans="2:14" ht="14.25" thickBot="1">
      <c r="B10" s="235" t="s">
        <v>44</v>
      </c>
      <c r="C10" s="236"/>
      <c r="D10" s="255">
        <v>60</v>
      </c>
      <c r="E10" s="256"/>
      <c r="F10" s="256"/>
      <c r="G10" s="256"/>
      <c r="H10" s="257"/>
    </row>
    <row r="11" spans="2:14" ht="14.25" thickBot="1"/>
    <row r="12" spans="2:14" ht="14.25" thickBot="1">
      <c r="B12" s="160" t="s">
        <v>34</v>
      </c>
      <c r="C12" s="114" t="s">
        <v>43</v>
      </c>
      <c r="D12" s="115" t="s">
        <v>35</v>
      </c>
      <c r="E12" s="115" t="s">
        <v>39</v>
      </c>
      <c r="F12" s="115" t="s">
        <v>40</v>
      </c>
      <c r="G12" s="115" t="s">
        <v>41</v>
      </c>
      <c r="H12" s="116" t="s">
        <v>42</v>
      </c>
      <c r="I12" s="165" t="s">
        <v>51</v>
      </c>
      <c r="K12" s="54" t="s">
        <v>45</v>
      </c>
      <c r="L12" s="54" t="s">
        <v>38</v>
      </c>
      <c r="M12" t="s">
        <v>88</v>
      </c>
    </row>
    <row r="13" spans="2:14" ht="14.25" thickTop="1">
      <c r="B13" s="117">
        <v>1</v>
      </c>
      <c r="C13" s="122" t="s">
        <v>327</v>
      </c>
      <c r="D13" s="123" t="s">
        <v>48</v>
      </c>
      <c r="E13" s="123" t="s">
        <v>188</v>
      </c>
      <c r="F13" s="60" t="str">
        <f t="shared" ref="F13:F37" ca="1" si="0">IF($D13&lt;&gt;"","u4_s_Alert"&amp;UPPER(LEFT($D$6,1))&amp;LOWER(MID($D$6,2,100))&amp;IF($D$7=1,"",N13)&amp;"Srcchk","")</f>
        <v>u4_s_AlertH_chgconSrcchk</v>
      </c>
      <c r="G13" s="60" t="str">
        <f t="shared" ref="G13:G37" si="1">IF($D13&lt;&gt;"",IF($E13="○","vd_s_Alert"&amp;UPPER(LEFT($D$6,1))&amp;LOWER(MID($D$6,2,100))&amp;IF($D$7=1,"",N13)&amp;"RwTx","NULL"),"")</f>
        <v>NULL</v>
      </c>
      <c r="H13" s="121" t="str">
        <f ca="1">IF($D13&lt;&gt;"","ALERT_CH_"&amp;UPPER($D$6)&amp;IF($D$7=1,"","_"&amp;UPPER($C13)),"")</f>
        <v>ALERT_CH_H_CHGCON</v>
      </c>
      <c r="I13" s="166" t="str">
        <f ca="1">IF($D13&lt;&gt;"","ALERT_REQ_"&amp;UPPER($D$6)&amp;IF($D$7=1,"","_"&amp;UPPER($C13)),"")</f>
        <v>ALERT_REQ_H_CHGCON</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7">
        <v>2</v>
      </c>
      <c r="C14" s="163"/>
      <c r="D14" s="164"/>
      <c r="E14" s="164"/>
      <c r="F14" s="55" t="str">
        <f t="shared" si="0"/>
        <v/>
      </c>
      <c r="G14" s="55" t="str">
        <f t="shared" si="1"/>
        <v/>
      </c>
      <c r="H14" s="76" t="str">
        <f t="shared" ref="H14:H37" si="4">IF($D14&lt;&gt;"","ALERT_CH_"&amp;UPPER($D$6)&amp;IF($D$7=1,"","_"&amp;UPPER($C14)),"")</f>
        <v/>
      </c>
      <c r="I14" s="167" t="str">
        <f t="shared" ref="I14:I37" si="5">IF($D14&lt;&gt;"","ALERT_REQ_"&amp;UPPER($D$6)&amp;IF($D$7=1,"","_"&amp;UPPER($C14)),"")</f>
        <v/>
      </c>
      <c r="K14" t="s">
        <v>47</v>
      </c>
      <c r="L14" t="str">
        <f ca="1">"vd_g_Alert"&amp;UPPER(LEFT(D6,1))&amp;LOWER(MID(D6,2,100))&amp;"Init"</f>
        <v>vd_g_AlertH_chgconInit</v>
      </c>
      <c r="M14" t="e">
        <f t="shared" si="2"/>
        <v>#VALUE!</v>
      </c>
      <c r="N14" t="str">
        <f t="shared" si="3"/>
        <v/>
      </c>
    </row>
    <row r="15" spans="2:14">
      <c r="B15" s="107">
        <v>3</v>
      </c>
      <c r="C15" s="163"/>
      <c r="D15" s="164"/>
      <c r="E15" s="164"/>
      <c r="F15" s="55" t="str">
        <f t="shared" si="0"/>
        <v/>
      </c>
      <c r="G15" s="55" t="str">
        <f t="shared" si="1"/>
        <v/>
      </c>
      <c r="H15" s="76" t="str">
        <f t="shared" si="4"/>
        <v/>
      </c>
      <c r="I15" s="167" t="str">
        <f t="shared" si="5"/>
        <v/>
      </c>
      <c r="K15" t="s">
        <v>126</v>
      </c>
      <c r="M15" t="e">
        <f t="shared" si="2"/>
        <v>#VALUE!</v>
      </c>
      <c r="N15" t="str">
        <f t="shared" si="3"/>
        <v/>
      </c>
    </row>
    <row r="16" spans="2:14">
      <c r="B16" s="107">
        <v>4</v>
      </c>
      <c r="C16" s="163"/>
      <c r="D16" s="164"/>
      <c r="E16" s="164"/>
      <c r="F16" s="55" t="str">
        <f t="shared" si="0"/>
        <v/>
      </c>
      <c r="G16" s="55" t="str">
        <f t="shared" si="1"/>
        <v/>
      </c>
      <c r="H16" s="76" t="str">
        <f t="shared" si="4"/>
        <v/>
      </c>
      <c r="I16" s="167" t="str">
        <f t="shared" si="5"/>
        <v/>
      </c>
      <c r="K16" t="s">
        <v>127</v>
      </c>
      <c r="M16" t="e">
        <f t="shared" si="2"/>
        <v>#VALUE!</v>
      </c>
      <c r="N16" t="str">
        <f t="shared" si="3"/>
        <v/>
      </c>
    </row>
    <row r="17" spans="2:14">
      <c r="B17" s="107">
        <v>5</v>
      </c>
      <c r="C17" s="163"/>
      <c r="D17" s="164"/>
      <c r="E17" s="164"/>
      <c r="F17" s="55" t="str">
        <f t="shared" si="0"/>
        <v/>
      </c>
      <c r="G17" s="55" t="str">
        <f t="shared" si="1"/>
        <v/>
      </c>
      <c r="H17" s="76" t="str">
        <f t="shared" si="4"/>
        <v/>
      </c>
      <c r="I17" s="167" t="str">
        <f t="shared" si="5"/>
        <v/>
      </c>
      <c r="K17" t="s">
        <v>48</v>
      </c>
      <c r="M17" t="e">
        <f t="shared" si="2"/>
        <v>#VALUE!</v>
      </c>
      <c r="N17" t="str">
        <f t="shared" si="3"/>
        <v/>
      </c>
    </row>
    <row r="18" spans="2:14">
      <c r="B18" s="107">
        <v>6</v>
      </c>
      <c r="C18" s="163"/>
      <c r="D18" s="164"/>
      <c r="E18" s="164"/>
      <c r="F18" s="55" t="str">
        <f t="shared" si="0"/>
        <v/>
      </c>
      <c r="G18" s="55" t="str">
        <f t="shared" si="1"/>
        <v/>
      </c>
      <c r="H18" s="76" t="str">
        <f t="shared" si="4"/>
        <v/>
      </c>
      <c r="I18" s="167" t="str">
        <f t="shared" si="5"/>
        <v/>
      </c>
      <c r="K18" t="s">
        <v>49</v>
      </c>
      <c r="M18" t="e">
        <f t="shared" si="2"/>
        <v>#VALUE!</v>
      </c>
      <c r="N18" t="str">
        <f t="shared" si="3"/>
        <v/>
      </c>
    </row>
    <row r="19" spans="2:14">
      <c r="B19" s="107">
        <v>7</v>
      </c>
      <c r="C19" s="163"/>
      <c r="D19" s="164"/>
      <c r="E19" s="164"/>
      <c r="F19" s="55" t="str">
        <f t="shared" si="0"/>
        <v/>
      </c>
      <c r="G19" s="55" t="str">
        <f t="shared" si="1"/>
        <v/>
      </c>
      <c r="H19" s="76" t="str">
        <f t="shared" si="4"/>
        <v/>
      </c>
      <c r="I19" s="167" t="str">
        <f t="shared" si="5"/>
        <v/>
      </c>
      <c r="K19" t="s">
        <v>49</v>
      </c>
      <c r="M19" t="e">
        <f t="shared" si="2"/>
        <v>#VALUE!</v>
      </c>
      <c r="N19" t="str">
        <f t="shared" si="3"/>
        <v/>
      </c>
    </row>
    <row r="20" spans="2:14">
      <c r="B20" s="107">
        <v>8</v>
      </c>
      <c r="C20" s="163"/>
      <c r="D20" s="164"/>
      <c r="E20" s="164"/>
      <c r="F20" s="55" t="str">
        <f t="shared" si="0"/>
        <v/>
      </c>
      <c r="G20" s="55" t="str">
        <f t="shared" si="1"/>
        <v/>
      </c>
      <c r="H20" s="76" t="str">
        <f t="shared" si="4"/>
        <v/>
      </c>
      <c r="I20" s="167" t="str">
        <f t="shared" si="5"/>
        <v/>
      </c>
      <c r="K20" t="s">
        <v>49</v>
      </c>
      <c r="M20" t="e">
        <f t="shared" si="2"/>
        <v>#VALUE!</v>
      </c>
      <c r="N20" t="str">
        <f t="shared" si="3"/>
        <v/>
      </c>
    </row>
    <row r="21" spans="2:14">
      <c r="B21" s="107">
        <v>9</v>
      </c>
      <c r="C21" s="163"/>
      <c r="D21" s="164"/>
      <c r="E21" s="164"/>
      <c r="F21" s="55" t="str">
        <f t="shared" si="0"/>
        <v/>
      </c>
      <c r="G21" s="55" t="str">
        <f t="shared" si="1"/>
        <v/>
      </c>
      <c r="H21" s="76" t="str">
        <f t="shared" si="4"/>
        <v/>
      </c>
      <c r="I21" s="167" t="str">
        <f t="shared" si="5"/>
        <v/>
      </c>
      <c r="K21" t="s">
        <v>49</v>
      </c>
      <c r="M21" t="e">
        <f t="shared" si="2"/>
        <v>#VALUE!</v>
      </c>
      <c r="N21" t="str">
        <f t="shared" si="3"/>
        <v/>
      </c>
    </row>
    <row r="22" spans="2:14">
      <c r="B22" s="107">
        <v>10</v>
      </c>
      <c r="C22" s="163"/>
      <c r="D22" s="164"/>
      <c r="E22" s="164"/>
      <c r="F22" s="55" t="str">
        <f t="shared" si="0"/>
        <v/>
      </c>
      <c r="G22" s="55" t="str">
        <f t="shared" si="1"/>
        <v/>
      </c>
      <c r="H22" s="76" t="str">
        <f t="shared" si="4"/>
        <v/>
      </c>
      <c r="I22" s="167" t="str">
        <f t="shared" si="5"/>
        <v/>
      </c>
      <c r="K22" t="s">
        <v>49</v>
      </c>
      <c r="M22" t="e">
        <f t="shared" si="2"/>
        <v>#VALUE!</v>
      </c>
      <c r="N22" t="str">
        <f t="shared" si="3"/>
        <v/>
      </c>
    </row>
    <row r="23" spans="2:14">
      <c r="B23" s="107">
        <v>11</v>
      </c>
      <c r="C23" s="163"/>
      <c r="D23" s="164"/>
      <c r="E23" s="164"/>
      <c r="F23" s="55" t="str">
        <f t="shared" si="0"/>
        <v/>
      </c>
      <c r="G23" s="55" t="str">
        <f t="shared" si="1"/>
        <v/>
      </c>
      <c r="H23" s="76" t="str">
        <f t="shared" si="4"/>
        <v/>
      </c>
      <c r="I23" s="167" t="str">
        <f t="shared" si="5"/>
        <v/>
      </c>
      <c r="K23" t="s">
        <v>49</v>
      </c>
      <c r="M23" t="e">
        <f t="shared" si="2"/>
        <v>#VALUE!</v>
      </c>
      <c r="N23" t="str">
        <f t="shared" si="3"/>
        <v/>
      </c>
    </row>
    <row r="24" spans="2:14">
      <c r="B24" s="107">
        <v>12</v>
      </c>
      <c r="C24" s="163"/>
      <c r="D24" s="164"/>
      <c r="E24" s="164"/>
      <c r="F24" s="55" t="str">
        <f t="shared" si="0"/>
        <v/>
      </c>
      <c r="G24" s="55" t="str">
        <f t="shared" si="1"/>
        <v/>
      </c>
      <c r="H24" s="76" t="str">
        <f t="shared" si="4"/>
        <v/>
      </c>
      <c r="I24" s="167" t="str">
        <f t="shared" si="5"/>
        <v/>
      </c>
      <c r="K24" t="s">
        <v>49</v>
      </c>
      <c r="M24" t="e">
        <f t="shared" si="2"/>
        <v>#VALUE!</v>
      </c>
      <c r="N24" t="str">
        <f t="shared" si="3"/>
        <v/>
      </c>
    </row>
    <row r="25" spans="2:14">
      <c r="B25" s="107">
        <v>13</v>
      </c>
      <c r="C25" s="163"/>
      <c r="D25" s="164"/>
      <c r="E25" s="164"/>
      <c r="F25" s="55" t="str">
        <f t="shared" si="0"/>
        <v/>
      </c>
      <c r="G25" s="55" t="str">
        <f t="shared" si="1"/>
        <v/>
      </c>
      <c r="H25" s="76" t="str">
        <f t="shared" si="4"/>
        <v/>
      </c>
      <c r="I25" s="167" t="str">
        <f t="shared" si="5"/>
        <v/>
      </c>
      <c r="K25" t="s">
        <v>49</v>
      </c>
      <c r="M25" t="e">
        <f t="shared" si="2"/>
        <v>#VALUE!</v>
      </c>
      <c r="N25" t="str">
        <f t="shared" si="3"/>
        <v/>
      </c>
    </row>
    <row r="26" spans="2:14">
      <c r="B26" s="107">
        <v>14</v>
      </c>
      <c r="C26" s="163"/>
      <c r="D26" s="164"/>
      <c r="E26" s="164"/>
      <c r="F26" s="55" t="str">
        <f t="shared" si="0"/>
        <v/>
      </c>
      <c r="G26" s="55" t="str">
        <f t="shared" si="1"/>
        <v/>
      </c>
      <c r="H26" s="76" t="str">
        <f t="shared" si="4"/>
        <v/>
      </c>
      <c r="I26" s="167" t="str">
        <f t="shared" si="5"/>
        <v/>
      </c>
      <c r="K26" t="s">
        <v>49</v>
      </c>
      <c r="M26" t="e">
        <f t="shared" si="2"/>
        <v>#VALUE!</v>
      </c>
      <c r="N26" t="str">
        <f t="shared" si="3"/>
        <v/>
      </c>
    </row>
    <row r="27" spans="2:14">
      <c r="B27" s="107">
        <v>15</v>
      </c>
      <c r="C27" s="163"/>
      <c r="D27" s="164"/>
      <c r="E27" s="164"/>
      <c r="F27" s="55" t="str">
        <f t="shared" si="0"/>
        <v/>
      </c>
      <c r="G27" s="55" t="str">
        <f t="shared" si="1"/>
        <v/>
      </c>
      <c r="H27" s="76" t="str">
        <f t="shared" si="4"/>
        <v/>
      </c>
      <c r="I27" s="167" t="str">
        <f t="shared" si="5"/>
        <v/>
      </c>
      <c r="K27" t="s">
        <v>49</v>
      </c>
      <c r="M27" t="e">
        <f t="shared" si="2"/>
        <v>#VALUE!</v>
      </c>
      <c r="N27" t="str">
        <f t="shared" si="3"/>
        <v/>
      </c>
    </row>
    <row r="28" spans="2:14">
      <c r="B28" s="107">
        <v>16</v>
      </c>
      <c r="C28" s="163"/>
      <c r="D28" s="164"/>
      <c r="E28" s="164"/>
      <c r="F28" s="55" t="str">
        <f t="shared" si="0"/>
        <v/>
      </c>
      <c r="G28" s="55" t="str">
        <f t="shared" si="1"/>
        <v/>
      </c>
      <c r="H28" s="76" t="str">
        <f t="shared" si="4"/>
        <v/>
      </c>
      <c r="I28" s="167" t="str">
        <f t="shared" si="5"/>
        <v/>
      </c>
      <c r="K28" t="s">
        <v>49</v>
      </c>
      <c r="M28" t="e">
        <f t="shared" si="2"/>
        <v>#VALUE!</v>
      </c>
      <c r="N28" t="str">
        <f t="shared" si="3"/>
        <v/>
      </c>
    </row>
    <row r="29" spans="2:14">
      <c r="B29" s="107">
        <v>17</v>
      </c>
      <c r="C29" s="163"/>
      <c r="D29" s="164"/>
      <c r="E29" s="164"/>
      <c r="F29" s="55" t="str">
        <f t="shared" si="0"/>
        <v/>
      </c>
      <c r="G29" s="55" t="str">
        <f t="shared" si="1"/>
        <v/>
      </c>
      <c r="H29" s="76" t="str">
        <f t="shared" si="4"/>
        <v/>
      </c>
      <c r="I29" s="167" t="str">
        <f t="shared" si="5"/>
        <v/>
      </c>
      <c r="K29" t="s">
        <v>49</v>
      </c>
      <c r="M29" t="e">
        <f t="shared" si="2"/>
        <v>#VALUE!</v>
      </c>
      <c r="N29" t="str">
        <f t="shared" si="3"/>
        <v/>
      </c>
    </row>
    <row r="30" spans="2:14">
      <c r="B30" s="107">
        <v>18</v>
      </c>
      <c r="C30" s="163"/>
      <c r="D30" s="164"/>
      <c r="E30" s="164"/>
      <c r="F30" s="55" t="str">
        <f t="shared" si="0"/>
        <v/>
      </c>
      <c r="G30" s="55" t="str">
        <f t="shared" si="1"/>
        <v/>
      </c>
      <c r="H30" s="76" t="str">
        <f t="shared" si="4"/>
        <v/>
      </c>
      <c r="I30" s="167" t="str">
        <f t="shared" si="5"/>
        <v/>
      </c>
      <c r="K30" t="s">
        <v>49</v>
      </c>
      <c r="M30" t="e">
        <f t="shared" si="2"/>
        <v>#VALUE!</v>
      </c>
      <c r="N30" t="str">
        <f t="shared" si="3"/>
        <v/>
      </c>
    </row>
    <row r="31" spans="2:14">
      <c r="B31" s="107">
        <v>19</v>
      </c>
      <c r="C31" s="163"/>
      <c r="D31" s="164"/>
      <c r="E31" s="164"/>
      <c r="F31" s="55" t="str">
        <f t="shared" si="0"/>
        <v/>
      </c>
      <c r="G31" s="55" t="str">
        <f t="shared" si="1"/>
        <v/>
      </c>
      <c r="H31" s="76" t="str">
        <f t="shared" si="4"/>
        <v/>
      </c>
      <c r="I31" s="167" t="str">
        <f t="shared" si="5"/>
        <v/>
      </c>
      <c r="K31" t="s">
        <v>49</v>
      </c>
      <c r="M31" t="e">
        <f t="shared" si="2"/>
        <v>#VALUE!</v>
      </c>
      <c r="N31" t="str">
        <f t="shared" si="3"/>
        <v/>
      </c>
    </row>
    <row r="32" spans="2:14">
      <c r="B32" s="107">
        <v>20</v>
      </c>
      <c r="C32" s="163"/>
      <c r="D32" s="164"/>
      <c r="E32" s="164"/>
      <c r="F32" s="55" t="str">
        <f t="shared" si="0"/>
        <v/>
      </c>
      <c r="G32" s="55" t="str">
        <f t="shared" si="1"/>
        <v/>
      </c>
      <c r="H32" s="76" t="str">
        <f t="shared" si="4"/>
        <v/>
      </c>
      <c r="I32" s="167" t="str">
        <f t="shared" si="5"/>
        <v/>
      </c>
      <c r="K32" t="s">
        <v>49</v>
      </c>
      <c r="M32" t="e">
        <f t="shared" si="2"/>
        <v>#VALUE!</v>
      </c>
      <c r="N32" t="str">
        <f t="shared" si="3"/>
        <v/>
      </c>
    </row>
    <row r="33" spans="2:14">
      <c r="B33" s="107">
        <v>21</v>
      </c>
      <c r="C33" s="163"/>
      <c r="D33" s="164"/>
      <c r="E33" s="164"/>
      <c r="F33" s="55" t="str">
        <f t="shared" si="0"/>
        <v/>
      </c>
      <c r="G33" s="55" t="str">
        <f t="shared" si="1"/>
        <v/>
      </c>
      <c r="H33" s="76" t="str">
        <f t="shared" si="4"/>
        <v/>
      </c>
      <c r="I33" s="167" t="str">
        <f t="shared" si="5"/>
        <v/>
      </c>
      <c r="K33" t="s">
        <v>49</v>
      </c>
      <c r="M33" t="e">
        <f t="shared" si="2"/>
        <v>#VALUE!</v>
      </c>
      <c r="N33" t="str">
        <f t="shared" si="3"/>
        <v/>
      </c>
    </row>
    <row r="34" spans="2:14">
      <c r="B34" s="107">
        <v>22</v>
      </c>
      <c r="C34" s="163"/>
      <c r="D34" s="164"/>
      <c r="E34" s="164"/>
      <c r="F34" s="55" t="str">
        <f t="shared" si="0"/>
        <v/>
      </c>
      <c r="G34" s="55" t="str">
        <f t="shared" si="1"/>
        <v/>
      </c>
      <c r="H34" s="76" t="str">
        <f t="shared" si="4"/>
        <v/>
      </c>
      <c r="I34" s="167" t="str">
        <f t="shared" si="5"/>
        <v/>
      </c>
      <c r="K34" t="s">
        <v>49</v>
      </c>
      <c r="M34" t="e">
        <f t="shared" si="2"/>
        <v>#VALUE!</v>
      </c>
      <c r="N34" t="str">
        <f t="shared" si="3"/>
        <v/>
      </c>
    </row>
    <row r="35" spans="2:14">
      <c r="B35" s="107">
        <v>23</v>
      </c>
      <c r="C35" s="163"/>
      <c r="D35" s="164"/>
      <c r="E35" s="164"/>
      <c r="F35" s="55" t="str">
        <f t="shared" si="0"/>
        <v/>
      </c>
      <c r="G35" s="55" t="str">
        <f t="shared" si="1"/>
        <v/>
      </c>
      <c r="H35" s="76" t="str">
        <f t="shared" si="4"/>
        <v/>
      </c>
      <c r="I35" s="167" t="str">
        <f t="shared" si="5"/>
        <v/>
      </c>
      <c r="K35" t="s">
        <v>49</v>
      </c>
      <c r="M35" t="e">
        <f t="shared" si="2"/>
        <v>#VALUE!</v>
      </c>
      <c r="N35" t="str">
        <f t="shared" si="3"/>
        <v/>
      </c>
    </row>
    <row r="36" spans="2:14">
      <c r="B36" s="107">
        <v>24</v>
      </c>
      <c r="C36" s="163"/>
      <c r="D36" s="164"/>
      <c r="E36" s="164"/>
      <c r="F36" s="55" t="str">
        <f t="shared" si="0"/>
        <v/>
      </c>
      <c r="G36" s="55" t="str">
        <f t="shared" si="1"/>
        <v/>
      </c>
      <c r="H36" s="76" t="str">
        <f t="shared" si="4"/>
        <v/>
      </c>
      <c r="I36" s="167" t="str">
        <f t="shared" si="5"/>
        <v/>
      </c>
      <c r="K36" t="s">
        <v>49</v>
      </c>
      <c r="M36" t="e">
        <f t="shared" si="2"/>
        <v>#VALUE!</v>
      </c>
      <c r="N36" t="str">
        <f t="shared" si="3"/>
        <v/>
      </c>
    </row>
    <row r="37" spans="2:14" ht="14.25" thickBot="1">
      <c r="B37" s="108">
        <v>25</v>
      </c>
      <c r="C37" s="161"/>
      <c r="D37" s="162"/>
      <c r="E37" s="162"/>
      <c r="F37" s="63" t="str">
        <f t="shared" si="0"/>
        <v/>
      </c>
      <c r="G37" s="63" t="str">
        <f t="shared" si="1"/>
        <v/>
      </c>
      <c r="H37" s="77" t="str">
        <f t="shared" si="4"/>
        <v/>
      </c>
      <c r="I37" s="16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217</v>
      </c>
      <c r="O2" t="s">
        <v>219</v>
      </c>
    </row>
    <row r="3" spans="2:18" ht="14.25" thickBot="1">
      <c r="B3" s="160" t="s">
        <v>34</v>
      </c>
      <c r="C3" s="115" t="s">
        <v>206</v>
      </c>
      <c r="D3" s="115" t="s">
        <v>212</v>
      </c>
      <c r="E3" s="116" t="s">
        <v>213</v>
      </c>
      <c r="F3" s="203" t="s">
        <v>208</v>
      </c>
      <c r="G3" s="200" t="s">
        <v>222</v>
      </c>
      <c r="H3" s="54"/>
      <c r="I3" s="54"/>
      <c r="J3" s="54"/>
      <c r="K3" s="54"/>
      <c r="L3" s="54"/>
      <c r="M3" s="54"/>
      <c r="O3" s="160" t="s">
        <v>34</v>
      </c>
      <c r="P3" s="199" t="s">
        <v>202</v>
      </c>
      <c r="Q3" s="199" t="s">
        <v>216</v>
      </c>
      <c r="R3" s="200" t="s">
        <v>208</v>
      </c>
    </row>
    <row r="4" spans="2:18" ht="14.25" hidden="1" thickTop="1">
      <c r="B4" s="191">
        <v>0</v>
      </c>
      <c r="C4" s="192" t="s">
        <v>190</v>
      </c>
      <c r="D4" s="192"/>
      <c r="E4" s="193"/>
      <c r="F4" s="204"/>
      <c r="G4" s="205"/>
      <c r="H4" s="54"/>
      <c r="I4" s="54"/>
      <c r="J4" s="54"/>
      <c r="K4" s="54"/>
      <c r="L4" s="54"/>
      <c r="M4" s="54"/>
      <c r="O4" s="201">
        <v>0</v>
      </c>
      <c r="P4" s="198" t="s">
        <v>190</v>
      </c>
      <c r="Q4" s="198" t="s">
        <v>190</v>
      </c>
      <c r="R4" s="155"/>
    </row>
    <row r="5" spans="2:18" ht="14.25" thickTop="1">
      <c r="B5" s="194">
        <v>1</v>
      </c>
      <c r="C5" s="164"/>
      <c r="D5" s="26"/>
      <c r="E5" s="76" t="str">
        <f>IF($C5&lt;&gt;"","ALERT_" &amp; D5 &amp; "_ID_"&amp;UPPER(Matrix!$D$6) &amp; "_" &amp; $C5,"")</f>
        <v/>
      </c>
      <c r="F5" s="128"/>
      <c r="G5" s="76" t="str">
        <f>IF(E5&lt;&gt;"",LEN(E5),"")</f>
        <v/>
      </c>
      <c r="O5" s="194">
        <v>1</v>
      </c>
      <c r="P5" s="164"/>
      <c r="Q5" s="164"/>
      <c r="R5" s="129"/>
    </row>
    <row r="6" spans="2:18">
      <c r="B6" s="194">
        <v>2</v>
      </c>
      <c r="C6" s="164"/>
      <c r="D6" s="26"/>
      <c r="E6" s="76" t="str">
        <f>IF($C6&lt;&gt;"","ALERT_" &amp; D6 &amp; "_ID_"&amp;UPPER(Matrix!$D$6) &amp; "_" &amp; $C6,"")</f>
        <v/>
      </c>
      <c r="F6" s="128"/>
      <c r="G6" s="76" t="str">
        <f t="shared" ref="G6:G29" si="0">IF(E6&lt;&gt;"",LEN(E6),"")</f>
        <v/>
      </c>
      <c r="O6" s="194">
        <v>2</v>
      </c>
      <c r="P6" s="164"/>
      <c r="Q6" s="164"/>
      <c r="R6" s="129"/>
    </row>
    <row r="7" spans="2:18">
      <c r="B7" s="194">
        <v>3</v>
      </c>
      <c r="C7" s="164"/>
      <c r="D7" s="26"/>
      <c r="E7" s="76" t="str">
        <f>IF($C7&lt;&gt;"","ALERT_" &amp; D7 &amp; "_ID_"&amp;UPPER(Matrix!$D$6) &amp; "_" &amp; $C7,"")</f>
        <v/>
      </c>
      <c r="F7" s="128"/>
      <c r="G7" s="76" t="str">
        <f t="shared" si="0"/>
        <v/>
      </c>
      <c r="O7" s="194">
        <v>3</v>
      </c>
      <c r="P7" s="164"/>
      <c r="Q7" s="164"/>
      <c r="R7" s="129"/>
    </row>
    <row r="8" spans="2:18">
      <c r="B8" s="194">
        <v>4</v>
      </c>
      <c r="C8" s="164"/>
      <c r="D8" s="26"/>
      <c r="E8" s="76" t="str">
        <f>IF($C8&lt;&gt;"","ALERT_" &amp; D8 &amp; "_ID_"&amp;UPPER(Matrix!$D$6) &amp; "_" &amp; $C8,"")</f>
        <v/>
      </c>
      <c r="F8" s="128"/>
      <c r="G8" s="76" t="str">
        <f t="shared" si="0"/>
        <v/>
      </c>
      <c r="O8" s="194">
        <v>4</v>
      </c>
      <c r="P8" s="164"/>
      <c r="Q8" s="164"/>
      <c r="R8" s="129"/>
    </row>
    <row r="9" spans="2:18">
      <c r="B9" s="194">
        <v>5</v>
      </c>
      <c r="C9" s="164"/>
      <c r="D9" s="26"/>
      <c r="E9" s="76" t="str">
        <f>IF($C9&lt;&gt;"","ALERT_" &amp; D9 &amp; "_ID_"&amp;UPPER(Matrix!$D$6) &amp; "_" &amp; $C9,"")</f>
        <v/>
      </c>
      <c r="F9" s="128"/>
      <c r="G9" s="76" t="str">
        <f t="shared" si="0"/>
        <v/>
      </c>
      <c r="O9" s="194">
        <v>5</v>
      </c>
      <c r="P9" s="164"/>
      <c r="Q9" s="164"/>
      <c r="R9" s="129"/>
    </row>
    <row r="10" spans="2:18">
      <c r="B10" s="194">
        <v>6</v>
      </c>
      <c r="C10" s="164"/>
      <c r="D10" s="26"/>
      <c r="E10" s="76" t="str">
        <f>IF($C10&lt;&gt;"","ALERT_" &amp; D10 &amp; "_ID_"&amp;UPPER(Matrix!$D$6) &amp; "_" &amp; $C10,"")</f>
        <v/>
      </c>
      <c r="F10" s="128"/>
      <c r="G10" s="76" t="str">
        <f t="shared" si="0"/>
        <v/>
      </c>
      <c r="O10" s="194">
        <v>6</v>
      </c>
      <c r="P10" s="164"/>
      <c r="Q10" s="164"/>
      <c r="R10" s="129"/>
    </row>
    <row r="11" spans="2:18">
      <c r="B11" s="194">
        <v>7</v>
      </c>
      <c r="C11" s="164"/>
      <c r="D11" s="26"/>
      <c r="E11" s="76" t="str">
        <f>IF($C11&lt;&gt;"","ALERT_" &amp; D11 &amp; "_ID_"&amp;UPPER(Matrix!$D$6) &amp; "_" &amp; $C11,"")</f>
        <v/>
      </c>
      <c r="F11" s="128"/>
      <c r="G11" s="76" t="str">
        <f t="shared" si="0"/>
        <v/>
      </c>
      <c r="O11" s="194">
        <v>7</v>
      </c>
      <c r="P11" s="164"/>
      <c r="Q11" s="164"/>
      <c r="R11" s="129"/>
    </row>
    <row r="12" spans="2:18">
      <c r="B12" s="194">
        <v>8</v>
      </c>
      <c r="C12" s="164"/>
      <c r="D12" s="26"/>
      <c r="E12" s="76" t="str">
        <f>IF($C12&lt;&gt;"","ALERT_" &amp; D12 &amp; "_ID_"&amp;UPPER(Matrix!$D$6) &amp; "_" &amp; $C12,"")</f>
        <v/>
      </c>
      <c r="F12" s="128"/>
      <c r="G12" s="76" t="str">
        <f t="shared" si="0"/>
        <v/>
      </c>
      <c r="O12" s="194">
        <v>8</v>
      </c>
      <c r="P12" s="164"/>
      <c r="Q12" s="164"/>
      <c r="R12" s="129"/>
    </row>
    <row r="13" spans="2:18">
      <c r="B13" s="194">
        <v>9</v>
      </c>
      <c r="C13" s="164"/>
      <c r="D13" s="26"/>
      <c r="E13" s="76" t="str">
        <f>IF($C13&lt;&gt;"","ALERT_" &amp; D13 &amp; "_ID_"&amp;UPPER(Matrix!$D$6) &amp; "_" &amp; $C13,"")</f>
        <v/>
      </c>
      <c r="F13" s="128"/>
      <c r="G13" s="76" t="str">
        <f t="shared" si="0"/>
        <v/>
      </c>
      <c r="O13" s="194">
        <v>9</v>
      </c>
      <c r="P13" s="164"/>
      <c r="Q13" s="164"/>
      <c r="R13" s="129"/>
    </row>
    <row r="14" spans="2:18">
      <c r="B14" s="194">
        <v>10</v>
      </c>
      <c r="C14" s="164"/>
      <c r="D14" s="26"/>
      <c r="E14" s="76" t="str">
        <f>IF($C14&lt;&gt;"","ALERT_" &amp; D14 &amp; "_ID_"&amp;UPPER(Matrix!$D$6) &amp; "_" &amp; $C14,"")</f>
        <v/>
      </c>
      <c r="F14" s="128"/>
      <c r="G14" s="76" t="str">
        <f t="shared" si="0"/>
        <v/>
      </c>
      <c r="O14" s="194">
        <v>10</v>
      </c>
      <c r="P14" s="164"/>
      <c r="Q14" s="164"/>
      <c r="R14" s="129"/>
    </row>
    <row r="15" spans="2:18">
      <c r="B15" s="194">
        <v>11</v>
      </c>
      <c r="C15" s="164"/>
      <c r="D15" s="26"/>
      <c r="E15" s="76" t="str">
        <f>IF($C15&lt;&gt;"","ALERT_" &amp; D15 &amp; "_ID_"&amp;UPPER(Matrix!$D$6) &amp; "_" &amp; $C15,"")</f>
        <v/>
      </c>
      <c r="F15" s="128"/>
      <c r="G15" s="76" t="str">
        <f t="shared" si="0"/>
        <v/>
      </c>
      <c r="O15" s="194">
        <v>11</v>
      </c>
      <c r="P15" s="164"/>
      <c r="Q15" s="164"/>
      <c r="R15" s="129"/>
    </row>
    <row r="16" spans="2:18">
      <c r="B16" s="194">
        <v>12</v>
      </c>
      <c r="C16" s="164"/>
      <c r="D16" s="26"/>
      <c r="E16" s="76" t="str">
        <f>IF($C16&lt;&gt;"","ALERT_" &amp; D16 &amp; "_ID_"&amp;UPPER(Matrix!$D$6) &amp; "_" &amp; $C16,"")</f>
        <v/>
      </c>
      <c r="F16" s="128"/>
      <c r="G16" s="76" t="str">
        <f t="shared" si="0"/>
        <v/>
      </c>
      <c r="O16" s="194">
        <v>12</v>
      </c>
      <c r="P16" s="164"/>
      <c r="Q16" s="164"/>
      <c r="R16" s="129"/>
    </row>
    <row r="17" spans="2:18">
      <c r="B17" s="194">
        <v>13</v>
      </c>
      <c r="C17" s="164"/>
      <c r="D17" s="26"/>
      <c r="E17" s="76" t="str">
        <f>IF($C17&lt;&gt;"","ALERT_" &amp; D17 &amp; "_ID_"&amp;UPPER(Matrix!$D$6) &amp; "_" &amp; $C17,"")</f>
        <v/>
      </c>
      <c r="F17" s="128"/>
      <c r="G17" s="76" t="str">
        <f t="shared" si="0"/>
        <v/>
      </c>
      <c r="O17" s="194">
        <v>13</v>
      </c>
      <c r="P17" s="164"/>
      <c r="Q17" s="164"/>
      <c r="R17" s="129"/>
    </row>
    <row r="18" spans="2:18">
      <c r="B18" s="194">
        <v>14</v>
      </c>
      <c r="C18" s="164"/>
      <c r="D18" s="26"/>
      <c r="E18" s="76" t="str">
        <f>IF($C18&lt;&gt;"","ALERT_" &amp; D18 &amp; "_ID_"&amp;UPPER(Matrix!$D$6) &amp; "_" &amp; $C18,"")</f>
        <v/>
      </c>
      <c r="F18" s="128"/>
      <c r="G18" s="76" t="str">
        <f t="shared" si="0"/>
        <v/>
      </c>
      <c r="O18" s="194">
        <v>14</v>
      </c>
      <c r="P18" s="164"/>
      <c r="Q18" s="164"/>
      <c r="R18" s="129"/>
    </row>
    <row r="19" spans="2:18">
      <c r="B19" s="194">
        <v>15</v>
      </c>
      <c r="C19" s="164"/>
      <c r="D19" s="26"/>
      <c r="E19" s="76" t="str">
        <f>IF($C19&lt;&gt;"","ALERT_" &amp; D19 &amp; "_ID_"&amp;UPPER(Matrix!$D$6) &amp; "_" &amp; $C19,"")</f>
        <v/>
      </c>
      <c r="F19" s="128"/>
      <c r="G19" s="76" t="str">
        <f t="shared" si="0"/>
        <v/>
      </c>
      <c r="O19" s="194">
        <v>15</v>
      </c>
      <c r="P19" s="164"/>
      <c r="Q19" s="164"/>
      <c r="R19" s="129"/>
    </row>
    <row r="20" spans="2:18">
      <c r="B20" s="194">
        <v>16</v>
      </c>
      <c r="C20" s="164"/>
      <c r="D20" s="26"/>
      <c r="E20" s="76" t="str">
        <f>IF($C20&lt;&gt;"","ALERT_" &amp; D20 &amp; "_ID_"&amp;UPPER(Matrix!$D$6) &amp; "_" &amp; $C20,"")</f>
        <v/>
      </c>
      <c r="F20" s="128"/>
      <c r="G20" s="76" t="str">
        <f t="shared" si="0"/>
        <v/>
      </c>
      <c r="O20" s="194">
        <v>16</v>
      </c>
      <c r="P20" s="164"/>
      <c r="Q20" s="164"/>
      <c r="R20" s="129"/>
    </row>
    <row r="21" spans="2:18">
      <c r="B21" s="194">
        <v>17</v>
      </c>
      <c r="C21" s="164"/>
      <c r="D21" s="26"/>
      <c r="E21" s="76" t="str">
        <f>IF($C21&lt;&gt;"","ALERT_" &amp; D21 &amp; "_ID_"&amp;UPPER(Matrix!$D$6) &amp; "_" &amp; $C21,"")</f>
        <v/>
      </c>
      <c r="F21" s="128"/>
      <c r="G21" s="76" t="str">
        <f t="shared" si="0"/>
        <v/>
      </c>
      <c r="O21" s="194">
        <v>17</v>
      </c>
      <c r="P21" s="164"/>
      <c r="Q21" s="164"/>
      <c r="R21" s="129"/>
    </row>
    <row r="22" spans="2:18">
      <c r="B22" s="194">
        <v>18</v>
      </c>
      <c r="C22" s="164"/>
      <c r="D22" s="26"/>
      <c r="E22" s="76" t="str">
        <f>IF($C22&lt;&gt;"","ALERT_" &amp; D22 &amp; "_ID_"&amp;UPPER(Matrix!$D$6) &amp; "_" &amp; $C22,"")</f>
        <v/>
      </c>
      <c r="F22" s="128"/>
      <c r="G22" s="76" t="str">
        <f t="shared" si="0"/>
        <v/>
      </c>
      <c r="O22" s="194">
        <v>18</v>
      </c>
      <c r="P22" s="164"/>
      <c r="Q22" s="164"/>
      <c r="R22" s="129"/>
    </row>
    <row r="23" spans="2:18">
      <c r="B23" s="194">
        <v>19</v>
      </c>
      <c r="C23" s="164"/>
      <c r="D23" s="26"/>
      <c r="E23" s="76" t="str">
        <f>IF($C23&lt;&gt;"","ALERT_" &amp; D23 &amp; "_ID_"&amp;UPPER(Matrix!$D$6) &amp; "_" &amp; $C23,"")</f>
        <v/>
      </c>
      <c r="F23" s="128"/>
      <c r="G23" s="76" t="str">
        <f t="shared" si="0"/>
        <v/>
      </c>
      <c r="O23" s="194">
        <v>19</v>
      </c>
      <c r="P23" s="164"/>
      <c r="Q23" s="164"/>
      <c r="R23" s="129"/>
    </row>
    <row r="24" spans="2:18">
      <c r="B24" s="194">
        <v>20</v>
      </c>
      <c r="C24" s="164"/>
      <c r="D24" s="26"/>
      <c r="E24" s="76" t="str">
        <f>IF($C24&lt;&gt;"","ALERT_" &amp; D24 &amp; "_ID_"&amp;UPPER(Matrix!$D$6) &amp; "_" &amp; $C24,"")</f>
        <v/>
      </c>
      <c r="F24" s="128"/>
      <c r="G24" s="76" t="str">
        <f t="shared" si="0"/>
        <v/>
      </c>
      <c r="O24" s="194">
        <v>20</v>
      </c>
      <c r="P24" s="164"/>
      <c r="Q24" s="164"/>
      <c r="R24" s="129"/>
    </row>
    <row r="25" spans="2:18">
      <c r="B25" s="194">
        <v>21</v>
      </c>
      <c r="C25" s="164"/>
      <c r="D25" s="26"/>
      <c r="E25" s="76" t="str">
        <f>IF($C25&lt;&gt;"","ALERT_" &amp; D25 &amp; "_ID_"&amp;UPPER(Matrix!$D$6) &amp; "_" &amp; $C25,"")</f>
        <v/>
      </c>
      <c r="F25" s="128"/>
      <c r="G25" s="76" t="str">
        <f t="shared" si="0"/>
        <v/>
      </c>
      <c r="O25" s="194">
        <v>21</v>
      </c>
      <c r="P25" s="164"/>
      <c r="Q25" s="164"/>
      <c r="R25" s="129"/>
    </row>
    <row r="26" spans="2:18">
      <c r="B26" s="194">
        <v>22</v>
      </c>
      <c r="C26" s="164"/>
      <c r="D26" s="26"/>
      <c r="E26" s="76" t="str">
        <f>IF($C26&lt;&gt;"","ALERT_" &amp; D26 &amp; "_ID_"&amp;UPPER(Matrix!$D$6) &amp; "_" &amp; $C26,"")</f>
        <v/>
      </c>
      <c r="F26" s="128"/>
      <c r="G26" s="76" t="str">
        <f t="shared" si="0"/>
        <v/>
      </c>
      <c r="O26" s="194">
        <v>22</v>
      </c>
      <c r="P26" s="164"/>
      <c r="Q26" s="164"/>
      <c r="R26" s="129"/>
    </row>
    <row r="27" spans="2:18">
      <c r="B27" s="194">
        <v>23</v>
      </c>
      <c r="C27" s="164"/>
      <c r="D27" s="26"/>
      <c r="E27" s="76" t="str">
        <f>IF($C27&lt;&gt;"","ALERT_" &amp; D27 &amp; "_ID_"&amp;UPPER(Matrix!$D$6) &amp; "_" &amp; $C27,"")</f>
        <v/>
      </c>
      <c r="F27" s="128"/>
      <c r="G27" s="76" t="str">
        <f t="shared" si="0"/>
        <v/>
      </c>
      <c r="O27" s="194">
        <v>23</v>
      </c>
      <c r="P27" s="164"/>
      <c r="Q27" s="164"/>
      <c r="R27" s="129"/>
    </row>
    <row r="28" spans="2:18">
      <c r="B28" s="194">
        <v>24</v>
      </c>
      <c r="C28" s="164"/>
      <c r="D28" s="26"/>
      <c r="E28" s="76" t="str">
        <f>IF($C28&lt;&gt;"","ALERT_" &amp; D28 &amp; "_ID_"&amp;UPPER(Matrix!$D$6) &amp; "_" &amp; $C28,"")</f>
        <v/>
      </c>
      <c r="F28" s="128"/>
      <c r="G28" s="76" t="str">
        <f t="shared" si="0"/>
        <v/>
      </c>
      <c r="O28" s="194">
        <v>24</v>
      </c>
      <c r="P28" s="164"/>
      <c r="Q28" s="164"/>
      <c r="R28" s="129"/>
    </row>
    <row r="29" spans="2:18" ht="14.25" thickBot="1">
      <c r="B29" s="195">
        <v>25</v>
      </c>
      <c r="C29" s="162"/>
      <c r="D29" s="62"/>
      <c r="E29" s="77" t="str">
        <f>IF($C29&lt;&gt;"","ALERT_" &amp; D29 &amp; "_ID_"&amp;UPPER(Matrix!$D$6) &amp; "_" &amp; $C29,"")</f>
        <v/>
      </c>
      <c r="F29" s="130"/>
      <c r="G29" s="77" t="str">
        <f t="shared" si="0"/>
        <v/>
      </c>
      <c r="O29" s="195">
        <v>25</v>
      </c>
      <c r="P29" s="162"/>
      <c r="Q29" s="162"/>
      <c r="R29" s="131"/>
    </row>
    <row r="32" spans="2:18" ht="14.25" thickBot="1">
      <c r="B32" t="s">
        <v>218</v>
      </c>
      <c r="O32" t="s">
        <v>215</v>
      </c>
    </row>
    <row r="33" spans="2:18" ht="14.25" thickBot="1">
      <c r="B33" s="160" t="s">
        <v>34</v>
      </c>
      <c r="C33" s="115" t="s">
        <v>206</v>
      </c>
      <c r="D33" s="115" t="s">
        <v>211</v>
      </c>
      <c r="E33" s="116" t="s">
        <v>209</v>
      </c>
      <c r="F33" s="200" t="s">
        <v>210</v>
      </c>
      <c r="G33" s="200" t="s">
        <v>222</v>
      </c>
      <c r="O33" s="160" t="s">
        <v>34</v>
      </c>
      <c r="P33" s="199" t="s">
        <v>203</v>
      </c>
      <c r="Q33" s="199" t="s">
        <v>220</v>
      </c>
      <c r="R33" s="200" t="s">
        <v>207</v>
      </c>
    </row>
    <row r="34" spans="2:18" ht="14.25" hidden="1" thickTop="1">
      <c r="B34" s="191">
        <v>0</v>
      </c>
      <c r="C34" s="192" t="s">
        <v>190</v>
      </c>
      <c r="D34" s="192"/>
      <c r="E34" s="193"/>
      <c r="F34" s="202" t="s">
        <v>190</v>
      </c>
      <c r="G34" s="205"/>
      <c r="O34" s="201">
        <v>0</v>
      </c>
      <c r="P34" s="198" t="s">
        <v>190</v>
      </c>
      <c r="Q34" s="198" t="s">
        <v>190</v>
      </c>
      <c r="R34" s="202" t="s">
        <v>190</v>
      </c>
    </row>
    <row r="35" spans="2:18" ht="14.25" thickTop="1">
      <c r="B35" s="194">
        <v>1</v>
      </c>
      <c r="C35" s="164"/>
      <c r="D35" s="26"/>
      <c r="E35" s="76" t="str">
        <f>IF($C35&lt;&gt;"","ALERT_" &amp; UPPER(Matrix!$D$6) &amp; "_" &amp; $C35,"")</f>
        <v/>
      </c>
      <c r="F35" s="196"/>
      <c r="G35" s="76" t="str">
        <f>IF(E35&lt;&gt;"",LEN(E35),"")</f>
        <v/>
      </c>
      <c r="O35" s="194">
        <v>1</v>
      </c>
      <c r="P35" s="164"/>
      <c r="Q35" s="164"/>
      <c r="R35" s="196"/>
    </row>
    <row r="36" spans="2:18">
      <c r="B36" s="194">
        <v>2</v>
      </c>
      <c r="C36" s="164"/>
      <c r="D36" s="26"/>
      <c r="E36" s="76" t="str">
        <f>IF($C36&lt;&gt;"","ALERT_" &amp; UPPER(Matrix!$D$6) &amp; "_" &amp; $C36,"")</f>
        <v/>
      </c>
      <c r="F36" s="196"/>
      <c r="G36" s="76" t="str">
        <f>IF(E36&lt;&gt;"",LEN(E36),"")</f>
        <v/>
      </c>
      <c r="O36" s="194">
        <v>2</v>
      </c>
      <c r="P36" s="164"/>
      <c r="Q36" s="164"/>
      <c r="R36" s="196"/>
    </row>
    <row r="37" spans="2:18">
      <c r="B37" s="194">
        <v>3</v>
      </c>
      <c r="C37" s="164"/>
      <c r="D37" s="26"/>
      <c r="E37" s="76" t="str">
        <f>IF($C37&lt;&gt;"","ALERT_" &amp; UPPER(Matrix!$D$6) &amp; "_" &amp; $C37,"")</f>
        <v/>
      </c>
      <c r="F37" s="196"/>
      <c r="G37" s="76" t="str">
        <f>IF(E37&lt;&gt;"",LEN(E37),"")</f>
        <v/>
      </c>
      <c r="O37" s="194">
        <v>3</v>
      </c>
      <c r="P37" s="164"/>
      <c r="Q37" s="164"/>
      <c r="R37" s="196"/>
    </row>
    <row r="38" spans="2:18">
      <c r="B38" s="194">
        <v>4</v>
      </c>
      <c r="C38" s="164"/>
      <c r="D38" s="26"/>
      <c r="E38" s="76" t="str">
        <f>IF($C38&lt;&gt;"","ALERT_" &amp; UPPER(Matrix!$D$6) &amp; "_" &amp; $C38,"")</f>
        <v/>
      </c>
      <c r="F38" s="196"/>
      <c r="G38" s="76" t="str">
        <f t="shared" ref="G38:G59" si="1">IF(E38&lt;&gt;"",LEN(E38),"")</f>
        <v/>
      </c>
      <c r="O38" s="194">
        <v>4</v>
      </c>
      <c r="P38" s="164"/>
      <c r="Q38" s="164"/>
      <c r="R38" s="196"/>
    </row>
    <row r="39" spans="2:18">
      <c r="B39" s="194">
        <v>5</v>
      </c>
      <c r="C39" s="164"/>
      <c r="D39" s="26"/>
      <c r="E39" s="76" t="str">
        <f>IF($C39&lt;&gt;"","ALERT_" &amp; UPPER(Matrix!$D$6) &amp; "_" &amp; $C39,"")</f>
        <v/>
      </c>
      <c r="F39" s="196"/>
      <c r="G39" s="76" t="str">
        <f t="shared" si="1"/>
        <v/>
      </c>
      <c r="O39" s="194">
        <v>5</v>
      </c>
      <c r="P39" s="164"/>
      <c r="Q39" s="164"/>
      <c r="R39" s="196"/>
    </row>
    <row r="40" spans="2:18">
      <c r="B40" s="194">
        <v>6</v>
      </c>
      <c r="C40" s="164"/>
      <c r="D40" s="26"/>
      <c r="E40" s="76" t="str">
        <f>IF($C40&lt;&gt;"","ALERT_" &amp; UPPER(Matrix!$D$6) &amp; "_" &amp; $C40,"")</f>
        <v/>
      </c>
      <c r="F40" s="196"/>
      <c r="G40" s="76" t="str">
        <f t="shared" si="1"/>
        <v/>
      </c>
      <c r="O40" s="194">
        <v>6</v>
      </c>
      <c r="P40" s="164"/>
      <c r="Q40" s="164"/>
      <c r="R40" s="196"/>
    </row>
    <row r="41" spans="2:18">
      <c r="B41" s="194">
        <v>7</v>
      </c>
      <c r="C41" s="164"/>
      <c r="D41" s="26"/>
      <c r="E41" s="76" t="str">
        <f>IF($C41&lt;&gt;"","ALERT_" &amp; UPPER(Matrix!$D$6) &amp; "_" &amp; $C41,"")</f>
        <v/>
      </c>
      <c r="F41" s="196"/>
      <c r="G41" s="76" t="str">
        <f t="shared" si="1"/>
        <v/>
      </c>
      <c r="O41" s="194">
        <v>7</v>
      </c>
      <c r="P41" s="164"/>
      <c r="Q41" s="164"/>
      <c r="R41" s="196"/>
    </row>
    <row r="42" spans="2:18">
      <c r="B42" s="194">
        <v>8</v>
      </c>
      <c r="C42" s="164"/>
      <c r="D42" s="26"/>
      <c r="E42" s="76" t="str">
        <f>IF($C42&lt;&gt;"","ALERT_" &amp; UPPER(Matrix!$D$6) &amp; "_" &amp; $C42,"")</f>
        <v/>
      </c>
      <c r="F42" s="196"/>
      <c r="G42" s="76" t="str">
        <f t="shared" si="1"/>
        <v/>
      </c>
      <c r="O42" s="194">
        <v>8</v>
      </c>
      <c r="P42" s="164"/>
      <c r="Q42" s="164"/>
      <c r="R42" s="196"/>
    </row>
    <row r="43" spans="2:18">
      <c r="B43" s="194">
        <v>9</v>
      </c>
      <c r="C43" s="164"/>
      <c r="D43" s="26"/>
      <c r="E43" s="76" t="str">
        <f>IF($C43&lt;&gt;"","ALERT_" &amp; UPPER(Matrix!$D$6) &amp; "_" &amp; $C43,"")</f>
        <v/>
      </c>
      <c r="F43" s="196"/>
      <c r="G43" s="76" t="str">
        <f t="shared" si="1"/>
        <v/>
      </c>
      <c r="O43" s="194">
        <v>9</v>
      </c>
      <c r="P43" s="164"/>
      <c r="Q43" s="164"/>
      <c r="R43" s="196"/>
    </row>
    <row r="44" spans="2:18">
      <c r="B44" s="194">
        <v>10</v>
      </c>
      <c r="C44" s="164"/>
      <c r="D44" s="26"/>
      <c r="E44" s="76" t="str">
        <f>IF($C44&lt;&gt;"","ALERT_" &amp; UPPER(Matrix!$D$6) &amp; "_" &amp; $C44,"")</f>
        <v/>
      </c>
      <c r="F44" s="196"/>
      <c r="G44" s="76" t="str">
        <f t="shared" si="1"/>
        <v/>
      </c>
      <c r="O44" s="194">
        <v>10</v>
      </c>
      <c r="P44" s="164"/>
      <c r="Q44" s="164"/>
      <c r="R44" s="196"/>
    </row>
    <row r="45" spans="2:18">
      <c r="B45" s="194">
        <v>11</v>
      </c>
      <c r="C45" s="164"/>
      <c r="D45" s="26"/>
      <c r="E45" s="76" t="str">
        <f>IF($C45&lt;&gt;"","ALERT_" &amp; UPPER(Matrix!$D$6) &amp; "_" &amp; $C45,"")</f>
        <v/>
      </c>
      <c r="F45" s="196"/>
      <c r="G45" s="76" t="str">
        <f t="shared" si="1"/>
        <v/>
      </c>
      <c r="O45" s="194">
        <v>11</v>
      </c>
      <c r="P45" s="164"/>
      <c r="Q45" s="164"/>
      <c r="R45" s="196"/>
    </row>
    <row r="46" spans="2:18">
      <c r="B46" s="194">
        <v>12</v>
      </c>
      <c r="C46" s="164"/>
      <c r="D46" s="26"/>
      <c r="E46" s="76" t="str">
        <f>IF($C46&lt;&gt;"","ALERT_" &amp; UPPER(Matrix!$D$6) &amp; "_" &amp; $C46,"")</f>
        <v/>
      </c>
      <c r="F46" s="196"/>
      <c r="G46" s="76" t="str">
        <f t="shared" si="1"/>
        <v/>
      </c>
      <c r="O46" s="194">
        <v>12</v>
      </c>
      <c r="P46" s="164"/>
      <c r="Q46" s="164"/>
      <c r="R46" s="196"/>
    </row>
    <row r="47" spans="2:18">
      <c r="B47" s="194">
        <v>13</v>
      </c>
      <c r="C47" s="164"/>
      <c r="D47" s="26"/>
      <c r="E47" s="76" t="str">
        <f>IF($C47&lt;&gt;"","ALERT_" &amp; UPPER(Matrix!$D$6) &amp; "_" &amp; $C47,"")</f>
        <v/>
      </c>
      <c r="F47" s="196"/>
      <c r="G47" s="76" t="str">
        <f t="shared" si="1"/>
        <v/>
      </c>
      <c r="O47" s="194">
        <v>13</v>
      </c>
      <c r="P47" s="164"/>
      <c r="Q47" s="164"/>
      <c r="R47" s="196"/>
    </row>
    <row r="48" spans="2:18">
      <c r="B48" s="194">
        <v>14</v>
      </c>
      <c r="C48" s="164"/>
      <c r="D48" s="26"/>
      <c r="E48" s="76" t="str">
        <f>IF($C48&lt;&gt;"","ALERT_" &amp; UPPER(Matrix!$D$6) &amp; "_" &amp; $C48,"")</f>
        <v/>
      </c>
      <c r="F48" s="196"/>
      <c r="G48" s="76" t="str">
        <f t="shared" si="1"/>
        <v/>
      </c>
      <c r="O48" s="194">
        <v>14</v>
      </c>
      <c r="P48" s="164"/>
      <c r="Q48" s="164"/>
      <c r="R48" s="196"/>
    </row>
    <row r="49" spans="2:18">
      <c r="B49" s="194">
        <v>15</v>
      </c>
      <c r="C49" s="164"/>
      <c r="D49" s="26"/>
      <c r="E49" s="76" t="str">
        <f>IF($C49&lt;&gt;"","ALERT_" &amp; UPPER(Matrix!$D$6) &amp; "_" &amp; $C49,"")</f>
        <v/>
      </c>
      <c r="F49" s="196"/>
      <c r="G49" s="76" t="str">
        <f t="shared" si="1"/>
        <v/>
      </c>
      <c r="O49" s="194">
        <v>15</v>
      </c>
      <c r="P49" s="164"/>
      <c r="Q49" s="164"/>
      <c r="R49" s="196"/>
    </row>
    <row r="50" spans="2:18">
      <c r="B50" s="194">
        <v>16</v>
      </c>
      <c r="C50" s="164"/>
      <c r="D50" s="26"/>
      <c r="E50" s="76" t="str">
        <f>IF($C50&lt;&gt;"","ALERT_" &amp; UPPER(Matrix!$D$6) &amp; "_" &amp; $C50,"")</f>
        <v/>
      </c>
      <c r="F50" s="196"/>
      <c r="G50" s="76" t="str">
        <f t="shared" si="1"/>
        <v/>
      </c>
      <c r="O50" s="194">
        <v>16</v>
      </c>
      <c r="P50" s="164"/>
      <c r="Q50" s="164"/>
      <c r="R50" s="196"/>
    </row>
    <row r="51" spans="2:18">
      <c r="B51" s="194">
        <v>17</v>
      </c>
      <c r="C51" s="164"/>
      <c r="D51" s="26"/>
      <c r="E51" s="76" t="str">
        <f>IF($C51&lt;&gt;"","ALERT_" &amp; UPPER(Matrix!$D$6) &amp; "_" &amp; $C51,"")</f>
        <v/>
      </c>
      <c r="F51" s="196"/>
      <c r="G51" s="76" t="str">
        <f t="shared" si="1"/>
        <v/>
      </c>
      <c r="O51" s="194">
        <v>17</v>
      </c>
      <c r="P51" s="164"/>
      <c r="Q51" s="164"/>
      <c r="R51" s="196"/>
    </row>
    <row r="52" spans="2:18">
      <c r="B52" s="194">
        <v>18</v>
      </c>
      <c r="C52" s="164"/>
      <c r="D52" s="26"/>
      <c r="E52" s="76" t="str">
        <f>IF($C52&lt;&gt;"","ALERT_" &amp; UPPER(Matrix!$D$6) &amp; "_" &amp; $C52,"")</f>
        <v/>
      </c>
      <c r="F52" s="196"/>
      <c r="G52" s="76" t="str">
        <f t="shared" si="1"/>
        <v/>
      </c>
      <c r="O52" s="194">
        <v>18</v>
      </c>
      <c r="P52" s="164"/>
      <c r="Q52" s="164"/>
      <c r="R52" s="196"/>
    </row>
    <row r="53" spans="2:18">
      <c r="B53" s="194">
        <v>19</v>
      </c>
      <c r="C53" s="164"/>
      <c r="D53" s="26"/>
      <c r="E53" s="76" t="str">
        <f>IF($C53&lt;&gt;"","ALERT_" &amp; UPPER(Matrix!$D$6) &amp; "_" &amp; $C53,"")</f>
        <v/>
      </c>
      <c r="F53" s="196"/>
      <c r="G53" s="76" t="str">
        <f t="shared" si="1"/>
        <v/>
      </c>
      <c r="O53" s="194">
        <v>19</v>
      </c>
      <c r="P53" s="164"/>
      <c r="Q53" s="164"/>
      <c r="R53" s="196"/>
    </row>
    <row r="54" spans="2:18">
      <c r="B54" s="194">
        <v>20</v>
      </c>
      <c r="C54" s="164"/>
      <c r="D54" s="26"/>
      <c r="E54" s="76" t="str">
        <f>IF($C54&lt;&gt;"","ALERT_" &amp; UPPER(Matrix!$D$6) &amp; "_" &amp; $C54,"")</f>
        <v/>
      </c>
      <c r="F54" s="196"/>
      <c r="G54" s="76" t="str">
        <f t="shared" si="1"/>
        <v/>
      </c>
      <c r="O54" s="194">
        <v>20</v>
      </c>
      <c r="P54" s="164"/>
      <c r="Q54" s="164"/>
      <c r="R54" s="196"/>
    </row>
    <row r="55" spans="2:18">
      <c r="B55" s="194">
        <v>21</v>
      </c>
      <c r="C55" s="164"/>
      <c r="D55" s="26"/>
      <c r="E55" s="76" t="str">
        <f>IF($C55&lt;&gt;"","ALERT_" &amp; UPPER(Matrix!$D$6) &amp; "_" &amp; $C55,"")</f>
        <v/>
      </c>
      <c r="F55" s="196"/>
      <c r="G55" s="76" t="str">
        <f t="shared" si="1"/>
        <v/>
      </c>
      <c r="O55" s="194">
        <v>21</v>
      </c>
      <c r="P55" s="164"/>
      <c r="Q55" s="164"/>
      <c r="R55" s="196"/>
    </row>
    <row r="56" spans="2:18">
      <c r="B56" s="194">
        <v>22</v>
      </c>
      <c r="C56" s="164"/>
      <c r="D56" s="26"/>
      <c r="E56" s="76" t="str">
        <f>IF($C56&lt;&gt;"","ALERT_" &amp; UPPER(Matrix!$D$6) &amp; "_" &amp; $C56,"")</f>
        <v/>
      </c>
      <c r="F56" s="196"/>
      <c r="G56" s="76" t="str">
        <f t="shared" si="1"/>
        <v/>
      </c>
      <c r="O56" s="194">
        <v>22</v>
      </c>
      <c r="P56" s="164"/>
      <c r="Q56" s="164"/>
      <c r="R56" s="196"/>
    </row>
    <row r="57" spans="2:18">
      <c r="B57" s="194">
        <v>23</v>
      </c>
      <c r="C57" s="164"/>
      <c r="D57" s="26"/>
      <c r="E57" s="76" t="str">
        <f>IF($C57&lt;&gt;"","ALERT_" &amp; UPPER(Matrix!$D$6) &amp; "_" &amp; $C57,"")</f>
        <v/>
      </c>
      <c r="F57" s="196"/>
      <c r="G57" s="76" t="str">
        <f t="shared" si="1"/>
        <v/>
      </c>
      <c r="O57" s="194">
        <v>23</v>
      </c>
      <c r="P57" s="164"/>
      <c r="Q57" s="164"/>
      <c r="R57" s="196"/>
    </row>
    <row r="58" spans="2:18">
      <c r="B58" s="194">
        <v>24</v>
      </c>
      <c r="C58" s="164"/>
      <c r="D58" s="26"/>
      <c r="E58" s="76" t="str">
        <f>IF($C58&lt;&gt;"","ALERT_" &amp; UPPER(Matrix!$D$6) &amp; "_" &amp; $C58,"")</f>
        <v/>
      </c>
      <c r="F58" s="196"/>
      <c r="G58" s="76" t="str">
        <f t="shared" si="1"/>
        <v/>
      </c>
      <c r="O58" s="194">
        <v>24</v>
      </c>
      <c r="P58" s="164"/>
      <c r="Q58" s="164"/>
      <c r="R58" s="196"/>
    </row>
    <row r="59" spans="2:18" ht="14.25" thickBot="1">
      <c r="B59" s="195">
        <v>25</v>
      </c>
      <c r="C59" s="162"/>
      <c r="D59" s="62"/>
      <c r="E59" s="77" t="str">
        <f>IF($C59&lt;&gt;"","ALERT_" &amp; UPPER(Matrix!$D$6) &amp; "_" &amp; $C59,"")</f>
        <v/>
      </c>
      <c r="F59" s="197"/>
      <c r="G59" s="77" t="str">
        <f t="shared" si="1"/>
        <v/>
      </c>
      <c r="O59" s="195">
        <v>25</v>
      </c>
      <c r="P59" s="162"/>
      <c r="Q59" s="162"/>
      <c r="R59" s="19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N4" sqref="N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35.1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1" t="s">
        <v>106</v>
      </c>
    </row>
    <row r="2" spans="2:21" ht="14.25" thickBot="1">
      <c r="B2" s="109" t="s">
        <v>58</v>
      </c>
      <c r="C2" s="110" t="s">
        <v>128</v>
      </c>
      <c r="D2" s="111" t="s">
        <v>52</v>
      </c>
      <c r="E2" s="112" t="s">
        <v>53</v>
      </c>
      <c r="F2" s="113" t="s">
        <v>23</v>
      </c>
      <c r="G2" s="112" t="s">
        <v>54</v>
      </c>
      <c r="H2" s="113" t="s">
        <v>25</v>
      </c>
      <c r="I2" s="112" t="s">
        <v>55</v>
      </c>
      <c r="J2" s="113" t="s">
        <v>187</v>
      </c>
      <c r="K2" s="112" t="s">
        <v>56</v>
      </c>
      <c r="L2" s="113" t="s">
        <v>26</v>
      </c>
      <c r="M2" s="110" t="s">
        <v>57</v>
      </c>
      <c r="N2" s="113" t="s">
        <v>123</v>
      </c>
      <c r="O2" s="134" t="s">
        <v>83</v>
      </c>
    </row>
    <row r="3" spans="2:21" ht="15" hidden="1" thickTop="1" thickBot="1">
      <c r="B3" s="27"/>
      <c r="C3" s="59" t="s">
        <v>110</v>
      </c>
      <c r="D3" s="125"/>
      <c r="E3" s="13"/>
      <c r="F3" s="15"/>
      <c r="G3" s="13"/>
      <c r="H3" s="15"/>
      <c r="I3" s="13"/>
      <c r="J3" s="15"/>
      <c r="K3" s="13"/>
      <c r="L3" s="15"/>
      <c r="M3" s="60"/>
      <c r="N3" s="121"/>
      <c r="O3" s="135"/>
      <c r="U3" s="105" t="s">
        <v>100</v>
      </c>
    </row>
    <row r="4" spans="2:21" ht="14.25" thickTop="1">
      <c r="B4" s="27" t="s">
        <v>229</v>
      </c>
      <c r="C4" s="59" t="s">
        <v>333</v>
      </c>
      <c r="D4" s="125">
        <v>0</v>
      </c>
      <c r="E4" s="126" t="s">
        <v>133</v>
      </c>
      <c r="F4" s="127" t="s">
        <v>325</v>
      </c>
      <c r="G4" s="126" t="s">
        <v>133</v>
      </c>
      <c r="H4" s="127" t="s">
        <v>135</v>
      </c>
      <c r="I4" s="126" t="s">
        <v>133</v>
      </c>
      <c r="J4" s="127" t="s">
        <v>326</v>
      </c>
      <c r="K4" s="126" t="s">
        <v>133</v>
      </c>
      <c r="L4" s="127" t="s">
        <v>134</v>
      </c>
      <c r="M4" s="60">
        <f ca="1">LEN(N4)</f>
        <v>25</v>
      </c>
      <c r="N4" s="121" t="str">
        <f ca="1">VLOOKUP($B4,Matrix!$H$13:$I$37,2,FALSE)&amp;"_"&amp;C4</f>
        <v>ALERT_REQ_H_CHGCON_NOTRUN</v>
      </c>
      <c r="O4" s="135" t="str">
        <f t="shared" ref="O4:O35" ca="1" si="0">"#define "&amp;N4&amp;REPT(" ",48-M4)&amp;"("&amp;D4&amp;"U)"</f>
        <v>#define ALERT_REQ_H_CHGCON_NOTRUN                       (0U)</v>
      </c>
      <c r="U4" s="105" t="s">
        <v>100</v>
      </c>
    </row>
    <row r="5" spans="2:21">
      <c r="B5" s="27" t="s">
        <v>229</v>
      </c>
      <c r="C5" s="26" t="s">
        <v>334</v>
      </c>
      <c r="D5" s="128">
        <v>1</v>
      </c>
      <c r="E5" s="27" t="s">
        <v>133</v>
      </c>
      <c r="F5" s="129" t="s">
        <v>324</v>
      </c>
      <c r="G5" s="27" t="s">
        <v>133</v>
      </c>
      <c r="H5" s="129" t="s">
        <v>134</v>
      </c>
      <c r="I5" s="27" t="s">
        <v>133</v>
      </c>
      <c r="J5" s="129" t="s">
        <v>316</v>
      </c>
      <c r="K5" s="27" t="s">
        <v>133</v>
      </c>
      <c r="L5" s="129" t="s">
        <v>134</v>
      </c>
      <c r="M5" s="55">
        <f t="shared" ref="M5:M68" ca="1" si="1">LEN(N5)</f>
        <v>25</v>
      </c>
      <c r="N5" s="121" t="str">
        <f ca="1">VLOOKUP($B5,Matrix!$H$13:$I$37,2,FALSE)&amp;"_"&amp;C5</f>
        <v>ALERT_REQ_H_CHGCON_NOTRDY</v>
      </c>
      <c r="O5" s="136" t="str">
        <f t="shared" ca="1" si="0"/>
        <v>#define ALERT_REQ_H_CHGCON_NOTRDY                       (1U)</v>
      </c>
      <c r="U5" s="103" t="s">
        <v>101</v>
      </c>
    </row>
    <row r="6" spans="2:21">
      <c r="B6" s="27"/>
      <c r="C6" s="118"/>
      <c r="D6" s="132"/>
      <c r="E6" s="27"/>
      <c r="F6" s="129"/>
      <c r="G6" s="27"/>
      <c r="H6" s="129"/>
      <c r="I6" s="27"/>
      <c r="J6" s="129"/>
      <c r="K6" s="27"/>
      <c r="L6" s="129"/>
      <c r="M6" s="55" t="e">
        <f t="shared" ca="1" si="1"/>
        <v>#N/A</v>
      </c>
      <c r="N6" s="121" t="e">
        <f ca="1">VLOOKUP($B6,Matrix!$H$13:$I$37,2,FALSE)&amp;"_"&amp;C6</f>
        <v>#N/A</v>
      </c>
      <c r="O6" s="136" t="e">
        <f t="shared" ca="1" si="0"/>
        <v>#N/A</v>
      </c>
      <c r="U6" s="33" t="s">
        <v>102</v>
      </c>
    </row>
    <row r="7" spans="2:21">
      <c r="B7" s="120"/>
      <c r="C7" s="119"/>
      <c r="D7" s="133"/>
      <c r="E7" s="27"/>
      <c r="F7" s="129"/>
      <c r="G7" s="27"/>
      <c r="H7" s="129"/>
      <c r="I7" s="27"/>
      <c r="J7" s="129"/>
      <c r="K7" s="27"/>
      <c r="L7" s="129"/>
      <c r="M7" s="55" t="e">
        <f t="shared" ca="1" si="1"/>
        <v>#N/A</v>
      </c>
      <c r="N7" s="121" t="e">
        <f ca="1">VLOOKUP($B7,Matrix!$H$13:$I$37,2,FALSE)&amp;"_"&amp;C7</f>
        <v>#N/A</v>
      </c>
      <c r="O7" s="136" t="e">
        <f t="shared" ca="1" si="0"/>
        <v>#N/A</v>
      </c>
      <c r="U7" s="33" t="s">
        <v>103</v>
      </c>
    </row>
    <row r="8" spans="2:21">
      <c r="B8" s="120"/>
      <c r="C8" s="119"/>
      <c r="D8" s="133"/>
      <c r="E8" s="27"/>
      <c r="F8" s="129"/>
      <c r="G8" s="27"/>
      <c r="H8" s="129"/>
      <c r="I8" s="27"/>
      <c r="J8" s="129"/>
      <c r="K8" s="27"/>
      <c r="L8" s="129"/>
      <c r="M8" s="55" t="e">
        <f t="shared" ca="1" si="1"/>
        <v>#N/A</v>
      </c>
      <c r="N8" s="121" t="e">
        <f ca="1">VLOOKUP($B8,Matrix!$H$13:$I$37,2,FALSE)&amp;"_"&amp;C8</f>
        <v>#N/A</v>
      </c>
      <c r="O8" s="136" t="e">
        <f t="shared" ca="1" si="0"/>
        <v>#N/A</v>
      </c>
      <c r="U8" s="33" t="s">
        <v>104</v>
      </c>
    </row>
    <row r="9" spans="2:21">
      <c r="B9" s="27"/>
      <c r="C9" s="26"/>
      <c r="D9" s="128"/>
      <c r="E9" s="27"/>
      <c r="F9" s="129"/>
      <c r="G9" s="27"/>
      <c r="H9" s="129"/>
      <c r="I9" s="27"/>
      <c r="J9" s="129"/>
      <c r="K9" s="27"/>
      <c r="L9" s="129"/>
      <c r="M9" s="55" t="e">
        <f t="shared" ca="1" si="1"/>
        <v>#N/A</v>
      </c>
      <c r="N9" s="121" t="e">
        <f ca="1">VLOOKUP($B9,Matrix!$H$13:$I$37,2,FALSE)&amp;"_"&amp;C9</f>
        <v>#N/A</v>
      </c>
      <c r="O9" s="136" t="e">
        <f t="shared" ca="1" si="0"/>
        <v>#N/A</v>
      </c>
      <c r="U9" s="33" t="s">
        <v>105</v>
      </c>
    </row>
    <row r="10" spans="2:21">
      <c r="B10" s="27"/>
      <c r="C10" s="26"/>
      <c r="D10" s="128"/>
      <c r="E10" s="27"/>
      <c r="F10" s="129"/>
      <c r="G10" s="27"/>
      <c r="H10" s="129"/>
      <c r="I10" s="27"/>
      <c r="J10" s="129"/>
      <c r="K10" s="27"/>
      <c r="L10" s="129"/>
      <c r="M10" s="55" t="e">
        <f t="shared" ca="1" si="1"/>
        <v>#N/A</v>
      </c>
      <c r="N10" s="121" t="e">
        <f ca="1">VLOOKUP($B10,Matrix!$H$13:$I$37,2,FALSE)&amp;"_"&amp;C10</f>
        <v>#N/A</v>
      </c>
      <c r="O10" s="136" t="e">
        <f t="shared" ca="1" si="0"/>
        <v>#N/A</v>
      </c>
      <c r="U10" s="33"/>
    </row>
    <row r="11" spans="2:21">
      <c r="B11" s="27"/>
      <c r="C11" s="26"/>
      <c r="D11" s="128"/>
      <c r="E11" s="27"/>
      <c r="F11" s="129"/>
      <c r="G11" s="27"/>
      <c r="H11" s="129"/>
      <c r="I11" s="27"/>
      <c r="J11" s="129"/>
      <c r="K11" s="27"/>
      <c r="L11" s="129"/>
      <c r="M11" s="55" t="e">
        <f t="shared" ca="1" si="1"/>
        <v>#N/A</v>
      </c>
      <c r="N11" s="121" t="e">
        <f ca="1">VLOOKUP($B11,Matrix!$H$13:$I$37,2,FALSE)&amp;"_"&amp;C11</f>
        <v>#N/A</v>
      </c>
      <c r="O11" s="136" t="e">
        <f t="shared" ca="1" si="0"/>
        <v>#N/A</v>
      </c>
      <c r="U11" s="33"/>
    </row>
    <row r="12" spans="2:21">
      <c r="B12" s="27"/>
      <c r="C12" s="26"/>
      <c r="D12" s="128"/>
      <c r="E12" s="27"/>
      <c r="F12" s="129"/>
      <c r="G12" s="27"/>
      <c r="H12" s="129"/>
      <c r="I12" s="27"/>
      <c r="J12" s="129"/>
      <c r="K12" s="27"/>
      <c r="L12" s="129"/>
      <c r="M12" s="55" t="e">
        <f t="shared" ca="1" si="1"/>
        <v>#N/A</v>
      </c>
      <c r="N12" s="121" t="e">
        <f ca="1">VLOOKUP($B12,Matrix!$H$13:$I$37,2,FALSE)&amp;"_"&amp;C12</f>
        <v>#N/A</v>
      </c>
      <c r="O12" s="136" t="e">
        <f t="shared" ca="1" si="0"/>
        <v>#N/A</v>
      </c>
      <c r="U12" s="33"/>
    </row>
    <row r="13" spans="2:21" ht="14.25" thickBot="1">
      <c r="B13" s="27"/>
      <c r="C13" s="26"/>
      <c r="D13" s="128"/>
      <c r="E13" s="27"/>
      <c r="F13" s="129"/>
      <c r="G13" s="27"/>
      <c r="H13" s="129"/>
      <c r="I13" s="27"/>
      <c r="J13" s="129"/>
      <c r="K13" s="27"/>
      <c r="L13" s="129"/>
      <c r="M13" s="55" t="e">
        <f t="shared" ca="1" si="1"/>
        <v>#N/A</v>
      </c>
      <c r="N13" s="121" t="e">
        <f ca="1">VLOOKUP($B13,Matrix!$H$13:$I$37,2,FALSE)&amp;"_"&amp;C13</f>
        <v>#N/A</v>
      </c>
      <c r="O13" s="136" t="e">
        <f t="shared" ca="1" si="0"/>
        <v>#N/A</v>
      </c>
      <c r="U13" s="104"/>
    </row>
    <row r="14" spans="2:21">
      <c r="B14" s="27"/>
      <c r="C14" s="26"/>
      <c r="D14" s="128"/>
      <c r="E14" s="27"/>
      <c r="F14" s="129"/>
      <c r="G14" s="27"/>
      <c r="H14" s="129"/>
      <c r="I14" s="27"/>
      <c r="J14" s="129"/>
      <c r="K14" s="27"/>
      <c r="L14" s="129"/>
      <c r="M14" s="55" t="e">
        <f t="shared" ca="1" si="1"/>
        <v>#N/A</v>
      </c>
      <c r="N14" s="121" t="e">
        <f ca="1">VLOOKUP($B14,Matrix!$H$13:$I$37,2,FALSE)&amp;"_"&amp;C14</f>
        <v>#N/A</v>
      </c>
      <c r="O14" s="136" t="e">
        <f t="shared" ca="1" si="0"/>
        <v>#N/A</v>
      </c>
    </row>
    <row r="15" spans="2:21">
      <c r="B15" s="27"/>
      <c r="C15" s="26"/>
      <c r="D15" s="128"/>
      <c r="E15" s="27"/>
      <c r="F15" s="129"/>
      <c r="G15" s="27"/>
      <c r="H15" s="129"/>
      <c r="I15" s="27"/>
      <c r="J15" s="129"/>
      <c r="K15" s="27"/>
      <c r="L15" s="129"/>
      <c r="M15" s="55" t="e">
        <f t="shared" ca="1" si="1"/>
        <v>#N/A</v>
      </c>
      <c r="N15" s="121" t="e">
        <f ca="1">VLOOKUP($B15,Matrix!$H$13:$I$37,2,FALSE)&amp;"_"&amp;C15</f>
        <v>#N/A</v>
      </c>
      <c r="O15" s="136" t="e">
        <f t="shared" ca="1" si="0"/>
        <v>#N/A</v>
      </c>
    </row>
    <row r="16" spans="2:21">
      <c r="B16" s="27"/>
      <c r="C16" s="26"/>
      <c r="D16" s="128"/>
      <c r="E16" s="27"/>
      <c r="F16" s="129"/>
      <c r="G16" s="27"/>
      <c r="H16" s="129"/>
      <c r="I16" s="27"/>
      <c r="J16" s="129"/>
      <c r="K16" s="27"/>
      <c r="L16" s="129"/>
      <c r="M16" s="55" t="e">
        <f t="shared" ca="1" si="1"/>
        <v>#N/A</v>
      </c>
      <c r="N16" s="121" t="e">
        <f ca="1">VLOOKUP($B16,Matrix!$H$13:$I$37,2,FALSE)&amp;"_"&amp;C16</f>
        <v>#N/A</v>
      </c>
      <c r="O16" s="136" t="e">
        <f t="shared" ca="1" si="0"/>
        <v>#N/A</v>
      </c>
    </row>
    <row r="17" spans="2:15">
      <c r="B17" s="27"/>
      <c r="C17" s="26"/>
      <c r="D17" s="128"/>
      <c r="E17" s="27"/>
      <c r="F17" s="129"/>
      <c r="G17" s="27"/>
      <c r="H17" s="129"/>
      <c r="I17" s="27"/>
      <c r="J17" s="129"/>
      <c r="K17" s="27"/>
      <c r="L17" s="129"/>
      <c r="M17" s="55" t="e">
        <f t="shared" ca="1" si="1"/>
        <v>#N/A</v>
      </c>
      <c r="N17" s="121" t="e">
        <f ca="1">VLOOKUP($B17,Matrix!$H$13:$I$37,2,FALSE)&amp;"_"&amp;C17</f>
        <v>#N/A</v>
      </c>
      <c r="O17" s="136" t="e">
        <f t="shared" ca="1" si="0"/>
        <v>#N/A</v>
      </c>
    </row>
    <row r="18" spans="2:15">
      <c r="B18" s="27"/>
      <c r="C18" s="26"/>
      <c r="D18" s="128"/>
      <c r="E18" s="27"/>
      <c r="F18" s="129"/>
      <c r="G18" s="27"/>
      <c r="H18" s="129"/>
      <c r="I18" s="27"/>
      <c r="J18" s="129"/>
      <c r="K18" s="27"/>
      <c r="L18" s="129"/>
      <c r="M18" s="55" t="e">
        <f t="shared" ca="1" si="1"/>
        <v>#N/A</v>
      </c>
      <c r="N18" s="121" t="e">
        <f ca="1">VLOOKUP($B18,Matrix!$H$13:$I$37,2,FALSE)&amp;"_"&amp;C18</f>
        <v>#N/A</v>
      </c>
      <c r="O18" s="136" t="e">
        <f t="shared" ca="1" si="0"/>
        <v>#N/A</v>
      </c>
    </row>
    <row r="19" spans="2:15">
      <c r="B19" s="27"/>
      <c r="C19" s="26"/>
      <c r="D19" s="128"/>
      <c r="E19" s="27"/>
      <c r="F19" s="129"/>
      <c r="G19" s="27"/>
      <c r="H19" s="129"/>
      <c r="I19" s="27"/>
      <c r="J19" s="129"/>
      <c r="K19" s="27"/>
      <c r="L19" s="129"/>
      <c r="M19" s="55" t="e">
        <f t="shared" ca="1" si="1"/>
        <v>#N/A</v>
      </c>
      <c r="N19" s="121" t="e">
        <f ca="1">VLOOKUP($B19,Matrix!$H$13:$I$37,2,FALSE)&amp;"_"&amp;C19</f>
        <v>#N/A</v>
      </c>
      <c r="O19" s="136" t="e">
        <f t="shared" ca="1" si="0"/>
        <v>#N/A</v>
      </c>
    </row>
    <row r="20" spans="2:15">
      <c r="B20" s="27"/>
      <c r="C20" s="26"/>
      <c r="D20" s="128"/>
      <c r="E20" s="27"/>
      <c r="F20" s="129"/>
      <c r="G20" s="27"/>
      <c r="H20" s="129"/>
      <c r="I20" s="27"/>
      <c r="J20" s="129"/>
      <c r="K20" s="27"/>
      <c r="L20" s="129"/>
      <c r="M20" s="55" t="e">
        <f t="shared" ca="1" si="1"/>
        <v>#N/A</v>
      </c>
      <c r="N20" s="121" t="e">
        <f ca="1">VLOOKUP($B20,Matrix!$H$13:$I$37,2,FALSE)&amp;"_"&amp;C20</f>
        <v>#N/A</v>
      </c>
      <c r="O20" s="136" t="e">
        <f t="shared" ca="1" si="0"/>
        <v>#N/A</v>
      </c>
    </row>
    <row r="21" spans="2:15">
      <c r="B21" s="27"/>
      <c r="C21" s="26"/>
      <c r="D21" s="128"/>
      <c r="E21" s="27"/>
      <c r="F21" s="129"/>
      <c r="G21" s="27"/>
      <c r="H21" s="129"/>
      <c r="I21" s="27"/>
      <c r="J21" s="129"/>
      <c r="K21" s="27"/>
      <c r="L21" s="129"/>
      <c r="M21" s="55" t="e">
        <f t="shared" ca="1" si="1"/>
        <v>#N/A</v>
      </c>
      <c r="N21" s="121" t="e">
        <f ca="1">VLOOKUP($B21,Matrix!$H$13:$I$37,2,FALSE)&amp;"_"&amp;C21</f>
        <v>#N/A</v>
      </c>
      <c r="O21" s="136" t="e">
        <f t="shared" ca="1" si="0"/>
        <v>#N/A</v>
      </c>
    </row>
    <row r="22" spans="2:15">
      <c r="B22" s="27"/>
      <c r="C22" s="26"/>
      <c r="D22" s="128"/>
      <c r="E22" s="27"/>
      <c r="F22" s="129"/>
      <c r="G22" s="27"/>
      <c r="H22" s="129"/>
      <c r="I22" s="27"/>
      <c r="J22" s="129"/>
      <c r="K22" s="27"/>
      <c r="L22" s="129"/>
      <c r="M22" s="55" t="e">
        <f t="shared" ca="1" si="1"/>
        <v>#N/A</v>
      </c>
      <c r="N22" s="121" t="e">
        <f ca="1">VLOOKUP($B22,Matrix!$H$13:$I$37,2,FALSE)&amp;"_"&amp;C22</f>
        <v>#N/A</v>
      </c>
      <c r="O22" s="136" t="e">
        <f t="shared" ca="1" si="0"/>
        <v>#N/A</v>
      </c>
    </row>
    <row r="23" spans="2:15">
      <c r="B23" s="27"/>
      <c r="C23" s="26"/>
      <c r="D23" s="128"/>
      <c r="E23" s="27"/>
      <c r="F23" s="129"/>
      <c r="G23" s="27"/>
      <c r="H23" s="129"/>
      <c r="I23" s="27"/>
      <c r="J23" s="129"/>
      <c r="K23" s="27"/>
      <c r="L23" s="129"/>
      <c r="M23" s="55" t="e">
        <f t="shared" ca="1" si="1"/>
        <v>#N/A</v>
      </c>
      <c r="N23" s="121" t="e">
        <f ca="1">VLOOKUP($B23,Matrix!$H$13:$I$37,2,FALSE)&amp;"_"&amp;C23</f>
        <v>#N/A</v>
      </c>
      <c r="O23" s="136" t="e">
        <f t="shared" ca="1" si="0"/>
        <v>#N/A</v>
      </c>
    </row>
    <row r="24" spans="2:15">
      <c r="B24" s="27"/>
      <c r="C24" s="26"/>
      <c r="D24" s="128"/>
      <c r="E24" s="27"/>
      <c r="F24" s="129"/>
      <c r="G24" s="27"/>
      <c r="H24" s="129"/>
      <c r="I24" s="27"/>
      <c r="J24" s="129"/>
      <c r="K24" s="27"/>
      <c r="L24" s="129"/>
      <c r="M24" s="55" t="e">
        <f t="shared" ca="1" si="1"/>
        <v>#N/A</v>
      </c>
      <c r="N24" s="121" t="e">
        <f ca="1">VLOOKUP($B24,Matrix!$H$13:$I$37,2,FALSE)&amp;"_"&amp;C24</f>
        <v>#N/A</v>
      </c>
      <c r="O24" s="136" t="e">
        <f t="shared" ca="1" si="0"/>
        <v>#N/A</v>
      </c>
    </row>
    <row r="25" spans="2:15">
      <c r="B25" s="27"/>
      <c r="C25" s="26"/>
      <c r="D25" s="128"/>
      <c r="E25" s="27"/>
      <c r="F25" s="129"/>
      <c r="G25" s="27"/>
      <c r="H25" s="129"/>
      <c r="I25" s="27"/>
      <c r="J25" s="129"/>
      <c r="K25" s="27"/>
      <c r="L25" s="129"/>
      <c r="M25" s="55" t="e">
        <f t="shared" ca="1" si="1"/>
        <v>#N/A</v>
      </c>
      <c r="N25" s="121" t="e">
        <f ca="1">VLOOKUP($B25,Matrix!$H$13:$I$37,2,FALSE)&amp;"_"&amp;C25</f>
        <v>#N/A</v>
      </c>
      <c r="O25" s="136" t="e">
        <f t="shared" ca="1" si="0"/>
        <v>#N/A</v>
      </c>
    </row>
    <row r="26" spans="2:15">
      <c r="B26" s="27"/>
      <c r="C26" s="26"/>
      <c r="D26" s="128"/>
      <c r="E26" s="27"/>
      <c r="F26" s="129"/>
      <c r="G26" s="27"/>
      <c r="H26" s="129"/>
      <c r="I26" s="27"/>
      <c r="J26" s="129"/>
      <c r="K26" s="27"/>
      <c r="L26" s="129"/>
      <c r="M26" s="55" t="e">
        <f t="shared" ca="1" si="1"/>
        <v>#N/A</v>
      </c>
      <c r="N26" s="121" t="e">
        <f ca="1">VLOOKUP($B26,Matrix!$H$13:$I$37,2,FALSE)&amp;"_"&amp;C26</f>
        <v>#N/A</v>
      </c>
      <c r="O26" s="136" t="e">
        <f t="shared" ca="1" si="0"/>
        <v>#N/A</v>
      </c>
    </row>
    <row r="27" spans="2:15">
      <c r="B27" s="27"/>
      <c r="C27" s="26"/>
      <c r="D27" s="128"/>
      <c r="E27" s="27"/>
      <c r="F27" s="129"/>
      <c r="G27" s="27"/>
      <c r="H27" s="129"/>
      <c r="I27" s="27"/>
      <c r="J27" s="129"/>
      <c r="K27" s="27"/>
      <c r="L27" s="129"/>
      <c r="M27" s="55" t="e">
        <f t="shared" ca="1" si="1"/>
        <v>#N/A</v>
      </c>
      <c r="N27" s="121" t="e">
        <f ca="1">VLOOKUP($B27,Matrix!$H$13:$I$37,2,FALSE)&amp;"_"&amp;C27</f>
        <v>#N/A</v>
      </c>
      <c r="O27" s="136" t="e">
        <f t="shared" ca="1" si="0"/>
        <v>#N/A</v>
      </c>
    </row>
    <row r="28" spans="2:15">
      <c r="B28" s="27"/>
      <c r="C28" s="26"/>
      <c r="D28" s="128"/>
      <c r="E28" s="27"/>
      <c r="F28" s="129"/>
      <c r="G28" s="27"/>
      <c r="H28" s="129"/>
      <c r="I28" s="27"/>
      <c r="J28" s="129"/>
      <c r="K28" s="27"/>
      <c r="L28" s="129"/>
      <c r="M28" s="55" t="e">
        <f t="shared" ca="1" si="1"/>
        <v>#N/A</v>
      </c>
      <c r="N28" s="121" t="e">
        <f ca="1">VLOOKUP($B28,Matrix!$H$13:$I$37,2,FALSE)&amp;"_"&amp;C28</f>
        <v>#N/A</v>
      </c>
      <c r="O28" s="136" t="e">
        <f t="shared" ca="1" si="0"/>
        <v>#N/A</v>
      </c>
    </row>
    <row r="29" spans="2:15">
      <c r="B29" s="27"/>
      <c r="C29" s="26"/>
      <c r="D29" s="128"/>
      <c r="E29" s="27"/>
      <c r="F29" s="129"/>
      <c r="G29" s="27"/>
      <c r="H29" s="129"/>
      <c r="I29" s="27"/>
      <c r="J29" s="129"/>
      <c r="K29" s="27"/>
      <c r="L29" s="129"/>
      <c r="M29" s="55" t="e">
        <f t="shared" ca="1" si="1"/>
        <v>#N/A</v>
      </c>
      <c r="N29" s="121" t="e">
        <f ca="1">VLOOKUP($B29,Matrix!$H$13:$I$37,2,FALSE)&amp;"_"&amp;C29</f>
        <v>#N/A</v>
      </c>
      <c r="O29" s="136" t="e">
        <f t="shared" ca="1" si="0"/>
        <v>#N/A</v>
      </c>
    </row>
    <row r="30" spans="2:15">
      <c r="B30" s="27"/>
      <c r="C30" s="26"/>
      <c r="D30" s="128"/>
      <c r="E30" s="27"/>
      <c r="F30" s="129"/>
      <c r="G30" s="27"/>
      <c r="H30" s="129"/>
      <c r="I30" s="27"/>
      <c r="J30" s="129"/>
      <c r="K30" s="27"/>
      <c r="L30" s="129"/>
      <c r="M30" s="55" t="e">
        <f t="shared" ca="1" si="1"/>
        <v>#N/A</v>
      </c>
      <c r="N30" s="121" t="e">
        <f ca="1">VLOOKUP($B30,Matrix!$H$13:$I$37,2,FALSE)&amp;"_"&amp;C30</f>
        <v>#N/A</v>
      </c>
      <c r="O30" s="136" t="e">
        <f t="shared" ca="1" si="0"/>
        <v>#N/A</v>
      </c>
    </row>
    <row r="31" spans="2:15">
      <c r="B31" s="27"/>
      <c r="C31" s="26"/>
      <c r="D31" s="128"/>
      <c r="E31" s="27"/>
      <c r="F31" s="129"/>
      <c r="G31" s="27"/>
      <c r="H31" s="129"/>
      <c r="I31" s="27"/>
      <c r="J31" s="129"/>
      <c r="K31" s="27"/>
      <c r="L31" s="129"/>
      <c r="M31" s="55" t="e">
        <f t="shared" ca="1" si="1"/>
        <v>#N/A</v>
      </c>
      <c r="N31" s="121" t="e">
        <f ca="1">VLOOKUP($B31,Matrix!$H$13:$I$37,2,FALSE)&amp;"_"&amp;C31</f>
        <v>#N/A</v>
      </c>
      <c r="O31" s="136" t="e">
        <f t="shared" ca="1" si="0"/>
        <v>#N/A</v>
      </c>
    </row>
    <row r="32" spans="2:15">
      <c r="B32" s="27"/>
      <c r="C32" s="26"/>
      <c r="D32" s="128"/>
      <c r="E32" s="27"/>
      <c r="F32" s="129"/>
      <c r="G32" s="27"/>
      <c r="H32" s="129"/>
      <c r="I32" s="27"/>
      <c r="J32" s="129"/>
      <c r="K32" s="27"/>
      <c r="L32" s="129"/>
      <c r="M32" s="55" t="e">
        <f t="shared" ca="1" si="1"/>
        <v>#N/A</v>
      </c>
      <c r="N32" s="121" t="e">
        <f ca="1">VLOOKUP($B32,Matrix!$H$13:$I$37,2,FALSE)&amp;"_"&amp;C32</f>
        <v>#N/A</v>
      </c>
      <c r="O32" s="136" t="e">
        <f t="shared" ca="1" si="0"/>
        <v>#N/A</v>
      </c>
    </row>
    <row r="33" spans="2:15">
      <c r="B33" s="27"/>
      <c r="C33" s="26"/>
      <c r="D33" s="128"/>
      <c r="E33" s="27"/>
      <c r="F33" s="129"/>
      <c r="G33" s="27"/>
      <c r="H33" s="129"/>
      <c r="I33" s="27"/>
      <c r="J33" s="129"/>
      <c r="K33" s="27"/>
      <c r="L33" s="129"/>
      <c r="M33" s="55" t="e">
        <f t="shared" ca="1" si="1"/>
        <v>#N/A</v>
      </c>
      <c r="N33" s="121" t="e">
        <f ca="1">VLOOKUP($B33,Matrix!$H$13:$I$37,2,FALSE)&amp;"_"&amp;C33</f>
        <v>#N/A</v>
      </c>
      <c r="O33" s="136" t="e">
        <f t="shared" ca="1" si="0"/>
        <v>#N/A</v>
      </c>
    </row>
    <row r="34" spans="2:15">
      <c r="B34" s="27"/>
      <c r="C34" s="26"/>
      <c r="D34" s="128"/>
      <c r="E34" s="27"/>
      <c r="F34" s="129"/>
      <c r="G34" s="27"/>
      <c r="H34" s="129"/>
      <c r="I34" s="27"/>
      <c r="J34" s="129"/>
      <c r="K34" s="27"/>
      <c r="L34" s="129"/>
      <c r="M34" s="55" t="e">
        <f t="shared" ca="1" si="1"/>
        <v>#N/A</v>
      </c>
      <c r="N34" s="121" t="e">
        <f ca="1">VLOOKUP($B34,Matrix!$H$13:$I$37,2,FALSE)&amp;"_"&amp;C34</f>
        <v>#N/A</v>
      </c>
      <c r="O34" s="136" t="e">
        <f t="shared" ca="1" si="0"/>
        <v>#N/A</v>
      </c>
    </row>
    <row r="35" spans="2:15">
      <c r="B35" s="27"/>
      <c r="C35" s="26"/>
      <c r="D35" s="128"/>
      <c r="E35" s="27"/>
      <c r="F35" s="129"/>
      <c r="G35" s="27"/>
      <c r="H35" s="129"/>
      <c r="I35" s="27"/>
      <c r="J35" s="129"/>
      <c r="K35" s="27"/>
      <c r="L35" s="129"/>
      <c r="M35" s="55" t="e">
        <f t="shared" ca="1" si="1"/>
        <v>#N/A</v>
      </c>
      <c r="N35" s="121" t="e">
        <f ca="1">VLOOKUP($B35,Matrix!$H$13:$I$37,2,FALSE)&amp;"_"&amp;C35</f>
        <v>#N/A</v>
      </c>
      <c r="O35" s="136" t="e">
        <f t="shared" ca="1" si="0"/>
        <v>#N/A</v>
      </c>
    </row>
    <row r="36" spans="2:15">
      <c r="B36" s="27"/>
      <c r="C36" s="26"/>
      <c r="D36" s="128"/>
      <c r="E36" s="27"/>
      <c r="F36" s="129"/>
      <c r="G36" s="27"/>
      <c r="H36" s="129"/>
      <c r="I36" s="27"/>
      <c r="J36" s="129"/>
      <c r="K36" s="27"/>
      <c r="L36" s="129"/>
      <c r="M36" s="55" t="e">
        <f t="shared" ca="1" si="1"/>
        <v>#N/A</v>
      </c>
      <c r="N36" s="121" t="e">
        <f ca="1">VLOOKUP($B36,Matrix!$H$13:$I$37,2,FALSE)&amp;"_"&amp;C36</f>
        <v>#N/A</v>
      </c>
      <c r="O36" s="136" t="e">
        <f t="shared" ref="O36:O67" ca="1" si="2">"#define "&amp;N36&amp;REPT(" ",48-M36)&amp;"("&amp;D36&amp;"U)"</f>
        <v>#N/A</v>
      </c>
    </row>
    <row r="37" spans="2:15">
      <c r="B37" s="27"/>
      <c r="C37" s="26"/>
      <c r="D37" s="128"/>
      <c r="E37" s="27"/>
      <c r="F37" s="129"/>
      <c r="G37" s="27"/>
      <c r="H37" s="129"/>
      <c r="I37" s="27"/>
      <c r="J37" s="129"/>
      <c r="K37" s="27"/>
      <c r="L37" s="129"/>
      <c r="M37" s="55" t="e">
        <f t="shared" ca="1" si="1"/>
        <v>#N/A</v>
      </c>
      <c r="N37" s="121" t="e">
        <f ca="1">VLOOKUP($B37,Matrix!$H$13:$I$37,2,FALSE)&amp;"_"&amp;C37</f>
        <v>#N/A</v>
      </c>
      <c r="O37" s="136" t="e">
        <f t="shared" ca="1" si="2"/>
        <v>#N/A</v>
      </c>
    </row>
    <row r="38" spans="2:15">
      <c r="B38" s="27"/>
      <c r="C38" s="26"/>
      <c r="D38" s="128"/>
      <c r="E38" s="27"/>
      <c r="F38" s="129"/>
      <c r="G38" s="27"/>
      <c r="H38" s="129"/>
      <c r="I38" s="27"/>
      <c r="J38" s="129"/>
      <c r="K38" s="27"/>
      <c r="L38" s="129"/>
      <c r="M38" s="55" t="e">
        <f t="shared" ca="1" si="1"/>
        <v>#N/A</v>
      </c>
      <c r="N38" s="121" t="e">
        <f ca="1">VLOOKUP($B38,Matrix!$H$13:$I$37,2,FALSE)&amp;"_"&amp;C38</f>
        <v>#N/A</v>
      </c>
      <c r="O38" s="136" t="e">
        <f t="shared" ca="1" si="2"/>
        <v>#N/A</v>
      </c>
    </row>
    <row r="39" spans="2:15">
      <c r="B39" s="27"/>
      <c r="C39" s="26"/>
      <c r="D39" s="128"/>
      <c r="E39" s="27"/>
      <c r="F39" s="129"/>
      <c r="G39" s="27"/>
      <c r="H39" s="129"/>
      <c r="I39" s="27"/>
      <c r="J39" s="129"/>
      <c r="K39" s="27"/>
      <c r="L39" s="129"/>
      <c r="M39" s="55" t="e">
        <f t="shared" ca="1" si="1"/>
        <v>#N/A</v>
      </c>
      <c r="N39" s="121" t="e">
        <f ca="1">VLOOKUP($B39,Matrix!$H$13:$I$37,2,FALSE)&amp;"_"&amp;C39</f>
        <v>#N/A</v>
      </c>
      <c r="O39" s="136" t="e">
        <f t="shared" ca="1" si="2"/>
        <v>#N/A</v>
      </c>
    </row>
    <row r="40" spans="2:15">
      <c r="B40" s="27"/>
      <c r="C40" s="26"/>
      <c r="D40" s="128"/>
      <c r="E40" s="27"/>
      <c r="F40" s="129"/>
      <c r="G40" s="27"/>
      <c r="H40" s="129"/>
      <c r="I40" s="27"/>
      <c r="J40" s="129"/>
      <c r="K40" s="27"/>
      <c r="L40" s="129"/>
      <c r="M40" s="55" t="e">
        <f t="shared" ca="1" si="1"/>
        <v>#N/A</v>
      </c>
      <c r="N40" s="121" t="e">
        <f ca="1">VLOOKUP($B40,Matrix!$H$13:$I$37,2,FALSE)&amp;"_"&amp;C40</f>
        <v>#N/A</v>
      </c>
      <c r="O40" s="136" t="e">
        <f t="shared" ca="1" si="2"/>
        <v>#N/A</v>
      </c>
    </row>
    <row r="41" spans="2:15">
      <c r="B41" s="27"/>
      <c r="C41" s="26"/>
      <c r="D41" s="128"/>
      <c r="E41" s="27"/>
      <c r="F41" s="129"/>
      <c r="G41" s="27"/>
      <c r="H41" s="129"/>
      <c r="I41" s="27"/>
      <c r="J41" s="129"/>
      <c r="K41" s="27"/>
      <c r="L41" s="129"/>
      <c r="M41" s="55" t="e">
        <f t="shared" ca="1" si="1"/>
        <v>#N/A</v>
      </c>
      <c r="N41" s="121" t="e">
        <f ca="1">VLOOKUP($B41,Matrix!$H$13:$I$37,2,FALSE)&amp;"_"&amp;C41</f>
        <v>#N/A</v>
      </c>
      <c r="O41" s="136" t="e">
        <f t="shared" ca="1" si="2"/>
        <v>#N/A</v>
      </c>
    </row>
    <row r="42" spans="2:15">
      <c r="B42" s="27"/>
      <c r="C42" s="26"/>
      <c r="D42" s="128"/>
      <c r="E42" s="27"/>
      <c r="F42" s="129"/>
      <c r="G42" s="27"/>
      <c r="H42" s="129"/>
      <c r="I42" s="27"/>
      <c r="J42" s="129"/>
      <c r="K42" s="27"/>
      <c r="L42" s="129"/>
      <c r="M42" s="55" t="e">
        <f t="shared" ca="1" si="1"/>
        <v>#N/A</v>
      </c>
      <c r="N42" s="121" t="e">
        <f ca="1">VLOOKUP($B42,Matrix!$H$13:$I$37,2,FALSE)&amp;"_"&amp;C42</f>
        <v>#N/A</v>
      </c>
      <c r="O42" s="136" t="e">
        <f t="shared" ca="1" si="2"/>
        <v>#N/A</v>
      </c>
    </row>
    <row r="43" spans="2:15">
      <c r="B43" s="27"/>
      <c r="C43" s="26"/>
      <c r="D43" s="128"/>
      <c r="E43" s="27"/>
      <c r="F43" s="129"/>
      <c r="G43" s="27"/>
      <c r="H43" s="129"/>
      <c r="I43" s="27"/>
      <c r="J43" s="129"/>
      <c r="K43" s="27"/>
      <c r="L43" s="129"/>
      <c r="M43" s="55" t="e">
        <f t="shared" ca="1" si="1"/>
        <v>#N/A</v>
      </c>
      <c r="N43" s="121" t="e">
        <f ca="1">VLOOKUP($B43,Matrix!$H$13:$I$37,2,FALSE)&amp;"_"&amp;C43</f>
        <v>#N/A</v>
      </c>
      <c r="O43" s="136" t="e">
        <f t="shared" ca="1" si="2"/>
        <v>#N/A</v>
      </c>
    </row>
    <row r="44" spans="2:15">
      <c r="B44" s="27"/>
      <c r="C44" s="26"/>
      <c r="D44" s="128"/>
      <c r="E44" s="27"/>
      <c r="F44" s="129"/>
      <c r="G44" s="27"/>
      <c r="H44" s="129"/>
      <c r="I44" s="27"/>
      <c r="J44" s="129"/>
      <c r="K44" s="27"/>
      <c r="L44" s="129"/>
      <c r="M44" s="55" t="e">
        <f t="shared" ca="1" si="1"/>
        <v>#N/A</v>
      </c>
      <c r="N44" s="121" t="e">
        <f ca="1">VLOOKUP($B44,Matrix!$H$13:$I$37,2,FALSE)&amp;"_"&amp;C44</f>
        <v>#N/A</v>
      </c>
      <c r="O44" s="136" t="e">
        <f t="shared" ca="1" si="2"/>
        <v>#N/A</v>
      </c>
    </row>
    <row r="45" spans="2:15">
      <c r="B45" s="27"/>
      <c r="C45" s="26"/>
      <c r="D45" s="128"/>
      <c r="E45" s="27"/>
      <c r="F45" s="129"/>
      <c r="G45" s="27"/>
      <c r="H45" s="129"/>
      <c r="I45" s="27"/>
      <c r="J45" s="129"/>
      <c r="K45" s="27"/>
      <c r="L45" s="129"/>
      <c r="M45" s="55" t="e">
        <f t="shared" ca="1" si="1"/>
        <v>#N/A</v>
      </c>
      <c r="N45" s="121" t="e">
        <f ca="1">VLOOKUP($B45,Matrix!$H$13:$I$37,2,FALSE)&amp;"_"&amp;C45</f>
        <v>#N/A</v>
      </c>
      <c r="O45" s="136" t="e">
        <f t="shared" ca="1" si="2"/>
        <v>#N/A</v>
      </c>
    </row>
    <row r="46" spans="2:15">
      <c r="B46" s="27"/>
      <c r="C46" s="26"/>
      <c r="D46" s="128"/>
      <c r="E46" s="27"/>
      <c r="F46" s="129"/>
      <c r="G46" s="27"/>
      <c r="H46" s="129"/>
      <c r="I46" s="27"/>
      <c r="J46" s="129"/>
      <c r="K46" s="27"/>
      <c r="L46" s="129"/>
      <c r="M46" s="55" t="e">
        <f t="shared" ca="1" si="1"/>
        <v>#N/A</v>
      </c>
      <c r="N46" s="121" t="e">
        <f ca="1">VLOOKUP($B46,Matrix!$H$13:$I$37,2,FALSE)&amp;"_"&amp;C46</f>
        <v>#N/A</v>
      </c>
      <c r="O46" s="136" t="e">
        <f t="shared" ca="1" si="2"/>
        <v>#N/A</v>
      </c>
    </row>
    <row r="47" spans="2:15">
      <c r="B47" s="27"/>
      <c r="C47" s="26"/>
      <c r="D47" s="128"/>
      <c r="E47" s="27"/>
      <c r="F47" s="129"/>
      <c r="G47" s="27"/>
      <c r="H47" s="129"/>
      <c r="I47" s="27"/>
      <c r="J47" s="129"/>
      <c r="K47" s="27"/>
      <c r="L47" s="129"/>
      <c r="M47" s="55" t="e">
        <f t="shared" ca="1" si="1"/>
        <v>#N/A</v>
      </c>
      <c r="N47" s="121" t="e">
        <f ca="1">VLOOKUP($B47,Matrix!$H$13:$I$37,2,FALSE)&amp;"_"&amp;C47</f>
        <v>#N/A</v>
      </c>
      <c r="O47" s="136" t="e">
        <f t="shared" ca="1" si="2"/>
        <v>#N/A</v>
      </c>
    </row>
    <row r="48" spans="2:15">
      <c r="B48" s="27"/>
      <c r="C48" s="26"/>
      <c r="D48" s="128"/>
      <c r="E48" s="27"/>
      <c r="F48" s="129"/>
      <c r="G48" s="27"/>
      <c r="H48" s="129"/>
      <c r="I48" s="27"/>
      <c r="J48" s="129"/>
      <c r="K48" s="27"/>
      <c r="L48" s="129"/>
      <c r="M48" s="55" t="e">
        <f t="shared" ca="1" si="1"/>
        <v>#N/A</v>
      </c>
      <c r="N48" s="121" t="e">
        <f ca="1">VLOOKUP($B48,Matrix!$H$13:$I$37,2,FALSE)&amp;"_"&amp;C48</f>
        <v>#N/A</v>
      </c>
      <c r="O48" s="136" t="e">
        <f t="shared" ca="1" si="2"/>
        <v>#N/A</v>
      </c>
    </row>
    <row r="49" spans="2:15">
      <c r="B49" s="27"/>
      <c r="C49" s="26"/>
      <c r="D49" s="128"/>
      <c r="E49" s="27"/>
      <c r="F49" s="129"/>
      <c r="G49" s="27"/>
      <c r="H49" s="129"/>
      <c r="I49" s="27"/>
      <c r="J49" s="129"/>
      <c r="K49" s="27"/>
      <c r="L49" s="129"/>
      <c r="M49" s="55" t="e">
        <f t="shared" ca="1" si="1"/>
        <v>#N/A</v>
      </c>
      <c r="N49" s="121" t="e">
        <f ca="1">VLOOKUP($B49,Matrix!$H$13:$I$37,2,FALSE)&amp;"_"&amp;C49</f>
        <v>#N/A</v>
      </c>
      <c r="O49" s="136" t="e">
        <f t="shared" ca="1" si="2"/>
        <v>#N/A</v>
      </c>
    </row>
    <row r="50" spans="2:15">
      <c r="B50" s="27"/>
      <c r="C50" s="26"/>
      <c r="D50" s="128"/>
      <c r="E50" s="27"/>
      <c r="F50" s="129"/>
      <c r="G50" s="27"/>
      <c r="H50" s="129"/>
      <c r="I50" s="27"/>
      <c r="J50" s="129"/>
      <c r="K50" s="27"/>
      <c r="L50" s="129"/>
      <c r="M50" s="55" t="e">
        <f t="shared" ca="1" si="1"/>
        <v>#N/A</v>
      </c>
      <c r="N50" s="121" t="e">
        <f ca="1">VLOOKUP($B50,Matrix!$H$13:$I$37,2,FALSE)&amp;"_"&amp;C50</f>
        <v>#N/A</v>
      </c>
      <c r="O50" s="136" t="e">
        <f t="shared" ca="1" si="2"/>
        <v>#N/A</v>
      </c>
    </row>
    <row r="51" spans="2:15">
      <c r="B51" s="27"/>
      <c r="C51" s="26"/>
      <c r="D51" s="128"/>
      <c r="E51" s="27"/>
      <c r="F51" s="129"/>
      <c r="G51" s="27"/>
      <c r="H51" s="129"/>
      <c r="I51" s="27"/>
      <c r="J51" s="129"/>
      <c r="K51" s="27"/>
      <c r="L51" s="129"/>
      <c r="M51" s="55" t="e">
        <f t="shared" ca="1" si="1"/>
        <v>#N/A</v>
      </c>
      <c r="N51" s="121" t="e">
        <f ca="1">VLOOKUP($B51,Matrix!$H$13:$I$37,2,FALSE)&amp;"_"&amp;C51</f>
        <v>#N/A</v>
      </c>
      <c r="O51" s="136" t="e">
        <f t="shared" ca="1" si="2"/>
        <v>#N/A</v>
      </c>
    </row>
    <row r="52" spans="2:15">
      <c r="B52" s="27"/>
      <c r="C52" s="26"/>
      <c r="D52" s="128"/>
      <c r="E52" s="27"/>
      <c r="F52" s="129"/>
      <c r="G52" s="27"/>
      <c r="H52" s="129"/>
      <c r="I52" s="27"/>
      <c r="J52" s="129"/>
      <c r="K52" s="27"/>
      <c r="L52" s="129"/>
      <c r="M52" s="55" t="e">
        <f t="shared" ca="1" si="1"/>
        <v>#N/A</v>
      </c>
      <c r="N52" s="121" t="e">
        <f ca="1">VLOOKUP($B52,Matrix!$H$13:$I$37,2,FALSE)&amp;"_"&amp;C52</f>
        <v>#N/A</v>
      </c>
      <c r="O52" s="136" t="e">
        <f t="shared" ca="1" si="2"/>
        <v>#N/A</v>
      </c>
    </row>
    <row r="53" spans="2:15">
      <c r="B53" s="27"/>
      <c r="C53" s="26"/>
      <c r="D53" s="128"/>
      <c r="E53" s="27"/>
      <c r="F53" s="129"/>
      <c r="G53" s="27"/>
      <c r="H53" s="129"/>
      <c r="I53" s="27"/>
      <c r="J53" s="129"/>
      <c r="K53" s="27"/>
      <c r="L53" s="129"/>
      <c r="M53" s="55" t="e">
        <f t="shared" ca="1" si="1"/>
        <v>#N/A</v>
      </c>
      <c r="N53" s="121" t="e">
        <f ca="1">VLOOKUP($B53,Matrix!$H$13:$I$37,2,FALSE)&amp;"_"&amp;C53</f>
        <v>#N/A</v>
      </c>
      <c r="O53" s="136" t="e">
        <f t="shared" ca="1" si="2"/>
        <v>#N/A</v>
      </c>
    </row>
    <row r="54" spans="2:15">
      <c r="B54" s="27"/>
      <c r="C54" s="26"/>
      <c r="D54" s="128"/>
      <c r="E54" s="27"/>
      <c r="F54" s="129"/>
      <c r="G54" s="27"/>
      <c r="H54" s="129"/>
      <c r="I54" s="27"/>
      <c r="J54" s="129"/>
      <c r="K54" s="27"/>
      <c r="L54" s="129"/>
      <c r="M54" s="55" t="e">
        <f t="shared" ca="1" si="1"/>
        <v>#N/A</v>
      </c>
      <c r="N54" s="121" t="e">
        <f ca="1">VLOOKUP($B54,Matrix!$H$13:$I$37,2,FALSE)&amp;"_"&amp;C54</f>
        <v>#N/A</v>
      </c>
      <c r="O54" s="136" t="e">
        <f t="shared" ca="1" si="2"/>
        <v>#N/A</v>
      </c>
    </row>
    <row r="55" spans="2:15">
      <c r="B55" s="27"/>
      <c r="C55" s="26"/>
      <c r="D55" s="128"/>
      <c r="E55" s="27"/>
      <c r="F55" s="129"/>
      <c r="G55" s="27"/>
      <c r="H55" s="129"/>
      <c r="I55" s="27"/>
      <c r="J55" s="129"/>
      <c r="K55" s="27"/>
      <c r="L55" s="129"/>
      <c r="M55" s="55" t="e">
        <f t="shared" ca="1" si="1"/>
        <v>#N/A</v>
      </c>
      <c r="N55" s="121" t="e">
        <f ca="1">VLOOKUP($B55,Matrix!$H$13:$I$37,2,FALSE)&amp;"_"&amp;C55</f>
        <v>#N/A</v>
      </c>
      <c r="O55" s="136" t="e">
        <f t="shared" ca="1" si="2"/>
        <v>#N/A</v>
      </c>
    </row>
    <row r="56" spans="2:15">
      <c r="B56" s="27"/>
      <c r="C56" s="26"/>
      <c r="D56" s="128"/>
      <c r="E56" s="27"/>
      <c r="F56" s="129"/>
      <c r="G56" s="27"/>
      <c r="H56" s="129"/>
      <c r="I56" s="27"/>
      <c r="J56" s="129"/>
      <c r="K56" s="27"/>
      <c r="L56" s="129"/>
      <c r="M56" s="55" t="e">
        <f t="shared" ca="1" si="1"/>
        <v>#N/A</v>
      </c>
      <c r="N56" s="121" t="e">
        <f ca="1">VLOOKUP($B56,Matrix!$H$13:$I$37,2,FALSE)&amp;"_"&amp;C56</f>
        <v>#N/A</v>
      </c>
      <c r="O56" s="136" t="e">
        <f t="shared" ca="1" si="2"/>
        <v>#N/A</v>
      </c>
    </row>
    <row r="57" spans="2:15">
      <c r="B57" s="27"/>
      <c r="C57" s="26"/>
      <c r="D57" s="128"/>
      <c r="E57" s="27"/>
      <c r="F57" s="129"/>
      <c r="G57" s="27"/>
      <c r="H57" s="129"/>
      <c r="I57" s="27"/>
      <c r="J57" s="129"/>
      <c r="K57" s="27"/>
      <c r="L57" s="129"/>
      <c r="M57" s="55" t="e">
        <f t="shared" ca="1" si="1"/>
        <v>#N/A</v>
      </c>
      <c r="N57" s="121" t="e">
        <f ca="1">VLOOKUP($B57,Matrix!$H$13:$I$37,2,FALSE)&amp;"_"&amp;C57</f>
        <v>#N/A</v>
      </c>
      <c r="O57" s="136" t="e">
        <f t="shared" ca="1" si="2"/>
        <v>#N/A</v>
      </c>
    </row>
    <row r="58" spans="2:15">
      <c r="B58" s="27"/>
      <c r="C58" s="26"/>
      <c r="D58" s="128"/>
      <c r="E58" s="27"/>
      <c r="F58" s="129"/>
      <c r="G58" s="27"/>
      <c r="H58" s="129"/>
      <c r="I58" s="27"/>
      <c r="J58" s="129"/>
      <c r="K58" s="27"/>
      <c r="L58" s="129"/>
      <c r="M58" s="55" t="e">
        <f t="shared" ca="1" si="1"/>
        <v>#N/A</v>
      </c>
      <c r="N58" s="121" t="e">
        <f ca="1">VLOOKUP($B58,Matrix!$H$13:$I$37,2,FALSE)&amp;"_"&amp;C58</f>
        <v>#N/A</v>
      </c>
      <c r="O58" s="136" t="e">
        <f t="shared" ca="1" si="2"/>
        <v>#N/A</v>
      </c>
    </row>
    <row r="59" spans="2:15">
      <c r="B59" s="27"/>
      <c r="C59" s="26"/>
      <c r="D59" s="128"/>
      <c r="E59" s="27"/>
      <c r="F59" s="129"/>
      <c r="G59" s="27"/>
      <c r="H59" s="129"/>
      <c r="I59" s="27"/>
      <c r="J59" s="129"/>
      <c r="K59" s="27"/>
      <c r="L59" s="129"/>
      <c r="M59" s="55" t="e">
        <f t="shared" ca="1" si="1"/>
        <v>#N/A</v>
      </c>
      <c r="N59" s="121" t="e">
        <f ca="1">VLOOKUP($B59,Matrix!$H$13:$I$37,2,FALSE)&amp;"_"&amp;C59</f>
        <v>#N/A</v>
      </c>
      <c r="O59" s="136" t="e">
        <f t="shared" ca="1" si="2"/>
        <v>#N/A</v>
      </c>
    </row>
    <row r="60" spans="2:15">
      <c r="B60" s="27"/>
      <c r="C60" s="26"/>
      <c r="D60" s="128"/>
      <c r="E60" s="27"/>
      <c r="F60" s="129"/>
      <c r="G60" s="27"/>
      <c r="H60" s="129"/>
      <c r="I60" s="27"/>
      <c r="J60" s="129"/>
      <c r="K60" s="27"/>
      <c r="L60" s="129"/>
      <c r="M60" s="55" t="e">
        <f t="shared" ca="1" si="1"/>
        <v>#N/A</v>
      </c>
      <c r="N60" s="121" t="e">
        <f ca="1">VLOOKUP($B60,Matrix!$H$13:$I$37,2,FALSE)&amp;"_"&amp;C60</f>
        <v>#N/A</v>
      </c>
      <c r="O60" s="136" t="e">
        <f t="shared" ca="1" si="2"/>
        <v>#N/A</v>
      </c>
    </row>
    <row r="61" spans="2:15">
      <c r="B61" s="27"/>
      <c r="C61" s="26"/>
      <c r="D61" s="128"/>
      <c r="E61" s="27"/>
      <c r="F61" s="129"/>
      <c r="G61" s="27"/>
      <c r="H61" s="129"/>
      <c r="I61" s="27"/>
      <c r="J61" s="129"/>
      <c r="K61" s="27"/>
      <c r="L61" s="129"/>
      <c r="M61" s="55" t="e">
        <f t="shared" ca="1" si="1"/>
        <v>#N/A</v>
      </c>
      <c r="N61" s="121" t="e">
        <f ca="1">VLOOKUP($B61,Matrix!$H$13:$I$37,2,FALSE)&amp;"_"&amp;C61</f>
        <v>#N/A</v>
      </c>
      <c r="O61" s="136" t="e">
        <f t="shared" ca="1" si="2"/>
        <v>#N/A</v>
      </c>
    </row>
    <row r="62" spans="2:15">
      <c r="B62" s="27"/>
      <c r="C62" s="26"/>
      <c r="D62" s="128"/>
      <c r="E62" s="27"/>
      <c r="F62" s="129"/>
      <c r="G62" s="27"/>
      <c r="H62" s="129"/>
      <c r="I62" s="27"/>
      <c r="J62" s="129"/>
      <c r="K62" s="27"/>
      <c r="L62" s="129"/>
      <c r="M62" s="55" t="e">
        <f t="shared" ca="1" si="1"/>
        <v>#N/A</v>
      </c>
      <c r="N62" s="121" t="e">
        <f ca="1">VLOOKUP($B62,Matrix!$H$13:$I$37,2,FALSE)&amp;"_"&amp;C62</f>
        <v>#N/A</v>
      </c>
      <c r="O62" s="136" t="e">
        <f t="shared" ca="1" si="2"/>
        <v>#N/A</v>
      </c>
    </row>
    <row r="63" spans="2:15">
      <c r="B63" s="27"/>
      <c r="C63" s="26"/>
      <c r="D63" s="128"/>
      <c r="E63" s="27"/>
      <c r="F63" s="129"/>
      <c r="G63" s="27"/>
      <c r="H63" s="129"/>
      <c r="I63" s="27"/>
      <c r="J63" s="129"/>
      <c r="K63" s="27"/>
      <c r="L63" s="129"/>
      <c r="M63" s="55" t="e">
        <f t="shared" ca="1" si="1"/>
        <v>#N/A</v>
      </c>
      <c r="N63" s="121" t="e">
        <f ca="1">VLOOKUP($B63,Matrix!$H$13:$I$37,2,FALSE)&amp;"_"&amp;C63</f>
        <v>#N/A</v>
      </c>
      <c r="O63" s="136" t="e">
        <f t="shared" ca="1" si="2"/>
        <v>#N/A</v>
      </c>
    </row>
    <row r="64" spans="2:15">
      <c r="B64" s="27"/>
      <c r="C64" s="26"/>
      <c r="D64" s="128"/>
      <c r="E64" s="27"/>
      <c r="F64" s="129"/>
      <c r="G64" s="27"/>
      <c r="H64" s="129"/>
      <c r="I64" s="27"/>
      <c r="J64" s="129"/>
      <c r="K64" s="27"/>
      <c r="L64" s="129"/>
      <c r="M64" s="55" t="e">
        <f t="shared" ca="1" si="1"/>
        <v>#N/A</v>
      </c>
      <c r="N64" s="121" t="e">
        <f ca="1">VLOOKUP($B64,Matrix!$H$13:$I$37,2,FALSE)&amp;"_"&amp;C64</f>
        <v>#N/A</v>
      </c>
      <c r="O64" s="136" t="e">
        <f t="shared" ca="1" si="2"/>
        <v>#N/A</v>
      </c>
    </row>
    <row r="65" spans="2:15">
      <c r="B65" s="27"/>
      <c r="C65" s="26"/>
      <c r="D65" s="128"/>
      <c r="E65" s="27"/>
      <c r="F65" s="129"/>
      <c r="G65" s="27"/>
      <c r="H65" s="129"/>
      <c r="I65" s="27"/>
      <c r="J65" s="129"/>
      <c r="K65" s="27"/>
      <c r="L65" s="129"/>
      <c r="M65" s="55" t="e">
        <f t="shared" ca="1" si="1"/>
        <v>#N/A</v>
      </c>
      <c r="N65" s="121" t="e">
        <f ca="1">VLOOKUP($B65,Matrix!$H$13:$I$37,2,FALSE)&amp;"_"&amp;C65</f>
        <v>#N/A</v>
      </c>
      <c r="O65" s="136" t="e">
        <f t="shared" ca="1" si="2"/>
        <v>#N/A</v>
      </c>
    </row>
    <row r="66" spans="2:15">
      <c r="B66" s="27"/>
      <c r="C66" s="26"/>
      <c r="D66" s="128"/>
      <c r="E66" s="27"/>
      <c r="F66" s="129"/>
      <c r="G66" s="27"/>
      <c r="H66" s="129"/>
      <c r="I66" s="27"/>
      <c r="J66" s="129"/>
      <c r="K66" s="27"/>
      <c r="L66" s="129"/>
      <c r="M66" s="55" t="e">
        <f t="shared" ca="1" si="1"/>
        <v>#N/A</v>
      </c>
      <c r="N66" s="121" t="e">
        <f ca="1">VLOOKUP($B66,Matrix!$H$13:$I$37,2,FALSE)&amp;"_"&amp;C66</f>
        <v>#N/A</v>
      </c>
      <c r="O66" s="136" t="e">
        <f t="shared" ca="1" si="2"/>
        <v>#N/A</v>
      </c>
    </row>
    <row r="67" spans="2:15">
      <c r="B67" s="27"/>
      <c r="C67" s="26"/>
      <c r="D67" s="128"/>
      <c r="E67" s="27"/>
      <c r="F67" s="129"/>
      <c r="G67" s="27"/>
      <c r="H67" s="129"/>
      <c r="I67" s="27"/>
      <c r="J67" s="129"/>
      <c r="K67" s="27"/>
      <c r="L67" s="129"/>
      <c r="M67" s="55" t="e">
        <f t="shared" ca="1" si="1"/>
        <v>#N/A</v>
      </c>
      <c r="N67" s="121" t="e">
        <f ca="1">VLOOKUP($B67,Matrix!$H$13:$I$37,2,FALSE)&amp;"_"&amp;C67</f>
        <v>#N/A</v>
      </c>
      <c r="O67" s="136" t="e">
        <f t="shared" ca="1" si="2"/>
        <v>#N/A</v>
      </c>
    </row>
    <row r="68" spans="2:15">
      <c r="B68" s="27"/>
      <c r="C68" s="26"/>
      <c r="D68" s="128"/>
      <c r="E68" s="27"/>
      <c r="F68" s="129"/>
      <c r="G68" s="27"/>
      <c r="H68" s="129"/>
      <c r="I68" s="27"/>
      <c r="J68" s="129"/>
      <c r="K68" s="27"/>
      <c r="L68" s="129"/>
      <c r="M68" s="55" t="e">
        <f t="shared" ca="1" si="1"/>
        <v>#N/A</v>
      </c>
      <c r="N68" s="121" t="e">
        <f ca="1">VLOOKUP($B68,Matrix!$H$13:$I$37,2,FALSE)&amp;"_"&amp;C68</f>
        <v>#N/A</v>
      </c>
      <c r="O68" s="136" t="e">
        <f t="shared" ref="O68:O99" ca="1" si="3">"#define "&amp;N68&amp;REPT(" ",48-M68)&amp;"("&amp;D68&amp;"U)"</f>
        <v>#N/A</v>
      </c>
    </row>
    <row r="69" spans="2:15">
      <c r="B69" s="27"/>
      <c r="C69" s="26"/>
      <c r="D69" s="128"/>
      <c r="E69" s="27"/>
      <c r="F69" s="129"/>
      <c r="G69" s="27"/>
      <c r="H69" s="129"/>
      <c r="I69" s="27"/>
      <c r="J69" s="129"/>
      <c r="K69" s="27"/>
      <c r="L69" s="129"/>
      <c r="M69" s="55" t="e">
        <f t="shared" ref="M69:M103" ca="1" si="4">LEN(N69)</f>
        <v>#N/A</v>
      </c>
      <c r="N69" s="121" t="e">
        <f ca="1">VLOOKUP($B69,Matrix!$H$13:$I$37,2,FALSE)&amp;"_"&amp;C69</f>
        <v>#N/A</v>
      </c>
      <c r="O69" s="136" t="e">
        <f t="shared" ca="1" si="3"/>
        <v>#N/A</v>
      </c>
    </row>
    <row r="70" spans="2:15">
      <c r="B70" s="27"/>
      <c r="C70" s="26"/>
      <c r="D70" s="128"/>
      <c r="E70" s="27"/>
      <c r="F70" s="129"/>
      <c r="G70" s="27"/>
      <c r="H70" s="129"/>
      <c r="I70" s="27"/>
      <c r="J70" s="129"/>
      <c r="K70" s="27"/>
      <c r="L70" s="129"/>
      <c r="M70" s="55" t="e">
        <f t="shared" ca="1" si="4"/>
        <v>#N/A</v>
      </c>
      <c r="N70" s="121" t="e">
        <f ca="1">VLOOKUP($B70,Matrix!$H$13:$I$37,2,FALSE)&amp;"_"&amp;C70</f>
        <v>#N/A</v>
      </c>
      <c r="O70" s="136" t="e">
        <f t="shared" ca="1" si="3"/>
        <v>#N/A</v>
      </c>
    </row>
    <row r="71" spans="2:15">
      <c r="B71" s="27"/>
      <c r="C71" s="26"/>
      <c r="D71" s="128"/>
      <c r="E71" s="27"/>
      <c r="F71" s="129"/>
      <c r="G71" s="27"/>
      <c r="H71" s="129"/>
      <c r="I71" s="27"/>
      <c r="J71" s="129"/>
      <c r="K71" s="27"/>
      <c r="L71" s="129"/>
      <c r="M71" s="55" t="e">
        <f t="shared" ca="1" si="4"/>
        <v>#N/A</v>
      </c>
      <c r="N71" s="121" t="e">
        <f ca="1">VLOOKUP($B71,Matrix!$H$13:$I$37,2,FALSE)&amp;"_"&amp;C71</f>
        <v>#N/A</v>
      </c>
      <c r="O71" s="136" t="e">
        <f t="shared" ca="1" si="3"/>
        <v>#N/A</v>
      </c>
    </row>
    <row r="72" spans="2:15">
      <c r="B72" s="27"/>
      <c r="C72" s="26"/>
      <c r="D72" s="128"/>
      <c r="E72" s="27"/>
      <c r="F72" s="129"/>
      <c r="G72" s="27"/>
      <c r="H72" s="129"/>
      <c r="I72" s="27"/>
      <c r="J72" s="129"/>
      <c r="K72" s="27"/>
      <c r="L72" s="129"/>
      <c r="M72" s="55" t="e">
        <f t="shared" ca="1" si="4"/>
        <v>#N/A</v>
      </c>
      <c r="N72" s="121" t="e">
        <f ca="1">VLOOKUP($B72,Matrix!$H$13:$I$37,2,FALSE)&amp;"_"&amp;C72</f>
        <v>#N/A</v>
      </c>
      <c r="O72" s="136" t="e">
        <f t="shared" ca="1" si="3"/>
        <v>#N/A</v>
      </c>
    </row>
    <row r="73" spans="2:15">
      <c r="B73" s="27"/>
      <c r="C73" s="26"/>
      <c r="D73" s="128"/>
      <c r="E73" s="27"/>
      <c r="F73" s="129"/>
      <c r="G73" s="27"/>
      <c r="H73" s="129"/>
      <c r="I73" s="27"/>
      <c r="J73" s="129"/>
      <c r="K73" s="27"/>
      <c r="L73" s="129"/>
      <c r="M73" s="55" t="e">
        <f t="shared" ca="1" si="4"/>
        <v>#N/A</v>
      </c>
      <c r="N73" s="121" t="e">
        <f ca="1">VLOOKUP($B73,Matrix!$H$13:$I$37,2,FALSE)&amp;"_"&amp;C73</f>
        <v>#N/A</v>
      </c>
      <c r="O73" s="136" t="e">
        <f t="shared" ca="1" si="3"/>
        <v>#N/A</v>
      </c>
    </row>
    <row r="74" spans="2:15">
      <c r="B74" s="27"/>
      <c r="C74" s="26"/>
      <c r="D74" s="128"/>
      <c r="E74" s="27"/>
      <c r="F74" s="129"/>
      <c r="G74" s="27"/>
      <c r="H74" s="129"/>
      <c r="I74" s="27"/>
      <c r="J74" s="129"/>
      <c r="K74" s="27"/>
      <c r="L74" s="129"/>
      <c r="M74" s="55" t="e">
        <f t="shared" ca="1" si="4"/>
        <v>#N/A</v>
      </c>
      <c r="N74" s="121" t="e">
        <f ca="1">VLOOKUP($B74,Matrix!$H$13:$I$37,2,FALSE)&amp;"_"&amp;C74</f>
        <v>#N/A</v>
      </c>
      <c r="O74" s="136" t="e">
        <f t="shared" ca="1" si="3"/>
        <v>#N/A</v>
      </c>
    </row>
    <row r="75" spans="2:15">
      <c r="B75" s="27"/>
      <c r="C75" s="26"/>
      <c r="D75" s="128"/>
      <c r="E75" s="27"/>
      <c r="F75" s="129"/>
      <c r="G75" s="27"/>
      <c r="H75" s="129"/>
      <c r="I75" s="27"/>
      <c r="J75" s="129"/>
      <c r="K75" s="27"/>
      <c r="L75" s="129"/>
      <c r="M75" s="55" t="e">
        <f t="shared" ca="1" si="4"/>
        <v>#N/A</v>
      </c>
      <c r="N75" s="121" t="e">
        <f ca="1">VLOOKUP($B75,Matrix!$H$13:$I$37,2,FALSE)&amp;"_"&amp;C75</f>
        <v>#N/A</v>
      </c>
      <c r="O75" s="136" t="e">
        <f t="shared" ca="1" si="3"/>
        <v>#N/A</v>
      </c>
    </row>
    <row r="76" spans="2:15">
      <c r="B76" s="27"/>
      <c r="C76" s="26"/>
      <c r="D76" s="128"/>
      <c r="E76" s="27"/>
      <c r="F76" s="129"/>
      <c r="G76" s="27"/>
      <c r="H76" s="129"/>
      <c r="I76" s="27"/>
      <c r="J76" s="129"/>
      <c r="K76" s="27"/>
      <c r="L76" s="129"/>
      <c r="M76" s="55" t="e">
        <f t="shared" ca="1" si="4"/>
        <v>#N/A</v>
      </c>
      <c r="N76" s="121" t="e">
        <f ca="1">VLOOKUP($B76,Matrix!$H$13:$I$37,2,FALSE)&amp;"_"&amp;C76</f>
        <v>#N/A</v>
      </c>
      <c r="O76" s="136" t="e">
        <f t="shared" ca="1" si="3"/>
        <v>#N/A</v>
      </c>
    </row>
    <row r="77" spans="2:15">
      <c r="B77" s="27"/>
      <c r="C77" s="26"/>
      <c r="D77" s="128"/>
      <c r="E77" s="27"/>
      <c r="F77" s="129"/>
      <c r="G77" s="27"/>
      <c r="H77" s="129"/>
      <c r="I77" s="27"/>
      <c r="J77" s="129"/>
      <c r="K77" s="27"/>
      <c r="L77" s="129"/>
      <c r="M77" s="55" t="e">
        <f t="shared" ca="1" si="4"/>
        <v>#N/A</v>
      </c>
      <c r="N77" s="121" t="e">
        <f ca="1">VLOOKUP($B77,Matrix!$H$13:$I$37,2,FALSE)&amp;"_"&amp;C77</f>
        <v>#N/A</v>
      </c>
      <c r="O77" s="136" t="e">
        <f t="shared" ca="1" si="3"/>
        <v>#N/A</v>
      </c>
    </row>
    <row r="78" spans="2:15">
      <c r="B78" s="27"/>
      <c r="C78" s="26"/>
      <c r="D78" s="128"/>
      <c r="E78" s="27"/>
      <c r="F78" s="129"/>
      <c r="G78" s="27"/>
      <c r="H78" s="129"/>
      <c r="I78" s="27"/>
      <c r="J78" s="129"/>
      <c r="K78" s="27"/>
      <c r="L78" s="129"/>
      <c r="M78" s="55" t="e">
        <f t="shared" ca="1" si="4"/>
        <v>#N/A</v>
      </c>
      <c r="N78" s="121" t="e">
        <f ca="1">VLOOKUP($B78,Matrix!$H$13:$I$37,2,FALSE)&amp;"_"&amp;C78</f>
        <v>#N/A</v>
      </c>
      <c r="O78" s="136" t="e">
        <f t="shared" ca="1" si="3"/>
        <v>#N/A</v>
      </c>
    </row>
    <row r="79" spans="2:15">
      <c r="B79" s="27"/>
      <c r="C79" s="26"/>
      <c r="D79" s="128"/>
      <c r="E79" s="27"/>
      <c r="F79" s="129"/>
      <c r="G79" s="27"/>
      <c r="H79" s="129"/>
      <c r="I79" s="27"/>
      <c r="J79" s="129"/>
      <c r="K79" s="27"/>
      <c r="L79" s="129"/>
      <c r="M79" s="55" t="e">
        <f t="shared" ca="1" si="4"/>
        <v>#N/A</v>
      </c>
      <c r="N79" s="121" t="e">
        <f ca="1">VLOOKUP($B79,Matrix!$H$13:$I$37,2,FALSE)&amp;"_"&amp;C79</f>
        <v>#N/A</v>
      </c>
      <c r="O79" s="136" t="e">
        <f t="shared" ca="1" si="3"/>
        <v>#N/A</v>
      </c>
    </row>
    <row r="80" spans="2:15">
      <c r="B80" s="27"/>
      <c r="C80" s="26"/>
      <c r="D80" s="128"/>
      <c r="E80" s="27"/>
      <c r="F80" s="129"/>
      <c r="G80" s="27"/>
      <c r="H80" s="129"/>
      <c r="I80" s="27"/>
      <c r="J80" s="129"/>
      <c r="K80" s="27"/>
      <c r="L80" s="129"/>
      <c r="M80" s="55" t="e">
        <f t="shared" ca="1" si="4"/>
        <v>#N/A</v>
      </c>
      <c r="N80" s="121" t="e">
        <f ca="1">VLOOKUP($B80,Matrix!$H$13:$I$37,2,FALSE)&amp;"_"&amp;C80</f>
        <v>#N/A</v>
      </c>
      <c r="O80" s="136" t="e">
        <f t="shared" ca="1" si="3"/>
        <v>#N/A</v>
      </c>
    </row>
    <row r="81" spans="2:15">
      <c r="B81" s="27"/>
      <c r="C81" s="26"/>
      <c r="D81" s="128"/>
      <c r="E81" s="27"/>
      <c r="F81" s="129"/>
      <c r="G81" s="27"/>
      <c r="H81" s="129"/>
      <c r="I81" s="27"/>
      <c r="J81" s="129"/>
      <c r="K81" s="27"/>
      <c r="L81" s="129"/>
      <c r="M81" s="55" t="e">
        <f t="shared" ca="1" si="4"/>
        <v>#N/A</v>
      </c>
      <c r="N81" s="121" t="e">
        <f ca="1">VLOOKUP($B81,Matrix!$H$13:$I$37,2,FALSE)&amp;"_"&amp;C81</f>
        <v>#N/A</v>
      </c>
      <c r="O81" s="136" t="e">
        <f t="shared" ca="1" si="3"/>
        <v>#N/A</v>
      </c>
    </row>
    <row r="82" spans="2:15">
      <c r="B82" s="27"/>
      <c r="C82" s="26"/>
      <c r="D82" s="128"/>
      <c r="E82" s="27"/>
      <c r="F82" s="129"/>
      <c r="G82" s="27"/>
      <c r="H82" s="129"/>
      <c r="I82" s="27"/>
      <c r="J82" s="129"/>
      <c r="K82" s="27"/>
      <c r="L82" s="129"/>
      <c r="M82" s="55" t="e">
        <f t="shared" ca="1" si="4"/>
        <v>#N/A</v>
      </c>
      <c r="N82" s="121" t="e">
        <f ca="1">VLOOKUP($B82,Matrix!$H$13:$I$37,2,FALSE)&amp;"_"&amp;C82</f>
        <v>#N/A</v>
      </c>
      <c r="O82" s="136" t="e">
        <f t="shared" ca="1" si="3"/>
        <v>#N/A</v>
      </c>
    </row>
    <row r="83" spans="2:15">
      <c r="B83" s="27"/>
      <c r="C83" s="26"/>
      <c r="D83" s="128"/>
      <c r="E83" s="27"/>
      <c r="F83" s="129"/>
      <c r="G83" s="27"/>
      <c r="H83" s="129"/>
      <c r="I83" s="27"/>
      <c r="J83" s="129"/>
      <c r="K83" s="27"/>
      <c r="L83" s="129"/>
      <c r="M83" s="55" t="e">
        <f t="shared" ca="1" si="4"/>
        <v>#N/A</v>
      </c>
      <c r="N83" s="121" t="e">
        <f ca="1">VLOOKUP($B83,Matrix!$H$13:$I$37,2,FALSE)&amp;"_"&amp;C83</f>
        <v>#N/A</v>
      </c>
      <c r="O83" s="136" t="e">
        <f t="shared" ca="1" si="3"/>
        <v>#N/A</v>
      </c>
    </row>
    <row r="84" spans="2:15">
      <c r="B84" s="27"/>
      <c r="C84" s="26"/>
      <c r="D84" s="128"/>
      <c r="E84" s="27"/>
      <c r="F84" s="129"/>
      <c r="G84" s="27"/>
      <c r="H84" s="129"/>
      <c r="I84" s="27"/>
      <c r="J84" s="129"/>
      <c r="K84" s="27"/>
      <c r="L84" s="129"/>
      <c r="M84" s="55" t="e">
        <f t="shared" ca="1" si="4"/>
        <v>#N/A</v>
      </c>
      <c r="N84" s="121" t="e">
        <f ca="1">VLOOKUP($B84,Matrix!$H$13:$I$37,2,FALSE)&amp;"_"&amp;C84</f>
        <v>#N/A</v>
      </c>
      <c r="O84" s="136" t="e">
        <f t="shared" ca="1" si="3"/>
        <v>#N/A</v>
      </c>
    </row>
    <row r="85" spans="2:15">
      <c r="B85" s="27"/>
      <c r="C85" s="26"/>
      <c r="D85" s="128"/>
      <c r="E85" s="27"/>
      <c r="F85" s="129"/>
      <c r="G85" s="27"/>
      <c r="H85" s="129"/>
      <c r="I85" s="27"/>
      <c r="J85" s="129"/>
      <c r="K85" s="27"/>
      <c r="L85" s="129"/>
      <c r="M85" s="55" t="e">
        <f t="shared" ca="1" si="4"/>
        <v>#N/A</v>
      </c>
      <c r="N85" s="121" t="e">
        <f ca="1">VLOOKUP($B85,Matrix!$H$13:$I$37,2,FALSE)&amp;"_"&amp;C85</f>
        <v>#N/A</v>
      </c>
      <c r="O85" s="136" t="e">
        <f t="shared" ca="1" si="3"/>
        <v>#N/A</v>
      </c>
    </row>
    <row r="86" spans="2:15">
      <c r="B86" s="27"/>
      <c r="C86" s="26"/>
      <c r="D86" s="128"/>
      <c r="E86" s="27"/>
      <c r="F86" s="129"/>
      <c r="G86" s="27"/>
      <c r="H86" s="129"/>
      <c r="I86" s="27"/>
      <c r="J86" s="129"/>
      <c r="K86" s="27"/>
      <c r="L86" s="129"/>
      <c r="M86" s="55" t="e">
        <f t="shared" ca="1" si="4"/>
        <v>#N/A</v>
      </c>
      <c r="N86" s="121" t="e">
        <f ca="1">VLOOKUP($B86,Matrix!$H$13:$I$37,2,FALSE)&amp;"_"&amp;C86</f>
        <v>#N/A</v>
      </c>
      <c r="O86" s="136" t="e">
        <f t="shared" ca="1" si="3"/>
        <v>#N/A</v>
      </c>
    </row>
    <row r="87" spans="2:15">
      <c r="B87" s="27"/>
      <c r="C87" s="26"/>
      <c r="D87" s="128"/>
      <c r="E87" s="27"/>
      <c r="F87" s="129"/>
      <c r="G87" s="27"/>
      <c r="H87" s="129"/>
      <c r="I87" s="27"/>
      <c r="J87" s="129"/>
      <c r="K87" s="27"/>
      <c r="L87" s="129"/>
      <c r="M87" s="55" t="e">
        <f t="shared" ca="1" si="4"/>
        <v>#N/A</v>
      </c>
      <c r="N87" s="76" t="e">
        <f ca="1">VLOOKUP($B87,Matrix!$H$13:$I$37,2,FALSE)&amp;"_"&amp;C87</f>
        <v>#N/A</v>
      </c>
      <c r="O87" s="136" t="e">
        <f t="shared" ca="1" si="3"/>
        <v>#N/A</v>
      </c>
    </row>
    <row r="88" spans="2:15">
      <c r="B88" s="27"/>
      <c r="C88" s="26"/>
      <c r="D88" s="128"/>
      <c r="E88" s="27"/>
      <c r="F88" s="129"/>
      <c r="G88" s="27"/>
      <c r="H88" s="129"/>
      <c r="I88" s="27"/>
      <c r="J88" s="129"/>
      <c r="K88" s="27"/>
      <c r="L88" s="129"/>
      <c r="M88" s="55" t="e">
        <f t="shared" ca="1" si="4"/>
        <v>#N/A</v>
      </c>
      <c r="N88" s="76" t="e">
        <f ca="1">VLOOKUP($B88,Matrix!$H$13:$I$37,2,FALSE)&amp;"_"&amp;C88</f>
        <v>#N/A</v>
      </c>
      <c r="O88" s="136" t="e">
        <f t="shared" ca="1" si="3"/>
        <v>#N/A</v>
      </c>
    </row>
    <row r="89" spans="2:15">
      <c r="B89" s="27"/>
      <c r="C89" s="26"/>
      <c r="D89" s="128"/>
      <c r="E89" s="27"/>
      <c r="F89" s="129"/>
      <c r="G89" s="27"/>
      <c r="H89" s="129"/>
      <c r="I89" s="27"/>
      <c r="J89" s="129"/>
      <c r="K89" s="27"/>
      <c r="L89" s="129"/>
      <c r="M89" s="55" t="e">
        <f t="shared" ca="1" si="4"/>
        <v>#N/A</v>
      </c>
      <c r="N89" s="76" t="e">
        <f ca="1">VLOOKUP($B89,Matrix!$H$13:$I$37,2,FALSE)&amp;"_"&amp;C89</f>
        <v>#N/A</v>
      </c>
      <c r="O89" s="136" t="e">
        <f t="shared" ca="1" si="3"/>
        <v>#N/A</v>
      </c>
    </row>
    <row r="90" spans="2:15">
      <c r="B90" s="27"/>
      <c r="C90" s="26"/>
      <c r="D90" s="128"/>
      <c r="E90" s="27"/>
      <c r="F90" s="129"/>
      <c r="G90" s="27"/>
      <c r="H90" s="129"/>
      <c r="I90" s="27"/>
      <c r="J90" s="129"/>
      <c r="K90" s="27"/>
      <c r="L90" s="129"/>
      <c r="M90" s="55" t="e">
        <f t="shared" ca="1" si="4"/>
        <v>#N/A</v>
      </c>
      <c r="N90" s="76" t="e">
        <f ca="1">VLOOKUP($B90,Matrix!$H$13:$I$37,2,FALSE)&amp;"_"&amp;C90</f>
        <v>#N/A</v>
      </c>
      <c r="O90" s="136" t="e">
        <f t="shared" ca="1" si="3"/>
        <v>#N/A</v>
      </c>
    </row>
    <row r="91" spans="2:15">
      <c r="B91" s="27"/>
      <c r="C91" s="26"/>
      <c r="D91" s="128"/>
      <c r="E91" s="27"/>
      <c r="F91" s="129"/>
      <c r="G91" s="27"/>
      <c r="H91" s="129"/>
      <c r="I91" s="27"/>
      <c r="J91" s="129"/>
      <c r="K91" s="27"/>
      <c r="L91" s="129"/>
      <c r="M91" s="55" t="e">
        <f t="shared" ca="1" si="4"/>
        <v>#N/A</v>
      </c>
      <c r="N91" s="76" t="e">
        <f ca="1">VLOOKUP($B91,Matrix!$H$13:$I$37,2,FALSE)&amp;"_"&amp;C91</f>
        <v>#N/A</v>
      </c>
      <c r="O91" s="136" t="e">
        <f t="shared" ca="1" si="3"/>
        <v>#N/A</v>
      </c>
    </row>
    <row r="92" spans="2:15">
      <c r="B92" s="27"/>
      <c r="C92" s="26"/>
      <c r="D92" s="128"/>
      <c r="E92" s="27"/>
      <c r="F92" s="129"/>
      <c r="G92" s="27"/>
      <c r="H92" s="129"/>
      <c r="I92" s="27"/>
      <c r="J92" s="129"/>
      <c r="K92" s="27"/>
      <c r="L92" s="129"/>
      <c r="M92" s="55" t="e">
        <f t="shared" ca="1" si="4"/>
        <v>#N/A</v>
      </c>
      <c r="N92" s="76" t="e">
        <f ca="1">VLOOKUP($B92,Matrix!$H$13:$I$37,2,FALSE)&amp;"_"&amp;C92</f>
        <v>#N/A</v>
      </c>
      <c r="O92" s="136" t="e">
        <f t="shared" ca="1" si="3"/>
        <v>#N/A</v>
      </c>
    </row>
    <row r="93" spans="2:15">
      <c r="B93" s="27"/>
      <c r="C93" s="26"/>
      <c r="D93" s="128"/>
      <c r="E93" s="27"/>
      <c r="F93" s="129"/>
      <c r="G93" s="27"/>
      <c r="H93" s="129"/>
      <c r="I93" s="27"/>
      <c r="J93" s="129"/>
      <c r="K93" s="27"/>
      <c r="L93" s="129"/>
      <c r="M93" s="55" t="e">
        <f t="shared" ca="1" si="4"/>
        <v>#N/A</v>
      </c>
      <c r="N93" s="76" t="e">
        <f ca="1">VLOOKUP($B93,Matrix!$H$13:$I$37,2,FALSE)&amp;"_"&amp;C93</f>
        <v>#N/A</v>
      </c>
      <c r="O93" s="136" t="e">
        <f t="shared" ca="1" si="3"/>
        <v>#N/A</v>
      </c>
    </row>
    <row r="94" spans="2:15">
      <c r="B94" s="27"/>
      <c r="C94" s="26"/>
      <c r="D94" s="128"/>
      <c r="E94" s="27"/>
      <c r="F94" s="129"/>
      <c r="G94" s="27"/>
      <c r="H94" s="129"/>
      <c r="I94" s="27"/>
      <c r="J94" s="129"/>
      <c r="K94" s="27"/>
      <c r="L94" s="129"/>
      <c r="M94" s="55" t="e">
        <f t="shared" ca="1" si="4"/>
        <v>#N/A</v>
      </c>
      <c r="N94" s="76" t="e">
        <f ca="1">VLOOKUP($B94,Matrix!$H$13:$I$37,2,FALSE)&amp;"_"&amp;C94</f>
        <v>#N/A</v>
      </c>
      <c r="O94" s="136" t="e">
        <f t="shared" ca="1" si="3"/>
        <v>#N/A</v>
      </c>
    </row>
    <row r="95" spans="2:15">
      <c r="B95" s="27"/>
      <c r="C95" s="26"/>
      <c r="D95" s="128"/>
      <c r="E95" s="27"/>
      <c r="F95" s="129"/>
      <c r="G95" s="27"/>
      <c r="H95" s="129"/>
      <c r="I95" s="27"/>
      <c r="J95" s="129"/>
      <c r="K95" s="27"/>
      <c r="L95" s="129"/>
      <c r="M95" s="55" t="e">
        <f t="shared" ca="1" si="4"/>
        <v>#N/A</v>
      </c>
      <c r="N95" s="76" t="e">
        <f ca="1">VLOOKUP($B95,Matrix!$H$13:$I$37,2,FALSE)&amp;"_"&amp;C95</f>
        <v>#N/A</v>
      </c>
      <c r="O95" s="136" t="e">
        <f t="shared" ca="1" si="3"/>
        <v>#N/A</v>
      </c>
    </row>
    <row r="96" spans="2:15">
      <c r="B96" s="27"/>
      <c r="C96" s="26"/>
      <c r="D96" s="128"/>
      <c r="E96" s="27"/>
      <c r="F96" s="129"/>
      <c r="G96" s="27"/>
      <c r="H96" s="129"/>
      <c r="I96" s="27"/>
      <c r="J96" s="129"/>
      <c r="K96" s="27"/>
      <c r="L96" s="129"/>
      <c r="M96" s="55" t="e">
        <f t="shared" ca="1" si="4"/>
        <v>#N/A</v>
      </c>
      <c r="N96" s="76" t="e">
        <f ca="1">VLOOKUP($B96,Matrix!$H$13:$I$37,2,FALSE)&amp;"_"&amp;C96</f>
        <v>#N/A</v>
      </c>
      <c r="O96" s="136" t="e">
        <f t="shared" ca="1" si="3"/>
        <v>#N/A</v>
      </c>
    </row>
    <row r="97" spans="2:15">
      <c r="B97" s="27"/>
      <c r="C97" s="26"/>
      <c r="D97" s="128"/>
      <c r="E97" s="27"/>
      <c r="F97" s="129"/>
      <c r="G97" s="27"/>
      <c r="H97" s="129"/>
      <c r="I97" s="27"/>
      <c r="J97" s="129"/>
      <c r="K97" s="27"/>
      <c r="L97" s="129"/>
      <c r="M97" s="55" t="e">
        <f t="shared" ca="1" si="4"/>
        <v>#N/A</v>
      </c>
      <c r="N97" s="76" t="e">
        <f ca="1">VLOOKUP($B97,Matrix!$H$13:$I$37,2,FALSE)&amp;"_"&amp;C97</f>
        <v>#N/A</v>
      </c>
      <c r="O97" s="136" t="e">
        <f t="shared" ca="1" si="3"/>
        <v>#N/A</v>
      </c>
    </row>
    <row r="98" spans="2:15">
      <c r="B98" s="27"/>
      <c r="C98" s="26"/>
      <c r="D98" s="128"/>
      <c r="E98" s="27"/>
      <c r="F98" s="129"/>
      <c r="G98" s="27"/>
      <c r="H98" s="129"/>
      <c r="I98" s="27"/>
      <c r="J98" s="129"/>
      <c r="K98" s="27"/>
      <c r="L98" s="129"/>
      <c r="M98" s="55" t="e">
        <f t="shared" ca="1" si="4"/>
        <v>#N/A</v>
      </c>
      <c r="N98" s="76" t="e">
        <f ca="1">VLOOKUP($B98,Matrix!$H$13:$I$37,2,FALSE)&amp;"_"&amp;C98</f>
        <v>#N/A</v>
      </c>
      <c r="O98" s="136" t="e">
        <f t="shared" ca="1" si="3"/>
        <v>#N/A</v>
      </c>
    </row>
    <row r="99" spans="2:15">
      <c r="B99" s="27"/>
      <c r="C99" s="26"/>
      <c r="D99" s="128"/>
      <c r="E99" s="27"/>
      <c r="F99" s="129"/>
      <c r="G99" s="27"/>
      <c r="H99" s="129"/>
      <c r="I99" s="27"/>
      <c r="J99" s="129"/>
      <c r="K99" s="27"/>
      <c r="L99" s="129"/>
      <c r="M99" s="55" t="e">
        <f t="shared" ca="1" si="4"/>
        <v>#N/A</v>
      </c>
      <c r="N99" s="76" t="e">
        <f ca="1">VLOOKUP($B99,Matrix!$H$13:$I$37,2,FALSE)&amp;"_"&amp;C99</f>
        <v>#N/A</v>
      </c>
      <c r="O99" s="136" t="e">
        <f t="shared" ca="1" si="3"/>
        <v>#N/A</v>
      </c>
    </row>
    <row r="100" spans="2:15">
      <c r="B100" s="27"/>
      <c r="C100" s="26"/>
      <c r="D100" s="128"/>
      <c r="E100" s="27"/>
      <c r="F100" s="129"/>
      <c r="G100" s="27"/>
      <c r="H100" s="129"/>
      <c r="I100" s="27"/>
      <c r="J100" s="129"/>
      <c r="K100" s="27"/>
      <c r="L100" s="129"/>
      <c r="M100" s="55" t="e">
        <f t="shared" ca="1" si="4"/>
        <v>#N/A</v>
      </c>
      <c r="N100" s="76" t="e">
        <f ca="1">VLOOKUP($B100,Matrix!$H$13:$I$37,2,FALSE)&amp;"_"&amp;C100</f>
        <v>#N/A</v>
      </c>
      <c r="O100" s="136" t="e">
        <f t="shared" ref="O100:O103" ca="1" si="5">"#define "&amp;N100&amp;REPT(" ",48-M100)&amp;"("&amp;D100&amp;"U)"</f>
        <v>#N/A</v>
      </c>
    </row>
    <row r="101" spans="2:15">
      <c r="B101" s="27"/>
      <c r="C101" s="26"/>
      <c r="D101" s="128"/>
      <c r="E101" s="27"/>
      <c r="F101" s="129"/>
      <c r="G101" s="27"/>
      <c r="H101" s="129"/>
      <c r="I101" s="27"/>
      <c r="J101" s="129"/>
      <c r="K101" s="27"/>
      <c r="L101" s="129"/>
      <c r="M101" s="55" t="e">
        <f t="shared" ca="1" si="4"/>
        <v>#N/A</v>
      </c>
      <c r="N101" s="76" t="e">
        <f ca="1">VLOOKUP($B101,Matrix!$H$13:$I$37,2,FALSE)&amp;"_"&amp;C101</f>
        <v>#N/A</v>
      </c>
      <c r="O101" s="136" t="e">
        <f t="shared" ca="1" si="5"/>
        <v>#N/A</v>
      </c>
    </row>
    <row r="102" spans="2:15">
      <c r="B102" s="27"/>
      <c r="C102" s="26"/>
      <c r="D102" s="128"/>
      <c r="E102" s="27"/>
      <c r="F102" s="129"/>
      <c r="G102" s="27"/>
      <c r="H102" s="129"/>
      <c r="I102" s="27"/>
      <c r="J102" s="129"/>
      <c r="K102" s="27"/>
      <c r="L102" s="129"/>
      <c r="M102" s="55" t="e">
        <f t="shared" ca="1" si="4"/>
        <v>#N/A</v>
      </c>
      <c r="N102" s="76" t="e">
        <f ca="1">VLOOKUP($B102,Matrix!$H$13:$I$37,2,FALSE)&amp;"_"&amp;C102</f>
        <v>#N/A</v>
      </c>
      <c r="O102" s="136" t="e">
        <f t="shared" ca="1" si="5"/>
        <v>#N/A</v>
      </c>
    </row>
    <row r="103" spans="2:15" ht="14.25" thickBot="1">
      <c r="B103" s="61"/>
      <c r="C103" s="62"/>
      <c r="D103" s="130"/>
      <c r="E103" s="61"/>
      <c r="F103" s="131"/>
      <c r="G103" s="61"/>
      <c r="H103" s="131"/>
      <c r="I103" s="61"/>
      <c r="J103" s="131"/>
      <c r="K103" s="61"/>
      <c r="L103" s="131"/>
      <c r="M103" s="63" t="e">
        <f t="shared" ca="1" si="4"/>
        <v>#N/A</v>
      </c>
      <c r="N103" s="77" t="e">
        <f ca="1">VLOOKUP($B103,Matrix!$H$13:$I$37,2,FALSE)&amp;"_"&amp;C103</f>
        <v>#N/A</v>
      </c>
      <c r="O103" s="137"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S11" sqref="AS11"/>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8" t="s">
        <v>130</v>
      </c>
      <c r="C2" s="258" t="s">
        <v>84</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260" t="s">
        <v>167</v>
      </c>
    </row>
    <row r="3" spans="1:49" ht="213" customHeight="1" thickBot="1">
      <c r="B3" s="145" t="s">
        <v>129</v>
      </c>
      <c r="C3" s="259"/>
      <c r="D3" s="140" t="s">
        <v>61</v>
      </c>
      <c r="E3" s="140" t="s">
        <v>66</v>
      </c>
      <c r="F3" s="140" t="s">
        <v>49</v>
      </c>
      <c r="G3" s="140" t="s">
        <v>48</v>
      </c>
      <c r="H3" s="140" t="s">
        <v>127</v>
      </c>
      <c r="I3" s="140" t="s">
        <v>126</v>
      </c>
      <c r="J3" s="140" t="s">
        <v>132</v>
      </c>
      <c r="K3" s="140" t="s">
        <v>131</v>
      </c>
      <c r="L3" s="141" t="s">
        <v>66</v>
      </c>
      <c r="M3" s="141" t="s">
        <v>62</v>
      </c>
      <c r="N3" s="141" t="s">
        <v>62</v>
      </c>
      <c r="O3" s="141" t="s">
        <v>62</v>
      </c>
      <c r="P3" s="141" t="s">
        <v>62</v>
      </c>
      <c r="Q3" s="141" t="s">
        <v>62</v>
      </c>
      <c r="R3" s="141" t="s">
        <v>62</v>
      </c>
      <c r="S3" s="141" t="s">
        <v>62</v>
      </c>
      <c r="T3" s="141" t="s">
        <v>62</v>
      </c>
      <c r="U3" s="141" t="s">
        <v>62</v>
      </c>
      <c r="V3" s="141" t="s">
        <v>62</v>
      </c>
      <c r="W3" s="141" t="s">
        <v>62</v>
      </c>
      <c r="X3" s="141" t="s">
        <v>62</v>
      </c>
      <c r="Y3" s="141" t="s">
        <v>62</v>
      </c>
      <c r="Z3" s="141" t="s">
        <v>62</v>
      </c>
      <c r="AA3" s="141" t="s">
        <v>62</v>
      </c>
      <c r="AB3" s="141" t="s">
        <v>169</v>
      </c>
      <c r="AC3" s="153" t="s">
        <v>322</v>
      </c>
      <c r="AD3" s="266" t="s">
        <v>323</v>
      </c>
      <c r="AE3" s="267"/>
      <c r="AF3" s="267"/>
      <c r="AG3" s="267"/>
      <c r="AH3" s="267"/>
      <c r="AI3" s="268"/>
      <c r="AJ3" s="261"/>
      <c r="AR3" s="102" t="s">
        <v>98</v>
      </c>
    </row>
    <row r="4" spans="1:49" ht="14.25" thickBot="1">
      <c r="A4" s="262" t="s">
        <v>63</v>
      </c>
      <c r="B4" s="263"/>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3"/>
      <c r="AR4" s="90" t="s">
        <v>82</v>
      </c>
      <c r="AS4" s="91"/>
      <c r="AT4" s="91"/>
      <c r="AU4" s="91"/>
      <c r="AV4" s="91"/>
      <c r="AW4" s="92"/>
    </row>
    <row r="5" spans="1:49" ht="14.25" thickBot="1">
      <c r="A5" s="264"/>
      <c r="B5" s="265"/>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4"/>
      <c r="AR5" s="93" t="str">
        <f ca="1">"static const U4  "&amp;AW8&amp;"["&amp;AW10&amp;"]"&amp;" = {"</f>
        <v>static const U4  u4_sp_ALERT_H_CHGCON_CRIT[ALERT_H_CHGCON_NUM_DST] = {</v>
      </c>
      <c r="AS5" s="93" t="str">
        <f ca="1">"static const U4  "&amp;$AW$9&amp;"["&amp;$AW$10&amp;"] = {"</f>
        <v>static const U4  u4_sp_ALERT_H_CHGCON_MASK[ALERT_H_CHGCON_NUM_DST] = {</v>
      </c>
      <c r="AT5" s="93" t="str">
        <f ca="1">"static const U1  "&amp;$AW$11&amp;"["&amp;$AW$10&amp;"] = {"</f>
        <v>static const U1  u1_sp_ALERT_H_CHGCON_DST[ALERT_H_CHGCON_NUM_DST] = {</v>
      </c>
      <c r="AU5" s="93" t="str">
        <f ca="1">"const ST_ALERT_MTRX "&amp;$AW$12&amp;" = {"</f>
        <v>const ST_ALERT_MTRX st_gp_ALERT_H_CHGCON_MTRX[1] = {</v>
      </c>
      <c r="AV5" s="73" t="str">
        <f ca="1">"#define "&amp;AW10&amp;REPT(" ",41-LEN(AW10))&amp;"("&amp;AW13&amp;"U)"</f>
        <v>#define ALERT_H_CHGCON_NUM_DST                   (2U)</v>
      </c>
      <c r="AW5" s="74"/>
    </row>
    <row r="6" spans="1:49">
      <c r="B6" s="148" t="str">
        <f ca="1">"Table "&amp;$AW$6</f>
        <v>Table H_CHGCON</v>
      </c>
      <c r="C6" s="60">
        <f>ROW()-ROW($C$6)</f>
        <v>0</v>
      </c>
      <c r="D6" s="142" t="s">
        <v>67</v>
      </c>
      <c r="E6" s="142" t="s">
        <v>67</v>
      </c>
      <c r="F6" s="142" t="s">
        <v>67</v>
      </c>
      <c r="G6" s="142" t="s">
        <v>338</v>
      </c>
      <c r="H6" s="142" t="s">
        <v>67</v>
      </c>
      <c r="I6" s="142" t="s">
        <v>67</v>
      </c>
      <c r="J6" s="142" t="s">
        <v>67</v>
      </c>
      <c r="K6" s="142" t="s">
        <v>67</v>
      </c>
      <c r="L6" s="142" t="s">
        <v>67</v>
      </c>
      <c r="M6" s="142" t="s">
        <v>67</v>
      </c>
      <c r="N6" s="142" t="s">
        <v>67</v>
      </c>
      <c r="O6" s="142" t="s">
        <v>67</v>
      </c>
      <c r="P6" s="142" t="s">
        <v>67</v>
      </c>
      <c r="Q6" s="142" t="s">
        <v>67</v>
      </c>
      <c r="R6" s="142" t="s">
        <v>67</v>
      </c>
      <c r="S6" s="142" t="s">
        <v>67</v>
      </c>
      <c r="T6" s="142" t="s">
        <v>67</v>
      </c>
      <c r="U6" s="142" t="s">
        <v>67</v>
      </c>
      <c r="V6" s="142" t="s">
        <v>67</v>
      </c>
      <c r="W6" s="142" t="s">
        <v>67</v>
      </c>
      <c r="X6" s="142" t="s">
        <v>67</v>
      </c>
      <c r="Y6" s="142" t="s">
        <v>67</v>
      </c>
      <c r="Z6" s="142" t="s">
        <v>67</v>
      </c>
      <c r="AA6" s="142" t="s">
        <v>67</v>
      </c>
      <c r="AB6" s="142" t="s">
        <v>67</v>
      </c>
      <c r="AC6" s="142">
        <v>0</v>
      </c>
      <c r="AD6" s="142">
        <v>0</v>
      </c>
      <c r="AE6" s="142">
        <v>0</v>
      </c>
      <c r="AF6" s="146">
        <v>0</v>
      </c>
      <c r="AG6" s="146">
        <v>1</v>
      </c>
      <c r="AH6" s="146">
        <v>0</v>
      </c>
      <c r="AI6" s="146">
        <v>0</v>
      </c>
      <c r="AJ6" s="59" t="s">
        <v>328</v>
      </c>
      <c r="AL6" t="str">
        <f t="shared" ref="AL6:AL69" ca="1" si="0">IF($AJ6="UNKNOWN","    (U1)ALERT_REQ_UNKNOWN","    (U1)"&amp;"ALERT_REQ_"&amp;$AW$17&amp;"_"&amp;IF($AW$6&lt;&gt;$AW$17,$AW$6&amp;"_","")&amp;AJ6)</f>
        <v xml:space="preserve">    (U1)ALERT_REQ_H_CHGCON_NOTRUN</v>
      </c>
      <c r="AR6" s="71" t="str">
        <f>IF(AQ71&lt;&gt;"",AQ71,IF(AQ70&lt;&gt;"","};",""))</f>
        <v xml:space="preserve">    (U4)0x00000004U,                                                           /* 00 NOTRUN                                          */</v>
      </c>
      <c r="AS6" s="71" t="str">
        <f>IF(AQ136&lt;&gt;"",AQ136,IF(AQ135&lt;&gt;"","};",""))</f>
        <v xml:space="preserve">    (U4)0x0000007FU,                                                           /* 00 NOTRUN                                          */</v>
      </c>
      <c r="AT6" s="71" t="str">
        <f t="shared" ref="AT6:AT69" ca="1" si="1">IF(AJ6&lt;&gt;"",AL6&amp;IF(AJ7&lt;&gt;"",","," ")&amp;REPT(" ",78-LEN(AL6))&amp;"/* "&amp;IF(C6&lt;10,"0"&amp;C6,C6)&amp;" "&amp;AJ6&amp;REPT(" ",48-LEN(AJ6))&amp;"*/",IF(AJ5&lt;&gt;"","};",""))</f>
        <v xml:space="preserve">    (U1)ALERT_REQ_H_CHGCON_NOTRUN,                                             /* 00 NOTRUN                                          */</v>
      </c>
      <c r="AU6" s="71" t="s">
        <v>68</v>
      </c>
      <c r="AV6" s="56" t="s">
        <v>70</v>
      </c>
      <c r="AW6" s="75" t="str">
        <f ca="1">UPPER(RIGHT(CELL("filename",A1),LEN(CELL("filename",A1))-FIND("]",CELL("filename",A1))))</f>
        <v>H_CHGCON</v>
      </c>
    </row>
    <row r="7" spans="1:49">
      <c r="B7" s="148"/>
      <c r="C7" s="55">
        <f t="shared" ref="C7:C69" si="2">ROW()-ROW($C$6)</f>
        <v>1</v>
      </c>
      <c r="D7" s="69" t="s">
        <v>67</v>
      </c>
      <c r="E7" s="69" t="s">
        <v>67</v>
      </c>
      <c r="F7" s="69" t="s">
        <v>67</v>
      </c>
      <c r="G7" s="69" t="s">
        <v>338</v>
      </c>
      <c r="H7" s="69" t="s">
        <v>67</v>
      </c>
      <c r="I7" s="69" t="s">
        <v>67</v>
      </c>
      <c r="J7" s="69" t="s">
        <v>67</v>
      </c>
      <c r="K7" s="69" t="s">
        <v>67</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v>0</v>
      </c>
      <c r="AD7" s="142">
        <v>0</v>
      </c>
      <c r="AE7" s="142">
        <v>1</v>
      </c>
      <c r="AF7" s="146">
        <v>0</v>
      </c>
      <c r="AG7" s="146">
        <v>0</v>
      </c>
      <c r="AH7" s="146">
        <v>0</v>
      </c>
      <c r="AI7" s="146">
        <v>0</v>
      </c>
      <c r="AJ7" s="26" t="s">
        <v>330</v>
      </c>
      <c r="AL7" t="str">
        <f t="shared" ca="1" si="0"/>
        <v xml:space="preserve">    (U1)ALERT_REQ_H_CHGCON_NOTRDY</v>
      </c>
      <c r="AR7" s="71" t="str">
        <f t="shared" ref="AR7:AR70" si="3">IF(AQ72&lt;&gt;"",AQ72,IF(AQ71&lt;&gt;"","};",""))</f>
        <v xml:space="preserve">    (U4)0x00000010U                                                            /* 01 NOTRDY                                          */</v>
      </c>
      <c r="AS7" s="71" t="str">
        <f t="shared" ref="AS7:AS70" si="4">IF(AQ137&lt;&gt;"",AQ137,IF(AQ136&lt;&gt;"","};",""))</f>
        <v xml:space="preserve">    (U4)0x0000007FU                                                            /* 01 NOTRDY                                          */</v>
      </c>
      <c r="AT7" s="71" t="str">
        <f t="shared" ca="1" si="1"/>
        <v xml:space="preserve">    (U1)ALERT_REQ_H_CHGCON_NOTRDY                                              /* 01 NOTRDY                                          */</v>
      </c>
      <c r="AU7" s="71" t="str">
        <f ca="1">"        &amp;"&amp;$AW$14&amp;","&amp;REPT(" ",69-LEN($AW$14))&amp;"/* fp_u4_SRC_CHK                                      */"</f>
        <v xml:space="preserve">        &amp;u4_s_AlertH_chgconSrcchk,                                             /* fp_u4_SRC_CHK                                      */</v>
      </c>
      <c r="AV7" s="57" t="s">
        <v>71</v>
      </c>
      <c r="AW7" s="147">
        <f>IF(B3="Search Table",1,0)</f>
        <v>1</v>
      </c>
    </row>
    <row r="8" spans="1:49">
      <c r="B8" s="148"/>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t="s">
        <v>67</v>
      </c>
      <c r="AD8" s="69" t="s">
        <v>67</v>
      </c>
      <c r="AE8" s="69" t="s">
        <v>67</v>
      </c>
      <c r="AF8" s="146" t="s">
        <v>67</v>
      </c>
      <c r="AG8" s="146" t="s">
        <v>67</v>
      </c>
      <c r="AH8" s="146" t="s">
        <v>67</v>
      </c>
      <c r="AI8" s="146" t="s">
        <v>67</v>
      </c>
      <c r="AJ8" s="26"/>
      <c r="AL8" t="str">
        <f t="shared" ca="1" si="0"/>
        <v xml:space="preserve">    (U1)ALERT_REQ_H_CHGCON_</v>
      </c>
      <c r="AR8" s="71" t="str">
        <f t="shared" si="3"/>
        <v>};</v>
      </c>
      <c r="AS8" s="71" t="str">
        <f t="shared" si="4"/>
        <v>};</v>
      </c>
      <c r="AT8" s="71" t="str">
        <f>IF(AJ8&lt;&gt;"",AL8&amp;IF(AJ9&lt;&gt;"",","," ")&amp;REPT(" ",78-LEN(AL8))&amp;"/* "&amp;IF(C8&lt;10,"0"&amp;C8,C8)&amp;" "&amp;AJ8&amp;REPT(" ",48-LEN(AJ8))&amp;"*/",IF(AJ7&lt;&gt;"","};",""))</f>
        <v>};</v>
      </c>
      <c r="AU8" s="71" t="str">
        <f ca="1">IF($AW$15&lt;&gt;"NULL","        &amp;"&amp;$AW$15&amp;","&amp;REPT(" ",69-LEN($AW$15))&amp;"/* fp_vd_XDST                                         */","        (void *)NULL,                                                          /* fp_vd_XDST                                         */")</f>
        <v xml:space="preserve">        (void *)NULL,                                                          /* fp_vd_XDST                                         */</v>
      </c>
      <c r="AV8" s="57" t="s">
        <v>72</v>
      </c>
      <c r="AW8" s="76" t="str">
        <f ca="1">"u4_sp_ALERT_"&amp;IF(AW6&lt;&gt;AW17,$AW$17&amp;"_"&amp;$AW$6,AW17)&amp;"_CRIT"</f>
        <v>u4_sp_ALERT_H_CHGCON_CRIT</v>
      </c>
    </row>
    <row r="9" spans="1:49">
      <c r="B9" s="148"/>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t="s">
        <v>67</v>
      </c>
      <c r="AD9" s="69" t="s">
        <v>67</v>
      </c>
      <c r="AE9" s="69" t="s">
        <v>67</v>
      </c>
      <c r="AF9" s="69" t="s">
        <v>67</v>
      </c>
      <c r="AG9" s="69" t="s">
        <v>67</v>
      </c>
      <c r="AH9" s="69" t="s">
        <v>67</v>
      </c>
      <c r="AI9" s="69" t="s">
        <v>67</v>
      </c>
      <c r="AJ9" s="26"/>
      <c r="AL9" t="str">
        <f t="shared" ca="1" si="0"/>
        <v xml:space="preserve">    (U1)ALERT_REQ_H_CHGCON_</v>
      </c>
      <c r="AR9" s="71" t="str">
        <f t="shared" si="3"/>
        <v/>
      </c>
      <c r="AS9" s="71" t="str">
        <f t="shared" si="4"/>
        <v/>
      </c>
      <c r="AT9" s="71" t="str">
        <f t="shared" si="1"/>
        <v/>
      </c>
      <c r="AU9" s="71"/>
      <c r="AV9" s="57" t="s">
        <v>73</v>
      </c>
      <c r="AW9" s="76" t="str">
        <f ca="1">"u4_sp_ALERT_"&amp;IF(AW6&lt;&gt;AW17,$AW$17&amp;"_"&amp;$AW$6,AW17)&amp;"_MASK"</f>
        <v>u4_sp_ALERT_H_CHGCON_MASK</v>
      </c>
    </row>
    <row r="10" spans="1:49">
      <c r="B10" s="148"/>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t="s">
        <v>67</v>
      </c>
      <c r="AD10" s="69" t="s">
        <v>67</v>
      </c>
      <c r="AE10" s="69" t="s">
        <v>67</v>
      </c>
      <c r="AF10" s="69" t="s">
        <v>67</v>
      </c>
      <c r="AG10" s="69" t="s">
        <v>67</v>
      </c>
      <c r="AH10" s="69" t="s">
        <v>67</v>
      </c>
      <c r="AI10" s="69" t="s">
        <v>67</v>
      </c>
      <c r="AJ10" s="26"/>
      <c r="AL10" t="str">
        <f t="shared" ca="1" si="0"/>
        <v xml:space="preserve">    (U1)ALERT_REQ_H_CHGCON_</v>
      </c>
      <c r="AR10" s="71" t="str">
        <f t="shared" si="3"/>
        <v/>
      </c>
      <c r="AS10" s="71" t="str">
        <f t="shared" si="4"/>
        <v/>
      </c>
      <c r="AT10" s="71" t="str">
        <f t="shared" si="1"/>
        <v/>
      </c>
      <c r="AU10" s="71" t="str">
        <f ca="1">IF($AW$7=1,"        &amp;"&amp;$AW$9&amp;"[0],"&amp;REPT(" ",66-LEN($AW$9))&amp;"/* u4p_MASK                                           */","        (const U4 *)NULL,                                                      /* u4p_MASK                                           */")</f>
        <v xml:space="preserve">        &amp;u4_sp_ALERT_H_CHGCON_MASK[0],                                         /* u4p_MASK                                           */</v>
      </c>
      <c r="AV10" s="57" t="s">
        <v>74</v>
      </c>
      <c r="AW10" s="76" t="str">
        <f ca="1">"ALERT_"&amp;IF(AW6&lt;&gt;AW17,$AW$17&amp;"_"&amp;$AW$6,AW17)&amp;"_NUM_DST"</f>
        <v>ALERT_H_CHGCON_NUM_DST</v>
      </c>
    </row>
    <row r="11" spans="1:49">
      <c r="B11" s="148"/>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t="s">
        <v>67</v>
      </c>
      <c r="AD11" s="69" t="s">
        <v>67</v>
      </c>
      <c r="AE11" s="69" t="s">
        <v>67</v>
      </c>
      <c r="AF11" s="69" t="s">
        <v>67</v>
      </c>
      <c r="AG11" s="69" t="s">
        <v>67</v>
      </c>
      <c r="AH11" s="69" t="s">
        <v>67</v>
      </c>
      <c r="AI11" s="69" t="s">
        <v>67</v>
      </c>
      <c r="AJ11" s="26"/>
      <c r="AL11" t="str">
        <f t="shared" ca="1" si="0"/>
        <v xml:space="preserve">    (U1)ALERT_REQ_H_CHGCON_</v>
      </c>
      <c r="AR11" s="71" t="str">
        <f t="shared" si="3"/>
        <v/>
      </c>
      <c r="AS11" s="71" t="str">
        <f t="shared" si="4"/>
        <v/>
      </c>
      <c r="AT11" s="71" t="str">
        <f t="shared" si="1"/>
        <v/>
      </c>
      <c r="AU11" s="71" t="str">
        <f ca="1">IF($AW$7=1,"        &amp;"&amp;$AW$8&amp;"[0],"&amp;REPT(" ",66-LEN($AW$8))&amp;"/* u4p_CRIT                                           */","        (const U4 *)NULL,                                                      /* u4p_CRIT                                           */")</f>
        <v xml:space="preserve">        &amp;u4_sp_ALERT_H_CHGCON_CRIT[0],                                         /* u4p_CRIT                                           */</v>
      </c>
      <c r="AV11" s="57" t="s">
        <v>75</v>
      </c>
      <c r="AW11" s="76" t="str">
        <f ca="1">"u1_sp_ALERT_"&amp;IF(AW6&lt;&gt;AW17,$AW$17&amp;"_"&amp;$AW$6,AW17)&amp;"_DST"</f>
        <v>u1_sp_ALERT_H_CHGCON_DST</v>
      </c>
    </row>
    <row r="12" spans="1:49">
      <c r="B12" s="148"/>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t="s">
        <v>67</v>
      </c>
      <c r="AD12" s="69" t="s">
        <v>67</v>
      </c>
      <c r="AE12" s="142" t="s">
        <v>67</v>
      </c>
      <c r="AF12" s="69" t="s">
        <v>67</v>
      </c>
      <c r="AG12" s="69" t="s">
        <v>67</v>
      </c>
      <c r="AH12" s="69" t="s">
        <v>67</v>
      </c>
      <c r="AI12" s="69" t="s">
        <v>67</v>
      </c>
      <c r="AJ12" s="26"/>
      <c r="AL12" t="str">
        <f t="shared" ca="1" si="0"/>
        <v xml:space="preserve">    (U1)ALERT_REQ_H_CHGCON_</v>
      </c>
      <c r="AR12" s="71" t="str">
        <f t="shared" si="3"/>
        <v/>
      </c>
      <c r="AS12" s="71" t="str">
        <f t="shared" si="4"/>
        <v/>
      </c>
      <c r="AT12" s="71" t="str">
        <f t="shared" si="1"/>
        <v/>
      </c>
      <c r="AU12" s="71"/>
      <c r="AV12" s="57" t="s">
        <v>89</v>
      </c>
      <c r="AW12" s="76" t="str">
        <f ca="1">Matrix!D8&amp;"["&amp;Matrix!D7&amp;"]"</f>
        <v>st_gp_ALERT_H_CHGCON_MTRX[1]</v>
      </c>
    </row>
    <row r="13" spans="1:49">
      <c r="B13" s="148"/>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t="s">
        <v>67</v>
      </c>
      <c r="AD13" s="69" t="s">
        <v>67</v>
      </c>
      <c r="AE13" s="69" t="s">
        <v>67</v>
      </c>
      <c r="AF13" s="69" t="s">
        <v>67</v>
      </c>
      <c r="AG13" s="69" t="s">
        <v>67</v>
      </c>
      <c r="AH13" s="69" t="s">
        <v>67</v>
      </c>
      <c r="AI13" s="69" t="s">
        <v>67</v>
      </c>
      <c r="AJ13" s="26"/>
      <c r="AL13" t="str">
        <f t="shared" ca="1" si="0"/>
        <v xml:space="preserve">    (U1)ALERT_REQ_H_CHGCON_</v>
      </c>
      <c r="AR13" s="71" t="str">
        <f t="shared" si="3"/>
        <v/>
      </c>
      <c r="AS13" s="71" t="str">
        <f t="shared" si="4"/>
        <v/>
      </c>
      <c r="AT13" s="71" t="str">
        <f t="shared" si="1"/>
        <v/>
      </c>
      <c r="AU13" s="71" t="str">
        <f ca="1">"        &amp;"&amp;$AW$11&amp;"[0],"&amp;REPT(" ",66-LEN($AW$11))&amp;"/* u1p_DST                                            */"</f>
        <v xml:space="preserve">        &amp;u1_sp_ALERT_H_CHGCON_DST[0],                                          /* u1p_DST                                            */</v>
      </c>
      <c r="AV13" s="57" t="s">
        <v>76</v>
      </c>
      <c r="AW13" s="147">
        <f>COUNTA($AJ$6:$AJ$69)</f>
        <v>2</v>
      </c>
    </row>
    <row r="14" spans="1:49">
      <c r="B14" s="148"/>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t="s">
        <v>67</v>
      </c>
      <c r="AD14" s="69" t="s">
        <v>67</v>
      </c>
      <c r="AE14" s="69" t="s">
        <v>67</v>
      </c>
      <c r="AF14" s="69" t="s">
        <v>67</v>
      </c>
      <c r="AG14" s="69" t="s">
        <v>67</v>
      </c>
      <c r="AH14" s="69" t="s">
        <v>67</v>
      </c>
      <c r="AI14" s="69" t="s">
        <v>67</v>
      </c>
      <c r="AJ14" s="26"/>
      <c r="AL14" t="str">
        <f t="shared" ca="1" si="0"/>
        <v xml:space="preserve">    (U1)ALERT_REQ_H_CHGCON_</v>
      </c>
      <c r="AR14" s="71" t="str">
        <f t="shared" si="3"/>
        <v/>
      </c>
      <c r="AS14" s="71" t="str">
        <f t="shared" si="4"/>
        <v/>
      </c>
      <c r="AT14" s="71" t="str">
        <f t="shared" si="1"/>
        <v/>
      </c>
      <c r="AU14" s="71" t="str">
        <f ca="1">"        (U2)"&amp;$AW$10&amp;","&amp;REPT(" ",66-LEN($AW$10))&amp;"/* u2_num_srch                                        */"</f>
        <v xml:space="preserve">        (U2)ALERT_H_CHGCON_NUM_DST,                                            /* u2_num_srch                                        */</v>
      </c>
      <c r="AV14" s="57" t="s">
        <v>77</v>
      </c>
      <c r="AW14" s="76" t="str">
        <f ca="1">IF(AW6&lt;&gt;AW17,VLOOKUP(AW6,Matrix!$C$13:$G$37,4,FALSE),Matrix!F13)</f>
        <v>u4_s_AlertH_chgconSrcchk</v>
      </c>
    </row>
    <row r="15" spans="1:49">
      <c r="B15" s="148"/>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t="s">
        <v>67</v>
      </c>
      <c r="AD15" s="69" t="s">
        <v>67</v>
      </c>
      <c r="AE15" s="69" t="s">
        <v>67</v>
      </c>
      <c r="AF15" s="69" t="s">
        <v>67</v>
      </c>
      <c r="AG15" s="69" t="s">
        <v>67</v>
      </c>
      <c r="AH15" s="69" t="s">
        <v>67</v>
      </c>
      <c r="AI15" s="69" t="s">
        <v>67</v>
      </c>
      <c r="AJ15" s="26"/>
      <c r="AL15" t="str">
        <f t="shared" ca="1" si="0"/>
        <v xml:space="preserve">    (U1)ALERT_REQ_H_CHGCON_</v>
      </c>
      <c r="AR15" s="71" t="str">
        <f t="shared" si="3"/>
        <v/>
      </c>
      <c r="AS15" s="71" t="str">
        <f t="shared" si="4"/>
        <v/>
      </c>
      <c r="AT15" s="71" t="str">
        <f t="shared" si="1"/>
        <v/>
      </c>
      <c r="AU15" s="71" t="str">
        <f ca="1">"        (U1)"&amp;$AW$16&amp;REPT(" ",67-LEN($AW$16))&amp;"/* u1_vom_act                                         */"</f>
        <v xml:space="preserve">        (U1)ALERT_VOM_IGN_ON                                                   /* u1_vom_act                                         */</v>
      </c>
      <c r="AV15" s="57" t="s">
        <v>80</v>
      </c>
      <c r="AW15" s="76" t="str">
        <f ca="1">IF(AW6&lt;&gt;AW17,VLOOKUP(AW6,Matrix!$C$13:$G$37,5,FALSE),Matrix!G13)</f>
        <v>NULL</v>
      </c>
    </row>
    <row r="16" spans="1:49">
      <c r="B16" s="148"/>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t="s">
        <v>67</v>
      </c>
      <c r="AD16" s="69" t="s">
        <v>67</v>
      </c>
      <c r="AE16" s="69" t="s">
        <v>67</v>
      </c>
      <c r="AF16" s="69" t="s">
        <v>67</v>
      </c>
      <c r="AG16" s="69" t="s">
        <v>67</v>
      </c>
      <c r="AH16" s="69" t="s">
        <v>67</v>
      </c>
      <c r="AI16" s="69" t="s">
        <v>67</v>
      </c>
      <c r="AJ16" s="26"/>
      <c r="AL16" t="str">
        <f t="shared" ca="1" si="0"/>
        <v xml:space="preserve">    (U1)ALERT_REQ_H_CHGCON_</v>
      </c>
      <c r="AR16" s="71" t="str">
        <f t="shared" si="3"/>
        <v/>
      </c>
      <c r="AS16" s="71" t="str">
        <f t="shared" si="4"/>
        <v/>
      </c>
      <c r="AT16" s="71" t="str">
        <f t="shared" si="1"/>
        <v/>
      </c>
      <c r="AU16" s="71" t="s">
        <v>69</v>
      </c>
      <c r="AV16" s="57" t="s">
        <v>78</v>
      </c>
      <c r="AW16" s="76" t="str">
        <f ca="1">IF(AW6&lt;&gt;AW17,VLOOKUP(AW6,Matrix!$C$13:$G$37,2,FALSE),Matrix!D13)</f>
        <v>ALERT_VOM_IGN_ON</v>
      </c>
    </row>
    <row r="17" spans="2:49" ht="14.25" thickBot="1">
      <c r="B17" s="148"/>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t="s">
        <v>67</v>
      </c>
      <c r="AD17" s="69" t="s">
        <v>67</v>
      </c>
      <c r="AE17" s="69" t="s">
        <v>67</v>
      </c>
      <c r="AF17" s="69" t="s">
        <v>67</v>
      </c>
      <c r="AG17" s="69" t="s">
        <v>67</v>
      </c>
      <c r="AH17" s="69" t="s">
        <v>67</v>
      </c>
      <c r="AI17" s="69" t="s">
        <v>67</v>
      </c>
      <c r="AJ17" s="26"/>
      <c r="AL17" t="str">
        <f t="shared" ca="1" si="0"/>
        <v xml:space="preserve">    (U1)ALERT_REQ_H_CHGCON_</v>
      </c>
      <c r="AR17" s="71" t="str">
        <f t="shared" si="3"/>
        <v/>
      </c>
      <c r="AS17" s="71" t="str">
        <f t="shared" si="4"/>
        <v/>
      </c>
      <c r="AT17" s="71" t="str">
        <f t="shared" si="1"/>
        <v/>
      </c>
      <c r="AU17" s="72" t="s">
        <v>81</v>
      </c>
      <c r="AV17" s="58" t="s">
        <v>79</v>
      </c>
      <c r="AW17" s="77" t="str">
        <f ca="1">UPPER(Matrix!$D$6)</f>
        <v>H_CHGCON</v>
      </c>
    </row>
    <row r="18" spans="2:49">
      <c r="B18" s="148"/>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t="s">
        <v>67</v>
      </c>
      <c r="AD18" s="69" t="s">
        <v>67</v>
      </c>
      <c r="AE18" s="69" t="s">
        <v>67</v>
      </c>
      <c r="AF18" s="69" t="s">
        <v>67</v>
      </c>
      <c r="AG18" s="69" t="s">
        <v>67</v>
      </c>
      <c r="AH18" s="69" t="s">
        <v>67</v>
      </c>
      <c r="AI18" s="69" t="s">
        <v>67</v>
      </c>
      <c r="AJ18" s="26"/>
      <c r="AL18" t="str">
        <f t="shared" ca="1" si="0"/>
        <v xml:space="preserve">    (U1)ALERT_REQ_H_CHGCON_</v>
      </c>
      <c r="AR18" s="71" t="str">
        <f t="shared" si="3"/>
        <v/>
      </c>
      <c r="AS18" s="71" t="str">
        <f t="shared" si="4"/>
        <v/>
      </c>
      <c r="AT18" s="71" t="str">
        <f t="shared" si="1"/>
        <v/>
      </c>
    </row>
    <row r="19" spans="2:49">
      <c r="B19" s="148"/>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t="s">
        <v>67</v>
      </c>
      <c r="AD19" s="69" t="s">
        <v>67</v>
      </c>
      <c r="AE19" s="69" t="s">
        <v>67</v>
      </c>
      <c r="AF19" s="69" t="s">
        <v>67</v>
      </c>
      <c r="AG19" s="69" t="s">
        <v>67</v>
      </c>
      <c r="AH19" s="69" t="s">
        <v>67</v>
      </c>
      <c r="AI19" s="69" t="s">
        <v>67</v>
      </c>
      <c r="AJ19" s="26"/>
      <c r="AL19" t="str">
        <f t="shared" ca="1" si="0"/>
        <v xml:space="preserve">    (U1)ALERT_REQ_H_CHGCON_</v>
      </c>
      <c r="AR19" s="71" t="str">
        <f t="shared" si="3"/>
        <v/>
      </c>
      <c r="AS19" s="71" t="str">
        <f t="shared" si="4"/>
        <v/>
      </c>
      <c r="AT19" s="71" t="str">
        <f t="shared" si="1"/>
        <v/>
      </c>
    </row>
    <row r="20" spans="2:49">
      <c r="B20" s="148"/>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t="s">
        <v>67</v>
      </c>
      <c r="AD20" s="69" t="s">
        <v>67</v>
      </c>
      <c r="AE20" s="69" t="s">
        <v>67</v>
      </c>
      <c r="AF20" s="69" t="s">
        <v>67</v>
      </c>
      <c r="AG20" s="69" t="s">
        <v>67</v>
      </c>
      <c r="AH20" s="69" t="s">
        <v>67</v>
      </c>
      <c r="AI20" s="69" t="s">
        <v>67</v>
      </c>
      <c r="AJ20" s="26"/>
      <c r="AL20" t="str">
        <f t="shared" ca="1" si="0"/>
        <v xml:space="preserve">    (U1)ALERT_REQ_H_CHGCON_</v>
      </c>
      <c r="AR20" s="71" t="str">
        <f t="shared" si="3"/>
        <v/>
      </c>
      <c r="AS20" s="71" t="str">
        <f t="shared" si="4"/>
        <v/>
      </c>
      <c r="AT20" s="71" t="str">
        <f t="shared" si="1"/>
        <v/>
      </c>
    </row>
    <row r="21" spans="2:49">
      <c r="B21" s="148"/>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t="s">
        <v>67</v>
      </c>
      <c r="AD21" s="69" t="s">
        <v>67</v>
      </c>
      <c r="AE21" s="69" t="s">
        <v>67</v>
      </c>
      <c r="AF21" s="69" t="s">
        <v>67</v>
      </c>
      <c r="AG21" s="69" t="s">
        <v>67</v>
      </c>
      <c r="AH21" s="69" t="s">
        <v>67</v>
      </c>
      <c r="AI21" s="69" t="s">
        <v>67</v>
      </c>
      <c r="AJ21" s="26"/>
      <c r="AL21" t="str">
        <f t="shared" ca="1" si="0"/>
        <v xml:space="preserve">    (U1)ALERT_REQ_H_CHGCON_</v>
      </c>
      <c r="AR21" s="71" t="str">
        <f t="shared" si="3"/>
        <v/>
      </c>
      <c r="AS21" s="71" t="str">
        <f t="shared" si="4"/>
        <v/>
      </c>
      <c r="AT21" s="71" t="str">
        <f t="shared" si="1"/>
        <v/>
      </c>
    </row>
    <row r="22" spans="2:49">
      <c r="B22" s="148"/>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t="s">
        <v>67</v>
      </c>
      <c r="AD22" s="69" t="s">
        <v>67</v>
      </c>
      <c r="AE22" s="69" t="s">
        <v>67</v>
      </c>
      <c r="AF22" s="69" t="s">
        <v>67</v>
      </c>
      <c r="AG22" s="69" t="s">
        <v>67</v>
      </c>
      <c r="AH22" s="69" t="s">
        <v>67</v>
      </c>
      <c r="AI22" s="69" t="s">
        <v>67</v>
      </c>
      <c r="AJ22" s="26"/>
      <c r="AL22" t="str">
        <f t="shared" ca="1" si="0"/>
        <v xml:space="preserve">    (U1)ALERT_REQ_H_CHGCON_</v>
      </c>
      <c r="AR22" s="71" t="str">
        <f t="shared" si="3"/>
        <v/>
      </c>
      <c r="AS22" s="71" t="str">
        <f t="shared" si="4"/>
        <v/>
      </c>
      <c r="AT22" s="71" t="str">
        <f t="shared" si="1"/>
        <v/>
      </c>
    </row>
    <row r="23" spans="2:49">
      <c r="B23" s="148"/>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t="s">
        <v>67</v>
      </c>
      <c r="AD23" s="69" t="s">
        <v>67</v>
      </c>
      <c r="AE23" s="69" t="s">
        <v>67</v>
      </c>
      <c r="AF23" s="69" t="s">
        <v>67</v>
      </c>
      <c r="AG23" s="69" t="s">
        <v>67</v>
      </c>
      <c r="AH23" s="69" t="s">
        <v>67</v>
      </c>
      <c r="AI23" s="69" t="s">
        <v>67</v>
      </c>
      <c r="AJ23" s="26"/>
      <c r="AL23" t="str">
        <f t="shared" ca="1" si="0"/>
        <v xml:space="preserve">    (U1)ALERT_REQ_H_CHGCON_</v>
      </c>
      <c r="AR23" s="71" t="str">
        <f t="shared" si="3"/>
        <v/>
      </c>
      <c r="AS23" s="71" t="str">
        <f t="shared" si="4"/>
        <v/>
      </c>
      <c r="AT23" s="71" t="str">
        <f t="shared" si="1"/>
        <v/>
      </c>
    </row>
    <row r="24" spans="2:49">
      <c r="B24" s="148"/>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t="s">
        <v>67</v>
      </c>
      <c r="AD24" s="69" t="s">
        <v>67</v>
      </c>
      <c r="AE24" s="69" t="s">
        <v>67</v>
      </c>
      <c r="AF24" s="69" t="s">
        <v>67</v>
      </c>
      <c r="AG24" s="69" t="s">
        <v>67</v>
      </c>
      <c r="AH24" s="69" t="s">
        <v>67</v>
      </c>
      <c r="AI24" s="69" t="s">
        <v>67</v>
      </c>
      <c r="AJ24" s="26"/>
      <c r="AL24" t="str">
        <f t="shared" ca="1" si="0"/>
        <v xml:space="preserve">    (U1)ALERT_REQ_H_CHGCON_</v>
      </c>
      <c r="AR24" s="71" t="str">
        <f t="shared" si="3"/>
        <v/>
      </c>
      <c r="AS24" s="71" t="str">
        <f t="shared" si="4"/>
        <v/>
      </c>
      <c r="AT24" s="71" t="str">
        <f t="shared" si="1"/>
        <v/>
      </c>
    </row>
    <row r="25" spans="2:49">
      <c r="B25" s="148"/>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t="s">
        <v>67</v>
      </c>
      <c r="AD25" s="69" t="s">
        <v>67</v>
      </c>
      <c r="AE25" s="69" t="s">
        <v>67</v>
      </c>
      <c r="AF25" s="69" t="s">
        <v>67</v>
      </c>
      <c r="AG25" s="69" t="s">
        <v>67</v>
      </c>
      <c r="AH25" s="69" t="s">
        <v>67</v>
      </c>
      <c r="AI25" s="69" t="s">
        <v>67</v>
      </c>
      <c r="AJ25" s="26"/>
      <c r="AL25" t="str">
        <f t="shared" ca="1" si="0"/>
        <v xml:space="preserve">    (U1)ALERT_REQ_H_CHGCON_</v>
      </c>
      <c r="AR25" s="71" t="str">
        <f t="shared" si="3"/>
        <v/>
      </c>
      <c r="AS25" s="71" t="str">
        <f t="shared" si="4"/>
        <v/>
      </c>
      <c r="AT25" s="71" t="str">
        <f t="shared" si="1"/>
        <v/>
      </c>
    </row>
    <row r="26" spans="2:49">
      <c r="B26" s="148"/>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t="s">
        <v>67</v>
      </c>
      <c r="AD26" s="69" t="s">
        <v>67</v>
      </c>
      <c r="AE26" s="69" t="s">
        <v>67</v>
      </c>
      <c r="AF26" s="69" t="s">
        <v>67</v>
      </c>
      <c r="AG26" s="69" t="s">
        <v>67</v>
      </c>
      <c r="AH26" s="69" t="s">
        <v>67</v>
      </c>
      <c r="AI26" s="69" t="s">
        <v>67</v>
      </c>
      <c r="AJ26" s="26"/>
      <c r="AL26" t="str">
        <f t="shared" ca="1" si="0"/>
        <v xml:space="preserve">    (U1)ALERT_REQ_H_CHGCON_</v>
      </c>
      <c r="AR26" s="71" t="str">
        <f t="shared" si="3"/>
        <v/>
      </c>
      <c r="AS26" s="71" t="str">
        <f t="shared" si="4"/>
        <v/>
      </c>
      <c r="AT26" s="71" t="str">
        <f t="shared" si="1"/>
        <v/>
      </c>
    </row>
    <row r="27" spans="2:49">
      <c r="B27" s="148"/>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t="s">
        <v>67</v>
      </c>
      <c r="AD27" s="69" t="s">
        <v>67</v>
      </c>
      <c r="AE27" s="69" t="s">
        <v>67</v>
      </c>
      <c r="AF27" s="69" t="s">
        <v>67</v>
      </c>
      <c r="AG27" s="69" t="s">
        <v>67</v>
      </c>
      <c r="AH27" s="69" t="s">
        <v>67</v>
      </c>
      <c r="AI27" s="69" t="s">
        <v>67</v>
      </c>
      <c r="AJ27" s="26"/>
      <c r="AL27" t="str">
        <f t="shared" ca="1" si="0"/>
        <v xml:space="preserve">    (U1)ALERT_REQ_H_CHGCON_</v>
      </c>
      <c r="AR27" s="71" t="str">
        <f t="shared" si="3"/>
        <v/>
      </c>
      <c r="AS27" s="71" t="str">
        <f t="shared" si="4"/>
        <v/>
      </c>
      <c r="AT27" s="71" t="str">
        <f t="shared" si="1"/>
        <v/>
      </c>
    </row>
    <row r="28" spans="2:49">
      <c r="B28" s="148"/>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t="s">
        <v>67</v>
      </c>
      <c r="AD28" s="69" t="s">
        <v>67</v>
      </c>
      <c r="AE28" s="69" t="s">
        <v>67</v>
      </c>
      <c r="AF28" s="69" t="s">
        <v>67</v>
      </c>
      <c r="AG28" s="69" t="s">
        <v>67</v>
      </c>
      <c r="AH28" s="69" t="s">
        <v>67</v>
      </c>
      <c r="AI28" s="69" t="s">
        <v>67</v>
      </c>
      <c r="AJ28" s="26"/>
      <c r="AL28" t="str">
        <f t="shared" ca="1" si="0"/>
        <v xml:space="preserve">    (U1)ALERT_REQ_H_CHGCON_</v>
      </c>
      <c r="AR28" s="71" t="str">
        <f t="shared" si="3"/>
        <v/>
      </c>
      <c r="AS28" s="71" t="str">
        <f t="shared" si="4"/>
        <v/>
      </c>
      <c r="AT28" s="71" t="str">
        <f t="shared" si="1"/>
        <v/>
      </c>
    </row>
    <row r="29" spans="2:49">
      <c r="B29" s="148"/>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t="s">
        <v>67</v>
      </c>
      <c r="AD29" s="69" t="s">
        <v>67</v>
      </c>
      <c r="AE29" s="69" t="s">
        <v>67</v>
      </c>
      <c r="AF29" s="69" t="s">
        <v>67</v>
      </c>
      <c r="AG29" s="69" t="s">
        <v>67</v>
      </c>
      <c r="AH29" s="69" t="s">
        <v>67</v>
      </c>
      <c r="AI29" s="69" t="s">
        <v>67</v>
      </c>
      <c r="AJ29" s="26"/>
      <c r="AL29" t="str">
        <f t="shared" ca="1" si="0"/>
        <v xml:space="preserve">    (U1)ALERT_REQ_H_CHGCON_</v>
      </c>
      <c r="AR29" s="71" t="str">
        <f t="shared" si="3"/>
        <v/>
      </c>
      <c r="AS29" s="71" t="str">
        <f t="shared" si="4"/>
        <v/>
      </c>
      <c r="AT29" s="71" t="str">
        <f t="shared" si="1"/>
        <v/>
      </c>
    </row>
    <row r="30" spans="2:49">
      <c r="B30" s="148"/>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t="s">
        <v>67</v>
      </c>
      <c r="AD30" s="69" t="s">
        <v>67</v>
      </c>
      <c r="AE30" s="69" t="s">
        <v>67</v>
      </c>
      <c r="AF30" s="69" t="s">
        <v>67</v>
      </c>
      <c r="AG30" s="69" t="s">
        <v>67</v>
      </c>
      <c r="AH30" s="69" t="s">
        <v>67</v>
      </c>
      <c r="AI30" s="69" t="s">
        <v>67</v>
      </c>
      <c r="AJ30" s="26"/>
      <c r="AL30" t="str">
        <f t="shared" ca="1" si="0"/>
        <v xml:space="preserve">    (U1)ALERT_REQ_H_CHGCON_</v>
      </c>
      <c r="AR30" s="71" t="str">
        <f t="shared" si="3"/>
        <v/>
      </c>
      <c r="AS30" s="71" t="str">
        <f t="shared" si="4"/>
        <v/>
      </c>
      <c r="AT30" s="71" t="str">
        <f t="shared" si="1"/>
        <v/>
      </c>
    </row>
    <row r="31" spans="2:49">
      <c r="B31" s="148"/>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t="s">
        <v>67</v>
      </c>
      <c r="AD31" s="69" t="s">
        <v>67</v>
      </c>
      <c r="AE31" s="69" t="s">
        <v>67</v>
      </c>
      <c r="AF31" s="69" t="s">
        <v>67</v>
      </c>
      <c r="AG31" s="69" t="s">
        <v>67</v>
      </c>
      <c r="AH31" s="69" t="s">
        <v>67</v>
      </c>
      <c r="AI31" s="69" t="s">
        <v>67</v>
      </c>
      <c r="AJ31" s="26"/>
      <c r="AL31" t="str">
        <f t="shared" ca="1" si="0"/>
        <v xml:space="preserve">    (U1)ALERT_REQ_H_CHGCON_</v>
      </c>
      <c r="AR31" s="71" t="str">
        <f t="shared" si="3"/>
        <v/>
      </c>
      <c r="AS31" s="71" t="str">
        <f t="shared" si="4"/>
        <v/>
      </c>
      <c r="AT31" s="71" t="str">
        <f t="shared" si="1"/>
        <v/>
      </c>
    </row>
    <row r="32" spans="2:49">
      <c r="B32" s="148"/>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t="s">
        <v>67</v>
      </c>
      <c r="AD32" s="69" t="s">
        <v>67</v>
      </c>
      <c r="AE32" s="69" t="s">
        <v>67</v>
      </c>
      <c r="AF32" s="69" t="s">
        <v>67</v>
      </c>
      <c r="AG32" s="69" t="s">
        <v>67</v>
      </c>
      <c r="AH32" s="69" t="s">
        <v>67</v>
      </c>
      <c r="AI32" s="69" t="s">
        <v>67</v>
      </c>
      <c r="AJ32" s="26"/>
      <c r="AL32" t="str">
        <f t="shared" ca="1" si="0"/>
        <v xml:space="preserve">    (U1)ALERT_REQ_H_CHGCON_</v>
      </c>
      <c r="AR32" s="71" t="str">
        <f t="shared" si="3"/>
        <v/>
      </c>
      <c r="AS32" s="71" t="str">
        <f t="shared" si="4"/>
        <v/>
      </c>
      <c r="AT32" s="71" t="str">
        <f t="shared" si="1"/>
        <v/>
      </c>
    </row>
    <row r="33" spans="2:46">
      <c r="B33" s="148"/>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t="s">
        <v>67</v>
      </c>
      <c r="AD33" s="69" t="s">
        <v>67</v>
      </c>
      <c r="AE33" s="69" t="s">
        <v>67</v>
      </c>
      <c r="AF33" s="69" t="s">
        <v>67</v>
      </c>
      <c r="AG33" s="69" t="s">
        <v>67</v>
      </c>
      <c r="AH33" s="69" t="s">
        <v>67</v>
      </c>
      <c r="AI33" s="69" t="s">
        <v>67</v>
      </c>
      <c r="AJ33" s="26"/>
      <c r="AL33" t="str">
        <f t="shared" ca="1" si="0"/>
        <v xml:space="preserve">    (U1)ALERT_REQ_H_CHGCON_</v>
      </c>
      <c r="AR33" s="71" t="str">
        <f t="shared" si="3"/>
        <v/>
      </c>
      <c r="AS33" s="71" t="str">
        <f t="shared" si="4"/>
        <v/>
      </c>
      <c r="AT33" s="71" t="str">
        <f t="shared" si="1"/>
        <v/>
      </c>
    </row>
    <row r="34" spans="2:46">
      <c r="B34" s="148"/>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t="s">
        <v>67</v>
      </c>
      <c r="AD34" s="69" t="s">
        <v>67</v>
      </c>
      <c r="AE34" s="69" t="s">
        <v>67</v>
      </c>
      <c r="AF34" s="69" t="s">
        <v>67</v>
      </c>
      <c r="AG34" s="69" t="s">
        <v>67</v>
      </c>
      <c r="AH34" s="69" t="s">
        <v>67</v>
      </c>
      <c r="AI34" s="69" t="s">
        <v>67</v>
      </c>
      <c r="AJ34" s="26"/>
      <c r="AL34" t="str">
        <f t="shared" ca="1" si="0"/>
        <v xml:space="preserve">    (U1)ALERT_REQ_H_CHGCON_</v>
      </c>
      <c r="AR34" s="71" t="str">
        <f t="shared" si="3"/>
        <v/>
      </c>
      <c r="AS34" s="71" t="str">
        <f t="shared" si="4"/>
        <v/>
      </c>
      <c r="AT34" s="71" t="str">
        <f t="shared" si="1"/>
        <v/>
      </c>
    </row>
    <row r="35" spans="2:46">
      <c r="B35" s="148"/>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t="s">
        <v>67</v>
      </c>
      <c r="AD35" s="69" t="s">
        <v>67</v>
      </c>
      <c r="AE35" s="69" t="s">
        <v>67</v>
      </c>
      <c r="AF35" s="69" t="s">
        <v>67</v>
      </c>
      <c r="AG35" s="69" t="s">
        <v>67</v>
      </c>
      <c r="AH35" s="69" t="s">
        <v>67</v>
      </c>
      <c r="AI35" s="69" t="s">
        <v>67</v>
      </c>
      <c r="AJ35" s="26"/>
      <c r="AL35" t="str">
        <f t="shared" ca="1" si="0"/>
        <v xml:space="preserve">    (U1)ALERT_REQ_H_CHGCON_</v>
      </c>
      <c r="AR35" s="71" t="str">
        <f t="shared" si="3"/>
        <v/>
      </c>
      <c r="AS35" s="71" t="str">
        <f t="shared" si="4"/>
        <v/>
      </c>
      <c r="AT35" s="71" t="str">
        <f t="shared" si="1"/>
        <v/>
      </c>
    </row>
    <row r="36" spans="2:46">
      <c r="B36" s="148"/>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t="s">
        <v>67</v>
      </c>
      <c r="AD36" s="69" t="s">
        <v>67</v>
      </c>
      <c r="AE36" s="69" t="s">
        <v>67</v>
      </c>
      <c r="AF36" s="69" t="s">
        <v>67</v>
      </c>
      <c r="AG36" s="69" t="s">
        <v>67</v>
      </c>
      <c r="AH36" s="69" t="s">
        <v>67</v>
      </c>
      <c r="AI36" s="69" t="s">
        <v>67</v>
      </c>
      <c r="AJ36" s="26"/>
      <c r="AL36" t="str">
        <f t="shared" ca="1" si="0"/>
        <v xml:space="preserve">    (U1)ALERT_REQ_H_CHGCON_</v>
      </c>
      <c r="AR36" s="71" t="str">
        <f t="shared" si="3"/>
        <v/>
      </c>
      <c r="AS36" s="71" t="str">
        <f t="shared" si="4"/>
        <v/>
      </c>
      <c r="AT36" s="71" t="str">
        <f t="shared" si="1"/>
        <v/>
      </c>
    </row>
    <row r="37" spans="2:46">
      <c r="B37" s="148"/>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t="s">
        <v>67</v>
      </c>
      <c r="AD37" s="69" t="s">
        <v>67</v>
      </c>
      <c r="AE37" s="69" t="s">
        <v>67</v>
      </c>
      <c r="AF37" s="69" t="s">
        <v>67</v>
      </c>
      <c r="AG37" s="69" t="s">
        <v>67</v>
      </c>
      <c r="AH37" s="69" t="s">
        <v>67</v>
      </c>
      <c r="AI37" s="69" t="s">
        <v>67</v>
      </c>
      <c r="AJ37" s="26"/>
      <c r="AL37" t="str">
        <f t="shared" ca="1" si="0"/>
        <v xml:space="preserve">    (U1)ALERT_REQ_H_CHGCON_</v>
      </c>
      <c r="AR37" s="71" t="str">
        <f t="shared" si="3"/>
        <v/>
      </c>
      <c r="AS37" s="71" t="str">
        <f t="shared" si="4"/>
        <v/>
      </c>
      <c r="AT37" s="71" t="str">
        <f t="shared" si="1"/>
        <v/>
      </c>
    </row>
    <row r="38" spans="2:46">
      <c r="B38" s="148"/>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t="s">
        <v>67</v>
      </c>
      <c r="AD38" s="69" t="s">
        <v>67</v>
      </c>
      <c r="AE38" s="69" t="s">
        <v>67</v>
      </c>
      <c r="AF38" s="69" t="s">
        <v>67</v>
      </c>
      <c r="AG38" s="69" t="s">
        <v>67</v>
      </c>
      <c r="AH38" s="69" t="s">
        <v>67</v>
      </c>
      <c r="AI38" s="69" t="s">
        <v>67</v>
      </c>
      <c r="AJ38" s="26"/>
      <c r="AL38" t="str">
        <f t="shared" ca="1" si="0"/>
        <v xml:space="preserve">    (U1)ALERT_REQ_H_CHGCON_</v>
      </c>
      <c r="AR38" s="71" t="str">
        <f t="shared" si="3"/>
        <v/>
      </c>
      <c r="AS38" s="71" t="str">
        <f t="shared" si="4"/>
        <v/>
      </c>
      <c r="AT38" s="71" t="str">
        <f t="shared" si="1"/>
        <v/>
      </c>
    </row>
    <row r="39" spans="2:46">
      <c r="B39" s="148"/>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t="s">
        <v>67</v>
      </c>
      <c r="AD39" s="69" t="s">
        <v>67</v>
      </c>
      <c r="AE39" s="69" t="s">
        <v>67</v>
      </c>
      <c r="AF39" s="69" t="s">
        <v>67</v>
      </c>
      <c r="AG39" s="69" t="s">
        <v>67</v>
      </c>
      <c r="AH39" s="69" t="s">
        <v>67</v>
      </c>
      <c r="AI39" s="69" t="s">
        <v>67</v>
      </c>
      <c r="AJ39" s="26"/>
      <c r="AL39" t="str">
        <f t="shared" ca="1" si="0"/>
        <v xml:space="preserve">    (U1)ALERT_REQ_H_CHGCON_</v>
      </c>
      <c r="AR39" s="71" t="str">
        <f t="shared" si="3"/>
        <v/>
      </c>
      <c r="AS39" s="71" t="str">
        <f t="shared" si="4"/>
        <v/>
      </c>
      <c r="AT39" s="71" t="str">
        <f t="shared" si="1"/>
        <v/>
      </c>
    </row>
    <row r="40" spans="2:46">
      <c r="B40" s="148"/>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t="s">
        <v>67</v>
      </c>
      <c r="AD40" s="69" t="s">
        <v>67</v>
      </c>
      <c r="AE40" s="69" t="s">
        <v>67</v>
      </c>
      <c r="AF40" s="69" t="s">
        <v>67</v>
      </c>
      <c r="AG40" s="69" t="s">
        <v>67</v>
      </c>
      <c r="AH40" s="69" t="s">
        <v>67</v>
      </c>
      <c r="AI40" s="69" t="s">
        <v>67</v>
      </c>
      <c r="AJ40" s="26"/>
      <c r="AL40" t="str">
        <f t="shared" ca="1" si="0"/>
        <v xml:space="preserve">    (U1)ALERT_REQ_H_CHGCON_</v>
      </c>
      <c r="AR40" s="71" t="str">
        <f t="shared" si="3"/>
        <v/>
      </c>
      <c r="AS40" s="71" t="str">
        <f t="shared" si="4"/>
        <v/>
      </c>
      <c r="AT40" s="71" t="str">
        <f t="shared" si="1"/>
        <v/>
      </c>
    </row>
    <row r="41" spans="2:46">
      <c r="B41" s="148"/>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t="s">
        <v>67</v>
      </c>
      <c r="AD41" s="69" t="s">
        <v>67</v>
      </c>
      <c r="AE41" s="69" t="s">
        <v>67</v>
      </c>
      <c r="AF41" s="69" t="s">
        <v>67</v>
      </c>
      <c r="AG41" s="69" t="s">
        <v>67</v>
      </c>
      <c r="AH41" s="69" t="s">
        <v>67</v>
      </c>
      <c r="AI41" s="69" t="s">
        <v>67</v>
      </c>
      <c r="AJ41" s="26"/>
      <c r="AL41" t="str">
        <f t="shared" ca="1" si="0"/>
        <v xml:space="preserve">    (U1)ALERT_REQ_H_CHGCON_</v>
      </c>
      <c r="AR41" s="71" t="str">
        <f t="shared" si="3"/>
        <v/>
      </c>
      <c r="AS41" s="71" t="str">
        <f t="shared" si="4"/>
        <v/>
      </c>
      <c r="AT41" s="71" t="str">
        <f t="shared" si="1"/>
        <v/>
      </c>
    </row>
    <row r="42" spans="2:46">
      <c r="B42" s="148"/>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t="s">
        <v>67</v>
      </c>
      <c r="AD42" s="69" t="s">
        <v>67</v>
      </c>
      <c r="AE42" s="69" t="s">
        <v>67</v>
      </c>
      <c r="AF42" s="69" t="s">
        <v>67</v>
      </c>
      <c r="AG42" s="69" t="s">
        <v>67</v>
      </c>
      <c r="AH42" s="69" t="s">
        <v>67</v>
      </c>
      <c r="AI42" s="69" t="s">
        <v>67</v>
      </c>
      <c r="AJ42" s="26"/>
      <c r="AL42" t="str">
        <f t="shared" ca="1" si="0"/>
        <v xml:space="preserve">    (U1)ALERT_REQ_H_CHGCON_</v>
      </c>
      <c r="AR42" s="71" t="str">
        <f t="shared" si="3"/>
        <v/>
      </c>
      <c r="AS42" s="71" t="str">
        <f t="shared" si="4"/>
        <v/>
      </c>
      <c r="AT42" s="71" t="str">
        <f t="shared" si="1"/>
        <v/>
      </c>
    </row>
    <row r="43" spans="2:46">
      <c r="B43" s="148"/>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t="s">
        <v>67</v>
      </c>
      <c r="AD43" s="69" t="s">
        <v>67</v>
      </c>
      <c r="AE43" s="69" t="s">
        <v>67</v>
      </c>
      <c r="AF43" s="69" t="s">
        <v>67</v>
      </c>
      <c r="AG43" s="69" t="s">
        <v>67</v>
      </c>
      <c r="AH43" s="69" t="s">
        <v>67</v>
      </c>
      <c r="AI43" s="69" t="s">
        <v>67</v>
      </c>
      <c r="AJ43" s="26"/>
      <c r="AL43" t="str">
        <f t="shared" ca="1" si="0"/>
        <v xml:space="preserve">    (U1)ALERT_REQ_H_CHGCON_</v>
      </c>
      <c r="AR43" s="71" t="str">
        <f t="shared" si="3"/>
        <v/>
      </c>
      <c r="AS43" s="71" t="str">
        <f t="shared" si="4"/>
        <v/>
      </c>
      <c r="AT43" s="71" t="str">
        <f t="shared" si="1"/>
        <v/>
      </c>
    </row>
    <row r="44" spans="2:46">
      <c r="B44" s="148"/>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6"/>
      <c r="AL44" t="str">
        <f t="shared" ca="1" si="0"/>
        <v xml:space="preserve">    (U1)ALERT_REQ_H_CHGCON_</v>
      </c>
      <c r="AR44" s="71" t="str">
        <f t="shared" si="3"/>
        <v/>
      </c>
      <c r="AS44" s="71" t="str">
        <f t="shared" si="4"/>
        <v/>
      </c>
      <c r="AT44" s="71" t="str">
        <f t="shared" si="1"/>
        <v/>
      </c>
    </row>
    <row r="45" spans="2:46">
      <c r="B45" s="148"/>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6"/>
      <c r="AL45" t="str">
        <f t="shared" ca="1" si="0"/>
        <v xml:space="preserve">    (U1)ALERT_REQ_H_CHGCON_</v>
      </c>
      <c r="AR45" s="71" t="str">
        <f t="shared" si="3"/>
        <v/>
      </c>
      <c r="AS45" s="71" t="str">
        <f t="shared" si="4"/>
        <v/>
      </c>
      <c r="AT45" s="71" t="str">
        <f t="shared" si="1"/>
        <v/>
      </c>
    </row>
    <row r="46" spans="2:46">
      <c r="B46" s="148"/>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6"/>
      <c r="AL46" t="str">
        <f t="shared" ca="1" si="0"/>
        <v xml:space="preserve">    (U1)ALERT_REQ_H_CHGCON_</v>
      </c>
      <c r="AR46" s="71" t="str">
        <f t="shared" si="3"/>
        <v/>
      </c>
      <c r="AS46" s="71" t="str">
        <f t="shared" si="4"/>
        <v/>
      </c>
      <c r="AT46" s="71" t="str">
        <f t="shared" si="1"/>
        <v/>
      </c>
    </row>
    <row r="47" spans="2:46">
      <c r="B47" s="148"/>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6"/>
      <c r="AL47" t="str">
        <f t="shared" ca="1" si="0"/>
        <v xml:space="preserve">    (U1)ALERT_REQ_H_CHGCON_</v>
      </c>
      <c r="AR47" s="71" t="str">
        <f t="shared" si="3"/>
        <v/>
      </c>
      <c r="AS47" s="71" t="str">
        <f t="shared" si="4"/>
        <v/>
      </c>
      <c r="AT47" s="71" t="str">
        <f t="shared" si="1"/>
        <v/>
      </c>
    </row>
    <row r="48" spans="2:46">
      <c r="B48" s="148"/>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6"/>
      <c r="AL48" t="str">
        <f t="shared" ca="1" si="0"/>
        <v xml:space="preserve">    (U1)ALERT_REQ_H_CHGCON_</v>
      </c>
      <c r="AR48" s="71" t="str">
        <f t="shared" si="3"/>
        <v/>
      </c>
      <c r="AS48" s="71" t="str">
        <f t="shared" si="4"/>
        <v/>
      </c>
      <c r="AT48" s="71" t="str">
        <f t="shared" si="1"/>
        <v/>
      </c>
    </row>
    <row r="49" spans="2:46">
      <c r="B49" s="148"/>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6"/>
      <c r="AL49" t="str">
        <f t="shared" ca="1" si="0"/>
        <v xml:space="preserve">    (U1)ALERT_REQ_H_CHGCON_</v>
      </c>
      <c r="AR49" s="71" t="str">
        <f t="shared" si="3"/>
        <v/>
      </c>
      <c r="AS49" s="71" t="str">
        <f t="shared" si="4"/>
        <v/>
      </c>
      <c r="AT49" s="71" t="str">
        <f t="shared" si="1"/>
        <v/>
      </c>
    </row>
    <row r="50" spans="2:46">
      <c r="B50" s="148"/>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6"/>
      <c r="AL50" t="str">
        <f t="shared" ca="1" si="0"/>
        <v xml:space="preserve">    (U1)ALERT_REQ_H_CHGCON_</v>
      </c>
      <c r="AR50" s="71" t="str">
        <f t="shared" si="3"/>
        <v/>
      </c>
      <c r="AS50" s="71" t="str">
        <f t="shared" si="4"/>
        <v/>
      </c>
      <c r="AT50" s="71" t="str">
        <f t="shared" si="1"/>
        <v/>
      </c>
    </row>
    <row r="51" spans="2:46">
      <c r="B51" s="148"/>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6"/>
      <c r="AL51" t="str">
        <f t="shared" ca="1" si="0"/>
        <v xml:space="preserve">    (U1)ALERT_REQ_H_CHGCON_</v>
      </c>
      <c r="AR51" s="71" t="str">
        <f t="shared" si="3"/>
        <v/>
      </c>
      <c r="AS51" s="71" t="str">
        <f t="shared" si="4"/>
        <v/>
      </c>
      <c r="AT51" s="71" t="str">
        <f t="shared" si="1"/>
        <v/>
      </c>
    </row>
    <row r="52" spans="2:46">
      <c r="B52" s="148"/>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6"/>
      <c r="AL52" t="str">
        <f t="shared" ca="1" si="0"/>
        <v xml:space="preserve">    (U1)ALERT_REQ_H_CHGCON_</v>
      </c>
      <c r="AR52" s="71" t="str">
        <f t="shared" si="3"/>
        <v/>
      </c>
      <c r="AS52" s="71" t="str">
        <f t="shared" si="4"/>
        <v/>
      </c>
      <c r="AT52" s="71" t="str">
        <f t="shared" si="1"/>
        <v/>
      </c>
    </row>
    <row r="53" spans="2:46">
      <c r="B53" s="148"/>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6"/>
      <c r="AL53" t="str">
        <f t="shared" ca="1" si="0"/>
        <v xml:space="preserve">    (U1)ALERT_REQ_H_CHGCON_</v>
      </c>
      <c r="AR53" s="71" t="str">
        <f t="shared" si="3"/>
        <v/>
      </c>
      <c r="AS53" s="71" t="str">
        <f t="shared" si="4"/>
        <v/>
      </c>
      <c r="AT53" s="71" t="str">
        <f t="shared" si="1"/>
        <v/>
      </c>
    </row>
    <row r="54" spans="2:46">
      <c r="B54" s="148"/>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6"/>
      <c r="AL54" t="str">
        <f t="shared" ca="1" si="0"/>
        <v xml:space="preserve">    (U1)ALERT_REQ_H_CHGCON_</v>
      </c>
      <c r="AR54" s="71" t="str">
        <f t="shared" si="3"/>
        <v/>
      </c>
      <c r="AS54" s="71" t="str">
        <f t="shared" si="4"/>
        <v/>
      </c>
      <c r="AT54" s="71" t="str">
        <f t="shared" si="1"/>
        <v/>
      </c>
    </row>
    <row r="55" spans="2:46">
      <c r="B55" s="148"/>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6"/>
      <c r="AL55" t="str">
        <f t="shared" ca="1" si="0"/>
        <v xml:space="preserve">    (U1)ALERT_REQ_H_CHGCON_</v>
      </c>
      <c r="AR55" s="71" t="str">
        <f t="shared" si="3"/>
        <v/>
      </c>
      <c r="AS55" s="71" t="str">
        <f t="shared" si="4"/>
        <v/>
      </c>
      <c r="AT55" s="71" t="str">
        <f t="shared" si="1"/>
        <v/>
      </c>
    </row>
    <row r="56" spans="2:46">
      <c r="B56" s="148"/>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6"/>
      <c r="AL56" t="str">
        <f t="shared" ca="1" si="0"/>
        <v xml:space="preserve">    (U1)ALERT_REQ_H_CHGCON_</v>
      </c>
      <c r="AR56" s="71" t="str">
        <f t="shared" si="3"/>
        <v/>
      </c>
      <c r="AS56" s="71" t="str">
        <f t="shared" si="4"/>
        <v/>
      </c>
      <c r="AT56" s="71" t="str">
        <f t="shared" si="1"/>
        <v/>
      </c>
    </row>
    <row r="57" spans="2:46">
      <c r="B57" s="148"/>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6"/>
      <c r="AL57" t="str">
        <f t="shared" ca="1" si="0"/>
        <v xml:space="preserve">    (U1)ALERT_REQ_H_CHGCON_</v>
      </c>
      <c r="AR57" s="71" t="str">
        <f t="shared" si="3"/>
        <v/>
      </c>
      <c r="AS57" s="71" t="str">
        <f t="shared" si="4"/>
        <v/>
      </c>
      <c r="AT57" s="71" t="str">
        <f t="shared" si="1"/>
        <v/>
      </c>
    </row>
    <row r="58" spans="2:46">
      <c r="B58" s="148"/>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6"/>
      <c r="AL58" t="str">
        <f t="shared" ca="1" si="0"/>
        <v xml:space="preserve">    (U1)ALERT_REQ_H_CHGCON_</v>
      </c>
      <c r="AR58" s="71" t="str">
        <f t="shared" si="3"/>
        <v/>
      </c>
      <c r="AS58" s="71" t="str">
        <f t="shared" si="4"/>
        <v/>
      </c>
      <c r="AT58" s="71" t="str">
        <f t="shared" si="1"/>
        <v/>
      </c>
    </row>
    <row r="59" spans="2:46">
      <c r="B59" s="148"/>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6"/>
      <c r="AL59" t="str">
        <f t="shared" ca="1" si="0"/>
        <v xml:space="preserve">    (U1)ALERT_REQ_H_CHGCON_</v>
      </c>
      <c r="AR59" s="71" t="str">
        <f t="shared" si="3"/>
        <v/>
      </c>
      <c r="AS59" s="71" t="str">
        <f t="shared" si="4"/>
        <v/>
      </c>
      <c r="AT59" s="71" t="str">
        <f t="shared" si="1"/>
        <v/>
      </c>
    </row>
    <row r="60" spans="2:46">
      <c r="B60" s="148"/>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6"/>
      <c r="AL60" t="str">
        <f t="shared" ca="1" si="0"/>
        <v xml:space="preserve">    (U1)ALERT_REQ_H_CHGCON_</v>
      </c>
      <c r="AR60" s="71" t="str">
        <f t="shared" si="3"/>
        <v/>
      </c>
      <c r="AS60" s="71" t="str">
        <f t="shared" si="4"/>
        <v/>
      </c>
      <c r="AT60" s="71" t="str">
        <f t="shared" si="1"/>
        <v/>
      </c>
    </row>
    <row r="61" spans="2:46">
      <c r="B61" s="148"/>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6"/>
      <c r="AL61" t="str">
        <f t="shared" ca="1" si="0"/>
        <v xml:space="preserve">    (U1)ALERT_REQ_H_CHGCON_</v>
      </c>
      <c r="AR61" s="71" t="str">
        <f t="shared" si="3"/>
        <v/>
      </c>
      <c r="AS61" s="71" t="str">
        <f t="shared" si="4"/>
        <v/>
      </c>
      <c r="AT61" s="71" t="str">
        <f t="shared" si="1"/>
        <v/>
      </c>
    </row>
    <row r="62" spans="2:46">
      <c r="B62" s="148"/>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6"/>
      <c r="AL62" t="str">
        <f t="shared" ca="1" si="0"/>
        <v xml:space="preserve">    (U1)ALERT_REQ_H_CHGCON_</v>
      </c>
      <c r="AR62" s="71" t="str">
        <f t="shared" si="3"/>
        <v/>
      </c>
      <c r="AS62" s="71" t="str">
        <f t="shared" si="4"/>
        <v/>
      </c>
      <c r="AT62" s="71" t="str">
        <f t="shared" si="1"/>
        <v/>
      </c>
    </row>
    <row r="63" spans="2:46">
      <c r="B63" s="148"/>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6"/>
      <c r="AL63" t="str">
        <f t="shared" ca="1" si="0"/>
        <v xml:space="preserve">    (U1)ALERT_REQ_H_CHGCON_</v>
      </c>
      <c r="AR63" s="71" t="str">
        <f t="shared" si="3"/>
        <v/>
      </c>
      <c r="AS63" s="71" t="str">
        <f t="shared" si="4"/>
        <v/>
      </c>
      <c r="AT63" s="71" t="str">
        <f t="shared" si="1"/>
        <v/>
      </c>
    </row>
    <row r="64" spans="2:46">
      <c r="B64" s="148"/>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6"/>
      <c r="AL64" t="str">
        <f t="shared" ca="1" si="0"/>
        <v xml:space="preserve">    (U1)ALERT_REQ_H_CHGCON_</v>
      </c>
      <c r="AR64" s="71" t="str">
        <f t="shared" si="3"/>
        <v/>
      </c>
      <c r="AS64" s="71" t="str">
        <f t="shared" si="4"/>
        <v/>
      </c>
      <c r="AT64" s="71" t="str">
        <f t="shared" si="1"/>
        <v/>
      </c>
    </row>
    <row r="65" spans="1:46">
      <c r="B65" s="148"/>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6"/>
      <c r="AL65" t="str">
        <f t="shared" ca="1" si="0"/>
        <v xml:space="preserve">    (U1)ALERT_REQ_H_CHGCON_</v>
      </c>
      <c r="AR65" s="71" t="str">
        <f t="shared" si="3"/>
        <v/>
      </c>
      <c r="AS65" s="71" t="str">
        <f t="shared" si="4"/>
        <v/>
      </c>
      <c r="AT65" s="71" t="str">
        <f t="shared" si="1"/>
        <v/>
      </c>
    </row>
    <row r="66" spans="1:46">
      <c r="B66" s="148"/>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6"/>
      <c r="AL66" t="str">
        <f t="shared" ca="1" si="0"/>
        <v xml:space="preserve">    (U1)ALERT_REQ_H_CHGCON_</v>
      </c>
      <c r="AR66" s="71" t="str">
        <f t="shared" si="3"/>
        <v/>
      </c>
      <c r="AS66" s="71" t="str">
        <f t="shared" si="4"/>
        <v/>
      </c>
      <c r="AT66" s="71" t="str">
        <f t="shared" si="1"/>
        <v/>
      </c>
    </row>
    <row r="67" spans="1:46">
      <c r="B67" s="148"/>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6"/>
      <c r="AL67" t="str">
        <f t="shared" ca="1" si="0"/>
        <v xml:space="preserve">    (U1)ALERT_REQ_H_CHGCON_</v>
      </c>
      <c r="AR67" s="71" t="str">
        <f t="shared" si="3"/>
        <v/>
      </c>
      <c r="AS67" s="71" t="str">
        <f t="shared" si="4"/>
        <v/>
      </c>
      <c r="AT67" s="71" t="str">
        <f t="shared" si="1"/>
        <v/>
      </c>
    </row>
    <row r="68" spans="1:46">
      <c r="B68" s="148"/>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6"/>
      <c r="AL68" t="str">
        <f t="shared" ca="1" si="0"/>
        <v xml:space="preserve">    (U1)ALERT_REQ_H_CHGCON_</v>
      </c>
      <c r="AR68" s="71" t="str">
        <f t="shared" si="3"/>
        <v/>
      </c>
      <c r="AS68" s="71" t="str">
        <f t="shared" si="4"/>
        <v/>
      </c>
      <c r="AT68" s="71" t="str">
        <f t="shared" si="1"/>
        <v/>
      </c>
    </row>
    <row r="69" spans="1:46">
      <c r="B69" s="149"/>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6"/>
      <c r="AL69" t="str">
        <f t="shared" ca="1" si="0"/>
        <v xml:space="preserve">    (U1)ALERT_REQ_H_CHGCON_</v>
      </c>
      <c r="AR69" s="71" t="str">
        <f t="shared" si="3"/>
        <v/>
      </c>
      <c r="AS69" s="71" t="str">
        <f t="shared" si="4"/>
        <v/>
      </c>
      <c r="AT69" s="71" t="str">
        <f t="shared" si="1"/>
        <v/>
      </c>
    </row>
    <row r="70" spans="1:46" ht="14.25"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50" t="str">
        <f ca="1">IF(B6&lt;&gt;"",B6,"")</f>
        <v>Table H_CHGCON</v>
      </c>
      <c r="C71" s="55">
        <f>IF(C6&lt;&gt;"",C6,"")</f>
        <v>0</v>
      </c>
      <c r="D71" s="139">
        <f t="shared" ref="D71:AI78" si="6">IF(D6=1,1,0)</f>
        <v>0</v>
      </c>
      <c r="E71" s="139">
        <f t="shared" si="6"/>
        <v>0</v>
      </c>
      <c r="F71" s="139">
        <f t="shared" si="6"/>
        <v>0</v>
      </c>
      <c r="G71" s="139">
        <f t="shared" si="6"/>
        <v>0</v>
      </c>
      <c r="H71" s="139">
        <f t="shared" si="6"/>
        <v>0</v>
      </c>
      <c r="I71" s="139">
        <f t="shared" si="6"/>
        <v>0</v>
      </c>
      <c r="J71" s="139">
        <f t="shared" si="6"/>
        <v>0</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0</v>
      </c>
      <c r="AD71" s="139">
        <f t="shared" si="6"/>
        <v>0</v>
      </c>
      <c r="AE71" s="139">
        <f t="shared" si="6"/>
        <v>0</v>
      </c>
      <c r="AF71" s="139">
        <f t="shared" si="6"/>
        <v>0</v>
      </c>
      <c r="AG71" s="139">
        <f t="shared" si="6"/>
        <v>1</v>
      </c>
      <c r="AH71" s="139">
        <f t="shared" si="6"/>
        <v>0</v>
      </c>
      <c r="AI71" s="139">
        <f t="shared" si="6"/>
        <v>0</v>
      </c>
      <c r="AJ71" s="55" t="str">
        <f t="shared" ref="AJ71:AJ134" si="7">IF(AJ6&lt;&gt;"",AJ6,"")</f>
        <v>NOTRUN</v>
      </c>
      <c r="AK71" s="68"/>
      <c r="AL71" s="68" t="str">
        <f>BIN2HEX(AB71&amp;AC71&amp;AD71&amp;AE71&amp;AF71&amp;AG71&amp;AH71&amp;AI71,2)</f>
        <v>04</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(U4)0x00000004U,                                                           /* 00 NOTRUN                                          */</v>
      </c>
    </row>
    <row r="72" spans="1:46">
      <c r="B72" s="148"/>
      <c r="C72" s="55">
        <f t="shared" ref="C72:C134" si="9">IF(C7&lt;&gt;"",C7,"")</f>
        <v>1</v>
      </c>
      <c r="D72" s="139">
        <f t="shared" si="6"/>
        <v>0</v>
      </c>
      <c r="E72" s="139">
        <f t="shared" si="6"/>
        <v>0</v>
      </c>
      <c r="F72" s="139">
        <f t="shared" si="6"/>
        <v>0</v>
      </c>
      <c r="G72" s="139">
        <f t="shared" si="6"/>
        <v>0</v>
      </c>
      <c r="H72" s="139">
        <f t="shared" si="6"/>
        <v>0</v>
      </c>
      <c r="I72" s="139">
        <f t="shared" si="6"/>
        <v>0</v>
      </c>
      <c r="J72" s="139">
        <f t="shared" si="6"/>
        <v>0</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1</v>
      </c>
      <c r="AF72" s="139">
        <f t="shared" si="6"/>
        <v>0</v>
      </c>
      <c r="AG72" s="139">
        <f t="shared" si="6"/>
        <v>0</v>
      </c>
      <c r="AH72" s="139">
        <f t="shared" si="6"/>
        <v>0</v>
      </c>
      <c r="AI72" s="139">
        <f t="shared" si="6"/>
        <v>0</v>
      </c>
      <c r="AJ72" s="55" t="str">
        <f t="shared" si="7"/>
        <v>NOTRDY</v>
      </c>
      <c r="AK72" s="68"/>
      <c r="AL72" s="68" t="str">
        <f t="shared" ref="AL72:AL134" si="10">BIN2HEX(AB72&amp;AC72&amp;AD72&amp;AE72&amp;AF72&amp;AG72&amp;AH72&amp;AI72,2)</f>
        <v>10</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(U4)0x00000010U                                                            /* 01 NOTRDY                                          */</v>
      </c>
    </row>
    <row r="73" spans="1:46">
      <c r="B73" s="148"/>
      <c r="C73" s="55">
        <f t="shared" si="9"/>
        <v>2</v>
      </c>
      <c r="D73" s="139">
        <f t="shared" si="6"/>
        <v>0</v>
      </c>
      <c r="E73" s="139">
        <f t="shared" si="6"/>
        <v>0</v>
      </c>
      <c r="F73" s="139">
        <f t="shared" si="6"/>
        <v>0</v>
      </c>
      <c r="G73" s="139">
        <f t="shared" si="6"/>
        <v>0</v>
      </c>
      <c r="H73" s="139">
        <f t="shared" si="6"/>
        <v>0</v>
      </c>
      <c r="I73" s="139">
        <f t="shared" si="6"/>
        <v>0</v>
      </c>
      <c r="J73" s="139">
        <f t="shared" si="6"/>
        <v>0</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0</v>
      </c>
      <c r="AG73" s="139">
        <f t="shared" si="6"/>
        <v>0</v>
      </c>
      <c r="AH73" s="139">
        <f t="shared" si="6"/>
        <v>0</v>
      </c>
      <c r="AI73" s="139">
        <f t="shared" si="6"/>
        <v>0</v>
      </c>
      <c r="AJ73" s="55" t="str">
        <f t="shared" si="7"/>
        <v/>
      </c>
      <c r="AK73" s="68"/>
      <c r="AL73" s="68" t="str">
        <f t="shared" si="10"/>
        <v>00</v>
      </c>
      <c r="AM73" s="70" t="str">
        <f t="shared" si="11"/>
        <v>00</v>
      </c>
      <c r="AN73" s="70" t="str">
        <f t="shared" si="12"/>
        <v>00</v>
      </c>
      <c r="AO73" s="70" t="str">
        <f t="shared" si="13"/>
        <v>00</v>
      </c>
      <c r="AQ73" t="str">
        <f t="shared" si="8"/>
        <v/>
      </c>
    </row>
    <row r="74" spans="1:46">
      <c r="B74" s="148"/>
      <c r="C74" s="55">
        <f t="shared" si="9"/>
        <v>3</v>
      </c>
      <c r="D74" s="139">
        <f t="shared" si="6"/>
        <v>0</v>
      </c>
      <c r="E74" s="139">
        <f t="shared" si="6"/>
        <v>0</v>
      </c>
      <c r="F74" s="139">
        <f t="shared" si="6"/>
        <v>0</v>
      </c>
      <c r="G74" s="139">
        <f t="shared" si="6"/>
        <v>0</v>
      </c>
      <c r="H74" s="139">
        <f t="shared" si="6"/>
        <v>0</v>
      </c>
      <c r="I74" s="139">
        <f t="shared" si="6"/>
        <v>0</v>
      </c>
      <c r="J74" s="139">
        <f t="shared" si="6"/>
        <v>0</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0</v>
      </c>
      <c r="AG74" s="139">
        <f t="shared" si="6"/>
        <v>0</v>
      </c>
      <c r="AH74" s="139">
        <f t="shared" si="6"/>
        <v>0</v>
      </c>
      <c r="AI74" s="139">
        <f t="shared" si="6"/>
        <v>0</v>
      </c>
      <c r="AJ74" s="55" t="str">
        <f t="shared" si="7"/>
        <v/>
      </c>
      <c r="AK74" s="68"/>
      <c r="AL74" s="68" t="str">
        <f t="shared" si="10"/>
        <v>00</v>
      </c>
      <c r="AM74" s="70" t="str">
        <f t="shared" si="11"/>
        <v>00</v>
      </c>
      <c r="AN74" s="70" t="str">
        <f t="shared" si="12"/>
        <v>00</v>
      </c>
      <c r="AO74" s="70" t="str">
        <f t="shared" si="13"/>
        <v>00</v>
      </c>
      <c r="AQ74" t="str">
        <f t="shared" si="8"/>
        <v/>
      </c>
    </row>
    <row r="75" spans="1:46">
      <c r="B75" s="148"/>
      <c r="C75" s="55">
        <f t="shared" si="9"/>
        <v>4</v>
      </c>
      <c r="D75" s="139">
        <f t="shared" si="6"/>
        <v>0</v>
      </c>
      <c r="E75" s="139">
        <f t="shared" si="6"/>
        <v>0</v>
      </c>
      <c r="F75" s="139">
        <f t="shared" si="6"/>
        <v>0</v>
      </c>
      <c r="G75" s="139">
        <f t="shared" si="6"/>
        <v>0</v>
      </c>
      <c r="H75" s="139">
        <f t="shared" si="6"/>
        <v>0</v>
      </c>
      <c r="I75" s="139">
        <f t="shared" si="6"/>
        <v>0</v>
      </c>
      <c r="J75" s="139">
        <f t="shared" si="6"/>
        <v>0</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0</v>
      </c>
      <c r="AG75" s="139">
        <f t="shared" si="6"/>
        <v>0</v>
      </c>
      <c r="AH75" s="139">
        <f t="shared" si="6"/>
        <v>0</v>
      </c>
      <c r="AI75" s="139">
        <f t="shared" si="6"/>
        <v>0</v>
      </c>
      <c r="AJ75" s="55" t="str">
        <f t="shared" si="7"/>
        <v/>
      </c>
      <c r="AK75" s="68"/>
      <c r="AL75" s="68" t="str">
        <f t="shared" si="10"/>
        <v>00</v>
      </c>
      <c r="AM75" s="70" t="str">
        <f t="shared" si="11"/>
        <v>00</v>
      </c>
      <c r="AN75" s="70" t="str">
        <f t="shared" si="12"/>
        <v>00</v>
      </c>
      <c r="AO75" s="70" t="str">
        <f t="shared" si="13"/>
        <v>00</v>
      </c>
      <c r="AQ75" t="str">
        <f t="shared" si="8"/>
        <v/>
      </c>
    </row>
    <row r="76" spans="1:46">
      <c r="B76" s="148"/>
      <c r="C76" s="55">
        <f t="shared" si="9"/>
        <v>5</v>
      </c>
      <c r="D76" s="139">
        <f t="shared" si="6"/>
        <v>0</v>
      </c>
      <c r="E76" s="139">
        <f t="shared" si="6"/>
        <v>0</v>
      </c>
      <c r="F76" s="139">
        <f t="shared" si="6"/>
        <v>0</v>
      </c>
      <c r="G76" s="139">
        <f t="shared" si="6"/>
        <v>0</v>
      </c>
      <c r="H76" s="139">
        <f t="shared" si="6"/>
        <v>0</v>
      </c>
      <c r="I76" s="139">
        <f t="shared" si="6"/>
        <v>0</v>
      </c>
      <c r="J76" s="139">
        <f t="shared" si="6"/>
        <v>0</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0</v>
      </c>
      <c r="AG76" s="139">
        <f t="shared" si="6"/>
        <v>0</v>
      </c>
      <c r="AH76" s="139">
        <f t="shared" si="6"/>
        <v>0</v>
      </c>
      <c r="AI76" s="139">
        <f t="shared" si="6"/>
        <v>0</v>
      </c>
      <c r="AJ76" s="55" t="str">
        <f t="shared" si="7"/>
        <v/>
      </c>
      <c r="AK76" s="68"/>
      <c r="AL76" s="68" t="str">
        <f t="shared" si="10"/>
        <v>00</v>
      </c>
      <c r="AM76" s="70" t="str">
        <f t="shared" si="11"/>
        <v>00</v>
      </c>
      <c r="AN76" s="70" t="str">
        <f t="shared" si="12"/>
        <v>00</v>
      </c>
      <c r="AO76" s="70" t="str">
        <f t="shared" si="13"/>
        <v>00</v>
      </c>
      <c r="AQ76" t="str">
        <f t="shared" si="8"/>
        <v/>
      </c>
    </row>
    <row r="77" spans="1:46">
      <c r="B77" s="148"/>
      <c r="C77" s="55">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0</v>
      </c>
      <c r="AG77" s="139">
        <f t="shared" si="6"/>
        <v>0</v>
      </c>
      <c r="AH77" s="139">
        <f t="shared" si="6"/>
        <v>0</v>
      </c>
      <c r="AI77" s="139">
        <f t="shared" si="6"/>
        <v>0</v>
      </c>
      <c r="AJ77" s="55" t="str">
        <f t="shared" si="7"/>
        <v/>
      </c>
      <c r="AK77" s="68"/>
      <c r="AL77" s="68" t="str">
        <f t="shared" si="10"/>
        <v>00</v>
      </c>
      <c r="AM77" s="70" t="str">
        <f t="shared" si="11"/>
        <v>00</v>
      </c>
      <c r="AN77" s="70" t="str">
        <f t="shared" si="12"/>
        <v>00</v>
      </c>
      <c r="AO77" s="70" t="str">
        <f t="shared" si="13"/>
        <v>00</v>
      </c>
      <c r="AQ77" t="str">
        <f t="shared" si="8"/>
        <v/>
      </c>
    </row>
    <row r="78" spans="1:46">
      <c r="B78" s="148"/>
      <c r="C78" s="55">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0</v>
      </c>
      <c r="AG78" s="139">
        <f t="shared" si="6"/>
        <v>0</v>
      </c>
      <c r="AH78" s="139">
        <f t="shared" si="6"/>
        <v>0</v>
      </c>
      <c r="AI78" s="139">
        <f t="shared" ref="AI78" si="14">IF(AI13=1,1,0)</f>
        <v>0</v>
      </c>
      <c r="AJ78" s="55" t="str">
        <f t="shared" si="7"/>
        <v/>
      </c>
      <c r="AK78" s="68"/>
      <c r="AL78" s="68" t="str">
        <f t="shared" si="10"/>
        <v>00</v>
      </c>
      <c r="AM78" s="70" t="str">
        <f t="shared" si="11"/>
        <v>00</v>
      </c>
      <c r="AN78" s="70" t="str">
        <f t="shared" si="12"/>
        <v>00</v>
      </c>
      <c r="AO78" s="70" t="str">
        <f t="shared" si="13"/>
        <v>00</v>
      </c>
      <c r="AQ78" t="str">
        <f t="shared" si="8"/>
        <v/>
      </c>
    </row>
    <row r="79" spans="1:46">
      <c r="B79" s="148"/>
      <c r="C79" s="55">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0</v>
      </c>
      <c r="AG79" s="139">
        <f t="shared" si="15"/>
        <v>0</v>
      </c>
      <c r="AH79" s="139">
        <f t="shared" si="15"/>
        <v>0</v>
      </c>
      <c r="AI79" s="139">
        <f t="shared" si="15"/>
        <v>0</v>
      </c>
      <c r="AJ79" s="55" t="str">
        <f t="shared" si="7"/>
        <v/>
      </c>
      <c r="AK79" s="68"/>
      <c r="AL79" s="68" t="str">
        <f t="shared" si="10"/>
        <v>00</v>
      </c>
      <c r="AM79" s="70" t="str">
        <f t="shared" si="11"/>
        <v>00</v>
      </c>
      <c r="AN79" s="70" t="str">
        <f t="shared" si="12"/>
        <v>00</v>
      </c>
      <c r="AO79" s="70" t="str">
        <f t="shared" si="13"/>
        <v>00</v>
      </c>
      <c r="AQ79" t="str">
        <f t="shared" si="8"/>
        <v/>
      </c>
    </row>
    <row r="80" spans="1:46">
      <c r="B80" s="148"/>
      <c r="C80" s="55">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0</v>
      </c>
      <c r="AG80" s="139">
        <f t="shared" si="15"/>
        <v>0</v>
      </c>
      <c r="AH80" s="139">
        <f t="shared" si="15"/>
        <v>0</v>
      </c>
      <c r="AI80" s="139">
        <f t="shared" si="15"/>
        <v>0</v>
      </c>
      <c r="AJ80" s="55" t="str">
        <f t="shared" si="7"/>
        <v/>
      </c>
      <c r="AK80" s="68"/>
      <c r="AL80" s="68" t="str">
        <f t="shared" si="10"/>
        <v>00</v>
      </c>
      <c r="AM80" s="70" t="str">
        <f t="shared" si="11"/>
        <v>00</v>
      </c>
      <c r="AN80" s="70" t="str">
        <f t="shared" si="12"/>
        <v>00</v>
      </c>
      <c r="AO80" s="70" t="str">
        <f t="shared" si="13"/>
        <v>00</v>
      </c>
      <c r="AQ80" t="str">
        <f t="shared" si="8"/>
        <v/>
      </c>
    </row>
    <row r="81" spans="2:43">
      <c r="B81" s="148"/>
      <c r="C81" s="55">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0</v>
      </c>
      <c r="AG81" s="139">
        <f t="shared" si="15"/>
        <v>0</v>
      </c>
      <c r="AH81" s="139">
        <f t="shared" si="15"/>
        <v>0</v>
      </c>
      <c r="AI81" s="139">
        <f t="shared" si="15"/>
        <v>0</v>
      </c>
      <c r="AJ81" s="55" t="str">
        <f t="shared" si="7"/>
        <v/>
      </c>
      <c r="AK81" s="68"/>
      <c r="AL81" s="68" t="str">
        <f t="shared" si="10"/>
        <v>00</v>
      </c>
      <c r="AM81" s="70" t="str">
        <f t="shared" si="11"/>
        <v>00</v>
      </c>
      <c r="AN81" s="70" t="str">
        <f t="shared" si="12"/>
        <v>00</v>
      </c>
      <c r="AO81" s="70" t="str">
        <f t="shared" si="13"/>
        <v>00</v>
      </c>
      <c r="AQ81" t="str">
        <f t="shared" si="8"/>
        <v/>
      </c>
    </row>
    <row r="82" spans="2:43">
      <c r="B82" s="148"/>
      <c r="C82" s="55">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0</v>
      </c>
      <c r="AG82" s="139">
        <f t="shared" si="15"/>
        <v>0</v>
      </c>
      <c r="AH82" s="139">
        <f t="shared" si="15"/>
        <v>0</v>
      </c>
      <c r="AI82" s="139">
        <f t="shared" si="15"/>
        <v>0</v>
      </c>
      <c r="AJ82" s="55" t="str">
        <f t="shared" si="7"/>
        <v/>
      </c>
      <c r="AK82" s="68"/>
      <c r="AL82" s="68" t="str">
        <f t="shared" si="10"/>
        <v>00</v>
      </c>
      <c r="AM82" s="70" t="str">
        <f t="shared" si="11"/>
        <v>00</v>
      </c>
      <c r="AN82" s="70" t="str">
        <f t="shared" si="12"/>
        <v>00</v>
      </c>
      <c r="AO82" s="70" t="str">
        <f t="shared" si="13"/>
        <v>00</v>
      </c>
      <c r="AQ82" t="str">
        <f t="shared" si="8"/>
        <v/>
      </c>
    </row>
    <row r="83" spans="2:43">
      <c r="B83" s="148"/>
      <c r="C83" s="55">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0</v>
      </c>
      <c r="AG83" s="139">
        <f t="shared" si="15"/>
        <v>0</v>
      </c>
      <c r="AH83" s="139">
        <f t="shared" si="15"/>
        <v>0</v>
      </c>
      <c r="AI83" s="139">
        <f t="shared" si="15"/>
        <v>0</v>
      </c>
      <c r="AJ83" s="55" t="str">
        <f t="shared" si="7"/>
        <v/>
      </c>
      <c r="AK83" s="68"/>
      <c r="AL83" s="68" t="str">
        <f t="shared" si="10"/>
        <v>00</v>
      </c>
      <c r="AM83" s="70" t="str">
        <f t="shared" si="11"/>
        <v>00</v>
      </c>
      <c r="AN83" s="70" t="str">
        <f t="shared" si="12"/>
        <v>00</v>
      </c>
      <c r="AO83" s="70" t="str">
        <f t="shared" si="13"/>
        <v>00</v>
      </c>
      <c r="AQ83" t="str">
        <f t="shared" si="8"/>
        <v/>
      </c>
    </row>
    <row r="84" spans="2:43">
      <c r="B84" s="148"/>
      <c r="C84" s="55">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0</v>
      </c>
      <c r="AG84" s="139">
        <f t="shared" si="15"/>
        <v>0</v>
      </c>
      <c r="AH84" s="139">
        <f t="shared" si="15"/>
        <v>0</v>
      </c>
      <c r="AI84" s="139">
        <f t="shared" si="15"/>
        <v>0</v>
      </c>
      <c r="AJ84" s="55" t="str">
        <f t="shared" si="7"/>
        <v/>
      </c>
      <c r="AK84" s="68"/>
      <c r="AL84" s="68" t="str">
        <f t="shared" si="10"/>
        <v>00</v>
      </c>
      <c r="AM84" s="70" t="str">
        <f t="shared" si="11"/>
        <v>00</v>
      </c>
      <c r="AN84" s="70" t="str">
        <f t="shared" si="12"/>
        <v>00</v>
      </c>
      <c r="AO84" s="70" t="str">
        <f t="shared" si="13"/>
        <v>00</v>
      </c>
      <c r="AQ84" t="str">
        <f t="shared" si="8"/>
        <v/>
      </c>
    </row>
    <row r="85" spans="2:43">
      <c r="B85" s="148"/>
      <c r="C85" s="55">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0</v>
      </c>
      <c r="AG85" s="139">
        <f t="shared" si="15"/>
        <v>0</v>
      </c>
      <c r="AH85" s="139">
        <f t="shared" si="15"/>
        <v>0</v>
      </c>
      <c r="AI85" s="139">
        <f t="shared" si="15"/>
        <v>0</v>
      </c>
      <c r="AJ85" s="55" t="str">
        <f t="shared" si="7"/>
        <v/>
      </c>
      <c r="AK85" s="68"/>
      <c r="AL85" s="68" t="str">
        <f t="shared" si="10"/>
        <v>00</v>
      </c>
      <c r="AM85" s="70" t="str">
        <f t="shared" si="11"/>
        <v>00</v>
      </c>
      <c r="AN85" s="70" t="str">
        <f t="shared" si="12"/>
        <v>00</v>
      </c>
      <c r="AO85" s="70" t="str">
        <f t="shared" si="13"/>
        <v>00</v>
      </c>
      <c r="AQ85" t="str">
        <f t="shared" si="8"/>
        <v/>
      </c>
    </row>
    <row r="86" spans="2:43">
      <c r="B86" s="148"/>
      <c r="C86" s="55">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0</v>
      </c>
      <c r="AG86" s="139">
        <f t="shared" si="15"/>
        <v>0</v>
      </c>
      <c r="AH86" s="139">
        <f t="shared" si="15"/>
        <v>0</v>
      </c>
      <c r="AI86" s="139">
        <f t="shared" ref="AI86" si="16">IF(AI21=1,1,0)</f>
        <v>0</v>
      </c>
      <c r="AJ86" s="55" t="str">
        <f t="shared" si="7"/>
        <v/>
      </c>
      <c r="AK86" s="68"/>
      <c r="AL86" s="68" t="str">
        <f t="shared" si="10"/>
        <v>00</v>
      </c>
      <c r="AM86" s="70" t="str">
        <f t="shared" si="11"/>
        <v>00</v>
      </c>
      <c r="AN86" s="70" t="str">
        <f t="shared" si="12"/>
        <v>00</v>
      </c>
      <c r="AO86" s="70" t="str">
        <f t="shared" si="13"/>
        <v>00</v>
      </c>
      <c r="AQ86" t="str">
        <f t="shared" si="8"/>
        <v/>
      </c>
    </row>
    <row r="87" spans="2:43">
      <c r="B87" s="148"/>
      <c r="C87" s="55">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0</v>
      </c>
      <c r="AF87" s="139">
        <f t="shared" si="17"/>
        <v>0</v>
      </c>
      <c r="AG87" s="139">
        <f t="shared" si="17"/>
        <v>0</v>
      </c>
      <c r="AH87" s="139">
        <f t="shared" si="17"/>
        <v>0</v>
      </c>
      <c r="AI87" s="139">
        <f t="shared" si="17"/>
        <v>0</v>
      </c>
      <c r="AJ87" s="55" t="str">
        <f t="shared" si="7"/>
        <v/>
      </c>
      <c r="AK87" s="68"/>
      <c r="AL87" s="68" t="str">
        <f t="shared" si="10"/>
        <v>00</v>
      </c>
      <c r="AM87" s="70" t="str">
        <f t="shared" si="11"/>
        <v>00</v>
      </c>
      <c r="AN87" s="70" t="str">
        <f t="shared" si="12"/>
        <v>00</v>
      </c>
      <c r="AO87" s="70" t="str">
        <f t="shared" si="13"/>
        <v>00</v>
      </c>
      <c r="AQ87" t="str">
        <f t="shared" si="8"/>
        <v/>
      </c>
    </row>
    <row r="88" spans="2:43">
      <c r="B88" s="148"/>
      <c r="C88" s="55">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0</v>
      </c>
      <c r="AF88" s="139">
        <f t="shared" si="17"/>
        <v>0</v>
      </c>
      <c r="AG88" s="139">
        <f t="shared" si="17"/>
        <v>0</v>
      </c>
      <c r="AH88" s="139">
        <f t="shared" si="17"/>
        <v>0</v>
      </c>
      <c r="AI88" s="139">
        <f t="shared" si="17"/>
        <v>0</v>
      </c>
      <c r="AJ88" s="55" t="str">
        <f t="shared" si="7"/>
        <v/>
      </c>
      <c r="AK88" s="68"/>
      <c r="AL88" s="68" t="str">
        <f t="shared" si="10"/>
        <v>00</v>
      </c>
      <c r="AM88" s="70" t="str">
        <f t="shared" si="11"/>
        <v>00</v>
      </c>
      <c r="AN88" s="70" t="str">
        <f t="shared" si="12"/>
        <v>00</v>
      </c>
      <c r="AO88" s="70" t="str">
        <f t="shared" si="13"/>
        <v>00</v>
      </c>
      <c r="AQ88" t="str">
        <f t="shared" si="8"/>
        <v/>
      </c>
    </row>
    <row r="89" spans="2:43">
      <c r="B89" s="148"/>
      <c r="C89" s="55">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0</v>
      </c>
      <c r="AF89" s="139">
        <f t="shared" si="17"/>
        <v>0</v>
      </c>
      <c r="AG89" s="139">
        <f t="shared" si="17"/>
        <v>0</v>
      </c>
      <c r="AH89" s="139">
        <f t="shared" si="17"/>
        <v>0</v>
      </c>
      <c r="AI89" s="139">
        <f t="shared" si="17"/>
        <v>0</v>
      </c>
      <c r="AJ89" s="55" t="str">
        <f t="shared" si="7"/>
        <v/>
      </c>
      <c r="AK89" s="68"/>
      <c r="AL89" s="68" t="str">
        <f t="shared" si="10"/>
        <v>00</v>
      </c>
      <c r="AM89" s="70" t="str">
        <f t="shared" si="11"/>
        <v>00</v>
      </c>
      <c r="AN89" s="70" t="str">
        <f t="shared" si="12"/>
        <v>00</v>
      </c>
      <c r="AO89" s="70" t="str">
        <f t="shared" si="13"/>
        <v>00</v>
      </c>
      <c r="AQ89" t="str">
        <f t="shared" si="8"/>
        <v/>
      </c>
    </row>
    <row r="90" spans="2:43">
      <c r="B90" s="148"/>
      <c r="C90" s="55">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0</v>
      </c>
      <c r="AF90" s="139">
        <f t="shared" si="17"/>
        <v>0</v>
      </c>
      <c r="AG90" s="139">
        <f t="shared" si="17"/>
        <v>0</v>
      </c>
      <c r="AH90" s="139">
        <f t="shared" si="17"/>
        <v>0</v>
      </c>
      <c r="AI90" s="139">
        <f t="shared" si="17"/>
        <v>0</v>
      </c>
      <c r="AJ90" s="55" t="str">
        <f t="shared" si="7"/>
        <v/>
      </c>
      <c r="AK90" s="68"/>
      <c r="AL90" s="68" t="str">
        <f t="shared" si="10"/>
        <v>00</v>
      </c>
      <c r="AM90" s="70" t="str">
        <f t="shared" si="11"/>
        <v>00</v>
      </c>
      <c r="AN90" s="70" t="str">
        <f t="shared" si="12"/>
        <v>00</v>
      </c>
      <c r="AO90" s="70" t="str">
        <f t="shared" si="13"/>
        <v>00</v>
      </c>
      <c r="AQ90" t="str">
        <f t="shared" si="8"/>
        <v/>
      </c>
    </row>
    <row r="91" spans="2:43">
      <c r="B91" s="148"/>
      <c r="C91" s="55">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0</v>
      </c>
      <c r="AF91" s="139">
        <f t="shared" si="17"/>
        <v>0</v>
      </c>
      <c r="AG91" s="139">
        <f t="shared" si="17"/>
        <v>0</v>
      </c>
      <c r="AH91" s="139">
        <f t="shared" si="17"/>
        <v>0</v>
      </c>
      <c r="AI91" s="139">
        <f t="shared" si="17"/>
        <v>0</v>
      </c>
      <c r="AJ91" s="55" t="str">
        <f t="shared" si="7"/>
        <v/>
      </c>
      <c r="AK91" s="68"/>
      <c r="AL91" s="68" t="str">
        <f t="shared" si="10"/>
        <v>00</v>
      </c>
      <c r="AM91" s="70" t="str">
        <f t="shared" si="11"/>
        <v>00</v>
      </c>
      <c r="AN91" s="70" t="str">
        <f t="shared" si="12"/>
        <v>00</v>
      </c>
      <c r="AO91" s="70" t="str">
        <f t="shared" si="13"/>
        <v>00</v>
      </c>
      <c r="AQ91" t="str">
        <f t="shared" si="8"/>
        <v/>
      </c>
    </row>
    <row r="92" spans="2:43">
      <c r="B92" s="148"/>
      <c r="C92" s="55">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0</v>
      </c>
      <c r="AF92" s="139">
        <f t="shared" si="17"/>
        <v>0</v>
      </c>
      <c r="AG92" s="139">
        <f t="shared" si="17"/>
        <v>0</v>
      </c>
      <c r="AH92" s="139">
        <f t="shared" si="17"/>
        <v>0</v>
      </c>
      <c r="AI92" s="139">
        <f t="shared" si="17"/>
        <v>0</v>
      </c>
      <c r="AJ92" s="55" t="str">
        <f t="shared" si="7"/>
        <v/>
      </c>
      <c r="AK92" s="68"/>
      <c r="AL92" s="68" t="str">
        <f t="shared" si="10"/>
        <v>00</v>
      </c>
      <c r="AM92" s="70" t="str">
        <f t="shared" si="11"/>
        <v>00</v>
      </c>
      <c r="AN92" s="70" t="str">
        <f t="shared" si="12"/>
        <v>00</v>
      </c>
      <c r="AO92" s="70" t="str">
        <f t="shared" si="13"/>
        <v>00</v>
      </c>
      <c r="AQ92" t="str">
        <f t="shared" si="8"/>
        <v/>
      </c>
    </row>
    <row r="93" spans="2:43">
      <c r="B93" s="148"/>
      <c r="C93" s="55">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0</v>
      </c>
      <c r="AF93" s="139">
        <f t="shared" si="17"/>
        <v>0</v>
      </c>
      <c r="AG93" s="139">
        <f t="shared" si="17"/>
        <v>0</v>
      </c>
      <c r="AH93" s="139">
        <f t="shared" si="17"/>
        <v>0</v>
      </c>
      <c r="AI93" s="139">
        <f t="shared" si="17"/>
        <v>0</v>
      </c>
      <c r="AJ93" s="55" t="str">
        <f t="shared" si="7"/>
        <v/>
      </c>
      <c r="AK93" s="68"/>
      <c r="AL93" s="68" t="str">
        <f t="shared" si="10"/>
        <v>00</v>
      </c>
      <c r="AM93" s="70" t="str">
        <f t="shared" si="11"/>
        <v>00</v>
      </c>
      <c r="AN93" s="70" t="str">
        <f t="shared" si="12"/>
        <v>00</v>
      </c>
      <c r="AO93" s="70" t="str">
        <f t="shared" si="13"/>
        <v>00</v>
      </c>
      <c r="AQ93" t="str">
        <f t="shared" si="8"/>
        <v/>
      </c>
    </row>
    <row r="94" spans="2:43">
      <c r="B94" s="148"/>
      <c r="C94" s="55">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0</v>
      </c>
      <c r="AF94" s="139">
        <f t="shared" si="17"/>
        <v>0</v>
      </c>
      <c r="AG94" s="139">
        <f t="shared" si="17"/>
        <v>0</v>
      </c>
      <c r="AH94" s="139">
        <f t="shared" si="17"/>
        <v>0</v>
      </c>
      <c r="AI94" s="139">
        <f t="shared" ref="AI94" si="18">IF(AI29=1,1,0)</f>
        <v>0</v>
      </c>
      <c r="AJ94" s="55" t="str">
        <f t="shared" si="7"/>
        <v/>
      </c>
      <c r="AK94" s="68"/>
      <c r="AL94" s="68" t="str">
        <f t="shared" si="10"/>
        <v>00</v>
      </c>
      <c r="AM94" s="70" t="str">
        <f t="shared" si="11"/>
        <v>00</v>
      </c>
      <c r="AN94" s="70" t="str">
        <f t="shared" si="12"/>
        <v>00</v>
      </c>
      <c r="AO94" s="70" t="str">
        <f t="shared" si="13"/>
        <v>00</v>
      </c>
      <c r="AQ94" t="str">
        <f t="shared" si="8"/>
        <v/>
      </c>
    </row>
    <row r="95" spans="2:43">
      <c r="B95" s="148"/>
      <c r="C95" s="55">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0</v>
      </c>
      <c r="AF95" s="139">
        <f t="shared" si="19"/>
        <v>0</v>
      </c>
      <c r="AG95" s="139">
        <f t="shared" si="19"/>
        <v>0</v>
      </c>
      <c r="AH95" s="139">
        <f t="shared" si="19"/>
        <v>0</v>
      </c>
      <c r="AI95" s="139">
        <f t="shared" si="19"/>
        <v>0</v>
      </c>
      <c r="AJ95" s="55" t="str">
        <f t="shared" si="7"/>
        <v/>
      </c>
      <c r="AK95" s="68"/>
      <c r="AL95" s="68" t="str">
        <f t="shared" si="10"/>
        <v>00</v>
      </c>
      <c r="AM95" s="70" t="str">
        <f t="shared" si="11"/>
        <v>00</v>
      </c>
      <c r="AN95" s="70" t="str">
        <f t="shared" si="12"/>
        <v>00</v>
      </c>
      <c r="AO95" s="70" t="str">
        <f t="shared" si="13"/>
        <v>00</v>
      </c>
      <c r="AQ95" t="str">
        <f t="shared" si="8"/>
        <v/>
      </c>
    </row>
    <row r="96" spans="2:43">
      <c r="B96" s="148"/>
      <c r="C96" s="55">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0</v>
      </c>
      <c r="AF96" s="139">
        <f t="shared" si="19"/>
        <v>0</v>
      </c>
      <c r="AG96" s="139">
        <f t="shared" si="19"/>
        <v>0</v>
      </c>
      <c r="AH96" s="139">
        <f t="shared" si="19"/>
        <v>0</v>
      </c>
      <c r="AI96" s="139">
        <f t="shared" si="19"/>
        <v>0</v>
      </c>
      <c r="AJ96" s="55" t="str">
        <f t="shared" si="7"/>
        <v/>
      </c>
      <c r="AK96" s="68"/>
      <c r="AL96" s="68" t="str">
        <f t="shared" si="10"/>
        <v>00</v>
      </c>
      <c r="AM96" s="70" t="str">
        <f t="shared" si="11"/>
        <v>00</v>
      </c>
      <c r="AN96" s="70" t="str">
        <f t="shared" si="12"/>
        <v>00</v>
      </c>
      <c r="AO96" s="70" t="str">
        <f t="shared" si="13"/>
        <v>00</v>
      </c>
      <c r="AQ96" t="str">
        <f t="shared" si="8"/>
        <v/>
      </c>
    </row>
    <row r="97" spans="2:43">
      <c r="B97" s="148"/>
      <c r="C97" s="55">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0</v>
      </c>
      <c r="AF97" s="139">
        <f t="shared" si="19"/>
        <v>0</v>
      </c>
      <c r="AG97" s="139">
        <f t="shared" si="19"/>
        <v>0</v>
      </c>
      <c r="AH97" s="139">
        <f t="shared" si="19"/>
        <v>0</v>
      </c>
      <c r="AI97" s="139">
        <f t="shared" si="19"/>
        <v>0</v>
      </c>
      <c r="AJ97" s="55" t="str">
        <f t="shared" si="7"/>
        <v/>
      </c>
      <c r="AK97" s="68"/>
      <c r="AL97" s="68" t="str">
        <f t="shared" si="10"/>
        <v>00</v>
      </c>
      <c r="AM97" s="70" t="str">
        <f t="shared" si="11"/>
        <v>00</v>
      </c>
      <c r="AN97" s="70" t="str">
        <f t="shared" si="12"/>
        <v>00</v>
      </c>
      <c r="AO97" s="70" t="str">
        <f t="shared" si="13"/>
        <v>00</v>
      </c>
      <c r="AQ97" t="str">
        <f t="shared" si="8"/>
        <v/>
      </c>
    </row>
    <row r="98" spans="2:43">
      <c r="B98" s="148"/>
      <c r="C98" s="55">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0</v>
      </c>
      <c r="AF98" s="139">
        <f t="shared" si="19"/>
        <v>0</v>
      </c>
      <c r="AG98" s="139">
        <f t="shared" si="19"/>
        <v>0</v>
      </c>
      <c r="AH98" s="139">
        <f t="shared" si="19"/>
        <v>0</v>
      </c>
      <c r="AI98" s="139">
        <f t="shared" si="19"/>
        <v>0</v>
      </c>
      <c r="AJ98" s="55" t="str">
        <f t="shared" si="7"/>
        <v/>
      </c>
      <c r="AK98" s="68"/>
      <c r="AL98" s="68" t="str">
        <f t="shared" si="10"/>
        <v>00</v>
      </c>
      <c r="AM98" s="70" t="str">
        <f t="shared" si="11"/>
        <v>00</v>
      </c>
      <c r="AN98" s="70" t="str">
        <f t="shared" si="12"/>
        <v>00</v>
      </c>
      <c r="AO98" s="70" t="str">
        <f t="shared" si="13"/>
        <v>00</v>
      </c>
      <c r="AQ98" t="str">
        <f t="shared" si="8"/>
        <v/>
      </c>
    </row>
    <row r="99" spans="2:43">
      <c r="B99" s="148"/>
      <c r="C99" s="55">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0</v>
      </c>
      <c r="AF99" s="139">
        <f t="shared" si="19"/>
        <v>0</v>
      </c>
      <c r="AG99" s="139">
        <f t="shared" si="19"/>
        <v>0</v>
      </c>
      <c r="AH99" s="139">
        <f t="shared" si="19"/>
        <v>0</v>
      </c>
      <c r="AI99" s="139">
        <f t="shared" si="19"/>
        <v>0</v>
      </c>
      <c r="AJ99" s="55" t="str">
        <f t="shared" si="7"/>
        <v/>
      </c>
      <c r="AK99" s="68"/>
      <c r="AL99" s="68" t="str">
        <f t="shared" si="10"/>
        <v>00</v>
      </c>
      <c r="AM99" s="70" t="str">
        <f t="shared" si="11"/>
        <v>00</v>
      </c>
      <c r="AN99" s="70" t="str">
        <f t="shared" si="12"/>
        <v>00</v>
      </c>
      <c r="AO99" s="70" t="str">
        <f t="shared" si="13"/>
        <v>00</v>
      </c>
      <c r="AQ99" t="str">
        <f t="shared" si="8"/>
        <v/>
      </c>
    </row>
    <row r="100" spans="2:43">
      <c r="B100" s="148"/>
      <c r="C100" s="55">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0</v>
      </c>
      <c r="AF100" s="139">
        <f t="shared" si="19"/>
        <v>0</v>
      </c>
      <c r="AG100" s="139">
        <f t="shared" si="19"/>
        <v>0</v>
      </c>
      <c r="AH100" s="139">
        <f t="shared" si="19"/>
        <v>0</v>
      </c>
      <c r="AI100" s="139">
        <f t="shared" si="19"/>
        <v>0</v>
      </c>
      <c r="AJ100" s="55" t="str">
        <f t="shared" si="7"/>
        <v/>
      </c>
      <c r="AK100" s="68"/>
      <c r="AL100" s="68" t="str">
        <f t="shared" si="10"/>
        <v>00</v>
      </c>
      <c r="AM100" s="70" t="str">
        <f t="shared" si="11"/>
        <v>00</v>
      </c>
      <c r="AN100" s="70" t="str">
        <f t="shared" si="12"/>
        <v>00</v>
      </c>
      <c r="AO100" s="70" t="str">
        <f t="shared" si="13"/>
        <v>00</v>
      </c>
      <c r="AQ100" t="str">
        <f t="shared" si="8"/>
        <v/>
      </c>
    </row>
    <row r="101" spans="2:43">
      <c r="B101" s="148"/>
      <c r="C101" s="55">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0</v>
      </c>
      <c r="AF101" s="139">
        <f t="shared" si="19"/>
        <v>0</v>
      </c>
      <c r="AG101" s="139">
        <f t="shared" si="19"/>
        <v>0</v>
      </c>
      <c r="AH101" s="139">
        <f t="shared" si="19"/>
        <v>0</v>
      </c>
      <c r="AI101" s="139">
        <f t="shared" si="19"/>
        <v>0</v>
      </c>
      <c r="AJ101" s="55" t="str">
        <f t="shared" si="7"/>
        <v/>
      </c>
      <c r="AK101" s="68"/>
      <c r="AL101" s="68" t="str">
        <f t="shared" si="10"/>
        <v>00</v>
      </c>
      <c r="AM101" s="70" t="str">
        <f t="shared" si="11"/>
        <v>00</v>
      </c>
      <c r="AN101" s="70" t="str">
        <f t="shared" si="12"/>
        <v>00</v>
      </c>
      <c r="AO101" s="70" t="str">
        <f t="shared" si="13"/>
        <v>00</v>
      </c>
      <c r="AQ101" t="str">
        <f t="shared" si="8"/>
        <v/>
      </c>
    </row>
    <row r="102" spans="2:43">
      <c r="B102" s="148"/>
      <c r="C102" s="55">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0</v>
      </c>
      <c r="AF102" s="139">
        <f t="shared" si="19"/>
        <v>0</v>
      </c>
      <c r="AG102" s="139">
        <f t="shared" si="19"/>
        <v>0</v>
      </c>
      <c r="AH102" s="139">
        <f t="shared" si="19"/>
        <v>0</v>
      </c>
      <c r="AI102" s="139">
        <f t="shared" ref="AI102" si="20">IF(AI37=1,1,0)</f>
        <v>0</v>
      </c>
      <c r="AJ102" s="55" t="str">
        <f t="shared" si="7"/>
        <v/>
      </c>
      <c r="AK102" s="68"/>
      <c r="AL102" s="68" t="str">
        <f t="shared" si="10"/>
        <v>00</v>
      </c>
      <c r="AM102" s="70" t="str">
        <f t="shared" si="11"/>
        <v>00</v>
      </c>
      <c r="AN102" s="70" t="str">
        <f t="shared" si="12"/>
        <v>00</v>
      </c>
      <c r="AO102" s="70" t="str">
        <f t="shared" si="13"/>
        <v>00</v>
      </c>
      <c r="AQ102" t="str">
        <f t="shared" si="8"/>
        <v/>
      </c>
    </row>
    <row r="103" spans="2:43">
      <c r="B103" s="148"/>
      <c r="C103" s="55">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5" t="str">
        <f t="shared" si="7"/>
        <v/>
      </c>
      <c r="AK103" s="68"/>
      <c r="AL103" s="68" t="str">
        <f t="shared" si="10"/>
        <v>00</v>
      </c>
      <c r="AM103" s="70" t="str">
        <f t="shared" si="11"/>
        <v>00</v>
      </c>
      <c r="AN103" s="70" t="str">
        <f t="shared" si="12"/>
        <v>00</v>
      </c>
      <c r="AO103" s="70" t="str">
        <f t="shared" si="13"/>
        <v>00</v>
      </c>
      <c r="AQ103" t="str">
        <f t="shared" si="8"/>
        <v/>
      </c>
    </row>
    <row r="104" spans="2:43">
      <c r="B104" s="148"/>
      <c r="C104" s="55">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5" t="str">
        <f t="shared" si="7"/>
        <v/>
      </c>
      <c r="AK104" s="68"/>
      <c r="AL104" s="68" t="str">
        <f t="shared" si="10"/>
        <v>00</v>
      </c>
      <c r="AM104" s="70" t="str">
        <f t="shared" si="11"/>
        <v>00</v>
      </c>
      <c r="AN104" s="70" t="str">
        <f t="shared" si="12"/>
        <v>00</v>
      </c>
      <c r="AO104" s="70" t="str">
        <f t="shared" si="13"/>
        <v>00</v>
      </c>
      <c r="AQ104" t="str">
        <f t="shared" si="8"/>
        <v/>
      </c>
    </row>
    <row r="105" spans="2:43">
      <c r="B105" s="148"/>
      <c r="C105" s="55">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5" t="str">
        <f t="shared" si="7"/>
        <v/>
      </c>
      <c r="AK105" s="68"/>
      <c r="AL105" s="68" t="str">
        <f t="shared" si="10"/>
        <v>00</v>
      </c>
      <c r="AM105" s="70" t="str">
        <f t="shared" si="11"/>
        <v>00</v>
      </c>
      <c r="AN105" s="70" t="str">
        <f t="shared" si="12"/>
        <v>00</v>
      </c>
      <c r="AO105" s="70" t="str">
        <f t="shared" si="13"/>
        <v>00</v>
      </c>
      <c r="AQ105" t="str">
        <f t="shared" si="8"/>
        <v/>
      </c>
    </row>
    <row r="106" spans="2:43">
      <c r="B106" s="148"/>
      <c r="C106" s="55">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5" t="str">
        <f t="shared" si="7"/>
        <v/>
      </c>
      <c r="AK106" s="68"/>
      <c r="AL106" s="68" t="str">
        <f t="shared" si="10"/>
        <v>00</v>
      </c>
      <c r="AM106" s="70" t="str">
        <f t="shared" si="11"/>
        <v>00</v>
      </c>
      <c r="AN106" s="70" t="str">
        <f t="shared" si="12"/>
        <v>00</v>
      </c>
      <c r="AO106" s="70" t="str">
        <f t="shared" si="13"/>
        <v>00</v>
      </c>
      <c r="AQ106" t="str">
        <f t="shared" si="8"/>
        <v/>
      </c>
    </row>
    <row r="107" spans="2:43">
      <c r="B107" s="148"/>
      <c r="C107" s="55">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5" t="str">
        <f t="shared" si="7"/>
        <v/>
      </c>
      <c r="AK107" s="68"/>
      <c r="AL107" s="68" t="str">
        <f t="shared" si="10"/>
        <v>00</v>
      </c>
      <c r="AM107" s="70" t="str">
        <f t="shared" si="11"/>
        <v>00</v>
      </c>
      <c r="AN107" s="70" t="str">
        <f t="shared" si="12"/>
        <v>00</v>
      </c>
      <c r="AO107" s="70" t="str">
        <f t="shared" si="13"/>
        <v>00</v>
      </c>
      <c r="AQ107" t="str">
        <f t="shared" si="8"/>
        <v/>
      </c>
    </row>
    <row r="108" spans="2:43">
      <c r="B108" s="148"/>
      <c r="C108" s="55">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5" t="str">
        <f t="shared" si="7"/>
        <v/>
      </c>
      <c r="AK108" s="68"/>
      <c r="AL108" s="68" t="str">
        <f t="shared" si="10"/>
        <v>00</v>
      </c>
      <c r="AM108" s="70" t="str">
        <f t="shared" si="11"/>
        <v>00</v>
      </c>
      <c r="AN108" s="70" t="str">
        <f t="shared" si="12"/>
        <v>00</v>
      </c>
      <c r="AO108" s="70" t="str">
        <f t="shared" si="13"/>
        <v>00</v>
      </c>
      <c r="AQ108" t="str">
        <f t="shared" si="8"/>
        <v/>
      </c>
    </row>
    <row r="109" spans="2:43">
      <c r="B109" s="148"/>
      <c r="C109" s="55">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8"/>
      <c r="C110" s="55">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8"/>
      <c r="C111" s="55">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8"/>
      <c r="C112" s="55">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8"/>
      <c r="C113" s="55">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8"/>
      <c r="C114" s="55">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8"/>
      <c r="C115" s="55">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8"/>
      <c r="C116" s="55">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8"/>
      <c r="C117" s="55">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8"/>
      <c r="C118" s="55">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8"/>
      <c r="C119" s="55">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8"/>
      <c r="C120" s="55">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8"/>
      <c r="C121" s="55">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8"/>
      <c r="C122" s="55">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8"/>
      <c r="C123" s="55">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8"/>
      <c r="C124" s="55">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8"/>
      <c r="C125" s="55">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8"/>
      <c r="C126" s="55">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8"/>
      <c r="C127" s="55">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8"/>
      <c r="C128" s="55">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8"/>
      <c r="C129" s="55">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8"/>
      <c r="C130" s="55">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8"/>
      <c r="C131" s="55">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8"/>
      <c r="C132" s="55">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8"/>
      <c r="C133" s="55">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9"/>
      <c r="C134" s="55">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50" t="str">
        <f ca="1">IF(B6&lt;&gt;"",B6,"")</f>
        <v>Table H_CHGCON</v>
      </c>
      <c r="C136" s="55">
        <f>IF(C6&lt;&gt;"",C6,"")</f>
        <v>0</v>
      </c>
      <c r="D136" s="139">
        <f t="shared" ref="D136:AI143" si="29">IF(OR(D6=0,D6=1),1,0)</f>
        <v>0</v>
      </c>
      <c r="E136" s="139">
        <f t="shared" si="29"/>
        <v>0</v>
      </c>
      <c r="F136" s="139">
        <f t="shared" si="29"/>
        <v>0</v>
      </c>
      <c r="G136" s="139">
        <f t="shared" si="29"/>
        <v>0</v>
      </c>
      <c r="H136" s="139">
        <f t="shared" si="29"/>
        <v>0</v>
      </c>
      <c r="I136" s="139">
        <f t="shared" si="29"/>
        <v>0</v>
      </c>
      <c r="J136" s="139">
        <f t="shared" si="29"/>
        <v>0</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1</v>
      </c>
      <c r="AD136" s="139">
        <f t="shared" si="29"/>
        <v>1</v>
      </c>
      <c r="AE136" s="139">
        <f t="shared" si="29"/>
        <v>1</v>
      </c>
      <c r="AF136" s="139">
        <f t="shared" si="29"/>
        <v>1</v>
      </c>
      <c r="AG136" s="139">
        <f t="shared" si="29"/>
        <v>1</v>
      </c>
      <c r="AH136" s="139">
        <f t="shared" si="29"/>
        <v>1</v>
      </c>
      <c r="AI136" s="139">
        <f t="shared" si="29"/>
        <v>1</v>
      </c>
      <c r="AJ136" s="55" t="str">
        <f t="shared" ref="AJ136:AJ199" si="30">IF(AJ6&lt;&gt;"",AJ6,"")</f>
        <v>NOTRUN</v>
      </c>
      <c r="AK136" s="68"/>
      <c r="AL136" s="68" t="str">
        <f>BIN2HEX(AB136&amp;AC136&amp;AD136&amp;AE136&amp;AF136&amp;AG136&amp;AH136&amp;AI136,2)</f>
        <v>7F</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NOTRUN                                          */</v>
      </c>
    </row>
    <row r="137" spans="1:43">
      <c r="B137" s="148"/>
      <c r="C137" s="55">
        <f t="shared" ref="C137:C199" si="32">IF(C7&lt;&gt;"",C7,"")</f>
        <v>1</v>
      </c>
      <c r="D137" s="139">
        <f t="shared" si="29"/>
        <v>0</v>
      </c>
      <c r="E137" s="139">
        <f t="shared" si="29"/>
        <v>0</v>
      </c>
      <c r="F137" s="139">
        <f t="shared" si="29"/>
        <v>0</v>
      </c>
      <c r="G137" s="139">
        <f t="shared" si="29"/>
        <v>0</v>
      </c>
      <c r="H137" s="139">
        <f t="shared" si="29"/>
        <v>0</v>
      </c>
      <c r="I137" s="139">
        <f t="shared" si="29"/>
        <v>0</v>
      </c>
      <c r="J137" s="139">
        <f t="shared" si="29"/>
        <v>0</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1</v>
      </c>
      <c r="AD137" s="139">
        <f t="shared" si="29"/>
        <v>1</v>
      </c>
      <c r="AE137" s="139">
        <f t="shared" si="29"/>
        <v>1</v>
      </c>
      <c r="AF137" s="139">
        <f t="shared" si="29"/>
        <v>1</v>
      </c>
      <c r="AG137" s="139">
        <f t="shared" si="29"/>
        <v>1</v>
      </c>
      <c r="AH137" s="139">
        <f t="shared" si="29"/>
        <v>1</v>
      </c>
      <c r="AI137" s="139">
        <f t="shared" si="29"/>
        <v>1</v>
      </c>
      <c r="AJ137" s="55" t="str">
        <f t="shared" si="30"/>
        <v>NOTRDY</v>
      </c>
      <c r="AK137" s="68"/>
      <c r="AL137" s="68" t="str">
        <f t="shared" ref="AL137:AL199" si="33">BIN2HEX(AB137&amp;AC137&amp;AD137&amp;AE137&amp;AF137&amp;AG137&amp;AH137&amp;AI137,2)</f>
        <v>7F</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(U4)0x0000007FU                                                            /* 01 NOTRDY                                          */</v>
      </c>
    </row>
    <row r="138" spans="1:43">
      <c r="B138" s="148"/>
      <c r="C138" s="55">
        <f t="shared" si="32"/>
        <v>2</v>
      </c>
      <c r="D138" s="139">
        <f t="shared" si="29"/>
        <v>0</v>
      </c>
      <c r="E138" s="139">
        <f t="shared" si="29"/>
        <v>0</v>
      </c>
      <c r="F138" s="139">
        <f t="shared" si="29"/>
        <v>0</v>
      </c>
      <c r="G138" s="139">
        <f t="shared" si="29"/>
        <v>0</v>
      </c>
      <c r="H138" s="139">
        <f t="shared" si="29"/>
        <v>0</v>
      </c>
      <c r="I138" s="139">
        <f t="shared" si="29"/>
        <v>0</v>
      </c>
      <c r="J138" s="139">
        <f t="shared" si="29"/>
        <v>0</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0</v>
      </c>
      <c r="AD138" s="139">
        <f t="shared" si="29"/>
        <v>0</v>
      </c>
      <c r="AE138" s="139">
        <f t="shared" si="29"/>
        <v>0</v>
      </c>
      <c r="AF138" s="139">
        <f t="shared" si="29"/>
        <v>0</v>
      </c>
      <c r="AG138" s="139">
        <f t="shared" si="29"/>
        <v>0</v>
      </c>
      <c r="AH138" s="139">
        <f t="shared" si="29"/>
        <v>0</v>
      </c>
      <c r="AI138" s="139">
        <f t="shared" si="29"/>
        <v>0</v>
      </c>
      <c r="AJ138" s="55" t="str">
        <f t="shared" si="30"/>
        <v/>
      </c>
      <c r="AK138" s="68"/>
      <c r="AL138" s="68" t="str">
        <f t="shared" si="33"/>
        <v>00</v>
      </c>
      <c r="AM138" s="70" t="str">
        <f t="shared" si="34"/>
        <v>00</v>
      </c>
      <c r="AN138" s="70" t="str">
        <f t="shared" si="35"/>
        <v>00</v>
      </c>
      <c r="AO138" s="70" t="str">
        <f t="shared" si="36"/>
        <v>00</v>
      </c>
      <c r="AQ138" t="str">
        <f t="shared" si="31"/>
        <v/>
      </c>
    </row>
    <row r="139" spans="1:43">
      <c r="B139" s="148"/>
      <c r="C139" s="55">
        <f t="shared" si="32"/>
        <v>3</v>
      </c>
      <c r="D139" s="139">
        <f t="shared" si="29"/>
        <v>0</v>
      </c>
      <c r="E139" s="139">
        <f t="shared" si="29"/>
        <v>0</v>
      </c>
      <c r="F139" s="139">
        <f t="shared" si="29"/>
        <v>0</v>
      </c>
      <c r="G139" s="139">
        <f t="shared" si="29"/>
        <v>0</v>
      </c>
      <c r="H139" s="139">
        <f t="shared" si="29"/>
        <v>0</v>
      </c>
      <c r="I139" s="139">
        <f t="shared" si="29"/>
        <v>0</v>
      </c>
      <c r="J139" s="139">
        <f t="shared" si="29"/>
        <v>0</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0</v>
      </c>
      <c r="AD139" s="139">
        <f t="shared" si="29"/>
        <v>0</v>
      </c>
      <c r="AE139" s="139">
        <f t="shared" si="29"/>
        <v>0</v>
      </c>
      <c r="AF139" s="139">
        <f t="shared" si="29"/>
        <v>0</v>
      </c>
      <c r="AG139" s="139">
        <f t="shared" si="29"/>
        <v>0</v>
      </c>
      <c r="AH139" s="139">
        <f t="shared" si="29"/>
        <v>0</v>
      </c>
      <c r="AI139" s="139">
        <f t="shared" si="29"/>
        <v>0</v>
      </c>
      <c r="AJ139" s="55" t="str">
        <f t="shared" si="30"/>
        <v/>
      </c>
      <c r="AK139" s="68"/>
      <c r="AL139" s="68" t="str">
        <f t="shared" si="33"/>
        <v>00</v>
      </c>
      <c r="AM139" s="70" t="str">
        <f t="shared" si="34"/>
        <v>00</v>
      </c>
      <c r="AN139" s="70" t="str">
        <f t="shared" si="35"/>
        <v>00</v>
      </c>
      <c r="AO139" s="70" t="str">
        <f t="shared" si="36"/>
        <v>00</v>
      </c>
      <c r="AQ139" t="str">
        <f t="shared" si="31"/>
        <v/>
      </c>
    </row>
    <row r="140" spans="1:43">
      <c r="B140" s="148"/>
      <c r="C140" s="55">
        <f t="shared" si="32"/>
        <v>4</v>
      </c>
      <c r="D140" s="139">
        <f t="shared" si="29"/>
        <v>0</v>
      </c>
      <c r="E140" s="139">
        <f t="shared" si="29"/>
        <v>0</v>
      </c>
      <c r="F140" s="139">
        <f t="shared" si="29"/>
        <v>0</v>
      </c>
      <c r="G140" s="139">
        <f t="shared" si="29"/>
        <v>0</v>
      </c>
      <c r="H140" s="139">
        <f t="shared" si="29"/>
        <v>0</v>
      </c>
      <c r="I140" s="139">
        <f t="shared" si="29"/>
        <v>0</v>
      </c>
      <c r="J140" s="139">
        <f t="shared" si="29"/>
        <v>0</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0</v>
      </c>
      <c r="AD140" s="139">
        <f t="shared" si="29"/>
        <v>0</v>
      </c>
      <c r="AE140" s="139">
        <f t="shared" si="29"/>
        <v>0</v>
      </c>
      <c r="AF140" s="139">
        <f t="shared" si="29"/>
        <v>0</v>
      </c>
      <c r="AG140" s="139">
        <f t="shared" si="29"/>
        <v>0</v>
      </c>
      <c r="AH140" s="139">
        <f t="shared" si="29"/>
        <v>0</v>
      </c>
      <c r="AI140" s="139">
        <f t="shared" si="29"/>
        <v>0</v>
      </c>
      <c r="AJ140" s="55" t="str">
        <f t="shared" si="30"/>
        <v/>
      </c>
      <c r="AK140" s="68"/>
      <c r="AL140" s="68" t="str">
        <f t="shared" si="33"/>
        <v>00</v>
      </c>
      <c r="AM140" s="70" t="str">
        <f t="shared" si="34"/>
        <v>00</v>
      </c>
      <c r="AN140" s="70" t="str">
        <f t="shared" si="35"/>
        <v>00</v>
      </c>
      <c r="AO140" s="70" t="str">
        <f t="shared" si="36"/>
        <v>00</v>
      </c>
      <c r="AQ140" t="str">
        <f t="shared" si="31"/>
        <v/>
      </c>
    </row>
    <row r="141" spans="1:43">
      <c r="B141" s="148"/>
      <c r="C141" s="55">
        <f t="shared" si="32"/>
        <v>5</v>
      </c>
      <c r="D141" s="139">
        <f t="shared" si="29"/>
        <v>0</v>
      </c>
      <c r="E141" s="139">
        <f t="shared" si="29"/>
        <v>0</v>
      </c>
      <c r="F141" s="139">
        <f t="shared" si="29"/>
        <v>0</v>
      </c>
      <c r="G141" s="139">
        <f t="shared" si="29"/>
        <v>0</v>
      </c>
      <c r="H141" s="139">
        <f t="shared" si="29"/>
        <v>0</v>
      </c>
      <c r="I141" s="139">
        <f t="shared" si="29"/>
        <v>0</v>
      </c>
      <c r="J141" s="139">
        <f t="shared" si="29"/>
        <v>0</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0</v>
      </c>
      <c r="AD141" s="139">
        <f t="shared" si="29"/>
        <v>0</v>
      </c>
      <c r="AE141" s="139">
        <f t="shared" si="29"/>
        <v>0</v>
      </c>
      <c r="AF141" s="139">
        <f t="shared" si="29"/>
        <v>0</v>
      </c>
      <c r="AG141" s="139">
        <f t="shared" si="29"/>
        <v>0</v>
      </c>
      <c r="AH141" s="139">
        <f t="shared" si="29"/>
        <v>0</v>
      </c>
      <c r="AI141" s="139">
        <f t="shared" si="29"/>
        <v>0</v>
      </c>
      <c r="AJ141" s="55" t="str">
        <f t="shared" si="30"/>
        <v/>
      </c>
      <c r="AK141" s="68"/>
      <c r="AL141" s="68" t="str">
        <f t="shared" si="33"/>
        <v>00</v>
      </c>
      <c r="AM141" s="70" t="str">
        <f t="shared" si="34"/>
        <v>00</v>
      </c>
      <c r="AN141" s="70" t="str">
        <f t="shared" si="35"/>
        <v>00</v>
      </c>
      <c r="AO141" s="70" t="str">
        <f t="shared" si="36"/>
        <v>00</v>
      </c>
      <c r="AQ141" t="str">
        <f t="shared" si="31"/>
        <v/>
      </c>
    </row>
    <row r="142" spans="1:43">
      <c r="B142" s="148"/>
      <c r="C142" s="55">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0</v>
      </c>
      <c r="AD142" s="139">
        <f t="shared" si="29"/>
        <v>0</v>
      </c>
      <c r="AE142" s="139">
        <f t="shared" si="29"/>
        <v>0</v>
      </c>
      <c r="AF142" s="139">
        <f t="shared" si="29"/>
        <v>0</v>
      </c>
      <c r="AG142" s="139">
        <f t="shared" si="29"/>
        <v>0</v>
      </c>
      <c r="AH142" s="139">
        <f t="shared" si="29"/>
        <v>0</v>
      </c>
      <c r="AI142" s="139">
        <f t="shared" si="29"/>
        <v>0</v>
      </c>
      <c r="AJ142" s="55" t="str">
        <f t="shared" si="30"/>
        <v/>
      </c>
      <c r="AK142" s="68"/>
      <c r="AL142" s="68" t="str">
        <f t="shared" si="33"/>
        <v>00</v>
      </c>
      <c r="AM142" s="70" t="str">
        <f t="shared" si="34"/>
        <v>00</v>
      </c>
      <c r="AN142" s="70" t="str">
        <f t="shared" si="35"/>
        <v>00</v>
      </c>
      <c r="AO142" s="70" t="str">
        <f t="shared" si="36"/>
        <v>00</v>
      </c>
      <c r="AQ142" t="str">
        <f t="shared" si="31"/>
        <v/>
      </c>
    </row>
    <row r="143" spans="1:43">
      <c r="B143" s="148"/>
      <c r="C143" s="55">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0</v>
      </c>
      <c r="AD143" s="139">
        <f t="shared" si="29"/>
        <v>0</v>
      </c>
      <c r="AE143" s="139">
        <f t="shared" si="29"/>
        <v>0</v>
      </c>
      <c r="AF143" s="139">
        <f t="shared" si="29"/>
        <v>0</v>
      </c>
      <c r="AG143" s="139">
        <f t="shared" si="29"/>
        <v>0</v>
      </c>
      <c r="AH143" s="139">
        <f t="shared" si="29"/>
        <v>0</v>
      </c>
      <c r="AI143" s="139">
        <f t="shared" ref="AI143" si="37">IF(OR(AI13=0,AI13=1),1,0)</f>
        <v>0</v>
      </c>
      <c r="AJ143" s="55" t="str">
        <f t="shared" si="30"/>
        <v/>
      </c>
      <c r="AK143" s="68"/>
      <c r="AL143" s="68" t="str">
        <f t="shared" si="33"/>
        <v>00</v>
      </c>
      <c r="AM143" s="70" t="str">
        <f t="shared" si="34"/>
        <v>00</v>
      </c>
      <c r="AN143" s="70" t="str">
        <f t="shared" si="35"/>
        <v>00</v>
      </c>
      <c r="AO143" s="70" t="str">
        <f t="shared" si="36"/>
        <v>00</v>
      </c>
      <c r="AQ143" t="str">
        <f t="shared" si="31"/>
        <v/>
      </c>
    </row>
    <row r="144" spans="1:43">
      <c r="B144" s="148"/>
      <c r="C144" s="55">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0</v>
      </c>
      <c r="AF144" s="139">
        <f t="shared" si="38"/>
        <v>0</v>
      </c>
      <c r="AG144" s="139">
        <f t="shared" si="38"/>
        <v>0</v>
      </c>
      <c r="AH144" s="139">
        <f t="shared" si="38"/>
        <v>0</v>
      </c>
      <c r="AI144" s="139">
        <f t="shared" si="38"/>
        <v>0</v>
      </c>
      <c r="AJ144" s="55" t="str">
        <f t="shared" si="30"/>
        <v/>
      </c>
      <c r="AK144" s="68"/>
      <c r="AL144" s="68" t="str">
        <f t="shared" si="33"/>
        <v>00</v>
      </c>
      <c r="AM144" s="70" t="str">
        <f t="shared" si="34"/>
        <v>00</v>
      </c>
      <c r="AN144" s="70" t="str">
        <f t="shared" si="35"/>
        <v>00</v>
      </c>
      <c r="AO144" s="70" t="str">
        <f t="shared" si="36"/>
        <v>00</v>
      </c>
      <c r="AQ144" t="str">
        <f t="shared" si="31"/>
        <v/>
      </c>
    </row>
    <row r="145" spans="2:43">
      <c r="B145" s="148"/>
      <c r="C145" s="55">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0</v>
      </c>
      <c r="AF145" s="139">
        <f t="shared" si="38"/>
        <v>0</v>
      </c>
      <c r="AG145" s="139">
        <f t="shared" si="38"/>
        <v>0</v>
      </c>
      <c r="AH145" s="139">
        <f t="shared" si="38"/>
        <v>0</v>
      </c>
      <c r="AI145" s="139">
        <f t="shared" si="38"/>
        <v>0</v>
      </c>
      <c r="AJ145" s="55" t="str">
        <f t="shared" si="30"/>
        <v/>
      </c>
      <c r="AK145" s="68"/>
      <c r="AL145" s="68" t="str">
        <f t="shared" si="33"/>
        <v>00</v>
      </c>
      <c r="AM145" s="70" t="str">
        <f t="shared" si="34"/>
        <v>00</v>
      </c>
      <c r="AN145" s="70" t="str">
        <f t="shared" si="35"/>
        <v>00</v>
      </c>
      <c r="AO145" s="70" t="str">
        <f t="shared" si="36"/>
        <v>00</v>
      </c>
      <c r="AQ145" t="str">
        <f t="shared" si="31"/>
        <v/>
      </c>
    </row>
    <row r="146" spans="2:43">
      <c r="B146" s="148"/>
      <c r="C146" s="55">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0</v>
      </c>
      <c r="AF146" s="139">
        <f t="shared" si="38"/>
        <v>0</v>
      </c>
      <c r="AG146" s="139">
        <f t="shared" si="38"/>
        <v>0</v>
      </c>
      <c r="AH146" s="139">
        <f t="shared" si="38"/>
        <v>0</v>
      </c>
      <c r="AI146" s="139">
        <f t="shared" si="38"/>
        <v>0</v>
      </c>
      <c r="AJ146" s="55" t="str">
        <f t="shared" si="30"/>
        <v/>
      </c>
      <c r="AK146" s="68"/>
      <c r="AL146" s="68" t="str">
        <f t="shared" si="33"/>
        <v>00</v>
      </c>
      <c r="AM146" s="70" t="str">
        <f t="shared" si="34"/>
        <v>00</v>
      </c>
      <c r="AN146" s="70" t="str">
        <f t="shared" si="35"/>
        <v>00</v>
      </c>
      <c r="AO146" s="70" t="str">
        <f t="shared" si="36"/>
        <v>00</v>
      </c>
      <c r="AQ146" t="str">
        <f t="shared" si="31"/>
        <v/>
      </c>
    </row>
    <row r="147" spans="2:43">
      <c r="B147" s="148"/>
      <c r="C147" s="55">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0</v>
      </c>
      <c r="AF147" s="139">
        <f t="shared" si="38"/>
        <v>0</v>
      </c>
      <c r="AG147" s="139">
        <f t="shared" si="38"/>
        <v>0</v>
      </c>
      <c r="AH147" s="139">
        <f t="shared" si="38"/>
        <v>0</v>
      </c>
      <c r="AI147" s="139">
        <f t="shared" si="38"/>
        <v>0</v>
      </c>
      <c r="AJ147" s="55" t="str">
        <f t="shared" si="30"/>
        <v/>
      </c>
      <c r="AK147" s="68"/>
      <c r="AL147" s="68" t="str">
        <f t="shared" si="33"/>
        <v>00</v>
      </c>
      <c r="AM147" s="70" t="str">
        <f t="shared" si="34"/>
        <v>00</v>
      </c>
      <c r="AN147" s="70" t="str">
        <f t="shared" si="35"/>
        <v>00</v>
      </c>
      <c r="AO147" s="70" t="str">
        <f t="shared" si="36"/>
        <v>00</v>
      </c>
      <c r="AQ147" t="str">
        <f t="shared" si="31"/>
        <v/>
      </c>
    </row>
    <row r="148" spans="2:43">
      <c r="B148" s="148"/>
      <c r="C148" s="55">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0</v>
      </c>
      <c r="AF148" s="139">
        <f t="shared" si="38"/>
        <v>0</v>
      </c>
      <c r="AG148" s="139">
        <f t="shared" si="38"/>
        <v>0</v>
      </c>
      <c r="AH148" s="139">
        <f t="shared" si="38"/>
        <v>0</v>
      </c>
      <c r="AI148" s="139">
        <f t="shared" si="38"/>
        <v>0</v>
      </c>
      <c r="AJ148" s="55" t="str">
        <f t="shared" si="30"/>
        <v/>
      </c>
      <c r="AK148" s="68"/>
      <c r="AL148" s="68" t="str">
        <f t="shared" si="33"/>
        <v>00</v>
      </c>
      <c r="AM148" s="70" t="str">
        <f t="shared" si="34"/>
        <v>00</v>
      </c>
      <c r="AN148" s="70" t="str">
        <f t="shared" si="35"/>
        <v>00</v>
      </c>
      <c r="AO148" s="70" t="str">
        <f t="shared" si="36"/>
        <v>00</v>
      </c>
      <c r="AQ148" t="str">
        <f t="shared" si="31"/>
        <v/>
      </c>
    </row>
    <row r="149" spans="2:43">
      <c r="B149" s="148"/>
      <c r="C149" s="55">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0</v>
      </c>
      <c r="AF149" s="139">
        <f t="shared" si="38"/>
        <v>0</v>
      </c>
      <c r="AG149" s="139">
        <f t="shared" si="38"/>
        <v>0</v>
      </c>
      <c r="AH149" s="139">
        <f t="shared" si="38"/>
        <v>0</v>
      </c>
      <c r="AI149" s="139">
        <f t="shared" si="38"/>
        <v>0</v>
      </c>
      <c r="AJ149" s="55" t="str">
        <f t="shared" si="30"/>
        <v/>
      </c>
      <c r="AK149" s="68"/>
      <c r="AL149" s="68" t="str">
        <f t="shared" si="33"/>
        <v>00</v>
      </c>
      <c r="AM149" s="70" t="str">
        <f t="shared" si="34"/>
        <v>00</v>
      </c>
      <c r="AN149" s="70" t="str">
        <f t="shared" si="35"/>
        <v>00</v>
      </c>
      <c r="AO149" s="70" t="str">
        <f t="shared" si="36"/>
        <v>00</v>
      </c>
      <c r="AQ149" t="str">
        <f t="shared" si="31"/>
        <v/>
      </c>
    </row>
    <row r="150" spans="2:43">
      <c r="B150" s="148"/>
      <c r="C150" s="55">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0</v>
      </c>
      <c r="AF150" s="139">
        <f t="shared" si="38"/>
        <v>0</v>
      </c>
      <c r="AG150" s="139">
        <f t="shared" si="38"/>
        <v>0</v>
      </c>
      <c r="AH150" s="139">
        <f t="shared" si="38"/>
        <v>0</v>
      </c>
      <c r="AI150" s="139">
        <f t="shared" si="38"/>
        <v>0</v>
      </c>
      <c r="AJ150" s="55" t="str">
        <f t="shared" si="30"/>
        <v/>
      </c>
      <c r="AK150" s="68"/>
      <c r="AL150" s="68" t="str">
        <f t="shared" si="33"/>
        <v>00</v>
      </c>
      <c r="AM150" s="70" t="str">
        <f t="shared" si="34"/>
        <v>00</v>
      </c>
      <c r="AN150" s="70" t="str">
        <f t="shared" si="35"/>
        <v>00</v>
      </c>
      <c r="AO150" s="70" t="str">
        <f t="shared" si="36"/>
        <v>00</v>
      </c>
      <c r="AQ150" t="str">
        <f t="shared" si="31"/>
        <v/>
      </c>
    </row>
    <row r="151" spans="2:43">
      <c r="B151" s="148"/>
      <c r="C151" s="55">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0</v>
      </c>
      <c r="AF151" s="139">
        <f t="shared" si="38"/>
        <v>0</v>
      </c>
      <c r="AG151" s="139">
        <f t="shared" si="38"/>
        <v>0</v>
      </c>
      <c r="AH151" s="139">
        <f t="shared" si="38"/>
        <v>0</v>
      </c>
      <c r="AI151" s="139">
        <f t="shared" ref="AI151" si="39">IF(OR(AI21=0,AI21=1),1,0)</f>
        <v>0</v>
      </c>
      <c r="AJ151" s="55" t="str">
        <f t="shared" si="30"/>
        <v/>
      </c>
      <c r="AK151" s="68"/>
      <c r="AL151" s="68" t="str">
        <f t="shared" si="33"/>
        <v>00</v>
      </c>
      <c r="AM151" s="70" t="str">
        <f t="shared" si="34"/>
        <v>00</v>
      </c>
      <c r="AN151" s="70" t="str">
        <f t="shared" si="35"/>
        <v>00</v>
      </c>
      <c r="AO151" s="70" t="str">
        <f t="shared" si="36"/>
        <v>00</v>
      </c>
      <c r="AQ151" t="str">
        <f t="shared" si="31"/>
        <v/>
      </c>
    </row>
    <row r="152" spans="2:43">
      <c r="B152" s="148"/>
      <c r="C152" s="55">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0</v>
      </c>
      <c r="AF152" s="139">
        <f t="shared" si="40"/>
        <v>0</v>
      </c>
      <c r="AG152" s="139">
        <f t="shared" si="40"/>
        <v>0</v>
      </c>
      <c r="AH152" s="139">
        <f t="shared" si="40"/>
        <v>0</v>
      </c>
      <c r="AI152" s="139">
        <f t="shared" si="40"/>
        <v>0</v>
      </c>
      <c r="AJ152" s="55" t="str">
        <f t="shared" si="30"/>
        <v/>
      </c>
      <c r="AK152" s="68"/>
      <c r="AL152" s="68" t="str">
        <f t="shared" si="33"/>
        <v>00</v>
      </c>
      <c r="AM152" s="70" t="str">
        <f t="shared" si="34"/>
        <v>00</v>
      </c>
      <c r="AN152" s="70" t="str">
        <f t="shared" si="35"/>
        <v>00</v>
      </c>
      <c r="AO152" s="70" t="str">
        <f t="shared" si="36"/>
        <v>00</v>
      </c>
      <c r="AQ152" t="str">
        <f t="shared" si="31"/>
        <v/>
      </c>
    </row>
    <row r="153" spans="2:43">
      <c r="B153" s="148"/>
      <c r="C153" s="55">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0</v>
      </c>
      <c r="AF153" s="139">
        <f t="shared" si="40"/>
        <v>0</v>
      </c>
      <c r="AG153" s="139">
        <f t="shared" si="40"/>
        <v>0</v>
      </c>
      <c r="AH153" s="139">
        <f t="shared" si="40"/>
        <v>0</v>
      </c>
      <c r="AI153" s="139">
        <f t="shared" si="40"/>
        <v>0</v>
      </c>
      <c r="AJ153" s="55" t="str">
        <f t="shared" si="30"/>
        <v/>
      </c>
      <c r="AK153" s="68"/>
      <c r="AL153" s="68" t="str">
        <f t="shared" si="33"/>
        <v>00</v>
      </c>
      <c r="AM153" s="70" t="str">
        <f t="shared" si="34"/>
        <v>00</v>
      </c>
      <c r="AN153" s="70" t="str">
        <f t="shared" si="35"/>
        <v>00</v>
      </c>
      <c r="AO153" s="70" t="str">
        <f t="shared" si="36"/>
        <v>00</v>
      </c>
      <c r="AQ153" t="str">
        <f t="shared" si="31"/>
        <v/>
      </c>
    </row>
    <row r="154" spans="2:43">
      <c r="B154" s="148"/>
      <c r="C154" s="55">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0</v>
      </c>
      <c r="AF154" s="139">
        <f t="shared" si="40"/>
        <v>0</v>
      </c>
      <c r="AG154" s="139">
        <f t="shared" si="40"/>
        <v>0</v>
      </c>
      <c r="AH154" s="139">
        <f t="shared" si="40"/>
        <v>0</v>
      </c>
      <c r="AI154" s="139">
        <f t="shared" si="40"/>
        <v>0</v>
      </c>
      <c r="AJ154" s="55" t="str">
        <f t="shared" si="30"/>
        <v/>
      </c>
      <c r="AK154" s="68"/>
      <c r="AL154" s="68" t="str">
        <f t="shared" si="33"/>
        <v>00</v>
      </c>
      <c r="AM154" s="70" t="str">
        <f t="shared" si="34"/>
        <v>00</v>
      </c>
      <c r="AN154" s="70" t="str">
        <f t="shared" si="35"/>
        <v>00</v>
      </c>
      <c r="AO154" s="70" t="str">
        <f t="shared" si="36"/>
        <v>00</v>
      </c>
      <c r="AQ154" t="str">
        <f t="shared" si="31"/>
        <v/>
      </c>
    </row>
    <row r="155" spans="2:43">
      <c r="B155" s="148"/>
      <c r="C155" s="55">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0</v>
      </c>
      <c r="AF155" s="139">
        <f t="shared" si="40"/>
        <v>0</v>
      </c>
      <c r="AG155" s="139">
        <f t="shared" si="40"/>
        <v>0</v>
      </c>
      <c r="AH155" s="139">
        <f t="shared" si="40"/>
        <v>0</v>
      </c>
      <c r="AI155" s="139">
        <f t="shared" si="40"/>
        <v>0</v>
      </c>
      <c r="AJ155" s="55" t="str">
        <f t="shared" si="30"/>
        <v/>
      </c>
      <c r="AK155" s="68"/>
      <c r="AL155" s="68" t="str">
        <f t="shared" si="33"/>
        <v>00</v>
      </c>
      <c r="AM155" s="70" t="str">
        <f t="shared" si="34"/>
        <v>00</v>
      </c>
      <c r="AN155" s="70" t="str">
        <f t="shared" si="35"/>
        <v>00</v>
      </c>
      <c r="AO155" s="70" t="str">
        <f t="shared" si="36"/>
        <v>00</v>
      </c>
      <c r="AQ155" t="str">
        <f t="shared" si="31"/>
        <v/>
      </c>
    </row>
    <row r="156" spans="2:43">
      <c r="B156" s="148"/>
      <c r="C156" s="55">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0</v>
      </c>
      <c r="AF156" s="139">
        <f t="shared" si="40"/>
        <v>0</v>
      </c>
      <c r="AG156" s="139">
        <f t="shared" si="40"/>
        <v>0</v>
      </c>
      <c r="AH156" s="139">
        <f t="shared" si="40"/>
        <v>0</v>
      </c>
      <c r="AI156" s="139">
        <f t="shared" si="40"/>
        <v>0</v>
      </c>
      <c r="AJ156" s="55" t="str">
        <f t="shared" si="30"/>
        <v/>
      </c>
      <c r="AK156" s="68"/>
      <c r="AL156" s="68" t="str">
        <f t="shared" si="33"/>
        <v>00</v>
      </c>
      <c r="AM156" s="70" t="str">
        <f t="shared" si="34"/>
        <v>00</v>
      </c>
      <c r="AN156" s="70" t="str">
        <f t="shared" si="35"/>
        <v>00</v>
      </c>
      <c r="AO156" s="70" t="str">
        <f t="shared" si="36"/>
        <v>00</v>
      </c>
      <c r="AQ156" t="str">
        <f t="shared" si="31"/>
        <v/>
      </c>
    </row>
    <row r="157" spans="2:43">
      <c r="B157" s="148"/>
      <c r="C157" s="55">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0</v>
      </c>
      <c r="AF157" s="139">
        <f t="shared" si="40"/>
        <v>0</v>
      </c>
      <c r="AG157" s="139">
        <f t="shared" si="40"/>
        <v>0</v>
      </c>
      <c r="AH157" s="139">
        <f t="shared" si="40"/>
        <v>0</v>
      </c>
      <c r="AI157" s="139">
        <f t="shared" si="40"/>
        <v>0</v>
      </c>
      <c r="AJ157" s="55" t="str">
        <f t="shared" si="30"/>
        <v/>
      </c>
      <c r="AK157" s="68"/>
      <c r="AL157" s="68" t="str">
        <f t="shared" si="33"/>
        <v>00</v>
      </c>
      <c r="AM157" s="70" t="str">
        <f t="shared" si="34"/>
        <v>00</v>
      </c>
      <c r="AN157" s="70" t="str">
        <f t="shared" si="35"/>
        <v>00</v>
      </c>
      <c r="AO157" s="70" t="str">
        <f t="shared" si="36"/>
        <v>00</v>
      </c>
      <c r="AQ157" t="str">
        <f t="shared" si="31"/>
        <v/>
      </c>
    </row>
    <row r="158" spans="2:43">
      <c r="B158" s="148"/>
      <c r="C158" s="55">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0</v>
      </c>
      <c r="AF158" s="139">
        <f t="shared" si="40"/>
        <v>0</v>
      </c>
      <c r="AG158" s="139">
        <f t="shared" si="40"/>
        <v>0</v>
      </c>
      <c r="AH158" s="139">
        <f t="shared" si="40"/>
        <v>0</v>
      </c>
      <c r="AI158" s="139">
        <f t="shared" si="40"/>
        <v>0</v>
      </c>
      <c r="AJ158" s="55" t="str">
        <f t="shared" si="30"/>
        <v/>
      </c>
      <c r="AK158" s="68"/>
      <c r="AL158" s="68" t="str">
        <f t="shared" si="33"/>
        <v>00</v>
      </c>
      <c r="AM158" s="70" t="str">
        <f t="shared" si="34"/>
        <v>00</v>
      </c>
      <c r="AN158" s="70" t="str">
        <f t="shared" si="35"/>
        <v>00</v>
      </c>
      <c r="AO158" s="70" t="str">
        <f t="shared" si="36"/>
        <v>00</v>
      </c>
      <c r="AQ158" t="str">
        <f t="shared" si="31"/>
        <v/>
      </c>
    </row>
    <row r="159" spans="2:43">
      <c r="B159" s="148"/>
      <c r="C159" s="55">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0</v>
      </c>
      <c r="AF159" s="139">
        <f t="shared" si="40"/>
        <v>0</v>
      </c>
      <c r="AG159" s="139">
        <f t="shared" si="40"/>
        <v>0</v>
      </c>
      <c r="AH159" s="139">
        <f t="shared" si="40"/>
        <v>0</v>
      </c>
      <c r="AI159" s="139">
        <f t="shared" ref="AI159" si="41">IF(OR(AI29=0,AI29=1),1,0)</f>
        <v>0</v>
      </c>
      <c r="AJ159" s="55" t="str">
        <f t="shared" si="30"/>
        <v/>
      </c>
      <c r="AK159" s="68"/>
      <c r="AL159" s="68" t="str">
        <f t="shared" si="33"/>
        <v>00</v>
      </c>
      <c r="AM159" s="70" t="str">
        <f t="shared" si="34"/>
        <v>00</v>
      </c>
      <c r="AN159" s="70" t="str">
        <f t="shared" si="35"/>
        <v>00</v>
      </c>
      <c r="AO159" s="70" t="str">
        <f t="shared" si="36"/>
        <v>00</v>
      </c>
      <c r="AQ159" t="str">
        <f t="shared" si="31"/>
        <v/>
      </c>
    </row>
    <row r="160" spans="2:43">
      <c r="B160" s="148"/>
      <c r="C160" s="55">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0</v>
      </c>
      <c r="AF160" s="139">
        <f t="shared" si="42"/>
        <v>0</v>
      </c>
      <c r="AG160" s="139">
        <f t="shared" si="42"/>
        <v>0</v>
      </c>
      <c r="AH160" s="139">
        <f t="shared" si="42"/>
        <v>0</v>
      </c>
      <c r="AI160" s="139">
        <f t="shared" si="42"/>
        <v>0</v>
      </c>
      <c r="AJ160" s="55" t="str">
        <f t="shared" si="30"/>
        <v/>
      </c>
      <c r="AK160" s="68"/>
      <c r="AL160" s="68" t="str">
        <f t="shared" si="33"/>
        <v>00</v>
      </c>
      <c r="AM160" s="70" t="str">
        <f t="shared" si="34"/>
        <v>00</v>
      </c>
      <c r="AN160" s="70" t="str">
        <f t="shared" si="35"/>
        <v>00</v>
      </c>
      <c r="AO160" s="70" t="str">
        <f t="shared" si="36"/>
        <v>00</v>
      </c>
      <c r="AQ160" t="str">
        <f t="shared" si="31"/>
        <v/>
      </c>
    </row>
    <row r="161" spans="2:43">
      <c r="B161" s="148"/>
      <c r="C161" s="55">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0</v>
      </c>
      <c r="AF161" s="139">
        <f t="shared" si="42"/>
        <v>0</v>
      </c>
      <c r="AG161" s="139">
        <f t="shared" si="42"/>
        <v>0</v>
      </c>
      <c r="AH161" s="139">
        <f t="shared" si="42"/>
        <v>0</v>
      </c>
      <c r="AI161" s="139">
        <f t="shared" si="42"/>
        <v>0</v>
      </c>
      <c r="AJ161" s="55" t="str">
        <f t="shared" si="30"/>
        <v/>
      </c>
      <c r="AK161" s="68"/>
      <c r="AL161" s="68" t="str">
        <f t="shared" si="33"/>
        <v>00</v>
      </c>
      <c r="AM161" s="70" t="str">
        <f t="shared" si="34"/>
        <v>00</v>
      </c>
      <c r="AN161" s="70" t="str">
        <f t="shared" si="35"/>
        <v>00</v>
      </c>
      <c r="AO161" s="70" t="str">
        <f t="shared" si="36"/>
        <v>00</v>
      </c>
      <c r="AQ161" t="str">
        <f t="shared" si="31"/>
        <v/>
      </c>
    </row>
    <row r="162" spans="2:43">
      <c r="B162" s="148"/>
      <c r="C162" s="55">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0</v>
      </c>
      <c r="AF162" s="139">
        <f t="shared" si="42"/>
        <v>0</v>
      </c>
      <c r="AG162" s="139">
        <f t="shared" si="42"/>
        <v>0</v>
      </c>
      <c r="AH162" s="139">
        <f t="shared" si="42"/>
        <v>0</v>
      </c>
      <c r="AI162" s="139">
        <f t="shared" si="42"/>
        <v>0</v>
      </c>
      <c r="AJ162" s="55" t="str">
        <f t="shared" si="30"/>
        <v/>
      </c>
      <c r="AK162" s="68"/>
      <c r="AL162" s="68" t="str">
        <f t="shared" si="33"/>
        <v>00</v>
      </c>
      <c r="AM162" s="70" t="str">
        <f t="shared" si="34"/>
        <v>00</v>
      </c>
      <c r="AN162" s="70" t="str">
        <f t="shared" si="35"/>
        <v>00</v>
      </c>
      <c r="AO162" s="70" t="str">
        <f t="shared" si="36"/>
        <v>00</v>
      </c>
      <c r="AQ162" t="str">
        <f t="shared" si="31"/>
        <v/>
      </c>
    </row>
    <row r="163" spans="2:43">
      <c r="B163" s="148"/>
      <c r="C163" s="55">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0</v>
      </c>
      <c r="AF163" s="139">
        <f t="shared" si="42"/>
        <v>0</v>
      </c>
      <c r="AG163" s="139">
        <f t="shared" si="42"/>
        <v>0</v>
      </c>
      <c r="AH163" s="139">
        <f t="shared" si="42"/>
        <v>0</v>
      </c>
      <c r="AI163" s="139">
        <f t="shared" si="42"/>
        <v>0</v>
      </c>
      <c r="AJ163" s="55" t="str">
        <f t="shared" si="30"/>
        <v/>
      </c>
      <c r="AK163" s="68"/>
      <c r="AL163" s="68" t="str">
        <f t="shared" si="33"/>
        <v>00</v>
      </c>
      <c r="AM163" s="70" t="str">
        <f t="shared" si="34"/>
        <v>00</v>
      </c>
      <c r="AN163" s="70" t="str">
        <f t="shared" si="35"/>
        <v>00</v>
      </c>
      <c r="AO163" s="70" t="str">
        <f t="shared" si="36"/>
        <v>00</v>
      </c>
      <c r="AQ163" t="str">
        <f t="shared" si="31"/>
        <v/>
      </c>
    </row>
    <row r="164" spans="2:43">
      <c r="B164" s="148"/>
      <c r="C164" s="55">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0</v>
      </c>
      <c r="AF164" s="139">
        <f t="shared" si="42"/>
        <v>0</v>
      </c>
      <c r="AG164" s="139">
        <f t="shared" si="42"/>
        <v>0</v>
      </c>
      <c r="AH164" s="139">
        <f t="shared" si="42"/>
        <v>0</v>
      </c>
      <c r="AI164" s="139">
        <f t="shared" si="42"/>
        <v>0</v>
      </c>
      <c r="AJ164" s="55" t="str">
        <f t="shared" si="30"/>
        <v/>
      </c>
      <c r="AK164" s="68"/>
      <c r="AL164" s="68" t="str">
        <f t="shared" si="33"/>
        <v>00</v>
      </c>
      <c r="AM164" s="70" t="str">
        <f t="shared" si="34"/>
        <v>00</v>
      </c>
      <c r="AN164" s="70" t="str">
        <f t="shared" si="35"/>
        <v>00</v>
      </c>
      <c r="AO164" s="70" t="str">
        <f t="shared" si="36"/>
        <v>00</v>
      </c>
      <c r="AQ164" t="str">
        <f t="shared" si="31"/>
        <v/>
      </c>
    </row>
    <row r="165" spans="2:43">
      <c r="B165" s="148"/>
      <c r="C165" s="55">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0</v>
      </c>
      <c r="AF165" s="139">
        <f t="shared" si="42"/>
        <v>0</v>
      </c>
      <c r="AG165" s="139">
        <f t="shared" si="42"/>
        <v>0</v>
      </c>
      <c r="AH165" s="139">
        <f t="shared" si="42"/>
        <v>0</v>
      </c>
      <c r="AI165" s="139">
        <f t="shared" si="42"/>
        <v>0</v>
      </c>
      <c r="AJ165" s="55" t="str">
        <f t="shared" si="30"/>
        <v/>
      </c>
      <c r="AK165" s="68"/>
      <c r="AL165" s="68" t="str">
        <f t="shared" si="33"/>
        <v>00</v>
      </c>
      <c r="AM165" s="70" t="str">
        <f t="shared" si="34"/>
        <v>00</v>
      </c>
      <c r="AN165" s="70" t="str">
        <f t="shared" si="35"/>
        <v>00</v>
      </c>
      <c r="AO165" s="70" t="str">
        <f t="shared" si="36"/>
        <v>00</v>
      </c>
      <c r="AQ165" t="str">
        <f t="shared" si="31"/>
        <v/>
      </c>
    </row>
    <row r="166" spans="2:43">
      <c r="B166" s="148"/>
      <c r="C166" s="55">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0</v>
      </c>
      <c r="AF166" s="139">
        <f t="shared" si="42"/>
        <v>0</v>
      </c>
      <c r="AG166" s="139">
        <f t="shared" si="42"/>
        <v>0</v>
      </c>
      <c r="AH166" s="139">
        <f t="shared" si="42"/>
        <v>0</v>
      </c>
      <c r="AI166" s="139">
        <f t="shared" si="42"/>
        <v>0</v>
      </c>
      <c r="AJ166" s="55" t="str">
        <f t="shared" si="30"/>
        <v/>
      </c>
      <c r="AK166" s="68"/>
      <c r="AL166" s="68" t="str">
        <f t="shared" si="33"/>
        <v>00</v>
      </c>
      <c r="AM166" s="70" t="str">
        <f t="shared" si="34"/>
        <v>00</v>
      </c>
      <c r="AN166" s="70" t="str">
        <f t="shared" si="35"/>
        <v>00</v>
      </c>
      <c r="AO166" s="70" t="str">
        <f t="shared" si="36"/>
        <v>00</v>
      </c>
      <c r="AQ166" t="str">
        <f t="shared" si="31"/>
        <v/>
      </c>
    </row>
    <row r="167" spans="2:43">
      <c r="B167" s="148"/>
      <c r="C167" s="55">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0</v>
      </c>
      <c r="AF167" s="139">
        <f t="shared" si="42"/>
        <v>0</v>
      </c>
      <c r="AG167" s="139">
        <f t="shared" si="42"/>
        <v>0</v>
      </c>
      <c r="AH167" s="139">
        <f t="shared" si="42"/>
        <v>0</v>
      </c>
      <c r="AI167" s="139">
        <f t="shared" ref="AI167" si="43">IF(OR(AI37=0,AI37=1),1,0)</f>
        <v>0</v>
      </c>
      <c r="AJ167" s="55" t="str">
        <f t="shared" si="30"/>
        <v/>
      </c>
      <c r="AK167" s="68"/>
      <c r="AL167" s="68" t="str">
        <f t="shared" si="33"/>
        <v>00</v>
      </c>
      <c r="AM167" s="70" t="str">
        <f t="shared" si="34"/>
        <v>00</v>
      </c>
      <c r="AN167" s="70" t="str">
        <f t="shared" si="35"/>
        <v>00</v>
      </c>
      <c r="AO167" s="70" t="str">
        <f t="shared" si="36"/>
        <v>00</v>
      </c>
      <c r="AQ167" t="str">
        <f t="shared" si="31"/>
        <v/>
      </c>
    </row>
    <row r="168" spans="2:43">
      <c r="B168" s="148"/>
      <c r="C168" s="55">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5" t="str">
        <f t="shared" si="30"/>
        <v/>
      </c>
      <c r="AK168" s="68"/>
      <c r="AL168" s="68" t="str">
        <f t="shared" si="33"/>
        <v>00</v>
      </c>
      <c r="AM168" s="70" t="str">
        <f t="shared" si="34"/>
        <v>00</v>
      </c>
      <c r="AN168" s="70" t="str">
        <f t="shared" si="35"/>
        <v>00</v>
      </c>
      <c r="AO168" s="70" t="str">
        <f t="shared" si="36"/>
        <v>00</v>
      </c>
      <c r="AQ168" t="str">
        <f t="shared" si="31"/>
        <v/>
      </c>
    </row>
    <row r="169" spans="2:43">
      <c r="B169" s="148"/>
      <c r="C169" s="55">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5" t="str">
        <f t="shared" si="30"/>
        <v/>
      </c>
      <c r="AK169" s="68"/>
      <c r="AL169" s="68" t="str">
        <f t="shared" si="33"/>
        <v>00</v>
      </c>
      <c r="AM169" s="70" t="str">
        <f t="shared" si="34"/>
        <v>00</v>
      </c>
      <c r="AN169" s="70" t="str">
        <f t="shared" si="35"/>
        <v>00</v>
      </c>
      <c r="AO169" s="70" t="str">
        <f t="shared" si="36"/>
        <v>00</v>
      </c>
      <c r="AQ169" t="str">
        <f t="shared" si="31"/>
        <v/>
      </c>
    </row>
    <row r="170" spans="2:43">
      <c r="B170" s="148"/>
      <c r="C170" s="55">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5" t="str">
        <f t="shared" si="30"/>
        <v/>
      </c>
      <c r="AK170" s="68"/>
      <c r="AL170" s="68" t="str">
        <f t="shared" si="33"/>
        <v>00</v>
      </c>
      <c r="AM170" s="70" t="str">
        <f t="shared" si="34"/>
        <v>00</v>
      </c>
      <c r="AN170" s="70" t="str">
        <f t="shared" si="35"/>
        <v>00</v>
      </c>
      <c r="AO170" s="70" t="str">
        <f t="shared" si="36"/>
        <v>00</v>
      </c>
      <c r="AQ170" t="str">
        <f t="shared" si="31"/>
        <v/>
      </c>
    </row>
    <row r="171" spans="2:43">
      <c r="B171" s="148"/>
      <c r="C171" s="55">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5" t="str">
        <f t="shared" si="30"/>
        <v/>
      </c>
      <c r="AK171" s="68"/>
      <c r="AL171" s="68" t="str">
        <f t="shared" si="33"/>
        <v>00</v>
      </c>
      <c r="AM171" s="70" t="str">
        <f t="shared" si="34"/>
        <v>00</v>
      </c>
      <c r="AN171" s="70" t="str">
        <f t="shared" si="35"/>
        <v>00</v>
      </c>
      <c r="AO171" s="70" t="str">
        <f t="shared" si="36"/>
        <v>00</v>
      </c>
      <c r="AQ171" t="str">
        <f t="shared" si="31"/>
        <v/>
      </c>
    </row>
    <row r="172" spans="2:43">
      <c r="B172" s="148"/>
      <c r="C172" s="55">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5" t="str">
        <f t="shared" si="30"/>
        <v/>
      </c>
      <c r="AK172" s="68"/>
      <c r="AL172" s="68" t="str">
        <f t="shared" si="33"/>
        <v>00</v>
      </c>
      <c r="AM172" s="70" t="str">
        <f t="shared" si="34"/>
        <v>00</v>
      </c>
      <c r="AN172" s="70" t="str">
        <f t="shared" si="35"/>
        <v>00</v>
      </c>
      <c r="AO172" s="70" t="str">
        <f t="shared" si="36"/>
        <v>00</v>
      </c>
      <c r="AQ172" t="str">
        <f t="shared" si="31"/>
        <v/>
      </c>
    </row>
    <row r="173" spans="2:43">
      <c r="B173" s="148"/>
      <c r="C173" s="55">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5" t="str">
        <f t="shared" si="30"/>
        <v/>
      </c>
      <c r="AK173" s="68"/>
      <c r="AL173" s="68" t="str">
        <f t="shared" si="33"/>
        <v>00</v>
      </c>
      <c r="AM173" s="70" t="str">
        <f t="shared" si="34"/>
        <v>00</v>
      </c>
      <c r="AN173" s="70" t="str">
        <f t="shared" si="35"/>
        <v>00</v>
      </c>
      <c r="AO173" s="70" t="str">
        <f t="shared" si="36"/>
        <v>00</v>
      </c>
      <c r="AQ173" t="str">
        <f t="shared" si="31"/>
        <v/>
      </c>
    </row>
    <row r="174" spans="2:43">
      <c r="B174" s="148"/>
      <c r="C174" s="55">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8"/>
      <c r="C175" s="55">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8"/>
      <c r="C176" s="55">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8"/>
      <c r="C177" s="55">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8"/>
      <c r="C178" s="55">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8"/>
      <c r="C179" s="55">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8"/>
      <c r="C180" s="55">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8"/>
      <c r="C181" s="55">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8"/>
      <c r="C182" s="55">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8"/>
      <c r="C183" s="55">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8"/>
      <c r="C184" s="55">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8"/>
      <c r="C185" s="55">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8"/>
      <c r="C186" s="55">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8"/>
      <c r="C187" s="55">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8"/>
      <c r="C188" s="55">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8"/>
      <c r="C189" s="55">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8"/>
      <c r="C190" s="55">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8"/>
      <c r="C191" s="55">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8"/>
      <c r="C192" s="55">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8"/>
      <c r="C193" s="55">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8"/>
      <c r="C194" s="55">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8"/>
      <c r="C195" s="55">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8"/>
      <c r="C196" s="55">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8"/>
      <c r="C197" s="55">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8"/>
      <c r="C198" s="55">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9"/>
      <c r="C199" s="55">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B3 D6:AJ69 L3:AI3" name="Table作成編集範囲"/>
  </protectedRanges>
  <mergeCells count="4">
    <mergeCell ref="C2:C3"/>
    <mergeCell ref="AJ2:AJ3"/>
    <mergeCell ref="A4:B5"/>
    <mergeCell ref="AD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75"/>
  <sheetViews>
    <sheetView topLeftCell="R1" zoomScale="85" zoomScaleNormal="85" workbookViewId="0">
      <selection activeCell="W64" sqref="W64"/>
    </sheetView>
  </sheetViews>
  <sheetFormatPr defaultRowHeight="13.5"/>
  <cols>
    <col min="2" max="2" width="35.375" bestFit="1" customWidth="1"/>
    <col min="3" max="10" width="3.375" customWidth="1"/>
    <col min="11" max="11" width="13.375" bestFit="1" customWidth="1"/>
    <col min="12" max="12" width="24.125" bestFit="1" customWidth="1"/>
    <col min="13" max="13" width="20.875" customWidth="1"/>
    <col min="14" max="17" width="10.875" customWidth="1"/>
  </cols>
  <sheetData>
    <row r="2" spans="2:17" ht="15" thickBot="1">
      <c r="B2" s="28" t="s">
        <v>230</v>
      </c>
    </row>
    <row r="3" spans="2:17" ht="15" thickBot="1">
      <c r="B3" s="106" t="s">
        <v>170</v>
      </c>
      <c r="C3" s="273" t="s">
        <v>138</v>
      </c>
      <c r="D3" s="274"/>
      <c r="E3" s="274"/>
      <c r="F3" s="274"/>
      <c r="G3" s="274"/>
      <c r="H3" s="274"/>
      <c r="I3" s="274"/>
      <c r="J3" s="275"/>
      <c r="K3" s="187"/>
      <c r="L3" s="187"/>
      <c r="M3" s="190"/>
      <c r="N3" s="188"/>
      <c r="O3" s="188"/>
      <c r="P3" s="188"/>
      <c r="Q3" s="189"/>
    </row>
    <row r="4" spans="2:17">
      <c r="B4" s="78"/>
      <c r="C4" s="36" t="s">
        <v>174</v>
      </c>
      <c r="D4" s="36"/>
      <c r="E4" s="36"/>
      <c r="F4" s="36"/>
      <c r="G4" s="36"/>
      <c r="H4" s="36"/>
      <c r="I4" s="36"/>
      <c r="J4" s="36"/>
      <c r="K4" s="36"/>
      <c r="L4" s="37"/>
      <c r="M4" s="32" t="s">
        <v>162</v>
      </c>
      <c r="N4" s="51" t="s">
        <v>20</v>
      </c>
      <c r="O4" s="52"/>
      <c r="P4" s="52"/>
      <c r="Q4" s="53"/>
    </row>
    <row r="5" spans="2:17">
      <c r="B5" s="79" t="s">
        <v>21</v>
      </c>
      <c r="C5" s="269" t="s">
        <v>194</v>
      </c>
      <c r="D5" s="270"/>
      <c r="E5" s="270"/>
      <c r="F5" s="270"/>
      <c r="G5" s="270"/>
      <c r="H5" s="270"/>
      <c r="I5" s="270"/>
      <c r="J5" s="271"/>
      <c r="K5" s="40" t="s">
        <v>22</v>
      </c>
      <c r="L5" s="83"/>
      <c r="M5" s="33" t="s">
        <v>231</v>
      </c>
      <c r="N5" s="213" t="s">
        <v>23</v>
      </c>
      <c r="O5" s="209" t="s">
        <v>24</v>
      </c>
      <c r="P5" s="86" t="s">
        <v>25</v>
      </c>
      <c r="Q5" s="155" t="s">
        <v>26</v>
      </c>
    </row>
    <row r="6" spans="2:17">
      <c r="B6" s="79" t="s">
        <v>33</v>
      </c>
      <c r="C6" s="182" t="s">
        <v>186</v>
      </c>
      <c r="D6" s="182" t="s">
        <v>175</v>
      </c>
      <c r="E6" s="182" t="s">
        <v>186</v>
      </c>
      <c r="F6" s="182" t="s">
        <v>186</v>
      </c>
      <c r="G6" s="182" t="s">
        <v>186</v>
      </c>
      <c r="H6" s="182" t="s">
        <v>186</v>
      </c>
      <c r="I6" s="182" t="s">
        <v>186</v>
      </c>
      <c r="J6" s="182" t="s">
        <v>186</v>
      </c>
      <c r="K6" s="154" t="s">
        <v>337</v>
      </c>
      <c r="L6" s="154" t="s">
        <v>336</v>
      </c>
      <c r="M6" s="33" t="s">
        <v>48</v>
      </c>
      <c r="N6" s="214"/>
      <c r="O6" s="216"/>
      <c r="P6" s="87"/>
      <c r="Q6" s="155"/>
    </row>
    <row r="7" spans="2:17" ht="27">
      <c r="B7" s="80" t="s">
        <v>27</v>
      </c>
      <c r="C7" s="272" t="s">
        <v>176</v>
      </c>
      <c r="D7" s="270"/>
      <c r="E7" s="270"/>
      <c r="F7" s="270"/>
      <c r="G7" s="270"/>
      <c r="H7" s="270"/>
      <c r="I7" s="270"/>
      <c r="J7" s="271"/>
      <c r="K7" s="1" t="s">
        <v>233</v>
      </c>
      <c r="L7" s="30" t="s">
        <v>232</v>
      </c>
      <c r="M7" s="34"/>
      <c r="N7" s="214"/>
      <c r="O7" s="216"/>
      <c r="P7" s="87"/>
      <c r="Q7" s="155"/>
    </row>
    <row r="8" spans="2:17" ht="65.25">
      <c r="B8" s="79" t="s">
        <v>28</v>
      </c>
      <c r="C8" s="208" t="s">
        <v>177</v>
      </c>
      <c r="D8" s="208" t="s">
        <v>62</v>
      </c>
      <c r="E8" s="208" t="s">
        <v>178</v>
      </c>
      <c r="F8" s="208" t="s">
        <v>179</v>
      </c>
      <c r="G8" s="208" t="s">
        <v>180</v>
      </c>
      <c r="H8" s="208" t="s">
        <v>181</v>
      </c>
      <c r="I8" s="208" t="s">
        <v>182</v>
      </c>
      <c r="J8" s="208" t="s">
        <v>183</v>
      </c>
      <c r="K8" s="209" t="s">
        <v>321</v>
      </c>
      <c r="L8" s="210" t="s">
        <v>335</v>
      </c>
      <c r="M8" s="33" t="s">
        <v>29</v>
      </c>
      <c r="N8" s="214"/>
      <c r="O8" s="216"/>
      <c r="P8" s="87"/>
      <c r="Q8" s="155"/>
    </row>
    <row r="9" spans="2:17" ht="68.25" thickBot="1">
      <c r="B9" s="81" t="s">
        <v>30</v>
      </c>
      <c r="C9" s="183" t="s">
        <v>185</v>
      </c>
      <c r="D9" s="183" t="s">
        <v>175</v>
      </c>
      <c r="E9" s="183" t="s">
        <v>185</v>
      </c>
      <c r="F9" s="183" t="s">
        <v>185</v>
      </c>
      <c r="G9" s="183" t="s">
        <v>185</v>
      </c>
      <c r="H9" s="183" t="s">
        <v>185</v>
      </c>
      <c r="I9" s="183" t="s">
        <v>185</v>
      </c>
      <c r="J9" s="183" t="s">
        <v>185</v>
      </c>
      <c r="K9" s="29" t="s">
        <v>234</v>
      </c>
      <c r="L9" s="31" t="s">
        <v>306</v>
      </c>
      <c r="M9" s="35" t="s">
        <v>332</v>
      </c>
      <c r="N9" s="215"/>
      <c r="O9" s="211" t="s">
        <v>317</v>
      </c>
      <c r="P9" s="85"/>
      <c r="Q9" s="156"/>
    </row>
    <row r="10" spans="2:17" ht="14.25" thickTop="1">
      <c r="B10" s="82" t="s">
        <v>303</v>
      </c>
      <c r="C10" s="184" t="s">
        <v>184</v>
      </c>
      <c r="D10" s="184" t="s">
        <v>184</v>
      </c>
      <c r="E10" s="184" t="s">
        <v>184</v>
      </c>
      <c r="F10" s="184" t="s">
        <v>184</v>
      </c>
      <c r="G10" s="184" t="s">
        <v>184</v>
      </c>
      <c r="H10" s="184" t="s">
        <v>184</v>
      </c>
      <c r="I10" s="184" t="s">
        <v>184</v>
      </c>
      <c r="J10" s="184" t="s">
        <v>184</v>
      </c>
      <c r="K10" s="41" t="s">
        <v>235</v>
      </c>
      <c r="L10" s="42" t="s">
        <v>237</v>
      </c>
      <c r="M10" s="43" t="s">
        <v>313</v>
      </c>
      <c r="N10" s="184"/>
      <c r="O10" s="142" t="s">
        <v>318</v>
      </c>
      <c r="P10" s="48"/>
      <c r="Q10" s="157"/>
    </row>
    <row r="11" spans="2:17">
      <c r="B11" s="23" t="s">
        <v>302</v>
      </c>
      <c r="C11" s="185" t="s">
        <v>184</v>
      </c>
      <c r="D11" s="185" t="s">
        <v>184</v>
      </c>
      <c r="E11" s="185" t="s">
        <v>184</v>
      </c>
      <c r="F11" s="185" t="s">
        <v>184</v>
      </c>
      <c r="G11" s="185" t="s">
        <v>184</v>
      </c>
      <c r="H11" s="185" t="s">
        <v>184</v>
      </c>
      <c r="I11" s="185" t="s">
        <v>184</v>
      </c>
      <c r="J11" s="185" t="s">
        <v>184</v>
      </c>
      <c r="K11" s="38" t="s">
        <v>236</v>
      </c>
      <c r="L11" s="39" t="s">
        <v>238</v>
      </c>
      <c r="M11" s="44" t="s">
        <v>137</v>
      </c>
      <c r="N11" s="185"/>
      <c r="O11" s="69" t="s">
        <v>319</v>
      </c>
      <c r="P11" s="49"/>
      <c r="Q11" s="158"/>
    </row>
    <row r="12" spans="2:17">
      <c r="B12" s="23" t="s">
        <v>302</v>
      </c>
      <c r="C12" s="185" t="s">
        <v>184</v>
      </c>
      <c r="D12" s="185" t="s">
        <v>184</v>
      </c>
      <c r="E12" s="185" t="s">
        <v>184</v>
      </c>
      <c r="F12" s="185" t="s">
        <v>184</v>
      </c>
      <c r="G12" s="185" t="s">
        <v>184</v>
      </c>
      <c r="H12" s="185" t="s">
        <v>184</v>
      </c>
      <c r="I12" s="185" t="s">
        <v>184</v>
      </c>
      <c r="J12" s="185" t="s">
        <v>184</v>
      </c>
      <c r="K12" s="38" t="s">
        <v>236</v>
      </c>
      <c r="L12" s="39" t="s">
        <v>239</v>
      </c>
      <c r="M12" s="44" t="s">
        <v>137</v>
      </c>
      <c r="N12" s="185"/>
      <c r="O12" s="69" t="s">
        <v>319</v>
      </c>
      <c r="P12" s="49"/>
      <c r="Q12" s="158"/>
    </row>
    <row r="13" spans="2:17">
      <c r="B13" s="23" t="s">
        <v>302</v>
      </c>
      <c r="C13" s="185" t="s">
        <v>184</v>
      </c>
      <c r="D13" s="185" t="s">
        <v>184</v>
      </c>
      <c r="E13" s="185" t="s">
        <v>184</v>
      </c>
      <c r="F13" s="185" t="s">
        <v>184</v>
      </c>
      <c r="G13" s="185" t="s">
        <v>184</v>
      </c>
      <c r="H13" s="185" t="s">
        <v>184</v>
      </c>
      <c r="I13" s="185" t="s">
        <v>184</v>
      </c>
      <c r="J13" s="185" t="s">
        <v>184</v>
      </c>
      <c r="K13" s="206" t="s">
        <v>236</v>
      </c>
      <c r="L13" s="39" t="s">
        <v>240</v>
      </c>
      <c r="M13" s="44" t="s">
        <v>137</v>
      </c>
      <c r="N13" s="185"/>
      <c r="O13" s="69" t="s">
        <v>319</v>
      </c>
      <c r="P13" s="49"/>
      <c r="Q13" s="158"/>
    </row>
    <row r="14" spans="2:17">
      <c r="B14" s="23" t="s">
        <v>305</v>
      </c>
      <c r="C14" s="185" t="s">
        <v>184</v>
      </c>
      <c r="D14" s="185" t="s">
        <v>184</v>
      </c>
      <c r="E14" s="185" t="s">
        <v>184</v>
      </c>
      <c r="F14" s="185" t="s">
        <v>184</v>
      </c>
      <c r="G14" s="185" t="s">
        <v>184</v>
      </c>
      <c r="H14" s="185" t="s">
        <v>184</v>
      </c>
      <c r="I14" s="185" t="s">
        <v>184</v>
      </c>
      <c r="J14" s="185" t="s">
        <v>184</v>
      </c>
      <c r="K14" s="206" t="s">
        <v>236</v>
      </c>
      <c r="L14" s="39" t="s">
        <v>241</v>
      </c>
      <c r="M14" s="44" t="s">
        <v>329</v>
      </c>
      <c r="N14" s="185"/>
      <c r="O14" s="69" t="s">
        <v>315</v>
      </c>
      <c r="P14" s="49"/>
      <c r="Q14" s="158"/>
    </row>
    <row r="15" spans="2:17">
      <c r="B15" s="23" t="s">
        <v>302</v>
      </c>
      <c r="C15" s="185" t="s">
        <v>184</v>
      </c>
      <c r="D15" s="185" t="s">
        <v>184</v>
      </c>
      <c r="E15" s="185" t="s">
        <v>184</v>
      </c>
      <c r="F15" s="185" t="s">
        <v>184</v>
      </c>
      <c r="G15" s="185" t="s">
        <v>184</v>
      </c>
      <c r="H15" s="185" t="s">
        <v>184</v>
      </c>
      <c r="I15" s="185" t="s">
        <v>184</v>
      </c>
      <c r="J15" s="185" t="s">
        <v>184</v>
      </c>
      <c r="K15" s="206" t="s">
        <v>236</v>
      </c>
      <c r="L15" s="39" t="s">
        <v>242</v>
      </c>
      <c r="M15" s="44" t="s">
        <v>137</v>
      </c>
      <c r="N15" s="185"/>
      <c r="O15" s="69" t="s">
        <v>319</v>
      </c>
      <c r="P15" s="49"/>
      <c r="Q15" s="158"/>
    </row>
    <row r="16" spans="2:17">
      <c r="B16" s="23" t="s">
        <v>302</v>
      </c>
      <c r="C16" s="185" t="s">
        <v>184</v>
      </c>
      <c r="D16" s="185" t="s">
        <v>184</v>
      </c>
      <c r="E16" s="185" t="s">
        <v>184</v>
      </c>
      <c r="F16" s="185" t="s">
        <v>184</v>
      </c>
      <c r="G16" s="185" t="s">
        <v>184</v>
      </c>
      <c r="H16" s="185" t="s">
        <v>184</v>
      </c>
      <c r="I16" s="185" t="s">
        <v>184</v>
      </c>
      <c r="J16" s="185" t="s">
        <v>184</v>
      </c>
      <c r="K16" s="206" t="s">
        <v>236</v>
      </c>
      <c r="L16" s="39" t="s">
        <v>243</v>
      </c>
      <c r="M16" s="44" t="s">
        <v>137</v>
      </c>
      <c r="N16" s="185"/>
      <c r="O16" s="69" t="s">
        <v>319</v>
      </c>
      <c r="P16" s="49"/>
      <c r="Q16" s="158"/>
    </row>
    <row r="17" spans="2:17">
      <c r="B17" s="23" t="s">
        <v>302</v>
      </c>
      <c r="C17" s="185" t="s">
        <v>184</v>
      </c>
      <c r="D17" s="185" t="s">
        <v>184</v>
      </c>
      <c r="E17" s="185" t="s">
        <v>184</v>
      </c>
      <c r="F17" s="185" t="s">
        <v>184</v>
      </c>
      <c r="G17" s="185" t="s">
        <v>184</v>
      </c>
      <c r="H17" s="185" t="s">
        <v>184</v>
      </c>
      <c r="I17" s="185" t="s">
        <v>184</v>
      </c>
      <c r="J17" s="185" t="s">
        <v>184</v>
      </c>
      <c r="K17" s="206" t="s">
        <v>236</v>
      </c>
      <c r="L17" s="39" t="s">
        <v>244</v>
      </c>
      <c r="M17" s="44" t="s">
        <v>137</v>
      </c>
      <c r="N17" s="185"/>
      <c r="O17" s="69" t="s">
        <v>319</v>
      </c>
      <c r="P17" s="49"/>
      <c r="Q17" s="158"/>
    </row>
    <row r="18" spans="2:17">
      <c r="B18" s="23" t="s">
        <v>302</v>
      </c>
      <c r="C18" s="185" t="s">
        <v>184</v>
      </c>
      <c r="D18" s="185" t="s">
        <v>184</v>
      </c>
      <c r="E18" s="185" t="s">
        <v>184</v>
      </c>
      <c r="F18" s="185" t="s">
        <v>184</v>
      </c>
      <c r="G18" s="185" t="s">
        <v>184</v>
      </c>
      <c r="H18" s="185" t="s">
        <v>184</v>
      </c>
      <c r="I18" s="185" t="s">
        <v>184</v>
      </c>
      <c r="J18" s="185" t="s">
        <v>184</v>
      </c>
      <c r="K18" s="206" t="s">
        <v>236</v>
      </c>
      <c r="L18" s="39" t="s">
        <v>245</v>
      </c>
      <c r="M18" s="44" t="s">
        <v>137</v>
      </c>
      <c r="N18" s="185"/>
      <c r="O18" s="69" t="s">
        <v>319</v>
      </c>
      <c r="P18" s="49"/>
      <c r="Q18" s="158"/>
    </row>
    <row r="19" spans="2:17">
      <c r="B19" s="23" t="s">
        <v>302</v>
      </c>
      <c r="C19" s="185" t="s">
        <v>184</v>
      </c>
      <c r="D19" s="185" t="s">
        <v>184</v>
      </c>
      <c r="E19" s="185" t="s">
        <v>184</v>
      </c>
      <c r="F19" s="185" t="s">
        <v>184</v>
      </c>
      <c r="G19" s="185" t="s">
        <v>184</v>
      </c>
      <c r="H19" s="185" t="s">
        <v>184</v>
      </c>
      <c r="I19" s="185" t="s">
        <v>184</v>
      </c>
      <c r="J19" s="185" t="s">
        <v>184</v>
      </c>
      <c r="K19" s="206" t="s">
        <v>236</v>
      </c>
      <c r="L19" s="39" t="s">
        <v>246</v>
      </c>
      <c r="M19" s="44" t="s">
        <v>137</v>
      </c>
      <c r="N19" s="185"/>
      <c r="O19" s="69" t="s">
        <v>319</v>
      </c>
      <c r="P19" s="49"/>
      <c r="Q19" s="158"/>
    </row>
    <row r="20" spans="2:17">
      <c r="B20" s="23" t="s">
        <v>302</v>
      </c>
      <c r="C20" s="185" t="s">
        <v>184</v>
      </c>
      <c r="D20" s="185" t="s">
        <v>184</v>
      </c>
      <c r="E20" s="185" t="s">
        <v>184</v>
      </c>
      <c r="F20" s="185" t="s">
        <v>184</v>
      </c>
      <c r="G20" s="185" t="s">
        <v>184</v>
      </c>
      <c r="H20" s="185" t="s">
        <v>184</v>
      </c>
      <c r="I20" s="185" t="s">
        <v>184</v>
      </c>
      <c r="J20" s="185" t="s">
        <v>184</v>
      </c>
      <c r="K20" s="206" t="s">
        <v>236</v>
      </c>
      <c r="L20" s="39" t="s">
        <v>247</v>
      </c>
      <c r="M20" s="44" t="s">
        <v>137</v>
      </c>
      <c r="N20" s="185"/>
      <c r="O20" s="69" t="s">
        <v>319</v>
      </c>
      <c r="P20" s="49"/>
      <c r="Q20" s="158"/>
    </row>
    <row r="21" spans="2:17">
      <c r="B21" s="23" t="s">
        <v>302</v>
      </c>
      <c r="C21" s="185" t="s">
        <v>184</v>
      </c>
      <c r="D21" s="185" t="s">
        <v>184</v>
      </c>
      <c r="E21" s="185" t="s">
        <v>184</v>
      </c>
      <c r="F21" s="185" t="s">
        <v>184</v>
      </c>
      <c r="G21" s="185" t="s">
        <v>184</v>
      </c>
      <c r="H21" s="185" t="s">
        <v>184</v>
      </c>
      <c r="I21" s="185" t="s">
        <v>184</v>
      </c>
      <c r="J21" s="185" t="s">
        <v>184</v>
      </c>
      <c r="K21" s="206" t="s">
        <v>236</v>
      </c>
      <c r="L21" s="39" t="s">
        <v>248</v>
      </c>
      <c r="M21" s="44" t="s">
        <v>137</v>
      </c>
      <c r="N21" s="185"/>
      <c r="O21" s="69" t="s">
        <v>319</v>
      </c>
      <c r="P21" s="49"/>
      <c r="Q21" s="158"/>
    </row>
    <row r="22" spans="2:17">
      <c r="B22" s="23" t="s">
        <v>302</v>
      </c>
      <c r="C22" s="185" t="s">
        <v>184</v>
      </c>
      <c r="D22" s="185" t="s">
        <v>184</v>
      </c>
      <c r="E22" s="185" t="s">
        <v>184</v>
      </c>
      <c r="F22" s="185" t="s">
        <v>184</v>
      </c>
      <c r="G22" s="185" t="s">
        <v>184</v>
      </c>
      <c r="H22" s="185" t="s">
        <v>184</v>
      </c>
      <c r="I22" s="185" t="s">
        <v>184</v>
      </c>
      <c r="J22" s="185" t="s">
        <v>184</v>
      </c>
      <c r="K22" s="206" t="s">
        <v>236</v>
      </c>
      <c r="L22" s="39" t="s">
        <v>249</v>
      </c>
      <c r="M22" s="44" t="s">
        <v>137</v>
      </c>
      <c r="N22" s="185"/>
      <c r="O22" s="69" t="s">
        <v>319</v>
      </c>
      <c r="P22" s="49"/>
      <c r="Q22" s="158"/>
    </row>
    <row r="23" spans="2:17">
      <c r="B23" s="23" t="s">
        <v>302</v>
      </c>
      <c r="C23" s="185" t="s">
        <v>184</v>
      </c>
      <c r="D23" s="185" t="s">
        <v>184</v>
      </c>
      <c r="E23" s="185" t="s">
        <v>184</v>
      </c>
      <c r="F23" s="185" t="s">
        <v>184</v>
      </c>
      <c r="G23" s="185" t="s">
        <v>184</v>
      </c>
      <c r="H23" s="185" t="s">
        <v>184</v>
      </c>
      <c r="I23" s="185" t="s">
        <v>184</v>
      </c>
      <c r="J23" s="185" t="s">
        <v>184</v>
      </c>
      <c r="K23" s="206" t="s">
        <v>236</v>
      </c>
      <c r="L23" s="39" t="s">
        <v>250</v>
      </c>
      <c r="M23" s="44" t="s">
        <v>137</v>
      </c>
      <c r="N23" s="185"/>
      <c r="O23" s="69" t="s">
        <v>319</v>
      </c>
      <c r="P23" s="49"/>
      <c r="Q23" s="158"/>
    </row>
    <row r="24" spans="2:17">
      <c r="B24" s="23" t="s">
        <v>302</v>
      </c>
      <c r="C24" s="185" t="s">
        <v>184</v>
      </c>
      <c r="D24" s="185" t="s">
        <v>184</v>
      </c>
      <c r="E24" s="185" t="s">
        <v>184</v>
      </c>
      <c r="F24" s="185" t="s">
        <v>184</v>
      </c>
      <c r="G24" s="185" t="s">
        <v>184</v>
      </c>
      <c r="H24" s="185" t="s">
        <v>184</v>
      </c>
      <c r="I24" s="185" t="s">
        <v>184</v>
      </c>
      <c r="J24" s="185" t="s">
        <v>184</v>
      </c>
      <c r="K24" s="206" t="s">
        <v>236</v>
      </c>
      <c r="L24" s="39" t="s">
        <v>251</v>
      </c>
      <c r="M24" s="44" t="s">
        <v>137</v>
      </c>
      <c r="N24" s="185"/>
      <c r="O24" s="69" t="s">
        <v>319</v>
      </c>
      <c r="P24" s="49"/>
      <c r="Q24" s="158"/>
    </row>
    <row r="25" spans="2:17">
      <c r="B25" s="23" t="s">
        <v>302</v>
      </c>
      <c r="C25" s="185" t="s">
        <v>184</v>
      </c>
      <c r="D25" s="185" t="s">
        <v>184</v>
      </c>
      <c r="E25" s="185" t="s">
        <v>184</v>
      </c>
      <c r="F25" s="185" t="s">
        <v>184</v>
      </c>
      <c r="G25" s="185" t="s">
        <v>184</v>
      </c>
      <c r="H25" s="185" t="s">
        <v>184</v>
      </c>
      <c r="I25" s="185" t="s">
        <v>184</v>
      </c>
      <c r="J25" s="185" t="s">
        <v>184</v>
      </c>
      <c r="K25" s="206" t="s">
        <v>236</v>
      </c>
      <c r="L25" s="39" t="s">
        <v>252</v>
      </c>
      <c r="M25" s="44" t="s">
        <v>137</v>
      </c>
      <c r="N25" s="185"/>
      <c r="O25" s="69" t="s">
        <v>319</v>
      </c>
      <c r="P25" s="49"/>
      <c r="Q25" s="158"/>
    </row>
    <row r="26" spans="2:17">
      <c r="B26" s="23" t="s">
        <v>304</v>
      </c>
      <c r="C26" s="185" t="s">
        <v>184</v>
      </c>
      <c r="D26" s="185" t="s">
        <v>184</v>
      </c>
      <c r="E26" s="185" t="s">
        <v>184</v>
      </c>
      <c r="F26" s="185" t="s">
        <v>184</v>
      </c>
      <c r="G26" s="185" t="s">
        <v>184</v>
      </c>
      <c r="H26" s="185" t="s">
        <v>184</v>
      </c>
      <c r="I26" s="185" t="s">
        <v>184</v>
      </c>
      <c r="J26" s="185" t="s">
        <v>184</v>
      </c>
      <c r="K26" s="206" t="s">
        <v>236</v>
      </c>
      <c r="L26" s="39" t="s">
        <v>253</v>
      </c>
      <c r="M26" s="44" t="s">
        <v>331</v>
      </c>
      <c r="N26" s="185"/>
      <c r="O26" s="69" t="s">
        <v>314</v>
      </c>
      <c r="P26" s="49"/>
      <c r="Q26" s="158"/>
    </row>
    <row r="27" spans="2:17">
      <c r="B27" s="23" t="s">
        <v>302</v>
      </c>
      <c r="C27" s="185" t="s">
        <v>184</v>
      </c>
      <c r="D27" s="185" t="s">
        <v>184</v>
      </c>
      <c r="E27" s="185" t="s">
        <v>184</v>
      </c>
      <c r="F27" s="185" t="s">
        <v>184</v>
      </c>
      <c r="G27" s="185" t="s">
        <v>184</v>
      </c>
      <c r="H27" s="185" t="s">
        <v>184</v>
      </c>
      <c r="I27" s="185" t="s">
        <v>184</v>
      </c>
      <c r="J27" s="185" t="s">
        <v>184</v>
      </c>
      <c r="K27" s="206" t="s">
        <v>236</v>
      </c>
      <c r="L27" s="39" t="s">
        <v>254</v>
      </c>
      <c r="M27" s="44" t="s">
        <v>137</v>
      </c>
      <c r="N27" s="185"/>
      <c r="O27" s="69" t="s">
        <v>319</v>
      </c>
      <c r="P27" s="49"/>
      <c r="Q27" s="158"/>
    </row>
    <row r="28" spans="2:17">
      <c r="B28" s="23" t="s">
        <v>302</v>
      </c>
      <c r="C28" s="185" t="s">
        <v>184</v>
      </c>
      <c r="D28" s="185" t="s">
        <v>184</v>
      </c>
      <c r="E28" s="185" t="s">
        <v>184</v>
      </c>
      <c r="F28" s="185" t="s">
        <v>184</v>
      </c>
      <c r="G28" s="185" t="s">
        <v>184</v>
      </c>
      <c r="H28" s="185" t="s">
        <v>184</v>
      </c>
      <c r="I28" s="185" t="s">
        <v>184</v>
      </c>
      <c r="J28" s="185" t="s">
        <v>184</v>
      </c>
      <c r="K28" s="206" t="s">
        <v>236</v>
      </c>
      <c r="L28" s="39" t="s">
        <v>255</v>
      </c>
      <c r="M28" s="44" t="s">
        <v>137</v>
      </c>
      <c r="N28" s="185"/>
      <c r="O28" s="69" t="s">
        <v>319</v>
      </c>
      <c r="P28" s="49"/>
      <c r="Q28" s="158"/>
    </row>
    <row r="29" spans="2:17">
      <c r="B29" s="23" t="s">
        <v>302</v>
      </c>
      <c r="C29" s="185" t="s">
        <v>184</v>
      </c>
      <c r="D29" s="185" t="s">
        <v>184</v>
      </c>
      <c r="E29" s="185" t="s">
        <v>184</v>
      </c>
      <c r="F29" s="185" t="s">
        <v>184</v>
      </c>
      <c r="G29" s="185" t="s">
        <v>184</v>
      </c>
      <c r="H29" s="185" t="s">
        <v>184</v>
      </c>
      <c r="I29" s="185" t="s">
        <v>184</v>
      </c>
      <c r="J29" s="185" t="s">
        <v>184</v>
      </c>
      <c r="K29" s="206" t="s">
        <v>236</v>
      </c>
      <c r="L29" s="39" t="s">
        <v>256</v>
      </c>
      <c r="M29" s="44" t="s">
        <v>137</v>
      </c>
      <c r="N29" s="185"/>
      <c r="O29" s="69" t="s">
        <v>319</v>
      </c>
      <c r="P29" s="49"/>
      <c r="Q29" s="158"/>
    </row>
    <row r="30" spans="2:17">
      <c r="B30" s="23" t="s">
        <v>302</v>
      </c>
      <c r="C30" s="185" t="s">
        <v>184</v>
      </c>
      <c r="D30" s="185" t="s">
        <v>184</v>
      </c>
      <c r="E30" s="185" t="s">
        <v>184</v>
      </c>
      <c r="F30" s="185" t="s">
        <v>184</v>
      </c>
      <c r="G30" s="185" t="s">
        <v>184</v>
      </c>
      <c r="H30" s="185" t="s">
        <v>184</v>
      </c>
      <c r="I30" s="185" t="s">
        <v>184</v>
      </c>
      <c r="J30" s="185" t="s">
        <v>184</v>
      </c>
      <c r="K30" s="206" t="s">
        <v>236</v>
      </c>
      <c r="L30" s="39" t="s">
        <v>257</v>
      </c>
      <c r="M30" s="44" t="s">
        <v>137</v>
      </c>
      <c r="N30" s="185"/>
      <c r="O30" s="69" t="s">
        <v>319</v>
      </c>
      <c r="P30" s="49"/>
      <c r="Q30" s="158"/>
    </row>
    <row r="31" spans="2:17">
      <c r="B31" s="23" t="s">
        <v>302</v>
      </c>
      <c r="C31" s="185" t="s">
        <v>184</v>
      </c>
      <c r="D31" s="185" t="s">
        <v>184</v>
      </c>
      <c r="E31" s="185" t="s">
        <v>184</v>
      </c>
      <c r="F31" s="185" t="s">
        <v>184</v>
      </c>
      <c r="G31" s="185" t="s">
        <v>184</v>
      </c>
      <c r="H31" s="185" t="s">
        <v>184</v>
      </c>
      <c r="I31" s="185" t="s">
        <v>184</v>
      </c>
      <c r="J31" s="185" t="s">
        <v>184</v>
      </c>
      <c r="K31" s="206" t="s">
        <v>236</v>
      </c>
      <c r="L31" s="39" t="s">
        <v>258</v>
      </c>
      <c r="M31" s="44" t="s">
        <v>137</v>
      </c>
      <c r="N31" s="185"/>
      <c r="O31" s="69" t="s">
        <v>319</v>
      </c>
      <c r="P31" s="49"/>
      <c r="Q31" s="158"/>
    </row>
    <row r="32" spans="2:17">
      <c r="B32" s="23" t="s">
        <v>302</v>
      </c>
      <c r="C32" s="185" t="s">
        <v>184</v>
      </c>
      <c r="D32" s="185" t="s">
        <v>184</v>
      </c>
      <c r="E32" s="185" t="s">
        <v>184</v>
      </c>
      <c r="F32" s="185" t="s">
        <v>184</v>
      </c>
      <c r="G32" s="185" t="s">
        <v>184</v>
      </c>
      <c r="H32" s="185" t="s">
        <v>184</v>
      </c>
      <c r="I32" s="185" t="s">
        <v>184</v>
      </c>
      <c r="J32" s="185" t="s">
        <v>184</v>
      </c>
      <c r="K32" s="206" t="s">
        <v>236</v>
      </c>
      <c r="L32" s="39" t="s">
        <v>259</v>
      </c>
      <c r="M32" s="44" t="s">
        <v>137</v>
      </c>
      <c r="N32" s="185"/>
      <c r="O32" s="69" t="s">
        <v>319</v>
      </c>
      <c r="P32" s="49"/>
      <c r="Q32" s="158"/>
    </row>
    <row r="33" spans="2:17">
      <c r="B33" s="23" t="s">
        <v>302</v>
      </c>
      <c r="C33" s="185" t="s">
        <v>184</v>
      </c>
      <c r="D33" s="185" t="s">
        <v>184</v>
      </c>
      <c r="E33" s="185" t="s">
        <v>184</v>
      </c>
      <c r="F33" s="185" t="s">
        <v>184</v>
      </c>
      <c r="G33" s="185" t="s">
        <v>184</v>
      </c>
      <c r="H33" s="185" t="s">
        <v>184</v>
      </c>
      <c r="I33" s="185" t="s">
        <v>184</v>
      </c>
      <c r="J33" s="185" t="s">
        <v>184</v>
      </c>
      <c r="K33" s="206" t="s">
        <v>236</v>
      </c>
      <c r="L33" s="39" t="s">
        <v>260</v>
      </c>
      <c r="M33" s="44" t="s">
        <v>137</v>
      </c>
      <c r="N33" s="185"/>
      <c r="O33" s="69" t="s">
        <v>319</v>
      </c>
      <c r="P33" s="49"/>
      <c r="Q33" s="158"/>
    </row>
    <row r="34" spans="2:17">
      <c r="B34" s="23" t="s">
        <v>302</v>
      </c>
      <c r="C34" s="185" t="s">
        <v>184</v>
      </c>
      <c r="D34" s="185" t="s">
        <v>184</v>
      </c>
      <c r="E34" s="185" t="s">
        <v>184</v>
      </c>
      <c r="F34" s="185" t="s">
        <v>184</v>
      </c>
      <c r="G34" s="185" t="s">
        <v>184</v>
      </c>
      <c r="H34" s="185" t="s">
        <v>184</v>
      </c>
      <c r="I34" s="185" t="s">
        <v>184</v>
      </c>
      <c r="J34" s="185" t="s">
        <v>184</v>
      </c>
      <c r="K34" s="206" t="s">
        <v>236</v>
      </c>
      <c r="L34" s="39" t="s">
        <v>261</v>
      </c>
      <c r="M34" s="44" t="s">
        <v>137</v>
      </c>
      <c r="N34" s="185"/>
      <c r="O34" s="69" t="s">
        <v>319</v>
      </c>
      <c r="P34" s="49"/>
      <c r="Q34" s="158"/>
    </row>
    <row r="35" spans="2:17">
      <c r="B35" s="23" t="s">
        <v>302</v>
      </c>
      <c r="C35" s="185" t="s">
        <v>184</v>
      </c>
      <c r="D35" s="185" t="s">
        <v>184</v>
      </c>
      <c r="E35" s="185" t="s">
        <v>184</v>
      </c>
      <c r="F35" s="185" t="s">
        <v>184</v>
      </c>
      <c r="G35" s="185" t="s">
        <v>184</v>
      </c>
      <c r="H35" s="185" t="s">
        <v>184</v>
      </c>
      <c r="I35" s="185" t="s">
        <v>184</v>
      </c>
      <c r="J35" s="185" t="s">
        <v>184</v>
      </c>
      <c r="K35" s="206" t="s">
        <v>236</v>
      </c>
      <c r="L35" s="39" t="s">
        <v>262</v>
      </c>
      <c r="M35" s="44" t="s">
        <v>137</v>
      </c>
      <c r="N35" s="185"/>
      <c r="O35" s="69" t="s">
        <v>319</v>
      </c>
      <c r="P35" s="49"/>
      <c r="Q35" s="158"/>
    </row>
    <row r="36" spans="2:17">
      <c r="B36" s="23" t="s">
        <v>302</v>
      </c>
      <c r="C36" s="185" t="s">
        <v>184</v>
      </c>
      <c r="D36" s="185" t="s">
        <v>184</v>
      </c>
      <c r="E36" s="185" t="s">
        <v>184</v>
      </c>
      <c r="F36" s="185" t="s">
        <v>184</v>
      </c>
      <c r="G36" s="185" t="s">
        <v>184</v>
      </c>
      <c r="H36" s="185" t="s">
        <v>184</v>
      </c>
      <c r="I36" s="185" t="s">
        <v>184</v>
      </c>
      <c r="J36" s="185" t="s">
        <v>184</v>
      </c>
      <c r="K36" s="206" t="s">
        <v>236</v>
      </c>
      <c r="L36" s="39" t="s">
        <v>263</v>
      </c>
      <c r="M36" s="44" t="s">
        <v>137</v>
      </c>
      <c r="N36" s="185"/>
      <c r="O36" s="69" t="s">
        <v>319</v>
      </c>
      <c r="P36" s="49"/>
      <c r="Q36" s="158"/>
    </row>
    <row r="37" spans="2:17">
      <c r="B37" s="23" t="s">
        <v>302</v>
      </c>
      <c r="C37" s="185" t="s">
        <v>184</v>
      </c>
      <c r="D37" s="185" t="s">
        <v>184</v>
      </c>
      <c r="E37" s="185" t="s">
        <v>184</v>
      </c>
      <c r="F37" s="185" t="s">
        <v>184</v>
      </c>
      <c r="G37" s="185" t="s">
        <v>184</v>
      </c>
      <c r="H37" s="185" t="s">
        <v>184</v>
      </c>
      <c r="I37" s="185" t="s">
        <v>184</v>
      </c>
      <c r="J37" s="185" t="s">
        <v>184</v>
      </c>
      <c r="K37" s="206" t="s">
        <v>236</v>
      </c>
      <c r="L37" s="39" t="s">
        <v>264</v>
      </c>
      <c r="M37" s="44" t="s">
        <v>137</v>
      </c>
      <c r="N37" s="185"/>
      <c r="O37" s="69" t="s">
        <v>319</v>
      </c>
      <c r="P37" s="49"/>
      <c r="Q37" s="158"/>
    </row>
    <row r="38" spans="2:17">
      <c r="B38" s="23" t="s">
        <v>302</v>
      </c>
      <c r="C38" s="185" t="s">
        <v>184</v>
      </c>
      <c r="D38" s="185" t="s">
        <v>184</v>
      </c>
      <c r="E38" s="185" t="s">
        <v>184</v>
      </c>
      <c r="F38" s="185" t="s">
        <v>184</v>
      </c>
      <c r="G38" s="185" t="s">
        <v>184</v>
      </c>
      <c r="H38" s="185" t="s">
        <v>184</v>
      </c>
      <c r="I38" s="185" t="s">
        <v>184</v>
      </c>
      <c r="J38" s="185" t="s">
        <v>184</v>
      </c>
      <c r="K38" s="206" t="s">
        <v>236</v>
      </c>
      <c r="L38" s="39" t="s">
        <v>265</v>
      </c>
      <c r="M38" s="44" t="s">
        <v>137</v>
      </c>
      <c r="N38" s="185"/>
      <c r="O38" s="69" t="s">
        <v>319</v>
      </c>
      <c r="P38" s="49"/>
      <c r="Q38" s="158"/>
    </row>
    <row r="39" spans="2:17">
      <c r="B39" s="23" t="s">
        <v>302</v>
      </c>
      <c r="C39" s="185" t="s">
        <v>184</v>
      </c>
      <c r="D39" s="185" t="s">
        <v>184</v>
      </c>
      <c r="E39" s="185" t="s">
        <v>184</v>
      </c>
      <c r="F39" s="185" t="s">
        <v>184</v>
      </c>
      <c r="G39" s="185" t="s">
        <v>184</v>
      </c>
      <c r="H39" s="185" t="s">
        <v>184</v>
      </c>
      <c r="I39" s="185" t="s">
        <v>184</v>
      </c>
      <c r="J39" s="185" t="s">
        <v>184</v>
      </c>
      <c r="K39" s="206" t="s">
        <v>236</v>
      </c>
      <c r="L39" s="39" t="s">
        <v>266</v>
      </c>
      <c r="M39" s="44" t="s">
        <v>137</v>
      </c>
      <c r="N39" s="185"/>
      <c r="O39" s="69" t="s">
        <v>319</v>
      </c>
      <c r="P39" s="49"/>
      <c r="Q39" s="158"/>
    </row>
    <row r="40" spans="2:17">
      <c r="B40" s="23" t="s">
        <v>302</v>
      </c>
      <c r="C40" s="185" t="s">
        <v>184</v>
      </c>
      <c r="D40" s="185" t="s">
        <v>184</v>
      </c>
      <c r="E40" s="185" t="s">
        <v>184</v>
      </c>
      <c r="F40" s="185" t="s">
        <v>184</v>
      </c>
      <c r="G40" s="185" t="s">
        <v>184</v>
      </c>
      <c r="H40" s="185" t="s">
        <v>184</v>
      </c>
      <c r="I40" s="185" t="s">
        <v>184</v>
      </c>
      <c r="J40" s="185" t="s">
        <v>184</v>
      </c>
      <c r="K40" s="206" t="s">
        <v>236</v>
      </c>
      <c r="L40" s="39" t="s">
        <v>267</v>
      </c>
      <c r="M40" s="44" t="s">
        <v>137</v>
      </c>
      <c r="N40" s="185"/>
      <c r="O40" s="69" t="s">
        <v>319</v>
      </c>
      <c r="P40" s="49"/>
      <c r="Q40" s="158"/>
    </row>
    <row r="41" spans="2:17">
      <c r="B41" s="23" t="s">
        <v>302</v>
      </c>
      <c r="C41" s="185" t="s">
        <v>184</v>
      </c>
      <c r="D41" s="185" t="s">
        <v>184</v>
      </c>
      <c r="E41" s="185" t="s">
        <v>184</v>
      </c>
      <c r="F41" s="185" t="s">
        <v>184</v>
      </c>
      <c r="G41" s="185" t="s">
        <v>184</v>
      </c>
      <c r="H41" s="185" t="s">
        <v>184</v>
      </c>
      <c r="I41" s="185" t="s">
        <v>184</v>
      </c>
      <c r="J41" s="185" t="s">
        <v>184</v>
      </c>
      <c r="K41" s="206" t="s">
        <v>236</v>
      </c>
      <c r="L41" s="39" t="s">
        <v>268</v>
      </c>
      <c r="M41" s="44" t="s">
        <v>137</v>
      </c>
      <c r="N41" s="185"/>
      <c r="O41" s="69" t="s">
        <v>319</v>
      </c>
      <c r="P41" s="49"/>
      <c r="Q41" s="158"/>
    </row>
    <row r="42" spans="2:17">
      <c r="B42" s="23" t="s">
        <v>302</v>
      </c>
      <c r="C42" s="185" t="s">
        <v>184</v>
      </c>
      <c r="D42" s="185" t="s">
        <v>184</v>
      </c>
      <c r="E42" s="185" t="s">
        <v>184</v>
      </c>
      <c r="F42" s="185" t="s">
        <v>184</v>
      </c>
      <c r="G42" s="185" t="s">
        <v>184</v>
      </c>
      <c r="H42" s="185" t="s">
        <v>184</v>
      </c>
      <c r="I42" s="185" t="s">
        <v>184</v>
      </c>
      <c r="J42" s="185" t="s">
        <v>184</v>
      </c>
      <c r="K42" s="206" t="s">
        <v>236</v>
      </c>
      <c r="L42" s="39" t="s">
        <v>269</v>
      </c>
      <c r="M42" s="44" t="s">
        <v>137</v>
      </c>
      <c r="N42" s="185"/>
      <c r="O42" s="69" t="s">
        <v>319</v>
      </c>
      <c r="P42" s="49"/>
      <c r="Q42" s="158"/>
    </row>
    <row r="43" spans="2:17">
      <c r="B43" s="23" t="s">
        <v>302</v>
      </c>
      <c r="C43" s="185" t="s">
        <v>184</v>
      </c>
      <c r="D43" s="185" t="s">
        <v>184</v>
      </c>
      <c r="E43" s="185" t="s">
        <v>184</v>
      </c>
      <c r="F43" s="185" t="s">
        <v>184</v>
      </c>
      <c r="G43" s="185" t="s">
        <v>184</v>
      </c>
      <c r="H43" s="185" t="s">
        <v>184</v>
      </c>
      <c r="I43" s="185" t="s">
        <v>184</v>
      </c>
      <c r="J43" s="185" t="s">
        <v>184</v>
      </c>
      <c r="K43" s="206" t="s">
        <v>236</v>
      </c>
      <c r="L43" s="39" t="s">
        <v>270</v>
      </c>
      <c r="M43" s="44" t="s">
        <v>137</v>
      </c>
      <c r="N43" s="185"/>
      <c r="O43" s="69" t="s">
        <v>319</v>
      </c>
      <c r="P43" s="49"/>
      <c r="Q43" s="158"/>
    </row>
    <row r="44" spans="2:17">
      <c r="B44" s="23" t="s">
        <v>302</v>
      </c>
      <c r="C44" s="185" t="s">
        <v>184</v>
      </c>
      <c r="D44" s="185" t="s">
        <v>184</v>
      </c>
      <c r="E44" s="185" t="s">
        <v>184</v>
      </c>
      <c r="F44" s="185" t="s">
        <v>184</v>
      </c>
      <c r="G44" s="185" t="s">
        <v>184</v>
      </c>
      <c r="H44" s="185" t="s">
        <v>184</v>
      </c>
      <c r="I44" s="185" t="s">
        <v>184</v>
      </c>
      <c r="J44" s="185" t="s">
        <v>184</v>
      </c>
      <c r="K44" s="206" t="s">
        <v>236</v>
      </c>
      <c r="L44" s="39" t="s">
        <v>271</v>
      </c>
      <c r="M44" s="44" t="s">
        <v>137</v>
      </c>
      <c r="N44" s="185"/>
      <c r="O44" s="69" t="s">
        <v>319</v>
      </c>
      <c r="P44" s="49"/>
      <c r="Q44" s="158"/>
    </row>
    <row r="45" spans="2:17">
      <c r="B45" s="23" t="s">
        <v>302</v>
      </c>
      <c r="C45" s="185" t="s">
        <v>184</v>
      </c>
      <c r="D45" s="185" t="s">
        <v>184</v>
      </c>
      <c r="E45" s="185" t="s">
        <v>184</v>
      </c>
      <c r="F45" s="185" t="s">
        <v>184</v>
      </c>
      <c r="G45" s="185" t="s">
        <v>184</v>
      </c>
      <c r="H45" s="185" t="s">
        <v>184</v>
      </c>
      <c r="I45" s="185" t="s">
        <v>184</v>
      </c>
      <c r="J45" s="185" t="s">
        <v>184</v>
      </c>
      <c r="K45" s="206" t="s">
        <v>236</v>
      </c>
      <c r="L45" s="39" t="s">
        <v>272</v>
      </c>
      <c r="M45" s="44" t="s">
        <v>137</v>
      </c>
      <c r="N45" s="185"/>
      <c r="O45" s="69" t="s">
        <v>319</v>
      </c>
      <c r="P45" s="49"/>
      <c r="Q45" s="158"/>
    </row>
    <row r="46" spans="2:17">
      <c r="B46" s="23" t="s">
        <v>302</v>
      </c>
      <c r="C46" s="185" t="s">
        <v>184</v>
      </c>
      <c r="D46" s="185" t="s">
        <v>184</v>
      </c>
      <c r="E46" s="185" t="s">
        <v>184</v>
      </c>
      <c r="F46" s="185" t="s">
        <v>184</v>
      </c>
      <c r="G46" s="185" t="s">
        <v>184</v>
      </c>
      <c r="H46" s="185" t="s">
        <v>184</v>
      </c>
      <c r="I46" s="185" t="s">
        <v>184</v>
      </c>
      <c r="J46" s="185" t="s">
        <v>184</v>
      </c>
      <c r="K46" s="206" t="s">
        <v>236</v>
      </c>
      <c r="L46" s="39" t="s">
        <v>273</v>
      </c>
      <c r="M46" s="44" t="s">
        <v>137</v>
      </c>
      <c r="N46" s="185"/>
      <c r="O46" s="69" t="s">
        <v>319</v>
      </c>
      <c r="P46" s="49"/>
      <c r="Q46" s="158"/>
    </row>
    <row r="47" spans="2:17">
      <c r="B47" s="23" t="s">
        <v>302</v>
      </c>
      <c r="C47" s="185" t="s">
        <v>184</v>
      </c>
      <c r="D47" s="185" t="s">
        <v>184</v>
      </c>
      <c r="E47" s="185" t="s">
        <v>184</v>
      </c>
      <c r="F47" s="185" t="s">
        <v>184</v>
      </c>
      <c r="G47" s="185" t="s">
        <v>184</v>
      </c>
      <c r="H47" s="185" t="s">
        <v>184</v>
      </c>
      <c r="I47" s="185" t="s">
        <v>184</v>
      </c>
      <c r="J47" s="185" t="s">
        <v>184</v>
      </c>
      <c r="K47" s="206" t="s">
        <v>236</v>
      </c>
      <c r="L47" s="39" t="s">
        <v>274</v>
      </c>
      <c r="M47" s="44" t="s">
        <v>137</v>
      </c>
      <c r="N47" s="185"/>
      <c r="O47" s="69" t="s">
        <v>319</v>
      </c>
      <c r="P47" s="49"/>
      <c r="Q47" s="158"/>
    </row>
    <row r="48" spans="2:17">
      <c r="B48" s="23" t="s">
        <v>302</v>
      </c>
      <c r="C48" s="185" t="s">
        <v>184</v>
      </c>
      <c r="D48" s="185" t="s">
        <v>184</v>
      </c>
      <c r="E48" s="185" t="s">
        <v>184</v>
      </c>
      <c r="F48" s="185" t="s">
        <v>184</v>
      </c>
      <c r="G48" s="185" t="s">
        <v>184</v>
      </c>
      <c r="H48" s="185" t="s">
        <v>184</v>
      </c>
      <c r="I48" s="185" t="s">
        <v>184</v>
      </c>
      <c r="J48" s="185" t="s">
        <v>184</v>
      </c>
      <c r="K48" s="206" t="s">
        <v>236</v>
      </c>
      <c r="L48" s="39" t="s">
        <v>275</v>
      </c>
      <c r="M48" s="44" t="s">
        <v>137</v>
      </c>
      <c r="N48" s="185"/>
      <c r="O48" s="69" t="s">
        <v>319</v>
      </c>
      <c r="P48" s="49"/>
      <c r="Q48" s="158"/>
    </row>
    <row r="49" spans="2:17">
      <c r="B49" s="23" t="s">
        <v>302</v>
      </c>
      <c r="C49" s="185" t="s">
        <v>184</v>
      </c>
      <c r="D49" s="185" t="s">
        <v>184</v>
      </c>
      <c r="E49" s="185" t="s">
        <v>184</v>
      </c>
      <c r="F49" s="185" t="s">
        <v>184</v>
      </c>
      <c r="G49" s="185" t="s">
        <v>184</v>
      </c>
      <c r="H49" s="185" t="s">
        <v>184</v>
      </c>
      <c r="I49" s="185" t="s">
        <v>184</v>
      </c>
      <c r="J49" s="185" t="s">
        <v>184</v>
      </c>
      <c r="K49" s="206" t="s">
        <v>236</v>
      </c>
      <c r="L49" s="39" t="s">
        <v>276</v>
      </c>
      <c r="M49" s="44" t="s">
        <v>137</v>
      </c>
      <c r="N49" s="185"/>
      <c r="O49" s="69" t="s">
        <v>319</v>
      </c>
      <c r="P49" s="49"/>
      <c r="Q49" s="158"/>
    </row>
    <row r="50" spans="2:17">
      <c r="B50" s="23" t="s">
        <v>302</v>
      </c>
      <c r="C50" s="185" t="s">
        <v>184</v>
      </c>
      <c r="D50" s="185" t="s">
        <v>184</v>
      </c>
      <c r="E50" s="185" t="s">
        <v>184</v>
      </c>
      <c r="F50" s="185" t="s">
        <v>184</v>
      </c>
      <c r="G50" s="185" t="s">
        <v>184</v>
      </c>
      <c r="H50" s="185" t="s">
        <v>184</v>
      </c>
      <c r="I50" s="185" t="s">
        <v>184</v>
      </c>
      <c r="J50" s="185" t="s">
        <v>184</v>
      </c>
      <c r="K50" s="206" t="s">
        <v>236</v>
      </c>
      <c r="L50" s="39" t="s">
        <v>277</v>
      </c>
      <c r="M50" s="44" t="s">
        <v>137</v>
      </c>
      <c r="N50" s="185"/>
      <c r="O50" s="69" t="s">
        <v>319</v>
      </c>
      <c r="P50" s="49"/>
      <c r="Q50" s="158"/>
    </row>
    <row r="51" spans="2:17">
      <c r="B51" s="23" t="s">
        <v>302</v>
      </c>
      <c r="C51" s="185" t="s">
        <v>184</v>
      </c>
      <c r="D51" s="185" t="s">
        <v>184</v>
      </c>
      <c r="E51" s="185" t="s">
        <v>184</v>
      </c>
      <c r="F51" s="185" t="s">
        <v>184</v>
      </c>
      <c r="G51" s="185" t="s">
        <v>184</v>
      </c>
      <c r="H51" s="185" t="s">
        <v>184</v>
      </c>
      <c r="I51" s="185" t="s">
        <v>184</v>
      </c>
      <c r="J51" s="185" t="s">
        <v>184</v>
      </c>
      <c r="K51" s="206" t="s">
        <v>236</v>
      </c>
      <c r="L51" s="39" t="s">
        <v>278</v>
      </c>
      <c r="M51" s="44" t="s">
        <v>137</v>
      </c>
      <c r="N51" s="185"/>
      <c r="O51" s="69" t="s">
        <v>319</v>
      </c>
      <c r="P51" s="49"/>
      <c r="Q51" s="158"/>
    </row>
    <row r="52" spans="2:17">
      <c r="B52" s="23" t="s">
        <v>302</v>
      </c>
      <c r="C52" s="185" t="s">
        <v>184</v>
      </c>
      <c r="D52" s="185" t="s">
        <v>184</v>
      </c>
      <c r="E52" s="185" t="s">
        <v>184</v>
      </c>
      <c r="F52" s="185" t="s">
        <v>184</v>
      </c>
      <c r="G52" s="185" t="s">
        <v>184</v>
      </c>
      <c r="H52" s="185" t="s">
        <v>184</v>
      </c>
      <c r="I52" s="185" t="s">
        <v>184</v>
      </c>
      <c r="J52" s="185" t="s">
        <v>184</v>
      </c>
      <c r="K52" s="206" t="s">
        <v>236</v>
      </c>
      <c r="L52" s="39" t="s">
        <v>279</v>
      </c>
      <c r="M52" s="44" t="s">
        <v>137</v>
      </c>
      <c r="N52" s="185"/>
      <c r="O52" s="69" t="s">
        <v>319</v>
      </c>
      <c r="P52" s="49"/>
      <c r="Q52" s="158"/>
    </row>
    <row r="53" spans="2:17">
      <c r="B53" s="23" t="s">
        <v>302</v>
      </c>
      <c r="C53" s="185" t="s">
        <v>184</v>
      </c>
      <c r="D53" s="185" t="s">
        <v>184</v>
      </c>
      <c r="E53" s="185" t="s">
        <v>184</v>
      </c>
      <c r="F53" s="185" t="s">
        <v>184</v>
      </c>
      <c r="G53" s="185" t="s">
        <v>184</v>
      </c>
      <c r="H53" s="185" t="s">
        <v>184</v>
      </c>
      <c r="I53" s="185" t="s">
        <v>184</v>
      </c>
      <c r="J53" s="185" t="s">
        <v>184</v>
      </c>
      <c r="K53" s="206" t="s">
        <v>236</v>
      </c>
      <c r="L53" s="39" t="s">
        <v>280</v>
      </c>
      <c r="M53" s="44" t="s">
        <v>137</v>
      </c>
      <c r="N53" s="185"/>
      <c r="O53" s="69" t="s">
        <v>319</v>
      </c>
      <c r="P53" s="49"/>
      <c r="Q53" s="158"/>
    </row>
    <row r="54" spans="2:17">
      <c r="B54" s="23" t="s">
        <v>302</v>
      </c>
      <c r="C54" s="185" t="s">
        <v>184</v>
      </c>
      <c r="D54" s="185" t="s">
        <v>184</v>
      </c>
      <c r="E54" s="185" t="s">
        <v>184</v>
      </c>
      <c r="F54" s="185" t="s">
        <v>184</v>
      </c>
      <c r="G54" s="185" t="s">
        <v>184</v>
      </c>
      <c r="H54" s="185" t="s">
        <v>184</v>
      </c>
      <c r="I54" s="185" t="s">
        <v>184</v>
      </c>
      <c r="J54" s="185" t="s">
        <v>184</v>
      </c>
      <c r="K54" s="206" t="s">
        <v>236</v>
      </c>
      <c r="L54" s="39" t="s">
        <v>281</v>
      </c>
      <c r="M54" s="44" t="s">
        <v>137</v>
      </c>
      <c r="N54" s="185"/>
      <c r="O54" s="69" t="s">
        <v>319</v>
      </c>
      <c r="P54" s="49"/>
      <c r="Q54" s="158"/>
    </row>
    <row r="55" spans="2:17">
      <c r="B55" s="23" t="s">
        <v>302</v>
      </c>
      <c r="C55" s="185" t="s">
        <v>184</v>
      </c>
      <c r="D55" s="185" t="s">
        <v>184</v>
      </c>
      <c r="E55" s="185" t="s">
        <v>184</v>
      </c>
      <c r="F55" s="185" t="s">
        <v>184</v>
      </c>
      <c r="G55" s="185" t="s">
        <v>184</v>
      </c>
      <c r="H55" s="185" t="s">
        <v>184</v>
      </c>
      <c r="I55" s="185" t="s">
        <v>184</v>
      </c>
      <c r="J55" s="185" t="s">
        <v>184</v>
      </c>
      <c r="K55" s="206" t="s">
        <v>236</v>
      </c>
      <c r="L55" s="39" t="s">
        <v>282</v>
      </c>
      <c r="M55" s="44" t="s">
        <v>137</v>
      </c>
      <c r="N55" s="185"/>
      <c r="O55" s="69" t="s">
        <v>319</v>
      </c>
      <c r="P55" s="49"/>
      <c r="Q55" s="158"/>
    </row>
    <row r="56" spans="2:17">
      <c r="B56" s="23" t="s">
        <v>302</v>
      </c>
      <c r="C56" s="185" t="s">
        <v>184</v>
      </c>
      <c r="D56" s="185" t="s">
        <v>184</v>
      </c>
      <c r="E56" s="185" t="s">
        <v>184</v>
      </c>
      <c r="F56" s="185" t="s">
        <v>184</v>
      </c>
      <c r="G56" s="185" t="s">
        <v>184</v>
      </c>
      <c r="H56" s="185" t="s">
        <v>184</v>
      </c>
      <c r="I56" s="185" t="s">
        <v>184</v>
      </c>
      <c r="J56" s="185" t="s">
        <v>184</v>
      </c>
      <c r="K56" s="206" t="s">
        <v>236</v>
      </c>
      <c r="L56" s="39" t="s">
        <v>283</v>
      </c>
      <c r="M56" s="44" t="s">
        <v>137</v>
      </c>
      <c r="N56" s="185"/>
      <c r="O56" s="69" t="s">
        <v>319</v>
      </c>
      <c r="P56" s="49"/>
      <c r="Q56" s="158"/>
    </row>
    <row r="57" spans="2:17">
      <c r="B57" s="23" t="s">
        <v>302</v>
      </c>
      <c r="C57" s="185" t="s">
        <v>184</v>
      </c>
      <c r="D57" s="185" t="s">
        <v>184</v>
      </c>
      <c r="E57" s="185" t="s">
        <v>184</v>
      </c>
      <c r="F57" s="185" t="s">
        <v>184</v>
      </c>
      <c r="G57" s="185" t="s">
        <v>184</v>
      </c>
      <c r="H57" s="185" t="s">
        <v>184</v>
      </c>
      <c r="I57" s="185" t="s">
        <v>184</v>
      </c>
      <c r="J57" s="185" t="s">
        <v>184</v>
      </c>
      <c r="K57" s="206" t="s">
        <v>236</v>
      </c>
      <c r="L57" s="39" t="s">
        <v>284</v>
      </c>
      <c r="M57" s="44" t="s">
        <v>137</v>
      </c>
      <c r="N57" s="185"/>
      <c r="O57" s="69" t="s">
        <v>319</v>
      </c>
      <c r="P57" s="49"/>
      <c r="Q57" s="158"/>
    </row>
    <row r="58" spans="2:17">
      <c r="B58" s="23" t="s">
        <v>302</v>
      </c>
      <c r="C58" s="185" t="s">
        <v>184</v>
      </c>
      <c r="D58" s="185" t="s">
        <v>184</v>
      </c>
      <c r="E58" s="185" t="s">
        <v>184</v>
      </c>
      <c r="F58" s="185" t="s">
        <v>184</v>
      </c>
      <c r="G58" s="185" t="s">
        <v>184</v>
      </c>
      <c r="H58" s="185" t="s">
        <v>184</v>
      </c>
      <c r="I58" s="185" t="s">
        <v>184</v>
      </c>
      <c r="J58" s="185" t="s">
        <v>184</v>
      </c>
      <c r="K58" s="206" t="s">
        <v>236</v>
      </c>
      <c r="L58" s="39" t="s">
        <v>285</v>
      </c>
      <c r="M58" s="44" t="s">
        <v>137</v>
      </c>
      <c r="N58" s="185"/>
      <c r="O58" s="69" t="s">
        <v>319</v>
      </c>
      <c r="P58" s="49"/>
      <c r="Q58" s="158"/>
    </row>
    <row r="59" spans="2:17">
      <c r="B59" s="23" t="s">
        <v>302</v>
      </c>
      <c r="C59" s="185" t="s">
        <v>184</v>
      </c>
      <c r="D59" s="185" t="s">
        <v>184</v>
      </c>
      <c r="E59" s="185" t="s">
        <v>184</v>
      </c>
      <c r="F59" s="185" t="s">
        <v>184</v>
      </c>
      <c r="G59" s="185" t="s">
        <v>184</v>
      </c>
      <c r="H59" s="185" t="s">
        <v>184</v>
      </c>
      <c r="I59" s="185" t="s">
        <v>184</v>
      </c>
      <c r="J59" s="185" t="s">
        <v>184</v>
      </c>
      <c r="K59" s="206" t="s">
        <v>236</v>
      </c>
      <c r="L59" s="39" t="s">
        <v>286</v>
      </c>
      <c r="M59" s="44" t="s">
        <v>137</v>
      </c>
      <c r="N59" s="185"/>
      <c r="O59" s="69" t="s">
        <v>319</v>
      </c>
      <c r="P59" s="49"/>
      <c r="Q59" s="158"/>
    </row>
    <row r="60" spans="2:17">
      <c r="B60" s="23" t="s">
        <v>302</v>
      </c>
      <c r="C60" s="185" t="s">
        <v>184</v>
      </c>
      <c r="D60" s="185" t="s">
        <v>184</v>
      </c>
      <c r="E60" s="185" t="s">
        <v>184</v>
      </c>
      <c r="F60" s="185" t="s">
        <v>184</v>
      </c>
      <c r="G60" s="185" t="s">
        <v>184</v>
      </c>
      <c r="H60" s="185" t="s">
        <v>184</v>
      </c>
      <c r="I60" s="185" t="s">
        <v>184</v>
      </c>
      <c r="J60" s="185" t="s">
        <v>184</v>
      </c>
      <c r="K60" s="206" t="s">
        <v>236</v>
      </c>
      <c r="L60" s="39" t="s">
        <v>287</v>
      </c>
      <c r="M60" s="44" t="s">
        <v>137</v>
      </c>
      <c r="N60" s="185"/>
      <c r="O60" s="69" t="s">
        <v>319</v>
      </c>
      <c r="P60" s="49"/>
      <c r="Q60" s="158"/>
    </row>
    <row r="61" spans="2:17">
      <c r="B61" s="23" t="s">
        <v>302</v>
      </c>
      <c r="C61" s="185" t="s">
        <v>184</v>
      </c>
      <c r="D61" s="185" t="s">
        <v>184</v>
      </c>
      <c r="E61" s="185" t="s">
        <v>184</v>
      </c>
      <c r="F61" s="185" t="s">
        <v>184</v>
      </c>
      <c r="G61" s="185" t="s">
        <v>184</v>
      </c>
      <c r="H61" s="185" t="s">
        <v>184</v>
      </c>
      <c r="I61" s="185" t="s">
        <v>184</v>
      </c>
      <c r="J61" s="185" t="s">
        <v>184</v>
      </c>
      <c r="K61" s="206" t="s">
        <v>236</v>
      </c>
      <c r="L61" s="39" t="s">
        <v>288</v>
      </c>
      <c r="M61" s="44" t="s">
        <v>137</v>
      </c>
      <c r="N61" s="185"/>
      <c r="O61" s="69" t="s">
        <v>319</v>
      </c>
      <c r="P61" s="49"/>
      <c r="Q61" s="158"/>
    </row>
    <row r="62" spans="2:17">
      <c r="B62" s="23" t="s">
        <v>302</v>
      </c>
      <c r="C62" s="185" t="s">
        <v>184</v>
      </c>
      <c r="D62" s="185" t="s">
        <v>184</v>
      </c>
      <c r="E62" s="185" t="s">
        <v>184</v>
      </c>
      <c r="F62" s="185" t="s">
        <v>184</v>
      </c>
      <c r="G62" s="185" t="s">
        <v>184</v>
      </c>
      <c r="H62" s="185" t="s">
        <v>184</v>
      </c>
      <c r="I62" s="185" t="s">
        <v>184</v>
      </c>
      <c r="J62" s="185" t="s">
        <v>184</v>
      </c>
      <c r="K62" s="206" t="s">
        <v>236</v>
      </c>
      <c r="L62" s="39" t="s">
        <v>289</v>
      </c>
      <c r="M62" s="44" t="s">
        <v>137</v>
      </c>
      <c r="N62" s="185"/>
      <c r="O62" s="69" t="s">
        <v>319</v>
      </c>
      <c r="P62" s="49"/>
      <c r="Q62" s="158"/>
    </row>
    <row r="63" spans="2:17">
      <c r="B63" s="23" t="s">
        <v>302</v>
      </c>
      <c r="C63" s="185" t="s">
        <v>184</v>
      </c>
      <c r="D63" s="185" t="s">
        <v>184</v>
      </c>
      <c r="E63" s="185" t="s">
        <v>184</v>
      </c>
      <c r="F63" s="185" t="s">
        <v>184</v>
      </c>
      <c r="G63" s="185" t="s">
        <v>184</v>
      </c>
      <c r="H63" s="185" t="s">
        <v>184</v>
      </c>
      <c r="I63" s="185" t="s">
        <v>184</v>
      </c>
      <c r="J63" s="185" t="s">
        <v>184</v>
      </c>
      <c r="K63" s="206" t="s">
        <v>236</v>
      </c>
      <c r="L63" s="39" t="s">
        <v>290</v>
      </c>
      <c r="M63" s="44" t="s">
        <v>137</v>
      </c>
      <c r="N63" s="185"/>
      <c r="O63" s="69" t="s">
        <v>319</v>
      </c>
      <c r="P63" s="49"/>
      <c r="Q63" s="158"/>
    </row>
    <row r="64" spans="2:17">
      <c r="B64" s="23" t="s">
        <v>302</v>
      </c>
      <c r="C64" s="185" t="s">
        <v>184</v>
      </c>
      <c r="D64" s="185" t="s">
        <v>184</v>
      </c>
      <c r="E64" s="185" t="s">
        <v>184</v>
      </c>
      <c r="F64" s="185" t="s">
        <v>184</v>
      </c>
      <c r="G64" s="185" t="s">
        <v>184</v>
      </c>
      <c r="H64" s="185" t="s">
        <v>184</v>
      </c>
      <c r="I64" s="185" t="s">
        <v>184</v>
      </c>
      <c r="J64" s="185" t="s">
        <v>184</v>
      </c>
      <c r="K64" s="206" t="s">
        <v>236</v>
      </c>
      <c r="L64" s="39" t="s">
        <v>291</v>
      </c>
      <c r="M64" s="44" t="s">
        <v>137</v>
      </c>
      <c r="N64" s="185"/>
      <c r="O64" s="69" t="s">
        <v>319</v>
      </c>
      <c r="P64" s="49"/>
      <c r="Q64" s="158"/>
    </row>
    <row r="65" spans="2:17">
      <c r="B65" s="23" t="s">
        <v>302</v>
      </c>
      <c r="C65" s="185" t="s">
        <v>184</v>
      </c>
      <c r="D65" s="185" t="s">
        <v>184</v>
      </c>
      <c r="E65" s="185" t="s">
        <v>184</v>
      </c>
      <c r="F65" s="185" t="s">
        <v>184</v>
      </c>
      <c r="G65" s="185" t="s">
        <v>184</v>
      </c>
      <c r="H65" s="185" t="s">
        <v>184</v>
      </c>
      <c r="I65" s="185" t="s">
        <v>184</v>
      </c>
      <c r="J65" s="185" t="s">
        <v>184</v>
      </c>
      <c r="K65" s="206" t="s">
        <v>236</v>
      </c>
      <c r="L65" s="39" t="s">
        <v>292</v>
      </c>
      <c r="M65" s="44" t="s">
        <v>137</v>
      </c>
      <c r="N65" s="185"/>
      <c r="O65" s="69" t="s">
        <v>319</v>
      </c>
      <c r="P65" s="49"/>
      <c r="Q65" s="158"/>
    </row>
    <row r="66" spans="2:17">
      <c r="B66" s="23" t="s">
        <v>302</v>
      </c>
      <c r="C66" s="185" t="s">
        <v>184</v>
      </c>
      <c r="D66" s="185" t="s">
        <v>184</v>
      </c>
      <c r="E66" s="185" t="s">
        <v>184</v>
      </c>
      <c r="F66" s="185" t="s">
        <v>184</v>
      </c>
      <c r="G66" s="185" t="s">
        <v>184</v>
      </c>
      <c r="H66" s="185" t="s">
        <v>184</v>
      </c>
      <c r="I66" s="185" t="s">
        <v>184</v>
      </c>
      <c r="J66" s="185" t="s">
        <v>184</v>
      </c>
      <c r="K66" s="206" t="s">
        <v>236</v>
      </c>
      <c r="L66" s="39" t="s">
        <v>293</v>
      </c>
      <c r="M66" s="44" t="s">
        <v>137</v>
      </c>
      <c r="N66" s="185"/>
      <c r="O66" s="69" t="s">
        <v>319</v>
      </c>
      <c r="P66" s="49"/>
      <c r="Q66" s="158"/>
    </row>
    <row r="67" spans="2:17">
      <c r="B67" s="23" t="s">
        <v>302</v>
      </c>
      <c r="C67" s="185" t="s">
        <v>184</v>
      </c>
      <c r="D67" s="185" t="s">
        <v>184</v>
      </c>
      <c r="E67" s="185" t="s">
        <v>184</v>
      </c>
      <c r="F67" s="185" t="s">
        <v>184</v>
      </c>
      <c r="G67" s="185" t="s">
        <v>184</v>
      </c>
      <c r="H67" s="185" t="s">
        <v>184</v>
      </c>
      <c r="I67" s="185" t="s">
        <v>184</v>
      </c>
      <c r="J67" s="185" t="s">
        <v>184</v>
      </c>
      <c r="K67" s="206" t="s">
        <v>236</v>
      </c>
      <c r="L67" s="39" t="s">
        <v>294</v>
      </c>
      <c r="M67" s="44" t="s">
        <v>137</v>
      </c>
      <c r="N67" s="185"/>
      <c r="O67" s="69" t="s">
        <v>319</v>
      </c>
      <c r="P67" s="49"/>
      <c r="Q67" s="158"/>
    </row>
    <row r="68" spans="2:17">
      <c r="B68" s="23" t="s">
        <v>302</v>
      </c>
      <c r="C68" s="185" t="s">
        <v>184</v>
      </c>
      <c r="D68" s="185" t="s">
        <v>184</v>
      </c>
      <c r="E68" s="185" t="s">
        <v>184</v>
      </c>
      <c r="F68" s="185" t="s">
        <v>184</v>
      </c>
      <c r="G68" s="185" t="s">
        <v>184</v>
      </c>
      <c r="H68" s="185" t="s">
        <v>184</v>
      </c>
      <c r="I68" s="185" t="s">
        <v>184</v>
      </c>
      <c r="J68" s="185" t="s">
        <v>184</v>
      </c>
      <c r="K68" s="206" t="s">
        <v>236</v>
      </c>
      <c r="L68" s="39" t="s">
        <v>295</v>
      </c>
      <c r="M68" s="44" t="s">
        <v>137</v>
      </c>
      <c r="N68" s="185"/>
      <c r="O68" s="69" t="s">
        <v>319</v>
      </c>
      <c r="P68" s="49"/>
      <c r="Q68" s="158"/>
    </row>
    <row r="69" spans="2:17">
      <c r="B69" s="23" t="s">
        <v>302</v>
      </c>
      <c r="C69" s="185" t="s">
        <v>184</v>
      </c>
      <c r="D69" s="185" t="s">
        <v>184</v>
      </c>
      <c r="E69" s="185" t="s">
        <v>184</v>
      </c>
      <c r="F69" s="185" t="s">
        <v>184</v>
      </c>
      <c r="G69" s="185" t="s">
        <v>184</v>
      </c>
      <c r="H69" s="185" t="s">
        <v>184</v>
      </c>
      <c r="I69" s="185" t="s">
        <v>184</v>
      </c>
      <c r="J69" s="185" t="s">
        <v>184</v>
      </c>
      <c r="K69" s="206" t="s">
        <v>236</v>
      </c>
      <c r="L69" s="39" t="s">
        <v>296</v>
      </c>
      <c r="M69" s="44" t="s">
        <v>137</v>
      </c>
      <c r="N69" s="185"/>
      <c r="O69" s="69" t="s">
        <v>319</v>
      </c>
      <c r="P69" s="49"/>
      <c r="Q69" s="158"/>
    </row>
    <row r="70" spans="2:17">
      <c r="B70" s="23" t="s">
        <v>302</v>
      </c>
      <c r="C70" s="185" t="s">
        <v>184</v>
      </c>
      <c r="D70" s="185" t="s">
        <v>184</v>
      </c>
      <c r="E70" s="185" t="s">
        <v>184</v>
      </c>
      <c r="F70" s="185" t="s">
        <v>184</v>
      </c>
      <c r="G70" s="185" t="s">
        <v>184</v>
      </c>
      <c r="H70" s="185" t="s">
        <v>184</v>
      </c>
      <c r="I70" s="185" t="s">
        <v>184</v>
      </c>
      <c r="J70" s="185" t="s">
        <v>184</v>
      </c>
      <c r="K70" s="206" t="s">
        <v>236</v>
      </c>
      <c r="L70" s="39" t="s">
        <v>297</v>
      </c>
      <c r="M70" s="44" t="s">
        <v>137</v>
      </c>
      <c r="N70" s="185"/>
      <c r="O70" s="69" t="s">
        <v>319</v>
      </c>
      <c r="P70" s="49"/>
      <c r="Q70" s="158"/>
    </row>
    <row r="71" spans="2:17">
      <c r="B71" s="23" t="s">
        <v>302</v>
      </c>
      <c r="C71" s="185" t="s">
        <v>184</v>
      </c>
      <c r="D71" s="185" t="s">
        <v>184</v>
      </c>
      <c r="E71" s="185" t="s">
        <v>184</v>
      </c>
      <c r="F71" s="185" t="s">
        <v>184</v>
      </c>
      <c r="G71" s="185" t="s">
        <v>184</v>
      </c>
      <c r="H71" s="185" t="s">
        <v>184</v>
      </c>
      <c r="I71" s="185" t="s">
        <v>184</v>
      </c>
      <c r="J71" s="185" t="s">
        <v>184</v>
      </c>
      <c r="K71" s="206" t="s">
        <v>236</v>
      </c>
      <c r="L71" s="39" t="s">
        <v>298</v>
      </c>
      <c r="M71" s="44" t="s">
        <v>137</v>
      </c>
      <c r="N71" s="185"/>
      <c r="O71" s="69" t="s">
        <v>319</v>
      </c>
      <c r="P71" s="49"/>
      <c r="Q71" s="158"/>
    </row>
    <row r="72" spans="2:17">
      <c r="B72" s="23" t="s">
        <v>302</v>
      </c>
      <c r="C72" s="185" t="s">
        <v>184</v>
      </c>
      <c r="D72" s="185" t="s">
        <v>184</v>
      </c>
      <c r="E72" s="185" t="s">
        <v>184</v>
      </c>
      <c r="F72" s="185" t="s">
        <v>184</v>
      </c>
      <c r="G72" s="185" t="s">
        <v>184</v>
      </c>
      <c r="H72" s="185" t="s">
        <v>184</v>
      </c>
      <c r="I72" s="185" t="s">
        <v>184</v>
      </c>
      <c r="J72" s="185" t="s">
        <v>184</v>
      </c>
      <c r="K72" s="206" t="s">
        <v>236</v>
      </c>
      <c r="L72" s="39" t="s">
        <v>299</v>
      </c>
      <c r="M72" s="44" t="s">
        <v>137</v>
      </c>
      <c r="N72" s="185"/>
      <c r="O72" s="69" t="s">
        <v>319</v>
      </c>
      <c r="P72" s="49"/>
      <c r="Q72" s="158"/>
    </row>
    <row r="73" spans="2:17">
      <c r="B73" s="23" t="s">
        <v>307</v>
      </c>
      <c r="C73" s="185" t="s">
        <v>184</v>
      </c>
      <c r="D73" s="185" t="s">
        <v>184</v>
      </c>
      <c r="E73" s="185" t="s">
        <v>184</v>
      </c>
      <c r="F73" s="185" t="s">
        <v>184</v>
      </c>
      <c r="G73" s="185" t="s">
        <v>184</v>
      </c>
      <c r="H73" s="185" t="s">
        <v>184</v>
      </c>
      <c r="I73" s="185" t="s">
        <v>184</v>
      </c>
      <c r="J73" s="185" t="s">
        <v>184</v>
      </c>
      <c r="K73" s="206" t="s">
        <v>236</v>
      </c>
      <c r="L73" s="39" t="s">
        <v>300</v>
      </c>
      <c r="M73" s="44" t="s">
        <v>137</v>
      </c>
      <c r="N73" s="185"/>
      <c r="O73" s="69" t="s">
        <v>319</v>
      </c>
      <c r="P73" s="49"/>
      <c r="Q73" s="158"/>
    </row>
    <row r="74" spans="2:17">
      <c r="B74" s="23" t="s">
        <v>308</v>
      </c>
      <c r="C74" s="185" t="s">
        <v>184</v>
      </c>
      <c r="D74" s="185" t="s">
        <v>184</v>
      </c>
      <c r="E74" s="185" t="s">
        <v>184</v>
      </c>
      <c r="F74" s="185" t="s">
        <v>184</v>
      </c>
      <c r="G74" s="185" t="s">
        <v>184</v>
      </c>
      <c r="H74" s="185" t="s">
        <v>184</v>
      </c>
      <c r="I74" s="185" t="s">
        <v>184</v>
      </c>
      <c r="J74" s="185" t="s">
        <v>184</v>
      </c>
      <c r="K74" s="38" t="s">
        <v>301</v>
      </c>
      <c r="L74" s="39" t="s">
        <v>311</v>
      </c>
      <c r="M74" s="44" t="s">
        <v>32</v>
      </c>
      <c r="N74" s="185"/>
      <c r="O74" s="69" t="s">
        <v>319</v>
      </c>
      <c r="P74" s="49"/>
      <c r="Q74" s="158"/>
    </row>
    <row r="75" spans="2:17" ht="14.25" thickBot="1">
      <c r="B75" s="24" t="s">
        <v>309</v>
      </c>
      <c r="C75" s="186" t="s">
        <v>184</v>
      </c>
      <c r="D75" s="186" t="s">
        <v>184</v>
      </c>
      <c r="E75" s="186" t="s">
        <v>184</v>
      </c>
      <c r="F75" s="186" t="s">
        <v>184</v>
      </c>
      <c r="G75" s="186" t="s">
        <v>184</v>
      </c>
      <c r="H75" s="186" t="s">
        <v>184</v>
      </c>
      <c r="I75" s="186" t="s">
        <v>184</v>
      </c>
      <c r="J75" s="186" t="s">
        <v>184</v>
      </c>
      <c r="K75" s="45" t="s">
        <v>310</v>
      </c>
      <c r="L75" s="46" t="s">
        <v>312</v>
      </c>
      <c r="M75" s="47" t="s">
        <v>32</v>
      </c>
      <c r="N75" s="186"/>
      <c r="O75" s="212" t="s">
        <v>320</v>
      </c>
      <c r="P75" s="50"/>
      <c r="Q75" s="159"/>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election activeCell="D16" sqref="D16"/>
    </sheetView>
  </sheetViews>
  <sheetFormatPr defaultRowHeight="13.5"/>
  <cols>
    <col min="2" max="2" width="4.875" bestFit="1" customWidth="1"/>
    <col min="3" max="3" width="12.125" customWidth="1"/>
    <col min="4" max="4" width="86" customWidth="1"/>
  </cols>
  <sheetData>
    <row r="2" spans="2:4" ht="14.25" thickBot="1">
      <c r="B2" s="94" t="s">
        <v>87</v>
      </c>
      <c r="C2" s="95">
        <f>MAX(B4:B28)</f>
        <v>17</v>
      </c>
      <c r="D2" s="95"/>
    </row>
    <row r="3" spans="2:4" ht="14.25" thickBot="1">
      <c r="B3" s="88" t="s">
        <v>85</v>
      </c>
      <c r="C3" s="96" t="s">
        <v>90</v>
      </c>
      <c r="D3" s="89" t="s">
        <v>86</v>
      </c>
    </row>
    <row r="4" spans="2:4" ht="14.25" thickTop="1">
      <c r="B4" s="13">
        <v>0</v>
      </c>
      <c r="C4" s="97" t="s">
        <v>91</v>
      </c>
      <c r="D4" s="15" t="s">
        <v>19</v>
      </c>
    </row>
    <row r="5" spans="2:4" ht="40.5">
      <c r="B5" s="2">
        <v>1</v>
      </c>
      <c r="C5" s="98" t="s">
        <v>91</v>
      </c>
      <c r="D5" s="100" t="s">
        <v>92</v>
      </c>
    </row>
    <row r="6" spans="2:4" ht="27">
      <c r="B6" s="2">
        <v>2</v>
      </c>
      <c r="C6" s="98" t="s">
        <v>94</v>
      </c>
      <c r="D6" s="100" t="s">
        <v>95</v>
      </c>
    </row>
    <row r="7" spans="2:4" ht="54">
      <c r="B7" s="2">
        <v>3</v>
      </c>
      <c r="C7" s="98" t="s">
        <v>96</v>
      </c>
      <c r="D7" s="100" t="s">
        <v>99</v>
      </c>
    </row>
    <row r="8" spans="2:4" ht="81">
      <c r="B8" s="2">
        <v>4</v>
      </c>
      <c r="C8" s="98" t="s">
        <v>107</v>
      </c>
      <c r="D8" s="100" t="s">
        <v>115</v>
      </c>
    </row>
    <row r="9" spans="2:4" ht="41.25" customHeight="1">
      <c r="B9" s="2">
        <v>5</v>
      </c>
      <c r="C9" s="98" t="s">
        <v>108</v>
      </c>
      <c r="D9" s="100" t="s">
        <v>109</v>
      </c>
    </row>
    <row r="10" spans="2:4" ht="27">
      <c r="B10" s="2">
        <v>6</v>
      </c>
      <c r="C10" s="98" t="s">
        <v>91</v>
      </c>
      <c r="D10" s="100" t="s">
        <v>114</v>
      </c>
    </row>
    <row r="11" spans="2:4" ht="27">
      <c r="B11" s="2">
        <v>7</v>
      </c>
      <c r="C11" s="98" t="s">
        <v>111</v>
      </c>
      <c r="D11" s="100" t="s">
        <v>112</v>
      </c>
    </row>
    <row r="12" spans="2:4" ht="27">
      <c r="B12" s="2">
        <v>8</v>
      </c>
      <c r="C12" s="98" t="s">
        <v>113</v>
      </c>
      <c r="D12" s="100" t="s">
        <v>116</v>
      </c>
    </row>
    <row r="13" spans="2:4" ht="27">
      <c r="B13" s="2">
        <v>9</v>
      </c>
      <c r="C13" s="98" t="s">
        <v>117</v>
      </c>
      <c r="D13" s="100" t="s">
        <v>118</v>
      </c>
    </row>
    <row r="14" spans="2:4" ht="27">
      <c r="B14" s="2">
        <v>10</v>
      </c>
      <c r="C14" s="98" t="s">
        <v>119</v>
      </c>
      <c r="D14" s="100" t="s">
        <v>120</v>
      </c>
    </row>
    <row r="15" spans="2:4" ht="135">
      <c r="B15" s="2">
        <v>11</v>
      </c>
      <c r="C15" s="98" t="s">
        <v>122</v>
      </c>
      <c r="D15" s="100" t="s">
        <v>136</v>
      </c>
    </row>
    <row r="16" spans="2:4" ht="191.25" customHeight="1">
      <c r="B16" s="2">
        <v>12</v>
      </c>
      <c r="C16" s="98" t="s">
        <v>168</v>
      </c>
      <c r="D16" s="100" t="s">
        <v>191</v>
      </c>
    </row>
    <row r="17" spans="2:4" ht="27">
      <c r="B17" s="2">
        <v>13</v>
      </c>
      <c r="C17" s="98" t="s">
        <v>94</v>
      </c>
      <c r="D17" s="100" t="s">
        <v>195</v>
      </c>
    </row>
    <row r="18" spans="2:4" ht="67.5">
      <c r="B18" s="2">
        <v>14</v>
      </c>
      <c r="C18" s="98" t="s">
        <v>94</v>
      </c>
      <c r="D18" s="100" t="s">
        <v>197</v>
      </c>
    </row>
    <row r="19" spans="2:4" ht="40.5">
      <c r="B19" s="2">
        <v>15</v>
      </c>
      <c r="C19" s="98" t="s">
        <v>108</v>
      </c>
      <c r="D19" s="100" t="s">
        <v>201</v>
      </c>
    </row>
    <row r="20" spans="2:4" ht="64.5" customHeight="1">
      <c r="B20" s="2">
        <v>16</v>
      </c>
      <c r="C20" s="98" t="s">
        <v>108</v>
      </c>
      <c r="D20" s="100" t="s">
        <v>205</v>
      </c>
    </row>
    <row r="21" spans="2:4" ht="66.75" customHeight="1">
      <c r="B21" s="2">
        <v>17</v>
      </c>
      <c r="C21" s="98" t="s">
        <v>214</v>
      </c>
      <c r="D21" s="100" t="s">
        <v>221</v>
      </c>
    </row>
    <row r="22" spans="2:4">
      <c r="B22" s="2"/>
      <c r="C22" s="98"/>
      <c r="D22" s="100"/>
    </row>
    <row r="23" spans="2:4">
      <c r="B23" s="2"/>
      <c r="C23" s="98"/>
      <c r="D23" s="100"/>
    </row>
    <row r="24" spans="2:4">
      <c r="B24" s="2"/>
      <c r="C24" s="98"/>
      <c r="D24" s="100"/>
    </row>
    <row r="25" spans="2:4">
      <c r="B25" s="2"/>
      <c r="C25" s="98"/>
      <c r="D25" s="84"/>
    </row>
    <row r="26" spans="2:4">
      <c r="B26" s="2"/>
      <c r="C26" s="98"/>
      <c r="D26" s="84"/>
    </row>
    <row r="27" spans="2:4" ht="14.25" thickBot="1">
      <c r="B27" s="4"/>
      <c r="C27" s="99"/>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H_CHGCON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Hilarion James Dela (HILARION JAMES DELA)</cp:lastModifiedBy>
  <dcterms:created xsi:type="dcterms:W3CDTF">2019-02-05T04:25:17Z</dcterms:created>
  <dcterms:modified xsi:type="dcterms:W3CDTF">2024-02-23T08:25:07Z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2024-02-22T23:55:04Z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2a6aac51-e8c3-49e2-8481-739f9bf0327a</vt:lpwstr>
  </property>
  <property fmtid="{D5CDD505-2E9C-101B-9397-08002B2CF9AE}" pid="8" name="MSIP_Label_6add209e-37c4-4e15-ab1b-f9befe71def1_ContentBits">
    <vt:lpwstr>0</vt:lpwstr>
  </property>
</Properties>
</file>