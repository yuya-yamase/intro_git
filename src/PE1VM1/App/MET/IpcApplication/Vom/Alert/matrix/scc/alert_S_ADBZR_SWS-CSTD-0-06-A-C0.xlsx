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1CC5187E-F89F-4B5D-82A6-3727D6BFA63B}" xr6:coauthVersionLast="47" xr6:coauthVersionMax="47" xr10:uidLastSave="{00000000-0000-0000-0000-000000000000}"/>
  <bookViews>
    <workbookView xWindow="-57720" yWindow="-2250" windowWidth="29040" windowHeight="15720"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S_ADBZR_SWS" sheetId="12" r:id="rId7"/>
    <sheet name="Reference" sheetId="18" r:id="rId8"/>
    <sheet name="Reference2" sheetId="19"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0" l="1"/>
  <c r="B12" i="1" l="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AO197" i="12" s="1"/>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S66" i="12" s="1"/>
  <c r="AI195" i="12"/>
  <c r="AH195" i="12"/>
  <c r="AG195" i="12"/>
  <c r="AF195" i="12"/>
  <c r="AE195" i="12"/>
  <c r="AD195" i="12"/>
  <c r="AC195" i="12"/>
  <c r="AB195" i="12"/>
  <c r="AA195" i="12"/>
  <c r="Z195" i="12"/>
  <c r="Y195" i="12"/>
  <c r="X195" i="12"/>
  <c r="W195" i="12"/>
  <c r="V195" i="12"/>
  <c r="U195" i="12"/>
  <c r="AM195" i="12" s="1"/>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AN194" i="12" s="1"/>
  <c r="L194" i="12"/>
  <c r="K194" i="12"/>
  <c r="J194" i="12"/>
  <c r="I194" i="12"/>
  <c r="H194" i="12"/>
  <c r="G194" i="12"/>
  <c r="F194" i="12"/>
  <c r="E194" i="12"/>
  <c r="D194" i="12"/>
  <c r="AJ193" i="12"/>
  <c r="AQ193" i="12" s="1"/>
  <c r="AI193" i="12"/>
  <c r="AH193" i="12"/>
  <c r="AG193" i="12"/>
  <c r="AF193" i="12"/>
  <c r="AE193" i="12"/>
  <c r="AD193" i="12"/>
  <c r="AC193" i="12"/>
  <c r="AB193" i="12"/>
  <c r="AL193" i="12" s="1"/>
  <c r="AA193" i="12"/>
  <c r="Z193" i="12"/>
  <c r="Y193" i="12"/>
  <c r="X193" i="12"/>
  <c r="W193" i="12"/>
  <c r="V193" i="12"/>
  <c r="U193" i="12"/>
  <c r="T193" i="12"/>
  <c r="AM193" i="12" s="1"/>
  <c r="S193" i="12"/>
  <c r="R193" i="12"/>
  <c r="Q193" i="12"/>
  <c r="P193" i="12"/>
  <c r="O193" i="12"/>
  <c r="N193" i="12"/>
  <c r="M193" i="12"/>
  <c r="L193" i="12"/>
  <c r="AN193" i="12" s="1"/>
  <c r="K193" i="12"/>
  <c r="J193" i="12"/>
  <c r="I193" i="12"/>
  <c r="H193" i="12"/>
  <c r="G193" i="12"/>
  <c r="F193" i="12"/>
  <c r="E193" i="12"/>
  <c r="D193" i="12"/>
  <c r="AO193" i="12" s="1"/>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AO189" i="12" s="1"/>
  <c r="I189" i="12"/>
  <c r="H189" i="12"/>
  <c r="G189" i="12"/>
  <c r="F189" i="12"/>
  <c r="E189" i="12"/>
  <c r="D189" i="12"/>
  <c r="AJ188" i="12"/>
  <c r="AQ188" i="12" s="1"/>
  <c r="AI188" i="12"/>
  <c r="AH188" i="12"/>
  <c r="AG188" i="12"/>
  <c r="AF188" i="12"/>
  <c r="AE188" i="12"/>
  <c r="AD188" i="12"/>
  <c r="AC188" i="12"/>
  <c r="AL188" i="12" s="1"/>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J187" i="12"/>
  <c r="AQ187" i="12" s="1"/>
  <c r="AI187" i="12"/>
  <c r="AH187" i="12"/>
  <c r="AG187" i="12"/>
  <c r="AF187" i="12"/>
  <c r="AE187" i="12"/>
  <c r="AD187" i="12"/>
  <c r="AC187" i="12"/>
  <c r="AB187" i="12"/>
  <c r="AL187" i="12" s="1"/>
  <c r="AA187" i="12"/>
  <c r="Z187" i="12"/>
  <c r="Y187" i="12"/>
  <c r="X187" i="12"/>
  <c r="W187" i="12"/>
  <c r="V187" i="12"/>
  <c r="U187" i="12"/>
  <c r="T187" i="12"/>
  <c r="AM187" i="12" s="1"/>
  <c r="S187" i="12"/>
  <c r="R187" i="12"/>
  <c r="Q187" i="12"/>
  <c r="P187" i="12"/>
  <c r="O187" i="12"/>
  <c r="N187" i="12"/>
  <c r="M187" i="12"/>
  <c r="L187" i="12"/>
  <c r="AN187" i="12" s="1"/>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S53"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L175" i="12" s="1"/>
  <c r="AA175" i="12"/>
  <c r="Z175" i="12"/>
  <c r="Y175" i="12"/>
  <c r="X175" i="12"/>
  <c r="W175" i="12"/>
  <c r="V175" i="12"/>
  <c r="U175" i="12"/>
  <c r="T175" i="12"/>
  <c r="AM175" i="12" s="1"/>
  <c r="S175" i="12"/>
  <c r="R175" i="12"/>
  <c r="Q175" i="12"/>
  <c r="P175" i="12"/>
  <c r="O175" i="12"/>
  <c r="N175" i="12"/>
  <c r="M175" i="12"/>
  <c r="L175" i="12"/>
  <c r="AN175" i="12" s="1"/>
  <c r="K175" i="12"/>
  <c r="J175" i="12"/>
  <c r="I175" i="12"/>
  <c r="H175" i="12"/>
  <c r="G175" i="12"/>
  <c r="F175" i="12"/>
  <c r="E175" i="12"/>
  <c r="D175" i="12"/>
  <c r="AO175" i="12" s="1"/>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AN172" i="12" s="1"/>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AM162" i="12" s="1"/>
  <c r="S162" i="12"/>
  <c r="R162" i="12"/>
  <c r="Q162" i="12"/>
  <c r="P162" i="12"/>
  <c r="O162" i="12"/>
  <c r="N162" i="12"/>
  <c r="M162" i="12"/>
  <c r="L162" i="12"/>
  <c r="AN162" i="12" s="1"/>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AM155" i="12" s="1"/>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AN154" i="12" s="1"/>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AN148" i="12" s="1"/>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AN147" i="12" s="1"/>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AN146" i="12" s="1"/>
  <c r="L146" i="12"/>
  <c r="K146" i="12"/>
  <c r="J146" i="12"/>
  <c r="I146" i="12"/>
  <c r="H146" i="12"/>
  <c r="G146" i="12"/>
  <c r="F146" i="12"/>
  <c r="E146" i="12"/>
  <c r="AO146" i="12" s="1"/>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AN140" i="12" s="1"/>
  <c r="K140" i="12"/>
  <c r="J140" i="12"/>
  <c r="I140" i="12"/>
  <c r="H140" i="12"/>
  <c r="G140" i="12"/>
  <c r="F140" i="12"/>
  <c r="E140" i="12"/>
  <c r="D140" i="12"/>
  <c r="AO140" i="12" s="1"/>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Q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L131" i="12" s="1"/>
  <c r="AB131" i="12"/>
  <c r="AA131" i="12"/>
  <c r="Z131" i="12"/>
  <c r="Y131" i="12"/>
  <c r="X131" i="12"/>
  <c r="W131" i="12"/>
  <c r="V131" i="12"/>
  <c r="U131" i="12"/>
  <c r="T131" i="12"/>
  <c r="S131" i="12"/>
  <c r="R131" i="12"/>
  <c r="Q131" i="12"/>
  <c r="P131" i="12"/>
  <c r="O131" i="12"/>
  <c r="N131" i="12"/>
  <c r="M131" i="12"/>
  <c r="AN131" i="12" s="1"/>
  <c r="L131" i="12"/>
  <c r="K131" i="12"/>
  <c r="J131" i="12"/>
  <c r="I131" i="12"/>
  <c r="H131" i="12"/>
  <c r="G131" i="12"/>
  <c r="F131" i="12"/>
  <c r="E131" i="12"/>
  <c r="AO131" i="12" s="1"/>
  <c r="D131" i="12"/>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R62" i="12" s="1"/>
  <c r="AI127" i="12"/>
  <c r="AH127" i="12"/>
  <c r="AG127" i="12"/>
  <c r="AF127" i="12"/>
  <c r="AE127" i="12"/>
  <c r="AD127" i="12"/>
  <c r="AC127" i="12"/>
  <c r="AB127" i="12"/>
  <c r="AL127" i="12" s="1"/>
  <c r="AA127" i="12"/>
  <c r="Z127" i="12"/>
  <c r="Y127" i="12"/>
  <c r="X127" i="12"/>
  <c r="W127" i="12"/>
  <c r="V127" i="12"/>
  <c r="U127" i="12"/>
  <c r="T127" i="12"/>
  <c r="AM127" i="12" s="1"/>
  <c r="S127" i="12"/>
  <c r="R127" i="12"/>
  <c r="Q127" i="12"/>
  <c r="P127" i="12"/>
  <c r="O127" i="12"/>
  <c r="N127" i="12"/>
  <c r="M127" i="12"/>
  <c r="L127" i="12"/>
  <c r="AN127" i="12" s="1"/>
  <c r="K127" i="12"/>
  <c r="J127" i="12"/>
  <c r="I127" i="12"/>
  <c r="H127" i="12"/>
  <c r="G127" i="12"/>
  <c r="F127" i="12"/>
  <c r="E127" i="12"/>
  <c r="D127" i="12"/>
  <c r="AO127" i="12" s="1"/>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6" i="12" s="1"/>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AN120" i="12" s="1"/>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Q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O115" i="12" s="1"/>
  <c r="AQ114" i="12"/>
  <c r="AR49" i="12" s="1"/>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7" i="12" s="1"/>
  <c r="AI111" i="12"/>
  <c r="AH111" i="12"/>
  <c r="AG111" i="12"/>
  <c r="AF111" i="12"/>
  <c r="AE111" i="12"/>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F111" i="12"/>
  <c r="E111" i="12"/>
  <c r="D111" i="12"/>
  <c r="AQ110" i="12"/>
  <c r="AR45" i="12" s="1"/>
  <c r="AJ110" i="12"/>
  <c r="AI110" i="12"/>
  <c r="AH110" i="12"/>
  <c r="AG110" i="12"/>
  <c r="AF110" i="12"/>
  <c r="AE110" i="12"/>
  <c r="AD110" i="12"/>
  <c r="AC110" i="12"/>
  <c r="AL110" i="12" s="1"/>
  <c r="AB110" i="12"/>
  <c r="AA110" i="12"/>
  <c r="Z110" i="12"/>
  <c r="Y110" i="12"/>
  <c r="X110" i="12"/>
  <c r="W110" i="12"/>
  <c r="V110" i="12"/>
  <c r="U110" i="12"/>
  <c r="AM110" i="12" s="1"/>
  <c r="T110" i="12"/>
  <c r="S110" i="12"/>
  <c r="R110" i="12"/>
  <c r="Q110" i="12"/>
  <c r="P110" i="12"/>
  <c r="O110" i="12"/>
  <c r="N110" i="12"/>
  <c r="M110" i="12"/>
  <c r="L110" i="12"/>
  <c r="K110" i="12"/>
  <c r="J110" i="12"/>
  <c r="I110" i="12"/>
  <c r="H110" i="12"/>
  <c r="G110" i="12"/>
  <c r="F110" i="12"/>
  <c r="E110" i="12"/>
  <c r="AO110" i="12" s="1"/>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AO109" i="12" s="1"/>
  <c r="D109" i="12"/>
  <c r="AJ108" i="12"/>
  <c r="AQ108" i="12" s="1"/>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AJ107" i="12"/>
  <c r="AQ107" i="12" s="1"/>
  <c r="AR42"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Q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R39"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AO101" i="12" s="1"/>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AM95" i="12" s="1"/>
  <c r="S95" i="12"/>
  <c r="R95" i="12"/>
  <c r="Q95" i="12"/>
  <c r="P95" i="12"/>
  <c r="O95" i="12"/>
  <c r="N95" i="12"/>
  <c r="M95" i="12"/>
  <c r="L95" i="12"/>
  <c r="AN95" i="12" s="1"/>
  <c r="K95" i="12"/>
  <c r="J95" i="12"/>
  <c r="I95" i="12"/>
  <c r="H95" i="12"/>
  <c r="G95" i="12"/>
  <c r="F95" i="12"/>
  <c r="E95" i="12"/>
  <c r="D95" i="12"/>
  <c r="AO95" i="12" s="1"/>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AM83" i="12" s="1"/>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AN81" i="12" s="1"/>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AM80" i="12" s="1"/>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L77" i="12" s="1"/>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AN72" i="12" s="1"/>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AN71" i="12" s="1"/>
  <c r="L71" i="12"/>
  <c r="K71" i="12"/>
  <c r="J71" i="12"/>
  <c r="I71" i="12"/>
  <c r="H71" i="12"/>
  <c r="G71" i="12"/>
  <c r="F71" i="12"/>
  <c r="E71" i="12"/>
  <c r="D71" i="12"/>
  <c r="AT70" i="12"/>
  <c r="AS70" i="12"/>
  <c r="AR70" i="12"/>
  <c r="AT69" i="12"/>
  <c r="AS69" i="12"/>
  <c r="AR69" i="12"/>
  <c r="C69" i="12"/>
  <c r="AT68" i="12"/>
  <c r="AS68" i="12"/>
  <c r="AR68" i="12"/>
  <c r="C68" i="12"/>
  <c r="AT67" i="12"/>
  <c r="AS67" i="12"/>
  <c r="AR67" i="12"/>
  <c r="C67" i="12"/>
  <c r="AT66" i="12"/>
  <c r="AR66" i="12"/>
  <c r="C66" i="12"/>
  <c r="AT65" i="12"/>
  <c r="AS65" i="12"/>
  <c r="AR65" i="12"/>
  <c r="C65" i="12"/>
  <c r="AT64" i="12"/>
  <c r="AS64" i="12"/>
  <c r="AR64" i="12"/>
  <c r="C64" i="12"/>
  <c r="AT63" i="12"/>
  <c r="AS63" i="12"/>
  <c r="C63" i="12"/>
  <c r="AT62" i="12"/>
  <c r="AS62" i="12"/>
  <c r="C62" i="12"/>
  <c r="C127" i="12" s="1"/>
  <c r="AT61" i="12"/>
  <c r="AS61" i="12"/>
  <c r="AR61" i="12"/>
  <c r="C61" i="12"/>
  <c r="C191" i="12" s="1"/>
  <c r="AT60" i="12"/>
  <c r="AS60" i="12"/>
  <c r="AR60" i="12"/>
  <c r="C60" i="12"/>
  <c r="AT59" i="12"/>
  <c r="AS59" i="12"/>
  <c r="AR59" i="12"/>
  <c r="C59" i="12"/>
  <c r="AT58" i="12"/>
  <c r="AS58" i="12"/>
  <c r="AR58" i="12"/>
  <c r="C58" i="12"/>
  <c r="C188" i="12" s="1"/>
  <c r="AT57" i="12"/>
  <c r="AS57" i="12"/>
  <c r="AR57" i="12"/>
  <c r="C57" i="12"/>
  <c r="AT56" i="12"/>
  <c r="AS56" i="12"/>
  <c r="C56" i="12"/>
  <c r="AT55" i="12"/>
  <c r="AS55" i="12"/>
  <c r="C55" i="12"/>
  <c r="AT54" i="12"/>
  <c r="AS54" i="12"/>
  <c r="AR54" i="12"/>
  <c r="C54" i="12"/>
  <c r="AT53" i="12"/>
  <c r="AR53" i="12"/>
  <c r="C53" i="12"/>
  <c r="C183" i="12" s="1"/>
  <c r="AT52" i="12"/>
  <c r="AS52" i="12"/>
  <c r="AR52" i="12"/>
  <c r="C52" i="12"/>
  <c r="AT51" i="12"/>
  <c r="AS51" i="12"/>
  <c r="C51" i="12"/>
  <c r="C181" i="12" s="1"/>
  <c r="AT50" i="12"/>
  <c r="AS50" i="12"/>
  <c r="AR50" i="12"/>
  <c r="C50" i="12"/>
  <c r="AT49" i="12"/>
  <c r="AS49" i="12"/>
  <c r="C49" i="12"/>
  <c r="AT48" i="12"/>
  <c r="AS48" i="12"/>
  <c r="AR48" i="12"/>
  <c r="C48" i="12"/>
  <c r="AT47" i="12"/>
  <c r="AS47" i="12"/>
  <c r="C47" i="12"/>
  <c r="C177" i="12" s="1"/>
  <c r="AT46" i="12"/>
  <c r="AS46" i="12"/>
  <c r="AR46" i="12"/>
  <c r="C46" i="12"/>
  <c r="AT45" i="12"/>
  <c r="AS45" i="12"/>
  <c r="C45" i="12"/>
  <c r="AT44" i="12"/>
  <c r="AS44" i="12"/>
  <c r="C44" i="12"/>
  <c r="C109" i="12" s="1"/>
  <c r="AT43" i="12"/>
  <c r="AS43" i="12"/>
  <c r="C43" i="12"/>
  <c r="C173" i="12" s="1"/>
  <c r="AT42" i="12"/>
  <c r="AS42" i="12"/>
  <c r="C42" i="12"/>
  <c r="C172" i="12" s="1"/>
  <c r="AT41" i="12"/>
  <c r="AS41" i="12"/>
  <c r="AR41" i="12"/>
  <c r="C41" i="12"/>
  <c r="AT40" i="12"/>
  <c r="AS40" i="12"/>
  <c r="AR40" i="12"/>
  <c r="C40" i="12"/>
  <c r="C170" i="12" s="1"/>
  <c r="AT39" i="12"/>
  <c r="AS39" i="12"/>
  <c r="C39" i="12"/>
  <c r="AT38" i="12"/>
  <c r="C38" i="12"/>
  <c r="C37" i="12"/>
  <c r="C167" i="12" s="1"/>
  <c r="C36" i="12"/>
  <c r="C35" i="12"/>
  <c r="C165" i="12" s="1"/>
  <c r="C34" i="12"/>
  <c r="C33" i="12"/>
  <c r="C32" i="12"/>
  <c r="C162" i="12" s="1"/>
  <c r="C31" i="12"/>
  <c r="C30" i="12"/>
  <c r="C95" i="12" s="1"/>
  <c r="C29" i="12"/>
  <c r="C159" i="12" s="1"/>
  <c r="C28" i="12"/>
  <c r="C27" i="12"/>
  <c r="C157" i="12" s="1"/>
  <c r="C26" i="12"/>
  <c r="C156" i="12" s="1"/>
  <c r="C25" i="12"/>
  <c r="C24" i="12"/>
  <c r="C23" i="12"/>
  <c r="C153" i="12" s="1"/>
  <c r="C22" i="12"/>
  <c r="C152" i="12" s="1"/>
  <c r="C21" i="12"/>
  <c r="C20" i="12"/>
  <c r="C150" i="12" s="1"/>
  <c r="C19" i="12"/>
  <c r="C18" i="12"/>
  <c r="C148" i="12" s="1"/>
  <c r="C17" i="12"/>
  <c r="C147" i="12" s="1"/>
  <c r="C16" i="12"/>
  <c r="C146" i="12" s="1"/>
  <c r="C15" i="12"/>
  <c r="C145" i="12" s="1"/>
  <c r="C14" i="12"/>
  <c r="AW13" i="12"/>
  <c r="C13" i="12"/>
  <c r="AL12" i="12"/>
  <c r="AT12" i="12" s="1"/>
  <c r="C12" i="12"/>
  <c r="C142" i="12" s="1"/>
  <c r="C11" i="12"/>
  <c r="C10" i="12"/>
  <c r="C140" i="12" s="1"/>
  <c r="C9" i="12"/>
  <c r="C139" i="12" s="1"/>
  <c r="C8" i="12"/>
  <c r="C138" i="12" s="1"/>
  <c r="C7" i="12"/>
  <c r="C137" i="12" s="1"/>
  <c r="AW6" i="12"/>
  <c r="AT6" i="12"/>
  <c r="AL6" i="12"/>
  <c r="C6" i="12"/>
  <c r="C71" i="12" s="1"/>
  <c r="B3" i="12"/>
  <c r="AW7" i="12" s="1"/>
  <c r="AR43" i="12" l="1"/>
  <c r="AR44" i="12"/>
  <c r="AO73" i="12"/>
  <c r="AM84" i="12"/>
  <c r="AO71" i="12"/>
  <c r="AN84" i="12"/>
  <c r="C74" i="12"/>
  <c r="AO89" i="12"/>
  <c r="AN90" i="12"/>
  <c r="AN93" i="12"/>
  <c r="AO96" i="12"/>
  <c r="AO97" i="12"/>
  <c r="AN97" i="12"/>
  <c r="AM97" i="12"/>
  <c r="AM105" i="12"/>
  <c r="AO128" i="12"/>
  <c r="AN128" i="12"/>
  <c r="AL128" i="12"/>
  <c r="AM129" i="12"/>
  <c r="AO147" i="12"/>
  <c r="AM163" i="12"/>
  <c r="AO170" i="12"/>
  <c r="AN170" i="12"/>
  <c r="AL170" i="12"/>
  <c r="AM171" i="12"/>
  <c r="AO74" i="12"/>
  <c r="AM74" i="12"/>
  <c r="AO79" i="12"/>
  <c r="AN79" i="12"/>
  <c r="AN80" i="12"/>
  <c r="AN103" i="12"/>
  <c r="AM103" i="12"/>
  <c r="AM115" i="12"/>
  <c r="AO121" i="12"/>
  <c r="AM178" i="12"/>
  <c r="AL184" i="12"/>
  <c r="C107" i="12"/>
  <c r="AN111" i="12"/>
  <c r="AO72" i="12"/>
  <c r="AO85" i="12"/>
  <c r="AN85" i="12"/>
  <c r="AO86" i="12"/>
  <c r="AM86" i="12"/>
  <c r="C92" i="12"/>
  <c r="AN98" i="12"/>
  <c r="AO104" i="12"/>
  <c r="AL104" i="12"/>
  <c r="AN108" i="12"/>
  <c r="AO112" i="12"/>
  <c r="AN112" i="12"/>
  <c r="AL112" i="12"/>
  <c r="AO113" i="12"/>
  <c r="AL117" i="12"/>
  <c r="AO129" i="12"/>
  <c r="C136" i="12"/>
  <c r="AM141" i="12"/>
  <c r="AO143" i="12"/>
  <c r="AN143" i="12"/>
  <c r="AM143" i="12"/>
  <c r="AN156" i="12"/>
  <c r="AO163" i="12"/>
  <c r="AU10" i="12"/>
  <c r="AU11" i="12"/>
  <c r="AN76" i="12"/>
  <c r="AM76" i="12"/>
  <c r="AO80" i="12"/>
  <c r="AM100" i="12"/>
  <c r="AM121" i="12"/>
  <c r="AM179" i="12"/>
  <c r="AN186" i="12"/>
  <c r="AO84" i="12"/>
  <c r="AM71" i="12"/>
  <c r="AL71" i="12"/>
  <c r="AN75" i="12"/>
  <c r="AM75" i="12"/>
  <c r="C82" i="12"/>
  <c r="C88" i="12"/>
  <c r="AM99" i="12"/>
  <c r="AO118" i="12"/>
  <c r="AM118" i="12"/>
  <c r="AL118" i="12"/>
  <c r="AO149" i="12"/>
  <c r="AL152" i="12"/>
  <c r="AN73" i="12"/>
  <c r="AO77" i="12"/>
  <c r="AN77" i="12"/>
  <c r="AM77" i="12"/>
  <c r="AO82" i="12"/>
  <c r="AN87" i="12"/>
  <c r="AN88" i="12"/>
  <c r="AO92" i="12"/>
  <c r="AN92" i="12"/>
  <c r="AM92" i="12"/>
  <c r="AL106" i="12"/>
  <c r="AN110" i="12"/>
  <c r="AO123" i="12"/>
  <c r="AL125" i="12"/>
  <c r="AN130" i="12"/>
  <c r="AM138" i="12"/>
  <c r="AO141" i="12"/>
  <c r="AO145" i="12"/>
  <c r="AN145" i="12"/>
  <c r="AM145" i="12"/>
  <c r="AL156" i="12"/>
  <c r="AQ156" i="12" s="1"/>
  <c r="AO169" i="12"/>
  <c r="AN169" i="12"/>
  <c r="AM169" i="12"/>
  <c r="AL169" i="12"/>
  <c r="AO187" i="12"/>
  <c r="AN122" i="12"/>
  <c r="AL133" i="12"/>
  <c r="AO138" i="12"/>
  <c r="AN138" i="12"/>
  <c r="AM146" i="12"/>
  <c r="AM170" i="12"/>
  <c r="AM173" i="12"/>
  <c r="AO179" i="12"/>
  <c r="AO181" i="12"/>
  <c r="AL192" i="12"/>
  <c r="AL120" i="12"/>
  <c r="AO134" i="12"/>
  <c r="AM134" i="12"/>
  <c r="AL134" i="12"/>
  <c r="AO139" i="12"/>
  <c r="AM139" i="12"/>
  <c r="AM154" i="12"/>
  <c r="AO173" i="12"/>
  <c r="AL180" i="12"/>
  <c r="AM194" i="12"/>
  <c r="AN196" i="12"/>
  <c r="AO171" i="12"/>
  <c r="AL176" i="12"/>
  <c r="AM186" i="12"/>
  <c r="AO194" i="12"/>
  <c r="AL194" i="12"/>
  <c r="AM197" i="12"/>
  <c r="AR51" i="12"/>
  <c r="AO120" i="12"/>
  <c r="AN155" i="12"/>
  <c r="AO161" i="12"/>
  <c r="AN161" i="12"/>
  <c r="AM161" i="12"/>
  <c r="AN164" i="12"/>
  <c r="AM165" i="12"/>
  <c r="AO177" i="12"/>
  <c r="AN177" i="12"/>
  <c r="AM177" i="12"/>
  <c r="AL177" i="12"/>
  <c r="AL186" i="12"/>
  <c r="AM128" i="12"/>
  <c r="AR63" i="12"/>
  <c r="AO132" i="12"/>
  <c r="AN132" i="12"/>
  <c r="AM132" i="12"/>
  <c r="AL132" i="12"/>
  <c r="AO155" i="12"/>
  <c r="AO157" i="12"/>
  <c r="AO162" i="12"/>
  <c r="AO165" i="12"/>
  <c r="AO168" i="12"/>
  <c r="AM168" i="12"/>
  <c r="AL168" i="12"/>
  <c r="AO178" i="12"/>
  <c r="AN178" i="12"/>
  <c r="AL178" i="12"/>
  <c r="AN179" i="12"/>
  <c r="AL179" i="12"/>
  <c r="AO195" i="12"/>
  <c r="AL76" i="12"/>
  <c r="AL140" i="12"/>
  <c r="AQ140" i="12" s="1"/>
  <c r="AS10" i="12" s="1"/>
  <c r="AL146" i="12"/>
  <c r="AQ146" i="12" s="1"/>
  <c r="AL147" i="12"/>
  <c r="AL85" i="12"/>
  <c r="AL98" i="12"/>
  <c r="AQ98" i="12" s="1"/>
  <c r="AL72" i="12"/>
  <c r="AL143" i="12"/>
  <c r="AL161" i="12"/>
  <c r="AQ161" i="12" s="1"/>
  <c r="AL73" i="12"/>
  <c r="AL82" i="12"/>
  <c r="AQ82" i="12" s="1"/>
  <c r="AL95" i="12"/>
  <c r="AQ95" i="12" s="1"/>
  <c r="AL148" i="12"/>
  <c r="AL91" i="12"/>
  <c r="AL101" i="12"/>
  <c r="AL144" i="12"/>
  <c r="AL162" i="12"/>
  <c r="AQ162" i="12" s="1"/>
  <c r="AS32" i="12" s="1"/>
  <c r="AL74" i="12"/>
  <c r="AL79" i="12"/>
  <c r="AL83" i="12"/>
  <c r="AL96" i="12"/>
  <c r="AL97" i="12"/>
  <c r="AQ97" i="12" s="1"/>
  <c r="AL138" i="12"/>
  <c r="AL145" i="12"/>
  <c r="AL154" i="12"/>
  <c r="AQ154" i="12" s="1"/>
  <c r="AL75" i="12"/>
  <c r="AL80" i="12"/>
  <c r="AL84" i="12"/>
  <c r="AL88" i="12"/>
  <c r="AL155" i="12"/>
  <c r="AQ155" i="12" s="1"/>
  <c r="AQ77" i="12"/>
  <c r="AR12" i="12" s="1"/>
  <c r="AQ71" i="12"/>
  <c r="AR6" i="12" s="1"/>
  <c r="C149" i="12"/>
  <c r="C84" i="12"/>
  <c r="C189" i="12"/>
  <c r="C124" i="12"/>
  <c r="AN82" i="12"/>
  <c r="B6" i="12"/>
  <c r="C164" i="12"/>
  <c r="C99" i="12"/>
  <c r="C196" i="12"/>
  <c r="C131" i="12"/>
  <c r="C81" i="12"/>
  <c r="AO88" i="12"/>
  <c r="AO100" i="12"/>
  <c r="AL100" i="12"/>
  <c r="C141" i="12"/>
  <c r="C76" i="12"/>
  <c r="AQ76" i="12" s="1"/>
  <c r="AR11" i="12" s="1"/>
  <c r="C93" i="12"/>
  <c r="C158" i="12"/>
  <c r="C101" i="12"/>
  <c r="C166" i="12"/>
  <c r="C117" i="12"/>
  <c r="C182" i="12"/>
  <c r="C125" i="12"/>
  <c r="C190" i="12"/>
  <c r="C133" i="12"/>
  <c r="C198" i="12"/>
  <c r="AO75" i="12"/>
  <c r="AO93" i="12"/>
  <c r="AL93" i="12"/>
  <c r="AN101" i="12"/>
  <c r="C112" i="12"/>
  <c r="AO130" i="12"/>
  <c r="AM130" i="12"/>
  <c r="AL160" i="12"/>
  <c r="C174" i="12"/>
  <c r="C155" i="12"/>
  <c r="C90" i="12"/>
  <c r="C163" i="12"/>
  <c r="C98" i="12"/>
  <c r="C171" i="12"/>
  <c r="C106" i="12"/>
  <c r="C179" i="12"/>
  <c r="C114" i="12"/>
  <c r="AR55" i="12"/>
  <c r="C187" i="12"/>
  <c r="C122" i="12"/>
  <c r="C195" i="12"/>
  <c r="C130" i="12"/>
  <c r="C77" i="12"/>
  <c r="C80" i="12"/>
  <c r="AN89" i="12"/>
  <c r="AL89" i="12"/>
  <c r="AO91" i="12"/>
  <c r="AN91" i="12"/>
  <c r="AM91" i="12"/>
  <c r="AN96" i="12"/>
  <c r="AQ96" i="12" s="1"/>
  <c r="AN109" i="12"/>
  <c r="AL109" i="12"/>
  <c r="AM112" i="12"/>
  <c r="C116" i="12"/>
  <c r="AN119" i="12"/>
  <c r="AM119" i="12"/>
  <c r="C123" i="12"/>
  <c r="AM126" i="12"/>
  <c r="AL126" i="12"/>
  <c r="AM153" i="12"/>
  <c r="C192" i="12"/>
  <c r="C103" i="12"/>
  <c r="C168" i="12"/>
  <c r="C111" i="12"/>
  <c r="C176" i="12"/>
  <c r="AM87" i="12"/>
  <c r="C94" i="12"/>
  <c r="C102" i="12"/>
  <c r="C144" i="12"/>
  <c r="C79" i="12"/>
  <c r="C154" i="12"/>
  <c r="C89" i="12"/>
  <c r="C178" i="12"/>
  <c r="C113" i="12"/>
  <c r="C186" i="12"/>
  <c r="C121" i="12"/>
  <c r="C194" i="12"/>
  <c r="C129" i="12"/>
  <c r="C73" i="12"/>
  <c r="AM79" i="12"/>
  <c r="AN94" i="12"/>
  <c r="C97" i="12"/>
  <c r="AO99" i="12"/>
  <c r="AL99" i="12"/>
  <c r="AN102" i="12"/>
  <c r="C105" i="12"/>
  <c r="AO107" i="12"/>
  <c r="AM107" i="12"/>
  <c r="AL107" i="12"/>
  <c r="C108" i="12"/>
  <c r="C118" i="12"/>
  <c r="AM136" i="12"/>
  <c r="AL136" i="12"/>
  <c r="AM185" i="12"/>
  <c r="C199" i="12"/>
  <c r="C134" i="12"/>
  <c r="C72" i="12"/>
  <c r="AM73" i="12"/>
  <c r="AO76" i="12"/>
  <c r="AO90" i="12"/>
  <c r="AM90" i="12"/>
  <c r="AL90" i="12"/>
  <c r="AO94" i="12"/>
  <c r="AM94" i="12"/>
  <c r="AL94" i="12"/>
  <c r="C100" i="12"/>
  <c r="AO102" i="12"/>
  <c r="AM102" i="12"/>
  <c r="AL102" i="12"/>
  <c r="AO105" i="12"/>
  <c r="AN105" i="12"/>
  <c r="AL105" i="12"/>
  <c r="AO114" i="12"/>
  <c r="AM114" i="12"/>
  <c r="C197" i="12"/>
  <c r="C132" i="12"/>
  <c r="AN74" i="12"/>
  <c r="C151" i="12"/>
  <c r="C86" i="12"/>
  <c r="C175" i="12"/>
  <c r="C110" i="12"/>
  <c r="C180" i="12"/>
  <c r="C115" i="12"/>
  <c r="AN86" i="12"/>
  <c r="AQ86" i="12" s="1"/>
  <c r="AN114" i="12"/>
  <c r="AL114" i="12"/>
  <c r="C160" i="12"/>
  <c r="C119" i="12"/>
  <c r="C184" i="12"/>
  <c r="C87" i="12"/>
  <c r="AM82" i="12"/>
  <c r="C143" i="12"/>
  <c r="AQ143" i="12" s="1"/>
  <c r="C78" i="12"/>
  <c r="C83" i="12"/>
  <c r="AM88" i="12"/>
  <c r="AN100" i="12"/>
  <c r="C161" i="12"/>
  <c r="C96" i="12"/>
  <c r="C169" i="12"/>
  <c r="C104" i="12"/>
  <c r="C185" i="12"/>
  <c r="C120" i="12"/>
  <c r="C193" i="12"/>
  <c r="C128" i="12"/>
  <c r="C75" i="12"/>
  <c r="AL78" i="12"/>
  <c r="AO81" i="12"/>
  <c r="AM81" i="12"/>
  <c r="AL81" i="12"/>
  <c r="AO83" i="12"/>
  <c r="AN83" i="12"/>
  <c r="C85" i="12"/>
  <c r="AL86" i="12"/>
  <c r="C91" i="12"/>
  <c r="AN106" i="12"/>
  <c r="AO122" i="12"/>
  <c r="AM122" i="12"/>
  <c r="C126" i="12"/>
  <c r="AO87" i="12"/>
  <c r="AL87" i="12"/>
  <c r="AM93" i="12"/>
  <c r="AM104" i="12"/>
  <c r="AO117" i="12"/>
  <c r="AN117" i="12"/>
  <c r="AM117" i="12"/>
  <c r="AM123" i="12"/>
  <c r="AN139" i="12"/>
  <c r="AL139" i="12"/>
  <c r="AO144" i="12"/>
  <c r="AM144" i="12"/>
  <c r="AM149" i="12"/>
  <c r="AO153" i="12"/>
  <c r="AN153" i="12"/>
  <c r="AL153" i="12"/>
  <c r="AL164" i="12"/>
  <c r="AQ164" i="12" s="1"/>
  <c r="AO176" i="12"/>
  <c r="AM176" i="12"/>
  <c r="AM181" i="12"/>
  <c r="AO185" i="12"/>
  <c r="AN185" i="12"/>
  <c r="AL185" i="12"/>
  <c r="AL196" i="12"/>
  <c r="AM96" i="12"/>
  <c r="AN99" i="12"/>
  <c r="AM101" i="12"/>
  <c r="AO106" i="12"/>
  <c r="AM106" i="12"/>
  <c r="AO111" i="12"/>
  <c r="AL111" i="12"/>
  <c r="AN113" i="12"/>
  <c r="AL113" i="12"/>
  <c r="AO124" i="12"/>
  <c r="AN124" i="12"/>
  <c r="AM124" i="12"/>
  <c r="AL124" i="12"/>
  <c r="AN129" i="12"/>
  <c r="AL129" i="12"/>
  <c r="AN134" i="12"/>
  <c r="AO137" i="12"/>
  <c r="AL137" i="12"/>
  <c r="AN141" i="12"/>
  <c r="AL141" i="12"/>
  <c r="AO150" i="12"/>
  <c r="AN150" i="12"/>
  <c r="AM150" i="12"/>
  <c r="AL150" i="12"/>
  <c r="AO156" i="12"/>
  <c r="AM156" i="12"/>
  <c r="AO159" i="12"/>
  <c r="AN159" i="12"/>
  <c r="AM159" i="12"/>
  <c r="AL159" i="12"/>
  <c r="AQ159" i="12" s="1"/>
  <c r="AN168" i="12"/>
  <c r="AN171" i="12"/>
  <c r="AL171" i="12"/>
  <c r="AN173" i="12"/>
  <c r="AL173" i="12"/>
  <c r="AO182" i="12"/>
  <c r="AN182" i="12"/>
  <c r="AM182" i="12"/>
  <c r="AL182" i="12"/>
  <c r="AO188" i="12"/>
  <c r="AM188" i="12"/>
  <c r="AO191" i="12"/>
  <c r="AN191" i="12"/>
  <c r="AM191" i="12"/>
  <c r="AL191" i="12"/>
  <c r="AL92" i="12"/>
  <c r="AQ92" i="12" s="1"/>
  <c r="AO98" i="12"/>
  <c r="AM98" i="12"/>
  <c r="AO103" i="12"/>
  <c r="AL103" i="12"/>
  <c r="AO108" i="12"/>
  <c r="AL108" i="12"/>
  <c r="AN115" i="12"/>
  <c r="AL115" i="12"/>
  <c r="AN118" i="12"/>
  <c r="AL122" i="12"/>
  <c r="AO125" i="12"/>
  <c r="AN125" i="12"/>
  <c r="AM125" i="12"/>
  <c r="AM131" i="12"/>
  <c r="AO142" i="12"/>
  <c r="AN142" i="12"/>
  <c r="AM142" i="12"/>
  <c r="AL142" i="12"/>
  <c r="AO148" i="12"/>
  <c r="AM148" i="12"/>
  <c r="AO151" i="12"/>
  <c r="AN151" i="12"/>
  <c r="AM151" i="12"/>
  <c r="AL151" i="12"/>
  <c r="AO154" i="12"/>
  <c r="AN160" i="12"/>
  <c r="AN163" i="12"/>
  <c r="AL163" i="12"/>
  <c r="AN165" i="12"/>
  <c r="AL165" i="12"/>
  <c r="AO174" i="12"/>
  <c r="AN174" i="12"/>
  <c r="AM174" i="12"/>
  <c r="AL174" i="12"/>
  <c r="AO180" i="12"/>
  <c r="AM180" i="12"/>
  <c r="AO183" i="12"/>
  <c r="AN183" i="12"/>
  <c r="AM183" i="12"/>
  <c r="AL183" i="12"/>
  <c r="AO186" i="12"/>
  <c r="AN192" i="12"/>
  <c r="AN195" i="12"/>
  <c r="AL195" i="12"/>
  <c r="AN197" i="12"/>
  <c r="AL197" i="12"/>
  <c r="AO160" i="12"/>
  <c r="AM160" i="12"/>
  <c r="AO192" i="12"/>
  <c r="AM192" i="12"/>
  <c r="AN152" i="12"/>
  <c r="AN157" i="12"/>
  <c r="AL157" i="12"/>
  <c r="AO166" i="12"/>
  <c r="AN166" i="12"/>
  <c r="AM166" i="12"/>
  <c r="AL166" i="12"/>
  <c r="AO172" i="12"/>
  <c r="AM172" i="12"/>
  <c r="AN184" i="12"/>
  <c r="AN189" i="12"/>
  <c r="AL189" i="12"/>
  <c r="AO198" i="12"/>
  <c r="AN198" i="12"/>
  <c r="AM198" i="12"/>
  <c r="AL198" i="12"/>
  <c r="AO116" i="12"/>
  <c r="AN116" i="12"/>
  <c r="AM116" i="12"/>
  <c r="AL116" i="12"/>
  <c r="AN121" i="12"/>
  <c r="AL121" i="12"/>
  <c r="AN126" i="12"/>
  <c r="AL130" i="12"/>
  <c r="AO133" i="12"/>
  <c r="AN133" i="12"/>
  <c r="AM133" i="12"/>
  <c r="AN136" i="12"/>
  <c r="AO152" i="12"/>
  <c r="AQ152" i="12" s="1"/>
  <c r="AM152" i="12"/>
  <c r="AM157" i="12"/>
  <c r="AL172" i="12"/>
  <c r="AO184" i="12"/>
  <c r="AM184" i="12"/>
  <c r="AM189" i="12"/>
  <c r="AN107" i="12"/>
  <c r="AM109" i="12"/>
  <c r="AO119" i="12"/>
  <c r="AL119" i="12"/>
  <c r="AN123" i="12"/>
  <c r="AL123" i="12"/>
  <c r="AO126" i="12"/>
  <c r="AO136" i="12"/>
  <c r="AN144" i="12"/>
  <c r="AN149" i="12"/>
  <c r="AL149" i="12"/>
  <c r="AQ149" i="12" s="1"/>
  <c r="AO158" i="12"/>
  <c r="AN158" i="12"/>
  <c r="AM158" i="12"/>
  <c r="AL158" i="12"/>
  <c r="AO164" i="12"/>
  <c r="AM164" i="12"/>
  <c r="AO167" i="12"/>
  <c r="AN167" i="12"/>
  <c r="AM167" i="12"/>
  <c r="AL167" i="12"/>
  <c r="AN176" i="12"/>
  <c r="AN181" i="12"/>
  <c r="AL181" i="12"/>
  <c r="AO190" i="12"/>
  <c r="AN190" i="12"/>
  <c r="AM190" i="12"/>
  <c r="AL190" i="12"/>
  <c r="AO196" i="12"/>
  <c r="AM196" i="12"/>
  <c r="AO199" i="12"/>
  <c r="AN199" i="12"/>
  <c r="AM199" i="12"/>
  <c r="AL199" i="12"/>
  <c r="AS26" i="12" l="1"/>
  <c r="AS25" i="12"/>
  <c r="AR32" i="12"/>
  <c r="AR33" i="12"/>
  <c r="AS19" i="12"/>
  <c r="AS16" i="12"/>
  <c r="AQ165" i="12"/>
  <c r="AS35" i="12" s="1"/>
  <c r="AQ138" i="12"/>
  <c r="AS8" i="12" s="1"/>
  <c r="AQ145" i="12"/>
  <c r="AQ102" i="12"/>
  <c r="AQ99" i="12"/>
  <c r="AR34" i="12" s="1"/>
  <c r="AQ72" i="12"/>
  <c r="AR7" i="12" s="1"/>
  <c r="AQ151" i="12"/>
  <c r="AS21" i="12" s="1"/>
  <c r="AQ101" i="12"/>
  <c r="AQ160" i="12"/>
  <c r="AS30" i="12" s="1"/>
  <c r="AQ144" i="12"/>
  <c r="AS14" i="12" s="1"/>
  <c r="AQ85" i="12"/>
  <c r="AR20" i="12" s="1"/>
  <c r="AQ78" i="12"/>
  <c r="AR13" i="12" s="1"/>
  <c r="AQ88" i="12"/>
  <c r="AQ147" i="12"/>
  <c r="AS17" i="12" s="1"/>
  <c r="AQ157" i="12"/>
  <c r="AS27" i="12" s="1"/>
  <c r="AQ73" i="12"/>
  <c r="AR8" i="12" s="1"/>
  <c r="AQ84" i="12"/>
  <c r="AQ158" i="12"/>
  <c r="AQ163" i="12"/>
  <c r="AS33" i="12" s="1"/>
  <c r="AQ87" i="12"/>
  <c r="AR22" i="12" s="1"/>
  <c r="AQ94" i="12"/>
  <c r="AQ80" i="12"/>
  <c r="AR15" i="12" s="1"/>
  <c r="AQ83" i="12"/>
  <c r="AR18" i="12" s="1"/>
  <c r="AQ91" i="12"/>
  <c r="AR27" i="12" s="1"/>
  <c r="AQ100" i="12"/>
  <c r="AR35" i="12" s="1"/>
  <c r="AQ79" i="12"/>
  <c r="AQ148" i="12"/>
  <c r="AS18" i="12" s="1"/>
  <c r="AQ167" i="12"/>
  <c r="AS38" i="12" s="1"/>
  <c r="AQ150" i="12"/>
  <c r="AS20" i="12" s="1"/>
  <c r="AQ153" i="12"/>
  <c r="AS23" i="12" s="1"/>
  <c r="AQ93" i="12"/>
  <c r="AR28" i="12" s="1"/>
  <c r="AQ166" i="12"/>
  <c r="AS36" i="12" s="1"/>
  <c r="AQ81" i="12"/>
  <c r="AR17" i="12" s="1"/>
  <c r="AQ90" i="12"/>
  <c r="AR25" i="12" s="1"/>
  <c r="AQ89" i="12"/>
  <c r="AR24" i="12" s="1"/>
  <c r="AR31" i="12"/>
  <c r="AR30" i="12"/>
  <c r="AQ137" i="12"/>
  <c r="AS7" i="12" s="1"/>
  <c r="AQ139" i="12"/>
  <c r="AS9" i="12" s="1"/>
  <c r="AR37" i="12"/>
  <c r="AR38" i="12"/>
  <c r="AQ74" i="12"/>
  <c r="AR9" i="12" s="1"/>
  <c r="AQ141" i="12"/>
  <c r="AS11" i="12" s="1"/>
  <c r="AS13" i="12"/>
  <c r="AQ142" i="12"/>
  <c r="AS12" i="12" s="1"/>
  <c r="AQ136" i="12"/>
  <c r="AS6" i="12" s="1"/>
  <c r="B136" i="12"/>
  <c r="B71" i="12"/>
  <c r="AQ75" i="12"/>
  <c r="AR10" i="12" s="1"/>
  <c r="AR14" i="12" l="1"/>
  <c r="AS34" i="12"/>
  <c r="AR29" i="12"/>
  <c r="AR36" i="12"/>
  <c r="AS22" i="12"/>
  <c r="AR23" i="12"/>
  <c r="AS28" i="12"/>
  <c r="AR21" i="12"/>
  <c r="AS24" i="12"/>
  <c r="AR16" i="12"/>
  <c r="AR26" i="12"/>
  <c r="AR19" i="12"/>
  <c r="AS29" i="12"/>
  <c r="AS15" i="12"/>
  <c r="AS31" i="12"/>
  <c r="AS3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26" i="12" l="1"/>
  <c r="AT26" i="12" s="1"/>
  <c r="AL9" i="12"/>
  <c r="AT9" i="12" s="1"/>
  <c r="AL10" i="12"/>
  <c r="AT10" i="12" s="1"/>
  <c r="AL8" i="12"/>
  <c r="AT8" i="12" s="1"/>
  <c r="AL11" i="12"/>
  <c r="AT11" i="12" s="1"/>
  <c r="AL13" i="12"/>
  <c r="AT13" i="12" s="1"/>
  <c r="AL52" i="12"/>
  <c r="AL61" i="12"/>
  <c r="AL48" i="12"/>
  <c r="AL33" i="12"/>
  <c r="AT33" i="12" s="1"/>
  <c r="AL19" i="12"/>
  <c r="AT19" i="12" s="1"/>
  <c r="AL27" i="12"/>
  <c r="AT27" i="12" s="1"/>
  <c r="AW16" i="12"/>
  <c r="AU15" i="12" s="1"/>
  <c r="AL31" i="12"/>
  <c r="AT31" i="12" s="1"/>
  <c r="AL21" i="12"/>
  <c r="AT21" i="12" s="1"/>
  <c r="AL44" i="12"/>
  <c r="AL66" i="12"/>
  <c r="AL60" i="12"/>
  <c r="AL45" i="12"/>
  <c r="AL57" i="12"/>
  <c r="AL47" i="12"/>
  <c r="AL68" i="12"/>
  <c r="AL51" i="12"/>
  <c r="AL65" i="12"/>
  <c r="AL69" i="12"/>
  <c r="AL39" i="12"/>
  <c r="AL43" i="12"/>
  <c r="AL49" i="12"/>
  <c r="AL25" i="12"/>
  <c r="AT25" i="12" s="1"/>
  <c r="AL32" i="12"/>
  <c r="AT32" i="12" s="1"/>
  <c r="AL34" i="12"/>
  <c r="AT34" i="12" s="1"/>
  <c r="AL38" i="12"/>
  <c r="AL67" i="12"/>
  <c r="AL42" i="12"/>
  <c r="AW9" i="12"/>
  <c r="AL22" i="12"/>
  <c r="AT22" i="12" s="1"/>
  <c r="AL55" i="12"/>
  <c r="AL59" i="12"/>
  <c r="AL63" i="12"/>
  <c r="AL54" i="12"/>
  <c r="AL7" i="12"/>
  <c r="AT7" i="12" s="1"/>
  <c r="AL14" i="12"/>
  <c r="AT14" i="12" s="1"/>
  <c r="AL20" i="12"/>
  <c r="AT20" i="12" s="1"/>
  <c r="AL41" i="12"/>
  <c r="AL46" i="12"/>
  <c r="AL37" i="12"/>
  <c r="AT37" i="12" s="1"/>
  <c r="AL50" i="12"/>
  <c r="AL40" i="12"/>
  <c r="AL28" i="12"/>
  <c r="AT28" i="12" s="1"/>
  <c r="AL15" i="12"/>
  <c r="AT15" i="12" s="1"/>
  <c r="AL24" i="12"/>
  <c r="AT24" i="12" s="1"/>
  <c r="AL62" i="12"/>
  <c r="AL58" i="12"/>
  <c r="AW10" i="12"/>
  <c r="AU14" i="12" s="1"/>
  <c r="AL23" i="12"/>
  <c r="AT23" i="12" s="1"/>
  <c r="AL36" i="12"/>
  <c r="AT36" i="12" s="1"/>
  <c r="AL30" i="12"/>
  <c r="AT30" i="12" s="1"/>
  <c r="AL16" i="12"/>
  <c r="AT16" i="12" s="1"/>
  <c r="AL56" i="12"/>
  <c r="AL18" i="12"/>
  <c r="AT18" i="12" s="1"/>
  <c r="AW11" i="12"/>
  <c r="AU13" i="12" s="1"/>
  <c r="AL53" i="12"/>
  <c r="AL17" i="12"/>
  <c r="AT17" i="12" s="1"/>
  <c r="AW8" i="12"/>
  <c r="AL35" i="12"/>
  <c r="AT35" i="12" s="1"/>
  <c r="AL64" i="12"/>
  <c r="AL29" i="12"/>
  <c r="AT29" i="12" s="1"/>
  <c r="AW12" i="12"/>
  <c r="AU5" i="12" s="1"/>
  <c r="L14" i="4"/>
  <c r="AR5" i="12" l="1"/>
  <c r="AS5" i="12"/>
  <c r="AV5" i="12"/>
  <c r="AT5" i="12"/>
  <c r="B14" i="1"/>
  <c r="B13" i="1"/>
  <c r="B11" i="1"/>
  <c r="B10" i="1"/>
  <c r="B9" i="1"/>
  <c r="C2" i="7" l="1"/>
  <c r="G14" i="4" l="1"/>
  <c r="H14" i="4"/>
  <c r="I14" i="4"/>
  <c r="H15" i="4"/>
  <c r="I15" i="4"/>
  <c r="H16" i="4"/>
  <c r="I16" i="4"/>
  <c r="G17" i="4"/>
  <c r="H17" i="4"/>
  <c r="G18" i="4"/>
  <c r="H18"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2" l="1"/>
  <c r="AU7" i="12" s="1"/>
  <c r="AW15" i="12"/>
  <c r="AU8"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91C732F7-8193-4A38-9731-5C274A76645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AAAE26DB-4DBB-4D4C-8AEA-19B83AFC81D4}">
      <text>
        <r>
          <rPr>
            <b/>
            <sz val="9"/>
            <color indexed="81"/>
            <rFont val="MS P ゴシック"/>
            <family val="3"/>
            <charset val="128"/>
          </rPr>
          <t xml:space="preserve">リモート送信条件成立：IG ON 且つ PTS ONが15[s]以上
</t>
        </r>
      </text>
    </comment>
    <comment ref="E10" authorId="1" shapeId="0" xr:uid="{39AD4B16-D3C1-4C65-9470-4FEC9F1DC700}">
      <text>
        <r>
          <rPr>
            <b/>
            <sz val="9"/>
            <color indexed="81"/>
            <rFont val="MS P ゴシック"/>
            <family val="3"/>
            <charset val="128"/>
          </rPr>
          <t xml:space="preserve">IG ON 且つ ST OFF
</t>
        </r>
      </text>
    </comment>
    <comment ref="F10" authorId="1" shapeId="0" xr:uid="{9C173D31-7980-45FE-9E92-F918F197D276}">
      <text>
        <r>
          <rPr>
            <b/>
            <sz val="9"/>
            <color indexed="81"/>
            <rFont val="MS P ゴシック"/>
            <family val="3"/>
            <charset val="128"/>
          </rPr>
          <t>IG ON</t>
        </r>
      </text>
    </comment>
    <comment ref="G10" authorId="1" shapeId="0" xr:uid="{9F756093-CE9C-4E03-B54C-B6FCC60F2B7C}">
      <text>
        <r>
          <rPr>
            <b/>
            <sz val="9"/>
            <color indexed="81"/>
            <rFont val="MS P ゴシック"/>
            <family val="3"/>
            <charset val="128"/>
          </rPr>
          <t xml:space="preserve">IG OFF 且つ IG OFF後25[m]未満
</t>
        </r>
      </text>
    </comment>
    <comment ref="H10" authorId="1" shapeId="0" xr:uid="{E45E3EFA-ABB3-4DE0-8B23-44A6A908AE46}">
      <text>
        <r>
          <rPr>
            <b/>
            <sz val="9"/>
            <color indexed="81"/>
            <rFont val="MS P ゴシック"/>
            <family val="3"/>
            <charset val="128"/>
          </rPr>
          <t xml:space="preserve">IG OFF
</t>
        </r>
      </text>
    </comment>
    <comment ref="I10" authorId="1" shapeId="0" xr:uid="{A780958A-B067-40C9-9E8B-E8321B3012DD}">
      <text>
        <r>
          <rPr>
            <b/>
            <sz val="9"/>
            <color indexed="81"/>
            <rFont val="MS P ゴシック"/>
            <family val="3"/>
            <charset val="128"/>
          </rPr>
          <t xml:space="preserve">IG ON 又は IG OFF後25[m]未満
</t>
        </r>
      </text>
    </comment>
    <comment ref="J10" authorId="1" shapeId="0" xr:uid="{CD166400-AD79-4851-B4E0-F63AAFE3888E}">
      <text>
        <r>
          <rPr>
            <b/>
            <sz val="9"/>
            <color indexed="81"/>
            <rFont val="MS P ゴシック"/>
            <family val="3"/>
            <charset val="128"/>
          </rPr>
          <t>+B ON 又は ACC ON</t>
        </r>
      </text>
    </comment>
  </commentList>
</comments>
</file>

<file path=xl/sharedStrings.xml><?xml version="1.0" encoding="utf-8"?>
<sst xmlns="http://schemas.openxmlformats.org/spreadsheetml/2006/main" count="2483" uniqueCount="257">
  <si>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</si>
  <si>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</si>
  <si>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</si>
  <si>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</si>
  <si>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</si>
  <si>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</si>
  <si>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</si>
  <si>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</si>
  <si>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</si>
  <si>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</si>
  <si>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</si>
  <si>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</si>
  <si>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</si>
  <si>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</si>
  <si>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</si>
  <si>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</si>
  <si>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</si>
  <si>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</si>
  <si>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</si>
  <si>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</si>
  <si>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</si>
  <si>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</si>
  <si>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</si>
  <si>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</si>
  <si>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</si>
  <si>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</si>
  <si>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</si>
  <si>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</si>
  <si>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</si>
  <si>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</si>
  <si>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</si>
  <si>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</si>
  <si>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</si>
  <si>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</si>
  <si>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</si>
  <si>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</si>
  <si>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</si>
  <si>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</si>
  <si>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</si>
  <si>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</si>
  <si>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</si>
  <si>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</si>
  <si>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</si>
  <si>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</si>
  <si>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</si>
  <si>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</si>
  <si>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</si>
  <si>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</si>
  <si>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</si>
  <si>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</si>
  <si>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</si>
  <si>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</si>
  <si>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</si>
  <si>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</si>
  <si>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</si>
  <si>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</si>
  <si>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</si>
  <si>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</si>
  <si>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</si>
  <si>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</si>
  <si>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</si>
  <si>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</si>
  <si>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</si>
  <si>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</si>
  <si>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</si>
  <si>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</si>
  <si>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</si>
  <si>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</si>
  <si>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</si>
  <si>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</si>
  <si>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</si>
  <si>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</si>
  <si>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</si>
  <si>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</si>
  <si>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</si>
  <si>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</si>
  <si>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</si>
  <si>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</si>
  <si>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</si>
  <si>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</si>
  <si>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</si>
  <si>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</si>
  <si>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</si>
  <si>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</si>
  <si>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</si>
  <si>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</si>
  <si>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</si>
  <si>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</si>
  <si>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</si>
  <si>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</si>
  <si>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</si>
  <si>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</si>
  <si>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</si>
  <si>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ROW</t>
    <phoneticPr fontId="2"/>
  </si>
  <si>
    <t>Matrix名</t>
    <rPh sb="6" eb="7">
      <t>メイ</t>
    </rPh>
    <phoneticPr fontId="2"/>
  </si>
  <si>
    <t>シート名称は、CH Nameと同じにすること。 1CHしか存在しない場合、機能名と同じにすること。</t>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</si>
  <si>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</si>
  <si>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</si>
  <si>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</si>
  <si>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</si>
  <si>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</si>
  <si>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</si>
  <si>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</si>
  <si>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UNKNOWN</t>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</si>
  <si>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</si>
  <si>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</si>
  <si>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</si>
  <si>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</si>
  <si>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</si>
  <si>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</si>
  <si>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</si>
  <si>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</si>
  <si>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</si>
  <si>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</si>
  <si>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</si>
  <si>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</si>
  <si>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なし</t>
  </si>
  <si>
    <t>-</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</si>
  <si>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</si>
  <si>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</si>
  <si>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</si>
  <si>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</si>
  <si>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</si>
  <si>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</si>
  <si>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</si>
  <si>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</si>
  <si>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</si>
  <si>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</si>
  <si>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</si>
  <si>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</si>
  <si>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</si>
  <si>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</si>
  <si>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</si>
  <si>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</si>
  <si>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</si>
  <si>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</si>
  <si>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</si>
  <si>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</si>
  <si>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</si>
  <si>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</si>
  <si>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</si>
  <si>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</si>
  <si>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</si>
  <si>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</si>
  <si>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</si>
  <si>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</si>
  <si>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</si>
  <si>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</si>
  <si>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</si>
  <si>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</si>
  <si>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</si>
  <si>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</si>
  <si>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</si>
  <si>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</si>
  <si>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</si>
  <si>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</si>
  <si>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</si>
  <si>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</si>
  <si>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</si>
  <si>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Config_IF</t>
    <phoneticPr fontId="2"/>
  </si>
  <si>
    <t>Vehicle Operation Mode</t>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</si>
  <si>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</si>
  <si>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</si>
  <si>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</si>
  <si>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</si>
  <si>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</si>
  <si>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</si>
  <si>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</si>
  <si>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</si>
  <si>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</si>
  <si>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</si>
  <si>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</si>
  <si>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</si>
  <si>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</si>
  <si>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</si>
  <si>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</si>
  <si>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</si>
  <si>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</si>
  <si>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</si>
  <si>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</si>
  <si>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</si>
  <si>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文字数</t>
    <rPh sb="0" eb="3">
      <t>モジスウ</t>
    </rPh>
    <phoneticPr fontId="2"/>
  </si>
  <si>
    <t>NULL</t>
  </si>
  <si>
    <t>Index</t>
  </si>
  <si>
    <t>IGR</t>
  </si>
  <si>
    <t>通常(0b)/
未受信(1b)</t>
    <phoneticPr fontId="2"/>
  </si>
  <si>
    <t>0b</t>
    <phoneticPr fontId="2"/>
  </si>
  <si>
    <t>1b</t>
    <phoneticPr fontId="2"/>
  </si>
  <si>
    <t>*b</t>
    <phoneticPr fontId="2"/>
  </si>
  <si>
    <t>00b</t>
    <phoneticPr fontId="2"/>
  </si>
  <si>
    <t>https://aip01.dndev.net/svn/aip/tmcapp/sd/evidence/trunk/02_Design/01_Vom/Alert/03_Component/alert_design.pptx</t>
    <phoneticPr fontId="2"/>
  </si>
  <si>
    <t>DS12F03_STS</t>
    <phoneticPr fontId="2"/>
  </si>
  <si>
    <t>×</t>
  </si>
  <si>
    <t>SWSBUZ_SIG</t>
    <phoneticPr fontId="2"/>
  </si>
  <si>
    <t>IGR</t>
    <phoneticPr fontId="2"/>
  </si>
  <si>
    <t>DS12F03</t>
  </si>
  <si>
    <t>DS12F03</t>
    <phoneticPr fontId="2"/>
  </si>
  <si>
    <t>IG-ON + 通常 + 未定義</t>
    <phoneticPr fontId="2"/>
  </si>
  <si>
    <t>IG-ON + 未受信 + *</t>
    <rPh sb="8" eb="9">
      <t>ミ</t>
    </rPh>
    <rPh sb="9" eb="11">
      <t>ジュシン</t>
    </rPh>
    <phoneticPr fontId="2"/>
  </si>
  <si>
    <t>IG-OFF + * + *</t>
    <phoneticPr fontId="2"/>
  </si>
  <si>
    <t>01b</t>
    <phoneticPr fontId="2"/>
  </si>
  <si>
    <t>10b</t>
    <phoneticPr fontId="2"/>
  </si>
  <si>
    <t>11b</t>
    <phoneticPr fontId="2"/>
  </si>
  <si>
    <t>UNKNOWN/
DOUBLE</t>
    <phoneticPr fontId="2"/>
  </si>
  <si>
    <t>■CH構成</t>
    <rPh sb="3" eb="5">
      <t>コウセイ</t>
    </rPh>
    <phoneticPr fontId="2"/>
  </si>
  <si>
    <t>シグナル</t>
    <phoneticPr fontId="21"/>
  </si>
  <si>
    <t>値</t>
    <rPh sb="0" eb="1">
      <t>アタイ</t>
    </rPh>
    <phoneticPr fontId="21"/>
  </si>
  <si>
    <t>フレーム</t>
    <phoneticPr fontId="21"/>
  </si>
  <si>
    <t>振る舞い</t>
    <rPh sb="0" eb="1">
      <t>フ</t>
    </rPh>
    <rPh sb="2" eb="3">
      <t>マ</t>
    </rPh>
    <phoneticPr fontId="21"/>
  </si>
  <si>
    <t>REQ</t>
    <phoneticPr fontId="21"/>
  </si>
  <si>
    <t>フェール処理</t>
    <rPh sb="4" eb="6">
      <t>ショリ</t>
    </rPh>
    <phoneticPr fontId="21"/>
  </si>
  <si>
    <t>RW</t>
    <phoneticPr fontId="21"/>
  </si>
  <si>
    <t>CH</t>
    <phoneticPr fontId="21"/>
  </si>
  <si>
    <t>備考</t>
    <rPh sb="0" eb="2">
      <t>ビコウ</t>
    </rPh>
    <phoneticPr fontId="21"/>
  </si>
  <si>
    <t>最終状態保持</t>
    <rPh sb="0" eb="2">
      <t>サイシュウ</t>
    </rPh>
    <rPh sb="2" eb="4">
      <t>ジョウタイ</t>
    </rPh>
    <rPh sb="4" eb="6">
      <t>ホジ</t>
    </rPh>
    <phoneticPr fontId="21"/>
  </si>
  <si>
    <t>DS12F03</t>
    <phoneticPr fontId="21"/>
  </si>
  <si>
    <t>SWSBUZ</t>
    <phoneticPr fontId="21"/>
  </si>
  <si>
    <t>Other than 01b -&gt; 01b</t>
    <phoneticPr fontId="21"/>
  </si>
  <si>
    <t>01b以外 -&gt; 01bのため、エッジ不要</t>
    <rPh sb="3" eb="5">
      <t>イガイ</t>
    </rPh>
    <rPh sb="19" eb="21">
      <t>フヨウ</t>
    </rPh>
    <phoneticPr fontId="21"/>
  </si>
  <si>
    <t>SINGLE</t>
  </si>
  <si>
    <t>SINGLE</t>
    <phoneticPr fontId="2"/>
  </si>
  <si>
    <t>単発/
-</t>
    <phoneticPr fontId="2"/>
  </si>
  <si>
    <t>単発</t>
    <rPh sb="0" eb="2">
      <t>タンパツ</t>
    </rPh>
    <phoneticPr fontId="2"/>
  </si>
  <si>
    <t>IG-ON + 通常 + 単発</t>
    <rPh sb="13" eb="15">
      <t>タンパツ</t>
    </rPh>
    <phoneticPr fontId="2"/>
  </si>
  <si>
    <t>単発(01b)/
未定義(上記以外)</t>
    <rPh sb="0" eb="2">
      <t>タンパツ</t>
    </rPh>
    <phoneticPr fontId="2"/>
  </si>
  <si>
    <t>BC</t>
    <phoneticPr fontId="21"/>
  </si>
  <si>
    <t>KSE大橋諒</t>
    <rPh sb="3" eb="5">
      <t>オオハシ</t>
    </rPh>
    <rPh sb="5" eb="6">
      <t>リョウ</t>
    </rPh>
    <phoneticPr fontId="2"/>
  </si>
  <si>
    <t>新規作成(流用元：alert_S_LDA-CSTD-0-11-A-C0.xlsx)
19PFv3対応
・設計書のリビジョンをRev1に更新
[Matrix]シート
・対象仕様書変更
・ロケーション変更
・No.1,2のCH_Name変更
[CH_Design]シート
・新たに要求追加
ALERT_CH_S_SWS_BC　ALERT_CH_S_SWS_PD
・REQの変更
[PD]シート
・REQの変更
[Reference]シート
・新規の仕様書に合わせて真理値表を修正</t>
    <rPh sb="49" eb="51">
      <t>タイオウ</t>
    </rPh>
    <rPh sb="117" eb="119">
      <t>ヘンコウ</t>
    </rPh>
    <rPh sb="136" eb="137">
      <t>アラ</t>
    </rPh>
    <rPh sb="139" eb="141">
      <t>ヨウキュウ</t>
    </rPh>
    <rPh sb="141" eb="143">
      <t>ツイカ</t>
    </rPh>
    <rPh sb="185" eb="187">
      <t>ヘンコウ</t>
    </rPh>
    <rPh sb="220" eb="222">
      <t>シンキ</t>
    </rPh>
    <rPh sb="223" eb="226">
      <t>シヨウショ</t>
    </rPh>
    <rPh sb="227" eb="228">
      <t>ア</t>
    </rPh>
    <phoneticPr fontId="2"/>
  </si>
  <si>
    <t>KSE大橋諒</t>
    <rPh sb="3" eb="6">
      <t>オオハシリョウ</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</si>
  <si>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</si>
  <si>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</si>
  <si>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</si>
  <si>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</si>
  <si>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</si>
  <si>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</si>
  <si>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</si>
  <si>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</si>
  <si>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</si>
  <si>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</si>
  <si>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</si>
  <si>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</si>
  <si>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</si>
  <si>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1.1.0</t>
    <phoneticPr fontId="2"/>
  </si>
  <si>
    <t>KSE八木春樹</t>
    <rPh sb="3" eb="7">
      <t>ヤギハルキ</t>
    </rPh>
    <phoneticPr fontId="2"/>
  </si>
  <si>
    <t>BEV シス検#2(流用元：alert_S_SWS-CSTD-0-00-A-C0.c)
[Matrix]シート
CH削除
[CH_Design]シート
CH削除に伴い、REQ・機能判定等削除
[PD]シート
CH削除に伴い、シート削除
[Reference]シート
CH削除に伴い、真理値表の修正
[Reference2]シート
CH削除に伴い、表の修正</t>
    <rPh sb="6" eb="7">
      <t>ケン</t>
    </rPh>
    <rPh sb="52" eb="54">
      <t>ツイカ</t>
    </rPh>
    <rPh sb="58" eb="60">
      <t>サクジョ</t>
    </rPh>
    <rPh sb="88" eb="93">
      <t>キノウハンテイトウ</t>
    </rPh>
    <rPh sb="93" eb="95">
      <t>サクジョ</t>
    </rPh>
    <rPh sb="126" eb="130">
      <t>シンリチヒョウ</t>
    </rPh>
    <rPh sb="130" eb="132">
      <t>ツイカ</t>
    </rPh>
    <rPh sb="135" eb="137">
      <t>サクジョ</t>
    </rPh>
    <rPh sb="138" eb="139">
      <t>トモナ</t>
    </rPh>
    <phoneticPr fontId="2"/>
  </si>
  <si>
    <t>https://svn.geniie.net/bevs3/bevs3cdc/仕様書/MET/#1/tags/00.Product/v1.19/制御仕様</t>
    <phoneticPr fontId="2"/>
  </si>
  <si>
    <t>ALERT_CH_S_ADBZR_SWS</t>
  </si>
  <si>
    <t>S_ADBZR-CSTD-0-BZR01-REQ042-</t>
  </si>
  <si>
    <t>5.6.0</t>
    <phoneticPr fontId="2"/>
  </si>
  <si>
    <t>DTPH Eunice</t>
    <phoneticPr fontId="2"/>
  </si>
  <si>
    <t>△1</t>
    <phoneticPr fontId="2"/>
  </si>
  <si>
    <t>BEVシス検ADAS
BEV3CDMET-2019_S_ADBZR対応 (S_SWS分)
△1 SWSの要求ID、仕様署名の更新(SWS→S_ADBZR_SWS)
[Matrix]シート
CH名変更
[CH_Design]シート
CH名変更に従い、要求ID、REQIDの変更
[S_ADBZR_SWS]シート
シート名はS_SWS→S_ADBZR_SWSに変更
[Reference]シート
CH名変更</t>
    <phoneticPr fontId="2"/>
  </si>
  <si>
    <t>(株)デンソー</t>
  </si>
  <si>
    <t>デンソーテクノ(株)</t>
  </si>
  <si>
    <t>MET-S_ADBZR-CSTD-0-06-A-C0.xlsx</t>
    <phoneticPr fontId="2"/>
  </si>
  <si>
    <r>
      <rPr>
        <b/>
        <sz val="12"/>
        <color rgb="FFFF0000"/>
        <rFont val="ＭＳ Ｐゴシック"/>
        <family val="3"/>
        <charset val="128"/>
        <scheme val="minor"/>
      </rPr>
      <t>S_ADBZR_SWS</t>
    </r>
    <r>
      <rPr>
        <b/>
        <sz val="12"/>
        <color theme="1"/>
        <rFont val="ＭＳ Ｐゴシック"/>
        <family val="3"/>
        <charset val="128"/>
        <scheme val="minor"/>
      </rPr>
      <t>判定</t>
    </r>
    <rPh sb="11" eb="13">
      <t>ハンテイ</t>
    </rPh>
    <phoneticPr fontId="2"/>
  </si>
  <si>
    <t>1.1.1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</si>
</sst>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theme="1"/>
      <name val="Calibri"/>
      <family val="2"/>
    </font>
    <font>
      <b/>
      <sz val="12"/>
      <color rgb="FFFF0000"/>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2" fillId="0" borderId="0">
      <alignment vertical="center"/>
    </xf>
  </cellStyleXfs>
  <cellXfs count="29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20" fillId="0" borderId="0" xfId="2">
      <alignment vertical="center"/>
    </xf>
    <xf numFmtId="0" fontId="20" fillId="0" borderId="2" xfId="2" applyBorder="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14" fontId="0" fillId="0" borderId="14" xfId="0" applyNumberFormat="1" applyBorder="1">
      <alignment vertical="center"/>
    </xf>
    <xf numFmtId="0" fontId="23" fillId="0" borderId="0" xfId="3" applyFont="1">
      <alignment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lignment vertical="center"/>
    </xf>
    <xf numFmtId="0" fontId="23" fillId="0" borderId="0" xfId="3" applyFont="1" applyAlignment="1">
      <alignment horizontal="center" vertical="center"/>
    </xf>
    <xf numFmtId="0" fontId="27" fillId="0" borderId="0" xfId="3" applyFont="1" applyAlignment="1">
      <alignment horizontal="center" vertical="center"/>
    </xf>
    <xf numFmtId="0" fontId="23" fillId="0" borderId="64" xfId="3" applyFont="1" applyBorder="1">
      <alignment vertical="center"/>
    </xf>
    <xf numFmtId="0" fontId="23" fillId="0" borderId="66" xfId="3" applyFont="1" applyBorder="1">
      <alignment vertical="center"/>
    </xf>
    <xf numFmtId="0" fontId="23" fillId="0" borderId="65" xfId="3" applyFont="1" applyBorder="1">
      <alignment vertical="center"/>
    </xf>
    <xf numFmtId="0" fontId="23" fillId="0" borderId="82" xfId="3" applyFont="1" applyBorder="1">
      <alignment vertical="center"/>
    </xf>
    <xf numFmtId="0" fontId="23" fillId="0" borderId="83" xfId="3" applyFont="1" applyBorder="1">
      <alignment vertical="center"/>
    </xf>
    <xf numFmtId="0" fontId="23" fillId="0" borderId="83" xfId="3" applyFont="1" applyBorder="1" applyAlignment="1">
      <alignment horizontal="center" vertical="center"/>
    </xf>
    <xf numFmtId="0" fontId="23" fillId="0" borderId="82" xfId="3" applyFont="1" applyBorder="1" applyAlignment="1">
      <alignment horizontal="center" vertical="center"/>
    </xf>
    <xf numFmtId="0" fontId="23" fillId="0" borderId="29" xfId="3" applyFont="1" applyBorder="1">
      <alignment vertical="center"/>
    </xf>
    <xf numFmtId="0" fontId="23" fillId="0" borderId="11" xfId="3" applyFont="1" applyBorder="1">
      <alignment vertical="center"/>
    </xf>
    <xf numFmtId="0" fontId="23" fillId="0" borderId="25" xfId="3" applyFont="1" applyBorder="1">
      <alignment vertical="center"/>
    </xf>
    <xf numFmtId="0" fontId="11" fillId="12" borderId="6" xfId="0" applyFont="1" applyFill="1" applyBorder="1" applyProtection="1">
      <alignment vertical="center"/>
    </xf>
    <xf numFmtId="0" fontId="11" fillId="12" borderId="7" xfId="0" applyFont="1" applyFill="1" applyBorder="1" applyProtection="1">
      <alignment vertical="center"/>
    </xf>
    <xf numFmtId="0" fontId="11" fillId="0" borderId="33" xfId="0" applyFont="1" applyBorder="1">
      <alignment vertical="center"/>
    </xf>
    <xf numFmtId="0" fontId="11" fillId="0" borderId="2" xfId="0" applyFont="1" applyBorder="1" applyAlignment="1">
      <alignment vertical="center" wrapText="1"/>
    </xf>
    <xf numFmtId="0" fontId="18" fillId="0" borderId="2" xfId="0" applyFont="1" applyBorder="1">
      <alignment vertical="center"/>
    </xf>
    <xf numFmtId="14" fontId="18" fillId="0" borderId="7" xfId="0" applyNumberFormat="1" applyFont="1" applyBorder="1">
      <alignment vertical="center"/>
    </xf>
    <xf numFmtId="14" fontId="18" fillId="0" borderId="2" xfId="0" applyNumberFormat="1" applyFont="1" applyBorder="1">
      <alignment vertical="center"/>
    </xf>
    <xf numFmtId="0" fontId="10" fillId="0" borderId="0" xfId="3" applyFont="1">
      <alignment vertical="center"/>
    </xf>
    <xf numFmtId="0" fontId="28" fillId="0" borderId="0" xfId="0" applyFont="1">
      <alignment vertical="center"/>
    </xf>
    <xf numFmtId="0" fontId="23" fillId="0" borderId="27" xfId="3" applyFont="1" applyBorder="1" applyAlignment="1">
      <alignment horizontal="center" vertical="center"/>
    </xf>
    <xf numFmtId="0" fontId="23" fillId="0" borderId="12" xfId="3" applyFont="1" applyBorder="1" applyAlignment="1">
      <alignment horizontal="center" vertical="center"/>
    </xf>
    <xf numFmtId="0" fontId="23" fillId="0" borderId="31" xfId="3"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2" xfId="2" xr:uid="{6B3FC87B-7104-4D14-B34B-9F876E69DD63}"/>
    <cellStyle name="標準 3 3 4 3" xfId="3" xr:uid="{422E27E7-43C1-43D9-A3F1-E410ED12857A}"/>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84ADE8B-FD8B-447C-A212-C9EE06C6793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3CB16EDF-091D-4F73-832F-6DA2466104AE}"/>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CAB47522-0586-415C-AA1C-667D1D97D7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75EEE0C9-2E17-4BAF-821C-8E1230E8FE89}"/>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CAAA9C6E-2C54-453F-A7C8-BA11D1B76442}"/>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78441</xdr:colOff>
      <xdr:row>50</xdr:row>
      <xdr:rowOff>89646</xdr:rowOff>
    </xdr:from>
    <xdr:to>
      <xdr:col>37</xdr:col>
      <xdr:colOff>16586</xdr:colOff>
      <xdr:row>54</xdr:row>
      <xdr:rowOff>11093</xdr:rowOff>
    </xdr:to>
    <xdr:pic>
      <xdr:nvPicPr>
        <xdr:cNvPr id="7" name="図 6">
          <a:extLst>
            <a:ext uri="{FF2B5EF4-FFF2-40B4-BE49-F238E27FC236}">
              <a16:creationId xmlns:a16="http://schemas.microsoft.com/office/drawing/2014/main" id="{623A1090-D83E-E9F5-93FC-39C3FE700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5765" y="8494058"/>
          <a:ext cx="524660" cy="591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98476</xdr:colOff>
          <xdr:row>53</xdr:row>
          <xdr:rowOff>6164</xdr:rowOff>
        </xdr:from>
        <xdr:to>
          <xdr:col>38</xdr:col>
          <xdr:colOff>120263</xdr:colOff>
          <xdr:row>55</xdr:row>
          <xdr:rowOff>121361</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3CAA348B-C41A-5786-D482-B20270FEF00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42</xdr:col>
      <xdr:colOff>0</xdr:colOff>
      <xdr:row>46</xdr:row>
      <xdr:rowOff>0</xdr:rowOff>
    </xdr:from>
    <xdr:to>
      <xdr:col>72</xdr:col>
      <xdr:colOff>132009</xdr:colOff>
      <xdr:row>54</xdr:row>
      <xdr:rowOff>23812</xdr:rowOff>
    </xdr:to>
    <xdr:pic>
      <xdr:nvPicPr>
        <xdr:cNvPr id="6" name="図 5">
          <a:extLst>
            <a:ext uri="{FF2B5EF4-FFF2-40B4-BE49-F238E27FC236}">
              <a16:creationId xmlns:a16="http://schemas.microsoft.com/office/drawing/2014/main" id="{B71F493F-B0E4-DC92-DB2C-5601D543E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79813" y="8858250"/>
          <a:ext cx="18705759" cy="1381125"/>
        </a:xfrm>
        <a:prstGeom prst="rect">
          <a:avLst/>
        </a:prstGeom>
        <a:solidFill>
          <a:schemeClr val="bg1"/>
        </a:solidFill>
      </xdr:spPr>
    </xdr:pic>
    <xdr:clientData/>
  </xdr:twoCellAnchor>
  <xdr:twoCellAnchor editAs="oneCell">
    <xdr:from>
      <xdr:col>18</xdr:col>
      <xdr:colOff>0</xdr:colOff>
      <xdr:row>57</xdr:row>
      <xdr:rowOff>0</xdr:rowOff>
    </xdr:from>
    <xdr:to>
      <xdr:col>40</xdr:col>
      <xdr:colOff>571500</xdr:colOff>
      <xdr:row>62</xdr:row>
      <xdr:rowOff>123092</xdr:rowOff>
    </xdr:to>
    <xdr:pic>
      <xdr:nvPicPr>
        <xdr:cNvPr id="5" name="図 4">
          <a:extLst>
            <a:ext uri="{FF2B5EF4-FFF2-40B4-BE49-F238E27FC236}">
              <a16:creationId xmlns:a16="http://schemas.microsoft.com/office/drawing/2014/main" id="{C31A010F-F1D6-FCB5-29E9-24D81008A1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7000" y="11963400"/>
          <a:ext cx="13982700" cy="1075592"/>
        </a:xfrm>
        <a:prstGeom prst="rect">
          <a:avLst/>
        </a:prstGeom>
        <a:solidFill>
          <a:schemeClr val="bg1"/>
        </a:solidFill>
      </xdr:spPr>
    </xdr:pic>
    <xdr:clientData/>
  </xdr:twoCellAnchor>
  <xdr:twoCellAnchor editAs="oneCell">
    <xdr:from>
      <xdr:col>18</xdr:col>
      <xdr:colOff>0</xdr:colOff>
      <xdr:row>38</xdr:row>
      <xdr:rowOff>0</xdr:rowOff>
    </xdr:from>
    <xdr:to>
      <xdr:col>40</xdr:col>
      <xdr:colOff>571499</xdr:colOff>
      <xdr:row>56</xdr:row>
      <xdr:rowOff>2100</xdr:rowOff>
    </xdr:to>
    <xdr:pic>
      <xdr:nvPicPr>
        <xdr:cNvPr id="3" name="図 2">
          <a:extLst>
            <a:ext uri="{FF2B5EF4-FFF2-40B4-BE49-F238E27FC236}">
              <a16:creationId xmlns:a16="http://schemas.microsoft.com/office/drawing/2014/main" id="{764D642E-61CD-F28F-8428-25312427ECE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120813" y="7524750"/>
          <a:ext cx="14192249" cy="3026288"/>
        </a:xfrm>
        <a:prstGeom prst="rect">
          <a:avLst/>
        </a:prstGeom>
        <a:solidFill>
          <a:schemeClr val="bg1"/>
        </a:solidFill>
      </xdr:spPr>
    </xdr:pic>
    <xdr:clientData/>
  </xdr:twoCellAnchor>
  <xdr:twoCellAnchor editAs="oneCell">
    <xdr:from>
      <xdr:col>18</xdr:col>
      <xdr:colOff>1</xdr:colOff>
      <xdr:row>5</xdr:row>
      <xdr:rowOff>1</xdr:rowOff>
    </xdr:from>
    <xdr:to>
      <xdr:col>37</xdr:col>
      <xdr:colOff>88496</xdr:colOff>
      <xdr:row>36</xdr:row>
      <xdr:rowOff>114925</xdr:rowOff>
    </xdr:to>
    <xdr:pic>
      <xdr:nvPicPr>
        <xdr:cNvPr id="2" name="図 1">
          <a:extLst>
            <a:ext uri="{FF2B5EF4-FFF2-40B4-BE49-F238E27FC236}">
              <a16:creationId xmlns:a16="http://schemas.microsoft.com/office/drawing/2014/main" id="{95C8C4FF-C756-3F16-F911-04B10BFB5BF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923819" y="900546"/>
          <a:ext cx="11603181" cy="6591924"/>
        </a:xfrm>
        <a:prstGeom prst="rect">
          <a:avLst/>
        </a:prstGeom>
        <a:solidFill>
          <a:schemeClr val="bg1"/>
        </a:solidFill>
      </xdr:spPr>
    </xdr:pic>
    <xdr:clientData/>
  </xdr:twoCellAnchor>
  <xdr:twoCellAnchor editAs="absolute">
    <xdr:from>
      <xdr:col>10</xdr:col>
      <xdr:colOff>1046917</xdr:colOff>
      <xdr:row>17</xdr:row>
      <xdr:rowOff>94711</xdr:rowOff>
    </xdr:from>
    <xdr:to>
      <xdr:col>13</xdr:col>
      <xdr:colOff>520477</xdr:colOff>
      <xdr:row>19</xdr:row>
      <xdr:rowOff>149040</xdr:rowOff>
    </xdr:to>
    <xdr:sp macro="" textlink="">
      <xdr:nvSpPr>
        <xdr:cNvPr id="142" name="線吹き出し 1 (枠付き) 104">
          <a:extLst>
            <a:ext uri="{FF2B5EF4-FFF2-40B4-BE49-F238E27FC236}">
              <a16:creationId xmlns:a16="http://schemas.microsoft.com/office/drawing/2014/main" id="{8091C8E4-5D1C-435B-974D-D177FF46D20A}"/>
            </a:ext>
          </a:extLst>
        </xdr:cNvPr>
        <xdr:cNvSpPr/>
      </xdr:nvSpPr>
      <xdr:spPr>
        <a:xfrm>
          <a:off x="6481882" y="4253326"/>
          <a:ext cx="4851375" cy="401039"/>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7</xdr:col>
      <xdr:colOff>201930</xdr:colOff>
      <xdr:row>0</xdr:row>
      <xdr:rowOff>53340</xdr:rowOff>
    </xdr:from>
    <xdr:to>
      <xdr:col>11</xdr:col>
      <xdr:colOff>1349557</xdr:colOff>
      <xdr:row>2</xdr:row>
      <xdr:rowOff>120308</xdr:rowOff>
    </xdr:to>
    <xdr:sp macro="" textlink="">
      <xdr:nvSpPr>
        <xdr:cNvPr id="143" name="線吹き出し 1 (枠付き) 42">
          <a:extLst>
            <a:ext uri="{FF2B5EF4-FFF2-40B4-BE49-F238E27FC236}">
              <a16:creationId xmlns:a16="http://schemas.microsoft.com/office/drawing/2014/main" id="{A5DA1C8A-D6AA-47C2-AE94-6478E451AEA4}"/>
            </a:ext>
          </a:extLst>
        </xdr:cNvPr>
        <xdr:cNvSpPr/>
      </xdr:nvSpPr>
      <xdr:spPr>
        <a:xfrm>
          <a:off x="4867275" y="57150"/>
          <a:ext cx="3429817" cy="404153"/>
        </a:xfrm>
        <a:prstGeom prst="borderCallout1">
          <a:avLst>
            <a:gd name="adj1" fmla="val 38295"/>
            <a:gd name="adj2" fmla="val -1002"/>
            <a:gd name="adj3" fmla="val 131150"/>
            <a:gd name="adj4" fmla="val -13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0</xdr:colOff>
      <xdr:row>1</xdr:row>
      <xdr:rowOff>0</xdr:rowOff>
    </xdr:from>
    <xdr:to>
      <xdr:col>23</xdr:col>
      <xdr:colOff>120394</xdr:colOff>
      <xdr:row>4</xdr:row>
      <xdr:rowOff>50806</xdr:rowOff>
    </xdr:to>
    <xdr:sp macro="" textlink="">
      <xdr:nvSpPr>
        <xdr:cNvPr id="144" name="正方形/長方形 143">
          <a:extLst>
            <a:ext uri="{FF2B5EF4-FFF2-40B4-BE49-F238E27FC236}">
              <a16:creationId xmlns:a16="http://schemas.microsoft.com/office/drawing/2014/main" id="{6CBB0910-5E05-4D7E-AFC7-78E140014581}"/>
            </a:ext>
          </a:extLst>
        </xdr:cNvPr>
        <xdr:cNvSpPr/>
      </xdr:nvSpPr>
      <xdr:spPr>
        <a:xfrm>
          <a:off x="15609794" y="168088"/>
          <a:ext cx="3536283" cy="5979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BEV3</a:t>
          </a:r>
          <a:r>
            <a:rPr kumimoji="1" lang="ja-JP" altLang="en-US" sz="1200" b="1">
              <a:solidFill>
                <a:srgbClr val="FF0000"/>
              </a:solidFill>
              <a:latin typeface="Meiryo UI" panose="020B0604030504040204" pitchFamily="50" charset="-128"/>
              <a:ea typeface="Meiryo UI" panose="020B0604030504040204" pitchFamily="50" charset="-128"/>
            </a:rPr>
            <a:t>シス剣</a:t>
          </a:r>
          <a:r>
            <a:rPr kumimoji="1" lang="en-US" altLang="ja-JP" sz="1200" b="1">
              <a:solidFill>
                <a:srgbClr val="FF0000"/>
              </a:solidFill>
              <a:latin typeface="Meiryo UI" panose="020B0604030504040204" pitchFamily="50" charset="-128"/>
              <a:ea typeface="Meiryo UI" panose="020B0604030504040204" pitchFamily="50" charset="-128"/>
            </a:rPr>
            <a:t>ADAS</a:t>
          </a:r>
          <a:r>
            <a:rPr kumimoji="1" lang="ja-JP" altLang="en-US" sz="1200" b="1" baseline="0">
              <a:solidFill>
                <a:srgbClr val="FF0000"/>
              </a:solidFill>
              <a:latin typeface="Meiryo UI" panose="020B0604030504040204" pitchFamily="50" charset="-128"/>
              <a:ea typeface="Meiryo UI" panose="020B0604030504040204" pitchFamily="50" charset="-128"/>
            </a:rPr>
            <a:t>からの変更点は赤字で記載</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17</xdr:col>
      <xdr:colOff>515660</xdr:colOff>
      <xdr:row>20</xdr:row>
      <xdr:rowOff>22216</xdr:rowOff>
    </xdr:from>
    <xdr:to>
      <xdr:col>37</xdr:col>
      <xdr:colOff>25309</xdr:colOff>
      <xdr:row>22</xdr:row>
      <xdr:rowOff>58486</xdr:rowOff>
    </xdr:to>
    <xdr:sp macro="" textlink="">
      <xdr:nvSpPr>
        <xdr:cNvPr id="146" name="正方形/長方形 145">
          <a:extLst>
            <a:ext uri="{FF2B5EF4-FFF2-40B4-BE49-F238E27FC236}">
              <a16:creationId xmlns:a16="http://schemas.microsoft.com/office/drawing/2014/main" id="{64815B5E-3BC9-439C-B400-A9A1FA5818A8}"/>
            </a:ext>
          </a:extLst>
        </xdr:cNvPr>
        <xdr:cNvSpPr/>
      </xdr:nvSpPr>
      <xdr:spPr>
        <a:xfrm>
          <a:off x="13874064" y="4685656"/>
          <a:ext cx="11761793" cy="3900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405914</xdr:colOff>
      <xdr:row>11</xdr:row>
      <xdr:rowOff>105335</xdr:rowOff>
    </xdr:from>
    <xdr:to>
      <xdr:col>40</xdr:col>
      <xdr:colOff>278130</xdr:colOff>
      <xdr:row>18</xdr:row>
      <xdr:rowOff>20955</xdr:rowOff>
    </xdr:to>
    <xdr:sp macro="" textlink="">
      <xdr:nvSpPr>
        <xdr:cNvPr id="147" name="線吹き出し 1 (枠付き) 290">
          <a:extLst>
            <a:ext uri="{FF2B5EF4-FFF2-40B4-BE49-F238E27FC236}">
              <a16:creationId xmlns:a16="http://schemas.microsoft.com/office/drawing/2014/main" id="{A619BBCD-386A-491C-A567-FC7C21F459F5}"/>
            </a:ext>
          </a:extLst>
        </xdr:cNvPr>
        <xdr:cNvSpPr/>
      </xdr:nvSpPr>
      <xdr:spPr>
        <a:xfrm>
          <a:off x="25351889" y="3143810"/>
          <a:ext cx="2310616" cy="1115770"/>
        </a:xfrm>
        <a:prstGeom prst="borderCallout1">
          <a:avLst>
            <a:gd name="adj1" fmla="val 42429"/>
            <a:gd name="adj2" fmla="val -3670"/>
            <a:gd name="adj3" fmla="val 127994"/>
            <a:gd name="adj4" fmla="val -707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シス剣</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ADAS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に、リモートワーニングが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で管理されなくなりました。対象外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295164</xdr:colOff>
      <xdr:row>44</xdr:row>
      <xdr:rowOff>20956</xdr:rowOff>
    </xdr:from>
    <xdr:to>
      <xdr:col>29</xdr:col>
      <xdr:colOff>472440</xdr:colOff>
      <xdr:row>56</xdr:row>
      <xdr:rowOff>9525</xdr:rowOff>
    </xdr:to>
    <xdr:sp macro="" textlink="">
      <xdr:nvSpPr>
        <xdr:cNvPr id="152" name="正方形/長方形 151">
          <a:extLst>
            <a:ext uri="{FF2B5EF4-FFF2-40B4-BE49-F238E27FC236}">
              <a16:creationId xmlns:a16="http://schemas.microsoft.com/office/drawing/2014/main" id="{FAC65A4B-84BD-4BCC-B394-6C4AA31C8C82}"/>
            </a:ext>
          </a:extLst>
        </xdr:cNvPr>
        <xdr:cNvSpPr/>
      </xdr:nvSpPr>
      <xdr:spPr>
        <a:xfrm>
          <a:off x="20364339" y="8717281"/>
          <a:ext cx="786876" cy="20554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384150</xdr:colOff>
      <xdr:row>38</xdr:row>
      <xdr:rowOff>63686</xdr:rowOff>
    </xdr:from>
    <xdr:to>
      <xdr:col>30</xdr:col>
      <xdr:colOff>345864</xdr:colOff>
      <xdr:row>40</xdr:row>
      <xdr:rowOff>115907</xdr:rowOff>
    </xdr:to>
    <xdr:sp macro="" textlink="">
      <xdr:nvSpPr>
        <xdr:cNvPr id="153" name="線吹き出し 1 (枠付き) 375">
          <a:extLst>
            <a:ext uri="{FF2B5EF4-FFF2-40B4-BE49-F238E27FC236}">
              <a16:creationId xmlns:a16="http://schemas.microsoft.com/office/drawing/2014/main" id="{0765B343-DFEC-4A6D-8E2D-F717455AF4D7}"/>
            </a:ext>
          </a:extLst>
        </xdr:cNvPr>
        <xdr:cNvSpPr/>
      </xdr:nvSpPr>
      <xdr:spPr>
        <a:xfrm>
          <a:off x="20453325" y="7731311"/>
          <a:ext cx="1180914" cy="395121"/>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30</xdr:col>
      <xdr:colOff>356138</xdr:colOff>
      <xdr:row>37</xdr:row>
      <xdr:rowOff>70037</xdr:rowOff>
    </xdr:from>
    <xdr:to>
      <xdr:col>35</xdr:col>
      <xdr:colOff>506295</xdr:colOff>
      <xdr:row>42</xdr:row>
      <xdr:rowOff>3252</xdr:rowOff>
    </xdr:to>
    <xdr:sp macro="" textlink="">
      <xdr:nvSpPr>
        <xdr:cNvPr id="154" name="線吹き出し 1 (枠付き) 376">
          <a:extLst>
            <a:ext uri="{FF2B5EF4-FFF2-40B4-BE49-F238E27FC236}">
              <a16:creationId xmlns:a16="http://schemas.microsoft.com/office/drawing/2014/main" id="{DDB7FE6D-63C9-481A-A157-834D7706A57A}"/>
            </a:ext>
          </a:extLst>
        </xdr:cNvPr>
        <xdr:cNvSpPr/>
      </xdr:nvSpPr>
      <xdr:spPr>
        <a:xfrm>
          <a:off x="21644513" y="7566212"/>
          <a:ext cx="3198157" cy="790465"/>
        </a:xfrm>
        <a:prstGeom prst="borderCallout1">
          <a:avLst>
            <a:gd name="adj1" fmla="val 101020"/>
            <a:gd name="adj2" fmla="val 17344"/>
            <a:gd name="adj3" fmla="val 288031"/>
            <a:gd name="adj4" fmla="val -62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なのでエッジ判定は行わなず、レベルで通知する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475150</xdr:colOff>
      <xdr:row>44</xdr:row>
      <xdr:rowOff>34291</xdr:rowOff>
    </xdr:from>
    <xdr:to>
      <xdr:col>31</xdr:col>
      <xdr:colOff>392430</xdr:colOff>
      <xdr:row>55</xdr:row>
      <xdr:rowOff>152400</xdr:rowOff>
    </xdr:to>
    <xdr:sp macro="" textlink="">
      <xdr:nvSpPr>
        <xdr:cNvPr id="155" name="正方形/長方形 154">
          <a:extLst>
            <a:ext uri="{FF2B5EF4-FFF2-40B4-BE49-F238E27FC236}">
              <a16:creationId xmlns:a16="http://schemas.microsoft.com/office/drawing/2014/main" id="{4576698A-6725-4AB5-9C3A-A42781091A7A}"/>
            </a:ext>
          </a:extLst>
        </xdr:cNvPr>
        <xdr:cNvSpPr/>
      </xdr:nvSpPr>
      <xdr:spPr>
        <a:xfrm>
          <a:off x="21153925" y="8730616"/>
          <a:ext cx="1136480" cy="2013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400050</xdr:colOff>
      <xdr:row>44</xdr:row>
      <xdr:rowOff>24765</xdr:rowOff>
    </xdr:from>
    <xdr:to>
      <xdr:col>33</xdr:col>
      <xdr:colOff>314325</xdr:colOff>
      <xdr:row>55</xdr:row>
      <xdr:rowOff>163829</xdr:rowOff>
    </xdr:to>
    <xdr:sp macro="" textlink="">
      <xdr:nvSpPr>
        <xdr:cNvPr id="156" name="正方形/長方形 155">
          <a:extLst>
            <a:ext uri="{FF2B5EF4-FFF2-40B4-BE49-F238E27FC236}">
              <a16:creationId xmlns:a16="http://schemas.microsoft.com/office/drawing/2014/main" id="{9C2608FF-D9FC-4617-8AD8-980F01E76BB9}"/>
            </a:ext>
          </a:extLst>
        </xdr:cNvPr>
        <xdr:cNvSpPr/>
      </xdr:nvSpPr>
      <xdr:spPr>
        <a:xfrm>
          <a:off x="22298025" y="8721090"/>
          <a:ext cx="1133475" cy="20345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59</xdr:col>
      <xdr:colOff>36880</xdr:colOff>
      <xdr:row>49</xdr:row>
      <xdr:rowOff>136534</xdr:rowOff>
    </xdr:from>
    <xdr:to>
      <xdr:col>67</xdr:col>
      <xdr:colOff>493058</xdr:colOff>
      <xdr:row>54</xdr:row>
      <xdr:rowOff>22412</xdr:rowOff>
    </xdr:to>
    <xdr:sp macro="" textlink="">
      <xdr:nvSpPr>
        <xdr:cNvPr id="158" name="正方形/長方形 157">
          <a:extLst>
            <a:ext uri="{FF2B5EF4-FFF2-40B4-BE49-F238E27FC236}">
              <a16:creationId xmlns:a16="http://schemas.microsoft.com/office/drawing/2014/main" id="{8C046720-24AA-4EF9-9907-43FC7F3858A2}"/>
            </a:ext>
          </a:extLst>
        </xdr:cNvPr>
        <xdr:cNvSpPr/>
      </xdr:nvSpPr>
      <xdr:spPr>
        <a:xfrm>
          <a:off x="38786821" y="9549475"/>
          <a:ext cx="5297119" cy="7375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316230</xdr:colOff>
      <xdr:row>50</xdr:row>
      <xdr:rowOff>14904</xdr:rowOff>
    </xdr:from>
    <xdr:to>
      <xdr:col>59</xdr:col>
      <xdr:colOff>36880</xdr:colOff>
      <xdr:row>51</xdr:row>
      <xdr:rowOff>154104</xdr:rowOff>
    </xdr:to>
    <xdr:cxnSp macro="">
      <xdr:nvCxnSpPr>
        <xdr:cNvPr id="160" name="直線コネクタ 159">
          <a:extLst>
            <a:ext uri="{FF2B5EF4-FFF2-40B4-BE49-F238E27FC236}">
              <a16:creationId xmlns:a16="http://schemas.microsoft.com/office/drawing/2014/main" id="{E09AF96F-A38D-47BA-9A27-64EA65543BF7}"/>
            </a:ext>
          </a:extLst>
        </xdr:cNvPr>
        <xdr:cNvCxnSpPr>
          <a:cxnSpLocks/>
          <a:stCxn id="156" idx="3"/>
          <a:endCxn id="158" idx="1"/>
        </xdr:cNvCxnSpPr>
      </xdr:nvCxnSpPr>
      <xdr:spPr>
        <a:xfrm>
          <a:off x="23333112" y="9595933"/>
          <a:ext cx="15453709" cy="318495"/>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63</xdr:col>
      <xdr:colOff>571748</xdr:colOff>
      <xdr:row>43</xdr:row>
      <xdr:rowOff>91470</xdr:rowOff>
    </xdr:from>
    <xdr:to>
      <xdr:col>66</xdr:col>
      <xdr:colOff>405247</xdr:colOff>
      <xdr:row>47</xdr:row>
      <xdr:rowOff>11251</xdr:rowOff>
    </xdr:to>
    <xdr:sp macro="" textlink="">
      <xdr:nvSpPr>
        <xdr:cNvPr id="164" name="線吹き出し 1 (枠付き) 380">
          <a:extLst>
            <a:ext uri="{FF2B5EF4-FFF2-40B4-BE49-F238E27FC236}">
              <a16:creationId xmlns:a16="http://schemas.microsoft.com/office/drawing/2014/main" id="{9059EBDC-1E6E-4A08-B22B-08BE796D735D}"/>
            </a:ext>
          </a:extLst>
        </xdr:cNvPr>
        <xdr:cNvSpPr/>
      </xdr:nvSpPr>
      <xdr:spPr>
        <a:xfrm>
          <a:off x="41742160" y="8495882"/>
          <a:ext cx="1648852" cy="592134"/>
        </a:xfrm>
        <a:prstGeom prst="borderCallout1">
          <a:avLst>
            <a:gd name="adj1" fmla="val 44823"/>
            <a:gd name="adj2" fmla="val -3207"/>
            <a:gd name="adj3" fmla="val 176463"/>
            <a:gd name="adj4" fmla="val -43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参考のみの記載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ソフト影響無し。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531849</xdr:colOff>
      <xdr:row>58</xdr:row>
      <xdr:rowOff>53340</xdr:rowOff>
    </xdr:from>
    <xdr:to>
      <xdr:col>34</xdr:col>
      <xdr:colOff>53341</xdr:colOff>
      <xdr:row>63</xdr:row>
      <xdr:rowOff>38099</xdr:rowOff>
    </xdr:to>
    <xdr:sp macro="" textlink="">
      <xdr:nvSpPr>
        <xdr:cNvPr id="167" name="正方形/長方形 166">
          <a:extLst>
            <a:ext uri="{FF2B5EF4-FFF2-40B4-BE49-F238E27FC236}">
              <a16:creationId xmlns:a16="http://schemas.microsoft.com/office/drawing/2014/main" id="{C859BF48-0E24-47C4-8D29-97F3E3A8C7D4}"/>
            </a:ext>
          </a:extLst>
        </xdr:cNvPr>
        <xdr:cNvSpPr/>
      </xdr:nvSpPr>
      <xdr:spPr>
        <a:xfrm>
          <a:off x="22429824" y="11159490"/>
          <a:ext cx="1350292" cy="842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255951</xdr:colOff>
      <xdr:row>65</xdr:row>
      <xdr:rowOff>6881</xdr:rowOff>
    </xdr:from>
    <xdr:to>
      <xdr:col>35</xdr:col>
      <xdr:colOff>360809</xdr:colOff>
      <xdr:row>67</xdr:row>
      <xdr:rowOff>169869</xdr:rowOff>
    </xdr:to>
    <xdr:sp macro="" textlink="">
      <xdr:nvSpPr>
        <xdr:cNvPr id="168" name="線吹き出し 1 (枠付き) 373">
          <a:extLst>
            <a:ext uri="{FF2B5EF4-FFF2-40B4-BE49-F238E27FC236}">
              <a16:creationId xmlns:a16="http://schemas.microsoft.com/office/drawing/2014/main" id="{BE905EA5-7F0B-4A04-B554-432D03BF0CB4}"/>
            </a:ext>
          </a:extLst>
        </xdr:cNvPr>
        <xdr:cNvSpPr/>
      </xdr:nvSpPr>
      <xdr:spPr>
        <a:xfrm>
          <a:off x="23373126" y="12313181"/>
          <a:ext cx="1324058" cy="505888"/>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absolute">
    <xdr:from>
      <xdr:col>36</xdr:col>
      <xdr:colOff>406915</xdr:colOff>
      <xdr:row>65</xdr:row>
      <xdr:rowOff>9848</xdr:rowOff>
    </xdr:from>
    <xdr:to>
      <xdr:col>40</xdr:col>
      <xdr:colOff>580219</xdr:colOff>
      <xdr:row>70</xdr:row>
      <xdr:rowOff>46645</xdr:rowOff>
    </xdr:to>
    <xdr:sp macro="" textlink="">
      <xdr:nvSpPr>
        <xdr:cNvPr id="169" name="線吹き出し 1 (枠付き) 374">
          <a:extLst>
            <a:ext uri="{FF2B5EF4-FFF2-40B4-BE49-F238E27FC236}">
              <a16:creationId xmlns:a16="http://schemas.microsoft.com/office/drawing/2014/main" id="{F699A840-12E4-41DA-8D19-2AE480B17FB5}"/>
            </a:ext>
          </a:extLst>
        </xdr:cNvPr>
        <xdr:cNvSpPr/>
      </xdr:nvSpPr>
      <xdr:spPr>
        <a:xfrm>
          <a:off x="25352890" y="12316148"/>
          <a:ext cx="2611704" cy="894047"/>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60863</xdr:colOff>
      <xdr:row>58</xdr:row>
      <xdr:rowOff>48522</xdr:rowOff>
    </xdr:from>
    <xdr:to>
      <xdr:col>36</xdr:col>
      <xdr:colOff>152400</xdr:colOff>
      <xdr:row>63</xdr:row>
      <xdr:rowOff>39221</xdr:rowOff>
    </xdr:to>
    <xdr:sp macro="" textlink="">
      <xdr:nvSpPr>
        <xdr:cNvPr id="170" name="正方形/長方形 169">
          <a:extLst>
            <a:ext uri="{FF2B5EF4-FFF2-40B4-BE49-F238E27FC236}">
              <a16:creationId xmlns:a16="http://schemas.microsoft.com/office/drawing/2014/main" id="{D66C5174-2A41-4169-8189-FE26CCC4C26F}"/>
            </a:ext>
          </a:extLst>
        </xdr:cNvPr>
        <xdr:cNvSpPr/>
      </xdr:nvSpPr>
      <xdr:spPr>
        <a:xfrm>
          <a:off x="23787638" y="11154672"/>
          <a:ext cx="1310737" cy="8479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DB7F-7054-4C46-860C-369D0E03C547}">
  <sheetPr>
    <tabColor theme="5"/>
  </sheetPr>
  <dimension ref="C1:AM57"/>
  <sheetViews>
    <sheetView showGridLines="0" tabSelected="1" view="pageBreakPreview" zoomScale="85" zoomScaleNormal="100" zoomScaleSheetLayoutView="85" workbookViewId="0">
      <selection activeCell="AZ52" sqref="AZ52"/>
    </sheetView>
  </sheetViews>
  <sheetFormatPr defaultColWidth="8.109375" defaultRowHeight="15"/>
  <cols>
    <col min="1" max="52" width="2.109375" style="213" customWidth="1"/>
    <col min="53" max="16384" width="8.109375" style="213"/>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14"/>
    </row>
    <row r="11" spans="6:20" ht="13.2" customHeight="1"/>
    <row r="12" spans="6:20" ht="13.2" customHeight="1"/>
    <row r="13" spans="6:20" ht="13.2" customHeight="1">
      <c r="T13" s="215" t="str">
        <f ca="1">MID(CELL("filename",A1),FIND("[",CELL("filename",A1))+1,FIND("]",CELL("filename",A1))-FIND("[",CELL("filename",A1))-1)</f>
        <v>alert_S_ADBZR_SWS-CSTD-0-06-A-C0.xlsx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16"/>
      <c r="V32" s="216"/>
    </row>
    <row r="33" spans="3:39" ht="13.2" customHeight="1">
      <c r="M33" s="217"/>
      <c r="N33" s="217"/>
      <c r="O33" s="217"/>
      <c r="P33" s="217"/>
      <c r="Q33" s="217"/>
      <c r="AF33" s="217"/>
      <c r="AG33" s="217"/>
      <c r="AH33" s="217"/>
      <c r="AI33" s="217"/>
      <c r="AJ33" s="217"/>
    </row>
    <row r="34" spans="3:39" ht="13.2" customHeight="1">
      <c r="Y34" s="236" t="s">
        <v>252</v>
      </c>
    </row>
    <row r="35" spans="3:39" ht="13.2" customHeight="1">
      <c r="Y35" s="238" t="s">
        <v>229</v>
      </c>
      <c r="Z35" s="239"/>
      <c r="AA35" s="239"/>
      <c r="AB35" s="239"/>
      <c r="AC35" s="240"/>
      <c r="AD35" s="238" t="s">
        <v>230</v>
      </c>
      <c r="AE35" s="239"/>
      <c r="AF35" s="239"/>
      <c r="AG35" s="239"/>
      <c r="AH35" s="240"/>
      <c r="AI35" s="238" t="s">
        <v>231</v>
      </c>
      <c r="AJ35" s="239"/>
      <c r="AK35" s="239"/>
      <c r="AL35" s="239"/>
      <c r="AM35" s="240"/>
    </row>
    <row r="36" spans="3:39" ht="13.2" customHeight="1">
      <c r="D36" s="217"/>
      <c r="E36" s="218"/>
      <c r="F36" s="217"/>
      <c r="G36" s="217"/>
      <c r="I36" s="217"/>
      <c r="J36" s="218"/>
      <c r="K36" s="217"/>
      <c r="L36" s="217"/>
      <c r="M36" s="217"/>
      <c r="N36" s="217"/>
      <c r="O36" s="218"/>
      <c r="P36" s="217"/>
      <c r="Q36" s="217"/>
      <c r="W36" s="217"/>
      <c r="X36" s="218"/>
      <c r="Y36" s="219"/>
      <c r="Z36" s="220"/>
      <c r="AA36" s="220"/>
      <c r="AB36" s="220"/>
      <c r="AC36" s="221"/>
      <c r="AD36" s="219"/>
      <c r="AE36" s="220"/>
      <c r="AF36" s="220"/>
      <c r="AG36" s="220"/>
      <c r="AH36" s="221"/>
      <c r="AI36" s="219"/>
      <c r="AJ36" s="220"/>
      <c r="AK36" s="220"/>
      <c r="AL36" s="220"/>
      <c r="AM36" s="221"/>
    </row>
    <row r="37" spans="3:39" ht="13.2" customHeight="1">
      <c r="Y37" s="222"/>
      <c r="AC37" s="223"/>
      <c r="AD37" s="222"/>
      <c r="AH37" s="223"/>
      <c r="AI37" s="222"/>
      <c r="AM37" s="223"/>
    </row>
    <row r="38" spans="3:39" ht="13.2" customHeight="1">
      <c r="Y38" s="222"/>
      <c r="Z38" s="217"/>
      <c r="AA38" s="218" t="s">
        <v>232</v>
      </c>
      <c r="AB38" s="217"/>
      <c r="AC38" s="224"/>
      <c r="AD38" s="222"/>
      <c r="AE38" s="217"/>
      <c r="AF38" s="218" t="s">
        <v>233</v>
      </c>
      <c r="AG38" s="217"/>
      <c r="AH38" s="224"/>
      <c r="AI38" s="225"/>
      <c r="AJ38" s="217"/>
      <c r="AK38" s="218" t="s">
        <v>234</v>
      </c>
      <c r="AL38" s="217"/>
      <c r="AM38" s="224"/>
    </row>
    <row r="39" spans="3:39" ht="13.2" customHeight="1">
      <c r="Y39" s="222"/>
      <c r="AC39" s="223"/>
      <c r="AD39" s="222"/>
      <c r="AH39" s="223"/>
      <c r="AI39" s="222"/>
      <c r="AM39" s="223"/>
    </row>
    <row r="40" spans="3:39" ht="13.2" customHeight="1">
      <c r="C40" s="216"/>
      <c r="V40" s="216"/>
      <c r="Y40" s="226"/>
      <c r="Z40" s="227"/>
      <c r="AA40" s="227"/>
      <c r="AB40" s="227"/>
      <c r="AC40" s="228"/>
      <c r="AD40" s="226"/>
      <c r="AE40" s="227"/>
      <c r="AF40" s="227"/>
      <c r="AG40" s="227"/>
      <c r="AH40" s="228"/>
      <c r="AI40" s="226"/>
      <c r="AJ40" s="227"/>
      <c r="AK40" s="227"/>
      <c r="AL40" s="227"/>
      <c r="AM40" s="228"/>
    </row>
    <row r="41" spans="3:39" ht="13.2" customHeight="1"/>
    <row r="42" spans="3:39" ht="13.2" customHeight="1">
      <c r="Y42" s="236" t="s">
        <v>253</v>
      </c>
    </row>
    <row r="43" spans="3:39" ht="13.2" customHeight="1">
      <c r="Y43" s="238" t="s">
        <v>229</v>
      </c>
      <c r="Z43" s="239"/>
      <c r="AA43" s="239"/>
      <c r="AB43" s="239"/>
      <c r="AC43" s="240"/>
      <c r="AD43" s="238" t="s">
        <v>230</v>
      </c>
      <c r="AE43" s="239"/>
      <c r="AF43" s="239"/>
      <c r="AG43" s="239"/>
      <c r="AH43" s="240"/>
      <c r="AI43" s="238" t="s">
        <v>231</v>
      </c>
      <c r="AJ43" s="239"/>
      <c r="AK43" s="239"/>
      <c r="AL43" s="239"/>
      <c r="AM43" s="240"/>
    </row>
    <row r="44" spans="3:39" ht="13.2" customHeight="1">
      <c r="D44" s="217"/>
      <c r="E44" s="218"/>
      <c r="F44" s="217"/>
      <c r="G44" s="217"/>
      <c r="H44" s="217"/>
      <c r="I44" s="217"/>
      <c r="J44" s="218"/>
      <c r="K44" s="217"/>
      <c r="L44" s="217"/>
      <c r="M44" s="217"/>
      <c r="N44" s="217"/>
      <c r="O44" s="218"/>
      <c r="P44" s="217"/>
      <c r="Q44" s="217"/>
      <c r="W44" s="217"/>
      <c r="X44" s="218"/>
      <c r="Y44" s="219"/>
      <c r="Z44" s="220"/>
      <c r="AA44" s="220"/>
      <c r="AB44" s="220"/>
      <c r="AC44" s="221"/>
      <c r="AD44" s="220"/>
      <c r="AE44" s="220"/>
      <c r="AF44" s="220"/>
      <c r="AG44" s="220"/>
      <c r="AH44" s="221"/>
      <c r="AI44" s="219"/>
      <c r="AJ44" s="220"/>
      <c r="AK44" s="220"/>
      <c r="AL44" s="220"/>
      <c r="AM44" s="221"/>
    </row>
    <row r="45" spans="3:39" ht="13.2" customHeight="1">
      <c r="Y45" s="222"/>
      <c r="AC45" s="223"/>
      <c r="AH45" s="223"/>
      <c r="AI45" s="222"/>
      <c r="AM45" s="223"/>
    </row>
    <row r="46" spans="3:39" ht="13.2" customHeight="1">
      <c r="Y46" s="222"/>
      <c r="Z46" s="217"/>
      <c r="AA46" s="218" t="s">
        <v>235</v>
      </c>
      <c r="AB46" s="217"/>
      <c r="AC46" s="224"/>
      <c r="AD46" s="217"/>
      <c r="AE46" s="217"/>
      <c r="AF46" s="218" t="s">
        <v>236</v>
      </c>
      <c r="AG46" s="217"/>
      <c r="AH46" s="224"/>
      <c r="AI46" s="225"/>
      <c r="AJ46" s="217"/>
      <c r="AK46" s="218" t="s">
        <v>237</v>
      </c>
      <c r="AL46" s="217"/>
      <c r="AM46" s="224"/>
    </row>
    <row r="47" spans="3:39" ht="13.2" customHeight="1">
      <c r="Y47" s="222"/>
      <c r="AC47" s="223"/>
      <c r="AH47" s="223"/>
      <c r="AI47" s="222"/>
      <c r="AM47" s="223"/>
    </row>
    <row r="48" spans="3:39" ht="13.2" customHeight="1">
      <c r="C48" s="216"/>
      <c r="V48" s="216"/>
      <c r="Y48" s="226"/>
      <c r="Z48" s="227"/>
      <c r="AA48" s="227"/>
      <c r="AB48" s="227"/>
      <c r="AC48" s="228"/>
      <c r="AD48" s="227"/>
      <c r="AE48" s="227"/>
      <c r="AF48" s="227"/>
      <c r="AG48" s="227"/>
      <c r="AH48" s="228"/>
      <c r="AI48" s="226"/>
      <c r="AJ48" s="227"/>
      <c r="AK48" s="227"/>
      <c r="AL48" s="227"/>
      <c r="AM48" s="228"/>
    </row>
    <row r="49" spans="4:39" ht="13.2" customHeight="1"/>
    <row r="50" spans="4:39" ht="13.2" customHeight="1">
      <c r="Y50" s="216" t="s">
        <v>238</v>
      </c>
    </row>
    <row r="51" spans="4:39" ht="13.2" customHeight="1">
      <c r="Y51" s="238" t="s">
        <v>229</v>
      </c>
      <c r="Z51" s="239"/>
      <c r="AA51" s="239"/>
      <c r="AB51" s="239"/>
      <c r="AC51" s="240"/>
      <c r="AD51" s="238" t="s">
        <v>230</v>
      </c>
      <c r="AE51" s="239"/>
      <c r="AF51" s="239"/>
      <c r="AG51" s="239"/>
      <c r="AH51" s="240"/>
      <c r="AI51" s="238" t="s">
        <v>231</v>
      </c>
      <c r="AJ51" s="239"/>
      <c r="AK51" s="239"/>
      <c r="AL51" s="239"/>
      <c r="AM51" s="240"/>
    </row>
    <row r="52" spans="4:39" ht="13.2" customHeight="1">
      <c r="D52" s="217"/>
      <c r="E52" s="218"/>
      <c r="F52" s="217"/>
      <c r="G52" s="217"/>
      <c r="H52" s="217"/>
      <c r="I52" s="217"/>
      <c r="J52" s="218"/>
      <c r="K52" s="217"/>
      <c r="L52" s="217"/>
      <c r="M52" s="217"/>
      <c r="N52" s="217"/>
      <c r="O52" s="218"/>
      <c r="P52" s="217"/>
      <c r="Q52" s="217"/>
      <c r="W52" s="217"/>
      <c r="X52" s="218"/>
      <c r="Y52" s="219"/>
      <c r="Z52" s="220"/>
      <c r="AA52" s="220"/>
      <c r="AB52" s="220"/>
      <c r="AC52" s="221"/>
      <c r="AD52" s="220"/>
      <c r="AE52" s="220"/>
      <c r="AF52" s="220"/>
      <c r="AG52" s="220"/>
      <c r="AH52" s="221"/>
      <c r="AI52" s="219"/>
      <c r="AJ52" s="220"/>
      <c r="AK52" s="220"/>
      <c r="AL52" s="220"/>
      <c r="AM52" s="221"/>
    </row>
    <row r="53" spans="4:39" ht="13.2" customHeight="1">
      <c r="Y53" s="222"/>
      <c r="AC53" s="223"/>
      <c r="AH53" s="223"/>
      <c r="AI53" s="222"/>
      <c r="AM53" s="223"/>
    </row>
    <row r="54" spans="4:39" ht="13.2" customHeight="1">
      <c r="Y54" s="222"/>
      <c r="Z54" s="217"/>
      <c r="AA54" s="218" t="s">
        <v>239</v>
      </c>
      <c r="AB54" s="217"/>
      <c r="AC54" s="224"/>
      <c r="AD54" s="217"/>
      <c r="AE54" s="217"/>
      <c r="AF54" s="218" t="s">
        <v>240</v>
      </c>
      <c r="AG54" s="217"/>
      <c r="AH54" s="224"/>
      <c r="AI54" s="225"/>
      <c r="AJ54" s="217"/>
      <c r="AK54" s="218" t="s">
        <v>234</v>
      </c>
      <c r="AL54" s="217"/>
      <c r="AM54" s="224"/>
    </row>
    <row r="55" spans="4:39" ht="13.2" customHeight="1">
      <c r="Y55" s="222"/>
      <c r="AC55" s="223"/>
      <c r="AH55" s="223"/>
      <c r="AI55" s="222"/>
      <c r="AM55" s="223"/>
    </row>
    <row r="56" spans="4:39" ht="13.2" customHeight="1">
      <c r="Y56" s="226"/>
      <c r="Z56" s="227"/>
      <c r="AA56" s="227"/>
      <c r="AB56" s="227"/>
      <c r="AC56" s="228"/>
      <c r="AD56" s="227"/>
      <c r="AE56" s="227"/>
      <c r="AF56" s="227"/>
      <c r="AG56" s="227"/>
      <c r="AH56" s="228"/>
      <c r="AI56" s="226"/>
      <c r="AJ56" s="227"/>
      <c r="AK56" s="227"/>
      <c r="AL56" s="227"/>
      <c r="AM56" s="228"/>
    </row>
    <row r="57" spans="4:39" ht="13.2" customHeight="1">
      <c r="AK57" s="213" t="s">
        <v>241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35</xdr:col>
                <xdr:colOff>99060</xdr:colOff>
                <xdr:row>53</xdr:row>
                <xdr:rowOff>7620</xdr:rowOff>
              </from>
              <to>
                <xdr:col>38</xdr:col>
                <xdr:colOff>121920</xdr:colOff>
                <xdr:row>55</xdr:row>
                <xdr:rowOff>121920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Normal="100" workbookViewId="0"/>
  </sheetViews>
  <sheetFormatPr defaultRowHeight="13.2"/>
  <cols>
    <col min="1" max="1" width="4.44140625" customWidth="1"/>
    <col min="2" max="2" width="9" style="9" hidden="1" customWidth="1"/>
    <col min="4" max="4" width="69.44140625" customWidth="1"/>
    <col min="5" max="6" width="12.77734375" customWidth="1"/>
    <col min="7" max="10" width="13.109375" hidden="1" customWidth="1"/>
    <col min="11" max="12" width="13.109375" customWidth="1"/>
    <col min="13" max="18" width="13.109375" hidden="1" customWidth="1"/>
  </cols>
  <sheetData>
    <row r="2" spans="2:18" ht="25.5" customHeight="1">
      <c r="C2" s="6"/>
      <c r="D2" s="6"/>
      <c r="E2" s="6"/>
      <c r="F2" s="6"/>
      <c r="H2" s="7" t="s">
        <v>13</v>
      </c>
      <c r="I2" s="247" t="s">
        <v>14</v>
      </c>
      <c r="J2" s="247"/>
      <c r="K2" s="247"/>
      <c r="L2" s="247"/>
      <c r="M2" s="247"/>
      <c r="N2" s="247"/>
      <c r="O2" s="247"/>
      <c r="P2" s="247"/>
      <c r="Q2" s="247"/>
      <c r="R2" s="247"/>
    </row>
    <row r="3" spans="2:18" ht="25.5" customHeight="1">
      <c r="C3" s="6"/>
      <c r="D3" s="10" t="str">
        <f ca="1">REPLACE(LEFT(CELL("filename",$B$1),FIND(".xls",CELL("filename",$B$1))-1),1,FIND("[",CELL("filename",$B$1)),)</f>
        <v>alert_S_ADBZR_SWS-CSTD-0-06-A-C0</v>
      </c>
      <c r="E3" s="6"/>
      <c r="F3" s="6"/>
      <c r="H3" s="8" t="s">
        <v>163</v>
      </c>
      <c r="I3" s="248"/>
      <c r="J3" s="249"/>
      <c r="K3" s="249"/>
      <c r="L3" s="249"/>
      <c r="M3" s="249"/>
      <c r="N3" s="249"/>
      <c r="O3" s="249"/>
      <c r="P3" s="249"/>
      <c r="Q3" s="249"/>
      <c r="R3" s="249"/>
    </row>
    <row r="4" spans="2:18" ht="25.5" customHeight="1">
      <c r="C4" s="6"/>
      <c r="D4" s="6"/>
      <c r="E4" s="23" t="str">
        <f>DGET(B8:C15,"Ver.",H4:H5)</f>
        <v>1.1.1</v>
      </c>
      <c r="F4" s="6"/>
      <c r="H4" s="9" t="s">
        <v>16</v>
      </c>
    </row>
    <row r="5" spans="2:18" ht="25.5" customHeight="1">
      <c r="C5" s="6"/>
      <c r="D5" s="6"/>
      <c r="E5" s="6"/>
      <c r="F5" s="6"/>
      <c r="H5" s="11">
        <f>MAX(B9:B15)</f>
        <v>3</v>
      </c>
    </row>
    <row r="6" spans="2:18" ht="13.8" thickBot="1"/>
    <row r="7" spans="2:18">
      <c r="C7" s="241" t="s">
        <v>0</v>
      </c>
      <c r="D7" s="242"/>
      <c r="E7" s="243" t="s">
        <v>2</v>
      </c>
      <c r="F7" s="243"/>
      <c r="G7" s="244" t="s">
        <v>5</v>
      </c>
      <c r="H7" s="244"/>
      <c r="I7" s="244"/>
      <c r="J7" s="244"/>
      <c r="K7" s="244"/>
      <c r="L7" s="244"/>
      <c r="M7" s="245" t="s">
        <v>12</v>
      </c>
      <c r="N7" s="245"/>
      <c r="O7" s="245"/>
      <c r="P7" s="245"/>
      <c r="Q7" s="245"/>
      <c r="R7" s="246"/>
    </row>
    <row r="8" spans="2:18" ht="27"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211.8" thickTop="1">
      <c r="B9" s="9">
        <f>IF(C9=0,0,ROW()-ROW($B$8))</f>
        <v>1</v>
      </c>
      <c r="C9" s="12" t="s">
        <v>15</v>
      </c>
      <c r="D9" s="186" t="s">
        <v>227</v>
      </c>
      <c r="E9" s="13" t="s">
        <v>32</v>
      </c>
      <c r="F9" s="13" t="s">
        <v>15</v>
      </c>
      <c r="G9" s="13"/>
      <c r="H9" s="13"/>
      <c r="I9" s="13"/>
      <c r="J9" s="13"/>
      <c r="K9" s="13" t="s">
        <v>228</v>
      </c>
      <c r="L9" s="212">
        <v>45217</v>
      </c>
      <c r="M9" s="1" t="s">
        <v>32</v>
      </c>
      <c r="N9" s="1" t="s">
        <v>32</v>
      </c>
      <c r="O9" s="1" t="s">
        <v>32</v>
      </c>
      <c r="P9" s="1" t="s">
        <v>32</v>
      </c>
      <c r="Q9" s="1" t="s">
        <v>32</v>
      </c>
      <c r="R9" s="187" t="s">
        <v>32</v>
      </c>
    </row>
    <row r="10" spans="2:18" ht="145.19999999999999">
      <c r="B10" s="9">
        <f t="shared" ref="B10:B14" si="0">IF(C10=0,0,ROW()-ROW($B$8))</f>
        <v>2</v>
      </c>
      <c r="C10" s="12" t="s">
        <v>242</v>
      </c>
      <c r="D10" s="186" t="s">
        <v>244</v>
      </c>
      <c r="E10" s="13" t="s">
        <v>32</v>
      </c>
      <c r="F10" s="13" t="s">
        <v>15</v>
      </c>
      <c r="G10" s="13"/>
      <c r="H10" s="13"/>
      <c r="I10" s="13"/>
      <c r="J10" s="13"/>
      <c r="K10" s="13" t="s">
        <v>243</v>
      </c>
      <c r="L10" s="212">
        <v>45839</v>
      </c>
      <c r="M10" s="1" t="s">
        <v>32</v>
      </c>
      <c r="N10" s="1" t="s">
        <v>32</v>
      </c>
      <c r="O10" s="1" t="s">
        <v>32</v>
      </c>
      <c r="P10" s="1" t="s">
        <v>32</v>
      </c>
      <c r="Q10" s="1" t="s">
        <v>32</v>
      </c>
      <c r="R10" s="187" t="s">
        <v>32</v>
      </c>
    </row>
    <row r="11" spans="2:18" ht="158.4">
      <c r="B11" s="9">
        <f t="shared" si="0"/>
        <v>3</v>
      </c>
      <c r="C11" s="12" t="s">
        <v>256</v>
      </c>
      <c r="D11" s="232" t="s">
        <v>251</v>
      </c>
      <c r="E11" s="13" t="s">
        <v>32</v>
      </c>
      <c r="F11" s="233" t="s">
        <v>248</v>
      </c>
      <c r="G11" s="233"/>
      <c r="H11" s="233"/>
      <c r="I11" s="233"/>
      <c r="J11" s="233"/>
      <c r="K11" s="233" t="s">
        <v>249</v>
      </c>
      <c r="L11" s="235">
        <v>46006</v>
      </c>
      <c r="M11" s="233"/>
      <c r="N11" s="233"/>
      <c r="O11" s="233"/>
      <c r="P11" s="233"/>
      <c r="Q11" s="233"/>
      <c r="R11" s="234"/>
    </row>
    <row r="12" spans="2:18">
      <c r="B12" s="9">
        <f t="shared" ref="B12" si="1">IF(C12=0,0,ROW()-ROW($B$8))</f>
        <v>0</v>
      </c>
      <c r="C12" s="2"/>
      <c r="D12" s="186"/>
      <c r="E12" s="1"/>
      <c r="F12" s="1"/>
      <c r="G12" s="1"/>
      <c r="H12" s="1"/>
      <c r="I12" s="1"/>
      <c r="J12" s="1"/>
      <c r="K12" s="1"/>
      <c r="L12" s="1"/>
      <c r="M12" s="1"/>
      <c r="N12" s="1"/>
      <c r="O12" s="1"/>
      <c r="P12" s="1"/>
      <c r="Q12" s="1"/>
      <c r="R12" s="187"/>
    </row>
    <row r="13" spans="2:18">
      <c r="B13" s="9">
        <f t="shared" si="0"/>
        <v>0</v>
      </c>
      <c r="C13" s="2"/>
      <c r="D13" s="186"/>
      <c r="E13" s="1"/>
      <c r="F13" s="1"/>
      <c r="G13" s="1"/>
      <c r="H13" s="1"/>
      <c r="I13" s="1"/>
      <c r="J13" s="1"/>
      <c r="K13" s="1"/>
      <c r="L13" s="1"/>
      <c r="M13" s="1"/>
      <c r="N13" s="1"/>
      <c r="O13" s="1"/>
      <c r="P13" s="1"/>
      <c r="Q13" s="1"/>
      <c r="R13" s="187"/>
    </row>
    <row r="14" spans="2:18" ht="13.8"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46" t="s">
        <v>118</v>
      </c>
    </row>
    <row r="3" spans="2:5">
      <c r="C3" t="s">
        <v>128</v>
      </c>
    </row>
    <row r="6" spans="2:5" ht="13.8" thickBot="1">
      <c r="B6" s="146" t="s">
        <v>119</v>
      </c>
      <c r="C6" s="146"/>
    </row>
    <row r="7" spans="2:5" ht="13.8" thickBot="1">
      <c r="C7" s="74" t="s">
        <v>121</v>
      </c>
      <c r="D7" s="82"/>
      <c r="E7" s="75" t="s">
        <v>129</v>
      </c>
    </row>
    <row r="8" spans="2:5" ht="20.25" customHeight="1" thickTop="1">
      <c r="C8" s="150">
        <v>0</v>
      </c>
      <c r="D8" s="83" t="s">
        <v>130</v>
      </c>
      <c r="E8" s="149" t="s">
        <v>190</v>
      </c>
    </row>
    <row r="9" spans="2:5">
      <c r="C9" s="156"/>
      <c r="D9" s="158"/>
      <c r="E9" s="157"/>
    </row>
    <row r="10" spans="2:5" ht="13.8" thickBot="1">
      <c r="C10" s="154"/>
      <c r="D10" s="85"/>
      <c r="E10" s="5"/>
    </row>
    <row r="11" spans="2:5">
      <c r="C11" s="152"/>
    </row>
    <row r="12" spans="2:5" ht="13.8" thickBot="1">
      <c r="B12" s="147" t="s">
        <v>120</v>
      </c>
      <c r="C12" s="81"/>
      <c r="D12" s="81"/>
    </row>
    <row r="13" spans="2:5" ht="13.8" thickBot="1">
      <c r="B13" s="148"/>
      <c r="C13" s="153" t="s">
        <v>121</v>
      </c>
      <c r="D13" s="82" t="s">
        <v>122</v>
      </c>
      <c r="E13" s="75" t="s">
        <v>123</v>
      </c>
    </row>
    <row r="14" spans="2:5" ht="13.8" thickTop="1">
      <c r="C14" s="150">
        <v>0</v>
      </c>
      <c r="D14" s="83" t="s">
        <v>135</v>
      </c>
      <c r="E14" s="155" t="s">
        <v>136</v>
      </c>
    </row>
    <row r="15" spans="2:5">
      <c r="C15" s="151">
        <v>1</v>
      </c>
      <c r="D15" s="84" t="s">
        <v>24</v>
      </c>
      <c r="E15" s="71" t="s">
        <v>124</v>
      </c>
    </row>
    <row r="16" spans="2:5">
      <c r="C16" s="151">
        <v>2</v>
      </c>
      <c r="D16" s="84" t="s">
        <v>25</v>
      </c>
      <c r="E16" s="71" t="s">
        <v>125</v>
      </c>
    </row>
    <row r="17" spans="2:5">
      <c r="C17" s="151">
        <v>3</v>
      </c>
      <c r="D17" s="84" t="s">
        <v>26</v>
      </c>
      <c r="E17" s="71" t="s">
        <v>126</v>
      </c>
    </row>
    <row r="18" spans="2:5">
      <c r="C18" s="151">
        <v>4</v>
      </c>
      <c r="D18" s="84" t="s">
        <v>27</v>
      </c>
      <c r="E18" s="71" t="s">
        <v>127</v>
      </c>
    </row>
    <row r="19" spans="2:5">
      <c r="C19" s="151">
        <v>5</v>
      </c>
      <c r="D19" s="84" t="s">
        <v>137</v>
      </c>
      <c r="E19" s="71" t="s">
        <v>139</v>
      </c>
    </row>
    <row r="20" spans="2:5">
      <c r="C20" s="151">
        <v>6</v>
      </c>
      <c r="D20" s="84" t="s">
        <v>143</v>
      </c>
      <c r="E20" s="71" t="s">
        <v>160</v>
      </c>
    </row>
    <row r="21" spans="2:5" ht="13.8" thickBot="1">
      <c r="C21" s="154"/>
      <c r="D21" s="85"/>
      <c r="E21" s="5"/>
    </row>
    <row r="24" spans="2:5" ht="13.8" thickBot="1">
      <c r="B24" s="146" t="s">
        <v>131</v>
      </c>
    </row>
    <row r="25" spans="2:5" ht="13.8" thickBot="1">
      <c r="C25" s="153" t="s">
        <v>121</v>
      </c>
      <c r="D25" s="82" t="s">
        <v>122</v>
      </c>
      <c r="E25" s="75" t="s">
        <v>123</v>
      </c>
    </row>
    <row r="26" spans="2:5" ht="30.75" customHeight="1" thickTop="1">
      <c r="C26" s="150">
        <v>0</v>
      </c>
      <c r="D26" s="83" t="s">
        <v>132</v>
      </c>
      <c r="E26" s="155" t="s">
        <v>140</v>
      </c>
    </row>
    <row r="27" spans="2:5" ht="120" customHeight="1">
      <c r="C27" s="151">
        <v>1</v>
      </c>
      <c r="D27" s="84" t="s">
        <v>161</v>
      </c>
      <c r="E27" s="86" t="s">
        <v>162</v>
      </c>
    </row>
    <row r="28" spans="2:5" ht="81" customHeight="1">
      <c r="C28" s="151">
        <v>2</v>
      </c>
      <c r="D28" s="84" t="s">
        <v>159</v>
      </c>
      <c r="E28" s="86" t="s">
        <v>166</v>
      </c>
    </row>
    <row r="29" spans="2:5" ht="45" customHeight="1">
      <c r="C29" s="151">
        <v>3</v>
      </c>
      <c r="D29" s="84" t="s">
        <v>138</v>
      </c>
      <c r="E29" s="86" t="s">
        <v>141</v>
      </c>
    </row>
    <row r="30" spans="2:5" ht="16.5" customHeight="1">
      <c r="C30" s="151">
        <v>4</v>
      </c>
      <c r="D30" s="84" t="s">
        <v>133</v>
      </c>
      <c r="E30" s="71" t="s">
        <v>144</v>
      </c>
    </row>
    <row r="31" spans="2:5" ht="16.5" customHeight="1">
      <c r="C31" s="151">
        <v>5</v>
      </c>
      <c r="D31" s="84" t="s">
        <v>134</v>
      </c>
      <c r="E31" s="71" t="s">
        <v>142</v>
      </c>
    </row>
    <row r="32" spans="2:5">
      <c r="C32" s="151"/>
      <c r="D32" s="84"/>
      <c r="E32" s="71"/>
    </row>
    <row r="33" spans="2:5">
      <c r="C33" s="151"/>
      <c r="D33" s="84"/>
      <c r="E33" s="71"/>
    </row>
    <row r="34" spans="2:5" ht="13.8" thickBot="1">
      <c r="C34" s="154"/>
      <c r="D34" s="85"/>
      <c r="E34" s="5"/>
    </row>
    <row r="37" spans="2:5" ht="13.8" thickBot="1">
      <c r="B37" s="146" t="s">
        <v>157</v>
      </c>
    </row>
    <row r="38" spans="2:5">
      <c r="C38" s="250"/>
      <c r="D38" s="251"/>
      <c r="E38" s="108" t="s">
        <v>106</v>
      </c>
    </row>
    <row r="39" spans="2:5" ht="13.8" thickBot="1">
      <c r="C39" s="252"/>
      <c r="D39" s="253"/>
      <c r="E39" s="5" t="s">
        <v>107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5" ht="13.8" thickBot="1"/>
    <row r="2" spans="2:15">
      <c r="B2" s="254" t="s">
        <v>19</v>
      </c>
      <c r="C2" s="255"/>
      <c r="D2" s="260" t="s">
        <v>254</v>
      </c>
      <c r="E2" s="261"/>
      <c r="F2" s="261"/>
      <c r="G2" s="261"/>
      <c r="H2" s="262"/>
    </row>
    <row r="3" spans="2:15">
      <c r="B3" s="256" t="s">
        <v>104</v>
      </c>
      <c r="C3" s="257"/>
      <c r="D3" s="263" t="s">
        <v>245</v>
      </c>
      <c r="E3" s="264"/>
      <c r="F3" s="264"/>
      <c r="G3" s="264"/>
      <c r="H3" s="265"/>
    </row>
    <row r="4" spans="2:15" ht="13.8" thickBot="1">
      <c r="B4" s="258" t="s">
        <v>18</v>
      </c>
      <c r="C4" s="259"/>
      <c r="D4" s="266" t="str">
        <f ca="1">表紙!D3&amp;".c"</f>
        <v>alert_S_ADBZR_SWS-CSTD-0-06-A-C0.c</v>
      </c>
      <c r="E4" s="267"/>
      <c r="F4" s="267"/>
      <c r="G4" s="267"/>
      <c r="H4" s="268"/>
    </row>
    <row r="5" spans="2:15" ht="13.8" thickBot="1">
      <c r="D5" t="str">
        <f ca="1">IF(LEN(表紙!D3&amp;".c") = LENB(表紙!D3&amp;".c"),"※モジュール名 全角チェックOK","※モジュール名 全角チェックNG：ファイル名に全角文字が使用されています！")</f>
        <v>※モジュール名 全角チェックOK</v>
      </c>
    </row>
    <row r="6" spans="2:15">
      <c r="B6" s="254" t="s">
        <v>38</v>
      </c>
      <c r="C6" s="255"/>
      <c r="D6" s="269" t="str">
        <f ca="1">MID(D4, LEN("alert_") + 1, FIND("-",D4,1) - LEN("alert_") - 1)</f>
        <v>S_ADBZR_SWS</v>
      </c>
      <c r="E6" s="270"/>
      <c r="F6" s="270"/>
      <c r="G6" s="270"/>
      <c r="H6" s="271"/>
    </row>
    <row r="7" spans="2:15">
      <c r="B7" s="256" t="s">
        <v>39</v>
      </c>
      <c r="C7" s="257"/>
      <c r="D7" s="272">
        <f>COUNTA($D$13:$D$37)</f>
        <v>1</v>
      </c>
      <c r="E7" s="273"/>
      <c r="F7" s="273"/>
      <c r="G7" s="273"/>
      <c r="H7" s="274"/>
    </row>
    <row r="8" spans="2:15" ht="14.4">
      <c r="B8" s="256" t="s">
        <v>94</v>
      </c>
      <c r="C8" s="257"/>
      <c r="D8" s="272" t="str">
        <f ca="1">"st_gp_ALERT_"&amp;UPPER(D6)&amp;"_MTRX"</f>
        <v>st_gp_ALERT_S_ADBZR_SWS_MTRX</v>
      </c>
      <c r="E8" s="273"/>
      <c r="F8" s="273"/>
      <c r="G8" s="273"/>
      <c r="H8" s="274"/>
      <c r="O8" s="237"/>
    </row>
    <row r="9" spans="2:15">
      <c r="B9" s="256" t="s">
        <v>40</v>
      </c>
      <c r="C9" s="257"/>
      <c r="D9" s="275" t="s">
        <v>182</v>
      </c>
      <c r="E9" s="276"/>
      <c r="F9" s="276"/>
      <c r="G9" s="276"/>
      <c r="H9" s="277"/>
    </row>
    <row r="10" spans="2:15" ht="13.8" thickBot="1">
      <c r="B10" s="258" t="s">
        <v>46</v>
      </c>
      <c r="C10" s="259"/>
      <c r="D10" s="278"/>
      <c r="E10" s="279"/>
      <c r="F10" s="279"/>
      <c r="G10" s="279"/>
      <c r="H10" s="280"/>
    </row>
    <row r="11" spans="2:15" ht="13.8" thickBot="1"/>
    <row r="12" spans="2:15" ht="13.8" thickBot="1">
      <c r="B12" s="137" t="s">
        <v>36</v>
      </c>
      <c r="C12" s="100" t="s">
        <v>45</v>
      </c>
      <c r="D12" s="101" t="s">
        <v>37</v>
      </c>
      <c r="E12" s="101" t="s">
        <v>41</v>
      </c>
      <c r="F12" s="101" t="s">
        <v>42</v>
      </c>
      <c r="G12" s="101" t="s">
        <v>43</v>
      </c>
      <c r="H12" s="102" t="s">
        <v>44</v>
      </c>
      <c r="I12" s="142" t="s">
        <v>53</v>
      </c>
      <c r="K12" s="42" t="s">
        <v>47</v>
      </c>
      <c r="L12" s="42" t="s">
        <v>40</v>
      </c>
      <c r="M12" t="s">
        <v>90</v>
      </c>
    </row>
    <row r="13" spans="2:15" ht="15" thickTop="1">
      <c r="B13" s="103">
        <v>1</v>
      </c>
      <c r="C13" s="210" t="s">
        <v>156</v>
      </c>
      <c r="D13" s="211" t="s">
        <v>50</v>
      </c>
      <c r="E13" s="211" t="s">
        <v>156</v>
      </c>
      <c r="F13" s="48" t="str">
        <f t="shared" ref="F13:F37" ca="1" si="0">IF($D13&lt;&gt;"","u4_s_Alert"&amp;UPPER(LEFT($D$6,1))&amp;LOWER(MID($D$6,2,100))&amp;IF($D$7=1,"",N13)&amp;"Srcchk","")</f>
        <v>u4_s_AlertS_adbzr_swsSrcchk</v>
      </c>
      <c r="G13" s="48" t="str">
        <f t="shared" ref="G13:G37" si="1">IF($D13&lt;&gt;"",IF($E13="○","vd_s_Alert"&amp;UPPER(LEFT($D$6,1))&amp;LOWER(MID($D$6,2,100))&amp;IF($D$7=1,"",N13)&amp;"RwTx","NULL"),"")</f>
        <v>NULL</v>
      </c>
      <c r="H13" s="107" t="str">
        <f ca="1">IF($D13&lt;&gt;"","ALERT_CH_"&amp;UPPER($D$6)&amp;IF($D$7=1,"","_"&amp;UPPER($C13)),"")</f>
        <v>ALERT_CH_S_ADBZR_SWS</v>
      </c>
      <c r="I13" s="143" t="str">
        <f ca="1">IF($D13&lt;&gt;"","ALERT_REQ_"&amp;UPPER($D$6)&amp;IF($D$7=1,"","_"&amp;UPPER($C13)),"")</f>
        <v>ALERT_REQ_S_ADBZR_SWS</v>
      </c>
      <c r="K13" t="s">
        <v>48</v>
      </c>
      <c r="L13" t="s">
        <v>52</v>
      </c>
      <c r="M13" t="e">
        <f t="shared" ref="M13:M37" si="2">FIND("_",C13,1)</f>
        <v>#VALUE!</v>
      </c>
      <c r="N13" t="str">
        <f t="shared" ref="N13:N37" si="3">IF(IFERROR(M13,0),UPPER(LEFT(C13,1))&amp;LOWER(MID(C13,2,M13-2))&amp;UPPER(MID(C13,M13+1,1))&amp;LOWER(MID(C13,M13+2,100)),UPPER(LEFT(C13,1))&amp;LOWER(MID(C13,2,100)))</f>
        <v>－</v>
      </c>
      <c r="O13" s="237"/>
    </row>
    <row r="14" spans="2:15" ht="14.4">
      <c r="B14" s="93">
        <v>2</v>
      </c>
      <c r="C14" s="210"/>
      <c r="D14" s="211"/>
      <c r="E14" s="211"/>
      <c r="F14" s="43" t="str">
        <f t="shared" si="0"/>
        <v/>
      </c>
      <c r="G14" s="43" t="str">
        <f t="shared" si="1"/>
        <v/>
      </c>
      <c r="H14" s="64" t="str">
        <f t="shared" ref="H14:H37" si="4">IF($D14&lt;&gt;"","ALERT_CH_"&amp;UPPER($D$6)&amp;IF($D$7=1,"","_"&amp;UPPER($C14)),"")</f>
        <v/>
      </c>
      <c r="I14" s="144" t="str">
        <f t="shared" ref="I14:I37" si="5">IF($D14&lt;&gt;"","ALERT_REQ_"&amp;UPPER($D$6)&amp;IF($D$7=1,"","_"&amp;UPPER($C14)),"")</f>
        <v/>
      </c>
      <c r="K14" t="s">
        <v>49</v>
      </c>
      <c r="L14" t="str">
        <f ca="1">"vd_g_Alert"&amp;UPPER(LEFT(D6,1))&amp;LOWER(MID(D6,2,100))&amp;"Init"</f>
        <v>vd_g_AlertS_adbzr_swsInit</v>
      </c>
      <c r="M14" t="e">
        <f t="shared" si="2"/>
        <v>#VALUE!</v>
      </c>
      <c r="N14" t="str">
        <f t="shared" si="3"/>
        <v/>
      </c>
      <c r="O14" s="237"/>
    </row>
    <row r="15" spans="2:15">
      <c r="B15" s="93">
        <v>3</v>
      </c>
      <c r="C15" s="140"/>
      <c r="D15" s="141"/>
      <c r="E15" s="141"/>
      <c r="F15" s="43" t="str">
        <f t="shared" si="0"/>
        <v/>
      </c>
      <c r="G15" s="43" t="str">
        <f t="shared" si="1"/>
        <v/>
      </c>
      <c r="H15" s="64" t="str">
        <f t="shared" si="4"/>
        <v/>
      </c>
      <c r="I15" s="144" t="str">
        <f t="shared" si="5"/>
        <v/>
      </c>
      <c r="K15" t="s">
        <v>108</v>
      </c>
      <c r="M15" t="e">
        <f t="shared" si="2"/>
        <v>#VALUE!</v>
      </c>
      <c r="N15" t="str">
        <f t="shared" si="3"/>
        <v/>
      </c>
    </row>
    <row r="16" spans="2:15">
      <c r="B16" s="93">
        <v>4</v>
      </c>
      <c r="C16" s="140"/>
      <c r="D16" s="141"/>
      <c r="E16" s="141"/>
      <c r="F16" s="43" t="str">
        <f t="shared" si="0"/>
        <v/>
      </c>
      <c r="G16" s="43" t="str">
        <f t="shared" si="1"/>
        <v/>
      </c>
      <c r="H16" s="64" t="str">
        <f t="shared" si="4"/>
        <v/>
      </c>
      <c r="I16" s="144" t="str">
        <f t="shared" si="5"/>
        <v/>
      </c>
      <c r="K16" t="s">
        <v>109</v>
      </c>
      <c r="M16" t="e">
        <f t="shared" si="2"/>
        <v>#VALUE!</v>
      </c>
      <c r="N16" t="str">
        <f t="shared" si="3"/>
        <v/>
      </c>
    </row>
    <row r="17" spans="2:14">
      <c r="B17" s="93">
        <v>5</v>
      </c>
      <c r="C17" s="140"/>
      <c r="D17" s="141"/>
      <c r="E17" s="141"/>
      <c r="F17" s="43" t="str">
        <f t="shared" si="0"/>
        <v/>
      </c>
      <c r="G17" s="43" t="str">
        <f t="shared" si="1"/>
        <v/>
      </c>
      <c r="H17" s="64" t="str">
        <f t="shared" si="4"/>
        <v/>
      </c>
      <c r="I17" s="144" t="str">
        <f t="shared" si="5"/>
        <v/>
      </c>
      <c r="K17" t="s">
        <v>50</v>
      </c>
      <c r="M17" t="e">
        <f t="shared" si="2"/>
        <v>#VALUE!</v>
      </c>
      <c r="N17" t="str">
        <f t="shared" si="3"/>
        <v/>
      </c>
    </row>
    <row r="18" spans="2:14">
      <c r="B18" s="93">
        <v>6</v>
      </c>
      <c r="C18" s="140"/>
      <c r="D18" s="141"/>
      <c r="E18" s="141"/>
      <c r="F18" s="43" t="str">
        <f t="shared" si="0"/>
        <v/>
      </c>
      <c r="G18" s="43" t="str">
        <f t="shared" si="1"/>
        <v/>
      </c>
      <c r="H18" s="64" t="str">
        <f t="shared" si="4"/>
        <v/>
      </c>
      <c r="I18" s="144" t="str">
        <f t="shared" si="5"/>
        <v/>
      </c>
      <c r="K18" t="s">
        <v>51</v>
      </c>
      <c r="M18" t="e">
        <f t="shared" si="2"/>
        <v>#VALUE!</v>
      </c>
      <c r="N18" t="str">
        <f t="shared" si="3"/>
        <v/>
      </c>
    </row>
    <row r="19" spans="2:14">
      <c r="B19" s="93">
        <v>7</v>
      </c>
      <c r="C19" s="140"/>
      <c r="D19" s="141"/>
      <c r="E19" s="141"/>
      <c r="F19" s="43" t="str">
        <f t="shared" si="0"/>
        <v/>
      </c>
      <c r="G19" s="43" t="str">
        <f t="shared" si="1"/>
        <v/>
      </c>
      <c r="H19" s="64" t="str">
        <f t="shared" si="4"/>
        <v/>
      </c>
      <c r="I19" s="144" t="str">
        <f t="shared" si="5"/>
        <v/>
      </c>
      <c r="K19" t="s">
        <v>51</v>
      </c>
      <c r="M19" t="e">
        <f t="shared" si="2"/>
        <v>#VALUE!</v>
      </c>
      <c r="N19" t="str">
        <f t="shared" si="3"/>
        <v/>
      </c>
    </row>
    <row r="20" spans="2:14">
      <c r="B20" s="93">
        <v>8</v>
      </c>
      <c r="C20" s="140"/>
      <c r="D20" s="141"/>
      <c r="E20" s="141"/>
      <c r="F20" s="43" t="str">
        <f t="shared" si="0"/>
        <v/>
      </c>
      <c r="G20" s="43" t="str">
        <f t="shared" si="1"/>
        <v/>
      </c>
      <c r="H20" s="64" t="str">
        <f t="shared" si="4"/>
        <v/>
      </c>
      <c r="I20" s="144" t="str">
        <f t="shared" si="5"/>
        <v/>
      </c>
      <c r="K20" t="s">
        <v>51</v>
      </c>
      <c r="M20" t="e">
        <f t="shared" si="2"/>
        <v>#VALUE!</v>
      </c>
      <c r="N20" t="str">
        <f t="shared" si="3"/>
        <v/>
      </c>
    </row>
    <row r="21" spans="2:14">
      <c r="B21" s="93">
        <v>9</v>
      </c>
      <c r="C21" s="140"/>
      <c r="D21" s="141"/>
      <c r="E21" s="141"/>
      <c r="F21" s="43" t="str">
        <f t="shared" si="0"/>
        <v/>
      </c>
      <c r="G21" s="43" t="str">
        <f t="shared" si="1"/>
        <v/>
      </c>
      <c r="H21" s="64" t="str">
        <f t="shared" si="4"/>
        <v/>
      </c>
      <c r="I21" s="144" t="str">
        <f t="shared" si="5"/>
        <v/>
      </c>
      <c r="K21" t="s">
        <v>51</v>
      </c>
      <c r="M21" t="e">
        <f t="shared" si="2"/>
        <v>#VALUE!</v>
      </c>
      <c r="N21" t="str">
        <f t="shared" si="3"/>
        <v/>
      </c>
    </row>
    <row r="22" spans="2:14">
      <c r="B22" s="93">
        <v>10</v>
      </c>
      <c r="C22" s="140"/>
      <c r="D22" s="141"/>
      <c r="E22" s="141"/>
      <c r="F22" s="43" t="str">
        <f t="shared" si="0"/>
        <v/>
      </c>
      <c r="G22" s="43" t="str">
        <f t="shared" si="1"/>
        <v/>
      </c>
      <c r="H22" s="64" t="str">
        <f t="shared" si="4"/>
        <v/>
      </c>
      <c r="I22" s="144" t="str">
        <f t="shared" si="5"/>
        <v/>
      </c>
      <c r="K22" t="s">
        <v>51</v>
      </c>
      <c r="M22" t="e">
        <f t="shared" si="2"/>
        <v>#VALUE!</v>
      </c>
      <c r="N22" t="str">
        <f t="shared" si="3"/>
        <v/>
      </c>
    </row>
    <row r="23" spans="2:14">
      <c r="B23" s="93">
        <v>11</v>
      </c>
      <c r="C23" s="140"/>
      <c r="D23" s="141"/>
      <c r="E23" s="141"/>
      <c r="F23" s="43" t="str">
        <f t="shared" si="0"/>
        <v/>
      </c>
      <c r="G23" s="43" t="str">
        <f t="shared" si="1"/>
        <v/>
      </c>
      <c r="H23" s="64" t="str">
        <f t="shared" si="4"/>
        <v/>
      </c>
      <c r="I23" s="144" t="str">
        <f t="shared" si="5"/>
        <v/>
      </c>
      <c r="K23" t="s">
        <v>51</v>
      </c>
      <c r="M23" t="e">
        <f t="shared" si="2"/>
        <v>#VALUE!</v>
      </c>
      <c r="N23" t="str">
        <f t="shared" si="3"/>
        <v/>
      </c>
    </row>
    <row r="24" spans="2:14">
      <c r="B24" s="93">
        <v>12</v>
      </c>
      <c r="C24" s="140"/>
      <c r="D24" s="141"/>
      <c r="E24" s="141"/>
      <c r="F24" s="43" t="str">
        <f t="shared" si="0"/>
        <v/>
      </c>
      <c r="G24" s="43" t="str">
        <f t="shared" si="1"/>
        <v/>
      </c>
      <c r="H24" s="64" t="str">
        <f t="shared" si="4"/>
        <v/>
      </c>
      <c r="I24" s="144" t="str">
        <f t="shared" si="5"/>
        <v/>
      </c>
      <c r="K24" t="s">
        <v>51</v>
      </c>
      <c r="M24" t="e">
        <f t="shared" si="2"/>
        <v>#VALUE!</v>
      </c>
      <c r="N24" t="str">
        <f t="shared" si="3"/>
        <v/>
      </c>
    </row>
    <row r="25" spans="2:14">
      <c r="B25" s="93">
        <v>13</v>
      </c>
      <c r="C25" s="140"/>
      <c r="D25" s="141"/>
      <c r="E25" s="141"/>
      <c r="F25" s="43" t="str">
        <f t="shared" si="0"/>
        <v/>
      </c>
      <c r="G25" s="43" t="str">
        <f t="shared" si="1"/>
        <v/>
      </c>
      <c r="H25" s="64" t="str">
        <f t="shared" si="4"/>
        <v/>
      </c>
      <c r="I25" s="144" t="str">
        <f t="shared" si="5"/>
        <v/>
      </c>
      <c r="K25" t="s">
        <v>51</v>
      </c>
      <c r="M25" t="e">
        <f t="shared" si="2"/>
        <v>#VALUE!</v>
      </c>
      <c r="N25" t="str">
        <f t="shared" si="3"/>
        <v/>
      </c>
    </row>
    <row r="26" spans="2:14">
      <c r="B26" s="93">
        <v>14</v>
      </c>
      <c r="C26" s="140"/>
      <c r="D26" s="141"/>
      <c r="E26" s="141"/>
      <c r="F26" s="43" t="str">
        <f t="shared" si="0"/>
        <v/>
      </c>
      <c r="G26" s="43" t="str">
        <f t="shared" si="1"/>
        <v/>
      </c>
      <c r="H26" s="64" t="str">
        <f t="shared" si="4"/>
        <v/>
      </c>
      <c r="I26" s="144" t="str">
        <f t="shared" si="5"/>
        <v/>
      </c>
      <c r="K26" t="s">
        <v>51</v>
      </c>
      <c r="M26" t="e">
        <f t="shared" si="2"/>
        <v>#VALUE!</v>
      </c>
      <c r="N26" t="str">
        <f t="shared" si="3"/>
        <v/>
      </c>
    </row>
    <row r="27" spans="2:14">
      <c r="B27" s="93">
        <v>15</v>
      </c>
      <c r="C27" s="140"/>
      <c r="D27" s="141"/>
      <c r="E27" s="141"/>
      <c r="F27" s="43" t="str">
        <f t="shared" si="0"/>
        <v/>
      </c>
      <c r="G27" s="43" t="str">
        <f t="shared" si="1"/>
        <v/>
      </c>
      <c r="H27" s="64" t="str">
        <f t="shared" si="4"/>
        <v/>
      </c>
      <c r="I27" s="144" t="str">
        <f t="shared" si="5"/>
        <v/>
      </c>
      <c r="K27" t="s">
        <v>51</v>
      </c>
      <c r="M27" t="e">
        <f t="shared" si="2"/>
        <v>#VALUE!</v>
      </c>
      <c r="N27" t="str">
        <f t="shared" si="3"/>
        <v/>
      </c>
    </row>
    <row r="28" spans="2:14">
      <c r="B28" s="93">
        <v>16</v>
      </c>
      <c r="C28" s="140"/>
      <c r="D28" s="141"/>
      <c r="E28" s="141"/>
      <c r="F28" s="43" t="str">
        <f t="shared" si="0"/>
        <v/>
      </c>
      <c r="G28" s="43" t="str">
        <f t="shared" si="1"/>
        <v/>
      </c>
      <c r="H28" s="64" t="str">
        <f t="shared" si="4"/>
        <v/>
      </c>
      <c r="I28" s="144" t="str">
        <f t="shared" si="5"/>
        <v/>
      </c>
      <c r="K28" t="s">
        <v>51</v>
      </c>
      <c r="M28" t="e">
        <f t="shared" si="2"/>
        <v>#VALUE!</v>
      </c>
      <c r="N28" t="str">
        <f t="shared" si="3"/>
        <v/>
      </c>
    </row>
    <row r="29" spans="2:14">
      <c r="B29" s="93">
        <v>17</v>
      </c>
      <c r="C29" s="140"/>
      <c r="D29" s="141"/>
      <c r="E29" s="141"/>
      <c r="F29" s="43" t="str">
        <f t="shared" si="0"/>
        <v/>
      </c>
      <c r="G29" s="43" t="str">
        <f t="shared" si="1"/>
        <v/>
      </c>
      <c r="H29" s="64" t="str">
        <f t="shared" si="4"/>
        <v/>
      </c>
      <c r="I29" s="144" t="str">
        <f t="shared" si="5"/>
        <v/>
      </c>
      <c r="K29" t="s">
        <v>51</v>
      </c>
      <c r="M29" t="e">
        <f t="shared" si="2"/>
        <v>#VALUE!</v>
      </c>
      <c r="N29" t="str">
        <f t="shared" si="3"/>
        <v/>
      </c>
    </row>
    <row r="30" spans="2:14">
      <c r="B30" s="93">
        <v>18</v>
      </c>
      <c r="C30" s="140"/>
      <c r="D30" s="141"/>
      <c r="E30" s="141"/>
      <c r="F30" s="43" t="str">
        <f t="shared" si="0"/>
        <v/>
      </c>
      <c r="G30" s="43" t="str">
        <f t="shared" si="1"/>
        <v/>
      </c>
      <c r="H30" s="64" t="str">
        <f t="shared" si="4"/>
        <v/>
      </c>
      <c r="I30" s="144" t="str">
        <f t="shared" si="5"/>
        <v/>
      </c>
      <c r="K30" t="s">
        <v>51</v>
      </c>
      <c r="M30" t="e">
        <f t="shared" si="2"/>
        <v>#VALUE!</v>
      </c>
      <c r="N30" t="str">
        <f t="shared" si="3"/>
        <v/>
      </c>
    </row>
    <row r="31" spans="2:14">
      <c r="B31" s="93">
        <v>19</v>
      </c>
      <c r="C31" s="140"/>
      <c r="D31" s="141"/>
      <c r="E31" s="141"/>
      <c r="F31" s="43" t="str">
        <f t="shared" si="0"/>
        <v/>
      </c>
      <c r="G31" s="43" t="str">
        <f t="shared" si="1"/>
        <v/>
      </c>
      <c r="H31" s="64" t="str">
        <f t="shared" si="4"/>
        <v/>
      </c>
      <c r="I31" s="144" t="str">
        <f t="shared" si="5"/>
        <v/>
      </c>
      <c r="K31" t="s">
        <v>51</v>
      </c>
      <c r="M31" t="e">
        <f t="shared" si="2"/>
        <v>#VALUE!</v>
      </c>
      <c r="N31" t="str">
        <f t="shared" si="3"/>
        <v/>
      </c>
    </row>
    <row r="32" spans="2:14">
      <c r="B32" s="93">
        <v>20</v>
      </c>
      <c r="C32" s="140"/>
      <c r="D32" s="141"/>
      <c r="E32" s="141"/>
      <c r="F32" s="43" t="str">
        <f t="shared" si="0"/>
        <v/>
      </c>
      <c r="G32" s="43" t="str">
        <f t="shared" si="1"/>
        <v/>
      </c>
      <c r="H32" s="64" t="str">
        <f t="shared" si="4"/>
        <v/>
      </c>
      <c r="I32" s="144" t="str">
        <f t="shared" si="5"/>
        <v/>
      </c>
      <c r="K32" t="s">
        <v>51</v>
      </c>
      <c r="M32" t="e">
        <f t="shared" si="2"/>
        <v>#VALUE!</v>
      </c>
      <c r="N32" t="str">
        <f t="shared" si="3"/>
        <v/>
      </c>
    </row>
    <row r="33" spans="2:14">
      <c r="B33" s="93">
        <v>21</v>
      </c>
      <c r="C33" s="140"/>
      <c r="D33" s="141"/>
      <c r="E33" s="141"/>
      <c r="F33" s="43" t="str">
        <f t="shared" si="0"/>
        <v/>
      </c>
      <c r="G33" s="43" t="str">
        <f t="shared" si="1"/>
        <v/>
      </c>
      <c r="H33" s="64" t="str">
        <f t="shared" si="4"/>
        <v/>
      </c>
      <c r="I33" s="144" t="str">
        <f t="shared" si="5"/>
        <v/>
      </c>
      <c r="K33" t="s">
        <v>51</v>
      </c>
      <c r="M33" t="e">
        <f t="shared" si="2"/>
        <v>#VALUE!</v>
      </c>
      <c r="N33" t="str">
        <f t="shared" si="3"/>
        <v/>
      </c>
    </row>
    <row r="34" spans="2:14">
      <c r="B34" s="93">
        <v>22</v>
      </c>
      <c r="C34" s="140"/>
      <c r="D34" s="141"/>
      <c r="E34" s="141"/>
      <c r="F34" s="43" t="str">
        <f t="shared" si="0"/>
        <v/>
      </c>
      <c r="G34" s="43" t="str">
        <f t="shared" si="1"/>
        <v/>
      </c>
      <c r="H34" s="64" t="str">
        <f t="shared" si="4"/>
        <v/>
      </c>
      <c r="I34" s="144" t="str">
        <f t="shared" si="5"/>
        <v/>
      </c>
      <c r="K34" t="s">
        <v>51</v>
      </c>
      <c r="M34" t="e">
        <f t="shared" si="2"/>
        <v>#VALUE!</v>
      </c>
      <c r="N34" t="str">
        <f t="shared" si="3"/>
        <v/>
      </c>
    </row>
    <row r="35" spans="2:14">
      <c r="B35" s="93">
        <v>23</v>
      </c>
      <c r="C35" s="140"/>
      <c r="D35" s="141"/>
      <c r="E35" s="141"/>
      <c r="F35" s="43" t="str">
        <f t="shared" si="0"/>
        <v/>
      </c>
      <c r="G35" s="43" t="str">
        <f t="shared" si="1"/>
        <v/>
      </c>
      <c r="H35" s="64" t="str">
        <f t="shared" si="4"/>
        <v/>
      </c>
      <c r="I35" s="144" t="str">
        <f t="shared" si="5"/>
        <v/>
      </c>
      <c r="K35" t="s">
        <v>51</v>
      </c>
      <c r="M35" t="e">
        <f t="shared" si="2"/>
        <v>#VALUE!</v>
      </c>
      <c r="N35" t="str">
        <f t="shared" si="3"/>
        <v/>
      </c>
    </row>
    <row r="36" spans="2:14">
      <c r="B36" s="93">
        <v>24</v>
      </c>
      <c r="C36" s="140"/>
      <c r="D36" s="141"/>
      <c r="E36" s="141"/>
      <c r="F36" s="43" t="str">
        <f t="shared" si="0"/>
        <v/>
      </c>
      <c r="G36" s="43" t="str">
        <f t="shared" si="1"/>
        <v/>
      </c>
      <c r="H36" s="64" t="str">
        <f t="shared" si="4"/>
        <v/>
      </c>
      <c r="I36" s="144" t="str">
        <f t="shared" si="5"/>
        <v/>
      </c>
      <c r="K36" t="s">
        <v>51</v>
      </c>
      <c r="M36" t="e">
        <f t="shared" si="2"/>
        <v>#VALUE!</v>
      </c>
      <c r="N36" t="str">
        <f t="shared" si="3"/>
        <v/>
      </c>
    </row>
    <row r="37" spans="2:14" ht="13.8" thickBot="1">
      <c r="B37" s="94">
        <v>25</v>
      </c>
      <c r="C37" s="138"/>
      <c r="D37" s="139"/>
      <c r="E37" s="139"/>
      <c r="F37" s="51" t="str">
        <f t="shared" si="0"/>
        <v/>
      </c>
      <c r="G37" s="51" t="str">
        <f t="shared" si="1"/>
        <v/>
      </c>
      <c r="H37" s="65" t="str">
        <f t="shared" si="4"/>
        <v/>
      </c>
      <c r="I37" s="145" t="str">
        <f t="shared" si="5"/>
        <v/>
      </c>
      <c r="K37" t="s">
        <v>51</v>
      </c>
      <c r="M37" t="e">
        <f t="shared" si="2"/>
        <v>#VALUE!</v>
      </c>
      <c r="N37" t="str">
        <f t="shared" si="3"/>
        <v/>
      </c>
    </row>
  </sheetData>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4" operator="containsText" text="NG">
      <formula>NOT(ISERROR(SEARCH("NG",D5)))</formula>
    </cfRule>
  </conditionalFormatting>
  <conditionalFormatting sqref="D6">
    <cfRule type="expression" dxfId="4" priority="6">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177</v>
      </c>
      <c r="O2" t="s">
        <v>179</v>
      </c>
    </row>
    <row r="3" spans="2:18" ht="13.8" thickBot="1">
      <c r="B3" s="137" t="s">
        <v>36</v>
      </c>
      <c r="C3" s="101" t="s">
        <v>167</v>
      </c>
      <c r="D3" s="101" t="s">
        <v>173</v>
      </c>
      <c r="E3" s="102" t="s">
        <v>174</v>
      </c>
      <c r="F3" s="178" t="s">
        <v>169</v>
      </c>
      <c r="G3" s="175" t="s">
        <v>181</v>
      </c>
      <c r="H3" s="42"/>
      <c r="I3" s="42"/>
      <c r="J3" s="42"/>
      <c r="K3" s="42"/>
      <c r="L3" s="42"/>
      <c r="M3" s="42"/>
      <c r="O3" s="137" t="s">
        <v>36</v>
      </c>
      <c r="P3" s="174" t="s">
        <v>164</v>
      </c>
      <c r="Q3" s="174" t="s">
        <v>176</v>
      </c>
      <c r="R3" s="175" t="s">
        <v>169</v>
      </c>
    </row>
    <row r="4" spans="2:18" ht="13.8" hidden="1" thickTop="1">
      <c r="B4" s="166">
        <v>0</v>
      </c>
      <c r="C4" s="167" t="s">
        <v>158</v>
      </c>
      <c r="D4" s="167"/>
      <c r="E4" s="168"/>
      <c r="F4" s="179"/>
      <c r="G4" s="180"/>
      <c r="H4" s="42"/>
      <c r="I4" s="42"/>
      <c r="J4" s="42"/>
      <c r="K4" s="42"/>
      <c r="L4" s="42"/>
      <c r="M4" s="42"/>
      <c r="O4" s="176">
        <v>0</v>
      </c>
      <c r="P4" s="173" t="s">
        <v>158</v>
      </c>
      <c r="Q4" s="173" t="s">
        <v>158</v>
      </c>
      <c r="R4" s="132"/>
    </row>
    <row r="5" spans="2:18" ht="13.8" thickTop="1">
      <c r="B5" s="169">
        <v>1</v>
      </c>
      <c r="C5" s="141"/>
      <c r="D5" s="24"/>
      <c r="E5" s="64" t="str">
        <f>IF($C5&lt;&gt;"","ALERT_" &amp; D5 &amp; "_ID_"&amp;UPPER(Matrix!$D$6) &amp; "_" &amp; $C5,"")</f>
        <v/>
      </c>
      <c r="F5" s="110"/>
      <c r="G5" s="64" t="str">
        <f>IF(E5&lt;&gt;"",LEN(E5),"")</f>
        <v/>
      </c>
      <c r="O5" s="169">
        <v>1</v>
      </c>
      <c r="P5" s="141"/>
      <c r="Q5" s="141"/>
      <c r="R5" s="111"/>
    </row>
    <row r="6" spans="2:18">
      <c r="B6" s="169">
        <v>2</v>
      </c>
      <c r="C6" s="141"/>
      <c r="D6" s="24"/>
      <c r="E6" s="64" t="str">
        <f>IF($C6&lt;&gt;"","ALERT_" &amp; D6 &amp; "_ID_"&amp;UPPER(Matrix!$D$6) &amp; "_" &amp; $C6,"")</f>
        <v/>
      </c>
      <c r="F6" s="110"/>
      <c r="G6" s="64" t="str">
        <f t="shared" ref="G6:G29" si="0">IF(E6&lt;&gt;"",LEN(E6),"")</f>
        <v/>
      </c>
      <c r="O6" s="169">
        <v>2</v>
      </c>
      <c r="P6" s="141"/>
      <c r="Q6" s="141"/>
      <c r="R6" s="111"/>
    </row>
    <row r="7" spans="2:18">
      <c r="B7" s="169">
        <v>3</v>
      </c>
      <c r="C7" s="141"/>
      <c r="D7" s="24"/>
      <c r="E7" s="64" t="str">
        <f>IF($C7&lt;&gt;"","ALERT_" &amp; D7 &amp; "_ID_"&amp;UPPER(Matrix!$D$6) &amp; "_" &amp; $C7,"")</f>
        <v/>
      </c>
      <c r="F7" s="110"/>
      <c r="G7" s="64" t="str">
        <f t="shared" si="0"/>
        <v/>
      </c>
      <c r="O7" s="169">
        <v>3</v>
      </c>
      <c r="P7" s="141"/>
      <c r="Q7" s="141"/>
      <c r="R7" s="111"/>
    </row>
    <row r="8" spans="2:18">
      <c r="B8" s="169">
        <v>4</v>
      </c>
      <c r="C8" s="141"/>
      <c r="D8" s="24"/>
      <c r="E8" s="64" t="str">
        <f>IF($C8&lt;&gt;"","ALERT_" &amp; D8 &amp; "_ID_"&amp;UPPER(Matrix!$D$6) &amp; "_" &amp; $C8,"")</f>
        <v/>
      </c>
      <c r="F8" s="110"/>
      <c r="G8" s="64" t="str">
        <f t="shared" si="0"/>
        <v/>
      </c>
      <c r="O8" s="169">
        <v>4</v>
      </c>
      <c r="P8" s="141"/>
      <c r="Q8" s="141"/>
      <c r="R8" s="111"/>
    </row>
    <row r="9" spans="2:18">
      <c r="B9" s="169">
        <v>5</v>
      </c>
      <c r="C9" s="141"/>
      <c r="D9" s="24"/>
      <c r="E9" s="64" t="str">
        <f>IF($C9&lt;&gt;"","ALERT_" &amp; D9 &amp; "_ID_"&amp;UPPER(Matrix!$D$6) &amp; "_" &amp; $C9,"")</f>
        <v/>
      </c>
      <c r="F9" s="110"/>
      <c r="G9" s="64" t="str">
        <f t="shared" si="0"/>
        <v/>
      </c>
      <c r="O9" s="169">
        <v>5</v>
      </c>
      <c r="P9" s="141"/>
      <c r="Q9" s="141"/>
      <c r="R9" s="111"/>
    </row>
    <row r="10" spans="2:18">
      <c r="B10" s="169">
        <v>6</v>
      </c>
      <c r="C10" s="141"/>
      <c r="D10" s="24"/>
      <c r="E10" s="64" t="str">
        <f>IF($C10&lt;&gt;"","ALERT_" &amp; D10 &amp; "_ID_"&amp;UPPER(Matrix!$D$6) &amp; "_" &amp; $C10,"")</f>
        <v/>
      </c>
      <c r="F10" s="110"/>
      <c r="G10" s="64" t="str">
        <f t="shared" si="0"/>
        <v/>
      </c>
      <c r="O10" s="169">
        <v>6</v>
      </c>
      <c r="P10" s="141"/>
      <c r="Q10" s="141"/>
      <c r="R10" s="111"/>
    </row>
    <row r="11" spans="2:18">
      <c r="B11" s="169">
        <v>7</v>
      </c>
      <c r="C11" s="141"/>
      <c r="D11" s="24"/>
      <c r="E11" s="64" t="str">
        <f>IF($C11&lt;&gt;"","ALERT_" &amp; D11 &amp; "_ID_"&amp;UPPER(Matrix!$D$6) &amp; "_" &amp; $C11,"")</f>
        <v/>
      </c>
      <c r="F11" s="110"/>
      <c r="G11" s="64" t="str">
        <f t="shared" si="0"/>
        <v/>
      </c>
      <c r="O11" s="169">
        <v>7</v>
      </c>
      <c r="P11" s="141"/>
      <c r="Q11" s="141"/>
      <c r="R11" s="111"/>
    </row>
    <row r="12" spans="2:18">
      <c r="B12" s="169">
        <v>8</v>
      </c>
      <c r="C12" s="141"/>
      <c r="D12" s="24"/>
      <c r="E12" s="64" t="str">
        <f>IF($C12&lt;&gt;"","ALERT_" &amp; D12 &amp; "_ID_"&amp;UPPER(Matrix!$D$6) &amp; "_" &amp; $C12,"")</f>
        <v/>
      </c>
      <c r="F12" s="110"/>
      <c r="G12" s="64" t="str">
        <f t="shared" si="0"/>
        <v/>
      </c>
      <c r="O12" s="169">
        <v>8</v>
      </c>
      <c r="P12" s="141"/>
      <c r="Q12" s="141"/>
      <c r="R12" s="111"/>
    </row>
    <row r="13" spans="2:18">
      <c r="B13" s="169">
        <v>9</v>
      </c>
      <c r="C13" s="141"/>
      <c r="D13" s="24"/>
      <c r="E13" s="64" t="str">
        <f>IF($C13&lt;&gt;"","ALERT_" &amp; D13 &amp; "_ID_"&amp;UPPER(Matrix!$D$6) &amp; "_" &amp; $C13,"")</f>
        <v/>
      </c>
      <c r="F13" s="110"/>
      <c r="G13" s="64" t="str">
        <f t="shared" si="0"/>
        <v/>
      </c>
      <c r="O13" s="169">
        <v>9</v>
      </c>
      <c r="P13" s="141"/>
      <c r="Q13" s="141"/>
      <c r="R13" s="111"/>
    </row>
    <row r="14" spans="2:18">
      <c r="B14" s="169">
        <v>10</v>
      </c>
      <c r="C14" s="141"/>
      <c r="D14" s="24"/>
      <c r="E14" s="64" t="str">
        <f>IF($C14&lt;&gt;"","ALERT_" &amp; D14 &amp; "_ID_"&amp;UPPER(Matrix!$D$6) &amp; "_" &amp; $C14,"")</f>
        <v/>
      </c>
      <c r="F14" s="110"/>
      <c r="G14" s="64" t="str">
        <f t="shared" si="0"/>
        <v/>
      </c>
      <c r="O14" s="169">
        <v>10</v>
      </c>
      <c r="P14" s="141"/>
      <c r="Q14" s="141"/>
      <c r="R14" s="111"/>
    </row>
    <row r="15" spans="2:18">
      <c r="B15" s="169">
        <v>11</v>
      </c>
      <c r="C15" s="141"/>
      <c r="D15" s="24"/>
      <c r="E15" s="64" t="str">
        <f>IF($C15&lt;&gt;"","ALERT_" &amp; D15 &amp; "_ID_"&amp;UPPER(Matrix!$D$6) &amp; "_" &amp; $C15,"")</f>
        <v/>
      </c>
      <c r="F15" s="110"/>
      <c r="G15" s="64" t="str">
        <f t="shared" si="0"/>
        <v/>
      </c>
      <c r="O15" s="169">
        <v>11</v>
      </c>
      <c r="P15" s="141"/>
      <c r="Q15" s="141"/>
      <c r="R15" s="111"/>
    </row>
    <row r="16" spans="2:18">
      <c r="B16" s="169">
        <v>12</v>
      </c>
      <c r="C16" s="141"/>
      <c r="D16" s="24"/>
      <c r="E16" s="64" t="str">
        <f>IF($C16&lt;&gt;"","ALERT_" &amp; D16 &amp; "_ID_"&amp;UPPER(Matrix!$D$6) &amp; "_" &amp; $C16,"")</f>
        <v/>
      </c>
      <c r="F16" s="110"/>
      <c r="G16" s="64" t="str">
        <f t="shared" si="0"/>
        <v/>
      </c>
      <c r="O16" s="169">
        <v>12</v>
      </c>
      <c r="P16" s="141"/>
      <c r="Q16" s="141"/>
      <c r="R16" s="111"/>
    </row>
    <row r="17" spans="2:18">
      <c r="B17" s="169">
        <v>13</v>
      </c>
      <c r="C17" s="141"/>
      <c r="D17" s="24"/>
      <c r="E17" s="64" t="str">
        <f>IF($C17&lt;&gt;"","ALERT_" &amp; D17 &amp; "_ID_"&amp;UPPER(Matrix!$D$6) &amp; "_" &amp; $C17,"")</f>
        <v/>
      </c>
      <c r="F17" s="110"/>
      <c r="G17" s="64" t="str">
        <f t="shared" si="0"/>
        <v/>
      </c>
      <c r="O17" s="169">
        <v>13</v>
      </c>
      <c r="P17" s="141"/>
      <c r="Q17" s="141"/>
      <c r="R17" s="111"/>
    </row>
    <row r="18" spans="2:18">
      <c r="B18" s="169">
        <v>14</v>
      </c>
      <c r="C18" s="141"/>
      <c r="D18" s="24"/>
      <c r="E18" s="64" t="str">
        <f>IF($C18&lt;&gt;"","ALERT_" &amp; D18 &amp; "_ID_"&amp;UPPER(Matrix!$D$6) &amp; "_" &amp; $C18,"")</f>
        <v/>
      </c>
      <c r="F18" s="110"/>
      <c r="G18" s="64" t="str">
        <f t="shared" si="0"/>
        <v/>
      </c>
      <c r="O18" s="169">
        <v>14</v>
      </c>
      <c r="P18" s="141"/>
      <c r="Q18" s="141"/>
      <c r="R18" s="111"/>
    </row>
    <row r="19" spans="2:18">
      <c r="B19" s="169">
        <v>15</v>
      </c>
      <c r="C19" s="141"/>
      <c r="D19" s="24"/>
      <c r="E19" s="64" t="str">
        <f>IF($C19&lt;&gt;"","ALERT_" &amp; D19 &amp; "_ID_"&amp;UPPER(Matrix!$D$6) &amp; "_" &amp; $C19,"")</f>
        <v/>
      </c>
      <c r="F19" s="110"/>
      <c r="G19" s="64" t="str">
        <f t="shared" si="0"/>
        <v/>
      </c>
      <c r="O19" s="169">
        <v>15</v>
      </c>
      <c r="P19" s="141"/>
      <c r="Q19" s="141"/>
      <c r="R19" s="111"/>
    </row>
    <row r="20" spans="2:18">
      <c r="B20" s="169">
        <v>16</v>
      </c>
      <c r="C20" s="141"/>
      <c r="D20" s="24"/>
      <c r="E20" s="64" t="str">
        <f>IF($C20&lt;&gt;"","ALERT_" &amp; D20 &amp; "_ID_"&amp;UPPER(Matrix!$D$6) &amp; "_" &amp; $C20,"")</f>
        <v/>
      </c>
      <c r="F20" s="110"/>
      <c r="G20" s="64" t="str">
        <f t="shared" si="0"/>
        <v/>
      </c>
      <c r="O20" s="169">
        <v>16</v>
      </c>
      <c r="P20" s="141"/>
      <c r="Q20" s="141"/>
      <c r="R20" s="111"/>
    </row>
    <row r="21" spans="2:18">
      <c r="B21" s="169">
        <v>17</v>
      </c>
      <c r="C21" s="141"/>
      <c r="D21" s="24"/>
      <c r="E21" s="64" t="str">
        <f>IF($C21&lt;&gt;"","ALERT_" &amp; D21 &amp; "_ID_"&amp;UPPER(Matrix!$D$6) &amp; "_" &amp; $C21,"")</f>
        <v/>
      </c>
      <c r="F21" s="110"/>
      <c r="G21" s="64" t="str">
        <f t="shared" si="0"/>
        <v/>
      </c>
      <c r="O21" s="169">
        <v>17</v>
      </c>
      <c r="P21" s="141"/>
      <c r="Q21" s="141"/>
      <c r="R21" s="111"/>
    </row>
    <row r="22" spans="2:18">
      <c r="B22" s="169">
        <v>18</v>
      </c>
      <c r="C22" s="141"/>
      <c r="D22" s="24"/>
      <c r="E22" s="64" t="str">
        <f>IF($C22&lt;&gt;"","ALERT_" &amp; D22 &amp; "_ID_"&amp;UPPER(Matrix!$D$6) &amp; "_" &amp; $C22,"")</f>
        <v/>
      </c>
      <c r="F22" s="110"/>
      <c r="G22" s="64" t="str">
        <f t="shared" si="0"/>
        <v/>
      </c>
      <c r="O22" s="169">
        <v>18</v>
      </c>
      <c r="P22" s="141"/>
      <c r="Q22" s="141"/>
      <c r="R22" s="111"/>
    </row>
    <row r="23" spans="2:18">
      <c r="B23" s="169">
        <v>19</v>
      </c>
      <c r="C23" s="141"/>
      <c r="D23" s="24"/>
      <c r="E23" s="64" t="str">
        <f>IF($C23&lt;&gt;"","ALERT_" &amp; D23 &amp; "_ID_"&amp;UPPER(Matrix!$D$6) &amp; "_" &amp; $C23,"")</f>
        <v/>
      </c>
      <c r="F23" s="110"/>
      <c r="G23" s="64" t="str">
        <f t="shared" si="0"/>
        <v/>
      </c>
      <c r="O23" s="169">
        <v>19</v>
      </c>
      <c r="P23" s="141"/>
      <c r="Q23" s="141"/>
      <c r="R23" s="111"/>
    </row>
    <row r="24" spans="2:18">
      <c r="B24" s="169">
        <v>20</v>
      </c>
      <c r="C24" s="141"/>
      <c r="D24" s="24"/>
      <c r="E24" s="64" t="str">
        <f>IF($C24&lt;&gt;"","ALERT_" &amp; D24 &amp; "_ID_"&amp;UPPER(Matrix!$D$6) &amp; "_" &amp; $C24,"")</f>
        <v/>
      </c>
      <c r="F24" s="110"/>
      <c r="G24" s="64" t="str">
        <f t="shared" si="0"/>
        <v/>
      </c>
      <c r="O24" s="169">
        <v>20</v>
      </c>
      <c r="P24" s="141"/>
      <c r="Q24" s="141"/>
      <c r="R24" s="111"/>
    </row>
    <row r="25" spans="2:18">
      <c r="B25" s="169">
        <v>21</v>
      </c>
      <c r="C25" s="141"/>
      <c r="D25" s="24"/>
      <c r="E25" s="64" t="str">
        <f>IF($C25&lt;&gt;"","ALERT_" &amp; D25 &amp; "_ID_"&amp;UPPER(Matrix!$D$6) &amp; "_" &amp; $C25,"")</f>
        <v/>
      </c>
      <c r="F25" s="110"/>
      <c r="G25" s="64" t="str">
        <f t="shared" si="0"/>
        <v/>
      </c>
      <c r="O25" s="169">
        <v>21</v>
      </c>
      <c r="P25" s="141"/>
      <c r="Q25" s="141"/>
      <c r="R25" s="111"/>
    </row>
    <row r="26" spans="2:18">
      <c r="B26" s="169">
        <v>22</v>
      </c>
      <c r="C26" s="141"/>
      <c r="D26" s="24"/>
      <c r="E26" s="64" t="str">
        <f>IF($C26&lt;&gt;"","ALERT_" &amp; D26 &amp; "_ID_"&amp;UPPER(Matrix!$D$6) &amp; "_" &amp; $C26,"")</f>
        <v/>
      </c>
      <c r="F26" s="110"/>
      <c r="G26" s="64" t="str">
        <f t="shared" si="0"/>
        <v/>
      </c>
      <c r="O26" s="169">
        <v>22</v>
      </c>
      <c r="P26" s="141"/>
      <c r="Q26" s="141"/>
      <c r="R26" s="111"/>
    </row>
    <row r="27" spans="2:18">
      <c r="B27" s="169">
        <v>23</v>
      </c>
      <c r="C27" s="141"/>
      <c r="D27" s="24"/>
      <c r="E27" s="64" t="str">
        <f>IF($C27&lt;&gt;"","ALERT_" &amp; D27 &amp; "_ID_"&amp;UPPER(Matrix!$D$6) &amp; "_" &amp; $C27,"")</f>
        <v/>
      </c>
      <c r="F27" s="110"/>
      <c r="G27" s="64" t="str">
        <f t="shared" si="0"/>
        <v/>
      </c>
      <c r="O27" s="169">
        <v>23</v>
      </c>
      <c r="P27" s="141"/>
      <c r="Q27" s="141"/>
      <c r="R27" s="111"/>
    </row>
    <row r="28" spans="2:18">
      <c r="B28" s="169">
        <v>24</v>
      </c>
      <c r="C28" s="141"/>
      <c r="D28" s="24"/>
      <c r="E28" s="64" t="str">
        <f>IF($C28&lt;&gt;"","ALERT_" &amp; D28 &amp; "_ID_"&amp;UPPER(Matrix!$D$6) &amp; "_" &amp; $C28,"")</f>
        <v/>
      </c>
      <c r="F28" s="110"/>
      <c r="G28" s="64" t="str">
        <f t="shared" si="0"/>
        <v/>
      </c>
      <c r="O28" s="169">
        <v>24</v>
      </c>
      <c r="P28" s="141"/>
      <c r="Q28" s="141"/>
      <c r="R28" s="111"/>
    </row>
    <row r="29" spans="2:18" ht="13.8" thickBot="1">
      <c r="B29" s="170">
        <v>25</v>
      </c>
      <c r="C29" s="139"/>
      <c r="D29" s="50"/>
      <c r="E29" s="65" t="str">
        <f>IF($C29&lt;&gt;"","ALERT_" &amp; D29 &amp; "_ID_"&amp;UPPER(Matrix!$D$6) &amp; "_" &amp; $C29,"")</f>
        <v/>
      </c>
      <c r="F29" s="112"/>
      <c r="G29" s="65" t="str">
        <f t="shared" si="0"/>
        <v/>
      </c>
      <c r="O29" s="170">
        <v>25</v>
      </c>
      <c r="P29" s="139"/>
      <c r="Q29" s="139"/>
      <c r="R29" s="113"/>
    </row>
    <row r="32" spans="2:18" ht="13.8" thickBot="1">
      <c r="B32" t="s">
        <v>178</v>
      </c>
      <c r="O32" t="s">
        <v>175</v>
      </c>
    </row>
    <row r="33" spans="2:18" ht="13.8" thickBot="1">
      <c r="B33" s="137" t="s">
        <v>36</v>
      </c>
      <c r="C33" s="101" t="s">
        <v>167</v>
      </c>
      <c r="D33" s="101" t="s">
        <v>172</v>
      </c>
      <c r="E33" s="102" t="s">
        <v>170</v>
      </c>
      <c r="F33" s="175" t="s">
        <v>171</v>
      </c>
      <c r="G33" s="175" t="s">
        <v>181</v>
      </c>
      <c r="O33" s="137" t="s">
        <v>36</v>
      </c>
      <c r="P33" s="174" t="s">
        <v>165</v>
      </c>
      <c r="Q33" s="174" t="s">
        <v>180</v>
      </c>
      <c r="R33" s="175" t="s">
        <v>168</v>
      </c>
    </row>
    <row r="34" spans="2:18" ht="13.8" hidden="1" thickTop="1">
      <c r="B34" s="166">
        <v>0</v>
      </c>
      <c r="C34" s="167" t="s">
        <v>158</v>
      </c>
      <c r="D34" s="167"/>
      <c r="E34" s="168"/>
      <c r="F34" s="177" t="s">
        <v>158</v>
      </c>
      <c r="G34" s="180"/>
      <c r="O34" s="176">
        <v>0</v>
      </c>
      <c r="P34" s="173" t="s">
        <v>158</v>
      </c>
      <c r="Q34" s="173" t="s">
        <v>158</v>
      </c>
      <c r="R34" s="177" t="s">
        <v>158</v>
      </c>
    </row>
    <row r="35" spans="2:18" ht="13.8" thickTop="1">
      <c r="B35" s="169">
        <v>1</v>
      </c>
      <c r="C35" s="141"/>
      <c r="D35" s="24"/>
      <c r="E35" s="64" t="str">
        <f>IF($C35&lt;&gt;"","ALERT_" &amp; UPPER(Matrix!$D$6) &amp; "_" &amp; $C35,"")</f>
        <v/>
      </c>
      <c r="F35" s="171"/>
      <c r="G35" s="64" t="str">
        <f>IF(E35&lt;&gt;"",LEN(E35),"")</f>
        <v/>
      </c>
      <c r="O35" s="169">
        <v>1</v>
      </c>
      <c r="P35" s="141"/>
      <c r="Q35" s="141"/>
      <c r="R35" s="171"/>
    </row>
    <row r="36" spans="2:18">
      <c r="B36" s="169">
        <v>2</v>
      </c>
      <c r="C36" s="141"/>
      <c r="D36" s="24"/>
      <c r="E36" s="64" t="str">
        <f>IF($C36&lt;&gt;"","ALERT_" &amp; UPPER(Matrix!$D$6) &amp; "_" &amp; $C36,"")</f>
        <v/>
      </c>
      <c r="F36" s="171"/>
      <c r="G36" s="64" t="str">
        <f>IF(E36&lt;&gt;"",LEN(E36),"")</f>
        <v/>
      </c>
      <c r="O36" s="169">
        <v>2</v>
      </c>
      <c r="P36" s="141"/>
      <c r="Q36" s="141"/>
      <c r="R36" s="171"/>
    </row>
    <row r="37" spans="2:18">
      <c r="B37" s="169">
        <v>3</v>
      </c>
      <c r="C37" s="141"/>
      <c r="D37" s="24"/>
      <c r="E37" s="64" t="str">
        <f>IF($C37&lt;&gt;"","ALERT_" &amp; UPPER(Matrix!$D$6) &amp; "_" &amp; $C37,"")</f>
        <v/>
      </c>
      <c r="F37" s="171"/>
      <c r="G37" s="64" t="str">
        <f>IF(E37&lt;&gt;"",LEN(E37),"")</f>
        <v/>
      </c>
      <c r="O37" s="169">
        <v>3</v>
      </c>
      <c r="P37" s="141"/>
      <c r="Q37" s="141"/>
      <c r="R37" s="171"/>
    </row>
    <row r="38" spans="2:18">
      <c r="B38" s="169">
        <v>4</v>
      </c>
      <c r="C38" s="141"/>
      <c r="D38" s="24"/>
      <c r="E38" s="64" t="str">
        <f>IF($C38&lt;&gt;"","ALERT_" &amp; UPPER(Matrix!$D$6) &amp; "_" &amp; $C38,"")</f>
        <v/>
      </c>
      <c r="F38" s="171"/>
      <c r="G38" s="64" t="str">
        <f t="shared" ref="G38:G59" si="1">IF(E38&lt;&gt;"",LEN(E38),"")</f>
        <v/>
      </c>
      <c r="O38" s="169">
        <v>4</v>
      </c>
      <c r="P38" s="141"/>
      <c r="Q38" s="141"/>
      <c r="R38" s="171"/>
    </row>
    <row r="39" spans="2:18">
      <c r="B39" s="169">
        <v>5</v>
      </c>
      <c r="C39" s="141"/>
      <c r="D39" s="24"/>
      <c r="E39" s="64" t="str">
        <f>IF($C39&lt;&gt;"","ALERT_" &amp; UPPER(Matrix!$D$6) &amp; "_" &amp; $C39,"")</f>
        <v/>
      </c>
      <c r="F39" s="171"/>
      <c r="G39" s="64" t="str">
        <f t="shared" si="1"/>
        <v/>
      </c>
      <c r="O39" s="169">
        <v>5</v>
      </c>
      <c r="P39" s="141"/>
      <c r="Q39" s="141"/>
      <c r="R39" s="171"/>
    </row>
    <row r="40" spans="2:18">
      <c r="B40" s="169">
        <v>6</v>
      </c>
      <c r="C40" s="141"/>
      <c r="D40" s="24"/>
      <c r="E40" s="64" t="str">
        <f>IF($C40&lt;&gt;"","ALERT_" &amp; UPPER(Matrix!$D$6) &amp; "_" &amp; $C40,"")</f>
        <v/>
      </c>
      <c r="F40" s="171"/>
      <c r="G40" s="64" t="str">
        <f t="shared" si="1"/>
        <v/>
      </c>
      <c r="O40" s="169">
        <v>6</v>
      </c>
      <c r="P40" s="141"/>
      <c r="Q40" s="141"/>
      <c r="R40" s="171"/>
    </row>
    <row r="41" spans="2:18">
      <c r="B41" s="169">
        <v>7</v>
      </c>
      <c r="C41" s="141"/>
      <c r="D41" s="24"/>
      <c r="E41" s="64" t="str">
        <f>IF($C41&lt;&gt;"","ALERT_" &amp; UPPER(Matrix!$D$6) &amp; "_" &amp; $C41,"")</f>
        <v/>
      </c>
      <c r="F41" s="171"/>
      <c r="G41" s="64" t="str">
        <f t="shared" si="1"/>
        <v/>
      </c>
      <c r="O41" s="169">
        <v>7</v>
      </c>
      <c r="P41" s="141"/>
      <c r="Q41" s="141"/>
      <c r="R41" s="171"/>
    </row>
    <row r="42" spans="2:18">
      <c r="B42" s="169">
        <v>8</v>
      </c>
      <c r="C42" s="141"/>
      <c r="D42" s="24"/>
      <c r="E42" s="64" t="str">
        <f>IF($C42&lt;&gt;"","ALERT_" &amp; UPPER(Matrix!$D$6) &amp; "_" &amp; $C42,"")</f>
        <v/>
      </c>
      <c r="F42" s="171"/>
      <c r="G42" s="64" t="str">
        <f t="shared" si="1"/>
        <v/>
      </c>
      <c r="O42" s="169">
        <v>8</v>
      </c>
      <c r="P42" s="141"/>
      <c r="Q42" s="141"/>
      <c r="R42" s="171"/>
    </row>
    <row r="43" spans="2:18">
      <c r="B43" s="169">
        <v>9</v>
      </c>
      <c r="C43" s="141"/>
      <c r="D43" s="24"/>
      <c r="E43" s="64" t="str">
        <f>IF($C43&lt;&gt;"","ALERT_" &amp; UPPER(Matrix!$D$6) &amp; "_" &amp; $C43,"")</f>
        <v/>
      </c>
      <c r="F43" s="171"/>
      <c r="G43" s="64" t="str">
        <f t="shared" si="1"/>
        <v/>
      </c>
      <c r="O43" s="169">
        <v>9</v>
      </c>
      <c r="P43" s="141"/>
      <c r="Q43" s="141"/>
      <c r="R43" s="171"/>
    </row>
    <row r="44" spans="2:18">
      <c r="B44" s="169">
        <v>10</v>
      </c>
      <c r="C44" s="141"/>
      <c r="D44" s="24"/>
      <c r="E44" s="64" t="str">
        <f>IF($C44&lt;&gt;"","ALERT_" &amp; UPPER(Matrix!$D$6) &amp; "_" &amp; $C44,"")</f>
        <v/>
      </c>
      <c r="F44" s="171"/>
      <c r="G44" s="64" t="str">
        <f t="shared" si="1"/>
        <v/>
      </c>
      <c r="O44" s="169">
        <v>10</v>
      </c>
      <c r="P44" s="141"/>
      <c r="Q44" s="141"/>
      <c r="R44" s="171"/>
    </row>
    <row r="45" spans="2:18">
      <c r="B45" s="169">
        <v>11</v>
      </c>
      <c r="C45" s="141"/>
      <c r="D45" s="24"/>
      <c r="E45" s="64" t="str">
        <f>IF($C45&lt;&gt;"","ALERT_" &amp; UPPER(Matrix!$D$6) &amp; "_" &amp; $C45,"")</f>
        <v/>
      </c>
      <c r="F45" s="171"/>
      <c r="G45" s="64" t="str">
        <f t="shared" si="1"/>
        <v/>
      </c>
      <c r="O45" s="169">
        <v>11</v>
      </c>
      <c r="P45" s="141"/>
      <c r="Q45" s="141"/>
      <c r="R45" s="171"/>
    </row>
    <row r="46" spans="2:18">
      <c r="B46" s="169">
        <v>12</v>
      </c>
      <c r="C46" s="141"/>
      <c r="D46" s="24"/>
      <c r="E46" s="64" t="str">
        <f>IF($C46&lt;&gt;"","ALERT_" &amp; UPPER(Matrix!$D$6) &amp; "_" &amp; $C46,"")</f>
        <v/>
      </c>
      <c r="F46" s="171"/>
      <c r="G46" s="64" t="str">
        <f t="shared" si="1"/>
        <v/>
      </c>
      <c r="O46" s="169">
        <v>12</v>
      </c>
      <c r="P46" s="141"/>
      <c r="Q46" s="141"/>
      <c r="R46" s="171"/>
    </row>
    <row r="47" spans="2:18">
      <c r="B47" s="169">
        <v>13</v>
      </c>
      <c r="C47" s="141"/>
      <c r="D47" s="24"/>
      <c r="E47" s="64" t="str">
        <f>IF($C47&lt;&gt;"","ALERT_" &amp; UPPER(Matrix!$D$6) &amp; "_" &amp; $C47,"")</f>
        <v/>
      </c>
      <c r="F47" s="171"/>
      <c r="G47" s="64" t="str">
        <f t="shared" si="1"/>
        <v/>
      </c>
      <c r="O47" s="169">
        <v>13</v>
      </c>
      <c r="P47" s="141"/>
      <c r="Q47" s="141"/>
      <c r="R47" s="171"/>
    </row>
    <row r="48" spans="2:18">
      <c r="B48" s="169">
        <v>14</v>
      </c>
      <c r="C48" s="141"/>
      <c r="D48" s="24"/>
      <c r="E48" s="64" t="str">
        <f>IF($C48&lt;&gt;"","ALERT_" &amp; UPPER(Matrix!$D$6) &amp; "_" &amp; $C48,"")</f>
        <v/>
      </c>
      <c r="F48" s="171"/>
      <c r="G48" s="64" t="str">
        <f t="shared" si="1"/>
        <v/>
      </c>
      <c r="O48" s="169">
        <v>14</v>
      </c>
      <c r="P48" s="141"/>
      <c r="Q48" s="141"/>
      <c r="R48" s="171"/>
    </row>
    <row r="49" spans="2:18">
      <c r="B49" s="169">
        <v>15</v>
      </c>
      <c r="C49" s="141"/>
      <c r="D49" s="24"/>
      <c r="E49" s="64" t="str">
        <f>IF($C49&lt;&gt;"","ALERT_" &amp; UPPER(Matrix!$D$6) &amp; "_" &amp; $C49,"")</f>
        <v/>
      </c>
      <c r="F49" s="171"/>
      <c r="G49" s="64" t="str">
        <f t="shared" si="1"/>
        <v/>
      </c>
      <c r="O49" s="169">
        <v>15</v>
      </c>
      <c r="P49" s="141"/>
      <c r="Q49" s="141"/>
      <c r="R49" s="171"/>
    </row>
    <row r="50" spans="2:18">
      <c r="B50" s="169">
        <v>16</v>
      </c>
      <c r="C50" s="141"/>
      <c r="D50" s="24"/>
      <c r="E50" s="64" t="str">
        <f>IF($C50&lt;&gt;"","ALERT_" &amp; UPPER(Matrix!$D$6) &amp; "_" &amp; $C50,"")</f>
        <v/>
      </c>
      <c r="F50" s="171"/>
      <c r="G50" s="64" t="str">
        <f t="shared" si="1"/>
        <v/>
      </c>
      <c r="O50" s="169">
        <v>16</v>
      </c>
      <c r="P50" s="141"/>
      <c r="Q50" s="141"/>
      <c r="R50" s="171"/>
    </row>
    <row r="51" spans="2:18">
      <c r="B51" s="169">
        <v>17</v>
      </c>
      <c r="C51" s="141"/>
      <c r="D51" s="24"/>
      <c r="E51" s="64" t="str">
        <f>IF($C51&lt;&gt;"","ALERT_" &amp; UPPER(Matrix!$D$6) &amp; "_" &amp; $C51,"")</f>
        <v/>
      </c>
      <c r="F51" s="171"/>
      <c r="G51" s="64" t="str">
        <f t="shared" si="1"/>
        <v/>
      </c>
      <c r="O51" s="169">
        <v>17</v>
      </c>
      <c r="P51" s="141"/>
      <c r="Q51" s="141"/>
      <c r="R51" s="171"/>
    </row>
    <row r="52" spans="2:18">
      <c r="B52" s="169">
        <v>18</v>
      </c>
      <c r="C52" s="141"/>
      <c r="D52" s="24"/>
      <c r="E52" s="64" t="str">
        <f>IF($C52&lt;&gt;"","ALERT_" &amp; UPPER(Matrix!$D$6) &amp; "_" &amp; $C52,"")</f>
        <v/>
      </c>
      <c r="F52" s="171"/>
      <c r="G52" s="64" t="str">
        <f t="shared" si="1"/>
        <v/>
      </c>
      <c r="O52" s="169">
        <v>18</v>
      </c>
      <c r="P52" s="141"/>
      <c r="Q52" s="141"/>
      <c r="R52" s="171"/>
    </row>
    <row r="53" spans="2:18">
      <c r="B53" s="169">
        <v>19</v>
      </c>
      <c r="C53" s="141"/>
      <c r="D53" s="24"/>
      <c r="E53" s="64" t="str">
        <f>IF($C53&lt;&gt;"","ALERT_" &amp; UPPER(Matrix!$D$6) &amp; "_" &amp; $C53,"")</f>
        <v/>
      </c>
      <c r="F53" s="171"/>
      <c r="G53" s="64" t="str">
        <f t="shared" si="1"/>
        <v/>
      </c>
      <c r="O53" s="169">
        <v>19</v>
      </c>
      <c r="P53" s="141"/>
      <c r="Q53" s="141"/>
      <c r="R53" s="171"/>
    </row>
    <row r="54" spans="2:18">
      <c r="B54" s="169">
        <v>20</v>
      </c>
      <c r="C54" s="141"/>
      <c r="D54" s="24"/>
      <c r="E54" s="64" t="str">
        <f>IF($C54&lt;&gt;"","ALERT_" &amp; UPPER(Matrix!$D$6) &amp; "_" &amp; $C54,"")</f>
        <v/>
      </c>
      <c r="F54" s="171"/>
      <c r="G54" s="64" t="str">
        <f t="shared" si="1"/>
        <v/>
      </c>
      <c r="O54" s="169">
        <v>20</v>
      </c>
      <c r="P54" s="141"/>
      <c r="Q54" s="141"/>
      <c r="R54" s="171"/>
    </row>
    <row r="55" spans="2:18">
      <c r="B55" s="169">
        <v>21</v>
      </c>
      <c r="C55" s="141"/>
      <c r="D55" s="24"/>
      <c r="E55" s="64" t="str">
        <f>IF($C55&lt;&gt;"","ALERT_" &amp; UPPER(Matrix!$D$6) &amp; "_" &amp; $C55,"")</f>
        <v/>
      </c>
      <c r="F55" s="171"/>
      <c r="G55" s="64" t="str">
        <f t="shared" si="1"/>
        <v/>
      </c>
      <c r="O55" s="169">
        <v>21</v>
      </c>
      <c r="P55" s="141"/>
      <c r="Q55" s="141"/>
      <c r="R55" s="171"/>
    </row>
    <row r="56" spans="2:18">
      <c r="B56" s="169">
        <v>22</v>
      </c>
      <c r="C56" s="141"/>
      <c r="D56" s="24"/>
      <c r="E56" s="64" t="str">
        <f>IF($C56&lt;&gt;"","ALERT_" &amp; UPPER(Matrix!$D$6) &amp; "_" &amp; $C56,"")</f>
        <v/>
      </c>
      <c r="F56" s="171"/>
      <c r="G56" s="64" t="str">
        <f t="shared" si="1"/>
        <v/>
      </c>
      <c r="O56" s="169">
        <v>22</v>
      </c>
      <c r="P56" s="141"/>
      <c r="Q56" s="141"/>
      <c r="R56" s="171"/>
    </row>
    <row r="57" spans="2:18">
      <c r="B57" s="169">
        <v>23</v>
      </c>
      <c r="C57" s="141"/>
      <c r="D57" s="24"/>
      <c r="E57" s="64" t="str">
        <f>IF($C57&lt;&gt;"","ALERT_" &amp; UPPER(Matrix!$D$6) &amp; "_" &amp; $C57,"")</f>
        <v/>
      </c>
      <c r="F57" s="171"/>
      <c r="G57" s="64" t="str">
        <f t="shared" si="1"/>
        <v/>
      </c>
      <c r="O57" s="169">
        <v>23</v>
      </c>
      <c r="P57" s="141"/>
      <c r="Q57" s="141"/>
      <c r="R57" s="171"/>
    </row>
    <row r="58" spans="2:18">
      <c r="B58" s="169">
        <v>24</v>
      </c>
      <c r="C58" s="141"/>
      <c r="D58" s="24"/>
      <c r="E58" s="64" t="str">
        <f>IF($C58&lt;&gt;"","ALERT_" &amp; UPPER(Matrix!$D$6) &amp; "_" &amp; $C58,"")</f>
        <v/>
      </c>
      <c r="F58" s="171"/>
      <c r="G58" s="64" t="str">
        <f t="shared" si="1"/>
        <v/>
      </c>
      <c r="O58" s="169">
        <v>24</v>
      </c>
      <c r="P58" s="141"/>
      <c r="Q58" s="141"/>
      <c r="R58" s="171"/>
    </row>
    <row r="59" spans="2:18" ht="13.8" thickBot="1">
      <c r="B59" s="170">
        <v>25</v>
      </c>
      <c r="C59" s="139"/>
      <c r="D59" s="50"/>
      <c r="E59" s="65" t="str">
        <f>IF($C59&lt;&gt;"","ALERT_" &amp; UPPER(Matrix!$D$6) &amp; "_" &amp; $C59,"")</f>
        <v/>
      </c>
      <c r="F59" s="172"/>
      <c r="G59" s="65" t="str">
        <f t="shared" si="1"/>
        <v/>
      </c>
      <c r="O59" s="170">
        <v>25</v>
      </c>
      <c r="P59" s="139"/>
      <c r="Q59" s="139"/>
      <c r="R59" s="17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6.109375" customWidth="1"/>
    <col min="7" max="7" width="12.33203125" customWidth="1"/>
    <col min="8" max="8" width="29.6640625" bestFit="1" customWidth="1"/>
    <col min="9" max="9" width="12.33203125" customWidth="1"/>
    <col min="10" max="10" width="68.88671875" customWidth="1"/>
    <col min="11" max="11" width="12.33203125" customWidth="1"/>
    <col min="12" max="12" width="16.109375" customWidth="1"/>
    <col min="14" max="14" width="30.109375" bestFit="1" customWidth="1"/>
    <col min="15" max="15" width="57.109375" hidden="1" customWidth="1"/>
    <col min="21" max="21" width="13" hidden="1" customWidth="1"/>
  </cols>
  <sheetData>
    <row r="1" spans="1:21" ht="13.8" thickBot="1">
      <c r="C1" s="87" t="s">
        <v>102</v>
      </c>
    </row>
    <row r="2" spans="1:21" ht="13.8" thickBot="1">
      <c r="B2" s="95" t="s">
        <v>60</v>
      </c>
      <c r="C2" s="96" t="s">
        <v>110</v>
      </c>
      <c r="D2" s="97" t="s">
        <v>54</v>
      </c>
      <c r="E2" s="98" t="s">
        <v>55</v>
      </c>
      <c r="F2" s="99" t="s">
        <v>24</v>
      </c>
      <c r="G2" s="98" t="s">
        <v>56</v>
      </c>
      <c r="H2" s="99" t="s">
        <v>26</v>
      </c>
      <c r="I2" s="98" t="s">
        <v>57</v>
      </c>
      <c r="J2" s="99" t="s">
        <v>155</v>
      </c>
      <c r="K2" s="98" t="s">
        <v>58</v>
      </c>
      <c r="L2" s="99" t="s">
        <v>27</v>
      </c>
      <c r="M2" s="96" t="s">
        <v>59</v>
      </c>
      <c r="N2" s="99" t="s">
        <v>105</v>
      </c>
      <c r="O2" s="116" t="s">
        <v>85</v>
      </c>
    </row>
    <row r="3" spans="1:21" ht="14.4" hidden="1" thickTop="1" thickBot="1">
      <c r="B3" s="25"/>
      <c r="C3" s="47" t="s">
        <v>103</v>
      </c>
      <c r="D3" s="109"/>
      <c r="E3" s="12"/>
      <c r="F3" s="14"/>
      <c r="G3" s="12"/>
      <c r="H3" s="14"/>
      <c r="I3" s="12"/>
      <c r="J3" s="14"/>
      <c r="K3" s="12"/>
      <c r="L3" s="14"/>
      <c r="M3" s="48"/>
      <c r="N3" s="107"/>
      <c r="O3" s="117"/>
      <c r="U3" s="91" t="s">
        <v>96</v>
      </c>
    </row>
    <row r="4" spans="1:21" ht="13.8" thickTop="1">
      <c r="A4" s="87" t="s">
        <v>250</v>
      </c>
      <c r="B4" s="229" t="s">
        <v>246</v>
      </c>
      <c r="C4" s="105" t="s">
        <v>220</v>
      </c>
      <c r="D4" s="115">
        <v>0</v>
      </c>
      <c r="E4" s="106" t="s">
        <v>116</v>
      </c>
      <c r="F4" s="189" t="s">
        <v>32</v>
      </c>
      <c r="G4" s="106" t="s">
        <v>116</v>
      </c>
      <c r="H4" s="230" t="s">
        <v>247</v>
      </c>
      <c r="I4" s="106" t="s">
        <v>116</v>
      </c>
      <c r="J4" s="189" t="s">
        <v>32</v>
      </c>
      <c r="K4" s="106" t="s">
        <v>116</v>
      </c>
      <c r="L4" s="189" t="s">
        <v>32</v>
      </c>
      <c r="M4" s="48">
        <f ca="1">LEN(N4)</f>
        <v>28</v>
      </c>
      <c r="N4" s="107" t="str">
        <f ca="1">VLOOKUP($B4,Matrix!$H$13:$I$37,2,FALSE)&amp;"_"&amp;C4</f>
        <v>ALERT_REQ_S_ADBZR_SWS_SINGLE</v>
      </c>
      <c r="O4" s="117" t="str">
        <f t="shared" ref="O4:O35" ca="1" si="0">"#define "&amp;N4&amp;REPT(" ",48-M4)&amp;"("&amp;D4&amp;"U)"</f>
        <v>#define ALERT_REQ_S_ADBZR_SWS_SINGLE                    (0U)</v>
      </c>
      <c r="U4" s="91" t="s">
        <v>96</v>
      </c>
    </row>
    <row r="5" spans="1:21">
      <c r="B5" s="106"/>
      <c r="C5" s="105"/>
      <c r="D5" s="115"/>
      <c r="E5" s="106"/>
      <c r="F5" s="189"/>
      <c r="G5" s="106"/>
      <c r="H5" s="189"/>
      <c r="I5" s="106"/>
      <c r="J5" s="189"/>
      <c r="K5" s="106"/>
      <c r="L5" s="189"/>
      <c r="M5" s="43" t="e">
        <f t="shared" ref="M5:M68" ca="1" si="1">LEN(N5)</f>
        <v>#N/A</v>
      </c>
      <c r="N5" s="107" t="e">
        <f ca="1">VLOOKUP($B5,Matrix!$H$13:$I$37,2,FALSE)&amp;"_"&amp;C5</f>
        <v>#N/A</v>
      </c>
      <c r="O5" s="118" t="e">
        <f t="shared" ca="1" si="0"/>
        <v>#N/A</v>
      </c>
      <c r="U5" s="89" t="s">
        <v>97</v>
      </c>
    </row>
    <row r="6" spans="1:21">
      <c r="B6" s="106"/>
      <c r="C6" s="104"/>
      <c r="D6" s="114"/>
      <c r="E6" s="106"/>
      <c r="F6" s="189"/>
      <c r="G6" s="106"/>
      <c r="H6" s="189"/>
      <c r="I6" s="106"/>
      <c r="J6" s="189"/>
      <c r="K6" s="106"/>
      <c r="L6" s="189"/>
      <c r="M6" s="43" t="e">
        <f t="shared" ca="1" si="1"/>
        <v>#N/A</v>
      </c>
      <c r="N6" s="107" t="e">
        <f ca="1">VLOOKUP($B6,Matrix!$H$13:$I$37,2,FALSE)&amp;"_"&amp;C6</f>
        <v>#N/A</v>
      </c>
      <c r="O6" s="118" t="e">
        <f t="shared" ca="1" si="0"/>
        <v>#N/A</v>
      </c>
      <c r="U6" s="31" t="s">
        <v>98</v>
      </c>
    </row>
    <row r="7" spans="1:21">
      <c r="B7" s="106"/>
      <c r="C7" s="105"/>
      <c r="D7" s="115"/>
      <c r="E7" s="106"/>
      <c r="F7" s="189"/>
      <c r="G7" s="106"/>
      <c r="H7" s="189"/>
      <c r="I7" s="106"/>
      <c r="J7" s="189"/>
      <c r="K7" s="106"/>
      <c r="L7" s="189"/>
      <c r="M7" s="43" t="e">
        <f t="shared" ca="1" si="1"/>
        <v>#N/A</v>
      </c>
      <c r="N7" s="107" t="e">
        <f ca="1">VLOOKUP($B7,Matrix!$H$13:$I$37,2,FALSE)&amp;"_"&amp;C7</f>
        <v>#N/A</v>
      </c>
      <c r="O7" s="118" t="e">
        <f t="shared" ca="1" si="0"/>
        <v>#N/A</v>
      </c>
      <c r="U7" s="31" t="s">
        <v>99</v>
      </c>
    </row>
    <row r="8" spans="1:21">
      <c r="B8" s="106"/>
      <c r="C8" s="105"/>
      <c r="D8" s="115"/>
      <c r="E8" s="106"/>
      <c r="F8" s="189"/>
      <c r="G8" s="106"/>
      <c r="H8" s="189"/>
      <c r="I8" s="106"/>
      <c r="J8" s="189"/>
      <c r="K8" s="106"/>
      <c r="L8" s="189"/>
      <c r="M8" s="43" t="e">
        <f t="shared" ca="1" si="1"/>
        <v>#N/A</v>
      </c>
      <c r="N8" s="107" t="e">
        <f ca="1">VLOOKUP($B8,Matrix!$H$13:$I$37,2,FALSE)&amp;"_"&amp;C8</f>
        <v>#N/A</v>
      </c>
      <c r="O8" s="118" t="e">
        <f t="shared" ca="1" si="0"/>
        <v>#N/A</v>
      </c>
      <c r="U8" s="31" t="s">
        <v>100</v>
      </c>
    </row>
    <row r="9" spans="1:21">
      <c r="B9" s="106"/>
      <c r="C9" s="105"/>
      <c r="D9" s="115"/>
      <c r="E9" s="106"/>
      <c r="F9" s="189"/>
      <c r="G9" s="106"/>
      <c r="H9" s="189"/>
      <c r="I9" s="106"/>
      <c r="J9" s="189"/>
      <c r="K9" s="106"/>
      <c r="L9" s="189"/>
      <c r="M9" s="43" t="e">
        <f t="shared" ca="1" si="1"/>
        <v>#N/A</v>
      </c>
      <c r="N9" s="107" t="e">
        <f ca="1">VLOOKUP($B9,Matrix!$H$13:$I$37,2,FALSE)&amp;"_"&amp;C9</f>
        <v>#N/A</v>
      </c>
      <c r="O9" s="118" t="e">
        <f t="shared" ca="1" si="0"/>
        <v>#N/A</v>
      </c>
      <c r="U9" s="31" t="s">
        <v>101</v>
      </c>
    </row>
    <row r="10" spans="1:21">
      <c r="B10" s="106"/>
      <c r="C10" s="105"/>
      <c r="D10" s="115"/>
      <c r="E10" s="106"/>
      <c r="F10" s="189"/>
      <c r="G10" s="106"/>
      <c r="H10" s="189"/>
      <c r="I10" s="106"/>
      <c r="J10" s="189"/>
      <c r="K10" s="106"/>
      <c r="L10" s="189"/>
      <c r="M10" s="43" t="e">
        <f t="shared" ca="1" si="1"/>
        <v>#N/A</v>
      </c>
      <c r="N10" s="107" t="e">
        <f ca="1">VLOOKUP($B10,Matrix!$H$13:$I$37,2,FALSE)&amp;"_"&amp;C10</f>
        <v>#N/A</v>
      </c>
      <c r="O10" s="118" t="e">
        <f t="shared" ca="1" si="0"/>
        <v>#N/A</v>
      </c>
      <c r="U10" s="31"/>
    </row>
    <row r="11" spans="1:21">
      <c r="B11" s="106"/>
      <c r="C11" s="105"/>
      <c r="D11" s="115"/>
      <c r="E11" s="106"/>
      <c r="F11" s="189"/>
      <c r="G11" s="106"/>
      <c r="H11" s="189"/>
      <c r="I11" s="106"/>
      <c r="J11" s="189"/>
      <c r="K11" s="106"/>
      <c r="L11" s="189"/>
      <c r="M11" s="43" t="e">
        <f t="shared" ca="1" si="1"/>
        <v>#N/A</v>
      </c>
      <c r="N11" s="107" t="e">
        <f ca="1">VLOOKUP($B11,Matrix!$H$13:$I$37,2,FALSE)&amp;"_"&amp;C11</f>
        <v>#N/A</v>
      </c>
      <c r="O11" s="118" t="e">
        <f t="shared" ca="1" si="0"/>
        <v>#N/A</v>
      </c>
      <c r="U11" s="31"/>
    </row>
    <row r="12" spans="1:21">
      <c r="B12" s="106"/>
      <c r="C12" s="105"/>
      <c r="D12" s="115"/>
      <c r="E12" s="106"/>
      <c r="F12" s="189"/>
      <c r="G12" s="106"/>
      <c r="H12" s="189"/>
      <c r="I12" s="106"/>
      <c r="J12" s="189"/>
      <c r="K12" s="106"/>
      <c r="L12" s="189"/>
      <c r="M12" s="43" t="e">
        <f t="shared" ca="1" si="1"/>
        <v>#N/A</v>
      </c>
      <c r="N12" s="107" t="e">
        <f ca="1">VLOOKUP($B12,Matrix!$H$13:$I$37,2,FALSE)&amp;"_"&amp;C12</f>
        <v>#N/A</v>
      </c>
      <c r="O12" s="118" t="e">
        <f t="shared" ca="1" si="0"/>
        <v>#N/A</v>
      </c>
      <c r="U12" s="31"/>
    </row>
    <row r="13" spans="1:21" ht="13.8" thickBot="1">
      <c r="B13" s="106"/>
      <c r="C13" s="105"/>
      <c r="D13" s="115"/>
      <c r="E13" s="106"/>
      <c r="F13" s="189"/>
      <c r="G13" s="106"/>
      <c r="H13" s="189"/>
      <c r="I13" s="106"/>
      <c r="J13" s="189"/>
      <c r="K13" s="106"/>
      <c r="L13" s="189"/>
      <c r="M13" s="43" t="e">
        <f t="shared" ca="1" si="1"/>
        <v>#N/A</v>
      </c>
      <c r="N13" s="107" t="e">
        <f ca="1">VLOOKUP($B13,Matrix!$H$13:$I$37,2,FALSE)&amp;"_"&amp;C13</f>
        <v>#N/A</v>
      </c>
      <c r="O13" s="118" t="e">
        <f t="shared" ca="1" si="0"/>
        <v>#N/A</v>
      </c>
      <c r="U13" s="90"/>
    </row>
    <row r="14" spans="1:21">
      <c r="B14" s="106"/>
      <c r="C14" s="105"/>
      <c r="D14" s="115"/>
      <c r="E14" s="106"/>
      <c r="F14" s="189"/>
      <c r="G14" s="106"/>
      <c r="H14" s="189"/>
      <c r="I14" s="106"/>
      <c r="J14" s="189"/>
      <c r="K14" s="106"/>
      <c r="L14" s="189"/>
      <c r="M14" s="43" t="e">
        <f t="shared" ca="1" si="1"/>
        <v>#N/A</v>
      </c>
      <c r="N14" s="107" t="e">
        <f ca="1">VLOOKUP($B14,Matrix!$H$13:$I$37,2,FALSE)&amp;"_"&amp;C14</f>
        <v>#N/A</v>
      </c>
      <c r="O14" s="118" t="e">
        <f t="shared" ca="1" si="0"/>
        <v>#N/A</v>
      </c>
    </row>
    <row r="15" spans="1:21">
      <c r="B15" s="106"/>
      <c r="C15" s="105"/>
      <c r="D15" s="115"/>
      <c r="E15" s="106"/>
      <c r="F15" s="189"/>
      <c r="G15" s="106"/>
      <c r="H15" s="189"/>
      <c r="I15" s="106"/>
      <c r="J15" s="189"/>
      <c r="K15" s="106"/>
      <c r="L15" s="189"/>
      <c r="M15" s="43" t="e">
        <f t="shared" ca="1" si="1"/>
        <v>#N/A</v>
      </c>
      <c r="N15" s="107" t="e">
        <f ca="1">VLOOKUP($B15,Matrix!$H$13:$I$37,2,FALSE)&amp;"_"&amp;C15</f>
        <v>#N/A</v>
      </c>
      <c r="O15" s="118" t="e">
        <f t="shared" ca="1" si="0"/>
        <v>#N/A</v>
      </c>
    </row>
    <row r="16" spans="1:21">
      <c r="B16" s="106"/>
      <c r="C16" s="105"/>
      <c r="D16" s="115"/>
      <c r="E16" s="106"/>
      <c r="F16" s="189"/>
      <c r="G16" s="106"/>
      <c r="H16" s="189"/>
      <c r="I16" s="106"/>
      <c r="J16" s="189"/>
      <c r="K16" s="106"/>
      <c r="L16" s="189"/>
      <c r="M16" s="43" t="e">
        <f t="shared" ca="1" si="1"/>
        <v>#N/A</v>
      </c>
      <c r="N16" s="107" t="e">
        <f ca="1">VLOOKUP($B16,Matrix!$H$13:$I$37,2,FALSE)&amp;"_"&amp;C16</f>
        <v>#N/A</v>
      </c>
      <c r="O16" s="118" t="e">
        <f t="shared" ca="1" si="0"/>
        <v>#N/A</v>
      </c>
    </row>
    <row r="17" spans="2:15">
      <c r="B17" s="106"/>
      <c r="C17" s="105"/>
      <c r="D17" s="115"/>
      <c r="E17" s="106"/>
      <c r="F17" s="189"/>
      <c r="G17" s="106"/>
      <c r="H17" s="189"/>
      <c r="I17" s="106"/>
      <c r="J17" s="189"/>
      <c r="K17" s="106"/>
      <c r="L17" s="189"/>
      <c r="M17" s="43" t="e">
        <f t="shared" ca="1" si="1"/>
        <v>#N/A</v>
      </c>
      <c r="N17" s="107" t="e">
        <f ca="1">VLOOKUP($B17,Matrix!$H$13:$I$37,2,FALSE)&amp;"_"&amp;C17</f>
        <v>#N/A</v>
      </c>
      <c r="O17" s="118" t="e">
        <f t="shared" ca="1" si="0"/>
        <v>#N/A</v>
      </c>
    </row>
    <row r="18" spans="2:15">
      <c r="B18" s="106"/>
      <c r="C18" s="105"/>
      <c r="D18" s="115"/>
      <c r="E18" s="106"/>
      <c r="F18" s="189"/>
      <c r="G18" s="106"/>
      <c r="H18" s="189"/>
      <c r="I18" s="106"/>
      <c r="J18" s="189"/>
      <c r="K18" s="106"/>
      <c r="L18" s="189"/>
      <c r="M18" s="43" t="e">
        <f t="shared" ca="1" si="1"/>
        <v>#N/A</v>
      </c>
      <c r="N18" s="107" t="e">
        <f ca="1">VLOOKUP($B18,Matrix!$H$13:$I$37,2,FALSE)&amp;"_"&amp;C18</f>
        <v>#N/A</v>
      </c>
      <c r="O18" s="118" t="e">
        <f t="shared" ca="1" si="0"/>
        <v>#N/A</v>
      </c>
    </row>
    <row r="19" spans="2:15">
      <c r="B19" s="106"/>
      <c r="C19" s="105"/>
      <c r="D19" s="115"/>
      <c r="E19" s="106"/>
      <c r="F19" s="189"/>
      <c r="G19" s="106"/>
      <c r="H19" s="189"/>
      <c r="I19" s="106"/>
      <c r="J19" s="189"/>
      <c r="K19" s="106"/>
      <c r="L19" s="189"/>
      <c r="M19" s="43" t="e">
        <f t="shared" ca="1" si="1"/>
        <v>#N/A</v>
      </c>
      <c r="N19" s="107" t="e">
        <f ca="1">VLOOKUP($B19,Matrix!$H$13:$I$37,2,FALSE)&amp;"_"&amp;C19</f>
        <v>#N/A</v>
      </c>
      <c r="O19" s="118" t="e">
        <f t="shared" ca="1" si="0"/>
        <v>#N/A</v>
      </c>
    </row>
    <row r="20" spans="2:15">
      <c r="B20" s="25"/>
      <c r="C20" s="24"/>
      <c r="D20" s="110"/>
      <c r="E20" s="25"/>
      <c r="F20" s="111"/>
      <c r="G20" s="25"/>
      <c r="H20" s="111"/>
      <c r="I20" s="25"/>
      <c r="J20" s="111"/>
      <c r="K20" s="25"/>
      <c r="L20" s="111"/>
      <c r="M20" s="43" t="e">
        <f t="shared" ca="1" si="1"/>
        <v>#N/A</v>
      </c>
      <c r="N20" s="107" t="e">
        <f ca="1">VLOOKUP($B20,Matrix!$H$13:$I$37,2,FALSE)&amp;"_"&amp;C20</f>
        <v>#N/A</v>
      </c>
      <c r="O20" s="118" t="e">
        <f t="shared" ca="1" si="0"/>
        <v>#N/A</v>
      </c>
    </row>
    <row r="21" spans="2:15">
      <c r="B21" s="25"/>
      <c r="C21" s="24"/>
      <c r="D21" s="110"/>
      <c r="E21" s="25"/>
      <c r="F21" s="111"/>
      <c r="G21" s="25"/>
      <c r="H21" s="111"/>
      <c r="I21" s="25"/>
      <c r="J21" s="111"/>
      <c r="K21" s="25"/>
      <c r="L21" s="111"/>
      <c r="M21" s="43" t="e">
        <f t="shared" ca="1" si="1"/>
        <v>#N/A</v>
      </c>
      <c r="N21" s="107" t="e">
        <f ca="1">VLOOKUP($B21,Matrix!$H$13:$I$37,2,FALSE)&amp;"_"&amp;C21</f>
        <v>#N/A</v>
      </c>
      <c r="O21" s="118" t="e">
        <f t="shared" ca="1" si="0"/>
        <v>#N/A</v>
      </c>
    </row>
    <row r="22" spans="2:15">
      <c r="B22" s="25"/>
      <c r="C22" s="24"/>
      <c r="D22" s="110"/>
      <c r="E22" s="25"/>
      <c r="F22" s="111"/>
      <c r="G22" s="25"/>
      <c r="H22" s="111"/>
      <c r="I22" s="25"/>
      <c r="J22" s="111"/>
      <c r="K22" s="25"/>
      <c r="L22" s="111"/>
      <c r="M22" s="43" t="e">
        <f t="shared" ca="1" si="1"/>
        <v>#N/A</v>
      </c>
      <c r="N22" s="107" t="e">
        <f ca="1">VLOOKUP($B22,Matrix!$H$13:$I$37,2,FALSE)&amp;"_"&amp;C22</f>
        <v>#N/A</v>
      </c>
      <c r="O22" s="118" t="e">
        <f t="shared" ca="1" si="0"/>
        <v>#N/A</v>
      </c>
    </row>
    <row r="23" spans="2:15">
      <c r="B23" s="25"/>
      <c r="C23" s="24"/>
      <c r="D23" s="110"/>
      <c r="E23" s="25"/>
      <c r="F23" s="111"/>
      <c r="G23" s="25"/>
      <c r="H23" s="111"/>
      <c r="I23" s="25"/>
      <c r="J23" s="111"/>
      <c r="K23" s="25"/>
      <c r="L23" s="111"/>
      <c r="M23" s="43" t="e">
        <f t="shared" ca="1" si="1"/>
        <v>#N/A</v>
      </c>
      <c r="N23" s="107" t="e">
        <f ca="1">VLOOKUP($B23,Matrix!$H$13:$I$37,2,FALSE)&amp;"_"&amp;C23</f>
        <v>#N/A</v>
      </c>
      <c r="O23" s="118" t="e">
        <f t="shared" ca="1" si="0"/>
        <v>#N/A</v>
      </c>
    </row>
    <row r="24" spans="2:15">
      <c r="B24" s="25"/>
      <c r="C24" s="24"/>
      <c r="D24" s="110"/>
      <c r="E24" s="25"/>
      <c r="F24" s="111"/>
      <c r="G24" s="25"/>
      <c r="H24" s="111"/>
      <c r="I24" s="25"/>
      <c r="J24" s="111"/>
      <c r="K24" s="25"/>
      <c r="L24" s="111"/>
      <c r="M24" s="43" t="e">
        <f t="shared" ca="1" si="1"/>
        <v>#N/A</v>
      </c>
      <c r="N24" s="107" t="e">
        <f ca="1">VLOOKUP($B24,Matrix!$H$13:$I$37,2,FALSE)&amp;"_"&amp;C24</f>
        <v>#N/A</v>
      </c>
      <c r="O24" s="118" t="e">
        <f t="shared" ca="1" si="0"/>
        <v>#N/A</v>
      </c>
    </row>
    <row r="25" spans="2:15">
      <c r="B25" s="25"/>
      <c r="C25" s="24"/>
      <c r="D25" s="110"/>
      <c r="E25" s="25"/>
      <c r="F25" s="111"/>
      <c r="G25" s="25"/>
      <c r="H25" s="111"/>
      <c r="I25" s="25"/>
      <c r="J25" s="111"/>
      <c r="K25" s="25"/>
      <c r="L25" s="111"/>
      <c r="M25" s="43" t="e">
        <f t="shared" ca="1" si="1"/>
        <v>#N/A</v>
      </c>
      <c r="N25" s="107" t="e">
        <f ca="1">VLOOKUP($B25,Matrix!$H$13:$I$37,2,FALSE)&amp;"_"&amp;C25</f>
        <v>#N/A</v>
      </c>
      <c r="O25" s="118" t="e">
        <f t="shared" ca="1" si="0"/>
        <v>#N/A</v>
      </c>
    </row>
    <row r="26" spans="2:15">
      <c r="B26" s="25"/>
      <c r="C26" s="24"/>
      <c r="D26" s="110"/>
      <c r="E26" s="25"/>
      <c r="F26" s="111"/>
      <c r="G26" s="25"/>
      <c r="H26" s="111"/>
      <c r="I26" s="25"/>
      <c r="J26" s="111"/>
      <c r="K26" s="25"/>
      <c r="L26" s="111"/>
      <c r="M26" s="43" t="e">
        <f t="shared" ca="1" si="1"/>
        <v>#N/A</v>
      </c>
      <c r="N26" s="107" t="e">
        <f ca="1">VLOOKUP($B26,Matrix!$H$13:$I$37,2,FALSE)&amp;"_"&amp;C26</f>
        <v>#N/A</v>
      </c>
      <c r="O26" s="118" t="e">
        <f t="shared" ca="1" si="0"/>
        <v>#N/A</v>
      </c>
    </row>
    <row r="27" spans="2:15">
      <c r="B27" s="25"/>
      <c r="C27" s="24"/>
      <c r="D27" s="110"/>
      <c r="E27" s="25"/>
      <c r="F27" s="111"/>
      <c r="G27" s="25"/>
      <c r="H27" s="111"/>
      <c r="I27" s="25"/>
      <c r="J27" s="111"/>
      <c r="K27" s="25"/>
      <c r="L27" s="111"/>
      <c r="M27" s="43" t="e">
        <f t="shared" ca="1" si="1"/>
        <v>#N/A</v>
      </c>
      <c r="N27" s="107" t="e">
        <f ca="1">VLOOKUP($B27,Matrix!$H$13:$I$37,2,FALSE)&amp;"_"&amp;C27</f>
        <v>#N/A</v>
      </c>
      <c r="O27" s="118" t="e">
        <f t="shared" ca="1" si="0"/>
        <v>#N/A</v>
      </c>
    </row>
    <row r="28" spans="2:15">
      <c r="B28" s="25"/>
      <c r="C28" s="24"/>
      <c r="D28" s="110"/>
      <c r="E28" s="25"/>
      <c r="F28" s="111"/>
      <c r="G28" s="25"/>
      <c r="H28" s="111"/>
      <c r="I28" s="25"/>
      <c r="J28" s="111"/>
      <c r="K28" s="25"/>
      <c r="L28" s="111"/>
      <c r="M28" s="43" t="e">
        <f t="shared" ca="1" si="1"/>
        <v>#N/A</v>
      </c>
      <c r="N28" s="107" t="e">
        <f ca="1">VLOOKUP($B28,Matrix!$H$13:$I$37,2,FALSE)&amp;"_"&amp;C28</f>
        <v>#N/A</v>
      </c>
      <c r="O28" s="118" t="e">
        <f t="shared" ca="1" si="0"/>
        <v>#N/A</v>
      </c>
    </row>
    <row r="29" spans="2:15">
      <c r="B29" s="25"/>
      <c r="C29" s="24"/>
      <c r="D29" s="110"/>
      <c r="E29" s="25"/>
      <c r="F29" s="111"/>
      <c r="G29" s="25"/>
      <c r="H29" s="111"/>
      <c r="I29" s="25"/>
      <c r="J29" s="111"/>
      <c r="K29" s="25"/>
      <c r="L29" s="111"/>
      <c r="M29" s="43" t="e">
        <f t="shared" ca="1" si="1"/>
        <v>#N/A</v>
      </c>
      <c r="N29" s="107" t="e">
        <f ca="1">VLOOKUP($B29,Matrix!$H$13:$I$37,2,FALSE)&amp;"_"&amp;C29</f>
        <v>#N/A</v>
      </c>
      <c r="O29" s="118" t="e">
        <f t="shared" ca="1" si="0"/>
        <v>#N/A</v>
      </c>
    </row>
    <row r="30" spans="2:15">
      <c r="B30" s="25"/>
      <c r="C30" s="24"/>
      <c r="D30" s="110"/>
      <c r="E30" s="25"/>
      <c r="F30" s="111"/>
      <c r="G30" s="25"/>
      <c r="H30" s="111"/>
      <c r="I30" s="25"/>
      <c r="J30" s="111"/>
      <c r="K30" s="25"/>
      <c r="L30" s="111"/>
      <c r="M30" s="43" t="e">
        <f t="shared" ca="1" si="1"/>
        <v>#N/A</v>
      </c>
      <c r="N30" s="107" t="e">
        <f ca="1">VLOOKUP($B30,Matrix!$H$13:$I$37,2,FALSE)&amp;"_"&amp;C30</f>
        <v>#N/A</v>
      </c>
      <c r="O30" s="118" t="e">
        <f t="shared" ca="1" si="0"/>
        <v>#N/A</v>
      </c>
    </row>
    <row r="31" spans="2:15">
      <c r="B31" s="25"/>
      <c r="C31" s="24"/>
      <c r="D31" s="110"/>
      <c r="E31" s="25"/>
      <c r="F31" s="111"/>
      <c r="G31" s="25"/>
      <c r="H31" s="111"/>
      <c r="I31" s="25"/>
      <c r="J31" s="111"/>
      <c r="K31" s="25"/>
      <c r="L31" s="111"/>
      <c r="M31" s="43" t="e">
        <f t="shared" ca="1" si="1"/>
        <v>#N/A</v>
      </c>
      <c r="N31" s="107" t="e">
        <f ca="1">VLOOKUP($B31,Matrix!$H$13:$I$37,2,FALSE)&amp;"_"&amp;C31</f>
        <v>#N/A</v>
      </c>
      <c r="O31" s="118" t="e">
        <f t="shared" ca="1" si="0"/>
        <v>#N/A</v>
      </c>
    </row>
    <row r="32" spans="2:15">
      <c r="B32" s="25"/>
      <c r="C32" s="24"/>
      <c r="D32" s="110"/>
      <c r="E32" s="25"/>
      <c r="F32" s="111"/>
      <c r="G32" s="25"/>
      <c r="H32" s="111"/>
      <c r="I32" s="25"/>
      <c r="J32" s="111"/>
      <c r="K32" s="25"/>
      <c r="L32" s="111"/>
      <c r="M32" s="43" t="e">
        <f t="shared" ca="1" si="1"/>
        <v>#N/A</v>
      </c>
      <c r="N32" s="107" t="e">
        <f ca="1">VLOOKUP($B32,Matrix!$H$13:$I$37,2,FALSE)&amp;"_"&amp;C32</f>
        <v>#N/A</v>
      </c>
      <c r="O32" s="118" t="e">
        <f t="shared" ca="1" si="0"/>
        <v>#N/A</v>
      </c>
    </row>
    <row r="33" spans="2:15">
      <c r="B33" s="25"/>
      <c r="C33" s="24"/>
      <c r="D33" s="110"/>
      <c r="E33" s="25"/>
      <c r="F33" s="111"/>
      <c r="G33" s="25"/>
      <c r="H33" s="111"/>
      <c r="I33" s="25"/>
      <c r="J33" s="111"/>
      <c r="K33" s="25"/>
      <c r="L33" s="111"/>
      <c r="M33" s="43" t="e">
        <f t="shared" ca="1" si="1"/>
        <v>#N/A</v>
      </c>
      <c r="N33" s="107" t="e">
        <f ca="1">VLOOKUP($B33,Matrix!$H$13:$I$37,2,FALSE)&amp;"_"&amp;C33</f>
        <v>#N/A</v>
      </c>
      <c r="O33" s="118" t="e">
        <f t="shared" ca="1" si="0"/>
        <v>#N/A</v>
      </c>
    </row>
    <row r="34" spans="2:15">
      <c r="B34" s="25"/>
      <c r="C34" s="24"/>
      <c r="D34" s="110"/>
      <c r="E34" s="25"/>
      <c r="F34" s="111"/>
      <c r="G34" s="25"/>
      <c r="H34" s="111"/>
      <c r="I34" s="25"/>
      <c r="J34" s="111"/>
      <c r="K34" s="25"/>
      <c r="L34" s="111"/>
      <c r="M34" s="43" t="e">
        <f t="shared" ca="1" si="1"/>
        <v>#N/A</v>
      </c>
      <c r="N34" s="107" t="e">
        <f ca="1">VLOOKUP($B34,Matrix!$H$13:$I$37,2,FALSE)&amp;"_"&amp;C34</f>
        <v>#N/A</v>
      </c>
      <c r="O34" s="118" t="e">
        <f t="shared" ca="1" si="0"/>
        <v>#N/A</v>
      </c>
    </row>
    <row r="35" spans="2:15">
      <c r="B35" s="25"/>
      <c r="C35" s="24"/>
      <c r="D35" s="110"/>
      <c r="E35" s="25"/>
      <c r="F35" s="111"/>
      <c r="G35" s="25"/>
      <c r="H35" s="111"/>
      <c r="I35" s="25"/>
      <c r="J35" s="111"/>
      <c r="K35" s="25"/>
      <c r="L35" s="111"/>
      <c r="M35" s="43" t="e">
        <f t="shared" ca="1" si="1"/>
        <v>#N/A</v>
      </c>
      <c r="N35" s="107" t="e">
        <f ca="1">VLOOKUP($B35,Matrix!$H$13:$I$37,2,FALSE)&amp;"_"&amp;C35</f>
        <v>#N/A</v>
      </c>
      <c r="O35" s="118" t="e">
        <f t="shared" ca="1" si="0"/>
        <v>#N/A</v>
      </c>
    </row>
    <row r="36" spans="2:15">
      <c r="B36" s="25"/>
      <c r="C36" s="24"/>
      <c r="D36" s="110"/>
      <c r="E36" s="25"/>
      <c r="F36" s="111"/>
      <c r="G36" s="25"/>
      <c r="H36" s="111"/>
      <c r="I36" s="25"/>
      <c r="J36" s="111"/>
      <c r="K36" s="25"/>
      <c r="L36" s="111"/>
      <c r="M36" s="43" t="e">
        <f t="shared" ca="1" si="1"/>
        <v>#N/A</v>
      </c>
      <c r="N36" s="107" t="e">
        <f ca="1">VLOOKUP($B36,Matrix!$H$13:$I$37,2,FALSE)&amp;"_"&amp;C36</f>
        <v>#N/A</v>
      </c>
      <c r="O36" s="118" t="e">
        <f t="shared" ref="O36:O67" ca="1" si="2">"#define "&amp;N36&amp;REPT(" ",48-M36)&amp;"("&amp;D36&amp;"U)"</f>
        <v>#N/A</v>
      </c>
    </row>
    <row r="37" spans="2:15">
      <c r="B37" s="25"/>
      <c r="C37" s="24"/>
      <c r="D37" s="110"/>
      <c r="E37" s="25"/>
      <c r="F37" s="111"/>
      <c r="G37" s="25"/>
      <c r="H37" s="111"/>
      <c r="I37" s="25"/>
      <c r="J37" s="111"/>
      <c r="K37" s="25"/>
      <c r="L37" s="111"/>
      <c r="M37" s="43" t="e">
        <f t="shared" ca="1" si="1"/>
        <v>#N/A</v>
      </c>
      <c r="N37" s="107" t="e">
        <f ca="1">VLOOKUP($B37,Matrix!$H$13:$I$37,2,FALSE)&amp;"_"&amp;C37</f>
        <v>#N/A</v>
      </c>
      <c r="O37" s="118" t="e">
        <f t="shared" ca="1" si="2"/>
        <v>#N/A</v>
      </c>
    </row>
    <row r="38" spans="2:15">
      <c r="B38" s="25"/>
      <c r="C38" s="24"/>
      <c r="D38" s="110"/>
      <c r="E38" s="25"/>
      <c r="F38" s="111"/>
      <c r="G38" s="25"/>
      <c r="H38" s="111"/>
      <c r="I38" s="25"/>
      <c r="J38" s="111"/>
      <c r="K38" s="25"/>
      <c r="L38" s="111"/>
      <c r="M38" s="43" t="e">
        <f t="shared" ca="1" si="1"/>
        <v>#N/A</v>
      </c>
      <c r="N38" s="107" t="e">
        <f ca="1">VLOOKUP($B38,Matrix!$H$13:$I$37,2,FALSE)&amp;"_"&amp;C38</f>
        <v>#N/A</v>
      </c>
      <c r="O38" s="118" t="e">
        <f t="shared" ca="1" si="2"/>
        <v>#N/A</v>
      </c>
    </row>
    <row r="39" spans="2:15">
      <c r="B39" s="25"/>
      <c r="C39" s="24"/>
      <c r="D39" s="110"/>
      <c r="E39" s="25"/>
      <c r="F39" s="111"/>
      <c r="G39" s="25"/>
      <c r="H39" s="111"/>
      <c r="I39" s="25"/>
      <c r="J39" s="111"/>
      <c r="K39" s="25"/>
      <c r="L39" s="111"/>
      <c r="M39" s="43" t="e">
        <f t="shared" ca="1" si="1"/>
        <v>#N/A</v>
      </c>
      <c r="N39" s="107" t="e">
        <f ca="1">VLOOKUP($B39,Matrix!$H$13:$I$37,2,FALSE)&amp;"_"&amp;C39</f>
        <v>#N/A</v>
      </c>
      <c r="O39" s="118" t="e">
        <f t="shared" ca="1" si="2"/>
        <v>#N/A</v>
      </c>
    </row>
    <row r="40" spans="2:15">
      <c r="B40" s="25"/>
      <c r="C40" s="24"/>
      <c r="D40" s="110"/>
      <c r="E40" s="25"/>
      <c r="F40" s="111"/>
      <c r="G40" s="25"/>
      <c r="H40" s="111"/>
      <c r="I40" s="25"/>
      <c r="J40" s="111"/>
      <c r="K40" s="25"/>
      <c r="L40" s="111"/>
      <c r="M40" s="43" t="e">
        <f t="shared" ca="1" si="1"/>
        <v>#N/A</v>
      </c>
      <c r="N40" s="107" t="e">
        <f ca="1">VLOOKUP($B40,Matrix!$H$13:$I$37,2,FALSE)&amp;"_"&amp;C40</f>
        <v>#N/A</v>
      </c>
      <c r="O40" s="118" t="e">
        <f t="shared" ca="1" si="2"/>
        <v>#N/A</v>
      </c>
    </row>
    <row r="41" spans="2:15">
      <c r="B41" s="25"/>
      <c r="C41" s="24"/>
      <c r="D41" s="110"/>
      <c r="E41" s="25"/>
      <c r="F41" s="111"/>
      <c r="G41" s="25"/>
      <c r="H41" s="111"/>
      <c r="I41" s="25"/>
      <c r="J41" s="111"/>
      <c r="K41" s="25"/>
      <c r="L41" s="111"/>
      <c r="M41" s="43" t="e">
        <f t="shared" ca="1" si="1"/>
        <v>#N/A</v>
      </c>
      <c r="N41" s="107" t="e">
        <f ca="1">VLOOKUP($B41,Matrix!$H$13:$I$37,2,FALSE)&amp;"_"&amp;C41</f>
        <v>#N/A</v>
      </c>
      <c r="O41" s="118" t="e">
        <f t="shared" ca="1" si="2"/>
        <v>#N/A</v>
      </c>
    </row>
    <row r="42" spans="2:15">
      <c r="B42" s="25"/>
      <c r="C42" s="24"/>
      <c r="D42" s="110"/>
      <c r="E42" s="25"/>
      <c r="F42" s="111"/>
      <c r="G42" s="25"/>
      <c r="H42" s="111"/>
      <c r="I42" s="25"/>
      <c r="J42" s="111"/>
      <c r="K42" s="25"/>
      <c r="L42" s="111"/>
      <c r="M42" s="43" t="e">
        <f t="shared" ca="1" si="1"/>
        <v>#N/A</v>
      </c>
      <c r="N42" s="107" t="e">
        <f ca="1">VLOOKUP($B42,Matrix!$H$13:$I$37,2,FALSE)&amp;"_"&amp;C42</f>
        <v>#N/A</v>
      </c>
      <c r="O42" s="118" t="e">
        <f t="shared" ca="1" si="2"/>
        <v>#N/A</v>
      </c>
    </row>
    <row r="43" spans="2:15">
      <c r="B43" s="25"/>
      <c r="C43" s="24"/>
      <c r="D43" s="110"/>
      <c r="E43" s="25"/>
      <c r="F43" s="111"/>
      <c r="G43" s="25"/>
      <c r="H43" s="111"/>
      <c r="I43" s="25"/>
      <c r="J43" s="111"/>
      <c r="K43" s="25"/>
      <c r="L43" s="111"/>
      <c r="M43" s="43" t="e">
        <f t="shared" ca="1" si="1"/>
        <v>#N/A</v>
      </c>
      <c r="N43" s="107" t="e">
        <f ca="1">VLOOKUP($B43,Matrix!$H$13:$I$37,2,FALSE)&amp;"_"&amp;C43</f>
        <v>#N/A</v>
      </c>
      <c r="O43" s="118" t="e">
        <f t="shared" ca="1" si="2"/>
        <v>#N/A</v>
      </c>
    </row>
    <row r="44" spans="2:15">
      <c r="B44" s="25"/>
      <c r="C44" s="24"/>
      <c r="D44" s="110"/>
      <c r="E44" s="25"/>
      <c r="F44" s="111"/>
      <c r="G44" s="25"/>
      <c r="H44" s="111"/>
      <c r="I44" s="25"/>
      <c r="J44" s="111"/>
      <c r="K44" s="25"/>
      <c r="L44" s="111"/>
      <c r="M44" s="43" t="e">
        <f t="shared" ca="1" si="1"/>
        <v>#N/A</v>
      </c>
      <c r="N44" s="107" t="e">
        <f ca="1">VLOOKUP($B44,Matrix!$H$13:$I$37,2,FALSE)&amp;"_"&amp;C44</f>
        <v>#N/A</v>
      </c>
      <c r="O44" s="118" t="e">
        <f t="shared" ca="1" si="2"/>
        <v>#N/A</v>
      </c>
    </row>
    <row r="45" spans="2:15">
      <c r="B45" s="25"/>
      <c r="C45" s="24"/>
      <c r="D45" s="110"/>
      <c r="E45" s="25"/>
      <c r="F45" s="111"/>
      <c r="G45" s="25"/>
      <c r="H45" s="111"/>
      <c r="I45" s="25"/>
      <c r="J45" s="111"/>
      <c r="K45" s="25"/>
      <c r="L45" s="111"/>
      <c r="M45" s="43" t="e">
        <f t="shared" ca="1" si="1"/>
        <v>#N/A</v>
      </c>
      <c r="N45" s="107" t="e">
        <f ca="1">VLOOKUP($B45,Matrix!$H$13:$I$37,2,FALSE)&amp;"_"&amp;C45</f>
        <v>#N/A</v>
      </c>
      <c r="O45" s="118" t="e">
        <f t="shared" ca="1" si="2"/>
        <v>#N/A</v>
      </c>
    </row>
    <row r="46" spans="2:15">
      <c r="B46" s="25"/>
      <c r="C46" s="24"/>
      <c r="D46" s="110"/>
      <c r="E46" s="25"/>
      <c r="F46" s="111"/>
      <c r="G46" s="25"/>
      <c r="H46" s="111"/>
      <c r="I46" s="25"/>
      <c r="J46" s="111"/>
      <c r="K46" s="25"/>
      <c r="L46" s="111"/>
      <c r="M46" s="43" t="e">
        <f t="shared" ca="1" si="1"/>
        <v>#N/A</v>
      </c>
      <c r="N46" s="107" t="e">
        <f ca="1">VLOOKUP($B46,Matrix!$H$13:$I$37,2,FALSE)&amp;"_"&amp;C46</f>
        <v>#N/A</v>
      </c>
      <c r="O46" s="118" t="e">
        <f t="shared" ca="1" si="2"/>
        <v>#N/A</v>
      </c>
    </row>
    <row r="47" spans="2:15">
      <c r="B47" s="25"/>
      <c r="C47" s="24"/>
      <c r="D47" s="110"/>
      <c r="E47" s="25"/>
      <c r="F47" s="111"/>
      <c r="G47" s="25"/>
      <c r="H47" s="111"/>
      <c r="I47" s="25"/>
      <c r="J47" s="111"/>
      <c r="K47" s="25"/>
      <c r="L47" s="111"/>
      <c r="M47" s="43" t="e">
        <f t="shared" ca="1" si="1"/>
        <v>#N/A</v>
      </c>
      <c r="N47" s="107" t="e">
        <f ca="1">VLOOKUP($B47,Matrix!$H$13:$I$37,2,FALSE)&amp;"_"&amp;C47</f>
        <v>#N/A</v>
      </c>
      <c r="O47" s="118" t="e">
        <f t="shared" ca="1" si="2"/>
        <v>#N/A</v>
      </c>
    </row>
    <row r="48" spans="2:15">
      <c r="B48" s="25"/>
      <c r="C48" s="24"/>
      <c r="D48" s="110"/>
      <c r="E48" s="25"/>
      <c r="F48" s="111"/>
      <c r="G48" s="25"/>
      <c r="H48" s="111"/>
      <c r="I48" s="25"/>
      <c r="J48" s="111"/>
      <c r="K48" s="25"/>
      <c r="L48" s="111"/>
      <c r="M48" s="43" t="e">
        <f t="shared" ca="1" si="1"/>
        <v>#N/A</v>
      </c>
      <c r="N48" s="107" t="e">
        <f ca="1">VLOOKUP($B48,Matrix!$H$13:$I$37,2,FALSE)&amp;"_"&amp;C48</f>
        <v>#N/A</v>
      </c>
      <c r="O48" s="118" t="e">
        <f t="shared" ca="1" si="2"/>
        <v>#N/A</v>
      </c>
    </row>
    <row r="49" spans="2:15">
      <c r="B49" s="25"/>
      <c r="C49" s="24"/>
      <c r="D49" s="110"/>
      <c r="E49" s="25"/>
      <c r="F49" s="111"/>
      <c r="G49" s="25"/>
      <c r="H49" s="111"/>
      <c r="I49" s="25"/>
      <c r="J49" s="111"/>
      <c r="K49" s="25"/>
      <c r="L49" s="111"/>
      <c r="M49" s="43" t="e">
        <f t="shared" ca="1" si="1"/>
        <v>#N/A</v>
      </c>
      <c r="N49" s="107" t="e">
        <f ca="1">VLOOKUP($B49,Matrix!$H$13:$I$37,2,FALSE)&amp;"_"&amp;C49</f>
        <v>#N/A</v>
      </c>
      <c r="O49" s="118" t="e">
        <f t="shared" ca="1" si="2"/>
        <v>#N/A</v>
      </c>
    </row>
    <row r="50" spans="2:15">
      <c r="B50" s="25"/>
      <c r="C50" s="24"/>
      <c r="D50" s="110"/>
      <c r="E50" s="25"/>
      <c r="F50" s="111"/>
      <c r="G50" s="25"/>
      <c r="H50" s="111"/>
      <c r="I50" s="25"/>
      <c r="J50" s="111"/>
      <c r="K50" s="25"/>
      <c r="L50" s="111"/>
      <c r="M50" s="43" t="e">
        <f t="shared" ca="1" si="1"/>
        <v>#N/A</v>
      </c>
      <c r="N50" s="107" t="e">
        <f ca="1">VLOOKUP($B50,Matrix!$H$13:$I$37,2,FALSE)&amp;"_"&amp;C50</f>
        <v>#N/A</v>
      </c>
      <c r="O50" s="118" t="e">
        <f t="shared" ca="1" si="2"/>
        <v>#N/A</v>
      </c>
    </row>
    <row r="51" spans="2:15">
      <c r="B51" s="25"/>
      <c r="C51" s="24"/>
      <c r="D51" s="110"/>
      <c r="E51" s="25"/>
      <c r="F51" s="111"/>
      <c r="G51" s="25"/>
      <c r="H51" s="111"/>
      <c r="I51" s="25"/>
      <c r="J51" s="111"/>
      <c r="K51" s="25"/>
      <c r="L51" s="111"/>
      <c r="M51" s="43" t="e">
        <f t="shared" ca="1" si="1"/>
        <v>#N/A</v>
      </c>
      <c r="N51" s="107" t="e">
        <f ca="1">VLOOKUP($B51,Matrix!$H$13:$I$37,2,FALSE)&amp;"_"&amp;C51</f>
        <v>#N/A</v>
      </c>
      <c r="O51" s="118" t="e">
        <f t="shared" ca="1" si="2"/>
        <v>#N/A</v>
      </c>
    </row>
    <row r="52" spans="2:15">
      <c r="B52" s="25"/>
      <c r="C52" s="24"/>
      <c r="D52" s="110"/>
      <c r="E52" s="25"/>
      <c r="F52" s="111"/>
      <c r="G52" s="25"/>
      <c r="H52" s="111"/>
      <c r="I52" s="25"/>
      <c r="J52" s="111"/>
      <c r="K52" s="25"/>
      <c r="L52" s="111"/>
      <c r="M52" s="43" t="e">
        <f t="shared" ca="1" si="1"/>
        <v>#N/A</v>
      </c>
      <c r="N52" s="107" t="e">
        <f ca="1">VLOOKUP($B52,Matrix!$H$13:$I$37,2,FALSE)&amp;"_"&amp;C52</f>
        <v>#N/A</v>
      </c>
      <c r="O52" s="118" t="e">
        <f t="shared" ca="1" si="2"/>
        <v>#N/A</v>
      </c>
    </row>
    <row r="53" spans="2:15">
      <c r="B53" s="25"/>
      <c r="C53" s="24"/>
      <c r="D53" s="110"/>
      <c r="E53" s="25"/>
      <c r="F53" s="111"/>
      <c r="G53" s="25"/>
      <c r="H53" s="111"/>
      <c r="I53" s="25"/>
      <c r="J53" s="111"/>
      <c r="K53" s="25"/>
      <c r="L53" s="111"/>
      <c r="M53" s="43" t="e">
        <f t="shared" ca="1" si="1"/>
        <v>#N/A</v>
      </c>
      <c r="N53" s="107" t="e">
        <f ca="1">VLOOKUP($B53,Matrix!$H$13:$I$37,2,FALSE)&amp;"_"&amp;C53</f>
        <v>#N/A</v>
      </c>
      <c r="O53" s="118" t="e">
        <f t="shared" ca="1" si="2"/>
        <v>#N/A</v>
      </c>
    </row>
    <row r="54" spans="2:15">
      <c r="B54" s="25"/>
      <c r="C54" s="24"/>
      <c r="D54" s="110"/>
      <c r="E54" s="25"/>
      <c r="F54" s="111"/>
      <c r="G54" s="25"/>
      <c r="H54" s="111"/>
      <c r="I54" s="25"/>
      <c r="J54" s="111"/>
      <c r="K54" s="25"/>
      <c r="L54" s="111"/>
      <c r="M54" s="43" t="e">
        <f t="shared" ca="1" si="1"/>
        <v>#N/A</v>
      </c>
      <c r="N54" s="107" t="e">
        <f ca="1">VLOOKUP($B54,Matrix!$H$13:$I$37,2,FALSE)&amp;"_"&amp;C54</f>
        <v>#N/A</v>
      </c>
      <c r="O54" s="118" t="e">
        <f t="shared" ca="1" si="2"/>
        <v>#N/A</v>
      </c>
    </row>
    <row r="55" spans="2:15">
      <c r="B55" s="25"/>
      <c r="C55" s="24"/>
      <c r="D55" s="110"/>
      <c r="E55" s="25"/>
      <c r="F55" s="111"/>
      <c r="G55" s="25"/>
      <c r="H55" s="111"/>
      <c r="I55" s="25"/>
      <c r="J55" s="111"/>
      <c r="K55" s="25"/>
      <c r="L55" s="111"/>
      <c r="M55" s="43" t="e">
        <f t="shared" ca="1" si="1"/>
        <v>#N/A</v>
      </c>
      <c r="N55" s="107" t="e">
        <f ca="1">VLOOKUP($B55,Matrix!$H$13:$I$37,2,FALSE)&amp;"_"&amp;C55</f>
        <v>#N/A</v>
      </c>
      <c r="O55" s="118" t="e">
        <f t="shared" ca="1" si="2"/>
        <v>#N/A</v>
      </c>
    </row>
    <row r="56" spans="2:15">
      <c r="B56" s="25"/>
      <c r="C56" s="24"/>
      <c r="D56" s="110"/>
      <c r="E56" s="25"/>
      <c r="F56" s="111"/>
      <c r="G56" s="25"/>
      <c r="H56" s="111"/>
      <c r="I56" s="25"/>
      <c r="J56" s="111"/>
      <c r="K56" s="25"/>
      <c r="L56" s="111"/>
      <c r="M56" s="43" t="e">
        <f t="shared" ca="1" si="1"/>
        <v>#N/A</v>
      </c>
      <c r="N56" s="107" t="e">
        <f ca="1">VLOOKUP($B56,Matrix!$H$13:$I$37,2,FALSE)&amp;"_"&amp;C56</f>
        <v>#N/A</v>
      </c>
      <c r="O56" s="118" t="e">
        <f t="shared" ca="1" si="2"/>
        <v>#N/A</v>
      </c>
    </row>
    <row r="57" spans="2:15">
      <c r="B57" s="25"/>
      <c r="C57" s="24"/>
      <c r="D57" s="110"/>
      <c r="E57" s="25"/>
      <c r="F57" s="111"/>
      <c r="G57" s="25"/>
      <c r="H57" s="111"/>
      <c r="I57" s="25"/>
      <c r="J57" s="111"/>
      <c r="K57" s="25"/>
      <c r="L57" s="111"/>
      <c r="M57" s="43" t="e">
        <f t="shared" ca="1" si="1"/>
        <v>#N/A</v>
      </c>
      <c r="N57" s="107" t="e">
        <f ca="1">VLOOKUP($B57,Matrix!$H$13:$I$37,2,FALSE)&amp;"_"&amp;C57</f>
        <v>#N/A</v>
      </c>
      <c r="O57" s="118" t="e">
        <f t="shared" ca="1" si="2"/>
        <v>#N/A</v>
      </c>
    </row>
    <row r="58" spans="2:15">
      <c r="B58" s="25"/>
      <c r="C58" s="24"/>
      <c r="D58" s="110"/>
      <c r="E58" s="25"/>
      <c r="F58" s="111"/>
      <c r="G58" s="25"/>
      <c r="H58" s="111"/>
      <c r="I58" s="25"/>
      <c r="J58" s="111"/>
      <c r="K58" s="25"/>
      <c r="L58" s="111"/>
      <c r="M58" s="43" t="e">
        <f t="shared" ca="1" si="1"/>
        <v>#N/A</v>
      </c>
      <c r="N58" s="107" t="e">
        <f ca="1">VLOOKUP($B58,Matrix!$H$13:$I$37,2,FALSE)&amp;"_"&amp;C58</f>
        <v>#N/A</v>
      </c>
      <c r="O58" s="118" t="e">
        <f t="shared" ca="1" si="2"/>
        <v>#N/A</v>
      </c>
    </row>
    <row r="59" spans="2:15">
      <c r="B59" s="25"/>
      <c r="C59" s="24"/>
      <c r="D59" s="110"/>
      <c r="E59" s="25"/>
      <c r="F59" s="111"/>
      <c r="G59" s="25"/>
      <c r="H59" s="111"/>
      <c r="I59" s="25"/>
      <c r="J59" s="111"/>
      <c r="K59" s="25"/>
      <c r="L59" s="111"/>
      <c r="M59" s="43" t="e">
        <f t="shared" ca="1" si="1"/>
        <v>#N/A</v>
      </c>
      <c r="N59" s="107" t="e">
        <f ca="1">VLOOKUP($B59,Matrix!$H$13:$I$37,2,FALSE)&amp;"_"&amp;C59</f>
        <v>#N/A</v>
      </c>
      <c r="O59" s="118" t="e">
        <f t="shared" ca="1" si="2"/>
        <v>#N/A</v>
      </c>
    </row>
    <row r="60" spans="2:15">
      <c r="B60" s="25"/>
      <c r="C60" s="24"/>
      <c r="D60" s="110"/>
      <c r="E60" s="25"/>
      <c r="F60" s="111"/>
      <c r="G60" s="25"/>
      <c r="H60" s="111"/>
      <c r="I60" s="25"/>
      <c r="J60" s="111"/>
      <c r="K60" s="25"/>
      <c r="L60" s="111"/>
      <c r="M60" s="43" t="e">
        <f t="shared" ca="1" si="1"/>
        <v>#N/A</v>
      </c>
      <c r="N60" s="107" t="e">
        <f ca="1">VLOOKUP($B60,Matrix!$H$13:$I$37,2,FALSE)&amp;"_"&amp;C60</f>
        <v>#N/A</v>
      </c>
      <c r="O60" s="118" t="e">
        <f t="shared" ca="1" si="2"/>
        <v>#N/A</v>
      </c>
    </row>
    <row r="61" spans="2:15">
      <c r="B61" s="25"/>
      <c r="C61" s="24"/>
      <c r="D61" s="110"/>
      <c r="E61" s="25"/>
      <c r="F61" s="111"/>
      <c r="G61" s="25"/>
      <c r="H61" s="111"/>
      <c r="I61" s="25"/>
      <c r="J61" s="111"/>
      <c r="K61" s="25"/>
      <c r="L61" s="111"/>
      <c r="M61" s="43" t="e">
        <f t="shared" ca="1" si="1"/>
        <v>#N/A</v>
      </c>
      <c r="N61" s="107" t="e">
        <f ca="1">VLOOKUP($B61,Matrix!$H$13:$I$37,2,FALSE)&amp;"_"&amp;C61</f>
        <v>#N/A</v>
      </c>
      <c r="O61" s="118" t="e">
        <f t="shared" ca="1" si="2"/>
        <v>#N/A</v>
      </c>
    </row>
    <row r="62" spans="2:15">
      <c r="B62" s="25"/>
      <c r="C62" s="24"/>
      <c r="D62" s="110"/>
      <c r="E62" s="25"/>
      <c r="F62" s="111"/>
      <c r="G62" s="25"/>
      <c r="H62" s="111"/>
      <c r="I62" s="25"/>
      <c r="J62" s="111"/>
      <c r="K62" s="25"/>
      <c r="L62" s="111"/>
      <c r="M62" s="43" t="e">
        <f t="shared" ca="1" si="1"/>
        <v>#N/A</v>
      </c>
      <c r="N62" s="107" t="e">
        <f ca="1">VLOOKUP($B62,Matrix!$H$13:$I$37,2,FALSE)&amp;"_"&amp;C62</f>
        <v>#N/A</v>
      </c>
      <c r="O62" s="118" t="e">
        <f t="shared" ca="1" si="2"/>
        <v>#N/A</v>
      </c>
    </row>
    <row r="63" spans="2:15">
      <c r="B63" s="25"/>
      <c r="C63" s="24"/>
      <c r="D63" s="110"/>
      <c r="E63" s="25"/>
      <c r="F63" s="111"/>
      <c r="G63" s="25"/>
      <c r="H63" s="111"/>
      <c r="I63" s="25"/>
      <c r="J63" s="111"/>
      <c r="K63" s="25"/>
      <c r="L63" s="111"/>
      <c r="M63" s="43" t="e">
        <f t="shared" ca="1" si="1"/>
        <v>#N/A</v>
      </c>
      <c r="N63" s="107" t="e">
        <f ca="1">VLOOKUP($B63,Matrix!$H$13:$I$37,2,FALSE)&amp;"_"&amp;C63</f>
        <v>#N/A</v>
      </c>
      <c r="O63" s="118" t="e">
        <f t="shared" ca="1" si="2"/>
        <v>#N/A</v>
      </c>
    </row>
    <row r="64" spans="2:15">
      <c r="B64" s="25"/>
      <c r="C64" s="24"/>
      <c r="D64" s="110"/>
      <c r="E64" s="25"/>
      <c r="F64" s="111"/>
      <c r="G64" s="25"/>
      <c r="H64" s="111"/>
      <c r="I64" s="25"/>
      <c r="J64" s="111"/>
      <c r="K64" s="25"/>
      <c r="L64" s="111"/>
      <c r="M64" s="43" t="e">
        <f t="shared" ca="1" si="1"/>
        <v>#N/A</v>
      </c>
      <c r="N64" s="107" t="e">
        <f ca="1">VLOOKUP($B64,Matrix!$H$13:$I$37,2,FALSE)&amp;"_"&amp;C64</f>
        <v>#N/A</v>
      </c>
      <c r="O64" s="118" t="e">
        <f t="shared" ca="1" si="2"/>
        <v>#N/A</v>
      </c>
    </row>
    <row r="65" spans="2:15">
      <c r="B65" s="25"/>
      <c r="C65" s="24"/>
      <c r="D65" s="110"/>
      <c r="E65" s="25"/>
      <c r="F65" s="111"/>
      <c r="G65" s="25"/>
      <c r="H65" s="111"/>
      <c r="I65" s="25"/>
      <c r="J65" s="111"/>
      <c r="K65" s="25"/>
      <c r="L65" s="111"/>
      <c r="M65" s="43" t="e">
        <f t="shared" ca="1" si="1"/>
        <v>#N/A</v>
      </c>
      <c r="N65" s="107" t="e">
        <f ca="1">VLOOKUP($B65,Matrix!$H$13:$I$37,2,FALSE)&amp;"_"&amp;C65</f>
        <v>#N/A</v>
      </c>
      <c r="O65" s="118" t="e">
        <f t="shared" ca="1" si="2"/>
        <v>#N/A</v>
      </c>
    </row>
    <row r="66" spans="2:15">
      <c r="B66" s="25"/>
      <c r="C66" s="24"/>
      <c r="D66" s="110"/>
      <c r="E66" s="25"/>
      <c r="F66" s="111"/>
      <c r="G66" s="25"/>
      <c r="H66" s="111"/>
      <c r="I66" s="25"/>
      <c r="J66" s="111"/>
      <c r="K66" s="25"/>
      <c r="L66" s="111"/>
      <c r="M66" s="43" t="e">
        <f t="shared" ca="1" si="1"/>
        <v>#N/A</v>
      </c>
      <c r="N66" s="107" t="e">
        <f ca="1">VLOOKUP($B66,Matrix!$H$13:$I$37,2,FALSE)&amp;"_"&amp;C66</f>
        <v>#N/A</v>
      </c>
      <c r="O66" s="118" t="e">
        <f t="shared" ca="1" si="2"/>
        <v>#N/A</v>
      </c>
    </row>
    <row r="67" spans="2:15">
      <c r="B67" s="25"/>
      <c r="C67" s="24"/>
      <c r="D67" s="110"/>
      <c r="E67" s="25"/>
      <c r="F67" s="111"/>
      <c r="G67" s="25"/>
      <c r="H67" s="111"/>
      <c r="I67" s="25"/>
      <c r="J67" s="111"/>
      <c r="K67" s="25"/>
      <c r="L67" s="111"/>
      <c r="M67" s="43" t="e">
        <f t="shared" ca="1" si="1"/>
        <v>#N/A</v>
      </c>
      <c r="N67" s="107" t="e">
        <f ca="1">VLOOKUP($B67,Matrix!$H$13:$I$37,2,FALSE)&amp;"_"&amp;C67</f>
        <v>#N/A</v>
      </c>
      <c r="O67" s="118" t="e">
        <f t="shared" ca="1" si="2"/>
        <v>#N/A</v>
      </c>
    </row>
    <row r="68" spans="2:15">
      <c r="B68" s="25"/>
      <c r="C68" s="24"/>
      <c r="D68" s="110"/>
      <c r="E68" s="25"/>
      <c r="F68" s="111"/>
      <c r="G68" s="25"/>
      <c r="H68" s="111"/>
      <c r="I68" s="25"/>
      <c r="J68" s="111"/>
      <c r="K68" s="25"/>
      <c r="L68" s="111"/>
      <c r="M68" s="43" t="e">
        <f t="shared" ca="1" si="1"/>
        <v>#N/A</v>
      </c>
      <c r="N68" s="107" t="e">
        <f ca="1">VLOOKUP($B68,Matrix!$H$13:$I$37,2,FALSE)&amp;"_"&amp;C68</f>
        <v>#N/A</v>
      </c>
      <c r="O68" s="118" t="e">
        <f t="shared" ref="O68:O99" ca="1" si="3">"#define "&amp;N68&amp;REPT(" ",48-M68)&amp;"("&amp;D68&amp;"U)"</f>
        <v>#N/A</v>
      </c>
    </row>
    <row r="69" spans="2:15">
      <c r="B69" s="25"/>
      <c r="C69" s="24"/>
      <c r="D69" s="110"/>
      <c r="E69" s="25"/>
      <c r="F69" s="111"/>
      <c r="G69" s="25"/>
      <c r="H69" s="111"/>
      <c r="I69" s="25"/>
      <c r="J69" s="111"/>
      <c r="K69" s="25"/>
      <c r="L69" s="111"/>
      <c r="M69" s="43" t="e">
        <f t="shared" ref="M69:M103" ca="1" si="4">LEN(N69)</f>
        <v>#N/A</v>
      </c>
      <c r="N69" s="107" t="e">
        <f ca="1">VLOOKUP($B69,Matrix!$H$13:$I$37,2,FALSE)&amp;"_"&amp;C69</f>
        <v>#N/A</v>
      </c>
      <c r="O69" s="118" t="e">
        <f t="shared" ca="1" si="3"/>
        <v>#N/A</v>
      </c>
    </row>
    <row r="70" spans="2:15">
      <c r="B70" s="25"/>
      <c r="C70" s="24"/>
      <c r="D70" s="110"/>
      <c r="E70" s="25"/>
      <c r="F70" s="111"/>
      <c r="G70" s="25"/>
      <c r="H70" s="111"/>
      <c r="I70" s="25"/>
      <c r="J70" s="111"/>
      <c r="K70" s="25"/>
      <c r="L70" s="111"/>
      <c r="M70" s="43" t="e">
        <f t="shared" ca="1" si="4"/>
        <v>#N/A</v>
      </c>
      <c r="N70" s="107" t="e">
        <f ca="1">VLOOKUP($B70,Matrix!$H$13:$I$37,2,FALSE)&amp;"_"&amp;C70</f>
        <v>#N/A</v>
      </c>
      <c r="O70" s="118" t="e">
        <f t="shared" ca="1" si="3"/>
        <v>#N/A</v>
      </c>
    </row>
    <row r="71" spans="2:15">
      <c r="B71" s="25"/>
      <c r="C71" s="24"/>
      <c r="D71" s="110"/>
      <c r="E71" s="25"/>
      <c r="F71" s="111"/>
      <c r="G71" s="25"/>
      <c r="H71" s="111"/>
      <c r="I71" s="25"/>
      <c r="J71" s="111"/>
      <c r="K71" s="25"/>
      <c r="L71" s="111"/>
      <c r="M71" s="43" t="e">
        <f t="shared" ca="1" si="4"/>
        <v>#N/A</v>
      </c>
      <c r="N71" s="107" t="e">
        <f ca="1">VLOOKUP($B71,Matrix!$H$13:$I$37,2,FALSE)&amp;"_"&amp;C71</f>
        <v>#N/A</v>
      </c>
      <c r="O71" s="118" t="e">
        <f t="shared" ca="1" si="3"/>
        <v>#N/A</v>
      </c>
    </row>
    <row r="72" spans="2:15">
      <c r="B72" s="25"/>
      <c r="C72" s="24"/>
      <c r="D72" s="110"/>
      <c r="E72" s="25"/>
      <c r="F72" s="111"/>
      <c r="G72" s="25"/>
      <c r="H72" s="111"/>
      <c r="I72" s="25"/>
      <c r="J72" s="111"/>
      <c r="K72" s="25"/>
      <c r="L72" s="111"/>
      <c r="M72" s="43" t="e">
        <f t="shared" ca="1" si="4"/>
        <v>#N/A</v>
      </c>
      <c r="N72" s="107" t="e">
        <f ca="1">VLOOKUP($B72,Matrix!$H$13:$I$37,2,FALSE)&amp;"_"&amp;C72</f>
        <v>#N/A</v>
      </c>
      <c r="O72" s="118" t="e">
        <f t="shared" ca="1" si="3"/>
        <v>#N/A</v>
      </c>
    </row>
    <row r="73" spans="2:15">
      <c r="B73" s="25"/>
      <c r="C73" s="24"/>
      <c r="D73" s="110"/>
      <c r="E73" s="25"/>
      <c r="F73" s="111"/>
      <c r="G73" s="25"/>
      <c r="H73" s="111"/>
      <c r="I73" s="25"/>
      <c r="J73" s="111"/>
      <c r="K73" s="25"/>
      <c r="L73" s="111"/>
      <c r="M73" s="43" t="e">
        <f t="shared" ca="1" si="4"/>
        <v>#N/A</v>
      </c>
      <c r="N73" s="107" t="e">
        <f ca="1">VLOOKUP($B73,Matrix!$H$13:$I$37,2,FALSE)&amp;"_"&amp;C73</f>
        <v>#N/A</v>
      </c>
      <c r="O73" s="118" t="e">
        <f t="shared" ca="1" si="3"/>
        <v>#N/A</v>
      </c>
    </row>
    <row r="74" spans="2:15">
      <c r="B74" s="25"/>
      <c r="C74" s="24"/>
      <c r="D74" s="110"/>
      <c r="E74" s="25"/>
      <c r="F74" s="111"/>
      <c r="G74" s="25"/>
      <c r="H74" s="111"/>
      <c r="I74" s="25"/>
      <c r="J74" s="111"/>
      <c r="K74" s="25"/>
      <c r="L74" s="111"/>
      <c r="M74" s="43" t="e">
        <f t="shared" ca="1" si="4"/>
        <v>#N/A</v>
      </c>
      <c r="N74" s="107" t="e">
        <f ca="1">VLOOKUP($B74,Matrix!$H$13:$I$37,2,FALSE)&amp;"_"&amp;C74</f>
        <v>#N/A</v>
      </c>
      <c r="O74" s="118" t="e">
        <f t="shared" ca="1" si="3"/>
        <v>#N/A</v>
      </c>
    </row>
    <row r="75" spans="2:15">
      <c r="B75" s="25"/>
      <c r="C75" s="24"/>
      <c r="D75" s="110"/>
      <c r="E75" s="25"/>
      <c r="F75" s="111"/>
      <c r="G75" s="25"/>
      <c r="H75" s="111"/>
      <c r="I75" s="25"/>
      <c r="J75" s="111"/>
      <c r="K75" s="25"/>
      <c r="L75" s="111"/>
      <c r="M75" s="43" t="e">
        <f t="shared" ca="1" si="4"/>
        <v>#N/A</v>
      </c>
      <c r="N75" s="107" t="e">
        <f ca="1">VLOOKUP($B75,Matrix!$H$13:$I$37,2,FALSE)&amp;"_"&amp;C75</f>
        <v>#N/A</v>
      </c>
      <c r="O75" s="118" t="e">
        <f t="shared" ca="1" si="3"/>
        <v>#N/A</v>
      </c>
    </row>
    <row r="76" spans="2:15">
      <c r="B76" s="25"/>
      <c r="C76" s="24"/>
      <c r="D76" s="110"/>
      <c r="E76" s="25"/>
      <c r="F76" s="111"/>
      <c r="G76" s="25"/>
      <c r="H76" s="111"/>
      <c r="I76" s="25"/>
      <c r="J76" s="111"/>
      <c r="K76" s="25"/>
      <c r="L76" s="111"/>
      <c r="M76" s="43" t="e">
        <f t="shared" ca="1" si="4"/>
        <v>#N/A</v>
      </c>
      <c r="N76" s="107" t="e">
        <f ca="1">VLOOKUP($B76,Matrix!$H$13:$I$37,2,FALSE)&amp;"_"&amp;C76</f>
        <v>#N/A</v>
      </c>
      <c r="O76" s="118" t="e">
        <f t="shared" ca="1" si="3"/>
        <v>#N/A</v>
      </c>
    </row>
    <row r="77" spans="2:15">
      <c r="B77" s="25"/>
      <c r="C77" s="24"/>
      <c r="D77" s="110"/>
      <c r="E77" s="25"/>
      <c r="F77" s="111"/>
      <c r="G77" s="25"/>
      <c r="H77" s="111"/>
      <c r="I77" s="25"/>
      <c r="J77" s="111"/>
      <c r="K77" s="25"/>
      <c r="L77" s="111"/>
      <c r="M77" s="43" t="e">
        <f t="shared" ca="1" si="4"/>
        <v>#N/A</v>
      </c>
      <c r="N77" s="107" t="e">
        <f ca="1">VLOOKUP($B77,Matrix!$H$13:$I$37,2,FALSE)&amp;"_"&amp;C77</f>
        <v>#N/A</v>
      </c>
      <c r="O77" s="118" t="e">
        <f t="shared" ca="1" si="3"/>
        <v>#N/A</v>
      </c>
    </row>
    <row r="78" spans="2:15">
      <c r="B78" s="25"/>
      <c r="C78" s="24"/>
      <c r="D78" s="110"/>
      <c r="E78" s="25"/>
      <c r="F78" s="111"/>
      <c r="G78" s="25"/>
      <c r="H78" s="111"/>
      <c r="I78" s="25"/>
      <c r="J78" s="111"/>
      <c r="K78" s="25"/>
      <c r="L78" s="111"/>
      <c r="M78" s="43" t="e">
        <f t="shared" ca="1" si="4"/>
        <v>#N/A</v>
      </c>
      <c r="N78" s="107" t="e">
        <f ca="1">VLOOKUP($B78,Matrix!$H$13:$I$37,2,FALSE)&amp;"_"&amp;C78</f>
        <v>#N/A</v>
      </c>
      <c r="O78" s="118" t="e">
        <f t="shared" ca="1" si="3"/>
        <v>#N/A</v>
      </c>
    </row>
    <row r="79" spans="2:15">
      <c r="B79" s="25"/>
      <c r="C79" s="24"/>
      <c r="D79" s="110"/>
      <c r="E79" s="25"/>
      <c r="F79" s="111"/>
      <c r="G79" s="25"/>
      <c r="H79" s="111"/>
      <c r="I79" s="25"/>
      <c r="J79" s="111"/>
      <c r="K79" s="25"/>
      <c r="L79" s="111"/>
      <c r="M79" s="43" t="e">
        <f t="shared" ca="1" si="4"/>
        <v>#N/A</v>
      </c>
      <c r="N79" s="107" t="e">
        <f ca="1">VLOOKUP($B79,Matrix!$H$13:$I$37,2,FALSE)&amp;"_"&amp;C79</f>
        <v>#N/A</v>
      </c>
      <c r="O79" s="118" t="e">
        <f t="shared" ca="1" si="3"/>
        <v>#N/A</v>
      </c>
    </row>
    <row r="80" spans="2:15">
      <c r="B80" s="25"/>
      <c r="C80" s="24"/>
      <c r="D80" s="110"/>
      <c r="E80" s="25"/>
      <c r="F80" s="111"/>
      <c r="G80" s="25"/>
      <c r="H80" s="111"/>
      <c r="I80" s="25"/>
      <c r="J80" s="111"/>
      <c r="K80" s="25"/>
      <c r="L80" s="111"/>
      <c r="M80" s="43" t="e">
        <f t="shared" ca="1" si="4"/>
        <v>#N/A</v>
      </c>
      <c r="N80" s="107" t="e">
        <f ca="1">VLOOKUP($B80,Matrix!$H$13:$I$37,2,FALSE)&amp;"_"&amp;C80</f>
        <v>#N/A</v>
      </c>
      <c r="O80" s="118" t="e">
        <f t="shared" ca="1" si="3"/>
        <v>#N/A</v>
      </c>
    </row>
    <row r="81" spans="2:15">
      <c r="B81" s="25"/>
      <c r="C81" s="24"/>
      <c r="D81" s="110"/>
      <c r="E81" s="25"/>
      <c r="F81" s="111"/>
      <c r="G81" s="25"/>
      <c r="H81" s="111"/>
      <c r="I81" s="25"/>
      <c r="J81" s="111"/>
      <c r="K81" s="25"/>
      <c r="L81" s="111"/>
      <c r="M81" s="43" t="e">
        <f t="shared" ca="1" si="4"/>
        <v>#N/A</v>
      </c>
      <c r="N81" s="107" t="e">
        <f ca="1">VLOOKUP($B81,Matrix!$H$13:$I$37,2,FALSE)&amp;"_"&amp;C81</f>
        <v>#N/A</v>
      </c>
      <c r="O81" s="118" t="e">
        <f t="shared" ca="1" si="3"/>
        <v>#N/A</v>
      </c>
    </row>
    <row r="82" spans="2:15">
      <c r="B82" s="25"/>
      <c r="C82" s="24"/>
      <c r="D82" s="110"/>
      <c r="E82" s="25"/>
      <c r="F82" s="111"/>
      <c r="G82" s="25"/>
      <c r="H82" s="111"/>
      <c r="I82" s="25"/>
      <c r="J82" s="111"/>
      <c r="K82" s="25"/>
      <c r="L82" s="111"/>
      <c r="M82" s="43" t="e">
        <f t="shared" ca="1" si="4"/>
        <v>#N/A</v>
      </c>
      <c r="N82" s="107" t="e">
        <f ca="1">VLOOKUP($B82,Matrix!$H$13:$I$37,2,FALSE)&amp;"_"&amp;C82</f>
        <v>#N/A</v>
      </c>
      <c r="O82" s="118" t="e">
        <f t="shared" ca="1" si="3"/>
        <v>#N/A</v>
      </c>
    </row>
    <row r="83" spans="2:15">
      <c r="B83" s="25"/>
      <c r="C83" s="24"/>
      <c r="D83" s="110"/>
      <c r="E83" s="25"/>
      <c r="F83" s="111"/>
      <c r="G83" s="25"/>
      <c r="H83" s="111"/>
      <c r="I83" s="25"/>
      <c r="J83" s="111"/>
      <c r="K83" s="25"/>
      <c r="L83" s="111"/>
      <c r="M83" s="43" t="e">
        <f t="shared" ca="1" si="4"/>
        <v>#N/A</v>
      </c>
      <c r="N83" s="107" t="e">
        <f ca="1">VLOOKUP($B83,Matrix!$H$13:$I$37,2,FALSE)&amp;"_"&amp;C83</f>
        <v>#N/A</v>
      </c>
      <c r="O83" s="118" t="e">
        <f t="shared" ca="1" si="3"/>
        <v>#N/A</v>
      </c>
    </row>
    <row r="84" spans="2:15">
      <c r="B84" s="25"/>
      <c r="C84" s="24"/>
      <c r="D84" s="110"/>
      <c r="E84" s="25"/>
      <c r="F84" s="111"/>
      <c r="G84" s="25"/>
      <c r="H84" s="111"/>
      <c r="I84" s="25"/>
      <c r="J84" s="111"/>
      <c r="K84" s="25"/>
      <c r="L84" s="111"/>
      <c r="M84" s="43" t="e">
        <f t="shared" ca="1" si="4"/>
        <v>#N/A</v>
      </c>
      <c r="N84" s="107" t="e">
        <f ca="1">VLOOKUP($B84,Matrix!$H$13:$I$37,2,FALSE)&amp;"_"&amp;C84</f>
        <v>#N/A</v>
      </c>
      <c r="O84" s="118" t="e">
        <f t="shared" ca="1" si="3"/>
        <v>#N/A</v>
      </c>
    </row>
    <row r="85" spans="2:15">
      <c r="B85" s="25"/>
      <c r="C85" s="24"/>
      <c r="D85" s="110"/>
      <c r="E85" s="25"/>
      <c r="F85" s="111"/>
      <c r="G85" s="25"/>
      <c r="H85" s="111"/>
      <c r="I85" s="25"/>
      <c r="J85" s="111"/>
      <c r="K85" s="25"/>
      <c r="L85" s="111"/>
      <c r="M85" s="43" t="e">
        <f t="shared" ca="1" si="4"/>
        <v>#N/A</v>
      </c>
      <c r="N85" s="107" t="e">
        <f ca="1">VLOOKUP($B85,Matrix!$H$13:$I$37,2,FALSE)&amp;"_"&amp;C85</f>
        <v>#N/A</v>
      </c>
      <c r="O85" s="118" t="e">
        <f t="shared" ca="1" si="3"/>
        <v>#N/A</v>
      </c>
    </row>
    <row r="86" spans="2:15">
      <c r="B86" s="25"/>
      <c r="C86" s="24"/>
      <c r="D86" s="110"/>
      <c r="E86" s="25"/>
      <c r="F86" s="111"/>
      <c r="G86" s="25"/>
      <c r="H86" s="111"/>
      <c r="I86" s="25"/>
      <c r="J86" s="111"/>
      <c r="K86" s="25"/>
      <c r="L86" s="111"/>
      <c r="M86" s="43" t="e">
        <f t="shared" ca="1" si="4"/>
        <v>#N/A</v>
      </c>
      <c r="N86" s="107" t="e">
        <f ca="1">VLOOKUP($B86,Matrix!$H$13:$I$37,2,FALSE)&amp;"_"&amp;C86</f>
        <v>#N/A</v>
      </c>
      <c r="O86" s="118" t="e">
        <f t="shared" ca="1" si="3"/>
        <v>#N/A</v>
      </c>
    </row>
    <row r="87" spans="2:15">
      <c r="B87" s="25"/>
      <c r="C87" s="24"/>
      <c r="D87" s="110"/>
      <c r="E87" s="25"/>
      <c r="F87" s="111"/>
      <c r="G87" s="25"/>
      <c r="H87" s="111"/>
      <c r="I87" s="25"/>
      <c r="J87" s="111"/>
      <c r="K87" s="25"/>
      <c r="L87" s="111"/>
      <c r="M87" s="43" t="e">
        <f t="shared" ca="1" si="4"/>
        <v>#N/A</v>
      </c>
      <c r="N87" s="64" t="e">
        <f ca="1">VLOOKUP($B87,Matrix!$H$13:$I$37,2,FALSE)&amp;"_"&amp;C87</f>
        <v>#N/A</v>
      </c>
      <c r="O87" s="118" t="e">
        <f t="shared" ca="1" si="3"/>
        <v>#N/A</v>
      </c>
    </row>
    <row r="88" spans="2:15">
      <c r="B88" s="25"/>
      <c r="C88" s="24"/>
      <c r="D88" s="110"/>
      <c r="E88" s="25"/>
      <c r="F88" s="111"/>
      <c r="G88" s="25"/>
      <c r="H88" s="111"/>
      <c r="I88" s="25"/>
      <c r="J88" s="111"/>
      <c r="K88" s="25"/>
      <c r="L88" s="111"/>
      <c r="M88" s="43" t="e">
        <f t="shared" ca="1" si="4"/>
        <v>#N/A</v>
      </c>
      <c r="N88" s="64" t="e">
        <f ca="1">VLOOKUP($B88,Matrix!$H$13:$I$37,2,FALSE)&amp;"_"&amp;C88</f>
        <v>#N/A</v>
      </c>
      <c r="O88" s="118" t="e">
        <f t="shared" ca="1" si="3"/>
        <v>#N/A</v>
      </c>
    </row>
    <row r="89" spans="2:15">
      <c r="B89" s="25"/>
      <c r="C89" s="24"/>
      <c r="D89" s="110"/>
      <c r="E89" s="25"/>
      <c r="F89" s="111"/>
      <c r="G89" s="25"/>
      <c r="H89" s="111"/>
      <c r="I89" s="25"/>
      <c r="J89" s="111"/>
      <c r="K89" s="25"/>
      <c r="L89" s="111"/>
      <c r="M89" s="43" t="e">
        <f t="shared" ca="1" si="4"/>
        <v>#N/A</v>
      </c>
      <c r="N89" s="64" t="e">
        <f ca="1">VLOOKUP($B89,Matrix!$H$13:$I$37,2,FALSE)&amp;"_"&amp;C89</f>
        <v>#N/A</v>
      </c>
      <c r="O89" s="118" t="e">
        <f t="shared" ca="1" si="3"/>
        <v>#N/A</v>
      </c>
    </row>
    <row r="90" spans="2:15">
      <c r="B90" s="25"/>
      <c r="C90" s="24"/>
      <c r="D90" s="110"/>
      <c r="E90" s="25"/>
      <c r="F90" s="111"/>
      <c r="G90" s="25"/>
      <c r="H90" s="111"/>
      <c r="I90" s="25"/>
      <c r="J90" s="111"/>
      <c r="K90" s="25"/>
      <c r="L90" s="111"/>
      <c r="M90" s="43" t="e">
        <f t="shared" ca="1" si="4"/>
        <v>#N/A</v>
      </c>
      <c r="N90" s="64" t="e">
        <f ca="1">VLOOKUP($B90,Matrix!$H$13:$I$37,2,FALSE)&amp;"_"&amp;C90</f>
        <v>#N/A</v>
      </c>
      <c r="O90" s="118" t="e">
        <f t="shared" ca="1" si="3"/>
        <v>#N/A</v>
      </c>
    </row>
    <row r="91" spans="2:15">
      <c r="B91" s="25"/>
      <c r="C91" s="24"/>
      <c r="D91" s="110"/>
      <c r="E91" s="25"/>
      <c r="F91" s="111"/>
      <c r="G91" s="25"/>
      <c r="H91" s="111"/>
      <c r="I91" s="25"/>
      <c r="J91" s="111"/>
      <c r="K91" s="25"/>
      <c r="L91" s="111"/>
      <c r="M91" s="43" t="e">
        <f t="shared" ca="1" si="4"/>
        <v>#N/A</v>
      </c>
      <c r="N91" s="64" t="e">
        <f ca="1">VLOOKUP($B91,Matrix!$H$13:$I$37,2,FALSE)&amp;"_"&amp;C91</f>
        <v>#N/A</v>
      </c>
      <c r="O91" s="118" t="e">
        <f t="shared" ca="1" si="3"/>
        <v>#N/A</v>
      </c>
    </row>
    <row r="92" spans="2:15">
      <c r="B92" s="25"/>
      <c r="C92" s="24"/>
      <c r="D92" s="110"/>
      <c r="E92" s="25"/>
      <c r="F92" s="111"/>
      <c r="G92" s="25"/>
      <c r="H92" s="111"/>
      <c r="I92" s="25"/>
      <c r="J92" s="111"/>
      <c r="K92" s="25"/>
      <c r="L92" s="111"/>
      <c r="M92" s="43" t="e">
        <f t="shared" ca="1" si="4"/>
        <v>#N/A</v>
      </c>
      <c r="N92" s="64" t="e">
        <f ca="1">VLOOKUP($B92,Matrix!$H$13:$I$37,2,FALSE)&amp;"_"&amp;C92</f>
        <v>#N/A</v>
      </c>
      <c r="O92" s="118" t="e">
        <f t="shared" ca="1" si="3"/>
        <v>#N/A</v>
      </c>
    </row>
    <row r="93" spans="2:15">
      <c r="B93" s="25"/>
      <c r="C93" s="24"/>
      <c r="D93" s="110"/>
      <c r="E93" s="25"/>
      <c r="F93" s="111"/>
      <c r="G93" s="25"/>
      <c r="H93" s="111"/>
      <c r="I93" s="25"/>
      <c r="J93" s="111"/>
      <c r="K93" s="25"/>
      <c r="L93" s="111"/>
      <c r="M93" s="43" t="e">
        <f t="shared" ca="1" si="4"/>
        <v>#N/A</v>
      </c>
      <c r="N93" s="64" t="e">
        <f ca="1">VLOOKUP($B93,Matrix!$H$13:$I$37,2,FALSE)&amp;"_"&amp;C93</f>
        <v>#N/A</v>
      </c>
      <c r="O93" s="118" t="e">
        <f t="shared" ca="1" si="3"/>
        <v>#N/A</v>
      </c>
    </row>
    <row r="94" spans="2:15">
      <c r="B94" s="25"/>
      <c r="C94" s="24"/>
      <c r="D94" s="110"/>
      <c r="E94" s="25"/>
      <c r="F94" s="111"/>
      <c r="G94" s="25"/>
      <c r="H94" s="111"/>
      <c r="I94" s="25"/>
      <c r="J94" s="111"/>
      <c r="K94" s="25"/>
      <c r="L94" s="111"/>
      <c r="M94" s="43" t="e">
        <f t="shared" ca="1" si="4"/>
        <v>#N/A</v>
      </c>
      <c r="N94" s="64" t="e">
        <f ca="1">VLOOKUP($B94,Matrix!$H$13:$I$37,2,FALSE)&amp;"_"&amp;C94</f>
        <v>#N/A</v>
      </c>
      <c r="O94" s="118" t="e">
        <f t="shared" ca="1" si="3"/>
        <v>#N/A</v>
      </c>
    </row>
    <row r="95" spans="2:15">
      <c r="B95" s="25"/>
      <c r="C95" s="24"/>
      <c r="D95" s="110"/>
      <c r="E95" s="25"/>
      <c r="F95" s="111"/>
      <c r="G95" s="25"/>
      <c r="H95" s="111"/>
      <c r="I95" s="25"/>
      <c r="J95" s="111"/>
      <c r="K95" s="25"/>
      <c r="L95" s="111"/>
      <c r="M95" s="43" t="e">
        <f t="shared" ca="1" si="4"/>
        <v>#N/A</v>
      </c>
      <c r="N95" s="64" t="e">
        <f ca="1">VLOOKUP($B95,Matrix!$H$13:$I$37,2,FALSE)&amp;"_"&amp;C95</f>
        <v>#N/A</v>
      </c>
      <c r="O95" s="118" t="e">
        <f t="shared" ca="1" si="3"/>
        <v>#N/A</v>
      </c>
    </row>
    <row r="96" spans="2:15">
      <c r="B96" s="25"/>
      <c r="C96" s="24"/>
      <c r="D96" s="110"/>
      <c r="E96" s="25"/>
      <c r="F96" s="111"/>
      <c r="G96" s="25"/>
      <c r="H96" s="111"/>
      <c r="I96" s="25"/>
      <c r="J96" s="111"/>
      <c r="K96" s="25"/>
      <c r="L96" s="111"/>
      <c r="M96" s="43" t="e">
        <f t="shared" ca="1" si="4"/>
        <v>#N/A</v>
      </c>
      <c r="N96" s="64" t="e">
        <f ca="1">VLOOKUP($B96,Matrix!$H$13:$I$37,2,FALSE)&amp;"_"&amp;C96</f>
        <v>#N/A</v>
      </c>
      <c r="O96" s="118" t="e">
        <f t="shared" ca="1" si="3"/>
        <v>#N/A</v>
      </c>
    </row>
    <row r="97" spans="2:15">
      <c r="B97" s="25"/>
      <c r="C97" s="24"/>
      <c r="D97" s="110"/>
      <c r="E97" s="25"/>
      <c r="F97" s="111"/>
      <c r="G97" s="25"/>
      <c r="H97" s="111"/>
      <c r="I97" s="25"/>
      <c r="J97" s="111"/>
      <c r="K97" s="25"/>
      <c r="L97" s="111"/>
      <c r="M97" s="43" t="e">
        <f t="shared" ca="1" si="4"/>
        <v>#N/A</v>
      </c>
      <c r="N97" s="64" t="e">
        <f ca="1">VLOOKUP($B97,Matrix!$H$13:$I$37,2,FALSE)&amp;"_"&amp;C97</f>
        <v>#N/A</v>
      </c>
      <c r="O97" s="118" t="e">
        <f t="shared" ca="1" si="3"/>
        <v>#N/A</v>
      </c>
    </row>
    <row r="98" spans="2:15">
      <c r="B98" s="25"/>
      <c r="C98" s="24"/>
      <c r="D98" s="110"/>
      <c r="E98" s="25"/>
      <c r="F98" s="111"/>
      <c r="G98" s="25"/>
      <c r="H98" s="111"/>
      <c r="I98" s="25"/>
      <c r="J98" s="111"/>
      <c r="K98" s="25"/>
      <c r="L98" s="111"/>
      <c r="M98" s="43" t="e">
        <f t="shared" ca="1" si="4"/>
        <v>#N/A</v>
      </c>
      <c r="N98" s="64" t="e">
        <f ca="1">VLOOKUP($B98,Matrix!$H$13:$I$37,2,FALSE)&amp;"_"&amp;C98</f>
        <v>#N/A</v>
      </c>
      <c r="O98" s="118" t="e">
        <f t="shared" ca="1" si="3"/>
        <v>#N/A</v>
      </c>
    </row>
    <row r="99" spans="2:15">
      <c r="B99" s="25"/>
      <c r="C99" s="24"/>
      <c r="D99" s="110"/>
      <c r="E99" s="25"/>
      <c r="F99" s="111"/>
      <c r="G99" s="25"/>
      <c r="H99" s="111"/>
      <c r="I99" s="25"/>
      <c r="J99" s="111"/>
      <c r="K99" s="25"/>
      <c r="L99" s="111"/>
      <c r="M99" s="43" t="e">
        <f t="shared" ca="1" si="4"/>
        <v>#N/A</v>
      </c>
      <c r="N99" s="64" t="e">
        <f ca="1">VLOOKUP($B99,Matrix!$H$13:$I$37,2,FALSE)&amp;"_"&amp;C99</f>
        <v>#N/A</v>
      </c>
      <c r="O99" s="118" t="e">
        <f t="shared" ca="1" si="3"/>
        <v>#N/A</v>
      </c>
    </row>
    <row r="100" spans="2:15">
      <c r="B100" s="25"/>
      <c r="C100" s="24"/>
      <c r="D100" s="110"/>
      <c r="E100" s="25"/>
      <c r="F100" s="111"/>
      <c r="G100" s="25"/>
      <c r="H100" s="111"/>
      <c r="I100" s="25"/>
      <c r="J100" s="111"/>
      <c r="K100" s="25"/>
      <c r="L100" s="111"/>
      <c r="M100" s="43" t="e">
        <f t="shared" ca="1" si="4"/>
        <v>#N/A</v>
      </c>
      <c r="N100" s="64" t="e">
        <f ca="1">VLOOKUP($B100,Matrix!$H$13:$I$37,2,FALSE)&amp;"_"&amp;C100</f>
        <v>#N/A</v>
      </c>
      <c r="O100" s="118" t="e">
        <f t="shared" ref="O100:O103" ca="1" si="5">"#define "&amp;N100&amp;REPT(" ",48-M100)&amp;"("&amp;D100&amp;"U)"</f>
        <v>#N/A</v>
      </c>
    </row>
    <row r="101" spans="2:15">
      <c r="B101" s="25"/>
      <c r="C101" s="24"/>
      <c r="D101" s="110"/>
      <c r="E101" s="25"/>
      <c r="F101" s="111"/>
      <c r="G101" s="25"/>
      <c r="H101" s="111"/>
      <c r="I101" s="25"/>
      <c r="J101" s="111"/>
      <c r="K101" s="25"/>
      <c r="L101" s="111"/>
      <c r="M101" s="43" t="e">
        <f t="shared" ca="1" si="4"/>
        <v>#N/A</v>
      </c>
      <c r="N101" s="64" t="e">
        <f ca="1">VLOOKUP($B101,Matrix!$H$13:$I$37,2,FALSE)&amp;"_"&amp;C101</f>
        <v>#N/A</v>
      </c>
      <c r="O101" s="118" t="e">
        <f t="shared" ca="1" si="5"/>
        <v>#N/A</v>
      </c>
    </row>
    <row r="102" spans="2:15">
      <c r="B102" s="25"/>
      <c r="C102" s="24"/>
      <c r="D102" s="110"/>
      <c r="E102" s="25"/>
      <c r="F102" s="111"/>
      <c r="G102" s="25"/>
      <c r="H102" s="111"/>
      <c r="I102" s="25"/>
      <c r="J102" s="111"/>
      <c r="K102" s="25"/>
      <c r="L102" s="111"/>
      <c r="M102" s="43" t="e">
        <f t="shared" ca="1" si="4"/>
        <v>#N/A</v>
      </c>
      <c r="N102" s="64" t="e">
        <f ca="1">VLOOKUP($B102,Matrix!$H$13:$I$37,2,FALSE)&amp;"_"&amp;C102</f>
        <v>#N/A</v>
      </c>
      <c r="O102" s="118" t="e">
        <f t="shared" ca="1" si="5"/>
        <v>#N/A</v>
      </c>
    </row>
    <row r="103" spans="2:15" ht="13.8" thickBot="1">
      <c r="B103" s="49"/>
      <c r="C103" s="50"/>
      <c r="D103" s="112"/>
      <c r="E103" s="49"/>
      <c r="F103" s="113"/>
      <c r="G103" s="49"/>
      <c r="H103" s="113"/>
      <c r="I103" s="49"/>
      <c r="J103" s="113"/>
      <c r="K103" s="49"/>
      <c r="L103" s="113"/>
      <c r="M103" s="51" t="e">
        <f t="shared" ca="1" si="4"/>
        <v>#N/A</v>
      </c>
      <c r="N103" s="65" t="e">
        <f ca="1">VLOOKUP($B103,Matrix!$H$13:$I$37,2,FALSE)&amp;"_"&amp;C103</f>
        <v>#N/A</v>
      </c>
      <c r="O103" s="119"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topLeftCell="T1" zoomScale="85" zoomScaleNormal="85" workbookViewId="0">
      <pane ySplit="3" topLeftCell="A4" activePane="bottomLeft" state="frozen"/>
      <selection pane="bottomLeft" activeCell="AJ14" sqref="AJ14"/>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61</v>
      </c>
      <c r="AI1" t="s">
        <v>62</v>
      </c>
    </row>
    <row r="2" spans="1:49">
      <c r="B2" s="120" t="s">
        <v>111</v>
      </c>
      <c r="C2" s="281" t="s">
        <v>86</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83" t="s">
        <v>53</v>
      </c>
    </row>
    <row r="3" spans="1:49" ht="213" customHeight="1" thickBot="1">
      <c r="B3" s="181" t="str">
        <f>IF(OR(IF(COUNTIF(D6:AC69,"0")&lt;&gt;0,TRUE,FALSE),IF(COUNTIF(D6:AC69,"1")&lt;&gt;0,TRUE,FALSE)),"Search Table","Index Table")</f>
        <v>Index Table</v>
      </c>
      <c r="C3" s="282"/>
      <c r="D3" s="122" t="s">
        <v>63</v>
      </c>
      <c r="E3" s="122" t="s">
        <v>68</v>
      </c>
      <c r="F3" s="122" t="s">
        <v>51</v>
      </c>
      <c r="G3" s="122" t="s">
        <v>50</v>
      </c>
      <c r="H3" s="122" t="s">
        <v>109</v>
      </c>
      <c r="I3" s="122" t="s">
        <v>108</v>
      </c>
      <c r="J3" s="122" t="s">
        <v>113</v>
      </c>
      <c r="K3" s="122" t="s">
        <v>112</v>
      </c>
      <c r="L3" s="123" t="s">
        <v>68</v>
      </c>
      <c r="M3" s="123" t="s">
        <v>64</v>
      </c>
      <c r="N3" s="123" t="s">
        <v>64</v>
      </c>
      <c r="O3" s="123" t="s">
        <v>64</v>
      </c>
      <c r="P3" s="123" t="s">
        <v>64</v>
      </c>
      <c r="Q3" s="123" t="s">
        <v>64</v>
      </c>
      <c r="R3" s="123" t="s">
        <v>64</v>
      </c>
      <c r="S3" s="123" t="s">
        <v>64</v>
      </c>
      <c r="T3" s="123" t="s">
        <v>64</v>
      </c>
      <c r="U3" s="123" t="s">
        <v>64</v>
      </c>
      <c r="V3" s="123" t="s">
        <v>64</v>
      </c>
      <c r="W3" s="123" t="s">
        <v>64</v>
      </c>
      <c r="X3" s="123" t="s">
        <v>64</v>
      </c>
      <c r="Y3" s="123" t="s">
        <v>64</v>
      </c>
      <c r="Z3" s="123" t="s">
        <v>64</v>
      </c>
      <c r="AA3" s="123" t="s">
        <v>64</v>
      </c>
      <c r="AB3" s="123" t="s">
        <v>64</v>
      </c>
      <c r="AC3" s="123" t="s">
        <v>64</v>
      </c>
      <c r="AD3" s="123" t="s">
        <v>64</v>
      </c>
      <c r="AE3" s="123" t="s">
        <v>64</v>
      </c>
      <c r="AF3" s="123" t="s">
        <v>64</v>
      </c>
      <c r="AG3" s="184" t="s">
        <v>191</v>
      </c>
      <c r="AH3" s="289" t="s">
        <v>193</v>
      </c>
      <c r="AI3" s="290"/>
      <c r="AJ3" s="284"/>
      <c r="AR3" s="88" t="s">
        <v>95</v>
      </c>
    </row>
    <row r="4" spans="1:49" ht="13.8" thickBot="1">
      <c r="A4" s="285" t="s">
        <v>65</v>
      </c>
      <c r="B4" s="286"/>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25"/>
      <c r="AR4" s="76" t="s">
        <v>84</v>
      </c>
      <c r="AS4" s="77"/>
      <c r="AT4" s="77"/>
      <c r="AU4" s="77"/>
      <c r="AV4" s="77"/>
      <c r="AW4" s="78"/>
    </row>
    <row r="5" spans="1:49" ht="13.8" thickBot="1">
      <c r="A5" s="287"/>
      <c r="B5" s="288"/>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26"/>
      <c r="AR5" s="79" t="str">
        <f ca="1">"static const U4  "&amp;AW8&amp;"["&amp;AW10&amp;"]"&amp;" = {"</f>
        <v>static const U4  u4_sp_ALERT_S_ADBZR_SWS_CRIT[ALERT_S_ADBZR_SWS_NUM_DST] = {</v>
      </c>
      <c r="AS5" s="79" t="str">
        <f ca="1">"static const U4  "&amp;$AW$9&amp;"["&amp;$AW$10&amp;"] = {"</f>
        <v>static const U4  u4_sp_ALERT_S_ADBZR_SWS_MASK[ALERT_S_ADBZR_SWS_NUM_DST] = {</v>
      </c>
      <c r="AT5" s="79" t="str">
        <f ca="1">"static const U1  "&amp;$AW$11&amp;"["&amp;$AW$10&amp;"] = {"</f>
        <v>static const U1  u1_sp_ALERT_S_ADBZR_SWS_DST[ALERT_S_ADBZR_SWS_NUM_DST] = {</v>
      </c>
      <c r="AU5" s="79" t="str">
        <f ca="1">"const ST_ALERT_MTRX "&amp;$AW$12&amp;" = {"</f>
        <v>const ST_ALERT_MTRX st_gp_ALERT_S_ADBZR_SWS_MTRX[1] = {</v>
      </c>
      <c r="AV5" s="61" t="str">
        <f ca="1">"#define "&amp;AW10&amp;REPT(" ",41-LEN(AW10))&amp;"("&amp;AW13&amp;"U)"</f>
        <v>#define ALERT_S_ADBZR_SWS_NUM_DST                (8U)</v>
      </c>
      <c r="AW5" s="62"/>
    </row>
    <row r="6" spans="1:49">
      <c r="B6" s="129" t="str">
        <f ca="1">"Table "&amp;$AW$6</f>
        <v>Table S_ADBZR_SWS</v>
      </c>
      <c r="C6" s="48">
        <f>ROW()-ROW($C$6)</f>
        <v>0</v>
      </c>
      <c r="D6" s="124" t="s">
        <v>69</v>
      </c>
      <c r="E6" s="124" t="s">
        <v>69</v>
      </c>
      <c r="F6" s="124" t="s">
        <v>69</v>
      </c>
      <c r="G6" s="124" t="s">
        <v>69</v>
      </c>
      <c r="H6" s="124" t="s">
        <v>69</v>
      </c>
      <c r="I6" s="124" t="s">
        <v>69</v>
      </c>
      <c r="J6" s="124" t="s">
        <v>69</v>
      </c>
      <c r="K6" s="124" t="s">
        <v>69</v>
      </c>
      <c r="L6" s="124" t="s">
        <v>69</v>
      </c>
      <c r="M6" s="124" t="s">
        <v>69</v>
      </c>
      <c r="N6" s="124" t="s">
        <v>69</v>
      </c>
      <c r="O6" s="124" t="s">
        <v>69</v>
      </c>
      <c r="P6" s="124" t="s">
        <v>69</v>
      </c>
      <c r="Q6" s="124" t="s">
        <v>69</v>
      </c>
      <c r="R6" s="124" t="s">
        <v>69</v>
      </c>
      <c r="S6" s="124" t="s">
        <v>69</v>
      </c>
      <c r="T6" s="124" t="s">
        <v>69</v>
      </c>
      <c r="U6" s="124" t="s">
        <v>69</v>
      </c>
      <c r="V6" s="124" t="s">
        <v>69</v>
      </c>
      <c r="W6" s="124" t="s">
        <v>69</v>
      </c>
      <c r="X6" s="124" t="s">
        <v>69</v>
      </c>
      <c r="Y6" s="124" t="s">
        <v>69</v>
      </c>
      <c r="Z6" s="124" t="s">
        <v>69</v>
      </c>
      <c r="AA6" s="124" t="s">
        <v>69</v>
      </c>
      <c r="AB6" s="124" t="s">
        <v>69</v>
      </c>
      <c r="AC6" s="124" t="s">
        <v>69</v>
      </c>
      <c r="AD6" s="124" t="s">
        <v>69</v>
      </c>
      <c r="AE6" s="124" t="s">
        <v>192</v>
      </c>
      <c r="AF6" s="127" t="s">
        <v>192</v>
      </c>
      <c r="AG6" s="127">
        <v>0</v>
      </c>
      <c r="AH6" s="127">
        <v>0</v>
      </c>
      <c r="AI6" s="127">
        <v>0</v>
      </c>
      <c r="AJ6" s="47"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70</v>
      </c>
      <c r="AV6" s="44" t="s">
        <v>72</v>
      </c>
      <c r="AW6" s="63" t="str">
        <f ca="1">UPPER(RIGHT(CELL("filename",A1),LEN(CELL("filename",A1))-FIND("]",CELL("filename",A1))))</f>
        <v>S_ADBZR_SWS</v>
      </c>
    </row>
    <row r="7" spans="1:49">
      <c r="B7" s="129"/>
      <c r="C7" s="43">
        <f t="shared" ref="C7:C69" si="2">ROW()-ROW($C$6)</f>
        <v>1</v>
      </c>
      <c r="D7" s="57" t="s">
        <v>69</v>
      </c>
      <c r="E7" s="57" t="s">
        <v>69</v>
      </c>
      <c r="F7" s="57" t="s">
        <v>69</v>
      </c>
      <c r="G7" s="57" t="s">
        <v>69</v>
      </c>
      <c r="H7" s="57" t="s">
        <v>69</v>
      </c>
      <c r="I7" s="57" t="s">
        <v>69</v>
      </c>
      <c r="J7" s="57" t="s">
        <v>69</v>
      </c>
      <c r="K7" s="57" t="s">
        <v>69</v>
      </c>
      <c r="L7" s="57" t="s">
        <v>69</v>
      </c>
      <c r="M7" s="57" t="s">
        <v>69</v>
      </c>
      <c r="N7" s="57" t="s">
        <v>69</v>
      </c>
      <c r="O7" s="57" t="s">
        <v>69</v>
      </c>
      <c r="P7" s="57" t="s">
        <v>69</v>
      </c>
      <c r="Q7" s="57" t="s">
        <v>69</v>
      </c>
      <c r="R7" s="57" t="s">
        <v>69</v>
      </c>
      <c r="S7" s="57" t="s">
        <v>69</v>
      </c>
      <c r="T7" s="57" t="s">
        <v>69</v>
      </c>
      <c r="U7" s="57" t="s">
        <v>69</v>
      </c>
      <c r="V7" s="57" t="s">
        <v>69</v>
      </c>
      <c r="W7" s="57" t="s">
        <v>69</v>
      </c>
      <c r="X7" s="57" t="s">
        <v>69</v>
      </c>
      <c r="Y7" s="57" t="s">
        <v>69</v>
      </c>
      <c r="Z7" s="57" t="s">
        <v>69</v>
      </c>
      <c r="AA7" s="57" t="s">
        <v>69</v>
      </c>
      <c r="AB7" s="57" t="s">
        <v>69</v>
      </c>
      <c r="AC7" s="57" t="s">
        <v>69</v>
      </c>
      <c r="AD7" s="57" t="s">
        <v>69</v>
      </c>
      <c r="AE7" s="57" t="s">
        <v>192</v>
      </c>
      <c r="AF7" s="127" t="s">
        <v>192</v>
      </c>
      <c r="AG7" s="127">
        <v>0</v>
      </c>
      <c r="AH7" s="127">
        <v>0</v>
      </c>
      <c r="AI7" s="127">
        <v>1</v>
      </c>
      <c r="AJ7" s="24" t="s">
        <v>219</v>
      </c>
      <c r="AL7" t="str">
        <f t="shared" ca="1" si="0"/>
        <v xml:space="preserve">    (U1)ALERT_REQ_S_ADBZR_SWS_SINGLE</v>
      </c>
      <c r="AR7" s="59" t="str">
        <f t="shared" ref="AR7:AR70" si="3">IF(AQ72&lt;&gt;"",AQ72,IF(AQ71&lt;&gt;"","};",""))</f>
        <v xml:space="preserve">    (U4)0x00000001U,                                                           /* 01 SINGLE                                          */</v>
      </c>
      <c r="AS7" s="59" t="str">
        <f t="shared" ref="AS7:AS70" si="4">IF(AQ137&lt;&gt;"",AQ137,IF(AQ136&lt;&gt;"","};",""))</f>
        <v xml:space="preserve">    (U4)0x00000007U,                                                           /* 01 SINGLE                                          */</v>
      </c>
      <c r="AT7" s="59" t="str">
        <f t="shared" ca="1" si="1"/>
        <v xml:space="preserve">    (U1)ALERT_REQ_S_ADBZR_SWS_SINGLE,                                          /* 01 SINGLE                                          */</v>
      </c>
      <c r="AU7" s="59" t="str">
        <f ca="1">"        &amp;"&amp;$AW$14&amp;","&amp;REPT(" ",69-LEN($AW$14))&amp;"/* fp_u4_SRC_CHK                                      */"</f>
        <v xml:space="preserve">        &amp;u4_s_AlertS_adbzr_swsSrcchk,                                          /* fp_u4_SRC_CHK                                      */</v>
      </c>
      <c r="AV7" s="45" t="s">
        <v>73</v>
      </c>
      <c r="AW7" s="128">
        <f>IF(B3="Search Table",1,0)</f>
        <v>0</v>
      </c>
    </row>
    <row r="8" spans="1:49">
      <c r="B8" s="129"/>
      <c r="C8" s="43">
        <f t="shared" si="2"/>
        <v>2</v>
      </c>
      <c r="D8" s="57" t="s">
        <v>69</v>
      </c>
      <c r="E8" s="57" t="s">
        <v>69</v>
      </c>
      <c r="F8" s="57" t="s">
        <v>69</v>
      </c>
      <c r="G8" s="57" t="s">
        <v>69</v>
      </c>
      <c r="H8" s="57" t="s">
        <v>69</v>
      </c>
      <c r="I8" s="57" t="s">
        <v>69</v>
      </c>
      <c r="J8" s="57" t="s">
        <v>69</v>
      </c>
      <c r="K8" s="57" t="s">
        <v>69</v>
      </c>
      <c r="L8" s="57" t="s">
        <v>69</v>
      </c>
      <c r="M8" s="57" t="s">
        <v>69</v>
      </c>
      <c r="N8" s="57" t="s">
        <v>69</v>
      </c>
      <c r="O8" s="57" t="s">
        <v>69</v>
      </c>
      <c r="P8" s="57" t="s">
        <v>69</v>
      </c>
      <c r="Q8" s="57" t="s">
        <v>69</v>
      </c>
      <c r="R8" s="57" t="s">
        <v>69</v>
      </c>
      <c r="S8" s="57" t="s">
        <v>69</v>
      </c>
      <c r="T8" s="57" t="s">
        <v>69</v>
      </c>
      <c r="U8" s="57" t="s">
        <v>69</v>
      </c>
      <c r="V8" s="57" t="s">
        <v>69</v>
      </c>
      <c r="W8" s="57" t="s">
        <v>69</v>
      </c>
      <c r="X8" s="57" t="s">
        <v>69</v>
      </c>
      <c r="Y8" s="57" t="s">
        <v>69</v>
      </c>
      <c r="Z8" s="57" t="s">
        <v>69</v>
      </c>
      <c r="AA8" s="57" t="s">
        <v>69</v>
      </c>
      <c r="AB8" s="57" t="s">
        <v>69</v>
      </c>
      <c r="AC8" s="57" t="s">
        <v>69</v>
      </c>
      <c r="AD8" s="57" t="s">
        <v>69</v>
      </c>
      <c r="AE8" s="57" t="s">
        <v>192</v>
      </c>
      <c r="AF8" s="127" t="s">
        <v>192</v>
      </c>
      <c r="AG8" s="127">
        <v>0</v>
      </c>
      <c r="AH8" s="127">
        <v>1</v>
      </c>
      <c r="AI8" s="127">
        <v>0</v>
      </c>
      <c r="AJ8" s="24" t="s">
        <v>33</v>
      </c>
      <c r="AL8" t="str">
        <f t="shared" si="0"/>
        <v xml:space="preserve">    (U1)ALERT_REQ_UNKNOWN</v>
      </c>
      <c r="AR8" s="59" t="str">
        <f t="shared" si="3"/>
        <v xml:space="preserve">    (U4)0x00000002U,                                                           /* 02 UNKNOWN                                         */</v>
      </c>
      <c r="AS8" s="59" t="str">
        <f t="shared" si="4"/>
        <v xml:space="preserve">    (U4)0x00000007U,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74</v>
      </c>
      <c r="AW8" s="64" t="str">
        <f ca="1">"u4_sp_ALERT_"&amp;IF(AW6&lt;&gt;AW17,$AW$17&amp;"_"&amp;$AW$6,AW17)&amp;"_CRIT"</f>
        <v>u4_sp_ALERT_S_ADBZR_SWS_CRIT</v>
      </c>
    </row>
    <row r="9" spans="1:49">
      <c r="B9" s="129"/>
      <c r="C9" s="43">
        <f t="shared" si="2"/>
        <v>3</v>
      </c>
      <c r="D9" s="57" t="s">
        <v>69</v>
      </c>
      <c r="E9" s="57" t="s">
        <v>69</v>
      </c>
      <c r="F9" s="57" t="s">
        <v>69</v>
      </c>
      <c r="G9" s="57" t="s">
        <v>69</v>
      </c>
      <c r="H9" s="57" t="s">
        <v>69</v>
      </c>
      <c r="I9" s="57" t="s">
        <v>69</v>
      </c>
      <c r="J9" s="57" t="s">
        <v>69</v>
      </c>
      <c r="K9" s="57" t="s">
        <v>69</v>
      </c>
      <c r="L9" s="57" t="s">
        <v>69</v>
      </c>
      <c r="M9" s="57" t="s">
        <v>69</v>
      </c>
      <c r="N9" s="57" t="s">
        <v>69</v>
      </c>
      <c r="O9" s="57" t="s">
        <v>69</v>
      </c>
      <c r="P9" s="57" t="s">
        <v>69</v>
      </c>
      <c r="Q9" s="57" t="s">
        <v>69</v>
      </c>
      <c r="R9" s="57" t="s">
        <v>69</v>
      </c>
      <c r="S9" s="57" t="s">
        <v>69</v>
      </c>
      <c r="T9" s="57" t="s">
        <v>69</v>
      </c>
      <c r="U9" s="57" t="s">
        <v>69</v>
      </c>
      <c r="V9" s="57" t="s">
        <v>69</v>
      </c>
      <c r="W9" s="57" t="s">
        <v>69</v>
      </c>
      <c r="X9" s="57" t="s">
        <v>69</v>
      </c>
      <c r="Y9" s="57" t="s">
        <v>69</v>
      </c>
      <c r="Z9" s="57" t="s">
        <v>69</v>
      </c>
      <c r="AA9" s="57" t="s">
        <v>69</v>
      </c>
      <c r="AB9" s="57" t="s">
        <v>69</v>
      </c>
      <c r="AC9" s="57" t="s">
        <v>69</v>
      </c>
      <c r="AD9" s="57" t="s">
        <v>69</v>
      </c>
      <c r="AE9" s="57" t="s">
        <v>192</v>
      </c>
      <c r="AF9" s="57" t="s">
        <v>192</v>
      </c>
      <c r="AG9" s="57">
        <v>0</v>
      </c>
      <c r="AH9" s="57">
        <v>1</v>
      </c>
      <c r="AI9" s="57">
        <v>1</v>
      </c>
      <c r="AJ9" s="24" t="s">
        <v>33</v>
      </c>
      <c r="AL9" t="str">
        <f t="shared" si="0"/>
        <v xml:space="preserve">    (U1)ALERT_REQ_UNKNOWN</v>
      </c>
      <c r="AR9" s="59" t="str">
        <f t="shared" si="3"/>
        <v xml:space="preserve">    (U4)0x00000003U,                                                           /* 03 UNKNOWN                                         */</v>
      </c>
      <c r="AS9" s="59" t="str">
        <f t="shared" si="4"/>
        <v xml:space="preserve">    (U4)0x00000007U,                                                           /* 03 UNKNOWN                                         */</v>
      </c>
      <c r="AT9" s="59" t="str">
        <f t="shared" si="1"/>
        <v xml:space="preserve">    (U1)ALERT_REQ_UNKNOWN,                                                     /* 03 UNKNOWN                                         */</v>
      </c>
      <c r="AU9" s="59"/>
      <c r="AV9" s="45" t="s">
        <v>75</v>
      </c>
      <c r="AW9" s="64" t="str">
        <f ca="1">"u4_sp_ALERT_"&amp;IF(AW6&lt;&gt;AW17,$AW$17&amp;"_"&amp;$AW$6,AW17)&amp;"_MASK"</f>
        <v>u4_sp_ALERT_S_ADBZR_SWS_MASK</v>
      </c>
    </row>
    <row r="10" spans="1:49">
      <c r="B10" s="129"/>
      <c r="C10" s="43">
        <f t="shared" si="2"/>
        <v>4</v>
      </c>
      <c r="D10" s="57" t="s">
        <v>69</v>
      </c>
      <c r="E10" s="57" t="s">
        <v>69</v>
      </c>
      <c r="F10" s="57" t="s">
        <v>69</v>
      </c>
      <c r="G10" s="57" t="s">
        <v>69</v>
      </c>
      <c r="H10" s="57" t="s">
        <v>69</v>
      </c>
      <c r="I10" s="57" t="s">
        <v>69</v>
      </c>
      <c r="J10" s="57" t="s">
        <v>69</v>
      </c>
      <c r="K10" s="57" t="s">
        <v>69</v>
      </c>
      <c r="L10" s="57" t="s">
        <v>69</v>
      </c>
      <c r="M10" s="57" t="s">
        <v>69</v>
      </c>
      <c r="N10" s="57" t="s">
        <v>69</v>
      </c>
      <c r="O10" s="57" t="s">
        <v>69</v>
      </c>
      <c r="P10" s="57" t="s">
        <v>69</v>
      </c>
      <c r="Q10" s="57" t="s">
        <v>69</v>
      </c>
      <c r="R10" s="57" t="s">
        <v>69</v>
      </c>
      <c r="S10" s="57" t="s">
        <v>69</v>
      </c>
      <c r="T10" s="57" t="s">
        <v>69</v>
      </c>
      <c r="U10" s="57" t="s">
        <v>69</v>
      </c>
      <c r="V10" s="57" t="s">
        <v>69</v>
      </c>
      <c r="W10" s="57" t="s">
        <v>69</v>
      </c>
      <c r="X10" s="57" t="s">
        <v>69</v>
      </c>
      <c r="Y10" s="57" t="s">
        <v>69</v>
      </c>
      <c r="Z10" s="57" t="s">
        <v>69</v>
      </c>
      <c r="AA10" s="57" t="s">
        <v>69</v>
      </c>
      <c r="AB10" s="57" t="s">
        <v>69</v>
      </c>
      <c r="AC10" s="57" t="s">
        <v>69</v>
      </c>
      <c r="AD10" s="57" t="s">
        <v>69</v>
      </c>
      <c r="AE10" s="57" t="s">
        <v>192</v>
      </c>
      <c r="AF10" s="57" t="s">
        <v>192</v>
      </c>
      <c r="AG10" s="57">
        <v>1</v>
      </c>
      <c r="AH10" s="127">
        <v>0</v>
      </c>
      <c r="AI10" s="127">
        <v>0</v>
      </c>
      <c r="AJ10" s="24" t="s">
        <v>33</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5" t="s">
        <v>76</v>
      </c>
      <c r="AW10" s="64" t="str">
        <f ca="1">"ALERT_"&amp;IF(AW6&lt;&gt;AW17,$AW$17&amp;"_"&amp;$AW$6,AW17)&amp;"_NUM_DST"</f>
        <v>ALERT_S_ADBZR_SWS_NUM_DST</v>
      </c>
    </row>
    <row r="11" spans="1:49">
      <c r="B11" s="129"/>
      <c r="C11" s="43">
        <f t="shared" si="2"/>
        <v>5</v>
      </c>
      <c r="D11" s="57" t="s">
        <v>69</v>
      </c>
      <c r="E11" s="57" t="s">
        <v>69</v>
      </c>
      <c r="F11" s="57" t="s">
        <v>69</v>
      </c>
      <c r="G11" s="57" t="s">
        <v>69</v>
      </c>
      <c r="H11" s="57" t="s">
        <v>69</v>
      </c>
      <c r="I11" s="57" t="s">
        <v>69</v>
      </c>
      <c r="J11" s="57" t="s">
        <v>69</v>
      </c>
      <c r="K11" s="57" t="s">
        <v>69</v>
      </c>
      <c r="L11" s="57" t="s">
        <v>69</v>
      </c>
      <c r="M11" s="57" t="s">
        <v>69</v>
      </c>
      <c r="N11" s="57" t="s">
        <v>69</v>
      </c>
      <c r="O11" s="57" t="s">
        <v>69</v>
      </c>
      <c r="P11" s="57" t="s">
        <v>69</v>
      </c>
      <c r="Q11" s="57" t="s">
        <v>69</v>
      </c>
      <c r="R11" s="57" t="s">
        <v>69</v>
      </c>
      <c r="S11" s="57" t="s">
        <v>69</v>
      </c>
      <c r="T11" s="57" t="s">
        <v>69</v>
      </c>
      <c r="U11" s="57" t="s">
        <v>69</v>
      </c>
      <c r="V11" s="57" t="s">
        <v>69</v>
      </c>
      <c r="W11" s="57" t="s">
        <v>69</v>
      </c>
      <c r="X11" s="57" t="s">
        <v>69</v>
      </c>
      <c r="Y11" s="57" t="s">
        <v>69</v>
      </c>
      <c r="Z11" s="57" t="s">
        <v>69</v>
      </c>
      <c r="AA11" s="57" t="s">
        <v>69</v>
      </c>
      <c r="AB11" s="57" t="s">
        <v>69</v>
      </c>
      <c r="AC11" s="57" t="s">
        <v>69</v>
      </c>
      <c r="AD11" s="57" t="s">
        <v>69</v>
      </c>
      <c r="AE11" s="57" t="s">
        <v>192</v>
      </c>
      <c r="AF11" s="57" t="s">
        <v>192</v>
      </c>
      <c r="AG11" s="57">
        <v>1</v>
      </c>
      <c r="AH11" s="127">
        <v>0</v>
      </c>
      <c r="AI11" s="127">
        <v>1</v>
      </c>
      <c r="AJ11" s="24" t="s">
        <v>33</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5" t="s">
        <v>77</v>
      </c>
      <c r="AW11" s="64" t="str">
        <f ca="1">"u1_sp_ALERT_"&amp;IF(AW6&lt;&gt;AW17,$AW$17&amp;"_"&amp;$AW$6,AW17)&amp;"_DST"</f>
        <v>u1_sp_ALERT_S_ADBZR_SWS_DST</v>
      </c>
    </row>
    <row r="12" spans="1:49">
      <c r="B12" s="129"/>
      <c r="C12" s="43">
        <f t="shared" si="2"/>
        <v>6</v>
      </c>
      <c r="D12" s="57" t="s">
        <v>69</v>
      </c>
      <c r="E12" s="57" t="s">
        <v>69</v>
      </c>
      <c r="F12" s="57" t="s">
        <v>69</v>
      </c>
      <c r="G12" s="57" t="s">
        <v>69</v>
      </c>
      <c r="H12" s="57" t="s">
        <v>69</v>
      </c>
      <c r="I12" s="57" t="s">
        <v>69</v>
      </c>
      <c r="J12" s="57" t="s">
        <v>69</v>
      </c>
      <c r="K12" s="57" t="s">
        <v>69</v>
      </c>
      <c r="L12" s="57" t="s">
        <v>69</v>
      </c>
      <c r="M12" s="57" t="s">
        <v>69</v>
      </c>
      <c r="N12" s="57" t="s">
        <v>69</v>
      </c>
      <c r="O12" s="57" t="s">
        <v>69</v>
      </c>
      <c r="P12" s="57" t="s">
        <v>69</v>
      </c>
      <c r="Q12" s="57" t="s">
        <v>69</v>
      </c>
      <c r="R12" s="57" t="s">
        <v>69</v>
      </c>
      <c r="S12" s="57" t="s">
        <v>69</v>
      </c>
      <c r="T12" s="57" t="s">
        <v>69</v>
      </c>
      <c r="U12" s="57" t="s">
        <v>69</v>
      </c>
      <c r="V12" s="57" t="s">
        <v>69</v>
      </c>
      <c r="W12" s="57" t="s">
        <v>69</v>
      </c>
      <c r="X12" s="57" t="s">
        <v>69</v>
      </c>
      <c r="Y12" s="57" t="s">
        <v>69</v>
      </c>
      <c r="Z12" s="57" t="s">
        <v>69</v>
      </c>
      <c r="AA12" s="57" t="s">
        <v>69</v>
      </c>
      <c r="AB12" s="57" t="s">
        <v>69</v>
      </c>
      <c r="AC12" s="57" t="s">
        <v>69</v>
      </c>
      <c r="AD12" s="57" t="s">
        <v>69</v>
      </c>
      <c r="AE12" s="57" t="s">
        <v>192</v>
      </c>
      <c r="AF12" s="57" t="s">
        <v>192</v>
      </c>
      <c r="AG12" s="57">
        <v>1</v>
      </c>
      <c r="AH12" s="127">
        <v>1</v>
      </c>
      <c r="AI12" s="127">
        <v>0</v>
      </c>
      <c r="AJ12" s="24" t="s">
        <v>33</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5" t="s">
        <v>91</v>
      </c>
      <c r="AW12" s="64" t="str">
        <f ca="1">Matrix!D8&amp;"["&amp;Matrix!D7&amp;"]"</f>
        <v>st_gp_ALERT_S_ADBZR_SWS_MTRX[1]</v>
      </c>
    </row>
    <row r="13" spans="1:49">
      <c r="B13" s="129"/>
      <c r="C13" s="43">
        <f t="shared" si="2"/>
        <v>7</v>
      </c>
      <c r="D13" s="57" t="s">
        <v>69</v>
      </c>
      <c r="E13" s="57" t="s">
        <v>69</v>
      </c>
      <c r="F13" s="57" t="s">
        <v>69</v>
      </c>
      <c r="G13" s="57" t="s">
        <v>69</v>
      </c>
      <c r="H13" s="57" t="s">
        <v>69</v>
      </c>
      <c r="I13" s="57" t="s">
        <v>69</v>
      </c>
      <c r="J13" s="57" t="s">
        <v>69</v>
      </c>
      <c r="K13" s="57" t="s">
        <v>69</v>
      </c>
      <c r="L13" s="57" t="s">
        <v>69</v>
      </c>
      <c r="M13" s="57" t="s">
        <v>69</v>
      </c>
      <c r="N13" s="57" t="s">
        <v>69</v>
      </c>
      <c r="O13" s="57" t="s">
        <v>69</v>
      </c>
      <c r="P13" s="57" t="s">
        <v>69</v>
      </c>
      <c r="Q13" s="57" t="s">
        <v>69</v>
      </c>
      <c r="R13" s="57" t="s">
        <v>69</v>
      </c>
      <c r="S13" s="57" t="s">
        <v>69</v>
      </c>
      <c r="T13" s="57" t="s">
        <v>69</v>
      </c>
      <c r="U13" s="57" t="s">
        <v>69</v>
      </c>
      <c r="V13" s="57" t="s">
        <v>69</v>
      </c>
      <c r="W13" s="57" t="s">
        <v>69</v>
      </c>
      <c r="X13" s="57" t="s">
        <v>69</v>
      </c>
      <c r="Y13" s="57" t="s">
        <v>69</v>
      </c>
      <c r="Z13" s="57" t="s">
        <v>69</v>
      </c>
      <c r="AA13" s="57" t="s">
        <v>69</v>
      </c>
      <c r="AB13" s="57" t="s">
        <v>69</v>
      </c>
      <c r="AC13" s="57" t="s">
        <v>69</v>
      </c>
      <c r="AD13" s="57" t="s">
        <v>69</v>
      </c>
      <c r="AE13" s="57" t="s">
        <v>192</v>
      </c>
      <c r="AF13" s="57" t="s">
        <v>192</v>
      </c>
      <c r="AG13" s="57">
        <v>1</v>
      </c>
      <c r="AH13" s="57">
        <v>1</v>
      </c>
      <c r="AI13" s="57">
        <v>1</v>
      </c>
      <c r="AJ13" s="24" t="s">
        <v>33</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&amp;u1_sp_ALERT_S_ADBZR_SWS_DST[0],                                       /* u1p_DST                                            */</v>
      </c>
      <c r="AV13" s="45" t="s">
        <v>78</v>
      </c>
      <c r="AW13" s="128">
        <f>COUNTA($AJ$6:$AJ$69)</f>
        <v>8</v>
      </c>
    </row>
    <row r="14" spans="1:49">
      <c r="B14" s="129"/>
      <c r="C14" s="43">
        <f t="shared" si="2"/>
        <v>8</v>
      </c>
      <c r="D14" s="57" t="s">
        <v>69</v>
      </c>
      <c r="E14" s="57" t="s">
        <v>69</v>
      </c>
      <c r="F14" s="57" t="s">
        <v>69</v>
      </c>
      <c r="G14" s="57" t="s">
        <v>69</v>
      </c>
      <c r="H14" s="57" t="s">
        <v>69</v>
      </c>
      <c r="I14" s="57" t="s">
        <v>69</v>
      </c>
      <c r="J14" s="57" t="s">
        <v>69</v>
      </c>
      <c r="K14" s="57" t="s">
        <v>69</v>
      </c>
      <c r="L14" s="57" t="s">
        <v>69</v>
      </c>
      <c r="M14" s="57" t="s">
        <v>69</v>
      </c>
      <c r="N14" s="57" t="s">
        <v>69</v>
      </c>
      <c r="O14" s="57" t="s">
        <v>69</v>
      </c>
      <c r="P14" s="57" t="s">
        <v>69</v>
      </c>
      <c r="Q14" s="57" t="s">
        <v>69</v>
      </c>
      <c r="R14" s="57" t="s">
        <v>69</v>
      </c>
      <c r="S14" s="57" t="s">
        <v>69</v>
      </c>
      <c r="T14" s="57" t="s">
        <v>69</v>
      </c>
      <c r="U14" s="57" t="s">
        <v>69</v>
      </c>
      <c r="V14" s="57" t="s">
        <v>69</v>
      </c>
      <c r="W14" s="57" t="s">
        <v>69</v>
      </c>
      <c r="X14" s="57" t="s">
        <v>69</v>
      </c>
      <c r="Y14" s="57" t="s">
        <v>69</v>
      </c>
      <c r="Z14" s="57" t="s">
        <v>69</v>
      </c>
      <c r="AA14" s="57" t="s">
        <v>69</v>
      </c>
      <c r="AB14" s="57" t="s">
        <v>69</v>
      </c>
      <c r="AC14" s="57" t="s">
        <v>69</v>
      </c>
      <c r="AD14" s="57" t="s">
        <v>69</v>
      </c>
      <c r="AE14" s="57" t="s">
        <v>192</v>
      </c>
      <c r="AF14" s="57" t="s">
        <v>192</v>
      </c>
      <c r="AG14" s="57" t="s">
        <v>192</v>
      </c>
      <c r="AH14" s="57" t="s">
        <v>192</v>
      </c>
      <c r="AI14" s="57" t="s">
        <v>192</v>
      </c>
      <c r="AJ14" s="24"/>
      <c r="AL14" t="str">
        <f t="shared" ca="1" si="0"/>
        <v xml:space="preserve">    (U1)ALERT_REQ_S_ADBZR_SWS_</v>
      </c>
      <c r="AR14" s="59" t="str">
        <f t="shared" si="3"/>
        <v>};</v>
      </c>
      <c r="AS14" s="59" t="str">
        <f t="shared" si="4"/>
        <v>};</v>
      </c>
      <c r="AT14" s="59" t="str">
        <f t="shared" si="1"/>
        <v>};</v>
      </c>
      <c r="AU14" s="59" t="str">
        <f ca="1">"        (U2)"&amp;$AW$10&amp;","&amp;REPT(" ",66-LEN($AW$10))&amp;"/* u2_num_srch                                        */"</f>
        <v xml:space="preserve">        (U2)ALERT_S_ADBZR_SWS_NUM_DST,                                         /* u2_num_srch                                        */</v>
      </c>
      <c r="AV14" s="45" t="s">
        <v>79</v>
      </c>
      <c r="AW14" s="64" t="str">
        <f ca="1">IF(AW6&lt;&gt;AW17,VLOOKUP(AW6,Matrix!$C$13:$G$37,4,FALSE),Matrix!F13)</f>
        <v>u4_s_AlertS_adbzr_swsSrcchk</v>
      </c>
    </row>
    <row r="15" spans="1:49">
      <c r="B15" s="129"/>
      <c r="C15" s="43">
        <f t="shared" si="2"/>
        <v>9</v>
      </c>
      <c r="D15" s="57" t="s">
        <v>69</v>
      </c>
      <c r="E15" s="57" t="s">
        <v>69</v>
      </c>
      <c r="F15" s="57" t="s">
        <v>69</v>
      </c>
      <c r="G15" s="57" t="s">
        <v>69</v>
      </c>
      <c r="H15" s="57" t="s">
        <v>69</v>
      </c>
      <c r="I15" s="57" t="s">
        <v>69</v>
      </c>
      <c r="J15" s="57" t="s">
        <v>69</v>
      </c>
      <c r="K15" s="57" t="s">
        <v>69</v>
      </c>
      <c r="L15" s="57" t="s">
        <v>69</v>
      </c>
      <c r="M15" s="57" t="s">
        <v>69</v>
      </c>
      <c r="N15" s="57" t="s">
        <v>69</v>
      </c>
      <c r="O15" s="57" t="s">
        <v>69</v>
      </c>
      <c r="P15" s="57" t="s">
        <v>69</v>
      </c>
      <c r="Q15" s="57" t="s">
        <v>69</v>
      </c>
      <c r="R15" s="57" t="s">
        <v>69</v>
      </c>
      <c r="S15" s="57" t="s">
        <v>69</v>
      </c>
      <c r="T15" s="57" t="s">
        <v>69</v>
      </c>
      <c r="U15" s="57" t="s">
        <v>69</v>
      </c>
      <c r="V15" s="57" t="s">
        <v>69</v>
      </c>
      <c r="W15" s="57" t="s">
        <v>69</v>
      </c>
      <c r="X15" s="57" t="s">
        <v>69</v>
      </c>
      <c r="Y15" s="57" t="s">
        <v>69</v>
      </c>
      <c r="Z15" s="57" t="s">
        <v>69</v>
      </c>
      <c r="AA15" s="57" t="s">
        <v>69</v>
      </c>
      <c r="AB15" s="57" t="s">
        <v>69</v>
      </c>
      <c r="AC15" s="57" t="s">
        <v>69</v>
      </c>
      <c r="AD15" s="57" t="s">
        <v>69</v>
      </c>
      <c r="AE15" s="57" t="s">
        <v>192</v>
      </c>
      <c r="AF15" s="57" t="s">
        <v>192</v>
      </c>
      <c r="AG15" s="57" t="s">
        <v>192</v>
      </c>
      <c r="AH15" s="57" t="s">
        <v>192</v>
      </c>
      <c r="AI15" s="57" t="s">
        <v>192</v>
      </c>
      <c r="AJ15" s="24"/>
      <c r="AL15" t="str">
        <f t="shared" ca="1" si="0"/>
        <v xml:space="preserve">    (U1)ALERT_REQ_S_ADBZR_SWS_</v>
      </c>
      <c r="AR15" s="59" t="str">
        <f t="shared" si="3"/>
        <v/>
      </c>
      <c r="AS15" s="59" t="str">
        <f t="shared" si="4"/>
        <v/>
      </c>
      <c r="AT15" s="59" t="str">
        <f t="shared" si="1"/>
        <v/>
      </c>
      <c r="AU15" s="59" t="str">
        <f ca="1">"        (U1)"&amp;$AW$16&amp;REPT(" ",67-LEN($AW$16))&amp;"/* u1_vom_act                                         */"</f>
        <v xml:space="preserve">        (U1)ALERT_VOM_IGN_ON                                                   /* u1_vom_act                                         */</v>
      </c>
      <c r="AV15" s="45" t="s">
        <v>82</v>
      </c>
      <c r="AW15" s="64" t="str">
        <f ca="1">IF(AW6&lt;&gt;AW17,VLOOKUP(AW6,Matrix!$C$13:$G$37,5,FALSE),Matrix!G13)</f>
        <v>NULL</v>
      </c>
    </row>
    <row r="16" spans="1:49">
      <c r="B16" s="129"/>
      <c r="C16" s="43">
        <f t="shared" si="2"/>
        <v>10</v>
      </c>
      <c r="D16" s="57" t="s">
        <v>69</v>
      </c>
      <c r="E16" s="57" t="s">
        <v>69</v>
      </c>
      <c r="F16" s="57" t="s">
        <v>69</v>
      </c>
      <c r="G16" s="57" t="s">
        <v>69</v>
      </c>
      <c r="H16" s="57" t="s">
        <v>69</v>
      </c>
      <c r="I16" s="57" t="s">
        <v>69</v>
      </c>
      <c r="J16" s="57" t="s">
        <v>69</v>
      </c>
      <c r="K16" s="57" t="s">
        <v>69</v>
      </c>
      <c r="L16" s="57" t="s">
        <v>69</v>
      </c>
      <c r="M16" s="57" t="s">
        <v>69</v>
      </c>
      <c r="N16" s="57" t="s">
        <v>69</v>
      </c>
      <c r="O16" s="57" t="s">
        <v>69</v>
      </c>
      <c r="P16" s="57" t="s">
        <v>69</v>
      </c>
      <c r="Q16" s="57" t="s">
        <v>69</v>
      </c>
      <c r="R16" s="57" t="s">
        <v>69</v>
      </c>
      <c r="S16" s="57" t="s">
        <v>69</v>
      </c>
      <c r="T16" s="57" t="s">
        <v>69</v>
      </c>
      <c r="U16" s="57" t="s">
        <v>69</v>
      </c>
      <c r="V16" s="57" t="s">
        <v>69</v>
      </c>
      <c r="W16" s="57" t="s">
        <v>69</v>
      </c>
      <c r="X16" s="57" t="s">
        <v>69</v>
      </c>
      <c r="Y16" s="57" t="s">
        <v>69</v>
      </c>
      <c r="Z16" s="57" t="s">
        <v>69</v>
      </c>
      <c r="AA16" s="57" t="s">
        <v>69</v>
      </c>
      <c r="AB16" s="57" t="s">
        <v>69</v>
      </c>
      <c r="AC16" s="57" t="s">
        <v>69</v>
      </c>
      <c r="AD16" s="57" t="s">
        <v>69</v>
      </c>
      <c r="AE16" s="57" t="s">
        <v>192</v>
      </c>
      <c r="AF16" s="57" t="s">
        <v>192</v>
      </c>
      <c r="AG16" s="57" t="s">
        <v>192</v>
      </c>
      <c r="AH16" s="57" t="s">
        <v>192</v>
      </c>
      <c r="AI16" s="57" t="s">
        <v>192</v>
      </c>
      <c r="AJ16" s="24"/>
      <c r="AL16" t="str">
        <f t="shared" ca="1" si="0"/>
        <v xml:space="preserve">    (U1)ALERT_REQ_S_ADBZR_SWS_</v>
      </c>
      <c r="AR16" s="59" t="str">
        <f t="shared" si="3"/>
        <v/>
      </c>
      <c r="AS16" s="59" t="str">
        <f t="shared" si="4"/>
        <v/>
      </c>
      <c r="AT16" s="59" t="str">
        <f t="shared" si="1"/>
        <v/>
      </c>
      <c r="AU16" s="59" t="s">
        <v>71</v>
      </c>
      <c r="AV16" s="45" t="s">
        <v>80</v>
      </c>
      <c r="AW16" s="64" t="str">
        <f ca="1">IF(AW6&lt;&gt;AW17,VLOOKUP(AW6,Matrix!$C$13:$G$37,2,FALSE),Matrix!D13)</f>
        <v>ALERT_VOM_IGN_ON</v>
      </c>
    </row>
    <row r="17" spans="2:49" ht="13.8" thickBot="1">
      <c r="B17" s="129"/>
      <c r="C17" s="43">
        <f t="shared" si="2"/>
        <v>11</v>
      </c>
      <c r="D17" s="57" t="s">
        <v>69</v>
      </c>
      <c r="E17" s="57" t="s">
        <v>69</v>
      </c>
      <c r="F17" s="57" t="s">
        <v>69</v>
      </c>
      <c r="G17" s="57" t="s">
        <v>69</v>
      </c>
      <c r="H17" s="57" t="s">
        <v>69</v>
      </c>
      <c r="I17" s="57" t="s">
        <v>69</v>
      </c>
      <c r="J17" s="57" t="s">
        <v>69</v>
      </c>
      <c r="K17" s="57" t="s">
        <v>69</v>
      </c>
      <c r="L17" s="57" t="s">
        <v>69</v>
      </c>
      <c r="M17" s="57" t="s">
        <v>69</v>
      </c>
      <c r="N17" s="57" t="s">
        <v>69</v>
      </c>
      <c r="O17" s="57" t="s">
        <v>69</v>
      </c>
      <c r="P17" s="57" t="s">
        <v>69</v>
      </c>
      <c r="Q17" s="57" t="s">
        <v>69</v>
      </c>
      <c r="R17" s="57" t="s">
        <v>69</v>
      </c>
      <c r="S17" s="57" t="s">
        <v>69</v>
      </c>
      <c r="T17" s="57" t="s">
        <v>69</v>
      </c>
      <c r="U17" s="57" t="s">
        <v>69</v>
      </c>
      <c r="V17" s="57" t="s">
        <v>69</v>
      </c>
      <c r="W17" s="57" t="s">
        <v>69</v>
      </c>
      <c r="X17" s="57" t="s">
        <v>69</v>
      </c>
      <c r="Y17" s="57" t="s">
        <v>69</v>
      </c>
      <c r="Z17" s="57" t="s">
        <v>69</v>
      </c>
      <c r="AA17" s="57" t="s">
        <v>69</v>
      </c>
      <c r="AB17" s="57" t="s">
        <v>69</v>
      </c>
      <c r="AC17" s="57" t="s">
        <v>69</v>
      </c>
      <c r="AD17" s="57" t="s">
        <v>69</v>
      </c>
      <c r="AE17" s="57" t="s">
        <v>192</v>
      </c>
      <c r="AF17" s="57" t="s">
        <v>192</v>
      </c>
      <c r="AG17" s="57" t="s">
        <v>192</v>
      </c>
      <c r="AH17" s="57" t="s">
        <v>192</v>
      </c>
      <c r="AI17" s="57" t="s">
        <v>192</v>
      </c>
      <c r="AJ17" s="24"/>
      <c r="AL17" t="str">
        <f t="shared" ca="1" si="0"/>
        <v xml:space="preserve">    (U1)ALERT_REQ_S_ADBZR_SWS_</v>
      </c>
      <c r="AR17" s="59" t="str">
        <f t="shared" si="3"/>
        <v/>
      </c>
      <c r="AS17" s="59" t="str">
        <f t="shared" si="4"/>
        <v/>
      </c>
      <c r="AT17" s="59" t="str">
        <f t="shared" si="1"/>
        <v/>
      </c>
      <c r="AU17" s="60" t="s">
        <v>83</v>
      </c>
      <c r="AV17" s="46" t="s">
        <v>81</v>
      </c>
      <c r="AW17" s="65" t="str">
        <f ca="1">UPPER(Matrix!$D$6)</f>
        <v>S_ADBZR_SWS</v>
      </c>
    </row>
    <row r="18" spans="2:49">
      <c r="B18" s="129"/>
      <c r="C18" s="43">
        <f t="shared" si="2"/>
        <v>12</v>
      </c>
      <c r="D18" s="57" t="s">
        <v>69</v>
      </c>
      <c r="E18" s="57" t="s">
        <v>69</v>
      </c>
      <c r="F18" s="57" t="s">
        <v>69</v>
      </c>
      <c r="G18" s="57" t="s">
        <v>69</v>
      </c>
      <c r="H18" s="57" t="s">
        <v>69</v>
      </c>
      <c r="I18" s="57" t="s">
        <v>69</v>
      </c>
      <c r="J18" s="57" t="s">
        <v>69</v>
      </c>
      <c r="K18" s="57" t="s">
        <v>69</v>
      </c>
      <c r="L18" s="57" t="s">
        <v>69</v>
      </c>
      <c r="M18" s="57" t="s">
        <v>69</v>
      </c>
      <c r="N18" s="57" t="s">
        <v>69</v>
      </c>
      <c r="O18" s="57" t="s">
        <v>69</v>
      </c>
      <c r="P18" s="57" t="s">
        <v>69</v>
      </c>
      <c r="Q18" s="57" t="s">
        <v>69</v>
      </c>
      <c r="R18" s="57" t="s">
        <v>69</v>
      </c>
      <c r="S18" s="57" t="s">
        <v>69</v>
      </c>
      <c r="T18" s="57" t="s">
        <v>69</v>
      </c>
      <c r="U18" s="57" t="s">
        <v>69</v>
      </c>
      <c r="V18" s="57" t="s">
        <v>69</v>
      </c>
      <c r="W18" s="57" t="s">
        <v>69</v>
      </c>
      <c r="X18" s="57" t="s">
        <v>69</v>
      </c>
      <c r="Y18" s="57" t="s">
        <v>69</v>
      </c>
      <c r="Z18" s="57" t="s">
        <v>69</v>
      </c>
      <c r="AA18" s="57" t="s">
        <v>69</v>
      </c>
      <c r="AB18" s="57" t="s">
        <v>69</v>
      </c>
      <c r="AC18" s="57" t="s">
        <v>69</v>
      </c>
      <c r="AD18" s="57" t="s">
        <v>69</v>
      </c>
      <c r="AE18" s="57" t="s">
        <v>192</v>
      </c>
      <c r="AF18" s="57" t="s">
        <v>192</v>
      </c>
      <c r="AG18" s="57" t="s">
        <v>192</v>
      </c>
      <c r="AH18" s="57" t="s">
        <v>192</v>
      </c>
      <c r="AI18" s="57" t="s">
        <v>192</v>
      </c>
      <c r="AJ18" s="24"/>
      <c r="AL18" t="str">
        <f t="shared" ca="1" si="0"/>
        <v xml:space="preserve">    (U1)ALERT_REQ_S_ADBZR_SWS_</v>
      </c>
      <c r="AR18" s="59" t="str">
        <f t="shared" si="3"/>
        <v/>
      </c>
      <c r="AS18" s="59" t="str">
        <f t="shared" si="4"/>
        <v/>
      </c>
      <c r="AT18" s="59" t="str">
        <f t="shared" si="1"/>
        <v/>
      </c>
    </row>
    <row r="19" spans="2:49">
      <c r="B19" s="129"/>
      <c r="C19" s="43">
        <f t="shared" si="2"/>
        <v>13</v>
      </c>
      <c r="D19" s="57" t="s">
        <v>69</v>
      </c>
      <c r="E19" s="57" t="s">
        <v>69</v>
      </c>
      <c r="F19" s="57" t="s">
        <v>69</v>
      </c>
      <c r="G19" s="57" t="s">
        <v>69</v>
      </c>
      <c r="H19" s="57" t="s">
        <v>69</v>
      </c>
      <c r="I19" s="57" t="s">
        <v>69</v>
      </c>
      <c r="J19" s="57" t="s">
        <v>69</v>
      </c>
      <c r="K19" s="57" t="s">
        <v>69</v>
      </c>
      <c r="L19" s="57" t="s">
        <v>69</v>
      </c>
      <c r="M19" s="57" t="s">
        <v>69</v>
      </c>
      <c r="N19" s="57" t="s">
        <v>69</v>
      </c>
      <c r="O19" s="57" t="s">
        <v>69</v>
      </c>
      <c r="P19" s="57" t="s">
        <v>69</v>
      </c>
      <c r="Q19" s="57" t="s">
        <v>69</v>
      </c>
      <c r="R19" s="57" t="s">
        <v>69</v>
      </c>
      <c r="S19" s="57" t="s">
        <v>69</v>
      </c>
      <c r="T19" s="57" t="s">
        <v>69</v>
      </c>
      <c r="U19" s="57" t="s">
        <v>69</v>
      </c>
      <c r="V19" s="57" t="s">
        <v>69</v>
      </c>
      <c r="W19" s="57" t="s">
        <v>69</v>
      </c>
      <c r="X19" s="57" t="s">
        <v>69</v>
      </c>
      <c r="Y19" s="57" t="s">
        <v>69</v>
      </c>
      <c r="Z19" s="57" t="s">
        <v>69</v>
      </c>
      <c r="AA19" s="57" t="s">
        <v>69</v>
      </c>
      <c r="AB19" s="57" t="s">
        <v>69</v>
      </c>
      <c r="AC19" s="57" t="s">
        <v>69</v>
      </c>
      <c r="AD19" s="57" t="s">
        <v>69</v>
      </c>
      <c r="AE19" s="57" t="s">
        <v>192</v>
      </c>
      <c r="AF19" s="57" t="s">
        <v>192</v>
      </c>
      <c r="AG19" s="57" t="s">
        <v>192</v>
      </c>
      <c r="AH19" s="57" t="s">
        <v>192</v>
      </c>
      <c r="AI19" s="57" t="s">
        <v>192</v>
      </c>
      <c r="AJ19" s="24"/>
      <c r="AL19" t="str">
        <f t="shared" ca="1" si="0"/>
        <v xml:space="preserve">    (U1)ALERT_REQ_S_ADBZR_SWS_</v>
      </c>
      <c r="AR19" s="59" t="str">
        <f t="shared" si="3"/>
        <v/>
      </c>
      <c r="AS19" s="59" t="str">
        <f t="shared" si="4"/>
        <v/>
      </c>
      <c r="AT19" s="59" t="str">
        <f t="shared" si="1"/>
        <v/>
      </c>
    </row>
    <row r="20" spans="2:49">
      <c r="B20" s="129"/>
      <c r="C20" s="43">
        <f t="shared" si="2"/>
        <v>14</v>
      </c>
      <c r="D20" s="57" t="s">
        <v>69</v>
      </c>
      <c r="E20" s="57" t="s">
        <v>69</v>
      </c>
      <c r="F20" s="57" t="s">
        <v>69</v>
      </c>
      <c r="G20" s="57" t="s">
        <v>69</v>
      </c>
      <c r="H20" s="57" t="s">
        <v>69</v>
      </c>
      <c r="I20" s="57" t="s">
        <v>69</v>
      </c>
      <c r="J20" s="57" t="s">
        <v>69</v>
      </c>
      <c r="K20" s="57" t="s">
        <v>69</v>
      </c>
      <c r="L20" s="57" t="s">
        <v>69</v>
      </c>
      <c r="M20" s="57" t="s">
        <v>69</v>
      </c>
      <c r="N20" s="57" t="s">
        <v>69</v>
      </c>
      <c r="O20" s="57" t="s">
        <v>69</v>
      </c>
      <c r="P20" s="57" t="s">
        <v>69</v>
      </c>
      <c r="Q20" s="57" t="s">
        <v>69</v>
      </c>
      <c r="R20" s="57" t="s">
        <v>69</v>
      </c>
      <c r="S20" s="57" t="s">
        <v>69</v>
      </c>
      <c r="T20" s="57" t="s">
        <v>69</v>
      </c>
      <c r="U20" s="57" t="s">
        <v>69</v>
      </c>
      <c r="V20" s="57" t="s">
        <v>69</v>
      </c>
      <c r="W20" s="57" t="s">
        <v>69</v>
      </c>
      <c r="X20" s="57" t="s">
        <v>69</v>
      </c>
      <c r="Y20" s="57" t="s">
        <v>69</v>
      </c>
      <c r="Z20" s="57" t="s">
        <v>69</v>
      </c>
      <c r="AA20" s="57" t="s">
        <v>69</v>
      </c>
      <c r="AB20" s="57" t="s">
        <v>69</v>
      </c>
      <c r="AC20" s="57" t="s">
        <v>69</v>
      </c>
      <c r="AD20" s="57" t="s">
        <v>69</v>
      </c>
      <c r="AE20" s="57" t="s">
        <v>192</v>
      </c>
      <c r="AF20" s="57" t="s">
        <v>192</v>
      </c>
      <c r="AG20" s="57" t="s">
        <v>192</v>
      </c>
      <c r="AH20" s="57" t="s">
        <v>192</v>
      </c>
      <c r="AI20" s="57" t="s">
        <v>192</v>
      </c>
      <c r="AJ20" s="24"/>
      <c r="AL20" t="str">
        <f t="shared" ca="1" si="0"/>
        <v xml:space="preserve">    (U1)ALERT_REQ_S_ADBZR_SWS_</v>
      </c>
      <c r="AR20" s="59" t="str">
        <f t="shared" si="3"/>
        <v/>
      </c>
      <c r="AS20" s="59" t="str">
        <f t="shared" si="4"/>
        <v/>
      </c>
      <c r="AT20" s="59" t="str">
        <f t="shared" si="1"/>
        <v/>
      </c>
    </row>
    <row r="21" spans="2:49">
      <c r="B21" s="129"/>
      <c r="C21" s="43">
        <f t="shared" si="2"/>
        <v>15</v>
      </c>
      <c r="D21" s="57" t="s">
        <v>69</v>
      </c>
      <c r="E21" s="57" t="s">
        <v>69</v>
      </c>
      <c r="F21" s="57" t="s">
        <v>69</v>
      </c>
      <c r="G21" s="57" t="s">
        <v>69</v>
      </c>
      <c r="H21" s="57" t="s">
        <v>69</v>
      </c>
      <c r="I21" s="57" t="s">
        <v>69</v>
      </c>
      <c r="J21" s="57" t="s">
        <v>69</v>
      </c>
      <c r="K21" s="57" t="s">
        <v>69</v>
      </c>
      <c r="L21" s="57" t="s">
        <v>69</v>
      </c>
      <c r="M21" s="57" t="s">
        <v>69</v>
      </c>
      <c r="N21" s="57" t="s">
        <v>69</v>
      </c>
      <c r="O21" s="57" t="s">
        <v>69</v>
      </c>
      <c r="P21" s="57" t="s">
        <v>69</v>
      </c>
      <c r="Q21" s="57" t="s">
        <v>69</v>
      </c>
      <c r="R21" s="57" t="s">
        <v>69</v>
      </c>
      <c r="S21" s="57" t="s">
        <v>69</v>
      </c>
      <c r="T21" s="57" t="s">
        <v>69</v>
      </c>
      <c r="U21" s="57" t="s">
        <v>69</v>
      </c>
      <c r="V21" s="57" t="s">
        <v>69</v>
      </c>
      <c r="W21" s="57" t="s">
        <v>69</v>
      </c>
      <c r="X21" s="57" t="s">
        <v>69</v>
      </c>
      <c r="Y21" s="57" t="s">
        <v>69</v>
      </c>
      <c r="Z21" s="57" t="s">
        <v>69</v>
      </c>
      <c r="AA21" s="57" t="s">
        <v>69</v>
      </c>
      <c r="AB21" s="57" t="s">
        <v>69</v>
      </c>
      <c r="AC21" s="57" t="s">
        <v>69</v>
      </c>
      <c r="AD21" s="57" t="s">
        <v>69</v>
      </c>
      <c r="AE21" s="57" t="s">
        <v>192</v>
      </c>
      <c r="AF21" s="57" t="s">
        <v>192</v>
      </c>
      <c r="AG21" s="57" t="s">
        <v>192</v>
      </c>
      <c r="AH21" s="57" t="s">
        <v>192</v>
      </c>
      <c r="AI21" s="57" t="s">
        <v>192</v>
      </c>
      <c r="AJ21" s="24"/>
      <c r="AL21" t="str">
        <f t="shared" ca="1" si="0"/>
        <v xml:space="preserve">    (U1)ALERT_REQ_S_ADBZR_SWS_</v>
      </c>
      <c r="AR21" s="59" t="str">
        <f t="shared" si="3"/>
        <v/>
      </c>
      <c r="AS21" s="59" t="str">
        <f t="shared" si="4"/>
        <v/>
      </c>
      <c r="AT21" s="59" t="str">
        <f t="shared" si="1"/>
        <v/>
      </c>
    </row>
    <row r="22" spans="2:49">
      <c r="B22" s="129"/>
      <c r="C22" s="43">
        <f t="shared" si="2"/>
        <v>16</v>
      </c>
      <c r="D22" s="57" t="s">
        <v>69</v>
      </c>
      <c r="E22" s="57" t="s">
        <v>69</v>
      </c>
      <c r="F22" s="57" t="s">
        <v>69</v>
      </c>
      <c r="G22" s="57" t="s">
        <v>69</v>
      </c>
      <c r="H22" s="57" t="s">
        <v>69</v>
      </c>
      <c r="I22" s="57" t="s">
        <v>69</v>
      </c>
      <c r="J22" s="57" t="s">
        <v>69</v>
      </c>
      <c r="K22" s="57" t="s">
        <v>69</v>
      </c>
      <c r="L22" s="57" t="s">
        <v>69</v>
      </c>
      <c r="M22" s="57" t="s">
        <v>69</v>
      </c>
      <c r="N22" s="57" t="s">
        <v>69</v>
      </c>
      <c r="O22" s="57" t="s">
        <v>69</v>
      </c>
      <c r="P22" s="57" t="s">
        <v>69</v>
      </c>
      <c r="Q22" s="57" t="s">
        <v>69</v>
      </c>
      <c r="R22" s="57" t="s">
        <v>69</v>
      </c>
      <c r="S22" s="57" t="s">
        <v>69</v>
      </c>
      <c r="T22" s="57" t="s">
        <v>69</v>
      </c>
      <c r="U22" s="57" t="s">
        <v>69</v>
      </c>
      <c r="V22" s="57" t="s">
        <v>69</v>
      </c>
      <c r="W22" s="57" t="s">
        <v>69</v>
      </c>
      <c r="X22" s="57" t="s">
        <v>69</v>
      </c>
      <c r="Y22" s="57" t="s">
        <v>69</v>
      </c>
      <c r="Z22" s="57" t="s">
        <v>69</v>
      </c>
      <c r="AA22" s="57" t="s">
        <v>69</v>
      </c>
      <c r="AB22" s="57" t="s">
        <v>69</v>
      </c>
      <c r="AC22" s="57" t="s">
        <v>69</v>
      </c>
      <c r="AD22" s="57" t="s">
        <v>69</v>
      </c>
      <c r="AE22" s="57" t="s">
        <v>192</v>
      </c>
      <c r="AF22" s="57" t="s">
        <v>192</v>
      </c>
      <c r="AG22" s="57" t="s">
        <v>192</v>
      </c>
      <c r="AH22" s="57" t="s">
        <v>192</v>
      </c>
      <c r="AI22" s="57" t="s">
        <v>192</v>
      </c>
      <c r="AJ22" s="24"/>
      <c r="AL22" t="str">
        <f t="shared" ca="1" si="0"/>
        <v xml:space="preserve">    (U1)ALERT_REQ_S_ADBZR_SWS_</v>
      </c>
      <c r="AR22" s="59" t="str">
        <f t="shared" si="3"/>
        <v/>
      </c>
      <c r="AS22" s="59" t="str">
        <f t="shared" si="4"/>
        <v/>
      </c>
      <c r="AT22" s="59" t="str">
        <f t="shared" si="1"/>
        <v/>
      </c>
    </row>
    <row r="23" spans="2:49">
      <c r="B23" s="129"/>
      <c r="C23" s="43">
        <f t="shared" si="2"/>
        <v>17</v>
      </c>
      <c r="D23" s="57" t="s">
        <v>69</v>
      </c>
      <c r="E23" s="57" t="s">
        <v>69</v>
      </c>
      <c r="F23" s="57" t="s">
        <v>69</v>
      </c>
      <c r="G23" s="57" t="s">
        <v>69</v>
      </c>
      <c r="H23" s="57" t="s">
        <v>69</v>
      </c>
      <c r="I23" s="57" t="s">
        <v>69</v>
      </c>
      <c r="J23" s="57" t="s">
        <v>69</v>
      </c>
      <c r="K23" s="57" t="s">
        <v>69</v>
      </c>
      <c r="L23" s="57" t="s">
        <v>69</v>
      </c>
      <c r="M23" s="57" t="s">
        <v>69</v>
      </c>
      <c r="N23" s="57" t="s">
        <v>69</v>
      </c>
      <c r="O23" s="57" t="s">
        <v>69</v>
      </c>
      <c r="P23" s="57" t="s">
        <v>69</v>
      </c>
      <c r="Q23" s="57" t="s">
        <v>69</v>
      </c>
      <c r="R23" s="57" t="s">
        <v>69</v>
      </c>
      <c r="S23" s="57" t="s">
        <v>69</v>
      </c>
      <c r="T23" s="57" t="s">
        <v>69</v>
      </c>
      <c r="U23" s="57" t="s">
        <v>69</v>
      </c>
      <c r="V23" s="57" t="s">
        <v>69</v>
      </c>
      <c r="W23" s="57" t="s">
        <v>69</v>
      </c>
      <c r="X23" s="57" t="s">
        <v>69</v>
      </c>
      <c r="Y23" s="57" t="s">
        <v>69</v>
      </c>
      <c r="Z23" s="57" t="s">
        <v>69</v>
      </c>
      <c r="AA23" s="57" t="s">
        <v>69</v>
      </c>
      <c r="AB23" s="57" t="s">
        <v>69</v>
      </c>
      <c r="AC23" s="57" t="s">
        <v>69</v>
      </c>
      <c r="AD23" s="57" t="s">
        <v>69</v>
      </c>
      <c r="AE23" s="57" t="s">
        <v>192</v>
      </c>
      <c r="AF23" s="57" t="s">
        <v>192</v>
      </c>
      <c r="AG23" s="57" t="s">
        <v>192</v>
      </c>
      <c r="AH23" s="57" t="s">
        <v>192</v>
      </c>
      <c r="AI23" s="57" t="s">
        <v>192</v>
      </c>
      <c r="AJ23" s="24"/>
      <c r="AL23" t="str">
        <f t="shared" ca="1" si="0"/>
        <v xml:space="preserve">    (U1)ALERT_REQ_S_ADBZR_SWS_</v>
      </c>
      <c r="AR23" s="59" t="str">
        <f t="shared" si="3"/>
        <v/>
      </c>
      <c r="AS23" s="59" t="str">
        <f t="shared" si="4"/>
        <v/>
      </c>
      <c r="AT23" s="59" t="str">
        <f t="shared" si="1"/>
        <v/>
      </c>
    </row>
    <row r="24" spans="2:49">
      <c r="B24" s="129"/>
      <c r="C24" s="43">
        <f t="shared" si="2"/>
        <v>18</v>
      </c>
      <c r="D24" s="57" t="s">
        <v>69</v>
      </c>
      <c r="E24" s="57" t="s">
        <v>69</v>
      </c>
      <c r="F24" s="57" t="s">
        <v>69</v>
      </c>
      <c r="G24" s="57" t="s">
        <v>69</v>
      </c>
      <c r="H24" s="57" t="s">
        <v>69</v>
      </c>
      <c r="I24" s="57" t="s">
        <v>69</v>
      </c>
      <c r="J24" s="57" t="s">
        <v>69</v>
      </c>
      <c r="K24" s="57" t="s">
        <v>69</v>
      </c>
      <c r="L24" s="57" t="s">
        <v>69</v>
      </c>
      <c r="M24" s="57" t="s">
        <v>69</v>
      </c>
      <c r="N24" s="57" t="s">
        <v>69</v>
      </c>
      <c r="O24" s="57" t="s">
        <v>69</v>
      </c>
      <c r="P24" s="57" t="s">
        <v>69</v>
      </c>
      <c r="Q24" s="57" t="s">
        <v>69</v>
      </c>
      <c r="R24" s="57" t="s">
        <v>69</v>
      </c>
      <c r="S24" s="57" t="s">
        <v>69</v>
      </c>
      <c r="T24" s="57" t="s">
        <v>69</v>
      </c>
      <c r="U24" s="57" t="s">
        <v>69</v>
      </c>
      <c r="V24" s="57" t="s">
        <v>69</v>
      </c>
      <c r="W24" s="57" t="s">
        <v>69</v>
      </c>
      <c r="X24" s="57" t="s">
        <v>69</v>
      </c>
      <c r="Y24" s="57" t="s">
        <v>69</v>
      </c>
      <c r="Z24" s="57" t="s">
        <v>69</v>
      </c>
      <c r="AA24" s="57" t="s">
        <v>69</v>
      </c>
      <c r="AB24" s="57" t="s">
        <v>69</v>
      </c>
      <c r="AC24" s="57" t="s">
        <v>69</v>
      </c>
      <c r="AD24" s="57" t="s">
        <v>69</v>
      </c>
      <c r="AE24" s="57" t="s">
        <v>192</v>
      </c>
      <c r="AF24" s="57" t="s">
        <v>192</v>
      </c>
      <c r="AG24" s="57" t="s">
        <v>192</v>
      </c>
      <c r="AH24" s="57" t="s">
        <v>192</v>
      </c>
      <c r="AI24" s="57" t="s">
        <v>192</v>
      </c>
      <c r="AJ24" s="24"/>
      <c r="AL24" t="str">
        <f t="shared" ca="1" si="0"/>
        <v xml:space="preserve">    (U1)ALERT_REQ_S_ADBZR_SWS_</v>
      </c>
      <c r="AR24" s="59" t="str">
        <f t="shared" si="3"/>
        <v/>
      </c>
      <c r="AS24" s="59" t="str">
        <f t="shared" si="4"/>
        <v/>
      </c>
      <c r="AT24" s="59" t="str">
        <f t="shared" si="1"/>
        <v/>
      </c>
    </row>
    <row r="25" spans="2:49">
      <c r="B25" s="129"/>
      <c r="C25" s="43">
        <f t="shared" si="2"/>
        <v>19</v>
      </c>
      <c r="D25" s="57" t="s">
        <v>69</v>
      </c>
      <c r="E25" s="57" t="s">
        <v>69</v>
      </c>
      <c r="F25" s="57" t="s">
        <v>69</v>
      </c>
      <c r="G25" s="57" t="s">
        <v>69</v>
      </c>
      <c r="H25" s="57" t="s">
        <v>69</v>
      </c>
      <c r="I25" s="57" t="s">
        <v>69</v>
      </c>
      <c r="J25" s="57" t="s">
        <v>69</v>
      </c>
      <c r="K25" s="57" t="s">
        <v>69</v>
      </c>
      <c r="L25" s="57" t="s">
        <v>69</v>
      </c>
      <c r="M25" s="57" t="s">
        <v>69</v>
      </c>
      <c r="N25" s="57" t="s">
        <v>69</v>
      </c>
      <c r="O25" s="57" t="s">
        <v>69</v>
      </c>
      <c r="P25" s="57" t="s">
        <v>69</v>
      </c>
      <c r="Q25" s="57" t="s">
        <v>69</v>
      </c>
      <c r="R25" s="57" t="s">
        <v>69</v>
      </c>
      <c r="S25" s="57" t="s">
        <v>69</v>
      </c>
      <c r="T25" s="57" t="s">
        <v>69</v>
      </c>
      <c r="U25" s="57" t="s">
        <v>69</v>
      </c>
      <c r="V25" s="57" t="s">
        <v>69</v>
      </c>
      <c r="W25" s="57" t="s">
        <v>69</v>
      </c>
      <c r="X25" s="57" t="s">
        <v>69</v>
      </c>
      <c r="Y25" s="57" t="s">
        <v>69</v>
      </c>
      <c r="Z25" s="57" t="s">
        <v>69</v>
      </c>
      <c r="AA25" s="57" t="s">
        <v>69</v>
      </c>
      <c r="AB25" s="57" t="s">
        <v>69</v>
      </c>
      <c r="AC25" s="57" t="s">
        <v>69</v>
      </c>
      <c r="AD25" s="57" t="s">
        <v>69</v>
      </c>
      <c r="AE25" s="57" t="s">
        <v>192</v>
      </c>
      <c r="AF25" s="57" t="s">
        <v>192</v>
      </c>
      <c r="AG25" s="57" t="s">
        <v>192</v>
      </c>
      <c r="AH25" s="57" t="s">
        <v>192</v>
      </c>
      <c r="AI25" s="57" t="s">
        <v>192</v>
      </c>
      <c r="AJ25" s="24"/>
      <c r="AL25" t="str">
        <f t="shared" ca="1" si="0"/>
        <v xml:space="preserve">    (U1)ALERT_REQ_S_ADBZR_SWS_</v>
      </c>
      <c r="AR25" s="59" t="str">
        <f t="shared" si="3"/>
        <v/>
      </c>
      <c r="AS25" s="59" t="str">
        <f t="shared" si="4"/>
        <v/>
      </c>
      <c r="AT25" s="59" t="str">
        <f t="shared" si="1"/>
        <v/>
      </c>
    </row>
    <row r="26" spans="2:49">
      <c r="B26" s="129"/>
      <c r="C26" s="43">
        <f t="shared" si="2"/>
        <v>20</v>
      </c>
      <c r="D26" s="57" t="s">
        <v>69</v>
      </c>
      <c r="E26" s="57" t="s">
        <v>69</v>
      </c>
      <c r="F26" s="57" t="s">
        <v>69</v>
      </c>
      <c r="G26" s="57" t="s">
        <v>69</v>
      </c>
      <c r="H26" s="57" t="s">
        <v>69</v>
      </c>
      <c r="I26" s="57" t="s">
        <v>69</v>
      </c>
      <c r="J26" s="57" t="s">
        <v>69</v>
      </c>
      <c r="K26" s="57" t="s">
        <v>69</v>
      </c>
      <c r="L26" s="57" t="s">
        <v>69</v>
      </c>
      <c r="M26" s="57" t="s">
        <v>69</v>
      </c>
      <c r="N26" s="57" t="s">
        <v>69</v>
      </c>
      <c r="O26" s="57" t="s">
        <v>69</v>
      </c>
      <c r="P26" s="57" t="s">
        <v>69</v>
      </c>
      <c r="Q26" s="57" t="s">
        <v>69</v>
      </c>
      <c r="R26" s="57" t="s">
        <v>69</v>
      </c>
      <c r="S26" s="57" t="s">
        <v>69</v>
      </c>
      <c r="T26" s="57" t="s">
        <v>69</v>
      </c>
      <c r="U26" s="57" t="s">
        <v>69</v>
      </c>
      <c r="V26" s="57" t="s">
        <v>69</v>
      </c>
      <c r="W26" s="57" t="s">
        <v>69</v>
      </c>
      <c r="X26" s="57" t="s">
        <v>69</v>
      </c>
      <c r="Y26" s="57" t="s">
        <v>69</v>
      </c>
      <c r="Z26" s="57" t="s">
        <v>69</v>
      </c>
      <c r="AA26" s="57" t="s">
        <v>69</v>
      </c>
      <c r="AB26" s="57" t="s">
        <v>69</v>
      </c>
      <c r="AC26" s="57" t="s">
        <v>69</v>
      </c>
      <c r="AD26" s="57" t="s">
        <v>69</v>
      </c>
      <c r="AE26" s="57" t="s">
        <v>192</v>
      </c>
      <c r="AF26" s="57" t="s">
        <v>192</v>
      </c>
      <c r="AG26" s="57" t="s">
        <v>192</v>
      </c>
      <c r="AH26" s="57" t="s">
        <v>192</v>
      </c>
      <c r="AI26" s="57" t="s">
        <v>192</v>
      </c>
      <c r="AJ26" s="24"/>
      <c r="AL26" t="str">
        <f t="shared" ca="1" si="0"/>
        <v xml:space="preserve">    (U1)ALERT_REQ_S_ADBZR_SWS_</v>
      </c>
      <c r="AR26" s="59" t="str">
        <f t="shared" si="3"/>
        <v/>
      </c>
      <c r="AS26" s="59" t="str">
        <f t="shared" si="4"/>
        <v/>
      </c>
      <c r="AT26" s="59" t="str">
        <f t="shared" si="1"/>
        <v/>
      </c>
    </row>
    <row r="27" spans="2:49">
      <c r="B27" s="129"/>
      <c r="C27" s="43">
        <f t="shared" si="2"/>
        <v>21</v>
      </c>
      <c r="D27" s="57" t="s">
        <v>69</v>
      </c>
      <c r="E27" s="57" t="s">
        <v>69</v>
      </c>
      <c r="F27" s="57" t="s">
        <v>69</v>
      </c>
      <c r="G27" s="57" t="s">
        <v>69</v>
      </c>
      <c r="H27" s="57" t="s">
        <v>69</v>
      </c>
      <c r="I27" s="57" t="s">
        <v>69</v>
      </c>
      <c r="J27" s="57" t="s">
        <v>69</v>
      </c>
      <c r="K27" s="57" t="s">
        <v>69</v>
      </c>
      <c r="L27" s="57" t="s">
        <v>69</v>
      </c>
      <c r="M27" s="57" t="s">
        <v>69</v>
      </c>
      <c r="N27" s="57" t="s">
        <v>69</v>
      </c>
      <c r="O27" s="57" t="s">
        <v>69</v>
      </c>
      <c r="P27" s="57" t="s">
        <v>69</v>
      </c>
      <c r="Q27" s="57" t="s">
        <v>69</v>
      </c>
      <c r="R27" s="57" t="s">
        <v>69</v>
      </c>
      <c r="S27" s="57" t="s">
        <v>69</v>
      </c>
      <c r="T27" s="57" t="s">
        <v>69</v>
      </c>
      <c r="U27" s="57" t="s">
        <v>69</v>
      </c>
      <c r="V27" s="57" t="s">
        <v>69</v>
      </c>
      <c r="W27" s="57" t="s">
        <v>69</v>
      </c>
      <c r="X27" s="57" t="s">
        <v>69</v>
      </c>
      <c r="Y27" s="57" t="s">
        <v>69</v>
      </c>
      <c r="Z27" s="57" t="s">
        <v>69</v>
      </c>
      <c r="AA27" s="57" t="s">
        <v>69</v>
      </c>
      <c r="AB27" s="57" t="s">
        <v>69</v>
      </c>
      <c r="AC27" s="57" t="s">
        <v>69</v>
      </c>
      <c r="AD27" s="57" t="s">
        <v>69</v>
      </c>
      <c r="AE27" s="57" t="s">
        <v>192</v>
      </c>
      <c r="AF27" s="57" t="s">
        <v>192</v>
      </c>
      <c r="AG27" s="57" t="s">
        <v>192</v>
      </c>
      <c r="AH27" s="57" t="s">
        <v>192</v>
      </c>
      <c r="AI27" s="57" t="s">
        <v>192</v>
      </c>
      <c r="AJ27" s="24"/>
      <c r="AL27" t="str">
        <f t="shared" ca="1" si="0"/>
        <v xml:space="preserve">    (U1)ALERT_REQ_S_ADBZR_SWS_</v>
      </c>
      <c r="AR27" s="59" t="str">
        <f t="shared" si="3"/>
        <v/>
      </c>
      <c r="AS27" s="59" t="str">
        <f t="shared" si="4"/>
        <v/>
      </c>
      <c r="AT27" s="59" t="str">
        <f t="shared" si="1"/>
        <v/>
      </c>
    </row>
    <row r="28" spans="2:49">
      <c r="B28" s="129"/>
      <c r="C28" s="43">
        <f t="shared" si="2"/>
        <v>22</v>
      </c>
      <c r="D28" s="57" t="s">
        <v>69</v>
      </c>
      <c r="E28" s="57" t="s">
        <v>69</v>
      </c>
      <c r="F28" s="57" t="s">
        <v>69</v>
      </c>
      <c r="G28" s="57" t="s">
        <v>69</v>
      </c>
      <c r="H28" s="57" t="s">
        <v>69</v>
      </c>
      <c r="I28" s="57" t="s">
        <v>69</v>
      </c>
      <c r="J28" s="57" t="s">
        <v>69</v>
      </c>
      <c r="K28" s="57" t="s">
        <v>69</v>
      </c>
      <c r="L28" s="57" t="s">
        <v>69</v>
      </c>
      <c r="M28" s="57" t="s">
        <v>69</v>
      </c>
      <c r="N28" s="57" t="s">
        <v>69</v>
      </c>
      <c r="O28" s="57" t="s">
        <v>69</v>
      </c>
      <c r="P28" s="57" t="s">
        <v>69</v>
      </c>
      <c r="Q28" s="57" t="s">
        <v>69</v>
      </c>
      <c r="R28" s="57" t="s">
        <v>69</v>
      </c>
      <c r="S28" s="57" t="s">
        <v>69</v>
      </c>
      <c r="T28" s="57" t="s">
        <v>69</v>
      </c>
      <c r="U28" s="57" t="s">
        <v>69</v>
      </c>
      <c r="V28" s="57" t="s">
        <v>69</v>
      </c>
      <c r="W28" s="57" t="s">
        <v>69</v>
      </c>
      <c r="X28" s="57" t="s">
        <v>69</v>
      </c>
      <c r="Y28" s="57" t="s">
        <v>69</v>
      </c>
      <c r="Z28" s="57" t="s">
        <v>69</v>
      </c>
      <c r="AA28" s="57" t="s">
        <v>69</v>
      </c>
      <c r="AB28" s="57" t="s">
        <v>69</v>
      </c>
      <c r="AC28" s="57" t="s">
        <v>69</v>
      </c>
      <c r="AD28" s="57" t="s">
        <v>69</v>
      </c>
      <c r="AE28" s="57" t="s">
        <v>192</v>
      </c>
      <c r="AF28" s="57" t="s">
        <v>192</v>
      </c>
      <c r="AG28" s="57" t="s">
        <v>192</v>
      </c>
      <c r="AH28" s="57" t="s">
        <v>192</v>
      </c>
      <c r="AI28" s="57" t="s">
        <v>192</v>
      </c>
      <c r="AJ28" s="24"/>
      <c r="AL28" t="str">
        <f t="shared" ca="1" si="0"/>
        <v xml:space="preserve">    (U1)ALERT_REQ_S_ADBZR_SWS_</v>
      </c>
      <c r="AR28" s="59" t="str">
        <f t="shared" si="3"/>
        <v/>
      </c>
      <c r="AS28" s="59" t="str">
        <f t="shared" si="4"/>
        <v/>
      </c>
      <c r="AT28" s="59" t="str">
        <f t="shared" si="1"/>
        <v/>
      </c>
    </row>
    <row r="29" spans="2:49">
      <c r="B29" s="129"/>
      <c r="C29" s="43">
        <f t="shared" si="2"/>
        <v>23</v>
      </c>
      <c r="D29" s="57" t="s">
        <v>69</v>
      </c>
      <c r="E29" s="57" t="s">
        <v>69</v>
      </c>
      <c r="F29" s="57" t="s">
        <v>69</v>
      </c>
      <c r="G29" s="57" t="s">
        <v>69</v>
      </c>
      <c r="H29" s="57" t="s">
        <v>69</v>
      </c>
      <c r="I29" s="57" t="s">
        <v>69</v>
      </c>
      <c r="J29" s="57" t="s">
        <v>69</v>
      </c>
      <c r="K29" s="57" t="s">
        <v>69</v>
      </c>
      <c r="L29" s="57" t="s">
        <v>69</v>
      </c>
      <c r="M29" s="57" t="s">
        <v>69</v>
      </c>
      <c r="N29" s="57" t="s">
        <v>69</v>
      </c>
      <c r="O29" s="57" t="s">
        <v>69</v>
      </c>
      <c r="P29" s="57" t="s">
        <v>69</v>
      </c>
      <c r="Q29" s="57" t="s">
        <v>69</v>
      </c>
      <c r="R29" s="57" t="s">
        <v>69</v>
      </c>
      <c r="S29" s="57" t="s">
        <v>69</v>
      </c>
      <c r="T29" s="57" t="s">
        <v>69</v>
      </c>
      <c r="U29" s="57" t="s">
        <v>69</v>
      </c>
      <c r="V29" s="57" t="s">
        <v>69</v>
      </c>
      <c r="W29" s="57" t="s">
        <v>69</v>
      </c>
      <c r="X29" s="57" t="s">
        <v>69</v>
      </c>
      <c r="Y29" s="57" t="s">
        <v>69</v>
      </c>
      <c r="Z29" s="57" t="s">
        <v>69</v>
      </c>
      <c r="AA29" s="57" t="s">
        <v>69</v>
      </c>
      <c r="AB29" s="57" t="s">
        <v>69</v>
      </c>
      <c r="AC29" s="57" t="s">
        <v>69</v>
      </c>
      <c r="AD29" s="57" t="s">
        <v>69</v>
      </c>
      <c r="AE29" s="57" t="s">
        <v>192</v>
      </c>
      <c r="AF29" s="57" t="s">
        <v>192</v>
      </c>
      <c r="AG29" s="57" t="s">
        <v>192</v>
      </c>
      <c r="AH29" s="57" t="s">
        <v>192</v>
      </c>
      <c r="AI29" s="57" t="s">
        <v>192</v>
      </c>
      <c r="AJ29" s="24"/>
      <c r="AL29" t="str">
        <f t="shared" ca="1" si="0"/>
        <v xml:space="preserve">    (U1)ALERT_REQ_S_ADBZR_SWS_</v>
      </c>
      <c r="AR29" s="59" t="str">
        <f t="shared" si="3"/>
        <v/>
      </c>
      <c r="AS29" s="59" t="str">
        <f t="shared" si="4"/>
        <v/>
      </c>
      <c r="AT29" s="59" t="str">
        <f t="shared" si="1"/>
        <v/>
      </c>
    </row>
    <row r="30" spans="2:49">
      <c r="B30" s="129"/>
      <c r="C30" s="43">
        <f t="shared" si="2"/>
        <v>24</v>
      </c>
      <c r="D30" s="57" t="s">
        <v>69</v>
      </c>
      <c r="E30" s="57" t="s">
        <v>69</v>
      </c>
      <c r="F30" s="57" t="s">
        <v>69</v>
      </c>
      <c r="G30" s="57" t="s">
        <v>69</v>
      </c>
      <c r="H30" s="57" t="s">
        <v>69</v>
      </c>
      <c r="I30" s="57" t="s">
        <v>69</v>
      </c>
      <c r="J30" s="57" t="s">
        <v>69</v>
      </c>
      <c r="K30" s="57" t="s">
        <v>69</v>
      </c>
      <c r="L30" s="57" t="s">
        <v>69</v>
      </c>
      <c r="M30" s="57" t="s">
        <v>69</v>
      </c>
      <c r="N30" s="57" t="s">
        <v>69</v>
      </c>
      <c r="O30" s="57" t="s">
        <v>69</v>
      </c>
      <c r="P30" s="57" t="s">
        <v>69</v>
      </c>
      <c r="Q30" s="57" t="s">
        <v>69</v>
      </c>
      <c r="R30" s="57" t="s">
        <v>69</v>
      </c>
      <c r="S30" s="57" t="s">
        <v>69</v>
      </c>
      <c r="T30" s="57" t="s">
        <v>69</v>
      </c>
      <c r="U30" s="57" t="s">
        <v>69</v>
      </c>
      <c r="V30" s="57" t="s">
        <v>69</v>
      </c>
      <c r="W30" s="57" t="s">
        <v>69</v>
      </c>
      <c r="X30" s="57" t="s">
        <v>69</v>
      </c>
      <c r="Y30" s="57" t="s">
        <v>69</v>
      </c>
      <c r="Z30" s="57" t="s">
        <v>69</v>
      </c>
      <c r="AA30" s="57" t="s">
        <v>69</v>
      </c>
      <c r="AB30" s="57" t="s">
        <v>69</v>
      </c>
      <c r="AC30" s="57" t="s">
        <v>69</v>
      </c>
      <c r="AD30" s="57" t="s">
        <v>69</v>
      </c>
      <c r="AE30" s="57" t="s">
        <v>192</v>
      </c>
      <c r="AF30" s="57" t="s">
        <v>192</v>
      </c>
      <c r="AG30" s="57" t="s">
        <v>192</v>
      </c>
      <c r="AH30" s="57" t="s">
        <v>192</v>
      </c>
      <c r="AI30" s="57" t="s">
        <v>192</v>
      </c>
      <c r="AJ30" s="24"/>
      <c r="AL30" t="str">
        <f t="shared" ca="1" si="0"/>
        <v xml:space="preserve">    (U1)ALERT_REQ_S_ADBZR_SWS_</v>
      </c>
      <c r="AR30" s="59" t="str">
        <f t="shared" si="3"/>
        <v/>
      </c>
      <c r="AS30" s="59" t="str">
        <f t="shared" si="4"/>
        <v/>
      </c>
      <c r="AT30" s="59" t="str">
        <f t="shared" si="1"/>
        <v/>
      </c>
    </row>
    <row r="31" spans="2:49">
      <c r="B31" s="129"/>
      <c r="C31" s="43">
        <f t="shared" si="2"/>
        <v>25</v>
      </c>
      <c r="D31" s="57" t="s">
        <v>69</v>
      </c>
      <c r="E31" s="57" t="s">
        <v>69</v>
      </c>
      <c r="F31" s="57" t="s">
        <v>69</v>
      </c>
      <c r="G31" s="57" t="s">
        <v>69</v>
      </c>
      <c r="H31" s="57" t="s">
        <v>69</v>
      </c>
      <c r="I31" s="57" t="s">
        <v>69</v>
      </c>
      <c r="J31" s="57" t="s">
        <v>69</v>
      </c>
      <c r="K31" s="57" t="s">
        <v>69</v>
      </c>
      <c r="L31" s="57" t="s">
        <v>69</v>
      </c>
      <c r="M31" s="57" t="s">
        <v>69</v>
      </c>
      <c r="N31" s="57" t="s">
        <v>69</v>
      </c>
      <c r="O31" s="57" t="s">
        <v>69</v>
      </c>
      <c r="P31" s="57" t="s">
        <v>69</v>
      </c>
      <c r="Q31" s="57" t="s">
        <v>69</v>
      </c>
      <c r="R31" s="57" t="s">
        <v>69</v>
      </c>
      <c r="S31" s="57" t="s">
        <v>69</v>
      </c>
      <c r="T31" s="57" t="s">
        <v>69</v>
      </c>
      <c r="U31" s="57" t="s">
        <v>69</v>
      </c>
      <c r="V31" s="57" t="s">
        <v>69</v>
      </c>
      <c r="W31" s="57" t="s">
        <v>69</v>
      </c>
      <c r="X31" s="57" t="s">
        <v>69</v>
      </c>
      <c r="Y31" s="57" t="s">
        <v>69</v>
      </c>
      <c r="Z31" s="57" t="s">
        <v>69</v>
      </c>
      <c r="AA31" s="57" t="s">
        <v>69</v>
      </c>
      <c r="AB31" s="57" t="s">
        <v>69</v>
      </c>
      <c r="AC31" s="57" t="s">
        <v>69</v>
      </c>
      <c r="AD31" s="57" t="s">
        <v>69</v>
      </c>
      <c r="AE31" s="57" t="s">
        <v>192</v>
      </c>
      <c r="AF31" s="57" t="s">
        <v>192</v>
      </c>
      <c r="AG31" s="57" t="s">
        <v>192</v>
      </c>
      <c r="AH31" s="57" t="s">
        <v>192</v>
      </c>
      <c r="AI31" s="57" t="s">
        <v>192</v>
      </c>
      <c r="AJ31" s="24"/>
      <c r="AL31" t="str">
        <f t="shared" ca="1" si="0"/>
        <v xml:space="preserve">    (U1)ALERT_REQ_S_ADBZR_SWS_</v>
      </c>
      <c r="AR31" s="59" t="str">
        <f t="shared" si="3"/>
        <v/>
      </c>
      <c r="AS31" s="59" t="str">
        <f t="shared" si="4"/>
        <v/>
      </c>
      <c r="AT31" s="59" t="str">
        <f t="shared" si="1"/>
        <v/>
      </c>
    </row>
    <row r="32" spans="2:49">
      <c r="B32" s="129"/>
      <c r="C32" s="43">
        <f t="shared" si="2"/>
        <v>26</v>
      </c>
      <c r="D32" s="57" t="s">
        <v>69</v>
      </c>
      <c r="E32" s="57" t="s">
        <v>69</v>
      </c>
      <c r="F32" s="57" t="s">
        <v>69</v>
      </c>
      <c r="G32" s="57" t="s">
        <v>69</v>
      </c>
      <c r="H32" s="57" t="s">
        <v>69</v>
      </c>
      <c r="I32" s="57" t="s">
        <v>69</v>
      </c>
      <c r="J32" s="57" t="s">
        <v>69</v>
      </c>
      <c r="K32" s="57" t="s">
        <v>69</v>
      </c>
      <c r="L32" s="57" t="s">
        <v>69</v>
      </c>
      <c r="M32" s="57" t="s">
        <v>69</v>
      </c>
      <c r="N32" s="57" t="s">
        <v>69</v>
      </c>
      <c r="O32" s="57" t="s">
        <v>69</v>
      </c>
      <c r="P32" s="57" t="s">
        <v>69</v>
      </c>
      <c r="Q32" s="57" t="s">
        <v>69</v>
      </c>
      <c r="R32" s="57" t="s">
        <v>69</v>
      </c>
      <c r="S32" s="57" t="s">
        <v>69</v>
      </c>
      <c r="T32" s="57" t="s">
        <v>69</v>
      </c>
      <c r="U32" s="57" t="s">
        <v>69</v>
      </c>
      <c r="V32" s="57" t="s">
        <v>69</v>
      </c>
      <c r="W32" s="57" t="s">
        <v>69</v>
      </c>
      <c r="X32" s="57" t="s">
        <v>69</v>
      </c>
      <c r="Y32" s="57" t="s">
        <v>69</v>
      </c>
      <c r="Z32" s="57" t="s">
        <v>69</v>
      </c>
      <c r="AA32" s="57" t="s">
        <v>69</v>
      </c>
      <c r="AB32" s="57" t="s">
        <v>69</v>
      </c>
      <c r="AC32" s="57" t="s">
        <v>69</v>
      </c>
      <c r="AD32" s="57" t="s">
        <v>69</v>
      </c>
      <c r="AE32" s="57" t="s">
        <v>192</v>
      </c>
      <c r="AF32" s="57" t="s">
        <v>192</v>
      </c>
      <c r="AG32" s="57" t="s">
        <v>192</v>
      </c>
      <c r="AH32" s="57" t="s">
        <v>192</v>
      </c>
      <c r="AI32" s="57" t="s">
        <v>192</v>
      </c>
      <c r="AJ32" s="24"/>
      <c r="AL32" t="str">
        <f t="shared" ca="1" si="0"/>
        <v xml:space="preserve">    (U1)ALERT_REQ_S_ADBZR_SWS_</v>
      </c>
      <c r="AR32" s="59" t="str">
        <f t="shared" si="3"/>
        <v/>
      </c>
      <c r="AS32" s="59" t="str">
        <f t="shared" si="4"/>
        <v/>
      </c>
      <c r="AT32" s="59" t="str">
        <f t="shared" si="1"/>
        <v/>
      </c>
    </row>
    <row r="33" spans="2:46">
      <c r="B33" s="129"/>
      <c r="C33" s="43">
        <f t="shared" si="2"/>
        <v>27</v>
      </c>
      <c r="D33" s="57" t="s">
        <v>69</v>
      </c>
      <c r="E33" s="57" t="s">
        <v>69</v>
      </c>
      <c r="F33" s="57" t="s">
        <v>69</v>
      </c>
      <c r="G33" s="57" t="s">
        <v>69</v>
      </c>
      <c r="H33" s="57" t="s">
        <v>69</v>
      </c>
      <c r="I33" s="57" t="s">
        <v>69</v>
      </c>
      <c r="J33" s="57" t="s">
        <v>69</v>
      </c>
      <c r="K33" s="57" t="s">
        <v>69</v>
      </c>
      <c r="L33" s="57" t="s">
        <v>69</v>
      </c>
      <c r="M33" s="57" t="s">
        <v>69</v>
      </c>
      <c r="N33" s="57" t="s">
        <v>69</v>
      </c>
      <c r="O33" s="57" t="s">
        <v>69</v>
      </c>
      <c r="P33" s="57" t="s">
        <v>69</v>
      </c>
      <c r="Q33" s="57" t="s">
        <v>69</v>
      </c>
      <c r="R33" s="57" t="s">
        <v>69</v>
      </c>
      <c r="S33" s="57" t="s">
        <v>69</v>
      </c>
      <c r="T33" s="57" t="s">
        <v>69</v>
      </c>
      <c r="U33" s="57" t="s">
        <v>69</v>
      </c>
      <c r="V33" s="57" t="s">
        <v>69</v>
      </c>
      <c r="W33" s="57" t="s">
        <v>69</v>
      </c>
      <c r="X33" s="57" t="s">
        <v>69</v>
      </c>
      <c r="Y33" s="57" t="s">
        <v>69</v>
      </c>
      <c r="Z33" s="57" t="s">
        <v>69</v>
      </c>
      <c r="AA33" s="57" t="s">
        <v>69</v>
      </c>
      <c r="AB33" s="57" t="s">
        <v>69</v>
      </c>
      <c r="AC33" s="57" t="s">
        <v>69</v>
      </c>
      <c r="AD33" s="57" t="s">
        <v>69</v>
      </c>
      <c r="AE33" s="57" t="s">
        <v>192</v>
      </c>
      <c r="AF33" s="57" t="s">
        <v>192</v>
      </c>
      <c r="AG33" s="57" t="s">
        <v>192</v>
      </c>
      <c r="AH33" s="57" t="s">
        <v>192</v>
      </c>
      <c r="AI33" s="57" t="s">
        <v>192</v>
      </c>
      <c r="AJ33" s="24"/>
      <c r="AL33" t="str">
        <f t="shared" ca="1" si="0"/>
        <v xml:space="preserve">    (U1)ALERT_REQ_S_ADBZR_SWS_</v>
      </c>
      <c r="AR33" s="59" t="str">
        <f t="shared" si="3"/>
        <v/>
      </c>
      <c r="AS33" s="59" t="str">
        <f t="shared" si="4"/>
        <v/>
      </c>
      <c r="AT33" s="59" t="str">
        <f t="shared" si="1"/>
        <v/>
      </c>
    </row>
    <row r="34" spans="2:46">
      <c r="B34" s="129"/>
      <c r="C34" s="43">
        <f t="shared" si="2"/>
        <v>28</v>
      </c>
      <c r="D34" s="57" t="s">
        <v>69</v>
      </c>
      <c r="E34" s="57" t="s">
        <v>69</v>
      </c>
      <c r="F34" s="57" t="s">
        <v>69</v>
      </c>
      <c r="G34" s="57" t="s">
        <v>69</v>
      </c>
      <c r="H34" s="57" t="s">
        <v>69</v>
      </c>
      <c r="I34" s="57" t="s">
        <v>69</v>
      </c>
      <c r="J34" s="57" t="s">
        <v>69</v>
      </c>
      <c r="K34" s="57" t="s">
        <v>69</v>
      </c>
      <c r="L34" s="57" t="s">
        <v>69</v>
      </c>
      <c r="M34" s="57" t="s">
        <v>69</v>
      </c>
      <c r="N34" s="57" t="s">
        <v>69</v>
      </c>
      <c r="O34" s="57" t="s">
        <v>69</v>
      </c>
      <c r="P34" s="57" t="s">
        <v>69</v>
      </c>
      <c r="Q34" s="57" t="s">
        <v>69</v>
      </c>
      <c r="R34" s="57" t="s">
        <v>69</v>
      </c>
      <c r="S34" s="57" t="s">
        <v>69</v>
      </c>
      <c r="T34" s="57" t="s">
        <v>69</v>
      </c>
      <c r="U34" s="57" t="s">
        <v>69</v>
      </c>
      <c r="V34" s="57" t="s">
        <v>69</v>
      </c>
      <c r="W34" s="57" t="s">
        <v>69</v>
      </c>
      <c r="X34" s="57" t="s">
        <v>69</v>
      </c>
      <c r="Y34" s="57" t="s">
        <v>69</v>
      </c>
      <c r="Z34" s="57" t="s">
        <v>69</v>
      </c>
      <c r="AA34" s="57" t="s">
        <v>69</v>
      </c>
      <c r="AB34" s="57" t="s">
        <v>69</v>
      </c>
      <c r="AC34" s="57" t="s">
        <v>69</v>
      </c>
      <c r="AD34" s="57" t="s">
        <v>69</v>
      </c>
      <c r="AE34" s="57" t="s">
        <v>192</v>
      </c>
      <c r="AF34" s="57" t="s">
        <v>192</v>
      </c>
      <c r="AG34" s="57" t="s">
        <v>192</v>
      </c>
      <c r="AH34" s="57" t="s">
        <v>192</v>
      </c>
      <c r="AI34" s="57" t="s">
        <v>192</v>
      </c>
      <c r="AJ34" s="24"/>
      <c r="AL34" t="str">
        <f t="shared" ca="1" si="0"/>
        <v xml:space="preserve">    (U1)ALERT_REQ_S_ADBZR_SWS_</v>
      </c>
      <c r="AR34" s="59" t="str">
        <f t="shared" si="3"/>
        <v/>
      </c>
      <c r="AS34" s="59" t="str">
        <f t="shared" si="4"/>
        <v/>
      </c>
      <c r="AT34" s="59" t="str">
        <f t="shared" si="1"/>
        <v/>
      </c>
    </row>
    <row r="35" spans="2:46">
      <c r="B35" s="129"/>
      <c r="C35" s="43">
        <f t="shared" si="2"/>
        <v>29</v>
      </c>
      <c r="D35" s="57" t="s">
        <v>69</v>
      </c>
      <c r="E35" s="57" t="s">
        <v>69</v>
      </c>
      <c r="F35" s="57" t="s">
        <v>69</v>
      </c>
      <c r="G35" s="57" t="s">
        <v>69</v>
      </c>
      <c r="H35" s="57" t="s">
        <v>69</v>
      </c>
      <c r="I35" s="57" t="s">
        <v>69</v>
      </c>
      <c r="J35" s="57" t="s">
        <v>69</v>
      </c>
      <c r="K35" s="57" t="s">
        <v>69</v>
      </c>
      <c r="L35" s="57" t="s">
        <v>69</v>
      </c>
      <c r="M35" s="57" t="s">
        <v>69</v>
      </c>
      <c r="N35" s="57" t="s">
        <v>69</v>
      </c>
      <c r="O35" s="57" t="s">
        <v>69</v>
      </c>
      <c r="P35" s="57" t="s">
        <v>69</v>
      </c>
      <c r="Q35" s="57" t="s">
        <v>69</v>
      </c>
      <c r="R35" s="57" t="s">
        <v>69</v>
      </c>
      <c r="S35" s="57" t="s">
        <v>69</v>
      </c>
      <c r="T35" s="57" t="s">
        <v>69</v>
      </c>
      <c r="U35" s="57" t="s">
        <v>69</v>
      </c>
      <c r="V35" s="57" t="s">
        <v>69</v>
      </c>
      <c r="W35" s="57" t="s">
        <v>69</v>
      </c>
      <c r="X35" s="57" t="s">
        <v>69</v>
      </c>
      <c r="Y35" s="57" t="s">
        <v>69</v>
      </c>
      <c r="Z35" s="57" t="s">
        <v>69</v>
      </c>
      <c r="AA35" s="57" t="s">
        <v>69</v>
      </c>
      <c r="AB35" s="57" t="s">
        <v>69</v>
      </c>
      <c r="AC35" s="57" t="s">
        <v>69</v>
      </c>
      <c r="AD35" s="57" t="s">
        <v>69</v>
      </c>
      <c r="AE35" s="57" t="s">
        <v>192</v>
      </c>
      <c r="AF35" s="57" t="s">
        <v>192</v>
      </c>
      <c r="AG35" s="57" t="s">
        <v>192</v>
      </c>
      <c r="AH35" s="57" t="s">
        <v>192</v>
      </c>
      <c r="AI35" s="57" t="s">
        <v>192</v>
      </c>
      <c r="AJ35" s="24"/>
      <c r="AL35" t="str">
        <f t="shared" ca="1" si="0"/>
        <v xml:space="preserve">    (U1)ALERT_REQ_S_ADBZR_SWS_</v>
      </c>
      <c r="AR35" s="59" t="str">
        <f t="shared" si="3"/>
        <v/>
      </c>
      <c r="AS35" s="59" t="str">
        <f t="shared" si="4"/>
        <v/>
      </c>
      <c r="AT35" s="59" t="str">
        <f t="shared" si="1"/>
        <v/>
      </c>
    </row>
    <row r="36" spans="2:46">
      <c r="B36" s="129"/>
      <c r="C36" s="43">
        <f t="shared" si="2"/>
        <v>30</v>
      </c>
      <c r="D36" s="57" t="s">
        <v>69</v>
      </c>
      <c r="E36" s="57" t="s">
        <v>69</v>
      </c>
      <c r="F36" s="57" t="s">
        <v>69</v>
      </c>
      <c r="G36" s="57" t="s">
        <v>69</v>
      </c>
      <c r="H36" s="57" t="s">
        <v>69</v>
      </c>
      <c r="I36" s="57" t="s">
        <v>69</v>
      </c>
      <c r="J36" s="57" t="s">
        <v>69</v>
      </c>
      <c r="K36" s="57" t="s">
        <v>69</v>
      </c>
      <c r="L36" s="57" t="s">
        <v>69</v>
      </c>
      <c r="M36" s="57" t="s">
        <v>69</v>
      </c>
      <c r="N36" s="57" t="s">
        <v>69</v>
      </c>
      <c r="O36" s="57" t="s">
        <v>69</v>
      </c>
      <c r="P36" s="57" t="s">
        <v>69</v>
      </c>
      <c r="Q36" s="57" t="s">
        <v>69</v>
      </c>
      <c r="R36" s="57" t="s">
        <v>69</v>
      </c>
      <c r="S36" s="57" t="s">
        <v>69</v>
      </c>
      <c r="T36" s="57" t="s">
        <v>69</v>
      </c>
      <c r="U36" s="57" t="s">
        <v>69</v>
      </c>
      <c r="V36" s="57" t="s">
        <v>69</v>
      </c>
      <c r="W36" s="57" t="s">
        <v>69</v>
      </c>
      <c r="X36" s="57" t="s">
        <v>69</v>
      </c>
      <c r="Y36" s="57" t="s">
        <v>69</v>
      </c>
      <c r="Z36" s="57" t="s">
        <v>69</v>
      </c>
      <c r="AA36" s="57" t="s">
        <v>69</v>
      </c>
      <c r="AB36" s="57" t="s">
        <v>69</v>
      </c>
      <c r="AC36" s="57" t="s">
        <v>69</v>
      </c>
      <c r="AD36" s="57" t="s">
        <v>69</v>
      </c>
      <c r="AE36" s="57" t="s">
        <v>192</v>
      </c>
      <c r="AF36" s="57" t="s">
        <v>192</v>
      </c>
      <c r="AG36" s="57" t="s">
        <v>192</v>
      </c>
      <c r="AH36" s="57" t="s">
        <v>192</v>
      </c>
      <c r="AI36" s="57" t="s">
        <v>192</v>
      </c>
      <c r="AJ36" s="24"/>
      <c r="AL36" t="str">
        <f t="shared" ca="1" si="0"/>
        <v xml:space="preserve">    (U1)ALERT_REQ_S_ADBZR_SWS_</v>
      </c>
      <c r="AR36" s="59" t="str">
        <f t="shared" si="3"/>
        <v/>
      </c>
      <c r="AS36" s="59" t="str">
        <f t="shared" si="4"/>
        <v/>
      </c>
      <c r="AT36" s="59" t="str">
        <f t="shared" si="1"/>
        <v/>
      </c>
    </row>
    <row r="37" spans="2:46">
      <c r="B37" s="129"/>
      <c r="C37" s="43">
        <f t="shared" si="2"/>
        <v>31</v>
      </c>
      <c r="D37" s="57" t="s">
        <v>69</v>
      </c>
      <c r="E37" s="57" t="s">
        <v>69</v>
      </c>
      <c r="F37" s="57" t="s">
        <v>69</v>
      </c>
      <c r="G37" s="57" t="s">
        <v>69</v>
      </c>
      <c r="H37" s="57" t="s">
        <v>69</v>
      </c>
      <c r="I37" s="57" t="s">
        <v>69</v>
      </c>
      <c r="J37" s="57" t="s">
        <v>69</v>
      </c>
      <c r="K37" s="57" t="s">
        <v>69</v>
      </c>
      <c r="L37" s="57" t="s">
        <v>69</v>
      </c>
      <c r="M37" s="57" t="s">
        <v>69</v>
      </c>
      <c r="N37" s="57" t="s">
        <v>69</v>
      </c>
      <c r="O37" s="57" t="s">
        <v>69</v>
      </c>
      <c r="P37" s="57" t="s">
        <v>69</v>
      </c>
      <c r="Q37" s="57" t="s">
        <v>69</v>
      </c>
      <c r="R37" s="57" t="s">
        <v>69</v>
      </c>
      <c r="S37" s="57" t="s">
        <v>69</v>
      </c>
      <c r="T37" s="57" t="s">
        <v>69</v>
      </c>
      <c r="U37" s="57" t="s">
        <v>69</v>
      </c>
      <c r="V37" s="57" t="s">
        <v>69</v>
      </c>
      <c r="W37" s="57" t="s">
        <v>69</v>
      </c>
      <c r="X37" s="57" t="s">
        <v>69</v>
      </c>
      <c r="Y37" s="57" t="s">
        <v>69</v>
      </c>
      <c r="Z37" s="57" t="s">
        <v>69</v>
      </c>
      <c r="AA37" s="57" t="s">
        <v>69</v>
      </c>
      <c r="AB37" s="57" t="s">
        <v>69</v>
      </c>
      <c r="AC37" s="57" t="s">
        <v>69</v>
      </c>
      <c r="AD37" s="57" t="s">
        <v>69</v>
      </c>
      <c r="AE37" s="57" t="s">
        <v>192</v>
      </c>
      <c r="AF37" s="57" t="s">
        <v>192</v>
      </c>
      <c r="AG37" s="57" t="s">
        <v>192</v>
      </c>
      <c r="AH37" s="57" t="s">
        <v>192</v>
      </c>
      <c r="AI37" s="57" t="s">
        <v>192</v>
      </c>
      <c r="AJ37" s="24"/>
      <c r="AL37" t="str">
        <f t="shared" ca="1" si="0"/>
        <v xml:space="preserve">    (U1)ALERT_REQ_S_ADBZR_SWS_</v>
      </c>
      <c r="AR37" s="59" t="str">
        <f t="shared" si="3"/>
        <v/>
      </c>
      <c r="AS37" s="59" t="str">
        <f t="shared" si="4"/>
        <v/>
      </c>
      <c r="AT37" s="59" t="str">
        <f t="shared" si="1"/>
        <v/>
      </c>
    </row>
    <row r="38" spans="2:46">
      <c r="B38" s="129"/>
      <c r="C38" s="43">
        <f t="shared" si="2"/>
        <v>32</v>
      </c>
      <c r="D38" s="57" t="s">
        <v>69</v>
      </c>
      <c r="E38" s="57" t="s">
        <v>69</v>
      </c>
      <c r="F38" s="57" t="s">
        <v>69</v>
      </c>
      <c r="G38" s="57" t="s">
        <v>69</v>
      </c>
      <c r="H38" s="57" t="s">
        <v>69</v>
      </c>
      <c r="I38" s="57" t="s">
        <v>69</v>
      </c>
      <c r="J38" s="57" t="s">
        <v>69</v>
      </c>
      <c r="K38" s="57" t="s">
        <v>69</v>
      </c>
      <c r="L38" s="57" t="s">
        <v>69</v>
      </c>
      <c r="M38" s="57" t="s">
        <v>69</v>
      </c>
      <c r="N38" s="57" t="s">
        <v>69</v>
      </c>
      <c r="O38" s="57" t="s">
        <v>69</v>
      </c>
      <c r="P38" s="57" t="s">
        <v>69</v>
      </c>
      <c r="Q38" s="57" t="s">
        <v>69</v>
      </c>
      <c r="R38" s="57" t="s">
        <v>69</v>
      </c>
      <c r="S38" s="57" t="s">
        <v>69</v>
      </c>
      <c r="T38" s="57" t="s">
        <v>69</v>
      </c>
      <c r="U38" s="57" t="s">
        <v>69</v>
      </c>
      <c r="V38" s="57" t="s">
        <v>69</v>
      </c>
      <c r="W38" s="57" t="s">
        <v>69</v>
      </c>
      <c r="X38" s="57" t="s">
        <v>69</v>
      </c>
      <c r="Y38" s="57" t="s">
        <v>69</v>
      </c>
      <c r="Z38" s="57" t="s">
        <v>69</v>
      </c>
      <c r="AA38" s="57" t="s">
        <v>69</v>
      </c>
      <c r="AB38" s="57" t="s">
        <v>69</v>
      </c>
      <c r="AC38" s="57" t="s">
        <v>69</v>
      </c>
      <c r="AD38" s="57" t="s">
        <v>69</v>
      </c>
      <c r="AE38" s="57" t="s">
        <v>69</v>
      </c>
      <c r="AF38" s="57" t="s">
        <v>69</v>
      </c>
      <c r="AG38" s="57" t="s">
        <v>69</v>
      </c>
      <c r="AH38" s="57" t="s">
        <v>69</v>
      </c>
      <c r="AI38" s="57" t="s">
        <v>69</v>
      </c>
      <c r="AJ38" s="24"/>
      <c r="AL38" t="str">
        <f t="shared" ca="1" si="0"/>
        <v xml:space="preserve">    (U1)ALERT_REQ_S_ADBZR_SWS_</v>
      </c>
      <c r="AR38" s="59" t="str">
        <f t="shared" si="3"/>
        <v/>
      </c>
      <c r="AS38" s="59" t="str">
        <f t="shared" si="4"/>
        <v/>
      </c>
      <c r="AT38" s="59" t="str">
        <f t="shared" si="1"/>
        <v/>
      </c>
    </row>
    <row r="39" spans="2:46">
      <c r="B39" s="129"/>
      <c r="C39" s="43">
        <f t="shared" si="2"/>
        <v>33</v>
      </c>
      <c r="D39" s="57" t="s">
        <v>69</v>
      </c>
      <c r="E39" s="57" t="s">
        <v>69</v>
      </c>
      <c r="F39" s="57" t="s">
        <v>69</v>
      </c>
      <c r="G39" s="57" t="s">
        <v>69</v>
      </c>
      <c r="H39" s="57" t="s">
        <v>69</v>
      </c>
      <c r="I39" s="57" t="s">
        <v>69</v>
      </c>
      <c r="J39" s="57" t="s">
        <v>69</v>
      </c>
      <c r="K39" s="57" t="s">
        <v>69</v>
      </c>
      <c r="L39" s="57" t="s">
        <v>69</v>
      </c>
      <c r="M39" s="57" t="s">
        <v>69</v>
      </c>
      <c r="N39" s="57" t="s">
        <v>69</v>
      </c>
      <c r="O39" s="57" t="s">
        <v>69</v>
      </c>
      <c r="P39" s="57" t="s">
        <v>69</v>
      </c>
      <c r="Q39" s="57" t="s">
        <v>69</v>
      </c>
      <c r="R39" s="57" t="s">
        <v>69</v>
      </c>
      <c r="S39" s="57" t="s">
        <v>69</v>
      </c>
      <c r="T39" s="57" t="s">
        <v>69</v>
      </c>
      <c r="U39" s="57" t="s">
        <v>69</v>
      </c>
      <c r="V39" s="57" t="s">
        <v>69</v>
      </c>
      <c r="W39" s="57" t="s">
        <v>69</v>
      </c>
      <c r="X39" s="57" t="s">
        <v>69</v>
      </c>
      <c r="Y39" s="57" t="s">
        <v>69</v>
      </c>
      <c r="Z39" s="57" t="s">
        <v>69</v>
      </c>
      <c r="AA39" s="57" t="s">
        <v>69</v>
      </c>
      <c r="AB39" s="57" t="s">
        <v>69</v>
      </c>
      <c r="AC39" s="57" t="s">
        <v>69</v>
      </c>
      <c r="AD39" s="57" t="s">
        <v>69</v>
      </c>
      <c r="AE39" s="57" t="s">
        <v>69</v>
      </c>
      <c r="AF39" s="57" t="s">
        <v>69</v>
      </c>
      <c r="AG39" s="57" t="s">
        <v>69</v>
      </c>
      <c r="AH39" s="57" t="s">
        <v>69</v>
      </c>
      <c r="AI39" s="57" t="s">
        <v>69</v>
      </c>
      <c r="AJ39" s="24"/>
      <c r="AL39" t="str">
        <f t="shared" ca="1" si="0"/>
        <v xml:space="preserve">    (U1)ALERT_REQ_S_ADBZR_SWS_</v>
      </c>
      <c r="AR39" s="59" t="str">
        <f t="shared" si="3"/>
        <v/>
      </c>
      <c r="AS39" s="59" t="str">
        <f t="shared" si="4"/>
        <v/>
      </c>
      <c r="AT39" s="59" t="str">
        <f t="shared" si="1"/>
        <v/>
      </c>
    </row>
    <row r="40" spans="2:46">
      <c r="B40" s="129"/>
      <c r="C40" s="43">
        <f t="shared" si="2"/>
        <v>34</v>
      </c>
      <c r="D40" s="57" t="s">
        <v>69</v>
      </c>
      <c r="E40" s="57" t="s">
        <v>69</v>
      </c>
      <c r="F40" s="57" t="s">
        <v>69</v>
      </c>
      <c r="G40" s="57" t="s">
        <v>69</v>
      </c>
      <c r="H40" s="57" t="s">
        <v>69</v>
      </c>
      <c r="I40" s="57" t="s">
        <v>69</v>
      </c>
      <c r="J40" s="57" t="s">
        <v>69</v>
      </c>
      <c r="K40" s="57" t="s">
        <v>69</v>
      </c>
      <c r="L40" s="57" t="s">
        <v>69</v>
      </c>
      <c r="M40" s="57" t="s">
        <v>69</v>
      </c>
      <c r="N40" s="57" t="s">
        <v>69</v>
      </c>
      <c r="O40" s="57" t="s">
        <v>69</v>
      </c>
      <c r="P40" s="57" t="s">
        <v>69</v>
      </c>
      <c r="Q40" s="57" t="s">
        <v>69</v>
      </c>
      <c r="R40" s="57" t="s">
        <v>69</v>
      </c>
      <c r="S40" s="57" t="s">
        <v>69</v>
      </c>
      <c r="T40" s="57" t="s">
        <v>69</v>
      </c>
      <c r="U40" s="57" t="s">
        <v>69</v>
      </c>
      <c r="V40" s="57" t="s">
        <v>69</v>
      </c>
      <c r="W40" s="57" t="s">
        <v>69</v>
      </c>
      <c r="X40" s="57" t="s">
        <v>69</v>
      </c>
      <c r="Y40" s="57" t="s">
        <v>69</v>
      </c>
      <c r="Z40" s="57" t="s">
        <v>69</v>
      </c>
      <c r="AA40" s="57" t="s">
        <v>69</v>
      </c>
      <c r="AB40" s="57" t="s">
        <v>69</v>
      </c>
      <c r="AC40" s="57" t="s">
        <v>69</v>
      </c>
      <c r="AD40" s="57" t="s">
        <v>69</v>
      </c>
      <c r="AE40" s="57" t="s">
        <v>69</v>
      </c>
      <c r="AF40" s="57" t="s">
        <v>69</v>
      </c>
      <c r="AG40" s="57" t="s">
        <v>69</v>
      </c>
      <c r="AH40" s="57" t="s">
        <v>69</v>
      </c>
      <c r="AI40" s="57" t="s">
        <v>69</v>
      </c>
      <c r="AJ40" s="24"/>
      <c r="AL40" t="str">
        <f t="shared" ca="1" si="0"/>
        <v xml:space="preserve">    (U1)ALERT_REQ_S_ADBZR_SWS_</v>
      </c>
      <c r="AR40" s="59" t="str">
        <f t="shared" si="3"/>
        <v/>
      </c>
      <c r="AS40" s="59" t="str">
        <f t="shared" si="4"/>
        <v/>
      </c>
      <c r="AT40" s="59" t="str">
        <f t="shared" si="1"/>
        <v/>
      </c>
    </row>
    <row r="41" spans="2:46">
      <c r="B41" s="129"/>
      <c r="C41" s="43">
        <f t="shared" si="2"/>
        <v>35</v>
      </c>
      <c r="D41" s="57" t="s">
        <v>69</v>
      </c>
      <c r="E41" s="57" t="s">
        <v>69</v>
      </c>
      <c r="F41" s="57" t="s">
        <v>69</v>
      </c>
      <c r="G41" s="57" t="s">
        <v>69</v>
      </c>
      <c r="H41" s="57" t="s">
        <v>69</v>
      </c>
      <c r="I41" s="57" t="s">
        <v>69</v>
      </c>
      <c r="J41" s="57" t="s">
        <v>69</v>
      </c>
      <c r="K41" s="57" t="s">
        <v>69</v>
      </c>
      <c r="L41" s="57" t="s">
        <v>69</v>
      </c>
      <c r="M41" s="57" t="s">
        <v>69</v>
      </c>
      <c r="N41" s="57" t="s">
        <v>69</v>
      </c>
      <c r="O41" s="57" t="s">
        <v>69</v>
      </c>
      <c r="P41" s="57" t="s">
        <v>69</v>
      </c>
      <c r="Q41" s="57" t="s">
        <v>69</v>
      </c>
      <c r="R41" s="57" t="s">
        <v>69</v>
      </c>
      <c r="S41" s="57" t="s">
        <v>69</v>
      </c>
      <c r="T41" s="57" t="s">
        <v>69</v>
      </c>
      <c r="U41" s="57" t="s">
        <v>69</v>
      </c>
      <c r="V41" s="57" t="s">
        <v>69</v>
      </c>
      <c r="W41" s="57" t="s">
        <v>69</v>
      </c>
      <c r="X41" s="57" t="s">
        <v>69</v>
      </c>
      <c r="Y41" s="57" t="s">
        <v>69</v>
      </c>
      <c r="Z41" s="57" t="s">
        <v>69</v>
      </c>
      <c r="AA41" s="57" t="s">
        <v>69</v>
      </c>
      <c r="AB41" s="57" t="s">
        <v>69</v>
      </c>
      <c r="AC41" s="57" t="s">
        <v>69</v>
      </c>
      <c r="AD41" s="57" t="s">
        <v>69</v>
      </c>
      <c r="AE41" s="57" t="s">
        <v>69</v>
      </c>
      <c r="AF41" s="57" t="s">
        <v>69</v>
      </c>
      <c r="AG41" s="57" t="s">
        <v>69</v>
      </c>
      <c r="AH41" s="57" t="s">
        <v>69</v>
      </c>
      <c r="AI41" s="57" t="s">
        <v>69</v>
      </c>
      <c r="AJ41" s="24"/>
      <c r="AL41" t="str">
        <f t="shared" ca="1" si="0"/>
        <v xml:space="preserve">    (U1)ALERT_REQ_S_ADBZR_SWS_</v>
      </c>
      <c r="AR41" s="59" t="str">
        <f t="shared" si="3"/>
        <v/>
      </c>
      <c r="AS41" s="59" t="str">
        <f t="shared" si="4"/>
        <v/>
      </c>
      <c r="AT41" s="59" t="str">
        <f t="shared" si="1"/>
        <v/>
      </c>
    </row>
    <row r="42" spans="2:46">
      <c r="B42" s="129"/>
      <c r="C42" s="43">
        <f t="shared" si="2"/>
        <v>36</v>
      </c>
      <c r="D42" s="57" t="s">
        <v>69</v>
      </c>
      <c r="E42" s="57" t="s">
        <v>69</v>
      </c>
      <c r="F42" s="57" t="s">
        <v>69</v>
      </c>
      <c r="G42" s="57" t="s">
        <v>69</v>
      </c>
      <c r="H42" s="57" t="s">
        <v>69</v>
      </c>
      <c r="I42" s="57" t="s">
        <v>69</v>
      </c>
      <c r="J42" s="57" t="s">
        <v>69</v>
      </c>
      <c r="K42" s="57" t="s">
        <v>69</v>
      </c>
      <c r="L42" s="57" t="s">
        <v>69</v>
      </c>
      <c r="M42" s="57" t="s">
        <v>69</v>
      </c>
      <c r="N42" s="57" t="s">
        <v>69</v>
      </c>
      <c r="O42" s="57" t="s">
        <v>69</v>
      </c>
      <c r="P42" s="57" t="s">
        <v>69</v>
      </c>
      <c r="Q42" s="57" t="s">
        <v>69</v>
      </c>
      <c r="R42" s="57" t="s">
        <v>69</v>
      </c>
      <c r="S42" s="57" t="s">
        <v>69</v>
      </c>
      <c r="T42" s="57" t="s">
        <v>69</v>
      </c>
      <c r="U42" s="57" t="s">
        <v>69</v>
      </c>
      <c r="V42" s="57" t="s">
        <v>69</v>
      </c>
      <c r="W42" s="57" t="s">
        <v>69</v>
      </c>
      <c r="X42" s="57" t="s">
        <v>69</v>
      </c>
      <c r="Y42" s="57" t="s">
        <v>69</v>
      </c>
      <c r="Z42" s="57" t="s">
        <v>69</v>
      </c>
      <c r="AA42" s="57" t="s">
        <v>69</v>
      </c>
      <c r="AB42" s="57" t="s">
        <v>69</v>
      </c>
      <c r="AC42" s="57" t="s">
        <v>69</v>
      </c>
      <c r="AD42" s="57" t="s">
        <v>69</v>
      </c>
      <c r="AE42" s="57" t="s">
        <v>69</v>
      </c>
      <c r="AF42" s="57" t="s">
        <v>69</v>
      </c>
      <c r="AG42" s="57" t="s">
        <v>69</v>
      </c>
      <c r="AH42" s="57" t="s">
        <v>69</v>
      </c>
      <c r="AI42" s="57" t="s">
        <v>69</v>
      </c>
      <c r="AJ42" s="24"/>
      <c r="AL42" t="str">
        <f t="shared" ca="1" si="0"/>
        <v xml:space="preserve">    (U1)ALERT_REQ_S_ADBZR_SWS_</v>
      </c>
      <c r="AR42" s="59" t="str">
        <f t="shared" si="3"/>
        <v/>
      </c>
      <c r="AS42" s="59" t="str">
        <f t="shared" si="4"/>
        <v/>
      </c>
      <c r="AT42" s="59" t="str">
        <f t="shared" si="1"/>
        <v/>
      </c>
    </row>
    <row r="43" spans="2:46">
      <c r="B43" s="129"/>
      <c r="C43" s="43">
        <f t="shared" si="2"/>
        <v>37</v>
      </c>
      <c r="D43" s="57" t="s">
        <v>69</v>
      </c>
      <c r="E43" s="57" t="s">
        <v>69</v>
      </c>
      <c r="F43" s="57" t="s">
        <v>69</v>
      </c>
      <c r="G43" s="57" t="s">
        <v>69</v>
      </c>
      <c r="H43" s="57" t="s">
        <v>69</v>
      </c>
      <c r="I43" s="57" t="s">
        <v>69</v>
      </c>
      <c r="J43" s="57" t="s">
        <v>69</v>
      </c>
      <c r="K43" s="57" t="s">
        <v>69</v>
      </c>
      <c r="L43" s="57" t="s">
        <v>69</v>
      </c>
      <c r="M43" s="57" t="s">
        <v>69</v>
      </c>
      <c r="N43" s="57" t="s">
        <v>69</v>
      </c>
      <c r="O43" s="57" t="s">
        <v>69</v>
      </c>
      <c r="P43" s="57" t="s">
        <v>69</v>
      </c>
      <c r="Q43" s="57" t="s">
        <v>69</v>
      </c>
      <c r="R43" s="57" t="s">
        <v>69</v>
      </c>
      <c r="S43" s="57" t="s">
        <v>69</v>
      </c>
      <c r="T43" s="57" t="s">
        <v>69</v>
      </c>
      <c r="U43" s="57" t="s">
        <v>69</v>
      </c>
      <c r="V43" s="57" t="s">
        <v>69</v>
      </c>
      <c r="W43" s="57" t="s">
        <v>69</v>
      </c>
      <c r="X43" s="57" t="s">
        <v>69</v>
      </c>
      <c r="Y43" s="57" t="s">
        <v>69</v>
      </c>
      <c r="Z43" s="57" t="s">
        <v>69</v>
      </c>
      <c r="AA43" s="57" t="s">
        <v>69</v>
      </c>
      <c r="AB43" s="57" t="s">
        <v>69</v>
      </c>
      <c r="AC43" s="57" t="s">
        <v>69</v>
      </c>
      <c r="AD43" s="57" t="s">
        <v>69</v>
      </c>
      <c r="AE43" s="57" t="s">
        <v>69</v>
      </c>
      <c r="AF43" s="57" t="s">
        <v>69</v>
      </c>
      <c r="AG43" s="57" t="s">
        <v>69</v>
      </c>
      <c r="AH43" s="57" t="s">
        <v>69</v>
      </c>
      <c r="AI43" s="57" t="s">
        <v>69</v>
      </c>
      <c r="AJ43" s="24"/>
      <c r="AL43" t="str">
        <f t="shared" ca="1" si="0"/>
        <v xml:space="preserve">    (U1)ALERT_REQ_S_ADBZR_SWS_</v>
      </c>
      <c r="AR43" s="59" t="str">
        <f t="shared" si="3"/>
        <v/>
      </c>
      <c r="AS43" s="59" t="str">
        <f t="shared" si="4"/>
        <v/>
      </c>
      <c r="AT43" s="59" t="str">
        <f t="shared" si="1"/>
        <v/>
      </c>
    </row>
    <row r="44" spans="2:46">
      <c r="B44" s="129"/>
      <c r="C44" s="43">
        <f t="shared" si="2"/>
        <v>38</v>
      </c>
      <c r="D44" s="57" t="s">
        <v>69</v>
      </c>
      <c r="E44" s="57" t="s">
        <v>69</v>
      </c>
      <c r="F44" s="57" t="s">
        <v>69</v>
      </c>
      <c r="G44" s="57" t="s">
        <v>69</v>
      </c>
      <c r="H44" s="57" t="s">
        <v>69</v>
      </c>
      <c r="I44" s="57" t="s">
        <v>69</v>
      </c>
      <c r="J44" s="57" t="s">
        <v>69</v>
      </c>
      <c r="K44" s="57" t="s">
        <v>69</v>
      </c>
      <c r="L44" s="57" t="s">
        <v>69</v>
      </c>
      <c r="M44" s="57" t="s">
        <v>69</v>
      </c>
      <c r="N44" s="57" t="s">
        <v>69</v>
      </c>
      <c r="O44" s="57" t="s">
        <v>69</v>
      </c>
      <c r="P44" s="57" t="s">
        <v>69</v>
      </c>
      <c r="Q44" s="57" t="s">
        <v>69</v>
      </c>
      <c r="R44" s="57" t="s">
        <v>69</v>
      </c>
      <c r="S44" s="57" t="s">
        <v>69</v>
      </c>
      <c r="T44" s="57" t="s">
        <v>69</v>
      </c>
      <c r="U44" s="57" t="s">
        <v>69</v>
      </c>
      <c r="V44" s="57" t="s">
        <v>69</v>
      </c>
      <c r="W44" s="57" t="s">
        <v>69</v>
      </c>
      <c r="X44" s="57" t="s">
        <v>69</v>
      </c>
      <c r="Y44" s="57" t="s">
        <v>69</v>
      </c>
      <c r="Z44" s="57" t="s">
        <v>69</v>
      </c>
      <c r="AA44" s="57" t="s">
        <v>69</v>
      </c>
      <c r="AB44" s="57" t="s">
        <v>69</v>
      </c>
      <c r="AC44" s="57" t="s">
        <v>69</v>
      </c>
      <c r="AD44" s="57" t="s">
        <v>69</v>
      </c>
      <c r="AE44" s="57" t="s">
        <v>69</v>
      </c>
      <c r="AF44" s="57" t="s">
        <v>69</v>
      </c>
      <c r="AG44" s="57" t="s">
        <v>69</v>
      </c>
      <c r="AH44" s="57" t="s">
        <v>69</v>
      </c>
      <c r="AI44" s="57" t="s">
        <v>69</v>
      </c>
      <c r="AJ44" s="24"/>
      <c r="AL44" t="str">
        <f t="shared" ca="1" si="0"/>
        <v xml:space="preserve">    (U1)ALERT_REQ_S_ADBZR_SWS_</v>
      </c>
      <c r="AR44" s="59" t="str">
        <f t="shared" si="3"/>
        <v/>
      </c>
      <c r="AS44" s="59" t="str">
        <f t="shared" si="4"/>
        <v/>
      </c>
      <c r="AT44" s="59" t="str">
        <f t="shared" si="1"/>
        <v/>
      </c>
    </row>
    <row r="45" spans="2:46">
      <c r="B45" s="129"/>
      <c r="C45" s="43">
        <f t="shared" si="2"/>
        <v>39</v>
      </c>
      <c r="D45" s="57" t="s">
        <v>69</v>
      </c>
      <c r="E45" s="57" t="s">
        <v>69</v>
      </c>
      <c r="F45" s="57" t="s">
        <v>69</v>
      </c>
      <c r="G45" s="57" t="s">
        <v>69</v>
      </c>
      <c r="H45" s="57" t="s">
        <v>69</v>
      </c>
      <c r="I45" s="57" t="s">
        <v>69</v>
      </c>
      <c r="J45" s="57" t="s">
        <v>69</v>
      </c>
      <c r="K45" s="57" t="s">
        <v>69</v>
      </c>
      <c r="L45" s="57" t="s">
        <v>69</v>
      </c>
      <c r="M45" s="57" t="s">
        <v>69</v>
      </c>
      <c r="N45" s="57" t="s">
        <v>69</v>
      </c>
      <c r="O45" s="57" t="s">
        <v>69</v>
      </c>
      <c r="P45" s="57" t="s">
        <v>69</v>
      </c>
      <c r="Q45" s="57" t="s">
        <v>69</v>
      </c>
      <c r="R45" s="57" t="s">
        <v>69</v>
      </c>
      <c r="S45" s="57" t="s">
        <v>69</v>
      </c>
      <c r="T45" s="57" t="s">
        <v>69</v>
      </c>
      <c r="U45" s="57" t="s">
        <v>69</v>
      </c>
      <c r="V45" s="57" t="s">
        <v>69</v>
      </c>
      <c r="W45" s="57" t="s">
        <v>69</v>
      </c>
      <c r="X45" s="57" t="s">
        <v>69</v>
      </c>
      <c r="Y45" s="57" t="s">
        <v>69</v>
      </c>
      <c r="Z45" s="57" t="s">
        <v>69</v>
      </c>
      <c r="AA45" s="57" t="s">
        <v>69</v>
      </c>
      <c r="AB45" s="57" t="s">
        <v>69</v>
      </c>
      <c r="AC45" s="57" t="s">
        <v>69</v>
      </c>
      <c r="AD45" s="57" t="s">
        <v>69</v>
      </c>
      <c r="AE45" s="57" t="s">
        <v>69</v>
      </c>
      <c r="AF45" s="57" t="s">
        <v>69</v>
      </c>
      <c r="AG45" s="57" t="s">
        <v>69</v>
      </c>
      <c r="AH45" s="57" t="s">
        <v>69</v>
      </c>
      <c r="AI45" s="57" t="s">
        <v>69</v>
      </c>
      <c r="AJ45" s="24"/>
      <c r="AL45" t="str">
        <f t="shared" ca="1" si="0"/>
        <v xml:space="preserve">    (U1)ALERT_REQ_S_ADBZR_SWS_</v>
      </c>
      <c r="AR45" s="59" t="str">
        <f t="shared" si="3"/>
        <v/>
      </c>
      <c r="AS45" s="59" t="str">
        <f t="shared" si="4"/>
        <v/>
      </c>
      <c r="AT45" s="59" t="str">
        <f t="shared" si="1"/>
        <v/>
      </c>
    </row>
    <row r="46" spans="2:46">
      <c r="B46" s="129"/>
      <c r="C46" s="43">
        <f t="shared" si="2"/>
        <v>40</v>
      </c>
      <c r="D46" s="57" t="s">
        <v>69</v>
      </c>
      <c r="E46" s="57" t="s">
        <v>69</v>
      </c>
      <c r="F46" s="57" t="s">
        <v>69</v>
      </c>
      <c r="G46" s="57" t="s">
        <v>69</v>
      </c>
      <c r="H46" s="57" t="s">
        <v>69</v>
      </c>
      <c r="I46" s="57" t="s">
        <v>69</v>
      </c>
      <c r="J46" s="57" t="s">
        <v>69</v>
      </c>
      <c r="K46" s="57" t="s">
        <v>69</v>
      </c>
      <c r="L46" s="57" t="s">
        <v>69</v>
      </c>
      <c r="M46" s="57" t="s">
        <v>69</v>
      </c>
      <c r="N46" s="57" t="s">
        <v>69</v>
      </c>
      <c r="O46" s="57" t="s">
        <v>69</v>
      </c>
      <c r="P46" s="57" t="s">
        <v>69</v>
      </c>
      <c r="Q46" s="57" t="s">
        <v>69</v>
      </c>
      <c r="R46" s="57" t="s">
        <v>69</v>
      </c>
      <c r="S46" s="57" t="s">
        <v>69</v>
      </c>
      <c r="T46" s="57" t="s">
        <v>69</v>
      </c>
      <c r="U46" s="57" t="s">
        <v>69</v>
      </c>
      <c r="V46" s="57" t="s">
        <v>69</v>
      </c>
      <c r="W46" s="57" t="s">
        <v>69</v>
      </c>
      <c r="X46" s="57" t="s">
        <v>69</v>
      </c>
      <c r="Y46" s="57" t="s">
        <v>69</v>
      </c>
      <c r="Z46" s="57" t="s">
        <v>69</v>
      </c>
      <c r="AA46" s="57" t="s">
        <v>69</v>
      </c>
      <c r="AB46" s="57" t="s">
        <v>69</v>
      </c>
      <c r="AC46" s="57" t="s">
        <v>69</v>
      </c>
      <c r="AD46" s="57" t="s">
        <v>69</v>
      </c>
      <c r="AE46" s="57" t="s">
        <v>69</v>
      </c>
      <c r="AF46" s="57" t="s">
        <v>69</v>
      </c>
      <c r="AG46" s="57" t="s">
        <v>69</v>
      </c>
      <c r="AH46" s="57" t="s">
        <v>69</v>
      </c>
      <c r="AI46" s="57" t="s">
        <v>69</v>
      </c>
      <c r="AJ46" s="24"/>
      <c r="AL46" t="str">
        <f t="shared" ca="1" si="0"/>
        <v xml:space="preserve">    (U1)ALERT_REQ_S_ADBZR_SWS_</v>
      </c>
      <c r="AR46" s="59" t="str">
        <f t="shared" si="3"/>
        <v/>
      </c>
      <c r="AS46" s="59" t="str">
        <f t="shared" si="4"/>
        <v/>
      </c>
      <c r="AT46" s="59" t="str">
        <f t="shared" si="1"/>
        <v/>
      </c>
    </row>
    <row r="47" spans="2:46">
      <c r="B47" s="129"/>
      <c r="C47" s="43">
        <f t="shared" si="2"/>
        <v>41</v>
      </c>
      <c r="D47" s="57" t="s">
        <v>69</v>
      </c>
      <c r="E47" s="57" t="s">
        <v>69</v>
      </c>
      <c r="F47" s="57" t="s">
        <v>69</v>
      </c>
      <c r="G47" s="57" t="s">
        <v>69</v>
      </c>
      <c r="H47" s="57" t="s">
        <v>69</v>
      </c>
      <c r="I47" s="57" t="s">
        <v>69</v>
      </c>
      <c r="J47" s="57" t="s">
        <v>69</v>
      </c>
      <c r="K47" s="57" t="s">
        <v>69</v>
      </c>
      <c r="L47" s="57" t="s">
        <v>69</v>
      </c>
      <c r="M47" s="57" t="s">
        <v>69</v>
      </c>
      <c r="N47" s="57" t="s">
        <v>69</v>
      </c>
      <c r="O47" s="57" t="s">
        <v>69</v>
      </c>
      <c r="P47" s="57" t="s">
        <v>69</v>
      </c>
      <c r="Q47" s="57" t="s">
        <v>69</v>
      </c>
      <c r="R47" s="57" t="s">
        <v>69</v>
      </c>
      <c r="S47" s="57" t="s">
        <v>69</v>
      </c>
      <c r="T47" s="57" t="s">
        <v>69</v>
      </c>
      <c r="U47" s="57" t="s">
        <v>69</v>
      </c>
      <c r="V47" s="57" t="s">
        <v>69</v>
      </c>
      <c r="W47" s="57" t="s">
        <v>69</v>
      </c>
      <c r="X47" s="57" t="s">
        <v>69</v>
      </c>
      <c r="Y47" s="57" t="s">
        <v>69</v>
      </c>
      <c r="Z47" s="57" t="s">
        <v>69</v>
      </c>
      <c r="AA47" s="57" t="s">
        <v>69</v>
      </c>
      <c r="AB47" s="57" t="s">
        <v>69</v>
      </c>
      <c r="AC47" s="57" t="s">
        <v>69</v>
      </c>
      <c r="AD47" s="57" t="s">
        <v>69</v>
      </c>
      <c r="AE47" s="57" t="s">
        <v>69</v>
      </c>
      <c r="AF47" s="57" t="s">
        <v>69</v>
      </c>
      <c r="AG47" s="57" t="s">
        <v>69</v>
      </c>
      <c r="AH47" s="57" t="s">
        <v>69</v>
      </c>
      <c r="AI47" s="57" t="s">
        <v>69</v>
      </c>
      <c r="AJ47" s="24"/>
      <c r="AL47" t="str">
        <f t="shared" ca="1" si="0"/>
        <v xml:space="preserve">    (U1)ALERT_REQ_S_ADBZR_SWS_</v>
      </c>
      <c r="AR47" s="59" t="str">
        <f t="shared" si="3"/>
        <v/>
      </c>
      <c r="AS47" s="59" t="str">
        <f t="shared" si="4"/>
        <v/>
      </c>
      <c r="AT47" s="59" t="str">
        <f t="shared" si="1"/>
        <v/>
      </c>
    </row>
    <row r="48" spans="2:46">
      <c r="B48" s="129"/>
      <c r="C48" s="43">
        <f t="shared" si="2"/>
        <v>42</v>
      </c>
      <c r="D48" s="57" t="s">
        <v>69</v>
      </c>
      <c r="E48" s="57" t="s">
        <v>69</v>
      </c>
      <c r="F48" s="57" t="s">
        <v>69</v>
      </c>
      <c r="G48" s="57" t="s">
        <v>69</v>
      </c>
      <c r="H48" s="57" t="s">
        <v>69</v>
      </c>
      <c r="I48" s="57" t="s">
        <v>69</v>
      </c>
      <c r="J48" s="57" t="s">
        <v>69</v>
      </c>
      <c r="K48" s="57" t="s">
        <v>69</v>
      </c>
      <c r="L48" s="57" t="s">
        <v>69</v>
      </c>
      <c r="M48" s="57" t="s">
        <v>69</v>
      </c>
      <c r="N48" s="57" t="s">
        <v>69</v>
      </c>
      <c r="O48" s="57" t="s">
        <v>69</v>
      </c>
      <c r="P48" s="57" t="s">
        <v>69</v>
      </c>
      <c r="Q48" s="57" t="s">
        <v>69</v>
      </c>
      <c r="R48" s="57" t="s">
        <v>69</v>
      </c>
      <c r="S48" s="57" t="s">
        <v>69</v>
      </c>
      <c r="T48" s="57" t="s">
        <v>69</v>
      </c>
      <c r="U48" s="57" t="s">
        <v>69</v>
      </c>
      <c r="V48" s="57" t="s">
        <v>69</v>
      </c>
      <c r="W48" s="57" t="s">
        <v>69</v>
      </c>
      <c r="X48" s="57" t="s">
        <v>69</v>
      </c>
      <c r="Y48" s="57" t="s">
        <v>69</v>
      </c>
      <c r="Z48" s="57" t="s">
        <v>69</v>
      </c>
      <c r="AA48" s="57" t="s">
        <v>69</v>
      </c>
      <c r="AB48" s="57" t="s">
        <v>69</v>
      </c>
      <c r="AC48" s="57" t="s">
        <v>69</v>
      </c>
      <c r="AD48" s="57" t="s">
        <v>69</v>
      </c>
      <c r="AE48" s="57" t="s">
        <v>69</v>
      </c>
      <c r="AF48" s="57" t="s">
        <v>69</v>
      </c>
      <c r="AG48" s="57" t="s">
        <v>69</v>
      </c>
      <c r="AH48" s="57" t="s">
        <v>69</v>
      </c>
      <c r="AI48" s="57" t="s">
        <v>69</v>
      </c>
      <c r="AJ48" s="24"/>
      <c r="AL48" t="str">
        <f t="shared" ca="1" si="0"/>
        <v xml:space="preserve">    (U1)ALERT_REQ_S_ADBZR_SWS_</v>
      </c>
      <c r="AR48" s="59" t="str">
        <f t="shared" si="3"/>
        <v/>
      </c>
      <c r="AS48" s="59" t="str">
        <f t="shared" si="4"/>
        <v/>
      </c>
      <c r="AT48" s="59" t="str">
        <f t="shared" si="1"/>
        <v/>
      </c>
    </row>
    <row r="49" spans="2:46">
      <c r="B49" s="129"/>
      <c r="C49" s="43">
        <f t="shared" si="2"/>
        <v>43</v>
      </c>
      <c r="D49" s="57" t="s">
        <v>69</v>
      </c>
      <c r="E49" s="57" t="s">
        <v>69</v>
      </c>
      <c r="F49" s="57" t="s">
        <v>69</v>
      </c>
      <c r="G49" s="57" t="s">
        <v>69</v>
      </c>
      <c r="H49" s="57" t="s">
        <v>69</v>
      </c>
      <c r="I49" s="57" t="s">
        <v>69</v>
      </c>
      <c r="J49" s="57" t="s">
        <v>69</v>
      </c>
      <c r="K49" s="57" t="s">
        <v>69</v>
      </c>
      <c r="L49" s="57" t="s">
        <v>69</v>
      </c>
      <c r="M49" s="57" t="s">
        <v>69</v>
      </c>
      <c r="N49" s="57" t="s">
        <v>69</v>
      </c>
      <c r="O49" s="57" t="s">
        <v>69</v>
      </c>
      <c r="P49" s="57" t="s">
        <v>69</v>
      </c>
      <c r="Q49" s="57" t="s">
        <v>69</v>
      </c>
      <c r="R49" s="57" t="s">
        <v>69</v>
      </c>
      <c r="S49" s="57" t="s">
        <v>69</v>
      </c>
      <c r="T49" s="57" t="s">
        <v>69</v>
      </c>
      <c r="U49" s="57" t="s">
        <v>69</v>
      </c>
      <c r="V49" s="57" t="s">
        <v>69</v>
      </c>
      <c r="W49" s="57" t="s">
        <v>69</v>
      </c>
      <c r="X49" s="57" t="s">
        <v>69</v>
      </c>
      <c r="Y49" s="57" t="s">
        <v>69</v>
      </c>
      <c r="Z49" s="57" t="s">
        <v>69</v>
      </c>
      <c r="AA49" s="57" t="s">
        <v>69</v>
      </c>
      <c r="AB49" s="57" t="s">
        <v>69</v>
      </c>
      <c r="AC49" s="57" t="s">
        <v>69</v>
      </c>
      <c r="AD49" s="57" t="s">
        <v>69</v>
      </c>
      <c r="AE49" s="57" t="s">
        <v>69</v>
      </c>
      <c r="AF49" s="57" t="s">
        <v>69</v>
      </c>
      <c r="AG49" s="57" t="s">
        <v>69</v>
      </c>
      <c r="AH49" s="57" t="s">
        <v>69</v>
      </c>
      <c r="AI49" s="57" t="s">
        <v>69</v>
      </c>
      <c r="AJ49" s="24"/>
      <c r="AL49" t="str">
        <f t="shared" ca="1" si="0"/>
        <v xml:space="preserve">    (U1)ALERT_REQ_S_ADBZR_SWS_</v>
      </c>
      <c r="AR49" s="59" t="str">
        <f t="shared" si="3"/>
        <v/>
      </c>
      <c r="AS49" s="59" t="str">
        <f t="shared" si="4"/>
        <v/>
      </c>
      <c r="AT49" s="59" t="str">
        <f t="shared" si="1"/>
        <v/>
      </c>
    </row>
    <row r="50" spans="2:46">
      <c r="B50" s="129"/>
      <c r="C50" s="43">
        <f t="shared" si="2"/>
        <v>44</v>
      </c>
      <c r="D50" s="57" t="s">
        <v>69</v>
      </c>
      <c r="E50" s="57" t="s">
        <v>69</v>
      </c>
      <c r="F50" s="57" t="s">
        <v>69</v>
      </c>
      <c r="G50" s="57" t="s">
        <v>69</v>
      </c>
      <c r="H50" s="57" t="s">
        <v>69</v>
      </c>
      <c r="I50" s="57" t="s">
        <v>69</v>
      </c>
      <c r="J50" s="57" t="s">
        <v>69</v>
      </c>
      <c r="K50" s="57" t="s">
        <v>69</v>
      </c>
      <c r="L50" s="57" t="s">
        <v>69</v>
      </c>
      <c r="M50" s="57" t="s">
        <v>69</v>
      </c>
      <c r="N50" s="57" t="s">
        <v>69</v>
      </c>
      <c r="O50" s="57" t="s">
        <v>69</v>
      </c>
      <c r="P50" s="57" t="s">
        <v>69</v>
      </c>
      <c r="Q50" s="57" t="s">
        <v>69</v>
      </c>
      <c r="R50" s="57" t="s">
        <v>69</v>
      </c>
      <c r="S50" s="57" t="s">
        <v>69</v>
      </c>
      <c r="T50" s="57" t="s">
        <v>69</v>
      </c>
      <c r="U50" s="57" t="s">
        <v>69</v>
      </c>
      <c r="V50" s="57" t="s">
        <v>69</v>
      </c>
      <c r="W50" s="57" t="s">
        <v>69</v>
      </c>
      <c r="X50" s="57" t="s">
        <v>69</v>
      </c>
      <c r="Y50" s="57" t="s">
        <v>69</v>
      </c>
      <c r="Z50" s="57" t="s">
        <v>69</v>
      </c>
      <c r="AA50" s="57" t="s">
        <v>69</v>
      </c>
      <c r="AB50" s="57" t="s">
        <v>69</v>
      </c>
      <c r="AC50" s="57" t="s">
        <v>69</v>
      </c>
      <c r="AD50" s="57" t="s">
        <v>69</v>
      </c>
      <c r="AE50" s="57" t="s">
        <v>69</v>
      </c>
      <c r="AF50" s="57" t="s">
        <v>69</v>
      </c>
      <c r="AG50" s="57" t="s">
        <v>69</v>
      </c>
      <c r="AH50" s="57" t="s">
        <v>69</v>
      </c>
      <c r="AI50" s="57" t="s">
        <v>69</v>
      </c>
      <c r="AJ50" s="24"/>
      <c r="AL50" t="str">
        <f t="shared" ca="1" si="0"/>
        <v xml:space="preserve">    (U1)ALERT_REQ_S_ADBZR_SWS_</v>
      </c>
      <c r="AR50" s="59" t="str">
        <f t="shared" si="3"/>
        <v/>
      </c>
      <c r="AS50" s="59" t="str">
        <f t="shared" si="4"/>
        <v/>
      </c>
      <c r="AT50" s="59" t="str">
        <f t="shared" si="1"/>
        <v/>
      </c>
    </row>
    <row r="51" spans="2:46">
      <c r="B51" s="129"/>
      <c r="C51" s="43">
        <f t="shared" si="2"/>
        <v>45</v>
      </c>
      <c r="D51" s="57" t="s">
        <v>69</v>
      </c>
      <c r="E51" s="57" t="s">
        <v>69</v>
      </c>
      <c r="F51" s="57" t="s">
        <v>69</v>
      </c>
      <c r="G51" s="57" t="s">
        <v>69</v>
      </c>
      <c r="H51" s="57" t="s">
        <v>69</v>
      </c>
      <c r="I51" s="57" t="s">
        <v>69</v>
      </c>
      <c r="J51" s="57" t="s">
        <v>69</v>
      </c>
      <c r="K51" s="57" t="s">
        <v>69</v>
      </c>
      <c r="L51" s="57" t="s">
        <v>69</v>
      </c>
      <c r="M51" s="57" t="s">
        <v>69</v>
      </c>
      <c r="N51" s="57" t="s">
        <v>69</v>
      </c>
      <c r="O51" s="57" t="s">
        <v>69</v>
      </c>
      <c r="P51" s="57" t="s">
        <v>69</v>
      </c>
      <c r="Q51" s="57" t="s">
        <v>69</v>
      </c>
      <c r="R51" s="57" t="s">
        <v>69</v>
      </c>
      <c r="S51" s="57" t="s">
        <v>69</v>
      </c>
      <c r="T51" s="57" t="s">
        <v>69</v>
      </c>
      <c r="U51" s="57" t="s">
        <v>69</v>
      </c>
      <c r="V51" s="57" t="s">
        <v>69</v>
      </c>
      <c r="W51" s="57" t="s">
        <v>69</v>
      </c>
      <c r="X51" s="57" t="s">
        <v>69</v>
      </c>
      <c r="Y51" s="57" t="s">
        <v>69</v>
      </c>
      <c r="Z51" s="57" t="s">
        <v>69</v>
      </c>
      <c r="AA51" s="57" t="s">
        <v>69</v>
      </c>
      <c r="AB51" s="57" t="s">
        <v>69</v>
      </c>
      <c r="AC51" s="57" t="s">
        <v>69</v>
      </c>
      <c r="AD51" s="57" t="s">
        <v>69</v>
      </c>
      <c r="AE51" s="57" t="s">
        <v>69</v>
      </c>
      <c r="AF51" s="57" t="s">
        <v>69</v>
      </c>
      <c r="AG51" s="57" t="s">
        <v>69</v>
      </c>
      <c r="AH51" s="57" t="s">
        <v>69</v>
      </c>
      <c r="AI51" s="57" t="s">
        <v>69</v>
      </c>
      <c r="AJ51" s="24"/>
      <c r="AL51" t="str">
        <f t="shared" ca="1" si="0"/>
        <v xml:space="preserve">    (U1)ALERT_REQ_S_ADBZR_SWS_</v>
      </c>
      <c r="AR51" s="59" t="str">
        <f t="shared" si="3"/>
        <v/>
      </c>
      <c r="AS51" s="59" t="str">
        <f t="shared" si="4"/>
        <v/>
      </c>
      <c r="AT51" s="59" t="str">
        <f t="shared" si="1"/>
        <v/>
      </c>
    </row>
    <row r="52" spans="2:46">
      <c r="B52" s="129"/>
      <c r="C52" s="43">
        <f t="shared" si="2"/>
        <v>46</v>
      </c>
      <c r="D52" s="57" t="s">
        <v>69</v>
      </c>
      <c r="E52" s="57" t="s">
        <v>69</v>
      </c>
      <c r="F52" s="57" t="s">
        <v>69</v>
      </c>
      <c r="G52" s="57" t="s">
        <v>69</v>
      </c>
      <c r="H52" s="57" t="s">
        <v>69</v>
      </c>
      <c r="I52" s="57" t="s">
        <v>69</v>
      </c>
      <c r="J52" s="57" t="s">
        <v>69</v>
      </c>
      <c r="K52" s="57" t="s">
        <v>69</v>
      </c>
      <c r="L52" s="57" t="s">
        <v>69</v>
      </c>
      <c r="M52" s="57" t="s">
        <v>69</v>
      </c>
      <c r="N52" s="57" t="s">
        <v>69</v>
      </c>
      <c r="O52" s="57" t="s">
        <v>69</v>
      </c>
      <c r="P52" s="57" t="s">
        <v>69</v>
      </c>
      <c r="Q52" s="57" t="s">
        <v>69</v>
      </c>
      <c r="R52" s="57" t="s">
        <v>69</v>
      </c>
      <c r="S52" s="57" t="s">
        <v>69</v>
      </c>
      <c r="T52" s="57" t="s">
        <v>69</v>
      </c>
      <c r="U52" s="57" t="s">
        <v>69</v>
      </c>
      <c r="V52" s="57" t="s">
        <v>69</v>
      </c>
      <c r="W52" s="57" t="s">
        <v>69</v>
      </c>
      <c r="X52" s="57" t="s">
        <v>69</v>
      </c>
      <c r="Y52" s="57" t="s">
        <v>69</v>
      </c>
      <c r="Z52" s="57" t="s">
        <v>69</v>
      </c>
      <c r="AA52" s="57" t="s">
        <v>69</v>
      </c>
      <c r="AB52" s="57" t="s">
        <v>69</v>
      </c>
      <c r="AC52" s="57" t="s">
        <v>69</v>
      </c>
      <c r="AD52" s="57" t="s">
        <v>69</v>
      </c>
      <c r="AE52" s="57" t="s">
        <v>69</v>
      </c>
      <c r="AF52" s="57" t="s">
        <v>69</v>
      </c>
      <c r="AG52" s="57" t="s">
        <v>69</v>
      </c>
      <c r="AH52" s="57" t="s">
        <v>69</v>
      </c>
      <c r="AI52" s="57" t="s">
        <v>69</v>
      </c>
      <c r="AJ52" s="24"/>
      <c r="AL52" t="str">
        <f t="shared" ca="1" si="0"/>
        <v xml:space="preserve">    (U1)ALERT_REQ_S_ADBZR_SWS_</v>
      </c>
      <c r="AR52" s="59" t="str">
        <f t="shared" si="3"/>
        <v/>
      </c>
      <c r="AS52" s="59" t="str">
        <f t="shared" si="4"/>
        <v/>
      </c>
      <c r="AT52" s="59" t="str">
        <f t="shared" si="1"/>
        <v/>
      </c>
    </row>
    <row r="53" spans="2:46">
      <c r="B53" s="129"/>
      <c r="C53" s="43">
        <f t="shared" si="2"/>
        <v>47</v>
      </c>
      <c r="D53" s="57" t="s">
        <v>69</v>
      </c>
      <c r="E53" s="57" t="s">
        <v>69</v>
      </c>
      <c r="F53" s="57" t="s">
        <v>69</v>
      </c>
      <c r="G53" s="57" t="s">
        <v>69</v>
      </c>
      <c r="H53" s="57" t="s">
        <v>69</v>
      </c>
      <c r="I53" s="57" t="s">
        <v>69</v>
      </c>
      <c r="J53" s="57" t="s">
        <v>69</v>
      </c>
      <c r="K53" s="57" t="s">
        <v>69</v>
      </c>
      <c r="L53" s="57" t="s">
        <v>69</v>
      </c>
      <c r="M53" s="57" t="s">
        <v>69</v>
      </c>
      <c r="N53" s="57" t="s">
        <v>69</v>
      </c>
      <c r="O53" s="57" t="s">
        <v>69</v>
      </c>
      <c r="P53" s="57" t="s">
        <v>69</v>
      </c>
      <c r="Q53" s="57" t="s">
        <v>69</v>
      </c>
      <c r="R53" s="57" t="s">
        <v>69</v>
      </c>
      <c r="S53" s="57" t="s">
        <v>69</v>
      </c>
      <c r="T53" s="57" t="s">
        <v>69</v>
      </c>
      <c r="U53" s="57" t="s">
        <v>69</v>
      </c>
      <c r="V53" s="57" t="s">
        <v>69</v>
      </c>
      <c r="W53" s="57" t="s">
        <v>69</v>
      </c>
      <c r="X53" s="57" t="s">
        <v>69</v>
      </c>
      <c r="Y53" s="57" t="s">
        <v>69</v>
      </c>
      <c r="Z53" s="57" t="s">
        <v>69</v>
      </c>
      <c r="AA53" s="57" t="s">
        <v>69</v>
      </c>
      <c r="AB53" s="57" t="s">
        <v>69</v>
      </c>
      <c r="AC53" s="57" t="s">
        <v>69</v>
      </c>
      <c r="AD53" s="57" t="s">
        <v>69</v>
      </c>
      <c r="AE53" s="57" t="s">
        <v>69</v>
      </c>
      <c r="AF53" s="57" t="s">
        <v>69</v>
      </c>
      <c r="AG53" s="57" t="s">
        <v>69</v>
      </c>
      <c r="AH53" s="57" t="s">
        <v>69</v>
      </c>
      <c r="AI53" s="57" t="s">
        <v>69</v>
      </c>
      <c r="AJ53" s="24"/>
      <c r="AL53" t="str">
        <f t="shared" ca="1" si="0"/>
        <v xml:space="preserve">    (U1)ALERT_REQ_S_ADBZR_SWS_</v>
      </c>
      <c r="AR53" s="59" t="str">
        <f t="shared" si="3"/>
        <v/>
      </c>
      <c r="AS53" s="59" t="str">
        <f t="shared" si="4"/>
        <v/>
      </c>
      <c r="AT53" s="59" t="str">
        <f t="shared" si="1"/>
        <v/>
      </c>
    </row>
    <row r="54" spans="2:46">
      <c r="B54" s="129"/>
      <c r="C54" s="43">
        <f t="shared" si="2"/>
        <v>48</v>
      </c>
      <c r="D54" s="57" t="s">
        <v>69</v>
      </c>
      <c r="E54" s="57" t="s">
        <v>69</v>
      </c>
      <c r="F54" s="57" t="s">
        <v>69</v>
      </c>
      <c r="G54" s="57" t="s">
        <v>69</v>
      </c>
      <c r="H54" s="57" t="s">
        <v>69</v>
      </c>
      <c r="I54" s="57" t="s">
        <v>69</v>
      </c>
      <c r="J54" s="57" t="s">
        <v>69</v>
      </c>
      <c r="K54" s="57" t="s">
        <v>69</v>
      </c>
      <c r="L54" s="57" t="s">
        <v>69</v>
      </c>
      <c r="M54" s="57" t="s">
        <v>69</v>
      </c>
      <c r="N54" s="57" t="s">
        <v>69</v>
      </c>
      <c r="O54" s="57" t="s">
        <v>69</v>
      </c>
      <c r="P54" s="57" t="s">
        <v>69</v>
      </c>
      <c r="Q54" s="57" t="s">
        <v>69</v>
      </c>
      <c r="R54" s="57" t="s">
        <v>69</v>
      </c>
      <c r="S54" s="57" t="s">
        <v>69</v>
      </c>
      <c r="T54" s="57" t="s">
        <v>69</v>
      </c>
      <c r="U54" s="57" t="s">
        <v>69</v>
      </c>
      <c r="V54" s="57" t="s">
        <v>69</v>
      </c>
      <c r="W54" s="57" t="s">
        <v>69</v>
      </c>
      <c r="X54" s="57" t="s">
        <v>69</v>
      </c>
      <c r="Y54" s="57" t="s">
        <v>69</v>
      </c>
      <c r="Z54" s="57" t="s">
        <v>69</v>
      </c>
      <c r="AA54" s="57" t="s">
        <v>69</v>
      </c>
      <c r="AB54" s="57" t="s">
        <v>69</v>
      </c>
      <c r="AC54" s="57" t="s">
        <v>69</v>
      </c>
      <c r="AD54" s="57" t="s">
        <v>69</v>
      </c>
      <c r="AE54" s="57" t="s">
        <v>69</v>
      </c>
      <c r="AF54" s="57" t="s">
        <v>69</v>
      </c>
      <c r="AG54" s="57" t="s">
        <v>69</v>
      </c>
      <c r="AH54" s="57" t="s">
        <v>69</v>
      </c>
      <c r="AI54" s="57" t="s">
        <v>69</v>
      </c>
      <c r="AJ54" s="24"/>
      <c r="AL54" t="str">
        <f t="shared" ca="1" si="0"/>
        <v xml:space="preserve">    (U1)ALERT_REQ_S_ADBZR_SWS_</v>
      </c>
      <c r="AR54" s="59" t="str">
        <f t="shared" si="3"/>
        <v/>
      </c>
      <c r="AS54" s="59" t="str">
        <f t="shared" si="4"/>
        <v/>
      </c>
      <c r="AT54" s="59" t="str">
        <f t="shared" si="1"/>
        <v/>
      </c>
    </row>
    <row r="55" spans="2:46">
      <c r="B55" s="129"/>
      <c r="C55" s="43">
        <f t="shared" si="2"/>
        <v>49</v>
      </c>
      <c r="D55" s="57" t="s">
        <v>69</v>
      </c>
      <c r="E55" s="57" t="s">
        <v>69</v>
      </c>
      <c r="F55" s="57" t="s">
        <v>69</v>
      </c>
      <c r="G55" s="57" t="s">
        <v>69</v>
      </c>
      <c r="H55" s="57" t="s">
        <v>69</v>
      </c>
      <c r="I55" s="57" t="s">
        <v>69</v>
      </c>
      <c r="J55" s="57" t="s">
        <v>69</v>
      </c>
      <c r="K55" s="57" t="s">
        <v>69</v>
      </c>
      <c r="L55" s="57" t="s">
        <v>69</v>
      </c>
      <c r="M55" s="57" t="s">
        <v>69</v>
      </c>
      <c r="N55" s="57" t="s">
        <v>69</v>
      </c>
      <c r="O55" s="57" t="s">
        <v>69</v>
      </c>
      <c r="P55" s="57" t="s">
        <v>69</v>
      </c>
      <c r="Q55" s="57" t="s">
        <v>69</v>
      </c>
      <c r="R55" s="57" t="s">
        <v>69</v>
      </c>
      <c r="S55" s="57" t="s">
        <v>69</v>
      </c>
      <c r="T55" s="57" t="s">
        <v>69</v>
      </c>
      <c r="U55" s="57" t="s">
        <v>69</v>
      </c>
      <c r="V55" s="57" t="s">
        <v>69</v>
      </c>
      <c r="W55" s="57" t="s">
        <v>69</v>
      </c>
      <c r="X55" s="57" t="s">
        <v>69</v>
      </c>
      <c r="Y55" s="57" t="s">
        <v>69</v>
      </c>
      <c r="Z55" s="57" t="s">
        <v>69</v>
      </c>
      <c r="AA55" s="57" t="s">
        <v>69</v>
      </c>
      <c r="AB55" s="57" t="s">
        <v>69</v>
      </c>
      <c r="AC55" s="57" t="s">
        <v>69</v>
      </c>
      <c r="AD55" s="57" t="s">
        <v>69</v>
      </c>
      <c r="AE55" s="57" t="s">
        <v>69</v>
      </c>
      <c r="AF55" s="57" t="s">
        <v>69</v>
      </c>
      <c r="AG55" s="57" t="s">
        <v>69</v>
      </c>
      <c r="AH55" s="57" t="s">
        <v>69</v>
      </c>
      <c r="AI55" s="57" t="s">
        <v>69</v>
      </c>
      <c r="AJ55" s="24"/>
      <c r="AL55" t="str">
        <f t="shared" ca="1" si="0"/>
        <v xml:space="preserve">    (U1)ALERT_REQ_S_ADBZR_SWS_</v>
      </c>
      <c r="AR55" s="59" t="str">
        <f t="shared" si="3"/>
        <v/>
      </c>
      <c r="AS55" s="59" t="str">
        <f t="shared" si="4"/>
        <v/>
      </c>
      <c r="AT55" s="59" t="str">
        <f t="shared" si="1"/>
        <v/>
      </c>
    </row>
    <row r="56" spans="2:46">
      <c r="B56" s="129"/>
      <c r="C56" s="43">
        <f t="shared" si="2"/>
        <v>50</v>
      </c>
      <c r="D56" s="57" t="s">
        <v>69</v>
      </c>
      <c r="E56" s="57" t="s">
        <v>69</v>
      </c>
      <c r="F56" s="57" t="s">
        <v>69</v>
      </c>
      <c r="G56" s="57" t="s">
        <v>69</v>
      </c>
      <c r="H56" s="57" t="s">
        <v>69</v>
      </c>
      <c r="I56" s="57" t="s">
        <v>69</v>
      </c>
      <c r="J56" s="57" t="s">
        <v>69</v>
      </c>
      <c r="K56" s="57" t="s">
        <v>69</v>
      </c>
      <c r="L56" s="57" t="s">
        <v>69</v>
      </c>
      <c r="M56" s="57" t="s">
        <v>69</v>
      </c>
      <c r="N56" s="57" t="s">
        <v>69</v>
      </c>
      <c r="O56" s="57" t="s">
        <v>69</v>
      </c>
      <c r="P56" s="57" t="s">
        <v>69</v>
      </c>
      <c r="Q56" s="57" t="s">
        <v>69</v>
      </c>
      <c r="R56" s="57" t="s">
        <v>69</v>
      </c>
      <c r="S56" s="57" t="s">
        <v>69</v>
      </c>
      <c r="T56" s="57" t="s">
        <v>69</v>
      </c>
      <c r="U56" s="57" t="s">
        <v>69</v>
      </c>
      <c r="V56" s="57" t="s">
        <v>69</v>
      </c>
      <c r="W56" s="57" t="s">
        <v>69</v>
      </c>
      <c r="X56" s="57" t="s">
        <v>69</v>
      </c>
      <c r="Y56" s="57" t="s">
        <v>69</v>
      </c>
      <c r="Z56" s="57" t="s">
        <v>69</v>
      </c>
      <c r="AA56" s="57" t="s">
        <v>69</v>
      </c>
      <c r="AB56" s="57" t="s">
        <v>69</v>
      </c>
      <c r="AC56" s="57" t="s">
        <v>69</v>
      </c>
      <c r="AD56" s="57" t="s">
        <v>69</v>
      </c>
      <c r="AE56" s="57" t="s">
        <v>69</v>
      </c>
      <c r="AF56" s="57" t="s">
        <v>69</v>
      </c>
      <c r="AG56" s="57" t="s">
        <v>69</v>
      </c>
      <c r="AH56" s="57" t="s">
        <v>69</v>
      </c>
      <c r="AI56" s="57" t="s">
        <v>69</v>
      </c>
      <c r="AJ56" s="24"/>
      <c r="AL56" t="str">
        <f t="shared" ca="1" si="0"/>
        <v xml:space="preserve">    (U1)ALERT_REQ_S_ADBZR_SWS_</v>
      </c>
      <c r="AR56" s="59" t="str">
        <f t="shared" si="3"/>
        <v/>
      </c>
      <c r="AS56" s="59" t="str">
        <f t="shared" si="4"/>
        <v/>
      </c>
      <c r="AT56" s="59" t="str">
        <f t="shared" si="1"/>
        <v/>
      </c>
    </row>
    <row r="57" spans="2:46">
      <c r="B57" s="129"/>
      <c r="C57" s="43">
        <f t="shared" si="2"/>
        <v>51</v>
      </c>
      <c r="D57" s="57" t="s">
        <v>69</v>
      </c>
      <c r="E57" s="57" t="s">
        <v>69</v>
      </c>
      <c r="F57" s="57" t="s">
        <v>69</v>
      </c>
      <c r="G57" s="57" t="s">
        <v>69</v>
      </c>
      <c r="H57" s="57" t="s">
        <v>69</v>
      </c>
      <c r="I57" s="57" t="s">
        <v>69</v>
      </c>
      <c r="J57" s="57" t="s">
        <v>69</v>
      </c>
      <c r="K57" s="57" t="s">
        <v>69</v>
      </c>
      <c r="L57" s="57" t="s">
        <v>69</v>
      </c>
      <c r="M57" s="57" t="s">
        <v>69</v>
      </c>
      <c r="N57" s="57" t="s">
        <v>69</v>
      </c>
      <c r="O57" s="57" t="s">
        <v>69</v>
      </c>
      <c r="P57" s="57" t="s">
        <v>69</v>
      </c>
      <c r="Q57" s="57" t="s">
        <v>69</v>
      </c>
      <c r="R57" s="57" t="s">
        <v>69</v>
      </c>
      <c r="S57" s="57" t="s">
        <v>69</v>
      </c>
      <c r="T57" s="57" t="s">
        <v>69</v>
      </c>
      <c r="U57" s="57" t="s">
        <v>69</v>
      </c>
      <c r="V57" s="57" t="s">
        <v>69</v>
      </c>
      <c r="W57" s="57" t="s">
        <v>69</v>
      </c>
      <c r="X57" s="57" t="s">
        <v>69</v>
      </c>
      <c r="Y57" s="57" t="s">
        <v>69</v>
      </c>
      <c r="Z57" s="57" t="s">
        <v>69</v>
      </c>
      <c r="AA57" s="57" t="s">
        <v>69</v>
      </c>
      <c r="AB57" s="57" t="s">
        <v>69</v>
      </c>
      <c r="AC57" s="57" t="s">
        <v>69</v>
      </c>
      <c r="AD57" s="57" t="s">
        <v>69</v>
      </c>
      <c r="AE57" s="57" t="s">
        <v>69</v>
      </c>
      <c r="AF57" s="57" t="s">
        <v>69</v>
      </c>
      <c r="AG57" s="57" t="s">
        <v>69</v>
      </c>
      <c r="AH57" s="57" t="s">
        <v>69</v>
      </c>
      <c r="AI57" s="57" t="s">
        <v>69</v>
      </c>
      <c r="AJ57" s="24"/>
      <c r="AL57" t="str">
        <f t="shared" ca="1" si="0"/>
        <v xml:space="preserve">    (U1)ALERT_REQ_S_ADBZR_SWS_</v>
      </c>
      <c r="AR57" s="59" t="str">
        <f t="shared" si="3"/>
        <v/>
      </c>
      <c r="AS57" s="59" t="str">
        <f t="shared" si="4"/>
        <v/>
      </c>
      <c r="AT57" s="59" t="str">
        <f t="shared" si="1"/>
        <v/>
      </c>
    </row>
    <row r="58" spans="2:46">
      <c r="B58" s="129"/>
      <c r="C58" s="43">
        <f t="shared" si="2"/>
        <v>52</v>
      </c>
      <c r="D58" s="57" t="s">
        <v>69</v>
      </c>
      <c r="E58" s="57" t="s">
        <v>69</v>
      </c>
      <c r="F58" s="57" t="s">
        <v>69</v>
      </c>
      <c r="G58" s="57" t="s">
        <v>69</v>
      </c>
      <c r="H58" s="57" t="s">
        <v>69</v>
      </c>
      <c r="I58" s="57" t="s">
        <v>69</v>
      </c>
      <c r="J58" s="57" t="s">
        <v>69</v>
      </c>
      <c r="K58" s="57" t="s">
        <v>69</v>
      </c>
      <c r="L58" s="57" t="s">
        <v>69</v>
      </c>
      <c r="M58" s="57" t="s">
        <v>69</v>
      </c>
      <c r="N58" s="57" t="s">
        <v>69</v>
      </c>
      <c r="O58" s="57" t="s">
        <v>69</v>
      </c>
      <c r="P58" s="57" t="s">
        <v>69</v>
      </c>
      <c r="Q58" s="57" t="s">
        <v>69</v>
      </c>
      <c r="R58" s="57" t="s">
        <v>69</v>
      </c>
      <c r="S58" s="57" t="s">
        <v>69</v>
      </c>
      <c r="T58" s="57" t="s">
        <v>69</v>
      </c>
      <c r="U58" s="57" t="s">
        <v>69</v>
      </c>
      <c r="V58" s="57" t="s">
        <v>69</v>
      </c>
      <c r="W58" s="57" t="s">
        <v>69</v>
      </c>
      <c r="X58" s="57" t="s">
        <v>69</v>
      </c>
      <c r="Y58" s="57" t="s">
        <v>69</v>
      </c>
      <c r="Z58" s="57" t="s">
        <v>69</v>
      </c>
      <c r="AA58" s="57" t="s">
        <v>69</v>
      </c>
      <c r="AB58" s="57" t="s">
        <v>69</v>
      </c>
      <c r="AC58" s="57" t="s">
        <v>69</v>
      </c>
      <c r="AD58" s="57" t="s">
        <v>69</v>
      </c>
      <c r="AE58" s="57" t="s">
        <v>69</v>
      </c>
      <c r="AF58" s="57" t="s">
        <v>69</v>
      </c>
      <c r="AG58" s="57" t="s">
        <v>69</v>
      </c>
      <c r="AH58" s="57" t="s">
        <v>69</v>
      </c>
      <c r="AI58" s="57" t="s">
        <v>69</v>
      </c>
      <c r="AJ58" s="24"/>
      <c r="AL58" t="str">
        <f t="shared" ca="1" si="0"/>
        <v xml:space="preserve">    (U1)ALERT_REQ_S_ADBZR_SWS_</v>
      </c>
      <c r="AR58" s="59" t="str">
        <f t="shared" si="3"/>
        <v/>
      </c>
      <c r="AS58" s="59" t="str">
        <f t="shared" si="4"/>
        <v/>
      </c>
      <c r="AT58" s="59" t="str">
        <f t="shared" si="1"/>
        <v/>
      </c>
    </row>
    <row r="59" spans="2:46">
      <c r="B59" s="129"/>
      <c r="C59" s="43">
        <f t="shared" si="2"/>
        <v>53</v>
      </c>
      <c r="D59" s="57" t="s">
        <v>69</v>
      </c>
      <c r="E59" s="57" t="s">
        <v>69</v>
      </c>
      <c r="F59" s="57" t="s">
        <v>69</v>
      </c>
      <c r="G59" s="57" t="s">
        <v>69</v>
      </c>
      <c r="H59" s="57" t="s">
        <v>69</v>
      </c>
      <c r="I59" s="57" t="s">
        <v>69</v>
      </c>
      <c r="J59" s="57" t="s">
        <v>69</v>
      </c>
      <c r="K59" s="57" t="s">
        <v>69</v>
      </c>
      <c r="L59" s="57" t="s">
        <v>69</v>
      </c>
      <c r="M59" s="57" t="s">
        <v>69</v>
      </c>
      <c r="N59" s="57" t="s">
        <v>69</v>
      </c>
      <c r="O59" s="57" t="s">
        <v>69</v>
      </c>
      <c r="P59" s="57" t="s">
        <v>69</v>
      </c>
      <c r="Q59" s="57" t="s">
        <v>69</v>
      </c>
      <c r="R59" s="57" t="s">
        <v>69</v>
      </c>
      <c r="S59" s="57" t="s">
        <v>69</v>
      </c>
      <c r="T59" s="57" t="s">
        <v>69</v>
      </c>
      <c r="U59" s="57" t="s">
        <v>69</v>
      </c>
      <c r="V59" s="57" t="s">
        <v>69</v>
      </c>
      <c r="W59" s="57" t="s">
        <v>69</v>
      </c>
      <c r="X59" s="57" t="s">
        <v>69</v>
      </c>
      <c r="Y59" s="57" t="s">
        <v>69</v>
      </c>
      <c r="Z59" s="57" t="s">
        <v>69</v>
      </c>
      <c r="AA59" s="57" t="s">
        <v>69</v>
      </c>
      <c r="AB59" s="57" t="s">
        <v>69</v>
      </c>
      <c r="AC59" s="57" t="s">
        <v>69</v>
      </c>
      <c r="AD59" s="57" t="s">
        <v>69</v>
      </c>
      <c r="AE59" s="57" t="s">
        <v>69</v>
      </c>
      <c r="AF59" s="57" t="s">
        <v>69</v>
      </c>
      <c r="AG59" s="57" t="s">
        <v>69</v>
      </c>
      <c r="AH59" s="57" t="s">
        <v>69</v>
      </c>
      <c r="AI59" s="57" t="s">
        <v>69</v>
      </c>
      <c r="AJ59" s="24"/>
      <c r="AL59" t="str">
        <f t="shared" ca="1" si="0"/>
        <v xml:space="preserve">    (U1)ALERT_REQ_S_ADBZR_SWS_</v>
      </c>
      <c r="AR59" s="59" t="str">
        <f t="shared" si="3"/>
        <v/>
      </c>
      <c r="AS59" s="59" t="str">
        <f t="shared" si="4"/>
        <v/>
      </c>
      <c r="AT59" s="59" t="str">
        <f t="shared" si="1"/>
        <v/>
      </c>
    </row>
    <row r="60" spans="2:46">
      <c r="B60" s="129"/>
      <c r="C60" s="43">
        <f t="shared" si="2"/>
        <v>54</v>
      </c>
      <c r="D60" s="57" t="s">
        <v>69</v>
      </c>
      <c r="E60" s="57" t="s">
        <v>69</v>
      </c>
      <c r="F60" s="57" t="s">
        <v>69</v>
      </c>
      <c r="G60" s="57" t="s">
        <v>69</v>
      </c>
      <c r="H60" s="57" t="s">
        <v>69</v>
      </c>
      <c r="I60" s="57" t="s">
        <v>69</v>
      </c>
      <c r="J60" s="57" t="s">
        <v>69</v>
      </c>
      <c r="K60" s="57" t="s">
        <v>69</v>
      </c>
      <c r="L60" s="57" t="s">
        <v>69</v>
      </c>
      <c r="M60" s="57" t="s">
        <v>69</v>
      </c>
      <c r="N60" s="57" t="s">
        <v>69</v>
      </c>
      <c r="O60" s="57" t="s">
        <v>69</v>
      </c>
      <c r="P60" s="57" t="s">
        <v>69</v>
      </c>
      <c r="Q60" s="57" t="s">
        <v>69</v>
      </c>
      <c r="R60" s="57" t="s">
        <v>69</v>
      </c>
      <c r="S60" s="57" t="s">
        <v>69</v>
      </c>
      <c r="T60" s="57" t="s">
        <v>69</v>
      </c>
      <c r="U60" s="57" t="s">
        <v>69</v>
      </c>
      <c r="V60" s="57" t="s">
        <v>69</v>
      </c>
      <c r="W60" s="57" t="s">
        <v>69</v>
      </c>
      <c r="X60" s="57" t="s">
        <v>69</v>
      </c>
      <c r="Y60" s="57" t="s">
        <v>69</v>
      </c>
      <c r="Z60" s="57" t="s">
        <v>69</v>
      </c>
      <c r="AA60" s="57" t="s">
        <v>69</v>
      </c>
      <c r="AB60" s="57" t="s">
        <v>69</v>
      </c>
      <c r="AC60" s="57" t="s">
        <v>69</v>
      </c>
      <c r="AD60" s="57" t="s">
        <v>69</v>
      </c>
      <c r="AE60" s="57" t="s">
        <v>69</v>
      </c>
      <c r="AF60" s="57" t="s">
        <v>69</v>
      </c>
      <c r="AG60" s="57" t="s">
        <v>69</v>
      </c>
      <c r="AH60" s="57" t="s">
        <v>69</v>
      </c>
      <c r="AI60" s="57" t="s">
        <v>69</v>
      </c>
      <c r="AJ60" s="24"/>
      <c r="AL60" t="str">
        <f t="shared" ca="1" si="0"/>
        <v xml:space="preserve">    (U1)ALERT_REQ_S_ADBZR_SWS_</v>
      </c>
      <c r="AR60" s="59" t="str">
        <f t="shared" si="3"/>
        <v/>
      </c>
      <c r="AS60" s="59" t="str">
        <f t="shared" si="4"/>
        <v/>
      </c>
      <c r="AT60" s="59" t="str">
        <f t="shared" si="1"/>
        <v/>
      </c>
    </row>
    <row r="61" spans="2:46">
      <c r="B61" s="129"/>
      <c r="C61" s="43">
        <f t="shared" si="2"/>
        <v>55</v>
      </c>
      <c r="D61" s="57" t="s">
        <v>69</v>
      </c>
      <c r="E61" s="57" t="s">
        <v>69</v>
      </c>
      <c r="F61" s="57" t="s">
        <v>69</v>
      </c>
      <c r="G61" s="57" t="s">
        <v>69</v>
      </c>
      <c r="H61" s="57" t="s">
        <v>69</v>
      </c>
      <c r="I61" s="57" t="s">
        <v>69</v>
      </c>
      <c r="J61" s="57" t="s">
        <v>69</v>
      </c>
      <c r="K61" s="57" t="s">
        <v>69</v>
      </c>
      <c r="L61" s="57" t="s">
        <v>69</v>
      </c>
      <c r="M61" s="57" t="s">
        <v>69</v>
      </c>
      <c r="N61" s="57" t="s">
        <v>69</v>
      </c>
      <c r="O61" s="57" t="s">
        <v>69</v>
      </c>
      <c r="P61" s="57" t="s">
        <v>69</v>
      </c>
      <c r="Q61" s="57" t="s">
        <v>69</v>
      </c>
      <c r="R61" s="57" t="s">
        <v>69</v>
      </c>
      <c r="S61" s="57" t="s">
        <v>69</v>
      </c>
      <c r="T61" s="57" t="s">
        <v>69</v>
      </c>
      <c r="U61" s="57" t="s">
        <v>69</v>
      </c>
      <c r="V61" s="57" t="s">
        <v>69</v>
      </c>
      <c r="W61" s="57" t="s">
        <v>69</v>
      </c>
      <c r="X61" s="57" t="s">
        <v>69</v>
      </c>
      <c r="Y61" s="57" t="s">
        <v>69</v>
      </c>
      <c r="Z61" s="57" t="s">
        <v>69</v>
      </c>
      <c r="AA61" s="57" t="s">
        <v>69</v>
      </c>
      <c r="AB61" s="57" t="s">
        <v>69</v>
      </c>
      <c r="AC61" s="57" t="s">
        <v>69</v>
      </c>
      <c r="AD61" s="57" t="s">
        <v>69</v>
      </c>
      <c r="AE61" s="57" t="s">
        <v>69</v>
      </c>
      <c r="AF61" s="57" t="s">
        <v>69</v>
      </c>
      <c r="AG61" s="57" t="s">
        <v>69</v>
      </c>
      <c r="AH61" s="57" t="s">
        <v>69</v>
      </c>
      <c r="AI61" s="57" t="s">
        <v>69</v>
      </c>
      <c r="AJ61" s="24"/>
      <c r="AL61" t="str">
        <f t="shared" ca="1" si="0"/>
        <v xml:space="preserve">    (U1)ALERT_REQ_S_ADBZR_SWS_</v>
      </c>
      <c r="AR61" s="59" t="str">
        <f t="shared" si="3"/>
        <v/>
      </c>
      <c r="AS61" s="59" t="str">
        <f t="shared" si="4"/>
        <v/>
      </c>
      <c r="AT61" s="59" t="str">
        <f t="shared" si="1"/>
        <v/>
      </c>
    </row>
    <row r="62" spans="2:46">
      <c r="B62" s="129"/>
      <c r="C62" s="43">
        <f t="shared" si="2"/>
        <v>56</v>
      </c>
      <c r="D62" s="57" t="s">
        <v>69</v>
      </c>
      <c r="E62" s="57" t="s">
        <v>69</v>
      </c>
      <c r="F62" s="57" t="s">
        <v>69</v>
      </c>
      <c r="G62" s="57" t="s">
        <v>69</v>
      </c>
      <c r="H62" s="57" t="s">
        <v>69</v>
      </c>
      <c r="I62" s="57" t="s">
        <v>69</v>
      </c>
      <c r="J62" s="57" t="s">
        <v>69</v>
      </c>
      <c r="K62" s="57" t="s">
        <v>69</v>
      </c>
      <c r="L62" s="57" t="s">
        <v>69</v>
      </c>
      <c r="M62" s="57" t="s">
        <v>69</v>
      </c>
      <c r="N62" s="57" t="s">
        <v>69</v>
      </c>
      <c r="O62" s="57" t="s">
        <v>69</v>
      </c>
      <c r="P62" s="57" t="s">
        <v>69</v>
      </c>
      <c r="Q62" s="57" t="s">
        <v>69</v>
      </c>
      <c r="R62" s="57" t="s">
        <v>69</v>
      </c>
      <c r="S62" s="57" t="s">
        <v>69</v>
      </c>
      <c r="T62" s="57" t="s">
        <v>69</v>
      </c>
      <c r="U62" s="57" t="s">
        <v>69</v>
      </c>
      <c r="V62" s="57" t="s">
        <v>69</v>
      </c>
      <c r="W62" s="57" t="s">
        <v>69</v>
      </c>
      <c r="X62" s="57" t="s">
        <v>69</v>
      </c>
      <c r="Y62" s="57" t="s">
        <v>69</v>
      </c>
      <c r="Z62" s="57" t="s">
        <v>69</v>
      </c>
      <c r="AA62" s="57" t="s">
        <v>69</v>
      </c>
      <c r="AB62" s="57" t="s">
        <v>69</v>
      </c>
      <c r="AC62" s="57" t="s">
        <v>69</v>
      </c>
      <c r="AD62" s="57" t="s">
        <v>69</v>
      </c>
      <c r="AE62" s="57" t="s">
        <v>69</v>
      </c>
      <c r="AF62" s="57" t="s">
        <v>69</v>
      </c>
      <c r="AG62" s="57" t="s">
        <v>69</v>
      </c>
      <c r="AH62" s="57" t="s">
        <v>69</v>
      </c>
      <c r="AI62" s="57" t="s">
        <v>69</v>
      </c>
      <c r="AJ62" s="24"/>
      <c r="AL62" t="str">
        <f t="shared" ca="1" si="0"/>
        <v xml:space="preserve">    (U1)ALERT_REQ_S_ADBZR_SWS_</v>
      </c>
      <c r="AR62" s="59" t="str">
        <f t="shared" si="3"/>
        <v/>
      </c>
      <c r="AS62" s="59" t="str">
        <f t="shared" si="4"/>
        <v/>
      </c>
      <c r="AT62" s="59" t="str">
        <f t="shared" si="1"/>
        <v/>
      </c>
    </row>
    <row r="63" spans="2:46">
      <c r="B63" s="129"/>
      <c r="C63" s="43">
        <f t="shared" si="2"/>
        <v>57</v>
      </c>
      <c r="D63" s="57" t="s">
        <v>69</v>
      </c>
      <c r="E63" s="57" t="s">
        <v>69</v>
      </c>
      <c r="F63" s="57" t="s">
        <v>69</v>
      </c>
      <c r="G63" s="57" t="s">
        <v>69</v>
      </c>
      <c r="H63" s="57" t="s">
        <v>69</v>
      </c>
      <c r="I63" s="57" t="s">
        <v>69</v>
      </c>
      <c r="J63" s="57" t="s">
        <v>69</v>
      </c>
      <c r="K63" s="57" t="s">
        <v>69</v>
      </c>
      <c r="L63" s="57" t="s">
        <v>69</v>
      </c>
      <c r="M63" s="57" t="s">
        <v>69</v>
      </c>
      <c r="N63" s="57" t="s">
        <v>69</v>
      </c>
      <c r="O63" s="57" t="s">
        <v>69</v>
      </c>
      <c r="P63" s="57" t="s">
        <v>69</v>
      </c>
      <c r="Q63" s="57" t="s">
        <v>69</v>
      </c>
      <c r="R63" s="57" t="s">
        <v>69</v>
      </c>
      <c r="S63" s="57" t="s">
        <v>69</v>
      </c>
      <c r="T63" s="57" t="s">
        <v>69</v>
      </c>
      <c r="U63" s="57" t="s">
        <v>69</v>
      </c>
      <c r="V63" s="57" t="s">
        <v>69</v>
      </c>
      <c r="W63" s="57" t="s">
        <v>69</v>
      </c>
      <c r="X63" s="57" t="s">
        <v>69</v>
      </c>
      <c r="Y63" s="57" t="s">
        <v>69</v>
      </c>
      <c r="Z63" s="57" t="s">
        <v>69</v>
      </c>
      <c r="AA63" s="57" t="s">
        <v>69</v>
      </c>
      <c r="AB63" s="57" t="s">
        <v>69</v>
      </c>
      <c r="AC63" s="57" t="s">
        <v>69</v>
      </c>
      <c r="AD63" s="57" t="s">
        <v>69</v>
      </c>
      <c r="AE63" s="57" t="s">
        <v>69</v>
      </c>
      <c r="AF63" s="57" t="s">
        <v>69</v>
      </c>
      <c r="AG63" s="57" t="s">
        <v>69</v>
      </c>
      <c r="AH63" s="57" t="s">
        <v>69</v>
      </c>
      <c r="AI63" s="57" t="s">
        <v>69</v>
      </c>
      <c r="AJ63" s="24"/>
      <c r="AL63" t="str">
        <f t="shared" ca="1" si="0"/>
        <v xml:space="preserve">    (U1)ALERT_REQ_S_ADBZR_SWS_</v>
      </c>
      <c r="AR63" s="59" t="str">
        <f t="shared" si="3"/>
        <v/>
      </c>
      <c r="AS63" s="59" t="str">
        <f t="shared" si="4"/>
        <v/>
      </c>
      <c r="AT63" s="59" t="str">
        <f t="shared" si="1"/>
        <v/>
      </c>
    </row>
    <row r="64" spans="2:46">
      <c r="B64" s="129"/>
      <c r="C64" s="43">
        <f t="shared" si="2"/>
        <v>58</v>
      </c>
      <c r="D64" s="57" t="s">
        <v>69</v>
      </c>
      <c r="E64" s="57" t="s">
        <v>69</v>
      </c>
      <c r="F64" s="57" t="s">
        <v>69</v>
      </c>
      <c r="G64" s="57" t="s">
        <v>69</v>
      </c>
      <c r="H64" s="57" t="s">
        <v>69</v>
      </c>
      <c r="I64" s="57" t="s">
        <v>69</v>
      </c>
      <c r="J64" s="57" t="s">
        <v>69</v>
      </c>
      <c r="K64" s="57" t="s">
        <v>69</v>
      </c>
      <c r="L64" s="57" t="s">
        <v>69</v>
      </c>
      <c r="M64" s="57" t="s">
        <v>69</v>
      </c>
      <c r="N64" s="57" t="s">
        <v>69</v>
      </c>
      <c r="O64" s="57" t="s">
        <v>69</v>
      </c>
      <c r="P64" s="57" t="s">
        <v>69</v>
      </c>
      <c r="Q64" s="57" t="s">
        <v>69</v>
      </c>
      <c r="R64" s="57" t="s">
        <v>69</v>
      </c>
      <c r="S64" s="57" t="s">
        <v>69</v>
      </c>
      <c r="T64" s="57" t="s">
        <v>69</v>
      </c>
      <c r="U64" s="57" t="s">
        <v>69</v>
      </c>
      <c r="V64" s="57" t="s">
        <v>69</v>
      </c>
      <c r="W64" s="57" t="s">
        <v>69</v>
      </c>
      <c r="X64" s="57" t="s">
        <v>69</v>
      </c>
      <c r="Y64" s="57" t="s">
        <v>69</v>
      </c>
      <c r="Z64" s="57" t="s">
        <v>69</v>
      </c>
      <c r="AA64" s="57" t="s">
        <v>69</v>
      </c>
      <c r="AB64" s="57" t="s">
        <v>69</v>
      </c>
      <c r="AC64" s="57" t="s">
        <v>69</v>
      </c>
      <c r="AD64" s="57" t="s">
        <v>69</v>
      </c>
      <c r="AE64" s="57" t="s">
        <v>69</v>
      </c>
      <c r="AF64" s="57" t="s">
        <v>69</v>
      </c>
      <c r="AG64" s="57" t="s">
        <v>69</v>
      </c>
      <c r="AH64" s="57" t="s">
        <v>69</v>
      </c>
      <c r="AI64" s="57" t="s">
        <v>69</v>
      </c>
      <c r="AJ64" s="24"/>
      <c r="AL64" t="str">
        <f t="shared" ca="1" si="0"/>
        <v xml:space="preserve">    (U1)ALERT_REQ_S_ADBZR_SWS_</v>
      </c>
      <c r="AR64" s="59" t="str">
        <f t="shared" si="3"/>
        <v/>
      </c>
      <c r="AS64" s="59" t="str">
        <f t="shared" si="4"/>
        <v/>
      </c>
      <c r="AT64" s="59" t="str">
        <f t="shared" si="1"/>
        <v/>
      </c>
    </row>
    <row r="65" spans="1:46">
      <c r="B65" s="129"/>
      <c r="C65" s="43">
        <f t="shared" si="2"/>
        <v>59</v>
      </c>
      <c r="D65" s="57" t="s">
        <v>69</v>
      </c>
      <c r="E65" s="57" t="s">
        <v>69</v>
      </c>
      <c r="F65" s="57" t="s">
        <v>69</v>
      </c>
      <c r="G65" s="57" t="s">
        <v>69</v>
      </c>
      <c r="H65" s="57" t="s">
        <v>69</v>
      </c>
      <c r="I65" s="57" t="s">
        <v>69</v>
      </c>
      <c r="J65" s="57" t="s">
        <v>69</v>
      </c>
      <c r="K65" s="57" t="s">
        <v>69</v>
      </c>
      <c r="L65" s="57" t="s">
        <v>69</v>
      </c>
      <c r="M65" s="57" t="s">
        <v>69</v>
      </c>
      <c r="N65" s="57" t="s">
        <v>69</v>
      </c>
      <c r="O65" s="57" t="s">
        <v>69</v>
      </c>
      <c r="P65" s="57" t="s">
        <v>69</v>
      </c>
      <c r="Q65" s="57" t="s">
        <v>69</v>
      </c>
      <c r="R65" s="57" t="s">
        <v>69</v>
      </c>
      <c r="S65" s="57" t="s">
        <v>69</v>
      </c>
      <c r="T65" s="57" t="s">
        <v>69</v>
      </c>
      <c r="U65" s="57" t="s">
        <v>69</v>
      </c>
      <c r="V65" s="57" t="s">
        <v>69</v>
      </c>
      <c r="W65" s="57" t="s">
        <v>69</v>
      </c>
      <c r="X65" s="57" t="s">
        <v>69</v>
      </c>
      <c r="Y65" s="57" t="s">
        <v>69</v>
      </c>
      <c r="Z65" s="57" t="s">
        <v>69</v>
      </c>
      <c r="AA65" s="57" t="s">
        <v>69</v>
      </c>
      <c r="AB65" s="57" t="s">
        <v>69</v>
      </c>
      <c r="AC65" s="57" t="s">
        <v>69</v>
      </c>
      <c r="AD65" s="57" t="s">
        <v>69</v>
      </c>
      <c r="AE65" s="57" t="s">
        <v>69</v>
      </c>
      <c r="AF65" s="57" t="s">
        <v>69</v>
      </c>
      <c r="AG65" s="57" t="s">
        <v>69</v>
      </c>
      <c r="AH65" s="57" t="s">
        <v>69</v>
      </c>
      <c r="AI65" s="57" t="s">
        <v>69</v>
      </c>
      <c r="AJ65" s="24"/>
      <c r="AL65" t="str">
        <f t="shared" ca="1" si="0"/>
        <v xml:space="preserve">    (U1)ALERT_REQ_S_ADBZR_SWS_</v>
      </c>
      <c r="AR65" s="59" t="str">
        <f t="shared" si="3"/>
        <v/>
      </c>
      <c r="AS65" s="59" t="str">
        <f t="shared" si="4"/>
        <v/>
      </c>
      <c r="AT65" s="59" t="str">
        <f t="shared" si="1"/>
        <v/>
      </c>
    </row>
    <row r="66" spans="1:46">
      <c r="B66" s="129"/>
      <c r="C66" s="43">
        <f t="shared" si="2"/>
        <v>60</v>
      </c>
      <c r="D66" s="57" t="s">
        <v>69</v>
      </c>
      <c r="E66" s="57" t="s">
        <v>69</v>
      </c>
      <c r="F66" s="57" t="s">
        <v>69</v>
      </c>
      <c r="G66" s="57" t="s">
        <v>69</v>
      </c>
      <c r="H66" s="57" t="s">
        <v>69</v>
      </c>
      <c r="I66" s="57" t="s">
        <v>69</v>
      </c>
      <c r="J66" s="57" t="s">
        <v>69</v>
      </c>
      <c r="K66" s="57" t="s">
        <v>69</v>
      </c>
      <c r="L66" s="57" t="s">
        <v>69</v>
      </c>
      <c r="M66" s="57" t="s">
        <v>69</v>
      </c>
      <c r="N66" s="57" t="s">
        <v>69</v>
      </c>
      <c r="O66" s="57" t="s">
        <v>69</v>
      </c>
      <c r="P66" s="57" t="s">
        <v>69</v>
      </c>
      <c r="Q66" s="57" t="s">
        <v>69</v>
      </c>
      <c r="R66" s="57" t="s">
        <v>69</v>
      </c>
      <c r="S66" s="57" t="s">
        <v>69</v>
      </c>
      <c r="T66" s="57" t="s">
        <v>69</v>
      </c>
      <c r="U66" s="57" t="s">
        <v>69</v>
      </c>
      <c r="V66" s="57" t="s">
        <v>69</v>
      </c>
      <c r="W66" s="57" t="s">
        <v>69</v>
      </c>
      <c r="X66" s="57" t="s">
        <v>69</v>
      </c>
      <c r="Y66" s="57" t="s">
        <v>69</v>
      </c>
      <c r="Z66" s="57" t="s">
        <v>69</v>
      </c>
      <c r="AA66" s="57" t="s">
        <v>69</v>
      </c>
      <c r="AB66" s="57" t="s">
        <v>69</v>
      </c>
      <c r="AC66" s="57" t="s">
        <v>69</v>
      </c>
      <c r="AD66" s="57" t="s">
        <v>69</v>
      </c>
      <c r="AE66" s="57" t="s">
        <v>69</v>
      </c>
      <c r="AF66" s="57" t="s">
        <v>69</v>
      </c>
      <c r="AG66" s="57" t="s">
        <v>69</v>
      </c>
      <c r="AH66" s="57" t="s">
        <v>69</v>
      </c>
      <c r="AI66" s="57" t="s">
        <v>69</v>
      </c>
      <c r="AJ66" s="24"/>
      <c r="AL66" t="str">
        <f t="shared" ca="1" si="0"/>
        <v xml:space="preserve">    (U1)ALERT_REQ_S_ADBZR_SWS_</v>
      </c>
      <c r="AR66" s="59" t="str">
        <f t="shared" si="3"/>
        <v/>
      </c>
      <c r="AS66" s="59" t="str">
        <f t="shared" si="4"/>
        <v/>
      </c>
      <c r="AT66" s="59" t="str">
        <f t="shared" si="1"/>
        <v/>
      </c>
    </row>
    <row r="67" spans="1:46">
      <c r="B67" s="129"/>
      <c r="C67" s="43">
        <f t="shared" si="2"/>
        <v>61</v>
      </c>
      <c r="D67" s="57" t="s">
        <v>69</v>
      </c>
      <c r="E67" s="57" t="s">
        <v>69</v>
      </c>
      <c r="F67" s="57" t="s">
        <v>69</v>
      </c>
      <c r="G67" s="57" t="s">
        <v>69</v>
      </c>
      <c r="H67" s="57" t="s">
        <v>69</v>
      </c>
      <c r="I67" s="57" t="s">
        <v>69</v>
      </c>
      <c r="J67" s="57" t="s">
        <v>69</v>
      </c>
      <c r="K67" s="57" t="s">
        <v>69</v>
      </c>
      <c r="L67" s="57" t="s">
        <v>69</v>
      </c>
      <c r="M67" s="57" t="s">
        <v>69</v>
      </c>
      <c r="N67" s="57" t="s">
        <v>69</v>
      </c>
      <c r="O67" s="57" t="s">
        <v>69</v>
      </c>
      <c r="P67" s="57" t="s">
        <v>69</v>
      </c>
      <c r="Q67" s="57" t="s">
        <v>69</v>
      </c>
      <c r="R67" s="57" t="s">
        <v>69</v>
      </c>
      <c r="S67" s="57" t="s">
        <v>69</v>
      </c>
      <c r="T67" s="57" t="s">
        <v>69</v>
      </c>
      <c r="U67" s="57" t="s">
        <v>69</v>
      </c>
      <c r="V67" s="57" t="s">
        <v>69</v>
      </c>
      <c r="W67" s="57" t="s">
        <v>69</v>
      </c>
      <c r="X67" s="57" t="s">
        <v>69</v>
      </c>
      <c r="Y67" s="57" t="s">
        <v>69</v>
      </c>
      <c r="Z67" s="57" t="s">
        <v>69</v>
      </c>
      <c r="AA67" s="57" t="s">
        <v>69</v>
      </c>
      <c r="AB67" s="57" t="s">
        <v>69</v>
      </c>
      <c r="AC67" s="57" t="s">
        <v>69</v>
      </c>
      <c r="AD67" s="57" t="s">
        <v>69</v>
      </c>
      <c r="AE67" s="57" t="s">
        <v>69</v>
      </c>
      <c r="AF67" s="57" t="s">
        <v>69</v>
      </c>
      <c r="AG67" s="57" t="s">
        <v>69</v>
      </c>
      <c r="AH67" s="57" t="s">
        <v>69</v>
      </c>
      <c r="AI67" s="57" t="s">
        <v>69</v>
      </c>
      <c r="AJ67" s="24"/>
      <c r="AL67" t="str">
        <f t="shared" ca="1" si="0"/>
        <v xml:space="preserve">    (U1)ALERT_REQ_S_ADBZR_SWS_</v>
      </c>
      <c r="AR67" s="59" t="str">
        <f t="shared" si="3"/>
        <v/>
      </c>
      <c r="AS67" s="59" t="str">
        <f t="shared" si="4"/>
        <v/>
      </c>
      <c r="AT67" s="59" t="str">
        <f t="shared" si="1"/>
        <v/>
      </c>
    </row>
    <row r="68" spans="1:46">
      <c r="B68" s="129"/>
      <c r="C68" s="43">
        <f t="shared" si="2"/>
        <v>62</v>
      </c>
      <c r="D68" s="57" t="s">
        <v>69</v>
      </c>
      <c r="E68" s="57" t="s">
        <v>69</v>
      </c>
      <c r="F68" s="57" t="s">
        <v>69</v>
      </c>
      <c r="G68" s="57" t="s">
        <v>69</v>
      </c>
      <c r="H68" s="57" t="s">
        <v>69</v>
      </c>
      <c r="I68" s="57" t="s">
        <v>69</v>
      </c>
      <c r="J68" s="57" t="s">
        <v>69</v>
      </c>
      <c r="K68" s="57" t="s">
        <v>69</v>
      </c>
      <c r="L68" s="57" t="s">
        <v>69</v>
      </c>
      <c r="M68" s="57" t="s">
        <v>69</v>
      </c>
      <c r="N68" s="57" t="s">
        <v>69</v>
      </c>
      <c r="O68" s="57" t="s">
        <v>69</v>
      </c>
      <c r="P68" s="57" t="s">
        <v>69</v>
      </c>
      <c r="Q68" s="57" t="s">
        <v>69</v>
      </c>
      <c r="R68" s="57" t="s">
        <v>69</v>
      </c>
      <c r="S68" s="57" t="s">
        <v>69</v>
      </c>
      <c r="T68" s="57" t="s">
        <v>69</v>
      </c>
      <c r="U68" s="57" t="s">
        <v>69</v>
      </c>
      <c r="V68" s="57" t="s">
        <v>69</v>
      </c>
      <c r="W68" s="57" t="s">
        <v>69</v>
      </c>
      <c r="X68" s="57" t="s">
        <v>69</v>
      </c>
      <c r="Y68" s="57" t="s">
        <v>69</v>
      </c>
      <c r="Z68" s="57" t="s">
        <v>69</v>
      </c>
      <c r="AA68" s="57" t="s">
        <v>69</v>
      </c>
      <c r="AB68" s="57" t="s">
        <v>69</v>
      </c>
      <c r="AC68" s="57" t="s">
        <v>69</v>
      </c>
      <c r="AD68" s="57" t="s">
        <v>69</v>
      </c>
      <c r="AE68" s="57" t="s">
        <v>69</v>
      </c>
      <c r="AF68" s="57" t="s">
        <v>69</v>
      </c>
      <c r="AG68" s="57" t="s">
        <v>69</v>
      </c>
      <c r="AH68" s="57" t="s">
        <v>69</v>
      </c>
      <c r="AI68" s="57" t="s">
        <v>69</v>
      </c>
      <c r="AJ68" s="24"/>
      <c r="AL68" t="str">
        <f t="shared" ca="1" si="0"/>
        <v xml:space="preserve">    (U1)ALERT_REQ_S_ADBZR_SWS_</v>
      </c>
      <c r="AR68" s="59" t="str">
        <f t="shared" si="3"/>
        <v/>
      </c>
      <c r="AS68" s="59" t="str">
        <f t="shared" si="4"/>
        <v/>
      </c>
      <c r="AT68" s="59" t="str">
        <f t="shared" si="1"/>
        <v/>
      </c>
    </row>
    <row r="69" spans="1:46">
      <c r="B69" s="130"/>
      <c r="C69" s="43">
        <f t="shared" si="2"/>
        <v>63</v>
      </c>
      <c r="D69" s="57" t="s">
        <v>69</v>
      </c>
      <c r="E69" s="57" t="s">
        <v>69</v>
      </c>
      <c r="F69" s="57" t="s">
        <v>69</v>
      </c>
      <c r="G69" s="57" t="s">
        <v>69</v>
      </c>
      <c r="H69" s="57" t="s">
        <v>69</v>
      </c>
      <c r="I69" s="57" t="s">
        <v>69</v>
      </c>
      <c r="J69" s="57" t="s">
        <v>69</v>
      </c>
      <c r="K69" s="57" t="s">
        <v>69</v>
      </c>
      <c r="L69" s="57" t="s">
        <v>69</v>
      </c>
      <c r="M69" s="57" t="s">
        <v>69</v>
      </c>
      <c r="N69" s="57" t="s">
        <v>69</v>
      </c>
      <c r="O69" s="57" t="s">
        <v>69</v>
      </c>
      <c r="P69" s="57" t="s">
        <v>69</v>
      </c>
      <c r="Q69" s="57" t="s">
        <v>69</v>
      </c>
      <c r="R69" s="57" t="s">
        <v>69</v>
      </c>
      <c r="S69" s="57" t="s">
        <v>69</v>
      </c>
      <c r="T69" s="57" t="s">
        <v>69</v>
      </c>
      <c r="U69" s="57" t="s">
        <v>69</v>
      </c>
      <c r="V69" s="57" t="s">
        <v>69</v>
      </c>
      <c r="W69" s="57" t="s">
        <v>69</v>
      </c>
      <c r="X69" s="57" t="s">
        <v>69</v>
      </c>
      <c r="Y69" s="57" t="s">
        <v>69</v>
      </c>
      <c r="Z69" s="57" t="s">
        <v>69</v>
      </c>
      <c r="AA69" s="57" t="s">
        <v>69</v>
      </c>
      <c r="AB69" s="57" t="s">
        <v>69</v>
      </c>
      <c r="AC69" s="57" t="s">
        <v>69</v>
      </c>
      <c r="AD69" s="57" t="s">
        <v>69</v>
      </c>
      <c r="AE69" s="57" t="s">
        <v>69</v>
      </c>
      <c r="AF69" s="57" t="s">
        <v>69</v>
      </c>
      <c r="AG69" s="57" t="s">
        <v>69</v>
      </c>
      <c r="AH69" s="57" t="s">
        <v>69</v>
      </c>
      <c r="AI69" s="57" t="s">
        <v>69</v>
      </c>
      <c r="AJ69" s="24"/>
      <c r="AL69" t="str">
        <f t="shared" ca="1" si="0"/>
        <v xml:space="preserve">    (U1)ALERT_REQ_S_ADBZR_SWS_</v>
      </c>
      <c r="AR69" s="59" t="str">
        <f t="shared" si="3"/>
        <v/>
      </c>
      <c r="AS69" s="59" t="str">
        <f t="shared" si="4"/>
        <v/>
      </c>
      <c r="AT69" s="59" t="str">
        <f t="shared" si="1"/>
        <v/>
      </c>
    </row>
    <row r="70" spans="1:46" ht="13.8" thickBot="1">
      <c r="A70" s="52" t="s">
        <v>66</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1" t="str">
        <f ca="1">IF(B6&lt;&gt;"",B6,"")</f>
        <v>Table S_ADBZR_SWS</v>
      </c>
      <c r="C71" s="43">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3">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3" t="str">
        <f t="shared" si="7"/>
        <v>SINGLE</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SINGLE                                          */</v>
      </c>
    </row>
    <row r="73" spans="1:46">
      <c r="B73" s="129"/>
      <c r="C73" s="43">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29"/>
      <c r="C74" s="43">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29"/>
      <c r="C75" s="43">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29"/>
      <c r="C76" s="43">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29"/>
      <c r="C77" s="43">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29"/>
      <c r="C78" s="43">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29"/>
      <c r="C79" s="43">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3" t="str">
        <f t="shared" si="7"/>
        <v/>
      </c>
      <c r="AK79" s="56"/>
      <c r="AL79" s="56" t="str">
        <f t="shared" si="10"/>
        <v>00</v>
      </c>
      <c r="AM79" s="58" t="str">
        <f t="shared" si="11"/>
        <v>00</v>
      </c>
      <c r="AN79" s="58" t="str">
        <f t="shared" si="12"/>
        <v>00</v>
      </c>
      <c r="AO79" s="58" t="str">
        <f t="shared" si="13"/>
        <v>00</v>
      </c>
      <c r="AQ79" t="str">
        <f t="shared" si="8"/>
        <v/>
      </c>
    </row>
    <row r="80" spans="1:46">
      <c r="B80" s="129"/>
      <c r="C80" s="43">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3" t="str">
        <f t="shared" si="7"/>
        <v/>
      </c>
      <c r="AK80" s="56"/>
      <c r="AL80" s="56" t="str">
        <f t="shared" si="10"/>
        <v>00</v>
      </c>
      <c r="AM80" s="58" t="str">
        <f t="shared" si="11"/>
        <v>00</v>
      </c>
      <c r="AN80" s="58" t="str">
        <f t="shared" si="12"/>
        <v>00</v>
      </c>
      <c r="AO80" s="58" t="str">
        <f t="shared" si="13"/>
        <v>00</v>
      </c>
      <c r="AQ80" t="str">
        <f t="shared" si="8"/>
        <v/>
      </c>
    </row>
    <row r="81" spans="2:43">
      <c r="B81" s="129"/>
      <c r="C81" s="43">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3" t="str">
        <f t="shared" si="7"/>
        <v/>
      </c>
      <c r="AK81" s="56"/>
      <c r="AL81" s="56" t="str">
        <f t="shared" si="10"/>
        <v>00</v>
      </c>
      <c r="AM81" s="58" t="str">
        <f t="shared" si="11"/>
        <v>00</v>
      </c>
      <c r="AN81" s="58" t="str">
        <f t="shared" si="12"/>
        <v>00</v>
      </c>
      <c r="AO81" s="58" t="str">
        <f t="shared" si="13"/>
        <v>00</v>
      </c>
      <c r="AQ81" t="str">
        <f t="shared" si="8"/>
        <v/>
      </c>
    </row>
    <row r="82" spans="2:43">
      <c r="B82" s="129"/>
      <c r="C82" s="43">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3" t="str">
        <f t="shared" si="7"/>
        <v/>
      </c>
      <c r="AK82" s="56"/>
      <c r="AL82" s="56" t="str">
        <f t="shared" si="10"/>
        <v>00</v>
      </c>
      <c r="AM82" s="58" t="str">
        <f t="shared" si="11"/>
        <v>00</v>
      </c>
      <c r="AN82" s="58" t="str">
        <f t="shared" si="12"/>
        <v>00</v>
      </c>
      <c r="AO82" s="58" t="str">
        <f t="shared" si="13"/>
        <v>00</v>
      </c>
      <c r="AQ82" t="str">
        <f t="shared" si="8"/>
        <v/>
      </c>
    </row>
    <row r="83" spans="2:43">
      <c r="B83" s="129"/>
      <c r="C83" s="43">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3" t="str">
        <f t="shared" si="7"/>
        <v/>
      </c>
      <c r="AK83" s="56"/>
      <c r="AL83" s="56" t="str">
        <f t="shared" si="10"/>
        <v>00</v>
      </c>
      <c r="AM83" s="58" t="str">
        <f t="shared" si="11"/>
        <v>00</v>
      </c>
      <c r="AN83" s="58" t="str">
        <f t="shared" si="12"/>
        <v>00</v>
      </c>
      <c r="AO83" s="58" t="str">
        <f t="shared" si="13"/>
        <v>00</v>
      </c>
      <c r="AQ83" t="str">
        <f t="shared" si="8"/>
        <v/>
      </c>
    </row>
    <row r="84" spans="2:43">
      <c r="B84" s="129"/>
      <c r="C84" s="43">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3" t="str">
        <f t="shared" si="7"/>
        <v/>
      </c>
      <c r="AK84" s="56"/>
      <c r="AL84" s="56" t="str">
        <f t="shared" si="10"/>
        <v>00</v>
      </c>
      <c r="AM84" s="58" t="str">
        <f t="shared" si="11"/>
        <v>00</v>
      </c>
      <c r="AN84" s="58" t="str">
        <f t="shared" si="12"/>
        <v>00</v>
      </c>
      <c r="AO84" s="58" t="str">
        <f t="shared" si="13"/>
        <v>00</v>
      </c>
      <c r="AQ84" t="str">
        <f t="shared" si="8"/>
        <v/>
      </c>
    </row>
    <row r="85" spans="2:43">
      <c r="B85" s="129"/>
      <c r="C85" s="43">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3" t="str">
        <f t="shared" si="7"/>
        <v/>
      </c>
      <c r="AK85" s="56"/>
      <c r="AL85" s="56" t="str">
        <f t="shared" si="10"/>
        <v>00</v>
      </c>
      <c r="AM85" s="58" t="str">
        <f t="shared" si="11"/>
        <v>00</v>
      </c>
      <c r="AN85" s="58" t="str">
        <f t="shared" si="12"/>
        <v>00</v>
      </c>
      <c r="AO85" s="58" t="str">
        <f t="shared" si="13"/>
        <v>00</v>
      </c>
      <c r="AQ85" t="str">
        <f t="shared" si="8"/>
        <v/>
      </c>
    </row>
    <row r="86" spans="2:43">
      <c r="B86" s="129"/>
      <c r="C86" s="43">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3" t="str">
        <f t="shared" si="7"/>
        <v/>
      </c>
      <c r="AK86" s="56"/>
      <c r="AL86" s="56" t="str">
        <f t="shared" si="10"/>
        <v>00</v>
      </c>
      <c r="AM86" s="58" t="str">
        <f t="shared" si="11"/>
        <v>00</v>
      </c>
      <c r="AN86" s="58" t="str">
        <f t="shared" si="12"/>
        <v>00</v>
      </c>
      <c r="AO86" s="58" t="str">
        <f t="shared" si="13"/>
        <v>00</v>
      </c>
      <c r="AQ86" t="str">
        <f t="shared" si="8"/>
        <v/>
      </c>
    </row>
    <row r="87" spans="2:43">
      <c r="B87" s="129"/>
      <c r="C87" s="43">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29"/>
      <c r="C88" s="43">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29"/>
      <c r="C89" s="43">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29"/>
      <c r="C90" s="43">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29"/>
      <c r="C91" s="43">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29"/>
      <c r="C92" s="43">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29"/>
      <c r="C93" s="43">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29"/>
      <c r="C94" s="43">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29"/>
      <c r="C95" s="43">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29"/>
      <c r="C96" s="43">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29"/>
      <c r="C97" s="43">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29"/>
      <c r="C98" s="43">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29"/>
      <c r="C99" s="43">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29"/>
      <c r="C100" s="43">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29"/>
      <c r="C101" s="43">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29"/>
      <c r="C102" s="43">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29"/>
      <c r="C103" s="43">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29"/>
      <c r="C104" s="43">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29"/>
      <c r="C105" s="43">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29"/>
      <c r="C106" s="43">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29"/>
      <c r="C107" s="43">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29"/>
      <c r="C108" s="43">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29"/>
      <c r="C109" s="43">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29"/>
      <c r="C110" s="43">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29"/>
      <c r="C111" s="43">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29"/>
      <c r="C112" s="43">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29"/>
      <c r="C113" s="43">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29"/>
      <c r="C114" s="43">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29"/>
      <c r="C115" s="43">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29"/>
      <c r="C116" s="43">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29"/>
      <c r="C117" s="43">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29"/>
      <c r="C118" s="43">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29"/>
      <c r="C119" s="43">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29"/>
      <c r="C120" s="43">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29"/>
      <c r="C121" s="43">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29"/>
      <c r="C122" s="43">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29"/>
      <c r="C123" s="43">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29"/>
      <c r="C124" s="43">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29"/>
      <c r="C125" s="43">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29"/>
      <c r="C126" s="43">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29"/>
      <c r="C127" s="43">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29"/>
      <c r="C128" s="43">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29"/>
      <c r="C129" s="43">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29"/>
      <c r="C130" s="43">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29"/>
      <c r="C131" s="43">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29"/>
      <c r="C132" s="43">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29"/>
      <c r="C133" s="43">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0"/>
      <c r="C134" s="43">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67</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1" t="str">
        <f ca="1">IF(B6&lt;&gt;"",B6,"")</f>
        <v>Table S_ADBZR_SWS</v>
      </c>
      <c r="C136" s="43">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1</v>
      </c>
      <c r="AH136" s="121">
        <f t="shared" si="29"/>
        <v>1</v>
      </c>
      <c r="AI136" s="121">
        <f t="shared" si="29"/>
        <v>1</v>
      </c>
      <c r="AJ136" s="43" t="str">
        <f t="shared" ref="AJ136:AJ199" si="30">IF(AJ6&lt;&gt;"",AJ6,"")</f>
        <v>UNKNOWN</v>
      </c>
      <c r="AK136" s="56"/>
      <c r="AL136" s="56" t="str">
        <f>BIN2HEX(AB136&amp;AC136&amp;AD136&amp;AE136&amp;AF136&amp;AG136&amp;AH136&amp;AI136,2)</f>
        <v>07</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43">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1</v>
      </c>
      <c r="AH137" s="121">
        <f t="shared" si="29"/>
        <v>1</v>
      </c>
      <c r="AI137" s="121">
        <f t="shared" si="29"/>
        <v>1</v>
      </c>
      <c r="AJ137" s="43" t="str">
        <f t="shared" si="30"/>
        <v>SINGLE</v>
      </c>
      <c r="AK137" s="56"/>
      <c r="AL137" s="56" t="str">
        <f t="shared" ref="AL137:AL199" si="33">BIN2HEX(AB137&amp;AC137&amp;AD137&amp;AE137&amp;AF137&amp;AG137&amp;AH137&amp;AI137,2)</f>
        <v>07</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(U4)0x00000007U,                                                           /* 01 SINGLE                                          */</v>
      </c>
    </row>
    <row r="138" spans="1:43">
      <c r="B138" s="129"/>
      <c r="C138" s="43">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43" t="str">
        <f t="shared" si="30"/>
        <v>UNKNOWN</v>
      </c>
      <c r="AK138" s="56"/>
      <c r="AL138" s="56" t="str">
        <f t="shared" si="33"/>
        <v>07</v>
      </c>
      <c r="AM138" s="58" t="str">
        <f t="shared" si="34"/>
        <v>00</v>
      </c>
      <c r="AN138" s="58" t="str">
        <f t="shared" si="35"/>
        <v>00</v>
      </c>
      <c r="AO138" s="58" t="str">
        <f t="shared" si="36"/>
        <v>00</v>
      </c>
      <c r="AQ138" t="str">
        <f t="shared" si="31"/>
        <v xml:space="preserve">    (U4)0x00000007U,                                                           /* 02 UNKNOWN                                         */</v>
      </c>
    </row>
    <row r="139" spans="1:43">
      <c r="B139" s="129"/>
      <c r="C139" s="43">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43" t="str">
        <f t="shared" si="30"/>
        <v>UNKNOWN</v>
      </c>
      <c r="AK139" s="56"/>
      <c r="AL139" s="56" t="str">
        <f t="shared" si="33"/>
        <v>07</v>
      </c>
      <c r="AM139" s="58" t="str">
        <f t="shared" si="34"/>
        <v>00</v>
      </c>
      <c r="AN139" s="58" t="str">
        <f t="shared" si="35"/>
        <v>00</v>
      </c>
      <c r="AO139" s="58" t="str">
        <f t="shared" si="36"/>
        <v>00</v>
      </c>
      <c r="AQ139" t="str">
        <f t="shared" si="31"/>
        <v xml:space="preserve">    (U4)0x00000007U,                                                           /* 03 UNKNOWN                                         */</v>
      </c>
    </row>
    <row r="140" spans="1:43">
      <c r="B140" s="129"/>
      <c r="C140" s="43">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43" t="str">
        <f t="shared" si="30"/>
        <v>UNKNOWN</v>
      </c>
      <c r="AK140" s="56"/>
      <c r="AL140" s="56" t="str">
        <f t="shared" si="33"/>
        <v>07</v>
      </c>
      <c r="AM140" s="58" t="str">
        <f t="shared" si="34"/>
        <v>00</v>
      </c>
      <c r="AN140" s="58" t="str">
        <f t="shared" si="35"/>
        <v>00</v>
      </c>
      <c r="AO140" s="58" t="str">
        <f t="shared" si="36"/>
        <v>00</v>
      </c>
      <c r="AQ140" t="str">
        <f t="shared" si="31"/>
        <v xml:space="preserve">    (U4)0x00000007U,                                                           /* 04 UNKNOWN                                         */</v>
      </c>
    </row>
    <row r="141" spans="1:43">
      <c r="B141" s="129"/>
      <c r="C141" s="43">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43" t="str">
        <f t="shared" si="30"/>
        <v>UNKNOWN</v>
      </c>
      <c r="AK141" s="56"/>
      <c r="AL141" s="56" t="str">
        <f t="shared" si="33"/>
        <v>07</v>
      </c>
      <c r="AM141" s="58" t="str">
        <f t="shared" si="34"/>
        <v>00</v>
      </c>
      <c r="AN141" s="58" t="str">
        <f t="shared" si="35"/>
        <v>00</v>
      </c>
      <c r="AO141" s="58" t="str">
        <f t="shared" si="36"/>
        <v>00</v>
      </c>
      <c r="AQ141" t="str">
        <f t="shared" si="31"/>
        <v xml:space="preserve">    (U4)0x00000007U,                                                           /* 05 UNKNOWN                                         */</v>
      </c>
    </row>
    <row r="142" spans="1:43">
      <c r="B142" s="129"/>
      <c r="C142" s="43">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43" t="str">
        <f t="shared" si="30"/>
        <v>UNKNOWN</v>
      </c>
      <c r="AK142" s="56"/>
      <c r="AL142" s="56" t="str">
        <f t="shared" si="33"/>
        <v>07</v>
      </c>
      <c r="AM142" s="58" t="str">
        <f t="shared" si="34"/>
        <v>00</v>
      </c>
      <c r="AN142" s="58" t="str">
        <f t="shared" si="35"/>
        <v>00</v>
      </c>
      <c r="AO142" s="58" t="str">
        <f t="shared" si="36"/>
        <v>00</v>
      </c>
      <c r="AQ142" t="str">
        <f t="shared" si="31"/>
        <v xml:space="preserve">    (U4)0x00000007U,                                                           /* 06 UNKNOWN                                         */</v>
      </c>
    </row>
    <row r="143" spans="1:43">
      <c r="B143" s="129"/>
      <c r="C143" s="43">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43" t="str">
        <f t="shared" si="30"/>
        <v>UNKNOWN</v>
      </c>
      <c r="AK143" s="56"/>
      <c r="AL143" s="56" t="str">
        <f t="shared" si="33"/>
        <v>07</v>
      </c>
      <c r="AM143" s="58" t="str">
        <f t="shared" si="34"/>
        <v>00</v>
      </c>
      <c r="AN143" s="58" t="str">
        <f t="shared" si="35"/>
        <v>00</v>
      </c>
      <c r="AO143" s="58" t="str">
        <f t="shared" si="36"/>
        <v>00</v>
      </c>
      <c r="AQ143" t="str">
        <f t="shared" si="31"/>
        <v xml:space="preserve">    (U4)0x00000007U                                                            /* 07 UNKNOWN                                         */</v>
      </c>
    </row>
    <row r="144" spans="1:43">
      <c r="B144" s="129"/>
      <c r="C144" s="43">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3" t="str">
        <f t="shared" si="30"/>
        <v/>
      </c>
      <c r="AK144" s="56"/>
      <c r="AL144" s="56" t="str">
        <f t="shared" si="33"/>
        <v>00</v>
      </c>
      <c r="AM144" s="58" t="str">
        <f t="shared" si="34"/>
        <v>00</v>
      </c>
      <c r="AN144" s="58" t="str">
        <f t="shared" si="35"/>
        <v>00</v>
      </c>
      <c r="AO144" s="58" t="str">
        <f t="shared" si="36"/>
        <v>00</v>
      </c>
      <c r="AQ144" t="str">
        <f t="shared" si="31"/>
        <v/>
      </c>
    </row>
    <row r="145" spans="2:43">
      <c r="B145" s="129"/>
      <c r="C145" s="43">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3" t="str">
        <f t="shared" si="30"/>
        <v/>
      </c>
      <c r="AK145" s="56"/>
      <c r="AL145" s="56" t="str">
        <f t="shared" si="33"/>
        <v>00</v>
      </c>
      <c r="AM145" s="58" t="str">
        <f t="shared" si="34"/>
        <v>00</v>
      </c>
      <c r="AN145" s="58" t="str">
        <f t="shared" si="35"/>
        <v>00</v>
      </c>
      <c r="AO145" s="58" t="str">
        <f t="shared" si="36"/>
        <v>00</v>
      </c>
      <c r="AQ145" t="str">
        <f t="shared" si="31"/>
        <v/>
      </c>
    </row>
    <row r="146" spans="2:43">
      <c r="B146" s="129"/>
      <c r="C146" s="43">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3" t="str">
        <f t="shared" si="30"/>
        <v/>
      </c>
      <c r="AK146" s="56"/>
      <c r="AL146" s="56" t="str">
        <f t="shared" si="33"/>
        <v>00</v>
      </c>
      <c r="AM146" s="58" t="str">
        <f t="shared" si="34"/>
        <v>00</v>
      </c>
      <c r="AN146" s="58" t="str">
        <f t="shared" si="35"/>
        <v>00</v>
      </c>
      <c r="AO146" s="58" t="str">
        <f t="shared" si="36"/>
        <v>00</v>
      </c>
      <c r="AQ146" t="str">
        <f t="shared" si="31"/>
        <v/>
      </c>
    </row>
    <row r="147" spans="2:43">
      <c r="B147" s="129"/>
      <c r="C147" s="43">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3" t="str">
        <f t="shared" si="30"/>
        <v/>
      </c>
      <c r="AK147" s="56"/>
      <c r="AL147" s="56" t="str">
        <f t="shared" si="33"/>
        <v>00</v>
      </c>
      <c r="AM147" s="58" t="str">
        <f t="shared" si="34"/>
        <v>00</v>
      </c>
      <c r="AN147" s="58" t="str">
        <f t="shared" si="35"/>
        <v>00</v>
      </c>
      <c r="AO147" s="58" t="str">
        <f t="shared" si="36"/>
        <v>00</v>
      </c>
      <c r="AQ147" t="str">
        <f t="shared" si="31"/>
        <v/>
      </c>
    </row>
    <row r="148" spans="2:43">
      <c r="B148" s="129"/>
      <c r="C148" s="43">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3" t="str">
        <f t="shared" si="30"/>
        <v/>
      </c>
      <c r="AK148" s="56"/>
      <c r="AL148" s="56" t="str">
        <f t="shared" si="33"/>
        <v>00</v>
      </c>
      <c r="AM148" s="58" t="str">
        <f t="shared" si="34"/>
        <v>00</v>
      </c>
      <c r="AN148" s="58" t="str">
        <f t="shared" si="35"/>
        <v>00</v>
      </c>
      <c r="AO148" s="58" t="str">
        <f t="shared" si="36"/>
        <v>00</v>
      </c>
      <c r="AQ148" t="str">
        <f t="shared" si="31"/>
        <v/>
      </c>
    </row>
    <row r="149" spans="2:43">
      <c r="B149" s="129"/>
      <c r="C149" s="43">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3" t="str">
        <f t="shared" si="30"/>
        <v/>
      </c>
      <c r="AK149" s="56"/>
      <c r="AL149" s="56" t="str">
        <f t="shared" si="33"/>
        <v>00</v>
      </c>
      <c r="AM149" s="58" t="str">
        <f t="shared" si="34"/>
        <v>00</v>
      </c>
      <c r="AN149" s="58" t="str">
        <f t="shared" si="35"/>
        <v>00</v>
      </c>
      <c r="AO149" s="58" t="str">
        <f t="shared" si="36"/>
        <v>00</v>
      </c>
      <c r="AQ149" t="str">
        <f t="shared" si="31"/>
        <v/>
      </c>
    </row>
    <row r="150" spans="2:43">
      <c r="B150" s="129"/>
      <c r="C150" s="43">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3" t="str">
        <f t="shared" si="30"/>
        <v/>
      </c>
      <c r="AK150" s="56"/>
      <c r="AL150" s="56" t="str">
        <f t="shared" si="33"/>
        <v>00</v>
      </c>
      <c r="AM150" s="58" t="str">
        <f t="shared" si="34"/>
        <v>00</v>
      </c>
      <c r="AN150" s="58" t="str">
        <f t="shared" si="35"/>
        <v>00</v>
      </c>
      <c r="AO150" s="58" t="str">
        <f t="shared" si="36"/>
        <v>00</v>
      </c>
      <c r="AQ150" t="str">
        <f t="shared" si="31"/>
        <v/>
      </c>
    </row>
    <row r="151" spans="2:43">
      <c r="B151" s="129"/>
      <c r="C151" s="43">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3" t="str">
        <f t="shared" si="30"/>
        <v/>
      </c>
      <c r="AK151" s="56"/>
      <c r="AL151" s="56" t="str">
        <f t="shared" si="33"/>
        <v>00</v>
      </c>
      <c r="AM151" s="58" t="str">
        <f t="shared" si="34"/>
        <v>00</v>
      </c>
      <c r="AN151" s="58" t="str">
        <f t="shared" si="35"/>
        <v>00</v>
      </c>
      <c r="AO151" s="58" t="str">
        <f t="shared" si="36"/>
        <v>00</v>
      </c>
      <c r="AQ151" t="str">
        <f t="shared" si="31"/>
        <v/>
      </c>
    </row>
    <row r="152" spans="2:43">
      <c r="B152" s="129"/>
      <c r="C152" s="43">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29"/>
      <c r="C153" s="43">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29"/>
      <c r="C154" s="43">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29"/>
      <c r="C155" s="43">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29"/>
      <c r="C156" s="43">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29"/>
      <c r="C157" s="43">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29"/>
      <c r="C158" s="43">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29"/>
      <c r="C159" s="43">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29"/>
      <c r="C160" s="43">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29"/>
      <c r="C161" s="43">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29"/>
      <c r="C162" s="43">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29"/>
      <c r="C163" s="43">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29"/>
      <c r="C164" s="43">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29"/>
      <c r="C165" s="43">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29"/>
      <c r="C166" s="43">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29"/>
      <c r="C167" s="43">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29"/>
      <c r="C168" s="43">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29"/>
      <c r="C169" s="43">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29"/>
      <c r="C170" s="43">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29"/>
      <c r="C171" s="43">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29"/>
      <c r="C172" s="43">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29"/>
      <c r="C173" s="43">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29"/>
      <c r="C174" s="43">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29"/>
      <c r="C175" s="43">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29"/>
      <c r="C176" s="43">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29"/>
      <c r="C177" s="43">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29"/>
      <c r="C178" s="43">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29"/>
      <c r="C179" s="43">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29"/>
      <c r="C180" s="43">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29"/>
      <c r="C181" s="43">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29"/>
      <c r="C182" s="43">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29"/>
      <c r="C183" s="43">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29"/>
      <c r="C184" s="43">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29"/>
      <c r="C185" s="43">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29"/>
      <c r="C186" s="43">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29"/>
      <c r="C187" s="43">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29"/>
      <c r="C188" s="43">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29"/>
      <c r="C189" s="43">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29"/>
      <c r="C190" s="43">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29"/>
      <c r="C191" s="43">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29"/>
      <c r="C192" s="43">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29"/>
      <c r="C193" s="43">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29"/>
      <c r="C194" s="43">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29"/>
      <c r="C195" s="43">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29"/>
      <c r="C196" s="43">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29"/>
      <c r="C197" s="43">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29"/>
      <c r="C198" s="43">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0"/>
      <c r="C199" s="43">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D6:AJ69 L3:AF3" name="Table作成編集範囲"/>
    <protectedRange sqref="AG3:AH3" name="Table作成編集範囲_2"/>
  </protectedRanges>
  <dataConsolidate/>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dimension ref="A3:Q51"/>
  <sheetViews>
    <sheetView zoomScale="55" zoomScaleNormal="55" workbookViewId="0">
      <selection activeCell="BL62" sqref="BL62"/>
    </sheetView>
  </sheetViews>
  <sheetFormatPr defaultRowHeight="13.2"/>
  <cols>
    <col min="2" max="2" width="35.33203125" bestFit="1" customWidth="1"/>
    <col min="3" max="10" width="3.33203125" customWidth="1"/>
    <col min="11" max="11" width="19.77734375" bestFit="1" customWidth="1"/>
    <col min="12" max="13" width="25.33203125" bestFit="1" customWidth="1"/>
    <col min="14" max="14" width="14.88671875" bestFit="1" customWidth="1"/>
    <col min="15" max="15" width="14.109375" customWidth="1"/>
    <col min="16" max="16" width="11" customWidth="1"/>
    <col min="17" max="17" width="13.77734375" customWidth="1"/>
  </cols>
  <sheetData>
    <row r="3" spans="1:17" ht="15" thickBot="1">
      <c r="A3" s="87" t="s">
        <v>250</v>
      </c>
      <c r="B3" s="26" t="s">
        <v>255</v>
      </c>
    </row>
    <row r="4" spans="1:17" ht="15" thickBot="1">
      <c r="B4" s="92" t="s">
        <v>111</v>
      </c>
      <c r="C4" s="291" t="s">
        <v>183</v>
      </c>
      <c r="D4" s="292"/>
      <c r="E4" s="292"/>
      <c r="F4" s="292"/>
      <c r="G4" s="292"/>
      <c r="H4" s="292"/>
      <c r="I4" s="292"/>
      <c r="J4" s="293"/>
      <c r="K4" s="190"/>
      <c r="L4" s="190"/>
      <c r="M4" s="165"/>
      <c r="N4" s="163"/>
      <c r="O4" s="163"/>
      <c r="P4" s="163"/>
      <c r="Q4" s="164"/>
    </row>
    <row r="5" spans="1:17">
      <c r="A5" s="87" t="s">
        <v>250</v>
      </c>
      <c r="B5" s="66"/>
      <c r="C5" s="191" t="s">
        <v>145</v>
      </c>
      <c r="D5" s="191"/>
      <c r="E5" s="191"/>
      <c r="F5" s="191"/>
      <c r="G5" s="191"/>
      <c r="H5" s="191"/>
      <c r="I5" s="191"/>
      <c r="J5" s="191"/>
      <c r="K5" s="191"/>
      <c r="L5" s="191"/>
      <c r="M5" s="30" t="s">
        <v>53</v>
      </c>
      <c r="N5" s="192" t="s">
        <v>21</v>
      </c>
      <c r="O5" s="193"/>
      <c r="P5" s="193"/>
      <c r="Q5" s="194"/>
    </row>
    <row r="6" spans="1:17">
      <c r="B6" s="67" t="s">
        <v>22</v>
      </c>
      <c r="C6" s="294" t="s">
        <v>160</v>
      </c>
      <c r="D6" s="295"/>
      <c r="E6" s="295"/>
      <c r="F6" s="295"/>
      <c r="G6" s="295"/>
      <c r="H6" s="295"/>
      <c r="I6" s="295"/>
      <c r="J6" s="296"/>
      <c r="K6" s="27" t="s">
        <v>23</v>
      </c>
      <c r="L6" s="27" t="s">
        <v>23</v>
      </c>
      <c r="M6" s="231" t="s">
        <v>246</v>
      </c>
      <c r="N6" s="72" t="s">
        <v>114</v>
      </c>
      <c r="O6" s="72" t="s">
        <v>25</v>
      </c>
      <c r="P6" s="29" t="s">
        <v>115</v>
      </c>
      <c r="Q6" s="132" t="s">
        <v>27</v>
      </c>
    </row>
    <row r="7" spans="1:17">
      <c r="B7" s="67" t="s">
        <v>34</v>
      </c>
      <c r="C7" s="159" t="s">
        <v>117</v>
      </c>
      <c r="D7" s="159" t="s">
        <v>117</v>
      </c>
      <c r="E7" s="159" t="s">
        <v>117</v>
      </c>
      <c r="F7" s="159" t="s">
        <v>117</v>
      </c>
      <c r="G7" s="159" t="s">
        <v>117</v>
      </c>
      <c r="H7" s="159" t="s">
        <v>117</v>
      </c>
      <c r="I7" s="159" t="s">
        <v>117</v>
      </c>
      <c r="J7" s="159" t="s">
        <v>117</v>
      </c>
      <c r="K7" s="195" t="s">
        <v>194</v>
      </c>
      <c r="L7" s="196" t="s">
        <v>184</v>
      </c>
      <c r="M7" s="31" t="s">
        <v>50</v>
      </c>
      <c r="N7" s="73"/>
      <c r="O7" s="73"/>
      <c r="P7" s="39"/>
      <c r="Q7" s="132"/>
    </row>
    <row r="8" spans="1:17" ht="26.4">
      <c r="B8" s="68" t="s">
        <v>28</v>
      </c>
      <c r="C8" s="297" t="s">
        <v>37</v>
      </c>
      <c r="D8" s="295"/>
      <c r="E8" s="295"/>
      <c r="F8" s="295"/>
      <c r="G8" s="295"/>
      <c r="H8" s="295"/>
      <c r="I8" s="295"/>
      <c r="J8" s="296"/>
      <c r="K8" s="1" t="s">
        <v>195</v>
      </c>
      <c r="L8" s="27" t="s">
        <v>196</v>
      </c>
      <c r="M8" s="32"/>
      <c r="N8" s="73"/>
      <c r="O8" s="73"/>
      <c r="P8" s="39"/>
      <c r="Q8" s="132"/>
    </row>
    <row r="9" spans="1:17" ht="61.2">
      <c r="B9" s="67" t="s">
        <v>29</v>
      </c>
      <c r="C9" s="185" t="s">
        <v>146</v>
      </c>
      <c r="D9" s="185" t="s">
        <v>64</v>
      </c>
      <c r="E9" s="185" t="s">
        <v>147</v>
      </c>
      <c r="F9" s="185" t="s">
        <v>148</v>
      </c>
      <c r="G9" s="185" t="s">
        <v>149</v>
      </c>
      <c r="H9" s="185" t="s">
        <v>150</v>
      </c>
      <c r="I9" s="185" t="s">
        <v>151</v>
      </c>
      <c r="J9" s="185" t="s">
        <v>152</v>
      </c>
      <c r="K9" s="1" t="s">
        <v>191</v>
      </c>
      <c r="L9" s="27" t="s">
        <v>193</v>
      </c>
      <c r="M9" s="31" t="s">
        <v>30</v>
      </c>
      <c r="N9" s="73"/>
      <c r="O9" s="73"/>
      <c r="P9" s="39"/>
      <c r="Q9" s="132"/>
    </row>
    <row r="10" spans="1:17" ht="40.200000000000003" thickBot="1">
      <c r="B10" s="69" t="s">
        <v>31</v>
      </c>
      <c r="C10" s="160" t="s">
        <v>154</v>
      </c>
      <c r="D10" s="160" t="s">
        <v>117</v>
      </c>
      <c r="E10" s="160" t="s">
        <v>154</v>
      </c>
      <c r="F10" s="160" t="s">
        <v>154</v>
      </c>
      <c r="G10" s="160" t="s">
        <v>154</v>
      </c>
      <c r="H10" s="160" t="s">
        <v>154</v>
      </c>
      <c r="I10" s="160" t="s">
        <v>154</v>
      </c>
      <c r="J10" s="160" t="s">
        <v>154</v>
      </c>
      <c r="K10" s="197" t="s">
        <v>185</v>
      </c>
      <c r="L10" s="28" t="s">
        <v>224</v>
      </c>
      <c r="M10" s="33" t="s">
        <v>203</v>
      </c>
      <c r="N10" s="133"/>
      <c r="O10" s="133"/>
      <c r="P10" s="198" t="s">
        <v>221</v>
      </c>
      <c r="Q10" s="134"/>
    </row>
    <row r="11" spans="1:17" ht="13.8" thickTop="1">
      <c r="B11" s="70" t="s">
        <v>197</v>
      </c>
      <c r="C11" s="161" t="s">
        <v>153</v>
      </c>
      <c r="D11" s="161" t="s">
        <v>153</v>
      </c>
      <c r="E11" s="161" t="s">
        <v>153</v>
      </c>
      <c r="F11" s="161" t="s">
        <v>153</v>
      </c>
      <c r="G11" s="161" t="s">
        <v>153</v>
      </c>
      <c r="H11" s="161" t="s">
        <v>153</v>
      </c>
      <c r="I11" s="161" t="s">
        <v>153</v>
      </c>
      <c r="J11" s="161" t="s">
        <v>153</v>
      </c>
      <c r="K11" s="34" t="s">
        <v>186</v>
      </c>
      <c r="L11" s="199" t="s">
        <v>189</v>
      </c>
      <c r="M11" s="35" t="s">
        <v>103</v>
      </c>
      <c r="N11" s="40"/>
      <c r="O11" s="40"/>
      <c r="P11" s="36" t="s">
        <v>32</v>
      </c>
      <c r="Q11" s="135"/>
    </row>
    <row r="12" spans="1:17">
      <c r="B12" s="22" t="s">
        <v>223</v>
      </c>
      <c r="C12" s="162" t="s">
        <v>153</v>
      </c>
      <c r="D12" s="162" t="s">
        <v>153</v>
      </c>
      <c r="E12" s="162" t="s">
        <v>153</v>
      </c>
      <c r="F12" s="162" t="s">
        <v>153</v>
      </c>
      <c r="G12" s="162" t="s">
        <v>153</v>
      </c>
      <c r="H12" s="162" t="s">
        <v>153</v>
      </c>
      <c r="I12" s="162" t="s">
        <v>153</v>
      </c>
      <c r="J12" s="162" t="s">
        <v>153</v>
      </c>
      <c r="K12" s="34" t="s">
        <v>186</v>
      </c>
      <c r="L12" s="200" t="s">
        <v>200</v>
      </c>
      <c r="M12" s="37" t="s">
        <v>220</v>
      </c>
      <c r="N12" s="41"/>
      <c r="O12" s="41"/>
      <c r="P12" s="38" t="s">
        <v>222</v>
      </c>
      <c r="Q12" s="136"/>
    </row>
    <row r="13" spans="1:17">
      <c r="B13" s="70" t="s">
        <v>197</v>
      </c>
      <c r="C13" s="161" t="s">
        <v>153</v>
      </c>
      <c r="D13" s="161" t="s">
        <v>153</v>
      </c>
      <c r="E13" s="161" t="s">
        <v>153</v>
      </c>
      <c r="F13" s="161" t="s">
        <v>153</v>
      </c>
      <c r="G13" s="161" t="s">
        <v>153</v>
      </c>
      <c r="H13" s="161" t="s">
        <v>153</v>
      </c>
      <c r="I13" s="161" t="s">
        <v>153</v>
      </c>
      <c r="J13" s="161" t="s">
        <v>153</v>
      </c>
      <c r="K13" s="34" t="s">
        <v>186</v>
      </c>
      <c r="L13" s="199" t="s">
        <v>201</v>
      </c>
      <c r="M13" s="35" t="s">
        <v>103</v>
      </c>
      <c r="N13" s="41"/>
      <c r="O13" s="40"/>
      <c r="P13" s="38" t="s">
        <v>117</v>
      </c>
      <c r="Q13" s="135"/>
    </row>
    <row r="14" spans="1:17">
      <c r="B14" s="22" t="s">
        <v>197</v>
      </c>
      <c r="C14" s="162" t="s">
        <v>153</v>
      </c>
      <c r="D14" s="162" t="s">
        <v>153</v>
      </c>
      <c r="E14" s="162" t="s">
        <v>153</v>
      </c>
      <c r="F14" s="162" t="s">
        <v>153</v>
      </c>
      <c r="G14" s="162" t="s">
        <v>153</v>
      </c>
      <c r="H14" s="162" t="s">
        <v>153</v>
      </c>
      <c r="I14" s="162" t="s">
        <v>153</v>
      </c>
      <c r="J14" s="162" t="s">
        <v>153</v>
      </c>
      <c r="K14" s="34" t="s">
        <v>186</v>
      </c>
      <c r="L14" s="200" t="s">
        <v>202</v>
      </c>
      <c r="M14" s="35" t="s">
        <v>103</v>
      </c>
      <c r="N14" s="41"/>
      <c r="O14" s="41"/>
      <c r="P14" s="38" t="s">
        <v>32</v>
      </c>
      <c r="Q14" s="136"/>
    </row>
    <row r="15" spans="1:17">
      <c r="B15" s="22" t="s">
        <v>198</v>
      </c>
      <c r="C15" s="162" t="s">
        <v>153</v>
      </c>
      <c r="D15" s="162" t="s">
        <v>153</v>
      </c>
      <c r="E15" s="162" t="s">
        <v>153</v>
      </c>
      <c r="F15" s="162" t="s">
        <v>153</v>
      </c>
      <c r="G15" s="162" t="s">
        <v>153</v>
      </c>
      <c r="H15" s="162" t="s">
        <v>153</v>
      </c>
      <c r="I15" s="162" t="s">
        <v>153</v>
      </c>
      <c r="J15" s="162" t="s">
        <v>153</v>
      </c>
      <c r="K15" s="188" t="s">
        <v>187</v>
      </c>
      <c r="L15" s="200" t="s">
        <v>35</v>
      </c>
      <c r="M15" s="37" t="s">
        <v>33</v>
      </c>
      <c r="N15" s="41"/>
      <c r="O15" s="41"/>
      <c r="P15" s="38" t="s">
        <v>32</v>
      </c>
      <c r="Q15" s="136"/>
    </row>
    <row r="16" spans="1:17" ht="13.8" thickBot="1">
      <c r="B16" s="201" t="s">
        <v>199</v>
      </c>
      <c r="C16" s="202" t="s">
        <v>153</v>
      </c>
      <c r="D16" s="202" t="s">
        <v>153</v>
      </c>
      <c r="E16" s="202" t="s">
        <v>153</v>
      </c>
      <c r="F16" s="202" t="s">
        <v>153</v>
      </c>
      <c r="G16" s="202" t="s">
        <v>153</v>
      </c>
      <c r="H16" s="202" t="s">
        <v>153</v>
      </c>
      <c r="I16" s="202" t="s">
        <v>153</v>
      </c>
      <c r="J16" s="202" t="s">
        <v>153</v>
      </c>
      <c r="K16" s="203" t="s">
        <v>188</v>
      </c>
      <c r="L16" s="204" t="s">
        <v>35</v>
      </c>
      <c r="M16" s="205" t="s">
        <v>33</v>
      </c>
      <c r="N16" s="206"/>
      <c r="O16" s="206"/>
      <c r="P16" s="203" t="s">
        <v>117</v>
      </c>
      <c r="Q16" s="207"/>
    </row>
    <row r="51" spans="2:2" ht="14.4">
      <c r="B51" s="26"/>
    </row>
  </sheetData>
  <mergeCells count="3">
    <mergeCell ref="C4:J4"/>
    <mergeCell ref="C6:J6"/>
    <mergeCell ref="C8:J8"/>
  </mergeCells>
  <phoneticPr fontId="2"/>
  <dataValidations count="1">
    <dataValidation type="list" allowBlank="1" showInputMessage="1" showErrorMessage="1" sqref="C4" xr:uid="{DC60D315-4AE2-499A-9129-E69DBF2AE254}">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575B-4A53-45DC-81C2-738F26CBB3B4}">
  <dimension ref="A1:I3"/>
  <sheetViews>
    <sheetView showGridLines="0" topLeftCell="D1" zoomScale="115" zoomScaleNormal="115" workbookViewId="0">
      <selection activeCell="F4" sqref="F4"/>
    </sheetView>
  </sheetViews>
  <sheetFormatPr defaultColWidth="9" defaultRowHeight="15"/>
  <cols>
    <col min="1" max="1" width="9" style="208"/>
    <col min="2" max="2" width="24.33203125" style="208" bestFit="1" customWidth="1"/>
    <col min="3" max="3" width="10.6640625" style="208" bestFit="1" customWidth="1"/>
    <col min="4" max="4" width="30.44140625" style="208" customWidth="1"/>
    <col min="5" max="5" width="9" style="208"/>
    <col min="6" max="6" width="13.109375" style="208" bestFit="1" customWidth="1"/>
    <col min="7" max="7" width="11.109375" style="208" bestFit="1" customWidth="1"/>
    <col min="8" max="8" width="9" style="208"/>
    <col min="9" max="9" width="127.33203125" style="208" customWidth="1"/>
    <col min="10" max="16384" width="9" style="208"/>
  </cols>
  <sheetData>
    <row r="1" spans="1:9">
      <c r="A1" s="208" t="s">
        <v>204</v>
      </c>
    </row>
    <row r="2" spans="1:9">
      <c r="A2" s="209" t="s">
        <v>205</v>
      </c>
      <c r="B2" s="209" t="s">
        <v>206</v>
      </c>
      <c r="C2" s="209" t="s">
        <v>207</v>
      </c>
      <c r="D2" s="209" t="s">
        <v>208</v>
      </c>
      <c r="E2" s="209" t="s">
        <v>209</v>
      </c>
      <c r="F2" s="209" t="s">
        <v>210</v>
      </c>
      <c r="G2" s="209" t="s">
        <v>211</v>
      </c>
      <c r="H2" s="209" t="s">
        <v>212</v>
      </c>
      <c r="I2" s="209" t="s">
        <v>213</v>
      </c>
    </row>
    <row r="3" spans="1:9">
      <c r="A3" s="209" t="s">
        <v>216</v>
      </c>
      <c r="B3" s="209" t="s">
        <v>217</v>
      </c>
      <c r="C3" s="209" t="s">
        <v>215</v>
      </c>
      <c r="D3" s="209" t="s">
        <v>222</v>
      </c>
      <c r="E3" s="209" t="s">
        <v>220</v>
      </c>
      <c r="F3" s="209" t="s">
        <v>214</v>
      </c>
      <c r="G3" s="209"/>
      <c r="H3" s="209" t="s">
        <v>225</v>
      </c>
      <c r="I3" s="209" t="s">
        <v>218</v>
      </c>
    </row>
  </sheetData>
  <phoneticPr fontId="2"/>
  <pageMargins left="0.7" right="0.7" top="0.75" bottom="0.75" header="0.3" footer="0.3"/>
  <headerFooter>
    <oddHeader>&amp;C&amp;"Calibri"&amp;10&amp;KFF0000 CONFIDENTIAL&amp;1#_x000D_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election activeCell="D16" sqref="D16"/>
    </sheetView>
  </sheetViews>
  <sheetFormatPr defaultRowHeight="13.2"/>
  <cols>
    <col min="2" max="2" width="4.88671875" bestFit="1" customWidth="1"/>
    <col min="3" max="3" width="12.21875" customWidth="1"/>
    <col min="4" max="4" width="86" customWidth="1"/>
  </cols>
  <sheetData>
    <row r="2" spans="2:4" ht="13.8" thickBot="1">
      <c r="B2" s="80" t="s">
        <v>89</v>
      </c>
      <c r="C2" s="81">
        <f>MAX(B4:B28)</f>
        <v>0</v>
      </c>
      <c r="D2" s="81"/>
    </row>
    <row r="3" spans="2:4" ht="13.8" thickBot="1">
      <c r="B3" s="74" t="s">
        <v>87</v>
      </c>
      <c r="C3" s="82" t="s">
        <v>92</v>
      </c>
      <c r="D3" s="75" t="s">
        <v>88</v>
      </c>
    </row>
    <row r="4" spans="2:4" ht="13.8" thickTop="1">
      <c r="B4" s="12">
        <v>0</v>
      </c>
      <c r="C4" s="83" t="s">
        <v>226</v>
      </c>
      <c r="D4" s="14" t="s">
        <v>20</v>
      </c>
    </row>
    <row r="5" spans="2:4">
      <c r="B5" s="2"/>
      <c r="C5" s="84"/>
      <c r="D5" s="86"/>
    </row>
    <row r="6" spans="2:4">
      <c r="B6" s="2"/>
      <c r="C6" s="84"/>
      <c r="D6" s="86"/>
    </row>
    <row r="7" spans="2:4">
      <c r="B7" s="2"/>
      <c r="C7" s="84"/>
      <c r="D7" s="86"/>
    </row>
    <row r="8" spans="2:4">
      <c r="B8" s="2"/>
      <c r="C8" s="84"/>
      <c r="D8" s="86"/>
    </row>
    <row r="9" spans="2:4" ht="41.25" customHeight="1">
      <c r="B9" s="2"/>
      <c r="C9" s="84"/>
      <c r="D9" s="86"/>
    </row>
    <row r="10" spans="2:4">
      <c r="B10" s="2"/>
      <c r="C10" s="84"/>
      <c r="D10" s="86"/>
    </row>
    <row r="11" spans="2:4">
      <c r="B11" s="2"/>
      <c r="C11" s="84"/>
      <c r="D11" s="86"/>
    </row>
    <row r="12" spans="2:4">
      <c r="B12" s="2"/>
      <c r="C12" s="84"/>
      <c r="D12" s="86"/>
    </row>
    <row r="13" spans="2:4">
      <c r="B13" s="2"/>
      <c r="C13" s="84"/>
      <c r="D13" s="86"/>
    </row>
    <row r="14" spans="2:4">
      <c r="B14" s="2"/>
      <c r="C14" s="84"/>
      <c r="D14" s="86"/>
    </row>
    <row r="15" spans="2:4">
      <c r="B15" s="2"/>
      <c r="C15" s="84"/>
      <c r="D15" s="86"/>
    </row>
    <row r="16" spans="2:4" ht="191.25" customHeight="1">
      <c r="B16" s="2"/>
      <c r="C16" s="84"/>
      <c r="D16" s="86"/>
    </row>
    <row r="17" spans="2:4">
      <c r="B17" s="2"/>
      <c r="C17" s="84"/>
      <c r="D17" s="86"/>
    </row>
    <row r="18" spans="2:4">
      <c r="B18" s="2"/>
      <c r="C18" s="84"/>
      <c r="D18" s="86"/>
    </row>
    <row r="19" spans="2:4">
      <c r="B19" s="2"/>
      <c r="C19" s="84"/>
      <c r="D19" s="86"/>
    </row>
    <row r="20" spans="2:4" ht="64.5" customHeight="1">
      <c r="B20" s="2"/>
      <c r="C20" s="84"/>
      <c r="D20" s="86"/>
    </row>
    <row r="21" spans="2:4" ht="66.75" customHeight="1">
      <c r="B21" s="2"/>
      <c r="C21" s="84"/>
      <c r="D21" s="86"/>
    </row>
    <row r="22" spans="2:4">
      <c r="B22" s="2"/>
      <c r="C22" s="84"/>
      <c r="D22" s="86"/>
    </row>
    <row r="23" spans="2:4">
      <c r="B23" s="2"/>
      <c r="C23" s="84"/>
      <c r="D23" s="86"/>
    </row>
    <row r="24" spans="2:4">
      <c r="B24" s="2"/>
      <c r="C24" s="84"/>
      <c r="D24" s="86"/>
    </row>
    <row r="25" spans="2:4">
      <c r="B25" s="2"/>
      <c r="C25" s="84"/>
      <c r="D25" s="71"/>
    </row>
    <row r="26" spans="2:4">
      <c r="B26" s="2"/>
      <c r="C26" s="84"/>
      <c r="D26" s="71"/>
    </row>
    <row r="27" spans="2:4" ht="13.8" thickBot="1">
      <c r="B27" s="3"/>
      <c r="C27" s="8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S_ADBZR_SWS</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2025-12-18T04:51:54Z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2025-07-01T03:00:26Z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1c502ed2-16ab-4075-b437-3222f075550f</vt:lpwstr>
  </property>
  <property fmtid="{D5CDD505-2E9C-101B-9397-08002B2CF9AE}" pid="8" name="MSIP_Label_7ed1414a-99f2-46f9-bbe5-740af8d1b502_ContentBits">
    <vt:lpwstr>1</vt:lpwstr>
  </property>
</Properties>
</file>