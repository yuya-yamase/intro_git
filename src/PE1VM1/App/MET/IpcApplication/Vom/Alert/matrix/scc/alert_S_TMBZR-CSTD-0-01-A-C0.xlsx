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1_ブザーのパラメータ設計\"/>
    </mc:Choice>
  </mc:AlternateContent>
  <xr:revisionPtr revIDLastSave="0" documentId="13_ncr:1_{04D83DC9-A1EB-4711-9D12-A0084CB7CAE0}" xr6:coauthVersionLast="47" xr6:coauthVersionMax="47" xr10:uidLastSave="{00000000-0000-0000-0000-000000000000}"/>
  <bookViews>
    <workbookView xWindow="-120" yWindow="-120" windowWidth="29040" windowHeight="15720" tabRatio="557"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C_AD" sheetId="8" r:id="rId7"/>
    <sheet name="BC_DOT" sheetId="9" r:id="rId8"/>
    <sheet name="Reference(prev)" sheetId="3" state="hidden" r:id="rId9"/>
    <sheet name="Reference" sheetId="13"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9" hidden="1">Reference!$B$9:$AM$92</definedName>
    <definedName name="_xlnm._FilterDatabase" localSheetId="8" hidden="1">'Reference(prev)'!$B$9:$AM$269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8" l="1"/>
  <c r="AA71" i="8"/>
  <c r="AB71" i="8"/>
  <c r="AC71" i="8"/>
  <c r="AD71" i="8"/>
  <c r="AE71" i="8"/>
  <c r="AF71" i="8"/>
  <c r="AG71" i="8"/>
  <c r="AA72" i="8"/>
  <c r="AB72" i="8"/>
  <c r="AC72" i="8"/>
  <c r="AD72" i="8"/>
  <c r="AE72" i="8"/>
  <c r="AF72" i="8"/>
  <c r="AG72" i="8"/>
  <c r="AA73" i="8"/>
  <c r="AB73" i="8"/>
  <c r="AC73" i="8"/>
  <c r="AD73" i="8"/>
  <c r="AE73" i="8"/>
  <c r="AF73" i="8"/>
  <c r="AG73" i="8"/>
  <c r="AA74" i="8"/>
  <c r="AB74" i="8"/>
  <c r="AC74" i="8"/>
  <c r="AD74" i="8"/>
  <c r="AE74" i="8"/>
  <c r="AF74" i="8"/>
  <c r="AG74" i="8"/>
  <c r="AA75" i="8"/>
  <c r="AB75" i="8"/>
  <c r="AC75" i="8"/>
  <c r="AD75" i="8"/>
  <c r="AE75" i="8"/>
  <c r="AF75" i="8"/>
  <c r="AG75" i="8"/>
  <c r="AA76" i="8"/>
  <c r="AB76" i="8"/>
  <c r="AC76" i="8"/>
  <c r="AD76" i="8"/>
  <c r="AE76" i="8"/>
  <c r="AF76" i="8"/>
  <c r="AG76" i="8"/>
  <c r="AA77" i="8"/>
  <c r="AB77" i="8"/>
  <c r="AC77" i="8"/>
  <c r="AD77" i="8"/>
  <c r="AE77" i="8"/>
  <c r="AF77" i="8"/>
  <c r="AG77" i="8"/>
  <c r="AA78" i="8"/>
  <c r="AB78" i="8"/>
  <c r="AC78" i="8"/>
  <c r="AD78" i="8"/>
  <c r="AE78" i="8"/>
  <c r="AF78" i="8"/>
  <c r="AG78" i="8"/>
  <c r="AA79" i="8"/>
  <c r="AB79" i="8"/>
  <c r="AC79" i="8"/>
  <c r="AD79" i="8"/>
  <c r="AE79" i="8"/>
  <c r="AF79" i="8"/>
  <c r="AG79" i="8"/>
  <c r="AA80" i="8"/>
  <c r="AB80" i="8"/>
  <c r="AC80" i="8"/>
  <c r="AD80" i="8"/>
  <c r="AE80" i="8"/>
  <c r="AF80" i="8"/>
  <c r="AG80" i="8"/>
  <c r="AA81" i="8"/>
  <c r="AB81" i="8"/>
  <c r="AC81" i="8"/>
  <c r="AD81" i="8"/>
  <c r="AE81" i="8"/>
  <c r="AF81" i="8"/>
  <c r="AG81" i="8"/>
  <c r="AA82" i="8"/>
  <c r="AB82" i="8"/>
  <c r="AC82" i="8"/>
  <c r="AD82" i="8"/>
  <c r="AE82" i="8"/>
  <c r="AF82" i="8"/>
  <c r="AG82" i="8"/>
  <c r="AA83" i="8"/>
  <c r="AB83" i="8"/>
  <c r="AC83" i="8"/>
  <c r="AD83" i="8"/>
  <c r="AE83" i="8"/>
  <c r="AF83" i="8"/>
  <c r="AG83" i="8"/>
  <c r="AA84" i="8"/>
  <c r="AB84" i="8"/>
  <c r="AC84" i="8"/>
  <c r="AD84" i="8"/>
  <c r="AE84" i="8"/>
  <c r="AF84" i="8"/>
  <c r="AG84" i="8"/>
  <c r="AA85" i="8"/>
  <c r="AB85" i="8"/>
  <c r="AC85" i="8"/>
  <c r="AD85" i="8"/>
  <c r="AE85" i="8"/>
  <c r="AF85" i="8"/>
  <c r="AG85" i="8"/>
  <c r="AA86" i="8"/>
  <c r="AB86" i="8"/>
  <c r="AC86" i="8"/>
  <c r="AD86" i="8"/>
  <c r="AE86" i="8"/>
  <c r="AF86" i="8"/>
  <c r="AG86" i="8"/>
  <c r="AA87" i="8"/>
  <c r="AB87" i="8"/>
  <c r="AC87" i="8"/>
  <c r="AD87" i="8"/>
  <c r="AE87" i="8"/>
  <c r="AF87" i="8"/>
  <c r="AG87" i="8"/>
  <c r="AA88" i="8"/>
  <c r="AB88" i="8"/>
  <c r="AC88" i="8"/>
  <c r="AD88" i="8"/>
  <c r="AE88" i="8"/>
  <c r="AF88" i="8"/>
  <c r="AG88" i="8"/>
  <c r="AA89" i="8"/>
  <c r="AB89" i="8"/>
  <c r="AC89" i="8"/>
  <c r="AD89" i="8"/>
  <c r="AE89" i="8"/>
  <c r="AF89" i="8"/>
  <c r="AG89" i="8"/>
  <c r="AA90" i="8"/>
  <c r="AB90" i="8"/>
  <c r="AC90" i="8"/>
  <c r="AD90" i="8"/>
  <c r="AE90" i="8"/>
  <c r="AF90" i="8"/>
  <c r="AG90" i="8"/>
  <c r="AA91" i="8"/>
  <c r="AB91" i="8"/>
  <c r="AC91" i="8"/>
  <c r="AD91" i="8"/>
  <c r="AE91" i="8"/>
  <c r="AF91" i="8"/>
  <c r="AG91" i="8"/>
  <c r="AA92" i="8"/>
  <c r="AB92" i="8"/>
  <c r="AC92" i="8"/>
  <c r="AD92" i="8"/>
  <c r="AE92" i="8"/>
  <c r="AF92" i="8"/>
  <c r="AG92" i="8"/>
  <c r="AA93" i="8"/>
  <c r="AB93" i="8"/>
  <c r="AC93" i="8"/>
  <c r="AD93" i="8"/>
  <c r="AE93" i="8"/>
  <c r="AF93" i="8"/>
  <c r="AG93" i="8"/>
  <c r="AA94" i="8"/>
  <c r="AB94" i="8"/>
  <c r="AC94" i="8"/>
  <c r="AD94" i="8"/>
  <c r="AE94" i="8"/>
  <c r="AF94" i="8"/>
  <c r="AG94" i="8"/>
  <c r="AA95" i="8"/>
  <c r="AB95" i="8"/>
  <c r="AC95" i="8"/>
  <c r="AD95" i="8"/>
  <c r="AE95" i="8"/>
  <c r="AF95" i="8"/>
  <c r="AG95" i="8"/>
  <c r="AA96" i="8"/>
  <c r="AB96" i="8"/>
  <c r="AC96" i="8"/>
  <c r="AD96" i="8"/>
  <c r="AE96" i="8"/>
  <c r="AF96" i="8"/>
  <c r="AG96" i="8"/>
  <c r="AA97" i="8"/>
  <c r="AB97" i="8"/>
  <c r="AC97" i="8"/>
  <c r="AD97" i="8"/>
  <c r="AE97" i="8"/>
  <c r="AF97" i="8"/>
  <c r="AG97" i="8"/>
  <c r="AA98" i="8"/>
  <c r="AB98" i="8"/>
  <c r="AC98" i="8"/>
  <c r="AD98" i="8"/>
  <c r="AE98" i="8"/>
  <c r="AF98" i="8"/>
  <c r="AG98" i="8"/>
  <c r="AA99" i="8"/>
  <c r="AB99" i="8"/>
  <c r="AC99" i="8"/>
  <c r="AD99" i="8"/>
  <c r="AE99" i="8"/>
  <c r="AF99" i="8"/>
  <c r="AG99" i="8"/>
  <c r="AA100" i="8"/>
  <c r="AB100" i="8"/>
  <c r="AC100" i="8"/>
  <c r="AD100" i="8"/>
  <c r="AE100" i="8"/>
  <c r="AF100" i="8"/>
  <c r="AG100" i="8"/>
  <c r="AA101" i="8"/>
  <c r="AB101" i="8"/>
  <c r="AC101" i="8"/>
  <c r="AD101" i="8"/>
  <c r="AE101" i="8"/>
  <c r="AF101" i="8"/>
  <c r="AG101" i="8"/>
  <c r="AA102" i="8"/>
  <c r="AB102" i="8"/>
  <c r="AC102" i="8"/>
  <c r="AD102" i="8"/>
  <c r="AE102" i="8"/>
  <c r="AF102" i="8"/>
  <c r="AG102" i="8"/>
  <c r="AA103" i="8"/>
  <c r="AB103" i="8"/>
  <c r="AC103" i="8"/>
  <c r="AD103" i="8"/>
  <c r="AE103" i="8"/>
  <c r="AF103" i="8"/>
  <c r="AG103" i="8"/>
  <c r="AA104" i="8"/>
  <c r="AB104" i="8"/>
  <c r="AC104" i="8"/>
  <c r="AD104" i="8"/>
  <c r="AE104" i="8"/>
  <c r="AF104" i="8"/>
  <c r="AG104" i="8"/>
  <c r="AA105" i="8"/>
  <c r="AB105" i="8"/>
  <c r="AC105" i="8"/>
  <c r="AD105" i="8"/>
  <c r="AE105" i="8"/>
  <c r="AF105" i="8"/>
  <c r="AG105" i="8"/>
  <c r="AA106" i="8"/>
  <c r="AB106" i="8"/>
  <c r="AC106" i="8"/>
  <c r="AD106" i="8"/>
  <c r="AE106" i="8"/>
  <c r="AF106" i="8"/>
  <c r="AG106" i="8"/>
  <c r="AA107" i="8"/>
  <c r="AB107" i="8"/>
  <c r="AC107" i="8"/>
  <c r="AD107" i="8"/>
  <c r="AE107" i="8"/>
  <c r="AF107" i="8"/>
  <c r="AG107" i="8"/>
  <c r="AA108" i="8"/>
  <c r="AB108" i="8"/>
  <c r="AC108" i="8"/>
  <c r="AD108" i="8"/>
  <c r="AE108" i="8"/>
  <c r="AF108" i="8"/>
  <c r="AG108" i="8"/>
  <c r="AA109" i="8"/>
  <c r="AB109" i="8"/>
  <c r="AC109" i="8"/>
  <c r="AD109" i="8"/>
  <c r="AE109" i="8"/>
  <c r="AF109" i="8"/>
  <c r="AG109" i="8"/>
  <c r="AA110" i="8"/>
  <c r="AB110" i="8"/>
  <c r="AC110" i="8"/>
  <c r="AD110" i="8"/>
  <c r="AE110" i="8"/>
  <c r="AF110" i="8"/>
  <c r="AG110" i="8"/>
  <c r="AA111" i="8"/>
  <c r="AB111" i="8"/>
  <c r="AC111" i="8"/>
  <c r="AD111" i="8"/>
  <c r="AE111" i="8"/>
  <c r="AF111" i="8"/>
  <c r="AG111" i="8"/>
  <c r="AA112" i="8"/>
  <c r="AB112" i="8"/>
  <c r="AC112" i="8"/>
  <c r="AD112" i="8"/>
  <c r="AE112" i="8"/>
  <c r="AF112" i="8"/>
  <c r="AG112" i="8"/>
  <c r="AA113" i="8"/>
  <c r="AB113" i="8"/>
  <c r="AC113" i="8"/>
  <c r="AD113" i="8"/>
  <c r="AE113" i="8"/>
  <c r="AF113" i="8"/>
  <c r="AG113" i="8"/>
  <c r="AA114" i="8"/>
  <c r="AB114" i="8"/>
  <c r="AC114" i="8"/>
  <c r="AD114" i="8"/>
  <c r="AE114" i="8"/>
  <c r="AF114" i="8"/>
  <c r="AG114" i="8"/>
  <c r="AA115" i="8"/>
  <c r="AB115" i="8"/>
  <c r="AC115" i="8"/>
  <c r="AD115" i="8"/>
  <c r="AE115" i="8"/>
  <c r="AF115" i="8"/>
  <c r="AG115" i="8"/>
  <c r="AA116" i="8"/>
  <c r="AB116" i="8"/>
  <c r="AC116" i="8"/>
  <c r="AD116" i="8"/>
  <c r="AE116" i="8"/>
  <c r="AF116" i="8"/>
  <c r="AG116" i="8"/>
  <c r="AA117" i="8"/>
  <c r="AB117" i="8"/>
  <c r="AC117" i="8"/>
  <c r="AD117" i="8"/>
  <c r="AE117" i="8"/>
  <c r="AF117" i="8"/>
  <c r="AG117" i="8"/>
  <c r="AA118" i="8"/>
  <c r="AB118" i="8"/>
  <c r="AC118" i="8"/>
  <c r="AD118" i="8"/>
  <c r="AE118" i="8"/>
  <c r="AF118" i="8"/>
  <c r="AG118" i="8"/>
  <c r="AA119" i="8"/>
  <c r="AB119" i="8"/>
  <c r="AC119" i="8"/>
  <c r="AD119" i="8"/>
  <c r="AE119" i="8"/>
  <c r="AF119" i="8"/>
  <c r="AG119" i="8"/>
  <c r="AA120" i="8"/>
  <c r="AB120" i="8"/>
  <c r="AC120" i="8"/>
  <c r="AD120" i="8"/>
  <c r="AE120" i="8"/>
  <c r="AF120" i="8"/>
  <c r="AG120" i="8"/>
  <c r="AA121" i="8"/>
  <c r="AB121" i="8"/>
  <c r="AC121" i="8"/>
  <c r="AD121" i="8"/>
  <c r="AE121" i="8"/>
  <c r="AF121" i="8"/>
  <c r="AG121" i="8"/>
  <c r="AA122" i="8"/>
  <c r="AB122" i="8"/>
  <c r="AC122" i="8"/>
  <c r="AD122" i="8"/>
  <c r="AE122" i="8"/>
  <c r="AF122" i="8"/>
  <c r="AG122" i="8"/>
  <c r="AA123" i="8"/>
  <c r="AB123" i="8"/>
  <c r="AC123" i="8"/>
  <c r="AD123" i="8"/>
  <c r="AE123" i="8"/>
  <c r="AF123" i="8"/>
  <c r="AG123" i="8"/>
  <c r="AA124" i="8"/>
  <c r="AB124" i="8"/>
  <c r="AC124" i="8"/>
  <c r="AD124" i="8"/>
  <c r="AE124" i="8"/>
  <c r="AF124" i="8"/>
  <c r="AG124" i="8"/>
  <c r="AA125" i="8"/>
  <c r="AB125" i="8"/>
  <c r="AC125" i="8"/>
  <c r="AD125" i="8"/>
  <c r="AE125" i="8"/>
  <c r="AF125" i="8"/>
  <c r="AG125" i="8"/>
  <c r="AA126" i="8"/>
  <c r="AB126" i="8"/>
  <c r="AC126" i="8"/>
  <c r="AD126" i="8"/>
  <c r="AE126" i="8"/>
  <c r="AF126" i="8"/>
  <c r="AG126" i="8"/>
  <c r="AA127" i="8"/>
  <c r="AB127" i="8"/>
  <c r="AC127" i="8"/>
  <c r="AD127" i="8"/>
  <c r="AE127" i="8"/>
  <c r="AF127" i="8"/>
  <c r="AG127" i="8"/>
  <c r="AA128" i="8"/>
  <c r="AB128" i="8"/>
  <c r="AC128" i="8"/>
  <c r="AD128" i="8"/>
  <c r="AE128" i="8"/>
  <c r="AF128" i="8"/>
  <c r="AG128" i="8"/>
  <c r="AA129" i="8"/>
  <c r="AB129" i="8"/>
  <c r="AC129" i="8"/>
  <c r="AD129" i="8"/>
  <c r="AE129" i="8"/>
  <c r="AF129" i="8"/>
  <c r="AG129" i="8"/>
  <c r="AA130" i="8"/>
  <c r="AB130" i="8"/>
  <c r="AC130" i="8"/>
  <c r="AD130" i="8"/>
  <c r="AE130" i="8"/>
  <c r="AF130" i="8"/>
  <c r="AG130" i="8"/>
  <c r="AA131" i="8"/>
  <c r="AB131" i="8"/>
  <c r="AC131" i="8"/>
  <c r="AD131" i="8"/>
  <c r="AE131" i="8"/>
  <c r="AF131" i="8"/>
  <c r="AG131" i="8"/>
  <c r="AA132" i="8"/>
  <c r="AB132" i="8"/>
  <c r="AC132" i="8"/>
  <c r="AD132" i="8"/>
  <c r="AE132" i="8"/>
  <c r="AF132" i="8"/>
  <c r="AG132" i="8"/>
  <c r="AA133" i="8"/>
  <c r="AB133" i="8"/>
  <c r="AC133" i="8"/>
  <c r="AD133" i="8"/>
  <c r="AE133" i="8"/>
  <c r="AF133" i="8"/>
  <c r="AG133" i="8"/>
  <c r="AA134" i="8"/>
  <c r="AB134" i="8"/>
  <c r="AC134" i="8"/>
  <c r="AD134" i="8"/>
  <c r="AE134" i="8"/>
  <c r="AF134" i="8"/>
  <c r="AG134" i="8"/>
  <c r="AA136" i="8"/>
  <c r="AB136" i="8"/>
  <c r="AC136" i="8"/>
  <c r="AD136" i="8"/>
  <c r="AE136" i="8"/>
  <c r="AF136" i="8"/>
  <c r="AG136" i="8"/>
  <c r="AA137" i="8"/>
  <c r="AB137" i="8"/>
  <c r="AC137" i="8"/>
  <c r="AD137" i="8"/>
  <c r="AE137" i="8"/>
  <c r="AF137" i="8"/>
  <c r="AG137" i="8"/>
  <c r="AA138" i="8"/>
  <c r="AB138" i="8"/>
  <c r="AC138" i="8"/>
  <c r="AD138" i="8"/>
  <c r="AE138" i="8"/>
  <c r="AF138" i="8"/>
  <c r="AG138" i="8"/>
  <c r="AA139" i="8"/>
  <c r="AB139" i="8"/>
  <c r="AC139" i="8"/>
  <c r="AD139" i="8"/>
  <c r="AE139" i="8"/>
  <c r="AF139" i="8"/>
  <c r="AG139" i="8"/>
  <c r="AA140" i="8"/>
  <c r="AB140" i="8"/>
  <c r="AC140" i="8"/>
  <c r="AD140" i="8"/>
  <c r="AE140" i="8"/>
  <c r="AF140" i="8"/>
  <c r="AG140" i="8"/>
  <c r="AA141" i="8"/>
  <c r="AB141" i="8"/>
  <c r="AC141" i="8"/>
  <c r="AD141" i="8"/>
  <c r="AE141" i="8"/>
  <c r="AF141" i="8"/>
  <c r="AG141" i="8"/>
  <c r="AA142" i="8"/>
  <c r="AB142" i="8"/>
  <c r="AC142" i="8"/>
  <c r="AD142" i="8"/>
  <c r="AE142" i="8"/>
  <c r="AF142" i="8"/>
  <c r="AG142" i="8"/>
  <c r="AA143" i="8"/>
  <c r="AB143" i="8"/>
  <c r="AC143" i="8"/>
  <c r="AD143" i="8"/>
  <c r="AE143" i="8"/>
  <c r="AF143" i="8"/>
  <c r="AG143" i="8"/>
  <c r="AA144" i="8"/>
  <c r="AB144" i="8"/>
  <c r="AC144" i="8"/>
  <c r="AD144" i="8"/>
  <c r="AE144" i="8"/>
  <c r="AF144" i="8"/>
  <c r="AG144" i="8"/>
  <c r="AA145" i="8"/>
  <c r="AB145" i="8"/>
  <c r="AC145" i="8"/>
  <c r="AD145" i="8"/>
  <c r="AE145" i="8"/>
  <c r="AF145" i="8"/>
  <c r="AG145" i="8"/>
  <c r="AA146" i="8"/>
  <c r="AB146" i="8"/>
  <c r="AC146" i="8"/>
  <c r="AD146" i="8"/>
  <c r="AE146" i="8"/>
  <c r="AF146" i="8"/>
  <c r="AG146" i="8"/>
  <c r="AA147" i="8"/>
  <c r="AB147" i="8"/>
  <c r="AC147" i="8"/>
  <c r="AD147" i="8"/>
  <c r="AE147" i="8"/>
  <c r="AF147" i="8"/>
  <c r="AG147" i="8"/>
  <c r="AA148" i="8"/>
  <c r="AB148" i="8"/>
  <c r="AC148" i="8"/>
  <c r="AD148" i="8"/>
  <c r="AE148" i="8"/>
  <c r="AF148" i="8"/>
  <c r="AG148" i="8"/>
  <c r="AA149" i="8"/>
  <c r="AB149" i="8"/>
  <c r="AC149" i="8"/>
  <c r="AD149" i="8"/>
  <c r="AE149" i="8"/>
  <c r="AF149" i="8"/>
  <c r="AG149" i="8"/>
  <c r="AA150" i="8"/>
  <c r="AB150" i="8"/>
  <c r="AC150" i="8"/>
  <c r="AD150" i="8"/>
  <c r="AE150" i="8"/>
  <c r="AF150" i="8"/>
  <c r="AG150" i="8"/>
  <c r="AA151" i="8"/>
  <c r="AB151" i="8"/>
  <c r="AC151" i="8"/>
  <c r="AD151" i="8"/>
  <c r="AE151" i="8"/>
  <c r="AF151" i="8"/>
  <c r="AG151" i="8"/>
  <c r="AA152" i="8"/>
  <c r="AB152" i="8"/>
  <c r="AC152" i="8"/>
  <c r="AD152" i="8"/>
  <c r="AE152" i="8"/>
  <c r="AF152" i="8"/>
  <c r="AG152" i="8"/>
  <c r="AA153" i="8"/>
  <c r="AB153" i="8"/>
  <c r="AC153" i="8"/>
  <c r="AD153" i="8"/>
  <c r="AE153" i="8"/>
  <c r="AF153" i="8"/>
  <c r="AG153" i="8"/>
  <c r="AA154" i="8"/>
  <c r="AB154" i="8"/>
  <c r="AC154" i="8"/>
  <c r="AD154" i="8"/>
  <c r="AE154" i="8"/>
  <c r="AF154" i="8"/>
  <c r="AG154" i="8"/>
  <c r="AA155" i="8"/>
  <c r="AB155" i="8"/>
  <c r="AC155" i="8"/>
  <c r="AD155" i="8"/>
  <c r="AE155" i="8"/>
  <c r="AF155" i="8"/>
  <c r="AG155" i="8"/>
  <c r="T13" i="12" l="1"/>
  <c r="B3" i="8" l="1"/>
  <c r="AW7" i="8" s="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S4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L168" i="9" s="1"/>
  <c r="AA168" i="9"/>
  <c r="Z168" i="9"/>
  <c r="Y168" i="9"/>
  <c r="X168" i="9"/>
  <c r="W168" i="9"/>
  <c r="V168" i="9"/>
  <c r="U168" i="9"/>
  <c r="T168" i="9"/>
  <c r="S168" i="9"/>
  <c r="R168" i="9"/>
  <c r="Q168" i="9"/>
  <c r="P168" i="9"/>
  <c r="O168" i="9"/>
  <c r="N168" i="9"/>
  <c r="M168" i="9"/>
  <c r="L168" i="9"/>
  <c r="K168" i="9"/>
  <c r="J168" i="9"/>
  <c r="I168" i="9"/>
  <c r="H168" i="9"/>
  <c r="G168" i="9"/>
  <c r="F168" i="9"/>
  <c r="E168" i="9"/>
  <c r="D168" i="9"/>
  <c r="AO168" i="9" s="1"/>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S35"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S32"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S2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S18" i="9" s="1"/>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L147" i="9" s="1"/>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S17"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R58"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R29"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AN86" i="9" s="1"/>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C63" i="9"/>
  <c r="AT62" i="9"/>
  <c r="C62" i="9"/>
  <c r="AT61" i="9"/>
  <c r="C61" i="9"/>
  <c r="AT60" i="9"/>
  <c r="C60" i="9"/>
  <c r="C190" i="9" s="1"/>
  <c r="AT59" i="9"/>
  <c r="C59" i="9"/>
  <c r="C189" i="9" s="1"/>
  <c r="AT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C40" i="9"/>
  <c r="AT39" i="9"/>
  <c r="C39" i="9"/>
  <c r="AT38" i="9"/>
  <c r="C38" i="9"/>
  <c r="AT37" i="9"/>
  <c r="AR37" i="9"/>
  <c r="C37" i="9"/>
  <c r="C167" i="9" s="1"/>
  <c r="AT36" i="9"/>
  <c r="C36" i="9"/>
  <c r="C166" i="9" s="1"/>
  <c r="AT35" i="9"/>
  <c r="C35" i="9"/>
  <c r="C165" i="9" s="1"/>
  <c r="AT34" i="9"/>
  <c r="C34" i="9"/>
  <c r="AT33" i="9"/>
  <c r="C33" i="9"/>
  <c r="AT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S19" i="9"/>
  <c r="AR19" i="9"/>
  <c r="C19" i="9"/>
  <c r="AT18" i="9"/>
  <c r="C18" i="9"/>
  <c r="C148" i="9" s="1"/>
  <c r="AT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Z99" i="8"/>
  <c r="Y99" i="8"/>
  <c r="X99" i="8"/>
  <c r="W99" i="8"/>
  <c r="V99" i="8"/>
  <c r="U99" i="8"/>
  <c r="T99" i="8"/>
  <c r="S99" i="8"/>
  <c r="R99" i="8"/>
  <c r="Q99" i="8"/>
  <c r="P99" i="8"/>
  <c r="O99" i="8"/>
  <c r="N99" i="8"/>
  <c r="M99" i="8"/>
  <c r="L99" i="8"/>
  <c r="K99" i="8"/>
  <c r="J99" i="8"/>
  <c r="I99" i="8"/>
  <c r="H99" i="8"/>
  <c r="G99" i="8"/>
  <c r="F99" i="8"/>
  <c r="E99" i="8"/>
  <c r="D99" i="8"/>
  <c r="AJ98" i="8"/>
  <c r="AI98" i="8"/>
  <c r="AH98" i="8"/>
  <c r="Z98" i="8"/>
  <c r="Y98" i="8"/>
  <c r="X98" i="8"/>
  <c r="W98" i="8"/>
  <c r="V98" i="8"/>
  <c r="U98" i="8"/>
  <c r="T98" i="8"/>
  <c r="S98" i="8"/>
  <c r="R98" i="8"/>
  <c r="Q98" i="8"/>
  <c r="P98" i="8"/>
  <c r="O98" i="8"/>
  <c r="N98" i="8"/>
  <c r="M98" i="8"/>
  <c r="L98" i="8"/>
  <c r="K98" i="8"/>
  <c r="J98" i="8"/>
  <c r="I98" i="8"/>
  <c r="H98" i="8"/>
  <c r="G98" i="8"/>
  <c r="F98" i="8"/>
  <c r="E98" i="8"/>
  <c r="D98" i="8"/>
  <c r="AJ97" i="8"/>
  <c r="AI97" i="8"/>
  <c r="AH97" i="8"/>
  <c r="Z97" i="8"/>
  <c r="Y97" i="8"/>
  <c r="X97" i="8"/>
  <c r="W97" i="8"/>
  <c r="V97" i="8"/>
  <c r="U97" i="8"/>
  <c r="T97" i="8"/>
  <c r="S97" i="8"/>
  <c r="R97" i="8"/>
  <c r="Q97" i="8"/>
  <c r="P97" i="8"/>
  <c r="O97" i="8"/>
  <c r="N97" i="8"/>
  <c r="M97" i="8"/>
  <c r="L97" i="8"/>
  <c r="K97" i="8"/>
  <c r="J97" i="8"/>
  <c r="I97" i="8"/>
  <c r="H97" i="8"/>
  <c r="G97" i="8"/>
  <c r="F97" i="8"/>
  <c r="E97" i="8"/>
  <c r="D97" i="8"/>
  <c r="AJ96" i="8"/>
  <c r="AI96" i="8"/>
  <c r="AH96" i="8"/>
  <c r="Z96" i="8"/>
  <c r="Y96" i="8"/>
  <c r="X96" i="8"/>
  <c r="W96" i="8"/>
  <c r="V96" i="8"/>
  <c r="U96" i="8"/>
  <c r="T96" i="8"/>
  <c r="S96" i="8"/>
  <c r="R96" i="8"/>
  <c r="Q96" i="8"/>
  <c r="P96" i="8"/>
  <c r="O96" i="8"/>
  <c r="N96" i="8"/>
  <c r="M96" i="8"/>
  <c r="L96" i="8"/>
  <c r="K96" i="8"/>
  <c r="J96" i="8"/>
  <c r="I96" i="8"/>
  <c r="H96" i="8"/>
  <c r="G96" i="8"/>
  <c r="F96" i="8"/>
  <c r="E96" i="8"/>
  <c r="D96" i="8"/>
  <c r="AJ95" i="8"/>
  <c r="AI95" i="8"/>
  <c r="AH95" i="8"/>
  <c r="Z95" i="8"/>
  <c r="Y95" i="8"/>
  <c r="X95" i="8"/>
  <c r="W95" i="8"/>
  <c r="V95" i="8"/>
  <c r="U95" i="8"/>
  <c r="T95" i="8"/>
  <c r="S95" i="8"/>
  <c r="R95" i="8"/>
  <c r="Q95" i="8"/>
  <c r="P95" i="8"/>
  <c r="O95" i="8"/>
  <c r="N95" i="8"/>
  <c r="M95" i="8"/>
  <c r="L95" i="8"/>
  <c r="K95" i="8"/>
  <c r="J95" i="8"/>
  <c r="I95" i="8"/>
  <c r="H95" i="8"/>
  <c r="G95" i="8"/>
  <c r="F95" i="8"/>
  <c r="E95" i="8"/>
  <c r="D95" i="8"/>
  <c r="AJ94" i="8"/>
  <c r="AI94" i="8"/>
  <c r="AH94" i="8"/>
  <c r="Z94" i="8"/>
  <c r="Y94" i="8"/>
  <c r="X94" i="8"/>
  <c r="W94" i="8"/>
  <c r="V94" i="8"/>
  <c r="U94" i="8"/>
  <c r="T94" i="8"/>
  <c r="S94" i="8"/>
  <c r="R94" i="8"/>
  <c r="Q94" i="8"/>
  <c r="P94" i="8"/>
  <c r="O94" i="8"/>
  <c r="N94" i="8"/>
  <c r="M94" i="8"/>
  <c r="L94" i="8"/>
  <c r="K94" i="8"/>
  <c r="J94" i="8"/>
  <c r="I94" i="8"/>
  <c r="H94" i="8"/>
  <c r="G94" i="8"/>
  <c r="F94" i="8"/>
  <c r="E94" i="8"/>
  <c r="D94" i="8"/>
  <c r="AJ93" i="8"/>
  <c r="AI93" i="8"/>
  <c r="AH93" i="8"/>
  <c r="Z93" i="8"/>
  <c r="Y93" i="8"/>
  <c r="X93" i="8"/>
  <c r="W93" i="8"/>
  <c r="V93" i="8"/>
  <c r="U93" i="8"/>
  <c r="T93" i="8"/>
  <c r="S93" i="8"/>
  <c r="R93" i="8"/>
  <c r="Q93" i="8"/>
  <c r="P93" i="8"/>
  <c r="O93" i="8"/>
  <c r="N93" i="8"/>
  <c r="M93" i="8"/>
  <c r="L93" i="8"/>
  <c r="K93" i="8"/>
  <c r="J93" i="8"/>
  <c r="I93" i="8"/>
  <c r="H93" i="8"/>
  <c r="G93" i="8"/>
  <c r="F93" i="8"/>
  <c r="E93" i="8"/>
  <c r="D93" i="8"/>
  <c r="AJ92" i="8"/>
  <c r="AI92" i="8"/>
  <c r="AH92" i="8"/>
  <c r="Z92" i="8"/>
  <c r="Y92" i="8"/>
  <c r="X92" i="8"/>
  <c r="W92" i="8"/>
  <c r="V92" i="8"/>
  <c r="U92" i="8"/>
  <c r="T92" i="8"/>
  <c r="S92" i="8"/>
  <c r="R92" i="8"/>
  <c r="Q92" i="8"/>
  <c r="P92" i="8"/>
  <c r="O92" i="8"/>
  <c r="N92" i="8"/>
  <c r="M92" i="8"/>
  <c r="L92" i="8"/>
  <c r="K92" i="8"/>
  <c r="J92" i="8"/>
  <c r="I92" i="8"/>
  <c r="H92" i="8"/>
  <c r="G92" i="8"/>
  <c r="F92" i="8"/>
  <c r="E92" i="8"/>
  <c r="D92" i="8"/>
  <c r="AJ91" i="8"/>
  <c r="AI91" i="8"/>
  <c r="AH91" i="8"/>
  <c r="Z91" i="8"/>
  <c r="Y91" i="8"/>
  <c r="X91" i="8"/>
  <c r="W91" i="8"/>
  <c r="V91" i="8"/>
  <c r="U91" i="8"/>
  <c r="T91" i="8"/>
  <c r="S91" i="8"/>
  <c r="R91" i="8"/>
  <c r="Q91" i="8"/>
  <c r="P91" i="8"/>
  <c r="O91" i="8"/>
  <c r="N91" i="8"/>
  <c r="M91" i="8"/>
  <c r="L91" i="8"/>
  <c r="K91" i="8"/>
  <c r="J91" i="8"/>
  <c r="I91" i="8"/>
  <c r="H91" i="8"/>
  <c r="G91" i="8"/>
  <c r="F91" i="8"/>
  <c r="E91" i="8"/>
  <c r="D91" i="8"/>
  <c r="AJ90" i="8"/>
  <c r="AI90" i="8"/>
  <c r="AH90" i="8"/>
  <c r="Z90" i="8"/>
  <c r="Y90" i="8"/>
  <c r="X90" i="8"/>
  <c r="W90" i="8"/>
  <c r="V90" i="8"/>
  <c r="U90" i="8"/>
  <c r="T90" i="8"/>
  <c r="S90" i="8"/>
  <c r="R90" i="8"/>
  <c r="Q90" i="8"/>
  <c r="P90" i="8"/>
  <c r="O90" i="8"/>
  <c r="N90" i="8"/>
  <c r="M90" i="8"/>
  <c r="L90" i="8"/>
  <c r="K90" i="8"/>
  <c r="J90" i="8"/>
  <c r="I90" i="8"/>
  <c r="H90" i="8"/>
  <c r="G90" i="8"/>
  <c r="F90" i="8"/>
  <c r="E90" i="8"/>
  <c r="D90" i="8"/>
  <c r="AJ89" i="8"/>
  <c r="AI89" i="8"/>
  <c r="AH89" i="8"/>
  <c r="Z89" i="8"/>
  <c r="Y89" i="8"/>
  <c r="X89" i="8"/>
  <c r="W89" i="8"/>
  <c r="V89" i="8"/>
  <c r="U89" i="8"/>
  <c r="T89" i="8"/>
  <c r="S89" i="8"/>
  <c r="R89" i="8"/>
  <c r="Q89" i="8"/>
  <c r="P89" i="8"/>
  <c r="O89" i="8"/>
  <c r="N89" i="8"/>
  <c r="M89" i="8"/>
  <c r="L89" i="8"/>
  <c r="K89" i="8"/>
  <c r="J89" i="8"/>
  <c r="I89" i="8"/>
  <c r="H89" i="8"/>
  <c r="G89" i="8"/>
  <c r="F89" i="8"/>
  <c r="E89" i="8"/>
  <c r="D89" i="8"/>
  <c r="AJ88" i="8"/>
  <c r="AI88" i="8"/>
  <c r="AH88" i="8"/>
  <c r="Z88" i="8"/>
  <c r="Y88" i="8"/>
  <c r="X88" i="8"/>
  <c r="W88" i="8"/>
  <c r="V88" i="8"/>
  <c r="U88" i="8"/>
  <c r="T88" i="8"/>
  <c r="S88" i="8"/>
  <c r="R88" i="8"/>
  <c r="Q88" i="8"/>
  <c r="P88" i="8"/>
  <c r="O88" i="8"/>
  <c r="N88" i="8"/>
  <c r="M88" i="8"/>
  <c r="L88" i="8"/>
  <c r="K88" i="8"/>
  <c r="J88" i="8"/>
  <c r="I88" i="8"/>
  <c r="H88" i="8"/>
  <c r="G88" i="8"/>
  <c r="F88" i="8"/>
  <c r="E88" i="8"/>
  <c r="D88" i="8"/>
  <c r="AJ87" i="8"/>
  <c r="AI87" i="8"/>
  <c r="AH87" i="8"/>
  <c r="Z87" i="8"/>
  <c r="Y87" i="8"/>
  <c r="X87" i="8"/>
  <c r="W87" i="8"/>
  <c r="V87" i="8"/>
  <c r="U87" i="8"/>
  <c r="T87" i="8"/>
  <c r="S87" i="8"/>
  <c r="R87" i="8"/>
  <c r="Q87" i="8"/>
  <c r="P87" i="8"/>
  <c r="O87" i="8"/>
  <c r="N87" i="8"/>
  <c r="M87" i="8"/>
  <c r="L87" i="8"/>
  <c r="K87" i="8"/>
  <c r="J87" i="8"/>
  <c r="I87" i="8"/>
  <c r="H87" i="8"/>
  <c r="G87" i="8"/>
  <c r="F87" i="8"/>
  <c r="E87" i="8"/>
  <c r="D87" i="8"/>
  <c r="AJ86" i="8"/>
  <c r="AI86" i="8"/>
  <c r="AH86" i="8"/>
  <c r="Z86" i="8"/>
  <c r="Y86" i="8"/>
  <c r="X86" i="8"/>
  <c r="W86" i="8"/>
  <c r="V86" i="8"/>
  <c r="U86" i="8"/>
  <c r="T86" i="8"/>
  <c r="S86" i="8"/>
  <c r="R86" i="8"/>
  <c r="Q86" i="8"/>
  <c r="P86" i="8"/>
  <c r="O86" i="8"/>
  <c r="N86" i="8"/>
  <c r="M86" i="8"/>
  <c r="L86" i="8"/>
  <c r="K86" i="8"/>
  <c r="J86" i="8"/>
  <c r="I86" i="8"/>
  <c r="H86" i="8"/>
  <c r="G86" i="8"/>
  <c r="F86" i="8"/>
  <c r="E86" i="8"/>
  <c r="D86" i="8"/>
  <c r="AJ85" i="8"/>
  <c r="AI85" i="8"/>
  <c r="AH85" i="8"/>
  <c r="Z85" i="8"/>
  <c r="Y85" i="8"/>
  <c r="X85" i="8"/>
  <c r="W85" i="8"/>
  <c r="V85" i="8"/>
  <c r="U85" i="8"/>
  <c r="T85" i="8"/>
  <c r="S85" i="8"/>
  <c r="R85" i="8"/>
  <c r="Q85" i="8"/>
  <c r="P85" i="8"/>
  <c r="O85" i="8"/>
  <c r="N85" i="8"/>
  <c r="M85" i="8"/>
  <c r="L85" i="8"/>
  <c r="K85" i="8"/>
  <c r="J85" i="8"/>
  <c r="I85" i="8"/>
  <c r="H85" i="8"/>
  <c r="G85" i="8"/>
  <c r="F85" i="8"/>
  <c r="E85" i="8"/>
  <c r="D85" i="8"/>
  <c r="AJ84" i="8"/>
  <c r="AI84" i="8"/>
  <c r="AH84" i="8"/>
  <c r="Z84" i="8"/>
  <c r="Y84" i="8"/>
  <c r="X84" i="8"/>
  <c r="W84" i="8"/>
  <c r="V84" i="8"/>
  <c r="U84" i="8"/>
  <c r="T84" i="8"/>
  <c r="S84" i="8"/>
  <c r="R84" i="8"/>
  <c r="Q84" i="8"/>
  <c r="P84" i="8"/>
  <c r="O84" i="8"/>
  <c r="N84" i="8"/>
  <c r="M84" i="8"/>
  <c r="L84" i="8"/>
  <c r="K84" i="8"/>
  <c r="J84" i="8"/>
  <c r="I84" i="8"/>
  <c r="H84" i="8"/>
  <c r="G84" i="8"/>
  <c r="F84" i="8"/>
  <c r="E84" i="8"/>
  <c r="D84" i="8"/>
  <c r="AJ83" i="8"/>
  <c r="AI83" i="8"/>
  <c r="AH83" i="8"/>
  <c r="Z83" i="8"/>
  <c r="Y83" i="8"/>
  <c r="X83" i="8"/>
  <c r="W83" i="8"/>
  <c r="V83" i="8"/>
  <c r="U83" i="8"/>
  <c r="T83" i="8"/>
  <c r="S83" i="8"/>
  <c r="R83" i="8"/>
  <c r="Q83" i="8"/>
  <c r="P83" i="8"/>
  <c r="O83" i="8"/>
  <c r="N83" i="8"/>
  <c r="M83" i="8"/>
  <c r="L83" i="8"/>
  <c r="K83" i="8"/>
  <c r="J83" i="8"/>
  <c r="I83" i="8"/>
  <c r="H83" i="8"/>
  <c r="G83" i="8"/>
  <c r="F83" i="8"/>
  <c r="E83" i="8"/>
  <c r="D83" i="8"/>
  <c r="AJ82" i="8"/>
  <c r="AI82" i="8"/>
  <c r="AH82" i="8"/>
  <c r="Z82" i="8"/>
  <c r="Y82" i="8"/>
  <c r="X82" i="8"/>
  <c r="W82" i="8"/>
  <c r="V82" i="8"/>
  <c r="U82" i="8"/>
  <c r="T82" i="8"/>
  <c r="S82" i="8"/>
  <c r="R82" i="8"/>
  <c r="Q82" i="8"/>
  <c r="P82" i="8"/>
  <c r="O82" i="8"/>
  <c r="N82" i="8"/>
  <c r="M82" i="8"/>
  <c r="L82" i="8"/>
  <c r="K82" i="8"/>
  <c r="J82" i="8"/>
  <c r="I82" i="8"/>
  <c r="H82" i="8"/>
  <c r="G82" i="8"/>
  <c r="F82" i="8"/>
  <c r="E82" i="8"/>
  <c r="D82" i="8"/>
  <c r="AJ81" i="8"/>
  <c r="AI81" i="8"/>
  <c r="AH81" i="8"/>
  <c r="Z81" i="8"/>
  <c r="Y81" i="8"/>
  <c r="X81" i="8"/>
  <c r="W81" i="8"/>
  <c r="V81" i="8"/>
  <c r="U81" i="8"/>
  <c r="T81" i="8"/>
  <c r="S81" i="8"/>
  <c r="R81" i="8"/>
  <c r="Q81" i="8"/>
  <c r="P81" i="8"/>
  <c r="O81" i="8"/>
  <c r="N81" i="8"/>
  <c r="M81" i="8"/>
  <c r="L81" i="8"/>
  <c r="K81" i="8"/>
  <c r="J81" i="8"/>
  <c r="I81" i="8"/>
  <c r="H81" i="8"/>
  <c r="G81" i="8"/>
  <c r="F81" i="8"/>
  <c r="E81" i="8"/>
  <c r="D81" i="8"/>
  <c r="AJ80" i="8"/>
  <c r="AI80" i="8"/>
  <c r="AH80" i="8"/>
  <c r="Z80" i="8"/>
  <c r="Y80" i="8"/>
  <c r="X80" i="8"/>
  <c r="W80" i="8"/>
  <c r="V80" i="8"/>
  <c r="U80" i="8"/>
  <c r="T80" i="8"/>
  <c r="S80" i="8"/>
  <c r="R80" i="8"/>
  <c r="Q80" i="8"/>
  <c r="P80" i="8"/>
  <c r="O80" i="8"/>
  <c r="N80" i="8"/>
  <c r="M80" i="8"/>
  <c r="L80" i="8"/>
  <c r="K80" i="8"/>
  <c r="J80" i="8"/>
  <c r="I80" i="8"/>
  <c r="H80" i="8"/>
  <c r="G80" i="8"/>
  <c r="F80" i="8"/>
  <c r="E80" i="8"/>
  <c r="D80" i="8"/>
  <c r="AJ79" i="8"/>
  <c r="AI79" i="8"/>
  <c r="AH79" i="8"/>
  <c r="Z79" i="8"/>
  <c r="Y79" i="8"/>
  <c r="X79" i="8"/>
  <c r="W79" i="8"/>
  <c r="V79" i="8"/>
  <c r="U79" i="8"/>
  <c r="T79" i="8"/>
  <c r="S79" i="8"/>
  <c r="R79" i="8"/>
  <c r="Q79" i="8"/>
  <c r="P79" i="8"/>
  <c r="O79" i="8"/>
  <c r="N79" i="8"/>
  <c r="M79" i="8"/>
  <c r="L79" i="8"/>
  <c r="K79" i="8"/>
  <c r="J79" i="8"/>
  <c r="I79" i="8"/>
  <c r="H79" i="8"/>
  <c r="G79" i="8"/>
  <c r="F79" i="8"/>
  <c r="E79" i="8"/>
  <c r="D79" i="8"/>
  <c r="AJ78" i="8"/>
  <c r="AI78" i="8"/>
  <c r="AH78" i="8"/>
  <c r="Z78" i="8"/>
  <c r="Y78" i="8"/>
  <c r="X78" i="8"/>
  <c r="W78" i="8"/>
  <c r="V78" i="8"/>
  <c r="U78" i="8"/>
  <c r="T78" i="8"/>
  <c r="S78" i="8"/>
  <c r="R78" i="8"/>
  <c r="Q78" i="8"/>
  <c r="P78" i="8"/>
  <c r="O78" i="8"/>
  <c r="N78" i="8"/>
  <c r="M78" i="8"/>
  <c r="L78" i="8"/>
  <c r="K78" i="8"/>
  <c r="J78" i="8"/>
  <c r="I78" i="8"/>
  <c r="H78" i="8"/>
  <c r="G78" i="8"/>
  <c r="F78" i="8"/>
  <c r="E78" i="8"/>
  <c r="D78" i="8"/>
  <c r="AJ77" i="8"/>
  <c r="AI77" i="8"/>
  <c r="AH77" i="8"/>
  <c r="Z77" i="8"/>
  <c r="Y77" i="8"/>
  <c r="X77" i="8"/>
  <c r="W77" i="8"/>
  <c r="V77" i="8"/>
  <c r="U77" i="8"/>
  <c r="T77" i="8"/>
  <c r="S77" i="8"/>
  <c r="R77" i="8"/>
  <c r="Q77" i="8"/>
  <c r="P77" i="8"/>
  <c r="O77" i="8"/>
  <c r="N77" i="8"/>
  <c r="M77" i="8"/>
  <c r="L77" i="8"/>
  <c r="K77" i="8"/>
  <c r="J77" i="8"/>
  <c r="I77" i="8"/>
  <c r="H77" i="8"/>
  <c r="G77" i="8"/>
  <c r="F77" i="8"/>
  <c r="E77" i="8"/>
  <c r="D77" i="8"/>
  <c r="AJ76" i="8"/>
  <c r="AI76" i="8"/>
  <c r="AH76" i="8"/>
  <c r="Z76" i="8"/>
  <c r="Y76" i="8"/>
  <c r="X76" i="8"/>
  <c r="W76" i="8"/>
  <c r="V76" i="8"/>
  <c r="U76" i="8"/>
  <c r="T76" i="8"/>
  <c r="S76" i="8"/>
  <c r="R76" i="8"/>
  <c r="Q76" i="8"/>
  <c r="P76" i="8"/>
  <c r="O76" i="8"/>
  <c r="N76" i="8"/>
  <c r="M76" i="8"/>
  <c r="L76" i="8"/>
  <c r="K76" i="8"/>
  <c r="J76" i="8"/>
  <c r="I76" i="8"/>
  <c r="H76" i="8"/>
  <c r="G76" i="8"/>
  <c r="F76" i="8"/>
  <c r="E76" i="8"/>
  <c r="D76" i="8"/>
  <c r="AJ75" i="8"/>
  <c r="AI75" i="8"/>
  <c r="AH75" i="8"/>
  <c r="Z75" i="8"/>
  <c r="Y75" i="8"/>
  <c r="X75" i="8"/>
  <c r="W75" i="8"/>
  <c r="V75" i="8"/>
  <c r="U75" i="8"/>
  <c r="T75" i="8"/>
  <c r="S75" i="8"/>
  <c r="R75" i="8"/>
  <c r="Q75" i="8"/>
  <c r="P75" i="8"/>
  <c r="O75" i="8"/>
  <c r="N75" i="8"/>
  <c r="M75" i="8"/>
  <c r="L75" i="8"/>
  <c r="K75" i="8"/>
  <c r="J75" i="8"/>
  <c r="I75" i="8"/>
  <c r="H75" i="8"/>
  <c r="G75" i="8"/>
  <c r="F75" i="8"/>
  <c r="E75" i="8"/>
  <c r="D75" i="8"/>
  <c r="AJ74" i="8"/>
  <c r="AI74" i="8"/>
  <c r="AH74" i="8"/>
  <c r="Z74" i="8"/>
  <c r="Y74" i="8"/>
  <c r="X74" i="8"/>
  <c r="W74" i="8"/>
  <c r="V74" i="8"/>
  <c r="U74" i="8"/>
  <c r="T74" i="8"/>
  <c r="S74" i="8"/>
  <c r="R74" i="8"/>
  <c r="Q74" i="8"/>
  <c r="P74" i="8"/>
  <c r="O74" i="8"/>
  <c r="N74" i="8"/>
  <c r="M74" i="8"/>
  <c r="L74" i="8"/>
  <c r="K74" i="8"/>
  <c r="J74" i="8"/>
  <c r="I74" i="8"/>
  <c r="H74" i="8"/>
  <c r="G74" i="8"/>
  <c r="F74" i="8"/>
  <c r="E74" i="8"/>
  <c r="D74" i="8"/>
  <c r="AJ73" i="8"/>
  <c r="AI73" i="8"/>
  <c r="AH73" i="8"/>
  <c r="Z73" i="8"/>
  <c r="Y73" i="8"/>
  <c r="X73" i="8"/>
  <c r="W73" i="8"/>
  <c r="V73" i="8"/>
  <c r="U73" i="8"/>
  <c r="T73" i="8"/>
  <c r="S73" i="8"/>
  <c r="R73" i="8"/>
  <c r="Q73" i="8"/>
  <c r="P73" i="8"/>
  <c r="O73" i="8"/>
  <c r="N73" i="8"/>
  <c r="M73" i="8"/>
  <c r="L73" i="8"/>
  <c r="K73" i="8"/>
  <c r="J73" i="8"/>
  <c r="I73" i="8"/>
  <c r="H73" i="8"/>
  <c r="G73" i="8"/>
  <c r="F73" i="8"/>
  <c r="E73" i="8"/>
  <c r="D73" i="8"/>
  <c r="AJ72" i="8"/>
  <c r="AI72" i="8"/>
  <c r="AH72" i="8"/>
  <c r="Z72" i="8"/>
  <c r="Y72" i="8"/>
  <c r="X72" i="8"/>
  <c r="W72" i="8"/>
  <c r="V72" i="8"/>
  <c r="U72" i="8"/>
  <c r="T72" i="8"/>
  <c r="S72" i="8"/>
  <c r="R72" i="8"/>
  <c r="Q72" i="8"/>
  <c r="P72" i="8"/>
  <c r="O72" i="8"/>
  <c r="N72" i="8"/>
  <c r="M72" i="8"/>
  <c r="L72" i="8"/>
  <c r="K72" i="8"/>
  <c r="J72" i="8"/>
  <c r="I72" i="8"/>
  <c r="H72" i="8"/>
  <c r="G72" i="8"/>
  <c r="F72" i="8"/>
  <c r="E72" i="8"/>
  <c r="D72" i="8"/>
  <c r="AJ71" i="8"/>
  <c r="AI71" i="8"/>
  <c r="AH71" i="8"/>
  <c r="Z71" i="8"/>
  <c r="Y71" i="8"/>
  <c r="X71" i="8"/>
  <c r="W71" i="8"/>
  <c r="V71" i="8"/>
  <c r="U71" i="8"/>
  <c r="T71" i="8"/>
  <c r="S71" i="8"/>
  <c r="R71" i="8"/>
  <c r="Q71" i="8"/>
  <c r="P71" i="8"/>
  <c r="O71" i="8"/>
  <c r="N71" i="8"/>
  <c r="M71" i="8"/>
  <c r="L71" i="8"/>
  <c r="K71" i="8"/>
  <c r="J71" i="8"/>
  <c r="I71" i="8"/>
  <c r="H71" i="8"/>
  <c r="G71" i="8"/>
  <c r="F71" i="8"/>
  <c r="E71" i="8"/>
  <c r="D71" i="8"/>
  <c r="AT70" i="8"/>
  <c r="AT69" i="8"/>
  <c r="C199" i="8"/>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49" i="8" l="1"/>
  <c r="AQ156" i="8"/>
  <c r="AS26" i="8" s="1"/>
  <c r="AQ73" i="8"/>
  <c r="AQ171" i="8"/>
  <c r="AS41" i="8" s="1"/>
  <c r="AQ160" i="8"/>
  <c r="AS30" i="8" s="1"/>
  <c r="AQ84" i="8"/>
  <c r="AR19" i="8" s="1"/>
  <c r="AQ140" i="8"/>
  <c r="AS10" i="8" s="1"/>
  <c r="AQ154" i="8"/>
  <c r="AS24" i="8" s="1"/>
  <c r="AQ82" i="8"/>
  <c r="AQ89" i="8"/>
  <c r="AR24" i="8" s="1"/>
  <c r="AQ146" i="8"/>
  <c r="AS16" i="8" s="1"/>
  <c r="AQ145" i="8"/>
  <c r="AS15" i="8" s="1"/>
  <c r="AQ152" i="8"/>
  <c r="AQ159" i="8"/>
  <c r="AS29" i="8" s="1"/>
  <c r="AQ168" i="8"/>
  <c r="AS38" i="8" s="1"/>
  <c r="AQ157" i="8"/>
  <c r="AS27" i="8" s="1"/>
  <c r="AS15" i="9"/>
  <c r="AS64" i="8"/>
  <c r="AS67" i="8"/>
  <c r="AS69" i="8"/>
  <c r="AS70" i="8"/>
  <c r="AR55" i="8"/>
  <c r="AN122" i="8"/>
  <c r="AL83" i="9"/>
  <c r="C93" i="9"/>
  <c r="AN163" i="9"/>
  <c r="AO173" i="9"/>
  <c r="AN196" i="9"/>
  <c r="AO189" i="8"/>
  <c r="C80" i="9"/>
  <c r="AL86" i="9"/>
  <c r="AM106" i="9"/>
  <c r="AN129" i="9"/>
  <c r="AM82" i="9"/>
  <c r="AM121" i="8"/>
  <c r="AS24" i="9"/>
  <c r="AS62" i="9"/>
  <c r="AO75" i="9"/>
  <c r="C102" i="9"/>
  <c r="AR44" i="9"/>
  <c r="AM138" i="9"/>
  <c r="AM168" i="9"/>
  <c r="AS46" i="9"/>
  <c r="AR36" i="9"/>
  <c r="AO86" i="9"/>
  <c r="AR63" i="9"/>
  <c r="AO77" i="9"/>
  <c r="AR15" i="9"/>
  <c r="AR55" i="9"/>
  <c r="AO129" i="9"/>
  <c r="AO163" i="9"/>
  <c r="AS68" i="9"/>
  <c r="AS63" i="9"/>
  <c r="AM75" i="9"/>
  <c r="AO81" i="9"/>
  <c r="AM86" i="9"/>
  <c r="AR26" i="9"/>
  <c r="AN106" i="9"/>
  <c r="AO121" i="9"/>
  <c r="AN156" i="9"/>
  <c r="AM163" i="9"/>
  <c r="AS38" i="9"/>
  <c r="C76" i="9"/>
  <c r="AO105" i="9"/>
  <c r="AS22" i="9"/>
  <c r="AS41" i="9"/>
  <c r="AS61" i="9"/>
  <c r="AM196" i="9"/>
  <c r="AR41" i="9"/>
  <c r="AS46" i="8"/>
  <c r="AM81" i="9"/>
  <c r="AO84" i="9"/>
  <c r="AL106" i="9"/>
  <c r="AM147" i="9"/>
  <c r="AL181" i="9"/>
  <c r="AS64" i="9"/>
  <c r="AR47" i="8"/>
  <c r="AR54" i="9"/>
  <c r="AR68" i="9"/>
  <c r="AO156" i="9"/>
  <c r="AO181" i="9"/>
  <c r="AR57" i="8"/>
  <c r="AN75" i="9"/>
  <c r="AQ75" i="9" s="1"/>
  <c r="AR10" i="9" s="1"/>
  <c r="AN168" i="9"/>
  <c r="AR60" i="8"/>
  <c r="AS52" i="8"/>
  <c r="AM163" i="8"/>
  <c r="AQ163" i="8" s="1"/>
  <c r="AL182" i="8"/>
  <c r="AS65" i="8"/>
  <c r="AS48" i="8"/>
  <c r="AR33" i="9"/>
  <c r="AL163" i="9"/>
  <c r="AO166" i="9"/>
  <c r="AO169" i="9"/>
  <c r="AN169" i="9"/>
  <c r="AM169" i="9"/>
  <c r="AL169" i="9"/>
  <c r="AS39" i="9"/>
  <c r="AL87" i="9"/>
  <c r="AO138" i="8"/>
  <c r="AM138" i="8"/>
  <c r="AQ138" i="8" s="1"/>
  <c r="AR46" i="9"/>
  <c r="AR47" i="9"/>
  <c r="AM129" i="9"/>
  <c r="AO180" i="9"/>
  <c r="AO187" i="9"/>
  <c r="AM187" i="9"/>
  <c r="AS58" i="9"/>
  <c r="C147" i="9"/>
  <c r="C82" i="9"/>
  <c r="AS66" i="9"/>
  <c r="AM195" i="8"/>
  <c r="AM89" i="8"/>
  <c r="AR27" i="9"/>
  <c r="AM96" i="9"/>
  <c r="AL102" i="9"/>
  <c r="AR42" i="9"/>
  <c r="AS20" i="9"/>
  <c r="AS21" i="9"/>
  <c r="AN87" i="9"/>
  <c r="AR22" i="9"/>
  <c r="AR34" i="9"/>
  <c r="C149" i="9"/>
  <c r="C84" i="9"/>
  <c r="AS45" i="9"/>
  <c r="AS44" i="9"/>
  <c r="AR51" i="8"/>
  <c r="AR50" i="8"/>
  <c r="AN130" i="8"/>
  <c r="AN136" i="8"/>
  <c r="AN138" i="8"/>
  <c r="AL138" i="8"/>
  <c r="AN180" i="9"/>
  <c r="AN187" i="9"/>
  <c r="C110" i="8"/>
  <c r="AO196" i="8"/>
  <c r="AM196" i="8"/>
  <c r="AL196" i="8"/>
  <c r="AS67" i="9"/>
  <c r="AO170" i="8"/>
  <c r="AN170" i="8"/>
  <c r="AM170" i="8"/>
  <c r="AQ170" i="8" s="1"/>
  <c r="AS40" i="8" s="1"/>
  <c r="AL170" i="8"/>
  <c r="AS47" i="8"/>
  <c r="AN96" i="9"/>
  <c r="AN158" i="9"/>
  <c r="AM158" i="9"/>
  <c r="AL158" i="9"/>
  <c r="AS28" i="9"/>
  <c r="AS34" i="9"/>
  <c r="AN125" i="9"/>
  <c r="AL125" i="9"/>
  <c r="AR66" i="9"/>
  <c r="AN157" i="9"/>
  <c r="AS52" i="9"/>
  <c r="AS59" i="9"/>
  <c r="AO78" i="8"/>
  <c r="AS60" i="9"/>
  <c r="AR23" i="9"/>
  <c r="AL126" i="9"/>
  <c r="AO153" i="9"/>
  <c r="AL153" i="9"/>
  <c r="AN104" i="8"/>
  <c r="AL192" i="8"/>
  <c r="AS68" i="8"/>
  <c r="AN71" i="8"/>
  <c r="AM71" i="8"/>
  <c r="AM72" i="8"/>
  <c r="AO88"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Q104" i="8" s="1"/>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M113" i="8"/>
  <c r="AR48" i="8"/>
  <c r="AO141" i="8"/>
  <c r="AN172" i="8"/>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O156" i="8"/>
  <c r="AN156" i="8"/>
  <c r="AM156" i="8"/>
  <c r="AR39" i="9"/>
  <c r="AO73" i="9"/>
  <c r="AQ73" i="9" s="1"/>
  <c r="AN73" i="9"/>
  <c r="AM73" i="9"/>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Q77" i="8" s="1"/>
  <c r="AR12" i="8" s="1"/>
  <c r="AO121" i="8"/>
  <c r="AO122" i="8"/>
  <c r="AM122" i="8"/>
  <c r="AR63" i="8"/>
  <c r="AN164" i="8"/>
  <c r="AO171" i="8"/>
  <c r="AM171" i="8"/>
  <c r="AS53" i="8"/>
  <c r="AN90" i="8"/>
  <c r="AL90" i="8"/>
  <c r="AM97" i="8"/>
  <c r="AQ97" i="8" s="1"/>
  <c r="AR32" i="8" s="1"/>
  <c r="AN106" i="8"/>
  <c r="AO117" i="8"/>
  <c r="AN117" i="8"/>
  <c r="AL117" i="8"/>
  <c r="AL122" i="8"/>
  <c r="AM136" i="8"/>
  <c r="AO137" i="8"/>
  <c r="AN137" i="8"/>
  <c r="AM137" i="8"/>
  <c r="AS55" i="8"/>
  <c r="AS54" i="8"/>
  <c r="AN72" i="8"/>
  <c r="AO96" i="8"/>
  <c r="AN96" i="8"/>
  <c r="AM96" i="8"/>
  <c r="AQ96" i="8" s="1"/>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M161" i="8"/>
  <c r="AQ161" i="8" s="1"/>
  <c r="AS31" i="8" s="1"/>
  <c r="AO174" i="8"/>
  <c r="AN174" i="8"/>
  <c r="AM174" i="8"/>
  <c r="AO82" i="8"/>
  <c r="AM82" i="8"/>
  <c r="AL82" i="8"/>
  <c r="AN98" i="8"/>
  <c r="AR44" i="8"/>
  <c r="AL77" i="8"/>
  <c r="AN81" i="8"/>
  <c r="AO123" i="8"/>
  <c r="AM125" i="8"/>
  <c r="AN140" i="8"/>
  <c r="AM187" i="8"/>
  <c r="AN188" i="8"/>
  <c r="AS58" i="8"/>
  <c r="AO184" i="8"/>
  <c r="AL184" i="8"/>
  <c r="AO79" i="8"/>
  <c r="AN79" i="8"/>
  <c r="AM79" i="8"/>
  <c r="AQ79" i="8" s="1"/>
  <c r="AL79" i="8"/>
  <c r="AL83" i="8"/>
  <c r="AN87" i="8"/>
  <c r="AO91" i="8"/>
  <c r="AN97" i="8"/>
  <c r="AL97" i="8"/>
  <c r="AO105" i="8"/>
  <c r="AM105" i="8"/>
  <c r="AQ105" i="8" s="1"/>
  <c r="AL106" i="8"/>
  <c r="AM109" i="8"/>
  <c r="AO110" i="8"/>
  <c r="AL114" i="8"/>
  <c r="AM118" i="8"/>
  <c r="AL118" i="8"/>
  <c r="AN132" i="8"/>
  <c r="AL132" i="8"/>
  <c r="AO139" i="8"/>
  <c r="AN139" i="8"/>
  <c r="AL139" i="8"/>
  <c r="AM147" i="8"/>
  <c r="AQ147" i="8" s="1"/>
  <c r="AS17" i="8" s="1"/>
  <c r="AL148" i="8"/>
  <c r="AQ148" i="8" s="1"/>
  <c r="AS18" i="8" s="1"/>
  <c r="AM151" i="8"/>
  <c r="AQ151" i="8" s="1"/>
  <c r="AS21" i="8" s="1"/>
  <c r="AO162" i="8"/>
  <c r="AN162" i="8"/>
  <c r="AM162" i="8"/>
  <c r="AL162" i="8"/>
  <c r="AQ162" i="8" s="1"/>
  <c r="AL166" i="8"/>
  <c r="AS45" i="8"/>
  <c r="AN189" i="8"/>
  <c r="AM189" i="8"/>
  <c r="AL189" i="8"/>
  <c r="AS60" i="8"/>
  <c r="AN192" i="8"/>
  <c r="AM192" i="8"/>
  <c r="AO193" i="8"/>
  <c r="AN193" i="8"/>
  <c r="AM193" i="8"/>
  <c r="AL193" i="8"/>
  <c r="AS63" i="8"/>
  <c r="AN196" i="8"/>
  <c r="AO81" i="8"/>
  <c r="AO84" i="8"/>
  <c r="AN84" i="8"/>
  <c r="AM84" i="8"/>
  <c r="AL84" i="8"/>
  <c r="AN92" i="8"/>
  <c r="AL92" i="8"/>
  <c r="AQ92" i="8" s="1"/>
  <c r="AR27" i="8" s="1"/>
  <c r="AO102" i="8"/>
  <c r="AM110" i="8"/>
  <c r="AL110" i="8"/>
  <c r="AO119" i="8"/>
  <c r="AN119" i="8"/>
  <c r="AM119" i="8"/>
  <c r="AL119" i="8"/>
  <c r="AR54" i="8"/>
  <c r="AR58" i="8"/>
  <c r="AO128" i="8"/>
  <c r="AN128" i="8"/>
  <c r="AM128" i="8"/>
  <c r="AL128" i="8"/>
  <c r="AR69" i="8"/>
  <c r="AO144" i="8"/>
  <c r="AO153" i="8"/>
  <c r="AN153" i="8"/>
  <c r="AM153" i="8"/>
  <c r="AQ153" i="8" s="1"/>
  <c r="AL153" i="8"/>
  <c r="AO163" i="8"/>
  <c r="AN163" i="8"/>
  <c r="AL163" i="8"/>
  <c r="AO167" i="8"/>
  <c r="AN167" i="8"/>
  <c r="AL167" i="8"/>
  <c r="AN184" i="8"/>
  <c r="AM184" i="8"/>
  <c r="AO185" i="8"/>
  <c r="AN185" i="8"/>
  <c r="AM185" i="8"/>
  <c r="AL185" i="8"/>
  <c r="AS56" i="8"/>
  <c r="AN194" i="8"/>
  <c r="AM194" i="8"/>
  <c r="AN171" i="8"/>
  <c r="AL174" i="8"/>
  <c r="AO74" i="8"/>
  <c r="AN73" i="8"/>
  <c r="AL75" i="8"/>
  <c r="AO98" i="8"/>
  <c r="AL98" i="8"/>
  <c r="AM101" i="8"/>
  <c r="AQ101" i="8" s="1"/>
  <c r="AR36" i="8" s="1"/>
  <c r="AM102" i="8"/>
  <c r="AQ102" i="8" s="1"/>
  <c r="AR37" i="8" s="1"/>
  <c r="AL102" i="8"/>
  <c r="AO111" i="8"/>
  <c r="AM111" i="8"/>
  <c r="AM143" i="8"/>
  <c r="AM144" i="8"/>
  <c r="AQ144" i="8" s="1"/>
  <c r="AM149" i="8"/>
  <c r="AO165" i="8"/>
  <c r="AO172" i="8"/>
  <c r="AL172" i="8"/>
  <c r="AN181" i="8"/>
  <c r="AL181" i="8"/>
  <c r="AM186" i="8"/>
  <c r="AL194" i="8"/>
  <c r="AR46" i="8"/>
  <c r="AN80" i="8"/>
  <c r="C81" i="8"/>
  <c r="AM85" i="8"/>
  <c r="AQ85" i="8" s="1"/>
  <c r="AR20" i="8" s="1"/>
  <c r="AL85" i="8"/>
  <c r="AO103" i="8"/>
  <c r="AN103" i="8"/>
  <c r="AM103" i="8"/>
  <c r="AQ103" i="8" s="1"/>
  <c r="AL103" i="8"/>
  <c r="AO120" i="8"/>
  <c r="AN120" i="8"/>
  <c r="AM120" i="8"/>
  <c r="AL120" i="8"/>
  <c r="AN124" i="8"/>
  <c r="AL124" i="8"/>
  <c r="AO130" i="8"/>
  <c r="AM130" i="8"/>
  <c r="AO145" i="8"/>
  <c r="AN145" i="8"/>
  <c r="AM145" i="8"/>
  <c r="AL145" i="8"/>
  <c r="AO154" i="8"/>
  <c r="AN154" i="8"/>
  <c r="AM154" i="8"/>
  <c r="AL154" i="8"/>
  <c r="AO159" i="8"/>
  <c r="AN159" i="8"/>
  <c r="AL159" i="8"/>
  <c r="AO164" i="8"/>
  <c r="AM164" i="8"/>
  <c r="AQ164" i="8" s="1"/>
  <c r="AS34" i="8" s="1"/>
  <c r="AM167" i="8"/>
  <c r="AQ167" i="8" s="1"/>
  <c r="AS37" i="8" s="1"/>
  <c r="AO177" i="8"/>
  <c r="AN177" i="8"/>
  <c r="AM177" i="8"/>
  <c r="AL177" i="8"/>
  <c r="AO186" i="8"/>
  <c r="AL186" i="8"/>
  <c r="AL171" i="8"/>
  <c r="AO73" i="8"/>
  <c r="AN85" i="8"/>
  <c r="AM93" i="8"/>
  <c r="AQ93" i="8" s="1"/>
  <c r="AR28" i="8" s="1"/>
  <c r="AN107" i="8"/>
  <c r="AM107" i="8"/>
  <c r="AL107" i="8"/>
  <c r="AN111" i="8"/>
  <c r="AL111" i="8"/>
  <c r="AN129" i="8"/>
  <c r="AL129" i="8"/>
  <c r="AR65" i="8"/>
  <c r="AO131" i="8"/>
  <c r="AM139" i="8"/>
  <c r="AQ139" i="8" s="1"/>
  <c r="AL140" i="8"/>
  <c r="AL144" i="8"/>
  <c r="AN149" i="8"/>
  <c r="AL149" i="8"/>
  <c r="AM172" i="8"/>
  <c r="AQ172" i="8" s="1"/>
  <c r="AM181" i="8"/>
  <c r="AN186" i="8"/>
  <c r="AO194" i="8"/>
  <c r="AM76" i="8"/>
  <c r="AQ76" i="8" s="1"/>
  <c r="AL76" i="8"/>
  <c r="AO80" i="8"/>
  <c r="AM80" i="8"/>
  <c r="AQ80" i="8" s="1"/>
  <c r="AR15" i="8" s="1"/>
  <c r="AO86" i="8"/>
  <c r="AN86" i="8"/>
  <c r="AM86" i="8"/>
  <c r="AQ86" i="8" s="1"/>
  <c r="AR21" i="8" s="1"/>
  <c r="AL86" i="8"/>
  <c r="AN94" i="8"/>
  <c r="AM94" i="8"/>
  <c r="AQ94" i="8" s="1"/>
  <c r="AL94" i="8"/>
  <c r="AN99" i="8"/>
  <c r="AM99" i="8"/>
  <c r="AQ99" i="8" s="1"/>
  <c r="AL99" i="8"/>
  <c r="AN102" i="8"/>
  <c r="AO112" i="8"/>
  <c r="AN112" i="8"/>
  <c r="AM112" i="8"/>
  <c r="AL112" i="8"/>
  <c r="AN121" i="8"/>
  <c r="AL121" i="8"/>
  <c r="AO125" i="8"/>
  <c r="AN125" i="8"/>
  <c r="AL125" i="8"/>
  <c r="AO129" i="8"/>
  <c r="AM129" i="8"/>
  <c r="AL130" i="8"/>
  <c r="AN141" i="8"/>
  <c r="AM141" i="8"/>
  <c r="AQ141" i="8" s="1"/>
  <c r="AL141" i="8"/>
  <c r="AN144" i="8"/>
  <c r="AO157" i="8"/>
  <c r="AL164" i="8"/>
  <c r="AO169" i="8"/>
  <c r="AN169" i="8"/>
  <c r="AM169" i="8"/>
  <c r="AL169" i="8"/>
  <c r="AQ169" i="8" s="1"/>
  <c r="AS39" i="8" s="1"/>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C187" i="8"/>
  <c r="C122" i="8"/>
  <c r="AO90" i="8"/>
  <c r="AM90" i="8"/>
  <c r="AQ90" i="8" s="1"/>
  <c r="AR25" i="8" s="1"/>
  <c r="B6" i="8"/>
  <c r="AL74" i="8"/>
  <c r="AO76" i="8"/>
  <c r="C137" i="8"/>
  <c r="C72" i="8"/>
  <c r="AM81" i="8"/>
  <c r="AQ81" i="8" s="1"/>
  <c r="AR16" i="8" s="1"/>
  <c r="AL81" i="8"/>
  <c r="C85" i="8"/>
  <c r="C76" i="8"/>
  <c r="AM92" i="8"/>
  <c r="C197" i="8"/>
  <c r="C132" i="8"/>
  <c r="C143" i="8"/>
  <c r="C78" i="8"/>
  <c r="C158" i="8"/>
  <c r="C93" i="8"/>
  <c r="C171" i="8"/>
  <c r="C106" i="8"/>
  <c r="C178" i="8"/>
  <c r="C113" i="8"/>
  <c r="C73" i="8"/>
  <c r="AO83" i="8"/>
  <c r="AN83" i="8"/>
  <c r="AM83" i="8"/>
  <c r="AQ83" i="8" s="1"/>
  <c r="AO85" i="8"/>
  <c r="AN88" i="8"/>
  <c r="AM88" i="8"/>
  <c r="AQ88" i="8" s="1"/>
  <c r="AR23" i="8" s="1"/>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Q75" i="8" s="1"/>
  <c r="AR10" i="8" s="1"/>
  <c r="AO77" i="8"/>
  <c r="AM87" i="8"/>
  <c r="AQ87" i="8" s="1"/>
  <c r="AR22" i="8" s="1"/>
  <c r="AL87" i="8"/>
  <c r="C89" i="8"/>
  <c r="AM91" i="8"/>
  <c r="AQ91" i="8" s="1"/>
  <c r="AR26" i="8" s="1"/>
  <c r="C174" i="8"/>
  <c r="C109" i="8"/>
  <c r="C111" i="8"/>
  <c r="C176" i="8"/>
  <c r="C195" i="8"/>
  <c r="C130" i="8"/>
  <c r="AM74" i="8"/>
  <c r="AQ74" i="8" s="1"/>
  <c r="AR9" i="8" s="1"/>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AQ106" i="8" s="1"/>
  <c r="AR41" i="8" s="1"/>
  <c r="C160" i="8"/>
  <c r="AO118" i="8"/>
  <c r="C126" i="8"/>
  <c r="AO133" i="8"/>
  <c r="AN133" i="8"/>
  <c r="AL133" i="8"/>
  <c r="AM152" i="8"/>
  <c r="AL152" i="8"/>
  <c r="AO160" i="8"/>
  <c r="C134" i="8"/>
  <c r="AM160" i="8"/>
  <c r="AL160" i="8"/>
  <c r="AO168" i="8"/>
  <c r="AO175" i="8"/>
  <c r="AN175" i="8"/>
  <c r="AO190" i="8"/>
  <c r="AN190" i="8"/>
  <c r="AM190" i="8"/>
  <c r="AL190" i="8"/>
  <c r="AO100" i="8"/>
  <c r="AM100" i="8"/>
  <c r="AQ100" i="8" s="1"/>
  <c r="AR35" i="8" s="1"/>
  <c r="AN110" i="8"/>
  <c r="AN115" i="8"/>
  <c r="AM115" i="8"/>
  <c r="AL115" i="8"/>
  <c r="AM126" i="8"/>
  <c r="AL126" i="8"/>
  <c r="AM133" i="8"/>
  <c r="AO134" i="8"/>
  <c r="AO142" i="8"/>
  <c r="AN142" i="8"/>
  <c r="AM142" i="8"/>
  <c r="AN152" i="8"/>
  <c r="AN157" i="8"/>
  <c r="AM157" i="8"/>
  <c r="AL157" i="8"/>
  <c r="AM168" i="8"/>
  <c r="AL168" i="8"/>
  <c r="AL175" i="8"/>
  <c r="AO183" i="8"/>
  <c r="AN183" i="8"/>
  <c r="C91" i="8"/>
  <c r="AN95" i="8"/>
  <c r="AL95" i="8"/>
  <c r="AQ95" i="8" s="1"/>
  <c r="AR30" i="8" s="1"/>
  <c r="AN100" i="8"/>
  <c r="AL100" i="8"/>
  <c r="AO108" i="8"/>
  <c r="AN108" i="8"/>
  <c r="AM108" i="8"/>
  <c r="AN118" i="8"/>
  <c r="AN123" i="8"/>
  <c r="AM123" i="8"/>
  <c r="AL123" i="8"/>
  <c r="AM134" i="8"/>
  <c r="AL134" i="8"/>
  <c r="AL142" i="8"/>
  <c r="AQ142" i="8" s="1"/>
  <c r="AS12" i="8" s="1"/>
  <c r="AO150" i="8"/>
  <c r="AN150" i="8"/>
  <c r="AM150" i="8"/>
  <c r="AQ150" i="8" s="1"/>
  <c r="AS20" i="8" s="1"/>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Q158" i="8" s="1"/>
  <c r="AN168" i="8"/>
  <c r="AO180" i="8"/>
  <c r="AM180" i="8"/>
  <c r="AO191" i="8"/>
  <c r="AN191" i="8"/>
  <c r="AM191" i="8"/>
  <c r="AL191" i="8"/>
  <c r="AO195" i="8"/>
  <c r="AN195" i="8"/>
  <c r="AL195" i="8"/>
  <c r="C161" i="8"/>
  <c r="C96" i="8"/>
  <c r="C169" i="8"/>
  <c r="C104" i="8"/>
  <c r="C177" i="8"/>
  <c r="C112" i="8"/>
  <c r="C185" i="8"/>
  <c r="C120" i="8"/>
  <c r="C193" i="8"/>
  <c r="C128" i="8"/>
  <c r="AM98" i="8"/>
  <c r="AQ98" i="8" s="1"/>
  <c r="C102" i="8"/>
  <c r="AO109" i="8"/>
  <c r="AN109" i="8"/>
  <c r="AL109" i="8"/>
  <c r="AN113" i="8"/>
  <c r="AL113" i="8"/>
  <c r="AN116" i="8"/>
  <c r="AL116" i="8"/>
  <c r="AO124" i="8"/>
  <c r="AM124" i="8"/>
  <c r="AN134" i="8"/>
  <c r="AO136" i="8"/>
  <c r="AO140" i="8"/>
  <c r="AM140" i="8"/>
  <c r="AO151" i="8"/>
  <c r="AN151" i="8"/>
  <c r="AL151" i="8"/>
  <c r="AO155" i="8"/>
  <c r="AN155" i="8"/>
  <c r="AL155" i="8"/>
  <c r="AQ155" i="8" s="1"/>
  <c r="AL158" i="8"/>
  <c r="AO166" i="8"/>
  <c r="AN166" i="8"/>
  <c r="AM166" i="8"/>
  <c r="AQ166" i="8" s="1"/>
  <c r="AS36" i="8" s="1"/>
  <c r="AN173" i="8"/>
  <c r="AM173" i="8"/>
  <c r="AL173" i="8"/>
  <c r="AM176" i="8"/>
  <c r="AL180" i="8"/>
  <c r="AO188" i="8"/>
  <c r="AM188" i="8"/>
  <c r="AL188" i="8"/>
  <c r="AO199" i="8"/>
  <c r="AN199" i="8"/>
  <c r="AM199" i="8"/>
  <c r="AL199" i="8"/>
  <c r="AS33" i="8" l="1"/>
  <c r="AR34" i="8"/>
  <c r="AQ107" i="8"/>
  <c r="AR42" i="8" s="1"/>
  <c r="AR43" i="8"/>
  <c r="AS43" i="8"/>
  <c r="AS42" i="8"/>
  <c r="AR33" i="8"/>
  <c r="AR40" i="8"/>
  <c r="AS32" i="8"/>
  <c r="AS23" i="8"/>
  <c r="AR18" i="8"/>
  <c r="AR38" i="8"/>
  <c r="AR39" i="8"/>
  <c r="AR17" i="8"/>
  <c r="AS11" i="8"/>
  <c r="AS25" i="8"/>
  <c r="AR31" i="8"/>
  <c r="AS9" i="8"/>
  <c r="AR11" i="8"/>
  <c r="AR29" i="8"/>
  <c r="AS19" i="8"/>
  <c r="AS28" i="8"/>
  <c r="AS22" i="8"/>
  <c r="AQ143" i="8"/>
  <c r="AS14" i="8" s="1"/>
  <c r="AQ78" i="8"/>
  <c r="AR14" i="8" s="1"/>
  <c r="AQ142" i="9"/>
  <c r="AQ76" i="9"/>
  <c r="AR11" i="9" s="1"/>
  <c r="AQ140" i="9"/>
  <c r="AS10" i="9" s="1"/>
  <c r="AQ74" i="9"/>
  <c r="AR9" i="9" s="1"/>
  <c r="AQ143" i="9"/>
  <c r="AS14" i="9" s="1"/>
  <c r="AQ138" i="9"/>
  <c r="AS8" i="9" s="1"/>
  <c r="AQ78" i="9"/>
  <c r="AR14" i="9" s="1"/>
  <c r="AQ77" i="9"/>
  <c r="AR12" i="9" s="1"/>
  <c r="AQ137" i="8"/>
  <c r="AS7" i="8" s="1"/>
  <c r="AQ72" i="8"/>
  <c r="AR8" i="8" s="1"/>
  <c r="AQ141" i="9"/>
  <c r="AQ72" i="9"/>
  <c r="AR7" i="9" s="1"/>
  <c r="AQ137" i="9"/>
  <c r="AQ71" i="8"/>
  <c r="AR6" i="8" s="1"/>
  <c r="AQ136" i="8"/>
  <c r="AS6" i="8" s="1"/>
  <c r="AQ136" i="9"/>
  <c r="AS6" i="9" s="1"/>
  <c r="AR8" i="9"/>
  <c r="B136" i="9"/>
  <c r="B71" i="9"/>
  <c r="B136" i="8"/>
  <c r="B71" i="8"/>
  <c r="D7" i="4"/>
  <c r="M13" i="4"/>
  <c r="N13" i="4" s="1"/>
  <c r="AS13" i="9" l="1"/>
  <c r="AR13" i="9"/>
  <c r="AR13" i="8"/>
  <c r="AS13" i="8"/>
  <c r="AS7" i="9"/>
  <c r="AS11" i="9"/>
  <c r="AS12" i="9"/>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9"/>
  <c r="AL35" i="9" s="1"/>
  <c r="AW17" i="8"/>
  <c r="AL66" i="8" s="1"/>
  <c r="AL9" i="9"/>
  <c r="AT9" i="9" s="1"/>
  <c r="AL10" i="9"/>
  <c r="AT10" i="9" s="1"/>
  <c r="AL6" i="9"/>
  <c r="AT6" i="9" s="1"/>
  <c r="AL8" i="9"/>
  <c r="AT8" i="9" s="1"/>
  <c r="AL13" i="9" l="1"/>
  <c r="AT13" i="9" s="1"/>
  <c r="AL12" i="9"/>
  <c r="AT12" i="9" s="1"/>
  <c r="AL11" i="9"/>
  <c r="AT11" i="9" s="1"/>
  <c r="AW12" i="9"/>
  <c r="AU5" i="9" s="1"/>
  <c r="AL66" i="9"/>
  <c r="AL24" i="9"/>
  <c r="AL36" i="9"/>
  <c r="AL38" i="9"/>
  <c r="AL17" i="9"/>
  <c r="AL65" i="9"/>
  <c r="AL22" i="9"/>
  <c r="AL33" i="8"/>
  <c r="AT33" i="8" s="1"/>
  <c r="AL28" i="8"/>
  <c r="AT28" i="8" s="1"/>
  <c r="AL57" i="9"/>
  <c r="AL53" i="9"/>
  <c r="AL29" i="9"/>
  <c r="AW11" i="8"/>
  <c r="AU13" i="8" s="1"/>
  <c r="AL14" i="9"/>
  <c r="AL23" i="9"/>
  <c r="AL54" i="9"/>
  <c r="AL58" i="9"/>
  <c r="AL7" i="9"/>
  <c r="AT7" i="9" s="1"/>
  <c r="AL40" i="9"/>
  <c r="AL61" i="9"/>
  <c r="AL51" i="9"/>
  <c r="AW11" i="9"/>
  <c r="AU13" i="9" s="1"/>
  <c r="AL28" i="9"/>
  <c r="AL39" i="9"/>
  <c r="AW10" i="9"/>
  <c r="AU14" i="9" s="1"/>
  <c r="AL33" i="9"/>
  <c r="AL30" i="9"/>
  <c r="AL68" i="8"/>
  <c r="AL8" i="8"/>
  <c r="AT8" i="8" s="1"/>
  <c r="AL50" i="8"/>
  <c r="AL24" i="8"/>
  <c r="AT24" i="8" s="1"/>
  <c r="AL44" i="9"/>
  <c r="AL59" i="9"/>
  <c r="AW8" i="8"/>
  <c r="AU11" i="8" s="1"/>
  <c r="AL18" i="9"/>
  <c r="AL25" i="9"/>
  <c r="AL49" i="9"/>
  <c r="AL26" i="8"/>
  <c r="AT26" i="8" s="1"/>
  <c r="AL27" i="8"/>
  <c r="AT27" i="8" s="1"/>
  <c r="AL20" i="8"/>
  <c r="AT20" i="8" s="1"/>
  <c r="AL59" i="8"/>
  <c r="AL56" i="8"/>
  <c r="AL49" i="8"/>
  <c r="AL25" i="8"/>
  <c r="AT25" i="8" s="1"/>
  <c r="AL65" i="8"/>
  <c r="AL37" i="8"/>
  <c r="AT37" i="8" s="1"/>
  <c r="AW16" i="8"/>
  <c r="AU15" i="8" s="1"/>
  <c r="AL42" i="8"/>
  <c r="AT42" i="8" s="1"/>
  <c r="AL15" i="8"/>
  <c r="AT15" i="8" s="1"/>
  <c r="AL12" i="8"/>
  <c r="AT12" i="8" s="1"/>
  <c r="AL52" i="8"/>
  <c r="AL43" i="8"/>
  <c r="AL44" i="8"/>
  <c r="AL32" i="8"/>
  <c r="AT32" i="8" s="1"/>
  <c r="AL16" i="8"/>
  <c r="AT16" i="8" s="1"/>
  <c r="AL62" i="8"/>
  <c r="AL19" i="8"/>
  <c r="AT19" i="8" s="1"/>
  <c r="AL7" i="8"/>
  <c r="AT7" i="8" s="1"/>
  <c r="AL57" i="8"/>
  <c r="AL38" i="8"/>
  <c r="AT38" i="8" s="1"/>
  <c r="AW9" i="8"/>
  <c r="AU10" i="8" s="1"/>
  <c r="AL6" i="8"/>
  <c r="AT6" i="8" s="1"/>
  <c r="AL11" i="8"/>
  <c r="AT11" i="8" s="1"/>
  <c r="AL21" i="8"/>
  <c r="AT21" i="8" s="1"/>
  <c r="AL41" i="8"/>
  <c r="AT41" i="8" s="1"/>
  <c r="AL22" i="8"/>
  <c r="AT22" i="8" s="1"/>
  <c r="AL31" i="8"/>
  <c r="AT31" i="8" s="1"/>
  <c r="AL40" i="8"/>
  <c r="AT40" i="8" s="1"/>
  <c r="AL45" i="8"/>
  <c r="AL60" i="8"/>
  <c r="AL30" i="8"/>
  <c r="AT30" i="8" s="1"/>
  <c r="AW9" i="9"/>
  <c r="AU10" i="9" s="1"/>
  <c r="AL26" i="9"/>
  <c r="AL62" i="9"/>
  <c r="AL64" i="9"/>
  <c r="AL20" i="9"/>
  <c r="AL56" i="9"/>
  <c r="AL27" i="9"/>
  <c r="AW16" i="9"/>
  <c r="AU15" i="9" s="1"/>
  <c r="AL55" i="9"/>
  <c r="AL19" i="9"/>
  <c r="AL32" i="9"/>
  <c r="AL68" i="9"/>
  <c r="AL43" i="9"/>
  <c r="AL48" i="8"/>
  <c r="AL29" i="8"/>
  <c r="AT29" i="8" s="1"/>
  <c r="AL31" i="9"/>
  <c r="AL21" i="9"/>
  <c r="AL45" i="9"/>
  <c r="AL16" i="9"/>
  <c r="AL67" i="9"/>
  <c r="AL15" i="9"/>
  <c r="AL48" i="9"/>
  <c r="AL50" i="9"/>
  <c r="AL69" i="9"/>
  <c r="AL47" i="9"/>
  <c r="AL37" i="9"/>
  <c r="AL63" i="9"/>
  <c r="AL34" i="9"/>
  <c r="AL34" i="8"/>
  <c r="AT34" i="8" s="1"/>
  <c r="AL54" i="8"/>
  <c r="AL17" i="8"/>
  <c r="AT17" i="8" s="1"/>
  <c r="AW8" i="9"/>
  <c r="AU11" i="9" s="1"/>
  <c r="AL46" i="9"/>
  <c r="AL41" i="9"/>
  <c r="AL52" i="9"/>
  <c r="AL42" i="9"/>
  <c r="AL60" i="9"/>
  <c r="AL67" i="8"/>
  <c r="AL39" i="8"/>
  <c r="AT39" i="8" s="1"/>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9" l="1"/>
  <c r="AR5" i="9"/>
  <c r="AT5" i="9"/>
  <c r="AV5" i="9"/>
  <c r="AT5" i="8"/>
  <c r="AS5" i="8"/>
  <c r="AR5" i="8"/>
  <c r="AV5" i="8"/>
  <c r="B13" i="1"/>
  <c r="B12" i="1"/>
  <c r="B11" i="1"/>
  <c r="B10" i="1"/>
  <c r="B9" i="1"/>
  <c r="C2" i="7" l="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276" authorId="0" shapeId="0" xr:uid="{E44E9D1B-AFE6-41A2-A417-A76F2307919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9" authorId="1" shapeId="0" xr:uid="{6035A869-89AD-4C16-BBF3-E6C8D79597D9}">
      <text>
        <r>
          <rPr>
            <b/>
            <sz val="9"/>
            <color indexed="81"/>
            <rFont val="MS P ゴシック"/>
            <family val="3"/>
            <charset val="128"/>
          </rPr>
          <t xml:space="preserve">リモート送信条件成立：IG ON 且つ PTS ONが15[s]以上
</t>
        </r>
      </text>
    </comment>
    <comment ref="E279" authorId="1" shapeId="0" xr:uid="{CA27E794-4381-46AB-B7AF-DE437A588486}">
      <text>
        <r>
          <rPr>
            <b/>
            <sz val="9"/>
            <color indexed="81"/>
            <rFont val="MS P ゴシック"/>
            <family val="3"/>
            <charset val="128"/>
          </rPr>
          <t xml:space="preserve">IG ON 且つ ST OFF
</t>
        </r>
      </text>
    </comment>
    <comment ref="F279" authorId="1" shapeId="0" xr:uid="{F99803E9-C38F-44CD-9111-D78A68318A71}">
      <text>
        <r>
          <rPr>
            <b/>
            <sz val="9"/>
            <color indexed="81"/>
            <rFont val="MS P ゴシック"/>
            <family val="3"/>
            <charset val="128"/>
          </rPr>
          <t>IG ON</t>
        </r>
      </text>
    </comment>
    <comment ref="G279" authorId="1" shapeId="0" xr:uid="{607C5E60-E5CD-40E9-AB67-3A583ACF747F}">
      <text>
        <r>
          <rPr>
            <b/>
            <sz val="9"/>
            <color indexed="81"/>
            <rFont val="MS P ゴシック"/>
            <family val="3"/>
            <charset val="128"/>
          </rPr>
          <t xml:space="preserve">IG OFF 且つ IG OFF後25[m]未満
</t>
        </r>
      </text>
    </comment>
    <comment ref="H279" authorId="1" shapeId="0" xr:uid="{EF0F33AF-38C0-4E05-985C-E195604BAD07}">
      <text>
        <r>
          <rPr>
            <b/>
            <sz val="9"/>
            <color indexed="81"/>
            <rFont val="MS P ゴシック"/>
            <family val="3"/>
            <charset val="128"/>
          </rPr>
          <t xml:space="preserve">IG OFF
</t>
        </r>
      </text>
    </comment>
    <comment ref="I279" authorId="1" shapeId="0" xr:uid="{5B25DEB7-5F4F-4671-BA92-9E19273BCBB6}">
      <text>
        <r>
          <rPr>
            <b/>
            <sz val="9"/>
            <color indexed="81"/>
            <rFont val="MS P ゴシック"/>
            <family val="3"/>
            <charset val="128"/>
          </rPr>
          <t xml:space="preserve">IG ON 又は IG OFF後25[m]未満
</t>
        </r>
      </text>
    </comment>
    <comment ref="J279" authorId="1" shapeId="0" xr:uid="{CF10224E-04EF-4726-A8C7-56049BA60621}">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4B32E03E-1897-42DB-9760-419E3A8946DC}">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D1E223D7-F242-438D-A082-B3A389E315AD}">
      <text>
        <r>
          <rPr>
            <b/>
            <sz val="9"/>
            <color indexed="81"/>
            <rFont val="MS P ゴシック"/>
            <family val="3"/>
            <charset val="128"/>
          </rPr>
          <t xml:space="preserve">リモート送信条件成立：IG ON 且つ PTS ONが15[s]以上
</t>
        </r>
      </text>
    </comment>
    <comment ref="E9" authorId="1" shapeId="0" xr:uid="{9DD70258-5879-4FF6-ABCE-3B96C599802E}">
      <text>
        <r>
          <rPr>
            <b/>
            <sz val="9"/>
            <color indexed="81"/>
            <rFont val="MS P ゴシック"/>
            <family val="3"/>
            <charset val="128"/>
          </rPr>
          <t xml:space="preserve">IG ON 且つ ST OFF
</t>
        </r>
      </text>
    </comment>
    <comment ref="F9" authorId="1" shapeId="0" xr:uid="{2DBC5DF9-123A-439C-880D-7F6E9804A32D}">
      <text>
        <r>
          <rPr>
            <b/>
            <sz val="9"/>
            <color indexed="81"/>
            <rFont val="MS P ゴシック"/>
            <family val="3"/>
            <charset val="128"/>
          </rPr>
          <t>IG ON</t>
        </r>
      </text>
    </comment>
    <comment ref="G9" authorId="1" shapeId="0" xr:uid="{40D7E33E-F71F-4CD3-B2FD-FEC1C5890333}">
      <text>
        <r>
          <rPr>
            <b/>
            <sz val="9"/>
            <color indexed="81"/>
            <rFont val="MS P ゴシック"/>
            <family val="3"/>
            <charset val="128"/>
          </rPr>
          <t xml:space="preserve">IG OFF 且つ IG OFF後25[m]未満
</t>
        </r>
      </text>
    </comment>
    <comment ref="H9" authorId="1" shapeId="0" xr:uid="{BF8EA937-56B1-4126-8EA7-D916587111F4}">
      <text>
        <r>
          <rPr>
            <b/>
            <sz val="9"/>
            <color indexed="81"/>
            <rFont val="MS P ゴシック"/>
            <family val="3"/>
            <charset val="128"/>
          </rPr>
          <t xml:space="preserve">IG OFF
</t>
        </r>
      </text>
    </comment>
    <comment ref="I9" authorId="1" shapeId="0" xr:uid="{16BD295E-51A5-447F-8DC2-1C0B59169F29}">
      <text>
        <r>
          <rPr>
            <b/>
            <sz val="9"/>
            <color indexed="81"/>
            <rFont val="MS P ゴシック"/>
            <family val="3"/>
            <charset val="128"/>
          </rPr>
          <t xml:space="preserve">IG ON 又は IG OFF後25[m]未満
</t>
        </r>
      </text>
    </comment>
    <comment ref="J9" authorId="1" shapeId="0" xr:uid="{14AE8FA2-BEBC-4A7E-AF6E-AB0E80A11F5C}">
      <text>
        <r>
          <rPr>
            <b/>
            <sz val="9"/>
            <color indexed="81"/>
            <rFont val="MS P ゴシック"/>
            <family val="3"/>
            <charset val="128"/>
          </rPr>
          <t>+B ON 又は ACC ON</t>
        </r>
      </text>
    </comment>
    <comment ref="B99" authorId="0" shapeId="0" xr:uid="{48096F0A-2FB5-4388-9807-1C81356122A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2" authorId="1" shapeId="0" xr:uid="{82DB4672-7C3A-4700-A0C3-B6E12474553D}">
      <text>
        <r>
          <rPr>
            <b/>
            <sz val="9"/>
            <color indexed="81"/>
            <rFont val="MS P ゴシック"/>
            <family val="3"/>
            <charset val="128"/>
          </rPr>
          <t xml:space="preserve">リモート送信条件成立：IG ON 且つ PTS ONが15[s]以上
</t>
        </r>
      </text>
    </comment>
    <comment ref="E102" authorId="1" shapeId="0" xr:uid="{5A669325-52E2-40B1-9ACC-E505A70A039E}">
      <text>
        <r>
          <rPr>
            <b/>
            <sz val="9"/>
            <color indexed="81"/>
            <rFont val="MS P ゴシック"/>
            <family val="3"/>
            <charset val="128"/>
          </rPr>
          <t xml:space="preserve">IG ON 且つ ST OFF
</t>
        </r>
      </text>
    </comment>
    <comment ref="F102" authorId="1" shapeId="0" xr:uid="{B531B6D3-846D-4A3D-9064-3C20E30DDFFF}">
      <text>
        <r>
          <rPr>
            <b/>
            <sz val="9"/>
            <color indexed="81"/>
            <rFont val="MS P ゴシック"/>
            <family val="3"/>
            <charset val="128"/>
          </rPr>
          <t>IG ON</t>
        </r>
      </text>
    </comment>
    <comment ref="G102" authorId="1" shapeId="0" xr:uid="{BA820683-7582-4741-B6AB-A66D8F587ED7}">
      <text>
        <r>
          <rPr>
            <b/>
            <sz val="9"/>
            <color indexed="81"/>
            <rFont val="MS P ゴシック"/>
            <family val="3"/>
            <charset val="128"/>
          </rPr>
          <t xml:space="preserve">IG OFF 且つ IG OFF後25[m]未満
</t>
        </r>
      </text>
    </comment>
    <comment ref="H102" authorId="1" shapeId="0" xr:uid="{2884AE64-1A5C-4954-BBA8-9CE1E0D355E1}">
      <text>
        <r>
          <rPr>
            <b/>
            <sz val="9"/>
            <color indexed="81"/>
            <rFont val="MS P ゴシック"/>
            <family val="3"/>
            <charset val="128"/>
          </rPr>
          <t xml:space="preserve">IG OFF
</t>
        </r>
      </text>
    </comment>
    <comment ref="I102" authorId="1" shapeId="0" xr:uid="{2FF10A07-55A3-48FB-9291-4E10E91A0E19}">
      <text>
        <r>
          <rPr>
            <b/>
            <sz val="9"/>
            <color indexed="81"/>
            <rFont val="MS P ゴシック"/>
            <family val="3"/>
            <charset val="128"/>
          </rPr>
          <t xml:space="preserve">IG ON 又は IG OFF後25[m]未満
</t>
        </r>
      </text>
    </comment>
    <comment ref="J102" authorId="1" shapeId="0" xr:uid="{22CF38F1-D3BD-4A97-B770-3D240992455A}">
      <text>
        <r>
          <rPr>
            <b/>
            <sz val="9"/>
            <color indexed="81"/>
            <rFont val="MS P ゴシック"/>
            <family val="3"/>
            <charset val="128"/>
          </rPr>
          <t>+B ON 又は ACC ON</t>
        </r>
      </text>
    </comment>
  </commentList>
</comments>
</file>

<file path=xl/sharedStrings.xml><?xml version="1.0" encoding="utf-8"?>
<sst xmlns="http://schemas.openxmlformats.org/spreadsheetml/2006/main" count="9325" uniqueCount="647">
  <si>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</si>
  <si>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</si>
  <si>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</si>
  <si>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</si>
  <si>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</si>
  <si>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</si>
  <si>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</si>
  <si>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</si>
  <si>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</si>
  <si>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</si>
  <si>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</si>
  <si>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</si>
  <si>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</si>
  <si>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</si>
  <si>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</si>
  <si>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</si>
  <si>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</si>
  <si>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</si>
  <si>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</si>
  <si>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</si>
  <si>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</si>
  <si>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</si>
  <si>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</si>
  <si>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</si>
  <si>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</si>
  <si>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</si>
  <si>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</si>
  <si>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</si>
  <si>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</si>
  <si>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</si>
  <si>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</si>
  <si>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</si>
  <si>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</si>
  <si>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</si>
  <si>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</si>
  <si>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</si>
  <si>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</si>
  <si>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</si>
  <si>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</si>
  <si>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</si>
  <si>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</si>
  <si>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</si>
  <si>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</si>
  <si>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</si>
  <si>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</si>
  <si>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</si>
  <si>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</si>
  <si>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</si>
  <si>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</si>
  <si>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</si>
  <si>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</si>
  <si>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</si>
  <si>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</si>
  <si>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</si>
  <si>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</si>
  <si>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</si>
  <si>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</si>
  <si>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</si>
  <si>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</si>
  <si>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</si>
  <si>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</si>
  <si>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</si>
  <si>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</si>
  <si>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</si>
  <si>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</si>
  <si>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</si>
  <si>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</si>
  <si>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</si>
  <si>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</si>
  <si>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</si>
  <si>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</si>
  <si>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</si>
  <si>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</si>
  <si>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</si>
  <si>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</si>
  <si>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</si>
  <si>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</si>
  <si>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</si>
  <si>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</si>
  <si>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</si>
  <si>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</si>
  <si>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</si>
  <si>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</si>
  <si>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</si>
  <si>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</si>
  <si>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</si>
  <si>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</si>
  <si>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</si>
  <si>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</si>
  <si>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</si>
  <si>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</si>
  <si>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</si>
  <si>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</si>
  <si>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</si>
  <si>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</si>
  <si>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</si>
  <si>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</si>
  <si>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</si>
  <si>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</si>
  <si>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</si>
  <si>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</si>
  <si>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</si>
  <si>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</si>
  <si>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</si>
  <si>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</si>
  <si>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</si>
  <si>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</si>
  <si>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</si>
  <si>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</si>
  <si>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</si>
  <si>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</si>
  <si>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</si>
  <si>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</si>
  <si>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</si>
  <si>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</si>
  <si>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</si>
  <si>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</si>
  <si>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</si>
  <si>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</si>
  <si>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</si>
  <si>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</si>
  <si>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</si>
  <si>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</si>
  <si>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</si>
  <si>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</si>
  <si>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</si>
  <si>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</si>
  <si>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</si>
  <si>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</si>
  <si>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</si>
  <si>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</si>
  <si>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</si>
  <si>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</si>
  <si>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</si>
  <si>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</si>
  <si>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</si>
  <si>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</si>
  <si>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</si>
  <si>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</si>
  <si>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</si>
  <si>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</si>
  <si>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</si>
  <si>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</si>
  <si>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</si>
  <si>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</si>
  <si>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</si>
  <si>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</si>
  <si>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</si>
  <si>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</si>
  <si>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</si>
  <si>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</si>
  <si>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</si>
  <si>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</si>
  <si>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</si>
  <si>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</si>
  <si>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</si>
  <si>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</si>
  <si>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</si>
  <si>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</si>
  <si>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</si>
  <si>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</si>
  <si>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</si>
  <si>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</si>
  <si>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</si>
  <si>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</si>
  <si>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</si>
  <si>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</si>
  <si>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</si>
  <si>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</si>
  <si>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</si>
  <si>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</si>
  <si>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</si>
  <si>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</si>
  <si>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</si>
  <si>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</si>
  <si>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</si>
  <si>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</si>
  <si>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</si>
  <si>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</si>
  <si>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</si>
  <si>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</si>
  <si>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</si>
  <si>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</si>
  <si>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</si>
  <si>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</si>
  <si>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</si>
  <si>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</si>
  <si>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</si>
  <si>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</si>
  <si>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</si>
  <si>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</si>
  <si>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</si>
  <si>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</si>
  <si>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</si>
  <si>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</si>
  <si>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</si>
  <si>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</si>
  <si>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</si>
  <si>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</si>
  <si>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</si>
  <si>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</si>
  <si>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</si>
  <si>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</si>
  <si>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</si>
  <si>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</si>
  <si>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</si>
  <si>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</si>
  <si>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</si>
  <si>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</si>
  <si>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</si>
  <si>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</si>
  <si>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</si>
  <si>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</si>
  <si>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</si>
  <si>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</si>
  <si>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</si>
  <si>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</si>
  <si>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</si>
  <si>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</si>
  <si>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</si>
  <si>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</si>
  <si>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</si>
  <si>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</si>
  <si>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</si>
  <si>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</si>
  <si>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</si>
  <si>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</si>
  <si>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</si>
  <si>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</si>
  <si>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</si>
  <si>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5.0.0</t>
    <phoneticPr fontId="2"/>
  </si>
  <si>
    <t>承認欄 [DT]</t>
    <phoneticPr fontId="2"/>
  </si>
  <si>
    <t>承認者</t>
    <phoneticPr fontId="2"/>
  </si>
  <si>
    <t>作成者</t>
    <phoneticPr fontId="2"/>
  </si>
  <si>
    <t>作成日</t>
    <phoneticPr fontId="2"/>
  </si>
  <si>
    <t>DTPH Harry</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</si>
  <si>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</si>
  <si>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</si>
  <si>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</si>
  <si>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</si>
  <si>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</si>
  <si>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</si>
  <si>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</si>
  <si>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</si>
  <si>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</si>
  <si>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</si>
  <si>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</si>
  <si>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</si>
  <si>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</si>
  <si>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</si>
  <si>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MET-S_TMBZR-CSTD-0-01-A-C0.xlsx</t>
    <phoneticPr fontId="2"/>
  </si>
  <si>
    <t>NULL</t>
  </si>
  <si>
    <t>ADC1S14</t>
  </si>
  <si>
    <t>制御仕様→BZR</t>
    <rPh sb="0" eb="5">
      <t>セイギョシヨウミギ</t>
    </rPh>
    <phoneticPr fontId="2"/>
  </si>
  <si>
    <t>端子名称/
メッセージラベル</t>
    <phoneticPr fontId="2"/>
  </si>
  <si>
    <t>ADC1S14_STS</t>
    <phoneticPr fontId="2"/>
  </si>
  <si>
    <t>ADBZRQ_SIG</t>
    <phoneticPr fontId="2"/>
  </si>
  <si>
    <t>正常(00000000b)/
報知音：優先度０(00000111b)/
報知音：優先度1(00010111b)/
報知音：優先度２(00100111b)/
報知音：優先度３(00110111b)/
報知音：優先度４(01000111b)/
報知音(FB)：優先度4.5(01010111b)/
受付音：優先度０(00000110b)/
受付音：優先度１(00010110b)/
受付音：優先度２(00100110b)/
受付音：優先度３(00110110b)/
受付音：優先度４(01000110b)/
受付音(FB)：優先度4.5(01010110b)/
リジェクト音：優先度０(00000101b)/
リジェクト音：優先度１(00010101b)/
リジェクト音：優先度２(00100101b)/
リジェクト音：優先度３(00110101b)/
リジェクト音：優先度４(01000101b)/
リジェクト音(FB)：優先度４.5(01010101b)/
連続音：優先度０(00000001b)/
連続音：優先度１(00010001b)/
連続音：優先度２(00100001b)/
連続音：優先度３(00110001b)/
連続音：優先度４(01000001b)/
連続音：優先度５(01100001b)/
緊迫(小)：優先度０(00000010b)/
緊迫(小)：優先度１(00010010b)/
緊迫(小)：優先度２(00100010b)/
緊迫(小)：優先度３(00110010b)/
緊迫(小)：優先度４(01000010b)/
緊迫(中)：優先度５(01100011b)/
緊迫(中)：優先度６(01110011b)/
緊迫(中)(FB)：優先度６.5(10000011b)/
緊迫(中)：優先度７(10010011b)/
緊迫(大)：優先度8(10100100b)</t>
    <phoneticPr fontId="2"/>
  </si>
  <si>
    <t>00000000b</t>
  </si>
  <si>
    <t>00000001b</t>
  </si>
  <si>
    <t>00000010b</t>
  </si>
  <si>
    <t>00000011b</t>
  </si>
  <si>
    <t>00000100b</t>
  </si>
  <si>
    <t>00000101b</t>
  </si>
  <si>
    <t>00000110b</t>
  </si>
  <si>
    <t>00000111b</t>
  </si>
  <si>
    <t>00001000b</t>
  </si>
  <si>
    <t>00001001b</t>
  </si>
  <si>
    <t>00001010b</t>
  </si>
  <si>
    <t>00001011b</t>
  </si>
  <si>
    <t>00001100b</t>
  </si>
  <si>
    <t>00001101b</t>
  </si>
  <si>
    <t>00001110b</t>
  </si>
  <si>
    <t>00001111b</t>
  </si>
  <si>
    <t>00010000b</t>
  </si>
  <si>
    <t>00010001b</t>
  </si>
  <si>
    <t>00010010b</t>
  </si>
  <si>
    <t>00010011b</t>
  </si>
  <si>
    <t>00010100b</t>
  </si>
  <si>
    <t>00010101b</t>
  </si>
  <si>
    <t>00010110b</t>
  </si>
  <si>
    <t>00010111b</t>
  </si>
  <si>
    <t>00011000b</t>
  </si>
  <si>
    <t>00011001b</t>
  </si>
  <si>
    <t>00011010b</t>
  </si>
  <si>
    <t>00011011b</t>
  </si>
  <si>
    <t>00011100b</t>
  </si>
  <si>
    <t>00011101b</t>
  </si>
  <si>
    <t>00011110b</t>
  </si>
  <si>
    <t>00011111b</t>
  </si>
  <si>
    <t>00100000b</t>
  </si>
  <si>
    <t>00100001b</t>
  </si>
  <si>
    <t>00100010b</t>
  </si>
  <si>
    <t>00100011b</t>
  </si>
  <si>
    <t>00100100b</t>
  </si>
  <si>
    <t>00100101b</t>
  </si>
  <si>
    <t>00100110b</t>
  </si>
  <si>
    <t>00100111b</t>
  </si>
  <si>
    <t>00101000b</t>
  </si>
  <si>
    <t>00101001b</t>
  </si>
  <si>
    <t>00101010b</t>
  </si>
  <si>
    <t>00101011b</t>
  </si>
  <si>
    <t>00101100b</t>
  </si>
  <si>
    <t>00101101b</t>
  </si>
  <si>
    <t>00101110b</t>
  </si>
  <si>
    <t>00101111b</t>
  </si>
  <si>
    <t>00110000b</t>
  </si>
  <si>
    <t>00110001b</t>
  </si>
  <si>
    <t>00110010b</t>
  </si>
  <si>
    <t>00110011b</t>
  </si>
  <si>
    <t>00110100b</t>
  </si>
  <si>
    <t>00110101b</t>
  </si>
  <si>
    <t>00110110b</t>
  </si>
  <si>
    <t>00110111b</t>
  </si>
  <si>
    <t>00111000b</t>
  </si>
  <si>
    <t>00111001b</t>
  </si>
  <si>
    <t>00111010b</t>
  </si>
  <si>
    <t>00111011b</t>
  </si>
  <si>
    <t>00111100b</t>
  </si>
  <si>
    <t>00111101b</t>
  </si>
  <si>
    <t>00111110b</t>
  </si>
  <si>
    <t>00111111b</t>
  </si>
  <si>
    <t>01000000b</t>
  </si>
  <si>
    <t>01000001b</t>
  </si>
  <si>
    <t>01000010b</t>
  </si>
  <si>
    <t>01000011b</t>
  </si>
  <si>
    <t>01000100b</t>
  </si>
  <si>
    <t>01000101b</t>
  </si>
  <si>
    <t>01000110b</t>
  </si>
  <si>
    <t>01000111b</t>
  </si>
  <si>
    <t>01001000b</t>
  </si>
  <si>
    <t>01001001b</t>
  </si>
  <si>
    <t>01001010b</t>
  </si>
  <si>
    <t>01001011b</t>
  </si>
  <si>
    <t>01001100b</t>
  </si>
  <si>
    <t>01001101b</t>
  </si>
  <si>
    <t>01001110b</t>
  </si>
  <si>
    <t>01001111b</t>
  </si>
  <si>
    <t>01010000b</t>
  </si>
  <si>
    <t>01010001b</t>
  </si>
  <si>
    <t>01010010b</t>
  </si>
  <si>
    <t>01010011b</t>
  </si>
  <si>
    <t>01010100b</t>
  </si>
  <si>
    <t>01010101b</t>
  </si>
  <si>
    <t>01010110b</t>
  </si>
  <si>
    <t>01010111b</t>
  </si>
  <si>
    <t>01011000b</t>
  </si>
  <si>
    <t>01011001b</t>
  </si>
  <si>
    <t>01011010b</t>
  </si>
  <si>
    <t>01011011b</t>
  </si>
  <si>
    <t>01011100b</t>
  </si>
  <si>
    <t>01011101b</t>
  </si>
  <si>
    <t>01011110b</t>
  </si>
  <si>
    <t>01011111b</t>
  </si>
  <si>
    <t>01100000b</t>
  </si>
  <si>
    <t>01100001b</t>
  </si>
  <si>
    <t>01100010b</t>
  </si>
  <si>
    <t>01100011b</t>
  </si>
  <si>
    <t>01100100b</t>
  </si>
  <si>
    <t>01100101b</t>
  </si>
  <si>
    <t>01100110b</t>
  </si>
  <si>
    <t>01100111b</t>
  </si>
  <si>
    <t>01101000b</t>
  </si>
  <si>
    <t>01101001b</t>
  </si>
  <si>
    <t>01101010b</t>
  </si>
  <si>
    <t>01101011b</t>
  </si>
  <si>
    <t>01101100b</t>
  </si>
  <si>
    <t>01101101b</t>
  </si>
  <si>
    <t>01101110b</t>
  </si>
  <si>
    <t>01101111b</t>
  </si>
  <si>
    <t>01110000b</t>
  </si>
  <si>
    <t>01110001b</t>
  </si>
  <si>
    <t>01110010b</t>
  </si>
  <si>
    <t>01110011b</t>
  </si>
  <si>
    <t>01110100b</t>
  </si>
  <si>
    <t>01110101b</t>
  </si>
  <si>
    <t>01110110b</t>
  </si>
  <si>
    <t>01110111b</t>
  </si>
  <si>
    <t>01111000b</t>
  </si>
  <si>
    <t>01111001b</t>
  </si>
  <si>
    <t>01111010b</t>
  </si>
  <si>
    <t>01111011b</t>
  </si>
  <si>
    <t>01111100b</t>
  </si>
  <si>
    <t>01111101b</t>
  </si>
  <si>
    <t>01111110b</t>
  </si>
  <si>
    <t>01111111b</t>
  </si>
  <si>
    <t>10000000b</t>
  </si>
  <si>
    <t>10000001b</t>
  </si>
  <si>
    <t>10000010b</t>
  </si>
  <si>
    <t>10000011b</t>
  </si>
  <si>
    <t>10000100b</t>
  </si>
  <si>
    <t>10000101b</t>
  </si>
  <si>
    <t>10000110b</t>
  </si>
  <si>
    <t>10000111b</t>
  </si>
  <si>
    <t>10001000b</t>
  </si>
  <si>
    <t>10001001b</t>
  </si>
  <si>
    <t>10001010b</t>
  </si>
  <si>
    <t>10001011b</t>
  </si>
  <si>
    <t>10001100b</t>
  </si>
  <si>
    <t>10001101b</t>
  </si>
  <si>
    <t>10001110b</t>
  </si>
  <si>
    <t>10001111b</t>
  </si>
  <si>
    <t>10010000b</t>
  </si>
  <si>
    <t>10010001b</t>
  </si>
  <si>
    <t>10010010b</t>
  </si>
  <si>
    <t>10010011b</t>
  </si>
  <si>
    <t>10010100b</t>
  </si>
  <si>
    <t>10010101b</t>
  </si>
  <si>
    <t>10010110b</t>
  </si>
  <si>
    <t>10010111b</t>
  </si>
  <si>
    <t>10011000b</t>
  </si>
  <si>
    <t>10011001b</t>
  </si>
  <si>
    <t>10011010b</t>
  </si>
  <si>
    <t>10011011b</t>
  </si>
  <si>
    <t>10011100b</t>
  </si>
  <si>
    <t>10011101b</t>
  </si>
  <si>
    <t>10011110b</t>
  </si>
  <si>
    <t>10011111b</t>
  </si>
  <si>
    <t>10100000b</t>
  </si>
  <si>
    <t>10100001b</t>
  </si>
  <si>
    <t>10100010b</t>
  </si>
  <si>
    <t>10100011b</t>
  </si>
  <si>
    <t>10100100b</t>
  </si>
  <si>
    <t>10100101b</t>
  </si>
  <si>
    <t>10100110b</t>
  </si>
  <si>
    <t>10100111b</t>
  </si>
  <si>
    <t>10101000b</t>
  </si>
  <si>
    <t>10101001b</t>
  </si>
  <si>
    <t>10101010b</t>
  </si>
  <si>
    <t>10101011b</t>
  </si>
  <si>
    <t>10101100b</t>
  </si>
  <si>
    <t>10101101b</t>
  </si>
  <si>
    <t>10101110b</t>
  </si>
  <si>
    <t>10101111b</t>
  </si>
  <si>
    <t>10110000b</t>
  </si>
  <si>
    <t>10110001b</t>
  </si>
  <si>
    <t>10110010b</t>
  </si>
  <si>
    <t>10110011b</t>
  </si>
  <si>
    <t>10110100b</t>
  </si>
  <si>
    <t>10110101b</t>
  </si>
  <si>
    <t>10110110b</t>
  </si>
  <si>
    <t>10110111b</t>
  </si>
  <si>
    <t>10111000b</t>
  </si>
  <si>
    <t>10111001b</t>
  </si>
  <si>
    <t>10111010b</t>
  </si>
  <si>
    <t>10111011b</t>
  </si>
  <si>
    <t>10111100b</t>
  </si>
  <si>
    <t>10111101b</t>
  </si>
  <si>
    <t>10111110b</t>
  </si>
  <si>
    <t>10111111b</t>
  </si>
  <si>
    <t>11000000b</t>
  </si>
  <si>
    <t>11000001b</t>
  </si>
  <si>
    <t>11000010b</t>
  </si>
  <si>
    <t>11000011b</t>
  </si>
  <si>
    <t>11000100b</t>
  </si>
  <si>
    <t>11000101b</t>
  </si>
  <si>
    <t>11000110b</t>
  </si>
  <si>
    <t>11000111b</t>
  </si>
  <si>
    <t>11001000b</t>
  </si>
  <si>
    <t>11001001b</t>
  </si>
  <si>
    <t>11001010b</t>
  </si>
  <si>
    <t>11001011b</t>
  </si>
  <si>
    <t>11001100b</t>
  </si>
  <si>
    <t>11001101b</t>
  </si>
  <si>
    <t>11001110b</t>
  </si>
  <si>
    <t>11001111b</t>
  </si>
  <si>
    <t>11010000b</t>
  </si>
  <si>
    <t>11010001b</t>
  </si>
  <si>
    <t>11010010b</t>
  </si>
  <si>
    <t>11010011b</t>
  </si>
  <si>
    <t>11010100b</t>
  </si>
  <si>
    <t>11010101b</t>
  </si>
  <si>
    <t>11010110b</t>
  </si>
  <si>
    <t>11010111b</t>
  </si>
  <si>
    <t>11011000b</t>
  </si>
  <si>
    <t>11011001b</t>
  </si>
  <si>
    <t>11011010b</t>
  </si>
  <si>
    <t>11011011b</t>
  </si>
  <si>
    <t>11011100b</t>
  </si>
  <si>
    <t>11011101b</t>
  </si>
  <si>
    <t>11011110b</t>
  </si>
  <si>
    <t>11011111b</t>
  </si>
  <si>
    <t>11100000b</t>
  </si>
  <si>
    <t>11100001b</t>
  </si>
  <si>
    <t>11100010b</t>
  </si>
  <si>
    <t>11100011b</t>
  </si>
  <si>
    <t>11100100b</t>
  </si>
  <si>
    <t>11100101b</t>
  </si>
  <si>
    <t>11100110b</t>
  </si>
  <si>
    <t>11100111b</t>
  </si>
  <si>
    <t>11101000b</t>
  </si>
  <si>
    <t>11101001b</t>
  </si>
  <si>
    <t>11101010b</t>
  </si>
  <si>
    <t>11101011b</t>
  </si>
  <si>
    <t>11101100b</t>
  </si>
  <si>
    <t>11101101b</t>
  </si>
  <si>
    <t>11101110b</t>
  </si>
  <si>
    <t>11101111b</t>
  </si>
  <si>
    <t>11110000b</t>
  </si>
  <si>
    <t>11110001b</t>
  </si>
  <si>
    <t>11110010b</t>
  </si>
  <si>
    <t>11110011b</t>
  </si>
  <si>
    <t>11110100b</t>
  </si>
  <si>
    <t>11110101b</t>
  </si>
  <si>
    <t>11110110b</t>
  </si>
  <si>
    <t>11110111b</t>
  </si>
  <si>
    <t>11111000b</t>
  </si>
  <si>
    <t>11111001b</t>
  </si>
  <si>
    <t>11111010b</t>
  </si>
  <si>
    <t>11111011b</t>
  </si>
  <si>
    <t>11111100b</t>
  </si>
  <si>
    <t>11111101b</t>
  </si>
  <si>
    <t>11111110b</t>
  </si>
  <si>
    <t>11111111b</t>
  </si>
  <si>
    <t>S_TMBZR-CSTD-0-BZR01-REQ020-</t>
  </si>
  <si>
    <t>S_TMBZR-CSTD-0-BZR01-REQ026-</t>
  </si>
  <si>
    <t>S_TMBZR-CSTD-0-BZR01-REQ014-</t>
  </si>
  <si>
    <t>S_TMBZR-CSTD-0-BZR01-REQ08-</t>
  </si>
  <si>
    <t>S_TMBZR-CSTD-0-BZR01-REQ02-</t>
  </si>
  <si>
    <t>S_TMBZR-CSTD-0-BZR01-REQ021-</t>
  </si>
  <si>
    <t>S_TMBZR-CSTD-0-BZR01-REQ027-</t>
  </si>
  <si>
    <t>S_TMBZR-CSTD-0-BZR01-REQ015-</t>
  </si>
  <si>
    <t>S_TMBZR-CSTD-0-BZR01-REQ09-</t>
  </si>
  <si>
    <t>S_TMBZR-CSTD-0-BZR01-REQ03-</t>
  </si>
  <si>
    <t>S_TMBZR-CSTD-0-BZR01-REQ022-</t>
  </si>
  <si>
    <t>S_TMBZR-CSTD-0-BZR01-REQ028-</t>
  </si>
  <si>
    <t>S_TMBZR-CSTD-0-BZR01-REQ016-</t>
  </si>
  <si>
    <t>S_TMBZR-CSTD-0-BZR01-REQ010-</t>
  </si>
  <si>
    <t>S_TMBZR-CSTD-0-BZR01-REQ04-</t>
  </si>
  <si>
    <t>S_TMBZR-CSTD-0-BZR01-REQ023-</t>
  </si>
  <si>
    <t>S_TMBZR-CSTD-0-BZR01-REQ029-</t>
  </si>
  <si>
    <t>S_TMBZR-CSTD-0-BZR01-REQ017-</t>
  </si>
  <si>
    <t>S_TMBZR-CSTD-0-BZR01-REQ011-</t>
  </si>
  <si>
    <t>S_TMBZR-CSTD-0-BZR01-REQ05-</t>
  </si>
  <si>
    <t>S_TMBZR-CSTD-0-BZR01-REQ024-</t>
  </si>
  <si>
    <t>S_TMBZR-CSTD-0-BZR01-REQ030-</t>
  </si>
  <si>
    <t>S_TMBZR-CSTD-0-BZR01-REQ018-</t>
  </si>
  <si>
    <t>S_TMBZR-CSTD-0-BZR01-REQ012-</t>
  </si>
  <si>
    <t>S_TMBZR-CSTD-0-BZR01-REQ06-</t>
  </si>
  <si>
    <t>S_TMBZR-CSTD-0-BZR01-REQ019-</t>
  </si>
  <si>
    <t>S_TMBZR-CSTD-0-BZR01-REQ013-</t>
  </si>
  <si>
    <t>S_TMBZR-CSTD-0-BZR01-REQ07-</t>
  </si>
  <si>
    <t>S_TMBZR-CSTD-0-BZR01-REQ025-</t>
  </si>
  <si>
    <t>S_TMBZR-CSTD-0-BZR01-REQ031-</t>
  </si>
  <si>
    <t>S_TMBZR-CSTD-0-BZR01-REQ032-</t>
  </si>
  <si>
    <t>S_TMBZR-CSTD-0-BZR01-REQ033-</t>
  </si>
  <si>
    <t>S_TMBZR-CSTD-0-BZR01-REQ034-</t>
  </si>
  <si>
    <t>S_TMBZR-CSTD-0-BZR01-REQ035-</t>
  </si>
  <si>
    <t>IG-ON + 通常 + 非吹鳴</t>
    <rPh sb="8" eb="10">
      <t>ツウジョウ</t>
    </rPh>
    <rPh sb="13" eb="16">
      <t>ヒスイメイ</t>
    </rPh>
    <phoneticPr fontId="2"/>
  </si>
  <si>
    <t>単発/
連続/
断続/
2連発/
-</t>
    <phoneticPr fontId="2"/>
  </si>
  <si>
    <t>連続</t>
    <rPh sb="0" eb="2">
      <t>レンゾク</t>
    </rPh>
    <phoneticPr fontId="1"/>
  </si>
  <si>
    <t>断続</t>
    <rPh sb="0" eb="2">
      <t>ダンゾク</t>
    </rPh>
    <phoneticPr fontId="1"/>
  </si>
  <si>
    <t>2連発</t>
    <rPh sb="1" eb="3">
      <t>レンパツ</t>
    </rPh>
    <phoneticPr fontId="1"/>
  </si>
  <si>
    <t>単発</t>
    <rPh sb="0" eb="2">
      <t>タンパツ</t>
    </rPh>
    <phoneticPr fontId="1"/>
  </si>
  <si>
    <t>IG-ON + 未受信 + **</t>
    <phoneticPr fontId="2"/>
  </si>
  <si>
    <t>IG-ON + 通信途絶 + **</t>
    <phoneticPr fontId="2"/>
  </si>
  <si>
    <t>IG-ON + 未受信通信途絶 + **</t>
    <phoneticPr fontId="2"/>
  </si>
  <si>
    <t>IG-OFF + ** + **</t>
    <phoneticPr fontId="2"/>
  </si>
  <si>
    <t>********b</t>
  </si>
  <si>
    <t>********b</t>
    <phoneticPr fontId="2"/>
  </si>
  <si>
    <t>断続/
-</t>
    <phoneticPr fontId="2"/>
  </si>
  <si>
    <t>ADDOTRML_SIG</t>
    <phoneticPr fontId="2"/>
  </si>
  <si>
    <t>0b</t>
    <phoneticPr fontId="2"/>
  </si>
  <si>
    <t>1b</t>
    <phoneticPr fontId="2"/>
  </si>
  <si>
    <t>断続</t>
    <phoneticPr fontId="1"/>
  </si>
  <si>
    <t>*b</t>
  </si>
  <si>
    <t>*b</t>
    <phoneticPr fontId="2"/>
  </si>
  <si>
    <t>正常(0b)/
運転操作交代要求メロディ(1b)</t>
    <phoneticPr fontId="2"/>
  </si>
  <si>
    <t>IG-ON + 通常 + 連続</t>
  </si>
  <si>
    <t>IG-ON + 通常 + 断続</t>
  </si>
  <si>
    <t>IG-ON + 通常 + 2連発</t>
  </si>
  <si>
    <t>IG-ON + 通常 + 単発</t>
  </si>
  <si>
    <t>S_TMBZR-CSTD-0-BZR01-REQ037-</t>
  </si>
  <si>
    <t>https://svn.geniie.net/bevs3/bevs3cdc/ 仕様書/MET/#1/tags/00.Product/v1.19/制御仕様/MET-S_TMBZR-CSTD-0-01-A-C0</t>
    <phoneticPr fontId="2"/>
  </si>
  <si>
    <t>BC_AD</t>
    <phoneticPr fontId="2"/>
  </si>
  <si>
    <t>BC_DOT</t>
    <phoneticPr fontId="2"/>
  </si>
  <si>
    <t>ALERT_CH_S_TMBZR_BC_AD</t>
  </si>
  <si>
    <t>ALERT_CH_S_TMBZR_BC_DOT</t>
  </si>
  <si>
    <t>S_TMBZR判定(BC_AD)</t>
    <rPh sb="7" eb="9">
      <t>ハンテイ</t>
    </rPh>
    <phoneticPr fontId="2"/>
  </si>
  <si>
    <t>S_TMBZR判定(BC_DOT)</t>
    <rPh sb="7" eb="9">
      <t>ハンテイ</t>
    </rPh>
    <phoneticPr fontId="2"/>
  </si>
  <si>
    <t>ANN_0</t>
  </si>
  <si>
    <t>ANN_1</t>
  </si>
  <si>
    <t>ANN_2</t>
  </si>
  <si>
    <t>ANN_3</t>
  </si>
  <si>
    <t>ANN_4</t>
  </si>
  <si>
    <t>ANN_4P5</t>
  </si>
  <si>
    <t>RCV_0</t>
  </si>
  <si>
    <t>RCV_1</t>
  </si>
  <si>
    <t>RCV_2</t>
  </si>
  <si>
    <t>RCV_3</t>
  </si>
  <si>
    <t>RCV_4</t>
  </si>
  <si>
    <t>RCV_4P5</t>
  </si>
  <si>
    <t>RJT_0</t>
  </si>
  <si>
    <t>RJT_1</t>
  </si>
  <si>
    <t>RJT_2</t>
  </si>
  <si>
    <t>RJT_3</t>
  </si>
  <si>
    <t>RJT_4</t>
  </si>
  <si>
    <t>RJT_4P5</t>
  </si>
  <si>
    <t>CONT_0</t>
  </si>
  <si>
    <t>CONT_1</t>
  </si>
  <si>
    <t>CONT_2</t>
  </si>
  <si>
    <t>CONT_3</t>
  </si>
  <si>
    <t>CONT_4</t>
  </si>
  <si>
    <t>CONT_5</t>
  </si>
  <si>
    <t>DOHREQ</t>
  </si>
  <si>
    <t>DOHREQ</t>
    <phoneticPr fontId="2"/>
  </si>
  <si>
    <t>TEN_0</t>
  </si>
  <si>
    <t>TEN_1</t>
  </si>
  <si>
    <t>TEN_2</t>
  </si>
  <si>
    <t>TEN_3</t>
  </si>
  <si>
    <t>TEN_4</t>
  </si>
  <si>
    <t>TEN_5</t>
  </si>
  <si>
    <t>TEN_6</t>
  </si>
  <si>
    <t>TEN_6P5</t>
  </si>
  <si>
    <t>TEN_7</t>
  </si>
  <si>
    <t>TEN_8</t>
  </si>
  <si>
    <t>TEN_8</t>
    <phoneticPr fontId="2"/>
  </si>
  <si>
    <t>CONT_5</t>
    <phoneticPr fontId="2"/>
  </si>
  <si>
    <t>UNKNOWN/
ANN_0/
ANN_1/
ANN_2/
ANN_3/
ANN_4/
ANN_4P5/
RCV_0/
RCV_1/
RCV_2/
RCV_3/
RCV_4/
RCV_4P5/
RJT_0/
RJT_1/
RJT_2/
RJT_3/
RJT_4/
RJT_4P5/
CONT_0/
CONT_1/
CONT_2/
CONT_3/
CONT_4/
CONT_5/
TEN_0/
TEN_1/
TEN_2/
TEN_3/
TEN_4/
TEN_5/
TEN_6/
TEN_6P5/
TEN_7/
TEN_8/</t>
    <phoneticPr fontId="2"/>
  </si>
  <si>
    <t>取り得る値</t>
    <phoneticPr fontId="2"/>
  </si>
  <si>
    <t>SEARCH</t>
    <phoneticPr fontId="2"/>
  </si>
  <si>
    <t>UNKNOWN/
DOHREQ</t>
    <phoneticPr fontId="2"/>
  </si>
  <si>
    <t>00001***b</t>
  </si>
  <si>
    <t>00011***b</t>
  </si>
  <si>
    <t>00101***b</t>
  </si>
  <si>
    <t>00111***b</t>
  </si>
  <si>
    <t>01001***b</t>
  </si>
  <si>
    <t>010100**b</t>
  </si>
  <si>
    <t>01011***b</t>
  </si>
  <si>
    <t>011001**b</t>
  </si>
  <si>
    <t>01101***b</t>
  </si>
  <si>
    <t>0111000*b</t>
  </si>
  <si>
    <t>011101**b</t>
  </si>
  <si>
    <t>01111***b</t>
  </si>
  <si>
    <t>1000000*b</t>
  </si>
  <si>
    <t>100001**b</t>
  </si>
  <si>
    <t>10001***b</t>
  </si>
  <si>
    <t>1001000*b</t>
  </si>
  <si>
    <t>100101**b</t>
  </si>
  <si>
    <t>10011***b</t>
  </si>
  <si>
    <t>101000**b</t>
  </si>
  <si>
    <t>1010011*b</t>
  </si>
  <si>
    <t>10101***b</t>
  </si>
  <si>
    <t>1011****b</t>
  </si>
  <si>
    <t>11******b</t>
  </si>
  <si>
    <t>ADC1S14</t>
    <phoneticPr fontId="2"/>
  </si>
  <si>
    <t>(株)デンソー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</si>
</sst>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double">
        <color indexed="64"/>
      </right>
      <top style="medium">
        <color indexed="64"/>
      </top>
      <bottom style="thin">
        <color indexed="64"/>
      </bottom>
      <diagonal/>
    </border>
    <border diagonalDown="1">
      <left style="medium">
        <color indexed="64"/>
      </left>
      <right style="double">
        <color indexed="64"/>
      </right>
      <top style="medium">
        <color indexed="64"/>
      </top>
      <bottom/>
      <diagonal style="thin">
        <color indexed="64"/>
      </diagonal>
    </border>
    <border>
      <left style="thin">
        <color indexed="64"/>
      </left>
      <right style="thin">
        <color indexed="64"/>
      </right>
      <top style="medium">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8" xfId="0" applyBorder="1" applyAlignment="1">
      <alignment vertical="center" wrapText="1"/>
    </xf>
    <xf numFmtId="0" fontId="0" fillId="0" borderId="33" xfId="0" applyBorder="1">
      <alignment vertical="center"/>
    </xf>
    <xf numFmtId="0" fontId="0" fillId="14" borderId="3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49" xfId="0" applyFont="1" applyFill="1" applyBorder="1" applyAlignment="1">
      <alignment vertical="center"/>
    </xf>
    <xf numFmtId="0" fontId="1" fillId="19" borderId="45"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6"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0" xfId="0" applyFont="1" applyFill="1" applyBorder="1" applyAlignment="1">
      <alignment vertical="center"/>
    </xf>
    <xf numFmtId="0" fontId="0" fillId="23" borderId="1" xfId="0" applyFill="1" applyBorder="1">
      <alignment vertical="center"/>
    </xf>
    <xf numFmtId="0" fontId="0" fillId="23" borderId="16" xfId="0" applyFill="1" applyBorder="1">
      <alignment vertical="center"/>
    </xf>
    <xf numFmtId="0" fontId="0" fillId="23" borderId="17" xfId="0" applyFill="1" applyBorder="1">
      <alignment vertical="center"/>
    </xf>
    <xf numFmtId="14" fontId="0" fillId="0" borderId="15"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2" xfId="2" applyFont="1" applyBorder="1">
      <alignment vertical="center"/>
    </xf>
    <xf numFmtId="0" fontId="21" fillId="0" borderId="64" xfId="2" applyFont="1" applyBorder="1">
      <alignment vertical="center"/>
    </xf>
    <xf numFmtId="0" fontId="21" fillId="0" borderId="63" xfId="2" applyFont="1" applyBorder="1">
      <alignment vertical="center"/>
    </xf>
    <xf numFmtId="0" fontId="21" fillId="0" borderId="75" xfId="2" applyFont="1" applyBorder="1">
      <alignment vertical="center"/>
    </xf>
    <xf numFmtId="0" fontId="21" fillId="0" borderId="76" xfId="2" applyFont="1" applyBorder="1">
      <alignment vertical="center"/>
    </xf>
    <xf numFmtId="0" fontId="21" fillId="0" borderId="76" xfId="2" applyFont="1" applyBorder="1" applyAlignment="1">
      <alignment horizontal="center" vertical="center"/>
    </xf>
    <xf numFmtId="0" fontId="21" fillId="0" borderId="75"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0" borderId="2" xfId="0" applyBorder="1" applyAlignment="1">
      <alignment horizontal="center" vertical="center"/>
    </xf>
    <xf numFmtId="0" fontId="0" fillId="24" borderId="0" xfId="0" applyFill="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9" xfId="0" applyFill="1" applyBorder="1" applyAlignment="1">
      <alignment horizontal="center" vertical="center"/>
    </xf>
    <xf numFmtId="0" fontId="0" fillId="20" borderId="27" xfId="0" applyFill="1" applyBorder="1">
      <alignment vertical="center"/>
    </xf>
    <xf numFmtId="0" fontId="0" fillId="15" borderId="48" xfId="0" applyFill="1" applyBorder="1">
      <alignment vertical="center"/>
    </xf>
    <xf numFmtId="0" fontId="0" fillId="14" borderId="2" xfId="0" applyFill="1" applyBorder="1">
      <alignment vertical="center"/>
    </xf>
    <xf numFmtId="0" fontId="0" fillId="12" borderId="50" xfId="0" applyFill="1" applyBorder="1">
      <alignment vertical="center"/>
    </xf>
    <xf numFmtId="0" fontId="0" fillId="0" borderId="22" xfId="0" applyBorder="1">
      <alignment vertical="center"/>
    </xf>
    <xf numFmtId="0" fontId="0" fillId="0" borderId="34" xfId="0" applyBorder="1" applyAlignment="1">
      <alignment horizontal="left" vertical="center" wrapText="1"/>
    </xf>
    <xf numFmtId="0" fontId="0" fillId="0" borderId="16" xfId="0" applyFill="1" applyBorder="1" applyAlignment="1">
      <alignment vertical="center" wrapText="1"/>
    </xf>
    <xf numFmtId="0" fontId="0" fillId="12" borderId="79" xfId="0" applyFill="1" applyBorder="1">
      <alignment vertical="center"/>
    </xf>
    <xf numFmtId="0" fontId="0" fillId="12" borderId="49" xfId="0" applyFill="1" applyBorder="1" applyAlignment="1">
      <alignment vertical="center"/>
    </xf>
    <xf numFmtId="0" fontId="0" fillId="13" borderId="44" xfId="0" applyFill="1" applyBorder="1" applyAlignment="1">
      <alignment vertical="center"/>
    </xf>
    <xf numFmtId="0" fontId="0" fillId="13" borderId="49" xfId="0" applyFill="1" applyBorder="1" applyAlignment="1">
      <alignment vertical="center"/>
    </xf>
    <xf numFmtId="0" fontId="0" fillId="13" borderId="45" xfId="0" applyFill="1" applyBorder="1" applyAlignment="1">
      <alignment vertical="center"/>
    </xf>
    <xf numFmtId="0" fontId="0" fillId="12" borderId="78" xfId="0" applyFill="1" applyBorder="1">
      <alignment vertical="center"/>
    </xf>
    <xf numFmtId="0" fontId="0" fillId="0" borderId="74" xfId="0" applyBorder="1" applyAlignment="1">
      <alignment vertical="center"/>
    </xf>
    <xf numFmtId="0" fontId="0" fillId="0" borderId="23" xfId="0" applyBorder="1" applyAlignment="1">
      <alignment vertical="center"/>
    </xf>
    <xf numFmtId="0" fontId="0" fillId="15" borderId="77" xfId="0" applyFill="1" applyBorder="1">
      <alignment vertical="center"/>
    </xf>
    <xf numFmtId="0" fontId="0" fillId="15" borderId="4" xfId="0" applyFill="1" applyBorder="1">
      <alignment vertical="center"/>
    </xf>
    <xf numFmtId="0" fontId="0" fillId="0" borderId="80" xfId="0" applyFill="1" applyBorder="1">
      <alignment vertical="center"/>
    </xf>
    <xf numFmtId="0" fontId="0" fillId="15" borderId="5" xfId="0" applyFill="1" applyBorder="1">
      <alignment vertical="center"/>
    </xf>
    <xf numFmtId="0" fontId="0" fillId="0" borderId="2" xfId="0" applyFont="1" applyFill="1" applyBorder="1" applyAlignment="1" applyProtection="1">
      <alignment horizontal="center" vertical="center"/>
    </xf>
    <xf numFmtId="0" fontId="0" fillId="0" borderId="2" xfId="0" applyFont="1" applyFill="1" applyBorder="1" applyAlignment="1">
      <alignment horizontal="center" vertical="center"/>
    </xf>
    <xf numFmtId="0" fontId="0" fillId="0" borderId="2" xfId="0" applyBorder="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3"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lignment horizontal="left" vertical="center"/>
    </xf>
    <xf numFmtId="0" fontId="3" fillId="12" borderId="12" xfId="1" applyFill="1" applyBorder="1" applyAlignment="1">
      <alignment horizontal="left" vertical="center"/>
    </xf>
    <xf numFmtId="0" fontId="3" fillId="12" borderId="48" xfId="1" applyFill="1" applyBorder="1" applyAlignment="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66"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74" xfId="0" applyFill="1" applyBorder="1" applyAlignment="1">
      <alignment horizontal="left" vertical="center"/>
    </xf>
    <xf numFmtId="0" fontId="0" fillId="18" borderId="23" xfId="0" applyFill="1" applyBorder="1" applyAlignment="1">
      <alignment horizontal="left" vertical="center"/>
    </xf>
    <xf numFmtId="0" fontId="0" fillId="18" borderId="77" xfId="0"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3">
    <cellStyle name="ハイパーリンク" xfId="1" builtinId="8"/>
    <cellStyle name="標準" xfId="0" builtinId="0"/>
    <cellStyle name="標準 3 3 4 3" xfId="2" xr:uid="{C8089F89-2271-41DB-B3AE-17ED1FFCCFE4}"/>
  </cellStyles>
  <dxfs count="12">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0C9552E-B083-4041-A4F8-27CF30E11E57}"/>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CE17666-8DA5-4D54-8C28-50A84A306D2B}"/>
            </a:ext>
          </a:extLst>
        </xdr:cNvPr>
        <xdr:cNvCxnSpPr/>
      </xdr:nvCxnSpPr>
      <xdr:spPr>
        <a:xfrm flipH="1">
          <a:off x="4854575"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5800CB7B-D8F4-41A0-A8F8-646175B4F477}"/>
            </a:ext>
          </a:extLst>
        </xdr:cNvPr>
        <xdr:cNvCxnSpPr/>
      </xdr:nvCxnSpPr>
      <xdr:spPr>
        <a:xfrm flipH="1">
          <a:off x="4149725" y="564515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98F7BF62-50D1-48F9-9271-FB160522A36B}"/>
            </a:ext>
          </a:extLst>
        </xdr:cNvPr>
        <xdr:cNvCxnSpPr/>
      </xdr:nvCxnSpPr>
      <xdr:spPr>
        <a:xfrm flipH="1">
          <a:off x="4857750" y="69691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89647</xdr:colOff>
      <xdr:row>51</xdr:row>
      <xdr:rowOff>134471</xdr:rowOff>
    </xdr:from>
    <xdr:to>
      <xdr:col>38</xdr:col>
      <xdr:colOff>78370</xdr:colOff>
      <xdr:row>55</xdr:row>
      <xdr:rowOff>81546</xdr:rowOff>
    </xdr:to>
    <xdr:pic>
      <xdr:nvPicPr>
        <xdr:cNvPr id="6" name="Picture 5">
          <a:extLst>
            <a:ext uri="{FF2B5EF4-FFF2-40B4-BE49-F238E27FC236}">
              <a16:creationId xmlns:a16="http://schemas.microsoft.com/office/drawing/2014/main" id="{DB2AABD4-C9B3-5147-EF80-5531A6F94829}"/>
            </a:ext>
          </a:extLst>
        </xdr:cNvPr>
        <xdr:cNvPicPr>
          <a:picLocks noChangeAspect="1"/>
        </xdr:cNvPicPr>
      </xdr:nvPicPr>
      <xdr:blipFill>
        <a:blip xmlns:r="http://schemas.openxmlformats.org/officeDocument/2006/relationships" r:embed="rId1"/>
        <a:stretch>
          <a:fillRect/>
        </a:stretch>
      </xdr:blipFill>
      <xdr:spPr>
        <a:xfrm>
          <a:off x="5042647" y="8135471"/>
          <a:ext cx="571429" cy="574604"/>
        </a:xfrm>
        <a:prstGeom prst="rect">
          <a:avLst/>
        </a:prstGeom>
      </xdr:spPr>
    </xdr:pic>
    <xdr:clientData/>
  </xdr:twoCellAnchor>
  <xdr:twoCellAnchor>
    <xdr:from>
      <xdr:col>29</xdr:col>
      <xdr:colOff>0</xdr:colOff>
      <xdr:row>51</xdr:row>
      <xdr:rowOff>0</xdr:rowOff>
    </xdr:from>
    <xdr:to>
      <xdr:col>34</xdr:col>
      <xdr:colOff>0</xdr:colOff>
      <xdr:row>56</xdr:row>
      <xdr:rowOff>0</xdr:rowOff>
    </xdr:to>
    <xdr:cxnSp macro="">
      <xdr:nvCxnSpPr>
        <xdr:cNvPr id="7" name="直線コネクタ 6">
          <a:extLst>
            <a:ext uri="{FF2B5EF4-FFF2-40B4-BE49-F238E27FC236}">
              <a16:creationId xmlns:a16="http://schemas.microsoft.com/office/drawing/2014/main" id="{6D599ACE-9E11-516A-7C68-FA38B9499030}"/>
            </a:ext>
          </a:extLst>
        </xdr:cNvPr>
        <xdr:cNvCxnSpPr/>
      </xdr:nvCxnSpPr>
      <xdr:spPr>
        <a:xfrm flipH="1">
          <a:off x="4549588" y="8001000"/>
          <a:ext cx="784412" cy="784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70</xdr:col>
      <xdr:colOff>285750</xdr:colOff>
      <xdr:row>171</xdr:row>
      <xdr:rowOff>0</xdr:rowOff>
    </xdr:from>
    <xdr:to>
      <xdr:col>127</xdr:col>
      <xdr:colOff>315822</xdr:colOff>
      <xdr:row>190</xdr:row>
      <xdr:rowOff>68262</xdr:rowOff>
    </xdr:to>
    <xdr:pic>
      <xdr:nvPicPr>
        <xdr:cNvPr id="51" name="Picture 50">
          <a:extLst>
            <a:ext uri="{FF2B5EF4-FFF2-40B4-BE49-F238E27FC236}">
              <a16:creationId xmlns:a16="http://schemas.microsoft.com/office/drawing/2014/main" id="{65C8C36B-43DD-45B7-9254-2BA58511F6F9}"/>
            </a:ext>
          </a:extLst>
        </xdr:cNvPr>
        <xdr:cNvPicPr>
          <a:picLocks noChangeAspect="1"/>
        </xdr:cNvPicPr>
      </xdr:nvPicPr>
      <xdr:blipFill>
        <a:blip xmlns:r="http://schemas.openxmlformats.org/officeDocument/2006/relationships" r:embed="rId1"/>
        <a:stretch>
          <a:fillRect/>
        </a:stretch>
      </xdr:blipFill>
      <xdr:spPr>
        <a:xfrm>
          <a:off x="47196375" y="35242500"/>
          <a:ext cx="35320197" cy="3235325"/>
        </a:xfrm>
        <a:prstGeom prst="rect">
          <a:avLst/>
        </a:prstGeom>
      </xdr:spPr>
    </xdr:pic>
    <xdr:clientData/>
  </xdr:twoCellAnchor>
  <xdr:twoCellAnchor editAs="oneCell">
    <xdr:from>
      <xdr:col>19</xdr:col>
      <xdr:colOff>0</xdr:colOff>
      <xdr:row>10</xdr:row>
      <xdr:rowOff>0</xdr:rowOff>
    </xdr:from>
    <xdr:to>
      <xdr:col>68</xdr:col>
      <xdr:colOff>390525</xdr:colOff>
      <xdr:row>189</xdr:row>
      <xdr:rowOff>907</xdr:rowOff>
    </xdr:to>
    <xdr:pic>
      <xdr:nvPicPr>
        <xdr:cNvPr id="44" name="Picture 43">
          <a:extLst>
            <a:ext uri="{FF2B5EF4-FFF2-40B4-BE49-F238E27FC236}">
              <a16:creationId xmlns:a16="http://schemas.microsoft.com/office/drawing/2014/main" id="{F81BB6AC-4E4F-48D0-A6B8-25E1B17A4B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5250" y="8405813"/>
          <a:ext cx="30727650" cy="29837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11337</xdr:colOff>
      <xdr:row>2</xdr:row>
      <xdr:rowOff>28127</xdr:rowOff>
    </xdr:from>
    <xdr:to>
      <xdr:col>44</xdr:col>
      <xdr:colOff>160360</xdr:colOff>
      <xdr:row>8</xdr:row>
      <xdr:rowOff>3855605</xdr:rowOff>
    </xdr:to>
    <xdr:pic>
      <xdr:nvPicPr>
        <xdr:cNvPr id="2" name="Picture 1">
          <a:extLst>
            <a:ext uri="{FF2B5EF4-FFF2-40B4-BE49-F238E27FC236}">
              <a16:creationId xmlns:a16="http://schemas.microsoft.com/office/drawing/2014/main" id="{BB9CC9DB-B06A-A828-3F7C-983DF2B746AF}"/>
            </a:ext>
          </a:extLst>
        </xdr:cNvPr>
        <xdr:cNvPicPr>
          <a:picLocks noChangeAspect="1"/>
        </xdr:cNvPicPr>
      </xdr:nvPicPr>
      <xdr:blipFill>
        <a:blip xmlns:r="http://schemas.openxmlformats.org/officeDocument/2006/relationships" r:embed="rId3"/>
        <a:stretch>
          <a:fillRect/>
        </a:stretch>
      </xdr:blipFill>
      <xdr:spPr>
        <a:xfrm>
          <a:off x="15320610" y="357172"/>
          <a:ext cx="15302432" cy="6483510"/>
        </a:xfrm>
        <a:prstGeom prst="rect">
          <a:avLst/>
        </a:prstGeom>
      </xdr:spPr>
    </xdr:pic>
    <xdr:clientData/>
  </xdr:twoCellAnchor>
  <xdr:twoCellAnchor>
    <xdr:from>
      <xdr:col>19</xdr:col>
      <xdr:colOff>173179</xdr:colOff>
      <xdr:row>8</xdr:row>
      <xdr:rowOff>985905</xdr:rowOff>
    </xdr:from>
    <xdr:to>
      <xdr:col>34</xdr:col>
      <xdr:colOff>283108</xdr:colOff>
      <xdr:row>8</xdr:row>
      <xdr:rowOff>1305219</xdr:rowOff>
    </xdr:to>
    <xdr:sp macro="" textlink="">
      <xdr:nvSpPr>
        <xdr:cNvPr id="6" name="Rectangle 5">
          <a:extLst>
            <a:ext uri="{FF2B5EF4-FFF2-40B4-BE49-F238E27FC236}">
              <a16:creationId xmlns:a16="http://schemas.microsoft.com/office/drawing/2014/main" id="{AE7414EC-FB52-F4A3-B3B1-DE6E2B60EE01}"/>
            </a:ext>
          </a:extLst>
        </xdr:cNvPr>
        <xdr:cNvSpPr/>
      </xdr:nvSpPr>
      <xdr:spPr>
        <a:xfrm>
          <a:off x="15482452" y="3964632"/>
          <a:ext cx="9201974" cy="3193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265790</xdr:colOff>
      <xdr:row>8</xdr:row>
      <xdr:rowOff>402776</xdr:rowOff>
    </xdr:from>
    <xdr:to>
      <xdr:col>32</xdr:col>
      <xdr:colOff>118406</xdr:colOff>
      <xdr:row>8</xdr:row>
      <xdr:rowOff>810402</xdr:rowOff>
    </xdr:to>
    <xdr:sp macro="" textlink="">
      <xdr:nvSpPr>
        <xdr:cNvPr id="5" name="線吹き出し 1 (枠付き) 32">
          <a:extLst>
            <a:ext uri="{FF2B5EF4-FFF2-40B4-BE49-F238E27FC236}">
              <a16:creationId xmlns:a16="http://schemas.microsoft.com/office/drawing/2014/main" id="{0FA10C00-89CF-47C9-B493-A9B5343CC33F}"/>
            </a:ext>
          </a:extLst>
        </xdr:cNvPr>
        <xdr:cNvSpPr/>
      </xdr:nvSpPr>
      <xdr:spPr>
        <a:xfrm>
          <a:off x="20159433" y="3423562"/>
          <a:ext cx="1077259" cy="407626"/>
        </a:xfrm>
        <a:prstGeom prst="borderCallout1">
          <a:avLst>
            <a:gd name="adj1" fmla="val 42429"/>
            <a:gd name="adj2" fmla="val -3670"/>
            <a:gd name="adj3" fmla="val 158453"/>
            <a:gd name="adj4" fmla="val -23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437028</xdr:colOff>
      <xdr:row>199</xdr:row>
      <xdr:rowOff>26519</xdr:rowOff>
    </xdr:from>
    <xdr:to>
      <xdr:col>65</xdr:col>
      <xdr:colOff>151935</xdr:colOff>
      <xdr:row>213</xdr:row>
      <xdr:rowOff>153707</xdr:rowOff>
    </xdr:to>
    <xdr:pic>
      <xdr:nvPicPr>
        <xdr:cNvPr id="11" name="Picture 10">
          <a:extLst>
            <a:ext uri="{FF2B5EF4-FFF2-40B4-BE49-F238E27FC236}">
              <a16:creationId xmlns:a16="http://schemas.microsoft.com/office/drawing/2014/main" id="{56930A26-E061-C16B-7117-73CAEC873211}"/>
            </a:ext>
          </a:extLst>
        </xdr:cNvPr>
        <xdr:cNvPicPr>
          <a:picLocks noChangeAspect="1"/>
        </xdr:cNvPicPr>
      </xdr:nvPicPr>
      <xdr:blipFill>
        <a:blip xmlns:r="http://schemas.openxmlformats.org/officeDocument/2006/relationships" r:embed="rId4"/>
        <a:stretch>
          <a:fillRect/>
        </a:stretch>
      </xdr:blipFill>
      <xdr:spPr>
        <a:xfrm>
          <a:off x="15677028" y="37250219"/>
          <a:ext cx="27756507" cy="2259481"/>
        </a:xfrm>
        <a:prstGeom prst="rect">
          <a:avLst/>
        </a:prstGeom>
      </xdr:spPr>
    </xdr:pic>
    <xdr:clientData/>
  </xdr:twoCellAnchor>
  <xdr:twoCellAnchor>
    <xdr:from>
      <xdr:col>44</xdr:col>
      <xdr:colOff>29042</xdr:colOff>
      <xdr:row>8</xdr:row>
      <xdr:rowOff>3036140</xdr:rowOff>
    </xdr:from>
    <xdr:to>
      <xdr:col>49</xdr:col>
      <xdr:colOff>163513</xdr:colOff>
      <xdr:row>8</xdr:row>
      <xdr:rowOff>4289424</xdr:rowOff>
    </xdr:to>
    <xdr:sp macro="" textlink="">
      <xdr:nvSpPr>
        <xdr:cNvPr id="12" name="線吹き出し 1 (枠付き) 28">
          <a:extLst>
            <a:ext uri="{FF2B5EF4-FFF2-40B4-BE49-F238E27FC236}">
              <a16:creationId xmlns:a16="http://schemas.microsoft.com/office/drawing/2014/main" id="{46373D00-A55B-474A-A3F4-5A8BA4E415F1}"/>
            </a:ext>
          </a:extLst>
        </xdr:cNvPr>
        <xdr:cNvSpPr/>
      </xdr:nvSpPr>
      <xdr:spPr>
        <a:xfrm>
          <a:off x="30842417" y="6084140"/>
          <a:ext cx="3230096" cy="1253284"/>
        </a:xfrm>
        <a:prstGeom prst="borderCallout1">
          <a:avLst>
            <a:gd name="adj1" fmla="val 43705"/>
            <a:gd name="adj2" fmla="val 1432"/>
            <a:gd name="adj3" fmla="val 220796"/>
            <a:gd name="adj4" fmla="val -13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42</xdr:col>
      <xdr:colOff>35017</xdr:colOff>
      <xdr:row>8</xdr:row>
      <xdr:rowOff>5012484</xdr:rowOff>
    </xdr:from>
    <xdr:to>
      <xdr:col>43</xdr:col>
      <xdr:colOff>609319</xdr:colOff>
      <xdr:row>189</xdr:row>
      <xdr:rowOff>71437</xdr:rowOff>
    </xdr:to>
    <xdr:sp macro="" textlink="">
      <xdr:nvSpPr>
        <xdr:cNvPr id="13" name="Rectangle 12">
          <a:extLst>
            <a:ext uri="{FF2B5EF4-FFF2-40B4-BE49-F238E27FC236}">
              <a16:creationId xmlns:a16="http://schemas.microsoft.com/office/drawing/2014/main" id="{2B8DEE99-BC27-4829-AA4D-C092B1B9A7B2}"/>
            </a:ext>
          </a:extLst>
        </xdr:cNvPr>
        <xdr:cNvSpPr/>
      </xdr:nvSpPr>
      <xdr:spPr>
        <a:xfrm>
          <a:off x="29610142" y="8060484"/>
          <a:ext cx="1193427" cy="3025382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258681</xdr:colOff>
      <xdr:row>207</xdr:row>
      <xdr:rowOff>58098</xdr:rowOff>
    </xdr:from>
    <xdr:to>
      <xdr:col>49</xdr:col>
      <xdr:colOff>498061</xdr:colOff>
      <xdr:row>213</xdr:row>
      <xdr:rowOff>127196</xdr:rowOff>
    </xdr:to>
    <xdr:sp macro="" textlink="">
      <xdr:nvSpPr>
        <xdr:cNvPr id="19" name="正方形/長方形 25">
          <a:extLst>
            <a:ext uri="{FF2B5EF4-FFF2-40B4-BE49-F238E27FC236}">
              <a16:creationId xmlns:a16="http://schemas.microsoft.com/office/drawing/2014/main" id="{196A2C0E-690B-44CB-9458-BF152AAB71F5}"/>
            </a:ext>
          </a:extLst>
        </xdr:cNvPr>
        <xdr:cNvSpPr/>
      </xdr:nvSpPr>
      <xdr:spPr>
        <a:xfrm>
          <a:off x="32539772" y="39110598"/>
          <a:ext cx="1451653" cy="10042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170360</xdr:colOff>
      <xdr:row>215</xdr:row>
      <xdr:rowOff>140749</xdr:rowOff>
    </xdr:from>
    <xdr:to>
      <xdr:col>54</xdr:col>
      <xdr:colOff>95250</xdr:colOff>
      <xdr:row>223</xdr:row>
      <xdr:rowOff>26986</xdr:rowOff>
    </xdr:to>
    <xdr:sp macro="" textlink="">
      <xdr:nvSpPr>
        <xdr:cNvPr id="20" name="線吹き出し 1 (枠付き) 30">
          <a:extLst>
            <a:ext uri="{FF2B5EF4-FFF2-40B4-BE49-F238E27FC236}">
              <a16:creationId xmlns:a16="http://schemas.microsoft.com/office/drawing/2014/main" id="{9E1261FC-13E3-406D-A21D-5AC54DF08260}"/>
            </a:ext>
          </a:extLst>
        </xdr:cNvPr>
        <xdr:cNvSpPr/>
      </xdr:nvSpPr>
      <xdr:spPr>
        <a:xfrm>
          <a:off x="34079360" y="42717499"/>
          <a:ext cx="3020515" cy="1219737"/>
        </a:xfrm>
        <a:prstGeom prst="borderCallout1">
          <a:avLst>
            <a:gd name="adj1" fmla="val 45277"/>
            <a:gd name="adj2" fmla="val -3670"/>
            <a:gd name="adj3" fmla="val -43653"/>
            <a:gd name="adj4" fmla="val -161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p>
      </xdr:txBody>
    </xdr:sp>
    <xdr:clientData/>
  </xdr:twoCellAnchor>
  <xdr:twoCellAnchor>
    <xdr:from>
      <xdr:col>53</xdr:col>
      <xdr:colOff>389418</xdr:colOff>
      <xdr:row>197</xdr:row>
      <xdr:rowOff>153561</xdr:rowOff>
    </xdr:from>
    <xdr:to>
      <xdr:col>59</xdr:col>
      <xdr:colOff>119062</xdr:colOff>
      <xdr:row>201</xdr:row>
      <xdr:rowOff>102344</xdr:rowOff>
    </xdr:to>
    <xdr:sp macro="" textlink="">
      <xdr:nvSpPr>
        <xdr:cNvPr id="21" name="線吹き出し 1 (枠付き) 9">
          <a:extLst>
            <a:ext uri="{FF2B5EF4-FFF2-40B4-BE49-F238E27FC236}">
              <a16:creationId xmlns:a16="http://schemas.microsoft.com/office/drawing/2014/main" id="{0C5F2ACF-5192-478D-BE24-BE7916455D9C}"/>
            </a:ext>
          </a:extLst>
        </xdr:cNvPr>
        <xdr:cNvSpPr/>
      </xdr:nvSpPr>
      <xdr:spPr>
        <a:xfrm>
          <a:off x="36774918" y="39729936"/>
          <a:ext cx="3444394" cy="615533"/>
        </a:xfrm>
        <a:prstGeom prst="borderCallout1">
          <a:avLst>
            <a:gd name="adj1" fmla="val 38295"/>
            <a:gd name="adj2" fmla="val -1002"/>
            <a:gd name="adj3" fmla="val 251953"/>
            <a:gd name="adj4" fmla="val -189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0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20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322078</xdr:colOff>
      <xdr:row>206</xdr:row>
      <xdr:rowOff>127372</xdr:rowOff>
    </xdr:from>
    <xdr:to>
      <xdr:col>53</xdr:col>
      <xdr:colOff>565625</xdr:colOff>
      <xdr:row>213</xdr:row>
      <xdr:rowOff>56740</xdr:rowOff>
    </xdr:to>
    <xdr:sp macro="" textlink="">
      <xdr:nvSpPr>
        <xdr:cNvPr id="22" name="正方形/長方形 26">
          <a:extLst>
            <a:ext uri="{FF2B5EF4-FFF2-40B4-BE49-F238E27FC236}">
              <a16:creationId xmlns:a16="http://schemas.microsoft.com/office/drawing/2014/main" id="{755A4B1E-BDB9-4402-AF30-D5A2D8B920B3}"/>
            </a:ext>
          </a:extLst>
        </xdr:cNvPr>
        <xdr:cNvSpPr/>
      </xdr:nvSpPr>
      <xdr:spPr>
        <a:xfrm>
          <a:off x="35027714" y="39024008"/>
          <a:ext cx="1455820" cy="10204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107484</xdr:colOff>
      <xdr:row>8</xdr:row>
      <xdr:rowOff>4982042</xdr:rowOff>
    </xdr:from>
    <xdr:to>
      <xdr:col>53</xdr:col>
      <xdr:colOff>125412</xdr:colOff>
      <xdr:row>179</xdr:row>
      <xdr:rowOff>23812</xdr:rowOff>
    </xdr:to>
    <xdr:sp macro="" textlink="">
      <xdr:nvSpPr>
        <xdr:cNvPr id="23" name="Rectangle 22">
          <a:extLst>
            <a:ext uri="{FF2B5EF4-FFF2-40B4-BE49-F238E27FC236}">
              <a16:creationId xmlns:a16="http://schemas.microsoft.com/office/drawing/2014/main" id="{9826BEB8-23A6-49AF-9D95-CC1AD5ADD409}"/>
            </a:ext>
          </a:extLst>
        </xdr:cNvPr>
        <xdr:cNvSpPr/>
      </xdr:nvSpPr>
      <xdr:spPr>
        <a:xfrm>
          <a:off x="34016484" y="8030042"/>
          <a:ext cx="2494428" cy="2856977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140271</xdr:colOff>
      <xdr:row>8</xdr:row>
      <xdr:rowOff>2881312</xdr:rowOff>
    </xdr:from>
    <xdr:to>
      <xdr:col>63</xdr:col>
      <xdr:colOff>166686</xdr:colOff>
      <xdr:row>8</xdr:row>
      <xdr:rowOff>4283609</xdr:rowOff>
    </xdr:to>
    <xdr:sp macro="" textlink="">
      <xdr:nvSpPr>
        <xdr:cNvPr id="24" name="線吹き出し 1 (枠付き) 28">
          <a:extLst>
            <a:ext uri="{FF2B5EF4-FFF2-40B4-BE49-F238E27FC236}">
              <a16:creationId xmlns:a16="http://schemas.microsoft.com/office/drawing/2014/main" id="{9F724101-E1F3-4CE5-B168-718A6726589C}"/>
            </a:ext>
          </a:extLst>
        </xdr:cNvPr>
        <xdr:cNvSpPr/>
      </xdr:nvSpPr>
      <xdr:spPr>
        <a:xfrm>
          <a:off x="36525771" y="5929312"/>
          <a:ext cx="6217665" cy="1402297"/>
        </a:xfrm>
        <a:prstGeom prst="borderCallout1">
          <a:avLst>
            <a:gd name="adj1" fmla="val 43705"/>
            <a:gd name="adj2" fmla="val 1432"/>
            <a:gd name="adj3" fmla="val 200589"/>
            <a:gd name="adj4" fmla="val -18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特別条件がない</a:t>
          </a:r>
          <a:endParaRPr kumimoji="1" lang="en-US" altLang="ja-JP" sz="3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512416</xdr:colOff>
      <xdr:row>208</xdr:row>
      <xdr:rowOff>6721</xdr:rowOff>
    </xdr:from>
    <xdr:to>
      <xdr:col>58</xdr:col>
      <xdr:colOff>498034</xdr:colOff>
      <xdr:row>213</xdr:row>
      <xdr:rowOff>121226</xdr:rowOff>
    </xdr:to>
    <xdr:sp macro="" textlink="">
      <xdr:nvSpPr>
        <xdr:cNvPr id="25" name="正方形/長方形 26">
          <a:extLst>
            <a:ext uri="{FF2B5EF4-FFF2-40B4-BE49-F238E27FC236}">
              <a16:creationId xmlns:a16="http://schemas.microsoft.com/office/drawing/2014/main" id="{9FBC1FA6-C1F2-4D36-938B-41BA25A39EE9}"/>
            </a:ext>
          </a:extLst>
        </xdr:cNvPr>
        <xdr:cNvSpPr/>
      </xdr:nvSpPr>
      <xdr:spPr>
        <a:xfrm>
          <a:off x="38248734" y="39215085"/>
          <a:ext cx="1197891" cy="8938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331455</xdr:colOff>
      <xdr:row>214</xdr:row>
      <xdr:rowOff>17929</xdr:rowOff>
    </xdr:from>
    <xdr:to>
      <xdr:col>64</xdr:col>
      <xdr:colOff>571500</xdr:colOff>
      <xdr:row>218</xdr:row>
      <xdr:rowOff>71437</xdr:rowOff>
    </xdr:to>
    <xdr:sp macro="" textlink="">
      <xdr:nvSpPr>
        <xdr:cNvPr id="26" name="線吹き出し 1 (枠付き) 30">
          <a:extLst>
            <a:ext uri="{FF2B5EF4-FFF2-40B4-BE49-F238E27FC236}">
              <a16:creationId xmlns:a16="http://schemas.microsoft.com/office/drawing/2014/main" id="{26F9850E-8277-4ED1-A358-66956F331C05}"/>
            </a:ext>
          </a:extLst>
        </xdr:cNvPr>
        <xdr:cNvSpPr/>
      </xdr:nvSpPr>
      <xdr:spPr>
        <a:xfrm>
          <a:off x="40431705" y="42427992"/>
          <a:ext cx="3335670" cy="720258"/>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b="1">
              <a:solidFill>
                <a:schemeClr val="tx1"/>
              </a:solidFill>
              <a:latin typeface="Meiryo UI" panose="020B0604030504040204" pitchFamily="50" charset="-128"/>
              <a:ea typeface="Meiryo UI" panose="020B0604030504040204" pitchFamily="50" charset="-128"/>
              <a:cs typeface="Meiryo UI" panose="020B0604030504040204" pitchFamily="50" charset="-128"/>
            </a:rPr>
            <a:t>Judgement Time 5secs</a:t>
          </a:r>
          <a:endParaRPr kumimoji="1" lang="ja-JP" altLang="en-US" sz="16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540882</xdr:colOff>
      <xdr:row>183</xdr:row>
      <xdr:rowOff>166686</xdr:rowOff>
    </xdr:from>
    <xdr:to>
      <xdr:col>53</xdr:col>
      <xdr:colOff>380999</xdr:colOff>
      <xdr:row>189</xdr:row>
      <xdr:rowOff>774</xdr:rowOff>
    </xdr:to>
    <xdr:sp macro="" textlink="">
      <xdr:nvSpPr>
        <xdr:cNvPr id="38" name="正方形/長方形 25">
          <a:extLst>
            <a:ext uri="{FF2B5EF4-FFF2-40B4-BE49-F238E27FC236}">
              <a16:creationId xmlns:a16="http://schemas.microsoft.com/office/drawing/2014/main" id="{89E39BA3-9348-4D2C-ACBE-FD567BF3FD84}"/>
            </a:ext>
          </a:extLst>
        </xdr:cNvPr>
        <xdr:cNvSpPr/>
      </xdr:nvSpPr>
      <xdr:spPr>
        <a:xfrm>
          <a:off x="33830757" y="37409436"/>
          <a:ext cx="2935742" cy="834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106</xdr:col>
      <xdr:colOff>467591</xdr:colOff>
      <xdr:row>178</xdr:row>
      <xdr:rowOff>86591</xdr:rowOff>
    </xdr:from>
    <xdr:to>
      <xdr:col>127</xdr:col>
      <xdr:colOff>357187</xdr:colOff>
      <xdr:row>186</xdr:row>
      <xdr:rowOff>47624</xdr:rowOff>
    </xdr:to>
    <xdr:sp macro="" textlink="">
      <xdr:nvSpPr>
        <xdr:cNvPr id="40" name="正方形/長方形 25">
          <a:extLst>
            <a:ext uri="{FF2B5EF4-FFF2-40B4-BE49-F238E27FC236}">
              <a16:creationId xmlns:a16="http://schemas.microsoft.com/office/drawing/2014/main" id="{FFA0CD0D-0925-498B-BA3E-5B9CE5D00954}"/>
            </a:ext>
          </a:extLst>
        </xdr:cNvPr>
        <xdr:cNvSpPr/>
      </xdr:nvSpPr>
      <xdr:spPr>
        <a:xfrm>
          <a:off x="69666716" y="36495904"/>
          <a:ext cx="12891221" cy="1294533"/>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380999</xdr:colOff>
      <xdr:row>182</xdr:row>
      <xdr:rowOff>67108</xdr:rowOff>
    </xdr:from>
    <xdr:to>
      <xdr:col>106</xdr:col>
      <xdr:colOff>467591</xdr:colOff>
      <xdr:row>186</xdr:row>
      <xdr:rowOff>82142</xdr:rowOff>
    </xdr:to>
    <xdr:cxnSp macro="">
      <xdr:nvCxnSpPr>
        <xdr:cNvPr id="42" name="Straight Arrow Connector 41">
          <a:extLst>
            <a:ext uri="{FF2B5EF4-FFF2-40B4-BE49-F238E27FC236}">
              <a16:creationId xmlns:a16="http://schemas.microsoft.com/office/drawing/2014/main" id="{F668F8A3-A38E-AB3E-1718-D8AD4415E9F9}"/>
            </a:ext>
          </a:extLst>
        </xdr:cNvPr>
        <xdr:cNvCxnSpPr>
          <a:stCxn id="38" idx="3"/>
          <a:endCxn id="40" idx="1"/>
        </xdr:cNvCxnSpPr>
      </xdr:nvCxnSpPr>
      <xdr:spPr>
        <a:xfrm flipV="1">
          <a:off x="36766499" y="37143171"/>
          <a:ext cx="32900217" cy="681784"/>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113</xdr:col>
      <xdr:colOff>154131</xdr:colOff>
      <xdr:row>189</xdr:row>
      <xdr:rowOff>103619</xdr:rowOff>
    </xdr:from>
    <xdr:to>
      <xdr:col>122</xdr:col>
      <xdr:colOff>332220</xdr:colOff>
      <xdr:row>200</xdr:row>
      <xdr:rowOff>0</xdr:rowOff>
    </xdr:to>
    <xdr:sp macro="" textlink="">
      <xdr:nvSpPr>
        <xdr:cNvPr id="43" name="線吹き出し 1 (枠付き) 28">
          <a:extLst>
            <a:ext uri="{FF2B5EF4-FFF2-40B4-BE49-F238E27FC236}">
              <a16:creationId xmlns:a16="http://schemas.microsoft.com/office/drawing/2014/main" id="{7185076F-592D-4182-8165-FC223263F4A9}"/>
            </a:ext>
          </a:extLst>
        </xdr:cNvPr>
        <xdr:cNvSpPr/>
      </xdr:nvSpPr>
      <xdr:spPr>
        <a:xfrm>
          <a:off x="72440222" y="36350574"/>
          <a:ext cx="5633316" cy="1610881"/>
        </a:xfrm>
        <a:prstGeom prst="borderCallout1">
          <a:avLst>
            <a:gd name="adj1" fmla="val 43705"/>
            <a:gd name="adj2" fmla="val 1432"/>
            <a:gd name="adj3" fmla="val -52178"/>
            <a:gd name="adj4" fmla="val -11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20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Not Target for Alert,</a:t>
          </a:r>
          <a:r>
            <a:rPr kumimoji="1" lang="en-US" altLang="ja-JP" sz="20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this wav file is managed in Sound Middle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400050</xdr:colOff>
      <xdr:row>178</xdr:row>
      <xdr:rowOff>133351</xdr:rowOff>
    </xdr:from>
    <xdr:to>
      <xdr:col>68</xdr:col>
      <xdr:colOff>0</xdr:colOff>
      <xdr:row>196</xdr:row>
      <xdr:rowOff>88407</xdr:rowOff>
    </xdr:to>
    <xdr:pic>
      <xdr:nvPicPr>
        <xdr:cNvPr id="2" name="Picture 1">
          <a:extLst>
            <a:ext uri="{FF2B5EF4-FFF2-40B4-BE49-F238E27FC236}">
              <a16:creationId xmlns:a16="http://schemas.microsoft.com/office/drawing/2014/main" id="{B01C4229-8F77-4F5F-B88D-042C63BE09A4}"/>
            </a:ext>
          </a:extLst>
        </xdr:cNvPr>
        <xdr:cNvPicPr>
          <a:picLocks noChangeAspect="1"/>
        </xdr:cNvPicPr>
      </xdr:nvPicPr>
      <xdr:blipFill>
        <a:blip xmlns:r="http://schemas.openxmlformats.org/officeDocument/2006/relationships" r:embed="rId1"/>
        <a:stretch>
          <a:fillRect/>
        </a:stretch>
      </xdr:blipFill>
      <xdr:spPr>
        <a:xfrm>
          <a:off x="16783050" y="43091101"/>
          <a:ext cx="32937450" cy="3384056"/>
        </a:xfrm>
        <a:prstGeom prst="rect">
          <a:avLst/>
        </a:prstGeom>
        <a:solidFill>
          <a:schemeClr val="bg1"/>
        </a:solidFill>
      </xdr:spPr>
    </xdr:pic>
    <xdr:clientData/>
  </xdr:twoCellAnchor>
  <xdr:twoCellAnchor editAs="oneCell">
    <xdr:from>
      <xdr:col>19</xdr:col>
      <xdr:colOff>0</xdr:colOff>
      <xdr:row>10</xdr:row>
      <xdr:rowOff>0</xdr:rowOff>
    </xdr:from>
    <xdr:to>
      <xdr:col>68</xdr:col>
      <xdr:colOff>390525</xdr:colOff>
      <xdr:row>174</xdr:row>
      <xdr:rowOff>8164</xdr:rowOff>
    </xdr:to>
    <xdr:pic>
      <xdr:nvPicPr>
        <xdr:cNvPr id="3" name="Picture 2">
          <a:extLst>
            <a:ext uri="{FF2B5EF4-FFF2-40B4-BE49-F238E27FC236}">
              <a16:creationId xmlns:a16="http://schemas.microsoft.com/office/drawing/2014/main" id="{7509C247-B622-48EF-A380-E58DE79509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00" y="8420100"/>
          <a:ext cx="30260925" cy="27630664"/>
        </a:xfrm>
        <a:prstGeom prst="rect">
          <a:avLst/>
        </a:prstGeom>
        <a:solidFill>
          <a:schemeClr val="bg1"/>
        </a:solidFill>
      </xdr:spPr>
    </xdr:pic>
    <xdr:clientData/>
  </xdr:twoCellAnchor>
  <xdr:twoCellAnchor editAs="oneCell">
    <xdr:from>
      <xdr:col>19</xdr:col>
      <xdr:colOff>11337</xdr:colOff>
      <xdr:row>2</xdr:row>
      <xdr:rowOff>28127</xdr:rowOff>
    </xdr:from>
    <xdr:to>
      <xdr:col>44</xdr:col>
      <xdr:colOff>163535</xdr:colOff>
      <xdr:row>8</xdr:row>
      <xdr:rowOff>3858780</xdr:rowOff>
    </xdr:to>
    <xdr:pic>
      <xdr:nvPicPr>
        <xdr:cNvPr id="4" name="Picture 3">
          <a:extLst>
            <a:ext uri="{FF2B5EF4-FFF2-40B4-BE49-F238E27FC236}">
              <a16:creationId xmlns:a16="http://schemas.microsoft.com/office/drawing/2014/main" id="{2021F48C-CCD7-4974-AFBF-5DF1C646DEA4}"/>
            </a:ext>
          </a:extLst>
        </xdr:cNvPr>
        <xdr:cNvPicPr>
          <a:picLocks noChangeAspect="1"/>
        </xdr:cNvPicPr>
      </xdr:nvPicPr>
      <xdr:blipFill>
        <a:blip xmlns:r="http://schemas.openxmlformats.org/officeDocument/2006/relationships" r:embed="rId3"/>
        <a:stretch>
          <a:fillRect/>
        </a:stretch>
      </xdr:blipFill>
      <xdr:spPr>
        <a:xfrm>
          <a:off x="16799150" y="385315"/>
          <a:ext cx="17416260" cy="6616715"/>
        </a:xfrm>
        <a:prstGeom prst="rect">
          <a:avLst/>
        </a:prstGeom>
        <a:solidFill>
          <a:schemeClr val="bg1"/>
        </a:solidFill>
      </xdr:spPr>
    </xdr:pic>
    <xdr:clientData/>
  </xdr:twoCellAnchor>
  <xdr:twoCellAnchor>
    <xdr:from>
      <xdr:col>19</xdr:col>
      <xdr:colOff>173179</xdr:colOff>
      <xdr:row>8</xdr:row>
      <xdr:rowOff>985905</xdr:rowOff>
    </xdr:from>
    <xdr:to>
      <xdr:col>34</xdr:col>
      <xdr:colOff>283108</xdr:colOff>
      <xdr:row>8</xdr:row>
      <xdr:rowOff>1305219</xdr:rowOff>
    </xdr:to>
    <xdr:sp macro="" textlink="">
      <xdr:nvSpPr>
        <xdr:cNvPr id="5" name="Rectangle 4">
          <a:extLst>
            <a:ext uri="{FF2B5EF4-FFF2-40B4-BE49-F238E27FC236}">
              <a16:creationId xmlns:a16="http://schemas.microsoft.com/office/drawing/2014/main" id="{1E7DB535-4CCB-4816-8BCE-B2BE5099B0DF}"/>
            </a:ext>
          </a:extLst>
        </xdr:cNvPr>
        <xdr:cNvSpPr/>
      </xdr:nvSpPr>
      <xdr:spPr>
        <a:xfrm>
          <a:off x="15460804" y="4002155"/>
          <a:ext cx="9253929" cy="3193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265790</xdr:colOff>
      <xdr:row>8</xdr:row>
      <xdr:rowOff>214312</xdr:rowOff>
    </xdr:from>
    <xdr:to>
      <xdr:col>33</xdr:col>
      <xdr:colOff>95249</xdr:colOff>
      <xdr:row>8</xdr:row>
      <xdr:rowOff>810402</xdr:rowOff>
    </xdr:to>
    <xdr:sp macro="" textlink="">
      <xdr:nvSpPr>
        <xdr:cNvPr id="6" name="線吹き出し 1 (枠付き) 32">
          <a:extLst>
            <a:ext uri="{FF2B5EF4-FFF2-40B4-BE49-F238E27FC236}">
              <a16:creationId xmlns:a16="http://schemas.microsoft.com/office/drawing/2014/main" id="{A48F2C40-6AFB-41C1-98E5-3A00A05F56D7}"/>
            </a:ext>
          </a:extLst>
        </xdr:cNvPr>
        <xdr:cNvSpPr/>
      </xdr:nvSpPr>
      <xdr:spPr>
        <a:xfrm>
          <a:off x="24649790" y="3357562"/>
          <a:ext cx="1901147" cy="596090"/>
        </a:xfrm>
        <a:prstGeom prst="borderCallout1">
          <a:avLst>
            <a:gd name="adj1" fmla="val 42429"/>
            <a:gd name="adj2" fmla="val -3670"/>
            <a:gd name="adj3" fmla="val 158453"/>
            <a:gd name="adj4" fmla="val -23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endPar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227478</xdr:colOff>
      <xdr:row>206</xdr:row>
      <xdr:rowOff>76200</xdr:rowOff>
    </xdr:from>
    <xdr:to>
      <xdr:col>63</xdr:col>
      <xdr:colOff>551985</xdr:colOff>
      <xdr:row>222</xdr:row>
      <xdr:rowOff>25588</xdr:rowOff>
    </xdr:to>
    <xdr:pic>
      <xdr:nvPicPr>
        <xdr:cNvPr id="7" name="Picture 6">
          <a:extLst>
            <a:ext uri="{FF2B5EF4-FFF2-40B4-BE49-F238E27FC236}">
              <a16:creationId xmlns:a16="http://schemas.microsoft.com/office/drawing/2014/main" id="{4057A503-6684-4CD3-ADE1-CB96E11E00A8}"/>
            </a:ext>
          </a:extLst>
        </xdr:cNvPr>
        <xdr:cNvPicPr>
          <a:picLocks noChangeAspect="1"/>
        </xdr:cNvPicPr>
      </xdr:nvPicPr>
      <xdr:blipFill>
        <a:blip xmlns:r="http://schemas.openxmlformats.org/officeDocument/2006/relationships" r:embed="rId4"/>
        <a:stretch>
          <a:fillRect/>
        </a:stretch>
      </xdr:blipFill>
      <xdr:spPr>
        <a:xfrm>
          <a:off x="16610478" y="48367950"/>
          <a:ext cx="30328257" cy="2997388"/>
        </a:xfrm>
        <a:prstGeom prst="rect">
          <a:avLst/>
        </a:prstGeom>
        <a:solidFill>
          <a:schemeClr val="bg1"/>
        </a:solidFill>
      </xdr:spPr>
    </xdr:pic>
    <xdr:clientData/>
  </xdr:twoCellAnchor>
  <xdr:twoCellAnchor>
    <xdr:from>
      <xdr:col>44</xdr:col>
      <xdr:colOff>29042</xdr:colOff>
      <xdr:row>8</xdr:row>
      <xdr:rowOff>3405186</xdr:rowOff>
    </xdr:from>
    <xdr:to>
      <xdr:col>49</xdr:col>
      <xdr:colOff>-1</xdr:colOff>
      <xdr:row>8</xdr:row>
      <xdr:rowOff>4289423</xdr:rowOff>
    </xdr:to>
    <xdr:sp macro="" textlink="">
      <xdr:nvSpPr>
        <xdr:cNvPr id="8" name="線吹き出し 1 (枠付き) 28">
          <a:extLst>
            <a:ext uri="{FF2B5EF4-FFF2-40B4-BE49-F238E27FC236}">
              <a16:creationId xmlns:a16="http://schemas.microsoft.com/office/drawing/2014/main" id="{49784D63-5DEE-4415-B73B-76035FDD3EF9}"/>
            </a:ext>
          </a:extLst>
        </xdr:cNvPr>
        <xdr:cNvSpPr/>
      </xdr:nvSpPr>
      <xdr:spPr>
        <a:xfrm>
          <a:off x="34080917" y="6548436"/>
          <a:ext cx="3423770" cy="884237"/>
        </a:xfrm>
        <a:prstGeom prst="borderCallout1">
          <a:avLst>
            <a:gd name="adj1" fmla="val 43705"/>
            <a:gd name="adj2" fmla="val 1432"/>
            <a:gd name="adj3" fmla="val 220796"/>
            <a:gd name="adj4" fmla="val -13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42</xdr:col>
      <xdr:colOff>35017</xdr:colOff>
      <xdr:row>8</xdr:row>
      <xdr:rowOff>5012483</xdr:rowOff>
    </xdr:from>
    <xdr:to>
      <xdr:col>45</xdr:col>
      <xdr:colOff>47624</xdr:colOff>
      <xdr:row>174</xdr:row>
      <xdr:rowOff>119061</xdr:rowOff>
    </xdr:to>
    <xdr:sp macro="" textlink="">
      <xdr:nvSpPr>
        <xdr:cNvPr id="9" name="Rectangle 8">
          <a:extLst>
            <a:ext uri="{FF2B5EF4-FFF2-40B4-BE49-F238E27FC236}">
              <a16:creationId xmlns:a16="http://schemas.microsoft.com/office/drawing/2014/main" id="{A350437B-B4AF-498E-9366-34231B553885}"/>
            </a:ext>
          </a:extLst>
        </xdr:cNvPr>
        <xdr:cNvSpPr/>
      </xdr:nvSpPr>
      <xdr:spPr>
        <a:xfrm>
          <a:off x="32705767" y="8155733"/>
          <a:ext cx="2084295" cy="3039670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104309</xdr:colOff>
      <xdr:row>8</xdr:row>
      <xdr:rowOff>4978867</xdr:rowOff>
    </xdr:from>
    <xdr:to>
      <xdr:col>53</xdr:col>
      <xdr:colOff>122237</xdr:colOff>
      <xdr:row>164</xdr:row>
      <xdr:rowOff>76200</xdr:rowOff>
    </xdr:to>
    <xdr:sp macro="" textlink="">
      <xdr:nvSpPr>
        <xdr:cNvPr id="14" name="Rectangle 13">
          <a:extLst>
            <a:ext uri="{FF2B5EF4-FFF2-40B4-BE49-F238E27FC236}">
              <a16:creationId xmlns:a16="http://schemas.microsoft.com/office/drawing/2014/main" id="{D3821D20-E13F-41EC-81FB-AEA1E319551B}"/>
            </a:ext>
          </a:extLst>
        </xdr:cNvPr>
        <xdr:cNvSpPr/>
      </xdr:nvSpPr>
      <xdr:spPr>
        <a:xfrm>
          <a:off x="33632309" y="8026867"/>
          <a:ext cx="2456328" cy="265679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116459</xdr:colOff>
      <xdr:row>8</xdr:row>
      <xdr:rowOff>3405188</xdr:rowOff>
    </xdr:from>
    <xdr:to>
      <xdr:col>56</xdr:col>
      <xdr:colOff>238125</xdr:colOff>
      <xdr:row>8</xdr:row>
      <xdr:rowOff>4238626</xdr:rowOff>
    </xdr:to>
    <xdr:sp macro="" textlink="">
      <xdr:nvSpPr>
        <xdr:cNvPr id="15" name="線吹き出し 1 (枠付き) 28">
          <a:extLst>
            <a:ext uri="{FF2B5EF4-FFF2-40B4-BE49-F238E27FC236}">
              <a16:creationId xmlns:a16="http://schemas.microsoft.com/office/drawing/2014/main" id="{13540468-022F-4016-891B-D0D3EE5EA3BC}"/>
            </a:ext>
          </a:extLst>
        </xdr:cNvPr>
        <xdr:cNvSpPr/>
      </xdr:nvSpPr>
      <xdr:spPr>
        <a:xfrm>
          <a:off x="39692834" y="6548438"/>
          <a:ext cx="2883916" cy="833438"/>
        </a:xfrm>
        <a:prstGeom prst="borderCallout1">
          <a:avLst>
            <a:gd name="adj1" fmla="val 43705"/>
            <a:gd name="adj2" fmla="val 1432"/>
            <a:gd name="adj3" fmla="val 214875"/>
            <a:gd name="adj4" fmla="val -203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476250</xdr:colOff>
      <xdr:row>215</xdr:row>
      <xdr:rowOff>85512</xdr:rowOff>
    </xdr:from>
    <xdr:to>
      <xdr:col>48</xdr:col>
      <xdr:colOff>125080</xdr:colOff>
      <xdr:row>222</xdr:row>
      <xdr:rowOff>87935</xdr:rowOff>
    </xdr:to>
    <xdr:sp macro="" textlink="">
      <xdr:nvSpPr>
        <xdr:cNvPr id="10" name="正方形/長方形 25">
          <a:extLst>
            <a:ext uri="{FF2B5EF4-FFF2-40B4-BE49-F238E27FC236}">
              <a16:creationId xmlns:a16="http://schemas.microsoft.com/office/drawing/2014/main" id="{0C396DF0-5257-4D17-AFB0-D37956BA3DA7}"/>
            </a:ext>
          </a:extLst>
        </xdr:cNvPr>
        <xdr:cNvSpPr/>
      </xdr:nvSpPr>
      <xdr:spPr>
        <a:xfrm>
          <a:off x="34861500" y="50091762"/>
          <a:ext cx="1649080" cy="13359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406979</xdr:colOff>
      <xdr:row>224</xdr:row>
      <xdr:rowOff>123714</xdr:rowOff>
    </xdr:from>
    <xdr:to>
      <xdr:col>52</xdr:col>
      <xdr:colOff>647700</xdr:colOff>
      <xdr:row>229</xdr:row>
      <xdr:rowOff>152400</xdr:rowOff>
    </xdr:to>
    <xdr:sp macro="" textlink="">
      <xdr:nvSpPr>
        <xdr:cNvPr id="11" name="線吹き出し 1 (枠付き) 30">
          <a:extLst>
            <a:ext uri="{FF2B5EF4-FFF2-40B4-BE49-F238E27FC236}">
              <a16:creationId xmlns:a16="http://schemas.microsoft.com/office/drawing/2014/main" id="{1E9ECB24-7E0A-42C5-B5F1-024066B5665A}"/>
            </a:ext>
          </a:extLst>
        </xdr:cNvPr>
        <xdr:cNvSpPr/>
      </xdr:nvSpPr>
      <xdr:spPr>
        <a:xfrm>
          <a:off x="36449579" y="51901614"/>
          <a:ext cx="3669721" cy="981186"/>
        </a:xfrm>
        <a:prstGeom prst="borderCallout1">
          <a:avLst>
            <a:gd name="adj1" fmla="val 45277"/>
            <a:gd name="adj2" fmla="val -3670"/>
            <a:gd name="adj3" fmla="val -43653"/>
            <a:gd name="adj4" fmla="val -161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52</xdr:col>
      <xdr:colOff>587936</xdr:colOff>
      <xdr:row>203</xdr:row>
      <xdr:rowOff>76200</xdr:rowOff>
    </xdr:from>
    <xdr:to>
      <xdr:col>58</xdr:col>
      <xdr:colOff>571499</xdr:colOff>
      <xdr:row>209</xdr:row>
      <xdr:rowOff>88483</xdr:rowOff>
    </xdr:to>
    <xdr:sp macro="" textlink="">
      <xdr:nvSpPr>
        <xdr:cNvPr id="12" name="線吹き出し 1 (枠付き) 9">
          <a:extLst>
            <a:ext uri="{FF2B5EF4-FFF2-40B4-BE49-F238E27FC236}">
              <a16:creationId xmlns:a16="http://schemas.microsoft.com/office/drawing/2014/main" id="{DF5F162E-9716-49B1-A518-2E8181087560}"/>
            </a:ext>
          </a:extLst>
        </xdr:cNvPr>
        <xdr:cNvSpPr/>
      </xdr:nvSpPr>
      <xdr:spPr>
        <a:xfrm>
          <a:off x="40059536" y="47853600"/>
          <a:ext cx="4098363" cy="1155283"/>
        </a:xfrm>
        <a:prstGeom prst="borderCallout1">
          <a:avLst>
            <a:gd name="adj1" fmla="val 38295"/>
            <a:gd name="adj2" fmla="val -1002"/>
            <a:gd name="adj3" fmla="val 251953"/>
            <a:gd name="adj4" fmla="val -189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238022</xdr:colOff>
      <xdr:row>215</xdr:row>
      <xdr:rowOff>19849</xdr:rowOff>
    </xdr:from>
    <xdr:to>
      <xdr:col>52</xdr:col>
      <xdr:colOff>487919</xdr:colOff>
      <xdr:row>222</xdr:row>
      <xdr:rowOff>55579</xdr:rowOff>
    </xdr:to>
    <xdr:sp macro="" textlink="">
      <xdr:nvSpPr>
        <xdr:cNvPr id="13" name="正方形/長方形 26">
          <a:extLst>
            <a:ext uri="{FF2B5EF4-FFF2-40B4-BE49-F238E27FC236}">
              <a16:creationId xmlns:a16="http://schemas.microsoft.com/office/drawing/2014/main" id="{7DA54C9D-D09A-4AFE-9BC6-6D8E824BAC29}"/>
            </a:ext>
          </a:extLst>
        </xdr:cNvPr>
        <xdr:cNvSpPr/>
      </xdr:nvSpPr>
      <xdr:spPr>
        <a:xfrm>
          <a:off x="37957022" y="50026099"/>
          <a:ext cx="1583397" cy="13692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279135</xdr:colOff>
      <xdr:row>216</xdr:row>
      <xdr:rowOff>7148</xdr:rowOff>
    </xdr:from>
    <xdr:to>
      <xdr:col>57</xdr:col>
      <xdr:colOff>286978</xdr:colOff>
      <xdr:row>222</xdr:row>
      <xdr:rowOff>47040</xdr:rowOff>
    </xdr:to>
    <xdr:sp macro="" textlink="">
      <xdr:nvSpPr>
        <xdr:cNvPr id="16" name="正方形/長方形 26">
          <a:extLst>
            <a:ext uri="{FF2B5EF4-FFF2-40B4-BE49-F238E27FC236}">
              <a16:creationId xmlns:a16="http://schemas.microsoft.com/office/drawing/2014/main" id="{BA38D4F8-9BD1-4A6D-A6A5-FC3D70A82A8B}"/>
            </a:ext>
          </a:extLst>
        </xdr:cNvPr>
        <xdr:cNvSpPr/>
      </xdr:nvSpPr>
      <xdr:spPr>
        <a:xfrm>
          <a:off x="41331885" y="50203898"/>
          <a:ext cx="1341343" cy="1182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126749</xdr:colOff>
      <xdr:row>222</xdr:row>
      <xdr:rowOff>104081</xdr:rowOff>
    </xdr:from>
    <xdr:to>
      <xdr:col>64</xdr:col>
      <xdr:colOff>76200</xdr:colOff>
      <xdr:row>228</xdr:row>
      <xdr:rowOff>38100</xdr:rowOff>
    </xdr:to>
    <xdr:sp macro="" textlink="">
      <xdr:nvSpPr>
        <xdr:cNvPr id="17" name="線吹き出し 1 (枠付き) 30">
          <a:extLst>
            <a:ext uri="{FF2B5EF4-FFF2-40B4-BE49-F238E27FC236}">
              <a16:creationId xmlns:a16="http://schemas.microsoft.com/office/drawing/2014/main" id="{0C13ACB4-B64A-4B66-9EC7-6AFA3CAC3255}"/>
            </a:ext>
          </a:extLst>
        </xdr:cNvPr>
        <xdr:cNvSpPr/>
      </xdr:nvSpPr>
      <xdr:spPr>
        <a:xfrm>
          <a:off x="43713149" y="51500981"/>
          <a:ext cx="4064251" cy="1077019"/>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24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endParaRPr kumimoji="1" lang="ja-JP" altLang="en-US" sz="2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495300</xdr:colOff>
      <xdr:row>168</xdr:row>
      <xdr:rowOff>65807</xdr:rowOff>
    </xdr:from>
    <xdr:to>
      <xdr:col>53</xdr:col>
      <xdr:colOff>383042</xdr:colOff>
      <xdr:row>173</xdr:row>
      <xdr:rowOff>144370</xdr:rowOff>
    </xdr:to>
    <xdr:sp macro="" textlink="">
      <xdr:nvSpPr>
        <xdr:cNvPr id="22" name="正方形/長方形 25">
          <a:extLst>
            <a:ext uri="{FF2B5EF4-FFF2-40B4-BE49-F238E27FC236}">
              <a16:creationId xmlns:a16="http://schemas.microsoft.com/office/drawing/2014/main" id="{7C2B2BCD-5CFD-4267-8E09-5F5E9CF5D542}"/>
            </a:ext>
          </a:extLst>
        </xdr:cNvPr>
        <xdr:cNvSpPr/>
      </xdr:nvSpPr>
      <xdr:spPr>
        <a:xfrm>
          <a:off x="33413700" y="35194007"/>
          <a:ext cx="2935742" cy="8405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174359</xdr:colOff>
      <xdr:row>184</xdr:row>
      <xdr:rowOff>171450</xdr:rowOff>
    </xdr:from>
    <xdr:to>
      <xdr:col>70</xdr:col>
      <xdr:colOff>254455</xdr:colOff>
      <xdr:row>193</xdr:row>
      <xdr:rowOff>56283</xdr:rowOff>
    </xdr:to>
    <xdr:sp macro="" textlink="">
      <xdr:nvSpPr>
        <xdr:cNvPr id="23" name="正方形/長方形 25">
          <a:extLst>
            <a:ext uri="{FF2B5EF4-FFF2-40B4-BE49-F238E27FC236}">
              <a16:creationId xmlns:a16="http://schemas.microsoft.com/office/drawing/2014/main" id="{2686C7CA-6F95-4787-9374-A02D6B8877DD}"/>
            </a:ext>
          </a:extLst>
        </xdr:cNvPr>
        <xdr:cNvSpPr/>
      </xdr:nvSpPr>
      <xdr:spPr>
        <a:xfrm>
          <a:off x="37226609" y="44272200"/>
          <a:ext cx="14081846" cy="1599333"/>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190500</xdr:colOff>
      <xdr:row>174</xdr:row>
      <xdr:rowOff>95250</xdr:rowOff>
    </xdr:from>
    <xdr:to>
      <xdr:col>59</xdr:col>
      <xdr:colOff>381000</xdr:colOff>
      <xdr:row>185</xdr:row>
      <xdr:rowOff>0</xdr:rowOff>
    </xdr:to>
    <xdr:cxnSp macro="">
      <xdr:nvCxnSpPr>
        <xdr:cNvPr id="24" name="Straight Arrow Connector 23">
          <a:extLst>
            <a:ext uri="{FF2B5EF4-FFF2-40B4-BE49-F238E27FC236}">
              <a16:creationId xmlns:a16="http://schemas.microsoft.com/office/drawing/2014/main" id="{9D8C295A-B614-4206-BF43-DD43AD78E539}"/>
            </a:ext>
          </a:extLst>
        </xdr:cNvPr>
        <xdr:cNvCxnSpPr/>
      </xdr:nvCxnSpPr>
      <xdr:spPr>
        <a:xfrm>
          <a:off x="38576250" y="42291000"/>
          <a:ext cx="5524500" cy="2000250"/>
        </a:xfrm>
        <a:prstGeom prst="straightConnector1">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46</xdr:col>
      <xdr:colOff>6949</xdr:colOff>
      <xdr:row>194</xdr:row>
      <xdr:rowOff>97990</xdr:rowOff>
    </xdr:from>
    <xdr:to>
      <xdr:col>53</xdr:col>
      <xdr:colOff>647700</xdr:colOff>
      <xdr:row>201</xdr:row>
      <xdr:rowOff>0</xdr:rowOff>
    </xdr:to>
    <xdr:sp macro="" textlink="">
      <xdr:nvSpPr>
        <xdr:cNvPr id="25" name="線吹き出し 1 (枠付き) 28">
          <a:extLst>
            <a:ext uri="{FF2B5EF4-FFF2-40B4-BE49-F238E27FC236}">
              <a16:creationId xmlns:a16="http://schemas.microsoft.com/office/drawing/2014/main" id="{CE102059-57DC-4D17-AD0B-E095801790F1}"/>
            </a:ext>
          </a:extLst>
        </xdr:cNvPr>
        <xdr:cNvSpPr/>
      </xdr:nvSpPr>
      <xdr:spPr>
        <a:xfrm>
          <a:off x="35363749" y="46160890"/>
          <a:ext cx="5441351" cy="1235510"/>
        </a:xfrm>
        <a:prstGeom prst="borderCallout1">
          <a:avLst>
            <a:gd name="adj1" fmla="val 56040"/>
            <a:gd name="adj2" fmla="val 97359"/>
            <a:gd name="adj3" fmla="val -39843"/>
            <a:gd name="adj4" fmla="val 149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24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特別条件はサウンドファイルの指定のみ</a:t>
          </a:r>
          <a:endParaRPr kumimoji="1" lang="en-US" altLang="ja-JP" sz="24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XSSマイコン依存部 (基本設定)"/>
      <sheetName val="信息定义"/>
      <sheetName val="CS2_SmcDriverインテグ項目"/>
      <sheetName val="議事・勧告一覧"/>
      <sheetName val="rom map"/>
      <sheetName val="发行控制"/>
      <sheetName val="Data Definition"/>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PROFILE"/>
      <sheetName val="本修正_DIFF "/>
      <sheetName val="Sector Assignment"/>
      <sheetName val="１次原価"/>
      <sheetName val="Type I"/>
      <sheetName val="Schedule PM"/>
      <sheetName val="training forklift"/>
      <sheetName val="DBシート"/>
      <sheetName val="Proses_Mesin"/>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row r="3">
          <cell r="B3" t="str">
            <v>TOYOTA   TSUSHO  PHILIPPINES CORPORATION</v>
          </cell>
        </row>
      </sheetData>
      <sheetData sheetId="445">
        <row r="3">
          <cell r="B3" t="str">
            <v>TOYOTA   TSUSHO  PHILIPPINES CORPORATION</v>
          </cell>
        </row>
      </sheetData>
      <sheetData sheetId="446">
        <row r="3">
          <cell r="B3" t="str">
            <v>TOYOTA   TSUSHO  PHILIPPINES CORPORATION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ow r="1">
          <cell r="B1" t="str">
            <v>1</v>
          </cell>
        </row>
      </sheetData>
      <sheetData sheetId="495">
        <row r="1">
          <cell r="B1" t="str">
            <v>1</v>
          </cell>
        </row>
      </sheetData>
      <sheetData sheetId="496">
        <row r="1">
          <cell r="B1" t="str">
            <v>1</v>
          </cell>
        </row>
      </sheetData>
      <sheetData sheetId="497">
        <row r="1">
          <cell r="B1" t="str">
            <v>1</v>
          </cell>
        </row>
      </sheetData>
      <sheetData sheetId="498">
        <row r="1">
          <cell r="B1" t="str">
            <v>1</v>
          </cell>
        </row>
      </sheetData>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ow r="1">
          <cell r="B1" t="str">
            <v>1</v>
          </cell>
        </row>
      </sheetData>
      <sheetData sheetId="542">
        <row r="1">
          <cell r="B1" t="str">
            <v>1</v>
          </cell>
        </row>
      </sheetData>
      <sheetData sheetId="543">
        <row r="1">
          <cell r="B1" t="str">
            <v>1</v>
          </cell>
        </row>
      </sheetData>
      <sheetData sheetId="544">
        <row r="1">
          <cell r="B1" t="str">
            <v>1</v>
          </cell>
        </row>
      </sheetData>
      <sheetData sheetId="545">
        <row r="1">
          <cell r="B1" t="str">
            <v>1</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A87C-8EDE-44E5-966F-F95625B3ACC0}">
  <sheetPr>
    <tabColor theme="5"/>
  </sheetPr>
  <dimension ref="C1:AM57"/>
  <sheetViews>
    <sheetView showGridLines="0" tabSelected="1" view="pageBreakPreview" topLeftCell="A12" zoomScale="85" zoomScaleNormal="100" zoomScaleSheetLayoutView="85" workbookViewId="0">
      <selection activeCell="X44" sqref="X44"/>
    </sheetView>
  </sheetViews>
  <sheetFormatPr defaultColWidth="8.125" defaultRowHeight="15.75"/>
  <cols>
    <col min="1" max="52" width="2.125" style="196" customWidth="1"/>
    <col min="53" max="16384" width="8.125" style="19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7"/>
    </row>
    <row r="11" spans="6:20" ht="13.15" customHeight="1"/>
    <row r="12" spans="6:20" ht="13.15" customHeight="1"/>
    <row r="13" spans="6:20" ht="13.15" customHeight="1">
      <c r="T13" s="198" t="str">
        <f ca="1">MID(CELL("filename",A1),FIND("[",CELL("filename",A1))+1,FIND("]",CELL("filename",A1))-FIND("[",CELL("filename",A1))-1)</f>
        <v>alert_S_TMBZR-CSTD-0-01-A-C0.xlsx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9"/>
      <c r="V32" s="199"/>
    </row>
    <row r="33" spans="3:39" ht="13.15" customHeight="1">
      <c r="M33" s="200"/>
      <c r="N33" s="200"/>
      <c r="O33" s="200"/>
      <c r="P33" s="200"/>
      <c r="Q33" s="200"/>
      <c r="AF33" s="200"/>
      <c r="AG33" s="200"/>
      <c r="AH33" s="200"/>
      <c r="AI33" s="200"/>
      <c r="AJ33" s="200"/>
    </row>
    <row r="34" spans="3:39" ht="13.15" customHeight="1">
      <c r="Y34" s="199" t="s">
        <v>646</v>
      </c>
    </row>
    <row r="35" spans="3:39" ht="13.15" customHeight="1">
      <c r="Y35" s="239" t="s">
        <v>236</v>
      </c>
      <c r="Z35" s="240"/>
      <c r="AA35" s="240"/>
      <c r="AB35" s="240"/>
      <c r="AC35" s="241"/>
      <c r="AD35" s="239" t="s">
        <v>237</v>
      </c>
      <c r="AE35" s="240"/>
      <c r="AF35" s="240"/>
      <c r="AG35" s="240"/>
      <c r="AH35" s="241"/>
      <c r="AI35" s="239" t="s">
        <v>238</v>
      </c>
      <c r="AJ35" s="240"/>
      <c r="AK35" s="240"/>
      <c r="AL35" s="240"/>
      <c r="AM35" s="241"/>
    </row>
    <row r="36" spans="3:39" ht="13.15" customHeight="1">
      <c r="D36" s="200"/>
      <c r="E36" s="201"/>
      <c r="F36" s="200"/>
      <c r="G36" s="200"/>
      <c r="I36" s="200"/>
      <c r="J36" s="201"/>
      <c r="K36" s="200"/>
      <c r="L36" s="200"/>
      <c r="M36" s="200"/>
      <c r="N36" s="200"/>
      <c r="O36" s="201"/>
      <c r="P36" s="200"/>
      <c r="Q36" s="200"/>
      <c r="W36" s="200"/>
      <c r="X36" s="201"/>
      <c r="Y36" s="202"/>
      <c r="Z36" s="203"/>
      <c r="AA36" s="203"/>
      <c r="AB36" s="203"/>
      <c r="AC36" s="204"/>
      <c r="AD36" s="202"/>
      <c r="AE36" s="203"/>
      <c r="AF36" s="203"/>
      <c r="AG36" s="203"/>
      <c r="AH36" s="204"/>
      <c r="AI36" s="202"/>
      <c r="AJ36" s="203"/>
      <c r="AK36" s="203"/>
      <c r="AL36" s="203"/>
      <c r="AM36" s="204"/>
    </row>
    <row r="37" spans="3:39" ht="13.15" customHeight="1">
      <c r="Y37" s="205"/>
      <c r="AC37" s="206"/>
      <c r="AD37" s="205"/>
      <c r="AH37" s="206"/>
      <c r="AI37" s="205"/>
      <c r="AM37" s="206"/>
    </row>
    <row r="38" spans="3:39" ht="13.15" customHeight="1">
      <c r="Y38" s="205"/>
      <c r="Z38" s="200"/>
      <c r="AA38" s="201" t="s">
        <v>239</v>
      </c>
      <c r="AB38" s="200"/>
      <c r="AC38" s="207"/>
      <c r="AD38" s="205"/>
      <c r="AE38" s="200"/>
      <c r="AF38" s="201" t="s">
        <v>240</v>
      </c>
      <c r="AG38" s="200"/>
      <c r="AH38" s="207"/>
      <c r="AI38" s="208"/>
      <c r="AJ38" s="200"/>
      <c r="AK38" s="201" t="s">
        <v>241</v>
      </c>
      <c r="AL38" s="200"/>
      <c r="AM38" s="207"/>
    </row>
    <row r="39" spans="3:39" ht="13.15" customHeight="1">
      <c r="Y39" s="205"/>
      <c r="AC39" s="206"/>
      <c r="AD39" s="205"/>
      <c r="AH39" s="206"/>
      <c r="AI39" s="205"/>
      <c r="AM39" s="206"/>
    </row>
    <row r="40" spans="3:39" ht="13.15" customHeight="1">
      <c r="C40" s="199"/>
      <c r="V40" s="199"/>
      <c r="Y40" s="209"/>
      <c r="Z40" s="210"/>
      <c r="AA40" s="210"/>
      <c r="AB40" s="210"/>
      <c r="AC40" s="211"/>
      <c r="AD40" s="209"/>
      <c r="AE40" s="210"/>
      <c r="AF40" s="210"/>
      <c r="AG40" s="210"/>
      <c r="AH40" s="211"/>
      <c r="AI40" s="209"/>
      <c r="AJ40" s="210"/>
      <c r="AK40" s="210"/>
      <c r="AL40" s="210"/>
      <c r="AM40" s="211"/>
    </row>
    <row r="41" spans="3:39" ht="13.15" customHeight="1"/>
    <row r="42" spans="3:39" ht="13.15" customHeight="1">
      <c r="Y42" s="199" t="s">
        <v>242</v>
      </c>
    </row>
    <row r="43" spans="3:39" ht="13.15" customHeight="1">
      <c r="Y43" s="239" t="s">
        <v>236</v>
      </c>
      <c r="Z43" s="240"/>
      <c r="AA43" s="240"/>
      <c r="AB43" s="240"/>
      <c r="AC43" s="241"/>
      <c r="AD43" s="239" t="s">
        <v>237</v>
      </c>
      <c r="AE43" s="240"/>
      <c r="AF43" s="240"/>
      <c r="AG43" s="240"/>
      <c r="AH43" s="241"/>
      <c r="AI43" s="239" t="s">
        <v>238</v>
      </c>
      <c r="AJ43" s="240"/>
      <c r="AK43" s="240"/>
      <c r="AL43" s="240"/>
      <c r="AM43" s="241"/>
    </row>
    <row r="44" spans="3:39" ht="13.15" customHeight="1">
      <c r="D44" s="200"/>
      <c r="E44" s="201"/>
      <c r="F44" s="200"/>
      <c r="G44" s="200"/>
      <c r="H44" s="200"/>
      <c r="I44" s="200"/>
      <c r="J44" s="201"/>
      <c r="K44" s="200"/>
      <c r="L44" s="200"/>
      <c r="M44" s="200"/>
      <c r="N44" s="200"/>
      <c r="O44" s="201"/>
      <c r="P44" s="200"/>
      <c r="Q44" s="200"/>
      <c r="W44" s="200"/>
      <c r="X44" s="201"/>
      <c r="Y44" s="202"/>
      <c r="Z44" s="203"/>
      <c r="AA44" s="203"/>
      <c r="AB44" s="203"/>
      <c r="AC44" s="204"/>
      <c r="AD44" s="203"/>
      <c r="AE44" s="203"/>
      <c r="AF44" s="203"/>
      <c r="AG44" s="203"/>
      <c r="AH44" s="204"/>
      <c r="AI44" s="202"/>
      <c r="AJ44" s="203"/>
      <c r="AK44" s="203"/>
      <c r="AL44" s="203"/>
      <c r="AM44" s="204"/>
    </row>
    <row r="45" spans="3:39" ht="13.15" customHeight="1">
      <c r="Y45" s="205"/>
      <c r="AC45" s="206"/>
      <c r="AH45" s="206"/>
      <c r="AI45" s="205"/>
      <c r="AM45" s="206"/>
    </row>
    <row r="46" spans="3:39" ht="13.15" customHeight="1">
      <c r="Y46" s="205"/>
      <c r="Z46" s="200"/>
      <c r="AA46" s="201" t="s">
        <v>243</v>
      </c>
      <c r="AB46" s="200"/>
      <c r="AC46" s="207"/>
      <c r="AD46" s="200"/>
      <c r="AE46" s="200"/>
      <c r="AF46" s="201" t="s">
        <v>244</v>
      </c>
      <c r="AG46" s="200"/>
      <c r="AH46" s="207"/>
      <c r="AI46" s="208"/>
      <c r="AJ46" s="200"/>
      <c r="AK46" s="201" t="s">
        <v>245</v>
      </c>
      <c r="AL46" s="200"/>
      <c r="AM46" s="207"/>
    </row>
    <row r="47" spans="3:39" ht="13.15" customHeight="1">
      <c r="Y47" s="205"/>
      <c r="AC47" s="206"/>
      <c r="AH47" s="206"/>
      <c r="AI47" s="205"/>
      <c r="AM47" s="206"/>
    </row>
    <row r="48" spans="3:39" ht="13.15" customHeight="1">
      <c r="C48" s="199"/>
      <c r="V48" s="199"/>
      <c r="Y48" s="209"/>
      <c r="Z48" s="210"/>
      <c r="AA48" s="210"/>
      <c r="AB48" s="210"/>
      <c r="AC48" s="211"/>
      <c r="AD48" s="210"/>
      <c r="AE48" s="210"/>
      <c r="AF48" s="210"/>
      <c r="AG48" s="210"/>
      <c r="AH48" s="211"/>
      <c r="AI48" s="209"/>
      <c r="AJ48" s="210"/>
      <c r="AK48" s="210"/>
      <c r="AL48" s="210"/>
      <c r="AM48" s="211"/>
    </row>
    <row r="49" spans="4:39" ht="13.15" customHeight="1"/>
    <row r="50" spans="4:39" ht="13.15" customHeight="1">
      <c r="Y50" s="199" t="s">
        <v>246</v>
      </c>
    </row>
    <row r="51" spans="4:39" ht="13.15" customHeight="1">
      <c r="Y51" s="239" t="s">
        <v>236</v>
      </c>
      <c r="Z51" s="240"/>
      <c r="AA51" s="240"/>
      <c r="AB51" s="240"/>
      <c r="AC51" s="241"/>
      <c r="AD51" s="239" t="s">
        <v>237</v>
      </c>
      <c r="AE51" s="240"/>
      <c r="AF51" s="240"/>
      <c r="AG51" s="240"/>
      <c r="AH51" s="241"/>
      <c r="AI51" s="239" t="s">
        <v>238</v>
      </c>
      <c r="AJ51" s="240"/>
      <c r="AK51" s="240"/>
      <c r="AL51" s="240"/>
      <c r="AM51" s="241"/>
    </row>
    <row r="52" spans="4:39" ht="13.15" customHeight="1">
      <c r="D52" s="200"/>
      <c r="E52" s="201"/>
      <c r="F52" s="200"/>
      <c r="G52" s="200"/>
      <c r="H52" s="200"/>
      <c r="I52" s="200"/>
      <c r="J52" s="201"/>
      <c r="K52" s="200"/>
      <c r="L52" s="200"/>
      <c r="M52" s="200"/>
      <c r="N52" s="200"/>
      <c r="O52" s="201"/>
      <c r="P52" s="200"/>
      <c r="Q52" s="200"/>
      <c r="W52" s="200"/>
      <c r="X52" s="201"/>
      <c r="Y52" s="202"/>
      <c r="Z52" s="203"/>
      <c r="AA52" s="203"/>
      <c r="AB52" s="203"/>
      <c r="AC52" s="204"/>
      <c r="AD52" s="203"/>
      <c r="AE52" s="203"/>
      <c r="AF52" s="203"/>
      <c r="AG52" s="203"/>
      <c r="AH52" s="204"/>
      <c r="AI52" s="202"/>
      <c r="AJ52" s="203"/>
      <c r="AK52" s="203"/>
      <c r="AL52" s="203"/>
      <c r="AM52" s="204"/>
    </row>
    <row r="53" spans="4:39" ht="13.15" customHeight="1">
      <c r="Y53" s="205"/>
      <c r="AC53" s="206"/>
      <c r="AH53" s="206"/>
      <c r="AI53" s="205"/>
      <c r="AM53" s="206"/>
    </row>
    <row r="54" spans="4:39" ht="13.15" customHeight="1">
      <c r="Y54" s="205"/>
      <c r="Z54" s="200"/>
      <c r="AA54" s="201" t="s">
        <v>247</v>
      </c>
      <c r="AB54" s="200"/>
      <c r="AC54" s="207"/>
      <c r="AD54" s="200"/>
      <c r="AE54" s="200"/>
      <c r="AF54" s="201" t="s">
        <v>248</v>
      </c>
      <c r="AG54" s="200"/>
      <c r="AH54" s="207"/>
      <c r="AI54" s="208"/>
      <c r="AJ54" s="200"/>
      <c r="AK54" s="201" t="s">
        <v>241</v>
      </c>
      <c r="AL54" s="200"/>
      <c r="AM54" s="207"/>
    </row>
    <row r="55" spans="4:39" ht="13.15" customHeight="1">
      <c r="Y55" s="205"/>
      <c r="AC55" s="206"/>
      <c r="AH55" s="206"/>
      <c r="AI55" s="205"/>
      <c r="AM55" s="206"/>
    </row>
    <row r="56" spans="4:39" ht="13.15" customHeight="1">
      <c r="Y56" s="209"/>
      <c r="Z56" s="210"/>
      <c r="AA56" s="210"/>
      <c r="AB56" s="210"/>
      <c r="AC56" s="211"/>
      <c r="AD56" s="210"/>
      <c r="AE56" s="210"/>
      <c r="AF56" s="210"/>
      <c r="AG56" s="210"/>
      <c r="AH56" s="211"/>
      <c r="AI56" s="209"/>
      <c r="AJ56" s="210"/>
      <c r="AK56" s="210"/>
      <c r="AL56" s="210"/>
      <c r="AM56" s="211"/>
    </row>
    <row r="57" spans="4:39" ht="13.15" customHeight="1">
      <c r="AK57" s="196" t="s">
        <v>249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10" hidden="1" customWidth="1"/>
    <col min="4" max="4" width="69.5" customWidth="1"/>
    <col min="5" max="6" width="12.75" customWidth="1"/>
    <col min="7" max="18" width="13.125" hidden="1" customWidth="1"/>
    <col min="19" max="22" width="0" hidden="1" customWidth="1"/>
    <col min="23" max="23" width="12.125" bestFit="1" customWidth="1"/>
    <col min="24" max="24" width="11.75" bestFit="1" customWidth="1"/>
  </cols>
  <sheetData>
    <row r="2" spans="2:24" ht="25.5" customHeight="1">
      <c r="C2" s="7"/>
      <c r="D2" s="7"/>
      <c r="E2" s="7"/>
      <c r="F2" s="7"/>
      <c r="H2" s="8" t="s">
        <v>13</v>
      </c>
      <c r="I2" s="242" t="s">
        <v>14</v>
      </c>
      <c r="J2" s="242"/>
      <c r="K2" s="242"/>
      <c r="L2" s="242"/>
      <c r="M2" s="242"/>
      <c r="N2" s="242"/>
      <c r="O2" s="242"/>
      <c r="P2" s="242"/>
      <c r="Q2" s="242"/>
      <c r="R2" s="242"/>
    </row>
    <row r="3" spans="2:24" ht="25.5" customHeight="1">
      <c r="C3" s="7"/>
      <c r="D3" s="11" t="str">
        <f ca="1">REPLACE(LEFT(CELL("filename",$B$1),FIND(".xls",CELL("filename",$B$1))-1),1,FIND("[",CELL("filename",$B$1)),)</f>
        <v>alert_S_TMBZR-CSTD-0-01-A-C0</v>
      </c>
      <c r="E3" s="7"/>
      <c r="F3" s="7"/>
      <c r="H3" s="9" t="s">
        <v>199</v>
      </c>
      <c r="I3" s="243" t="s">
        <v>198</v>
      </c>
      <c r="J3" s="244"/>
      <c r="K3" s="244"/>
      <c r="L3" s="244"/>
      <c r="M3" s="244"/>
      <c r="N3" s="244"/>
      <c r="O3" s="244"/>
      <c r="P3" s="244"/>
      <c r="Q3" s="244"/>
      <c r="R3" s="244"/>
    </row>
    <row r="4" spans="2:24" ht="25.5" customHeight="1">
      <c r="C4" s="7"/>
      <c r="D4" s="7"/>
      <c r="E4" s="25" t="str">
        <f>DGET(B8:C14,"Ver.",H4:H5)</f>
        <v>1.0.0</v>
      </c>
      <c r="F4" s="7"/>
      <c r="H4" s="10" t="s">
        <v>16</v>
      </c>
    </row>
    <row r="5" spans="2:24" ht="25.5" customHeight="1">
      <c r="C5" s="7"/>
      <c r="D5" s="7"/>
      <c r="E5" s="7"/>
      <c r="F5" s="7"/>
      <c r="H5" s="12">
        <f>MAX(B9:B14)</f>
        <v>1</v>
      </c>
    </row>
    <row r="6" spans="2:24" ht="14.25" thickBot="1"/>
    <row r="7" spans="2:24">
      <c r="C7" s="248" t="s">
        <v>0</v>
      </c>
      <c r="D7" s="249"/>
      <c r="E7" s="250" t="s">
        <v>2</v>
      </c>
      <c r="F7" s="250"/>
      <c r="G7" s="251" t="s">
        <v>5</v>
      </c>
      <c r="H7" s="251"/>
      <c r="I7" s="251"/>
      <c r="J7" s="251"/>
      <c r="K7" s="251"/>
      <c r="L7" s="251"/>
      <c r="M7" s="252" t="s">
        <v>12</v>
      </c>
      <c r="N7" s="252"/>
      <c r="O7" s="252"/>
      <c r="P7" s="252"/>
      <c r="Q7" s="252"/>
      <c r="R7" s="253"/>
      <c r="S7" s="245" t="s">
        <v>231</v>
      </c>
      <c r="T7" s="246"/>
      <c r="U7" s="246"/>
      <c r="V7" s="246"/>
      <c r="W7" s="246"/>
      <c r="X7" s="247"/>
    </row>
    <row r="8" spans="2:24" ht="27.75" thickBot="1">
      <c r="B8" s="10" t="s">
        <v>99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192" t="s">
        <v>232</v>
      </c>
      <c r="T8" s="193" t="s">
        <v>7</v>
      </c>
      <c r="U8" s="193" t="s">
        <v>8</v>
      </c>
      <c r="V8" s="193" t="s">
        <v>9</v>
      </c>
      <c r="W8" s="193" t="s">
        <v>233</v>
      </c>
      <c r="X8" s="194" t="s">
        <v>234</v>
      </c>
    </row>
    <row r="9" spans="2:24" ht="14.25" thickTop="1">
      <c r="B9" s="10">
        <f>IF(C9=0,0,ROW()-ROW($B$8))</f>
        <v>1</v>
      </c>
      <c r="C9" s="13" t="s">
        <v>15</v>
      </c>
      <c r="D9" s="14" t="s">
        <v>20</v>
      </c>
      <c r="E9" s="14" t="s">
        <v>139</v>
      </c>
      <c r="F9" s="14" t="s">
        <v>230</v>
      </c>
      <c r="G9" s="14"/>
      <c r="H9" s="14"/>
      <c r="I9" s="14"/>
      <c r="J9" s="14"/>
      <c r="K9" s="14"/>
      <c r="L9" s="14"/>
      <c r="M9" s="14"/>
      <c r="N9" s="14"/>
      <c r="O9" s="14"/>
      <c r="P9" s="14"/>
      <c r="Q9" s="14"/>
      <c r="R9" s="15"/>
      <c r="S9" s="13"/>
      <c r="T9" s="14"/>
      <c r="U9" s="14"/>
      <c r="V9" s="14"/>
      <c r="W9" s="14" t="s">
        <v>235</v>
      </c>
      <c r="X9" s="195">
        <v>45979</v>
      </c>
    </row>
    <row r="10" spans="2:24">
      <c r="B10" s="10">
        <f t="shared" ref="B10:B13" si="0">IF(C10=0,0,ROW()-ROW($B$8))</f>
        <v>0</v>
      </c>
      <c r="C10" s="2"/>
      <c r="D10" s="1"/>
      <c r="E10" s="1"/>
      <c r="F10" s="1"/>
      <c r="G10" s="1"/>
      <c r="H10" s="1"/>
      <c r="I10" s="1"/>
      <c r="J10" s="1"/>
      <c r="K10" s="1"/>
      <c r="L10" s="1"/>
      <c r="M10" s="1"/>
      <c r="N10" s="1"/>
      <c r="O10" s="1"/>
      <c r="P10" s="1"/>
      <c r="Q10" s="1"/>
      <c r="R10" s="3"/>
      <c r="S10" s="2"/>
      <c r="T10" s="1"/>
      <c r="U10" s="1"/>
      <c r="V10" s="1"/>
      <c r="W10" s="1"/>
      <c r="X10" s="71"/>
    </row>
    <row r="11" spans="2:24">
      <c r="B11" s="10">
        <f t="shared" si="0"/>
        <v>0</v>
      </c>
      <c r="C11" s="2"/>
      <c r="D11" s="1"/>
      <c r="E11" s="1"/>
      <c r="F11" s="1"/>
      <c r="G11" s="1"/>
      <c r="H11" s="1"/>
      <c r="I11" s="1"/>
      <c r="J11" s="1"/>
      <c r="K11" s="1"/>
      <c r="L11" s="1"/>
      <c r="M11" s="1"/>
      <c r="N11" s="1"/>
      <c r="O11" s="1"/>
      <c r="P11" s="1"/>
      <c r="Q11" s="1"/>
      <c r="R11" s="3"/>
      <c r="S11" s="2"/>
      <c r="T11" s="1"/>
      <c r="U11" s="1"/>
      <c r="V11" s="1"/>
      <c r="W11" s="1"/>
      <c r="X11" s="71"/>
    </row>
    <row r="12" spans="2:24">
      <c r="B12" s="10">
        <f t="shared" si="0"/>
        <v>0</v>
      </c>
      <c r="C12" s="2"/>
      <c r="D12" s="1"/>
      <c r="E12" s="1"/>
      <c r="F12" s="1"/>
      <c r="G12" s="1"/>
      <c r="H12" s="1"/>
      <c r="I12" s="1"/>
      <c r="J12" s="1"/>
      <c r="K12" s="1"/>
      <c r="L12" s="1"/>
      <c r="M12" s="1"/>
      <c r="N12" s="1"/>
      <c r="O12" s="1"/>
      <c r="P12" s="1"/>
      <c r="Q12" s="1"/>
      <c r="R12" s="3"/>
      <c r="S12" s="2"/>
      <c r="T12" s="1"/>
      <c r="U12" s="1"/>
      <c r="V12" s="1"/>
      <c r="W12" s="1"/>
      <c r="X12" s="71"/>
    </row>
    <row r="13" spans="2:24" ht="14.25" thickBot="1">
      <c r="B13" s="10">
        <f t="shared" si="0"/>
        <v>0</v>
      </c>
      <c r="C13" s="4"/>
      <c r="D13" s="5"/>
      <c r="E13" s="5"/>
      <c r="F13" s="5"/>
      <c r="G13" s="5"/>
      <c r="H13" s="5"/>
      <c r="I13" s="5"/>
      <c r="J13" s="5"/>
      <c r="K13" s="5"/>
      <c r="L13" s="5"/>
      <c r="M13" s="5"/>
      <c r="N13" s="5"/>
      <c r="O13" s="5"/>
      <c r="P13" s="5"/>
      <c r="Q13" s="5"/>
      <c r="R13" s="6"/>
      <c r="S13" s="4"/>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3" t="s">
        <v>142</v>
      </c>
    </row>
    <row r="3" spans="2:5">
      <c r="C3" t="s">
        <v>152</v>
      </c>
    </row>
    <row r="6" spans="2:5" ht="14.25" thickBot="1">
      <c r="B6" s="153" t="s">
        <v>143</v>
      </c>
      <c r="C6" s="153"/>
    </row>
    <row r="7" spans="2:5" ht="14.25" thickBot="1">
      <c r="C7" s="72" t="s">
        <v>145</v>
      </c>
      <c r="D7" s="80"/>
      <c r="E7" s="73" t="s">
        <v>153</v>
      </c>
    </row>
    <row r="8" spans="2:5" ht="20.25" customHeight="1" thickTop="1">
      <c r="C8" s="157">
        <v>0</v>
      </c>
      <c r="D8" s="81" t="s">
        <v>154</v>
      </c>
      <c r="E8" s="156" t="s">
        <v>229</v>
      </c>
    </row>
    <row r="9" spans="2:5">
      <c r="C9" s="163"/>
      <c r="D9" s="165"/>
      <c r="E9" s="164"/>
    </row>
    <row r="10" spans="2:5" ht="14.25" thickBot="1">
      <c r="C10" s="161"/>
      <c r="D10" s="83"/>
      <c r="E10" s="6"/>
    </row>
    <row r="11" spans="2:5">
      <c r="C11" s="159"/>
    </row>
    <row r="12" spans="2:5" ht="14.25" thickBot="1">
      <c r="B12" s="154" t="s">
        <v>144</v>
      </c>
      <c r="C12" s="79"/>
      <c r="D12" s="79"/>
    </row>
    <row r="13" spans="2:5" ht="14.25" thickBot="1">
      <c r="B13" s="155"/>
      <c r="C13" s="160" t="s">
        <v>145</v>
      </c>
      <c r="D13" s="80" t="s">
        <v>146</v>
      </c>
      <c r="E13" s="73" t="s">
        <v>147</v>
      </c>
    </row>
    <row r="14" spans="2:5" ht="14.25" thickTop="1">
      <c r="C14" s="157">
        <v>0</v>
      </c>
      <c r="D14" s="81" t="s">
        <v>159</v>
      </c>
      <c r="E14" s="162" t="s">
        <v>160</v>
      </c>
    </row>
    <row r="15" spans="2:5">
      <c r="C15" s="158">
        <v>1</v>
      </c>
      <c r="D15" s="82" t="s">
        <v>24</v>
      </c>
      <c r="E15" s="71" t="s">
        <v>148</v>
      </c>
    </row>
    <row r="16" spans="2:5">
      <c r="C16" s="158">
        <v>2</v>
      </c>
      <c r="D16" s="82" t="s">
        <v>25</v>
      </c>
      <c r="E16" s="71" t="s">
        <v>149</v>
      </c>
    </row>
    <row r="17" spans="2:5">
      <c r="C17" s="158">
        <v>3</v>
      </c>
      <c r="D17" s="82" t="s">
        <v>26</v>
      </c>
      <c r="E17" s="71" t="s">
        <v>150</v>
      </c>
    </row>
    <row r="18" spans="2:5">
      <c r="C18" s="158">
        <v>4</v>
      </c>
      <c r="D18" s="82" t="s">
        <v>27</v>
      </c>
      <c r="E18" s="71" t="s">
        <v>151</v>
      </c>
    </row>
    <row r="19" spans="2:5">
      <c r="C19" s="158">
        <v>5</v>
      </c>
      <c r="D19" s="82" t="s">
        <v>161</v>
      </c>
      <c r="E19" s="71" t="s">
        <v>163</v>
      </c>
    </row>
    <row r="20" spans="2:5">
      <c r="C20" s="158">
        <v>6</v>
      </c>
      <c r="D20" s="82" t="s">
        <v>168</v>
      </c>
      <c r="E20" s="71" t="s">
        <v>192</v>
      </c>
    </row>
    <row r="21" spans="2:5" ht="14.25" thickBot="1">
      <c r="C21" s="161"/>
      <c r="D21" s="83"/>
      <c r="E21" s="6"/>
    </row>
    <row r="24" spans="2:5" ht="14.25" thickBot="1">
      <c r="B24" s="153" t="s">
        <v>155</v>
      </c>
    </row>
    <row r="25" spans="2:5" ht="14.25" thickBot="1">
      <c r="C25" s="160" t="s">
        <v>145</v>
      </c>
      <c r="D25" s="80" t="s">
        <v>146</v>
      </c>
      <c r="E25" s="73" t="s">
        <v>147</v>
      </c>
    </row>
    <row r="26" spans="2:5" ht="30.75" customHeight="1" thickTop="1">
      <c r="C26" s="157">
        <v>0</v>
      </c>
      <c r="D26" s="81" t="s">
        <v>156</v>
      </c>
      <c r="E26" s="162" t="s">
        <v>165</v>
      </c>
    </row>
    <row r="27" spans="2:5" ht="120" customHeight="1">
      <c r="C27" s="158">
        <v>1</v>
      </c>
      <c r="D27" s="82" t="s">
        <v>195</v>
      </c>
      <c r="E27" s="84" t="s">
        <v>197</v>
      </c>
    </row>
    <row r="28" spans="2:5" ht="81" customHeight="1">
      <c r="C28" s="158">
        <v>2</v>
      </c>
      <c r="D28" s="82" t="s">
        <v>191</v>
      </c>
      <c r="E28" s="84" t="s">
        <v>203</v>
      </c>
    </row>
    <row r="29" spans="2:5" ht="45" customHeight="1">
      <c r="C29" s="158">
        <v>3</v>
      </c>
      <c r="D29" s="82" t="s">
        <v>162</v>
      </c>
      <c r="E29" s="84" t="s">
        <v>166</v>
      </c>
    </row>
    <row r="30" spans="2:5" ht="16.5" customHeight="1">
      <c r="C30" s="158">
        <v>4</v>
      </c>
      <c r="D30" s="82" t="s">
        <v>157</v>
      </c>
      <c r="E30" s="71" t="s">
        <v>172</v>
      </c>
    </row>
    <row r="31" spans="2:5" ht="16.5" customHeight="1">
      <c r="C31" s="158">
        <v>5</v>
      </c>
      <c r="D31" s="82" t="s">
        <v>158</v>
      </c>
      <c r="E31" s="71" t="s">
        <v>167</v>
      </c>
    </row>
    <row r="32" spans="2:5">
      <c r="C32" s="158"/>
      <c r="D32" s="82"/>
      <c r="E32" s="71"/>
    </row>
    <row r="33" spans="2:5">
      <c r="C33" s="158"/>
      <c r="D33" s="82"/>
      <c r="E33" s="71"/>
    </row>
    <row r="34" spans="2:5" ht="14.25" thickBot="1">
      <c r="C34" s="161"/>
      <c r="D34" s="83"/>
      <c r="E34" s="6"/>
    </row>
    <row r="37" spans="2:5" ht="14.25" thickBot="1">
      <c r="B37" s="153" t="s">
        <v>188</v>
      </c>
    </row>
    <row r="38" spans="2:5">
      <c r="C38" s="254"/>
      <c r="D38" s="255"/>
      <c r="E38" s="108" t="s">
        <v>130</v>
      </c>
    </row>
    <row r="39" spans="2:5" ht="14.25" thickBot="1">
      <c r="C39" s="256"/>
      <c r="D39" s="257"/>
      <c r="E39" s="6" t="s">
        <v>131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3" t="s">
        <v>19</v>
      </c>
      <c r="C2" s="284"/>
      <c r="D2" s="271" t="s">
        <v>250</v>
      </c>
      <c r="E2" s="272"/>
      <c r="F2" s="272"/>
      <c r="G2" s="272"/>
      <c r="H2" s="273"/>
    </row>
    <row r="3" spans="2:14">
      <c r="B3" s="258" t="s">
        <v>127</v>
      </c>
      <c r="C3" s="259"/>
      <c r="D3" s="274" t="s">
        <v>573</v>
      </c>
      <c r="E3" s="275"/>
      <c r="F3" s="275"/>
      <c r="G3" s="275"/>
      <c r="H3" s="276"/>
    </row>
    <row r="4" spans="2:14" ht="14.25" thickBot="1">
      <c r="B4" s="269" t="s">
        <v>18</v>
      </c>
      <c r="C4" s="270"/>
      <c r="D4" s="277" t="str">
        <f ca="1">表紙!D3&amp;".c"</f>
        <v>alert_S_TMBZR-CSTD-0-01-A-C0.c</v>
      </c>
      <c r="E4" s="278"/>
      <c r="F4" s="278"/>
      <c r="G4" s="278"/>
      <c r="H4" s="27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3" t="s">
        <v>41</v>
      </c>
      <c r="C6" s="284"/>
      <c r="D6" s="280" t="str">
        <f ca="1">MID(D4, LEN("alert_") + 1, FIND("-",D4,1) - LEN("alert_") - 1)</f>
        <v>S_TMBZR</v>
      </c>
      <c r="E6" s="281"/>
      <c r="F6" s="281"/>
      <c r="G6" s="281"/>
      <c r="H6" s="282"/>
    </row>
    <row r="7" spans="2:14">
      <c r="B7" s="258" t="s">
        <v>42</v>
      </c>
      <c r="C7" s="259"/>
      <c r="D7" s="260">
        <f>COUNTA($D$13:$D$37)</f>
        <v>2</v>
      </c>
      <c r="E7" s="261"/>
      <c r="F7" s="261"/>
      <c r="G7" s="261"/>
      <c r="H7" s="262"/>
    </row>
    <row r="8" spans="2:14">
      <c r="B8" s="258" t="s">
        <v>103</v>
      </c>
      <c r="C8" s="259"/>
      <c r="D8" s="260" t="str">
        <f ca="1">"st_gp_ALERT_"&amp;UPPER(D6)&amp;"_MTRX"</f>
        <v>st_gp_ALERT_S_TMBZR_MTRX</v>
      </c>
      <c r="E8" s="261"/>
      <c r="F8" s="261"/>
      <c r="G8" s="261"/>
      <c r="H8" s="262"/>
    </row>
    <row r="9" spans="2:14">
      <c r="B9" s="258" t="s">
        <v>43</v>
      </c>
      <c r="C9" s="259"/>
      <c r="D9" s="263" t="s">
        <v>251</v>
      </c>
      <c r="E9" s="264"/>
      <c r="F9" s="264"/>
      <c r="G9" s="264"/>
      <c r="H9" s="265"/>
    </row>
    <row r="10" spans="2:14" ht="14.25" thickBot="1">
      <c r="B10" s="269" t="s">
        <v>49</v>
      </c>
      <c r="C10" s="270"/>
      <c r="D10" s="266" t="s">
        <v>139</v>
      </c>
      <c r="E10" s="267"/>
      <c r="F10" s="267"/>
      <c r="G10" s="267"/>
      <c r="H10" s="268"/>
    </row>
    <row r="11" spans="2:14" ht="14.25" thickBot="1"/>
    <row r="12" spans="2:14" ht="14.25" thickBot="1">
      <c r="B12" s="144" t="s">
        <v>39</v>
      </c>
      <c r="C12" s="98" t="s">
        <v>48</v>
      </c>
      <c r="D12" s="99" t="s">
        <v>40</v>
      </c>
      <c r="E12" s="99" t="s">
        <v>44</v>
      </c>
      <c r="F12" s="99" t="s">
        <v>45</v>
      </c>
      <c r="G12" s="99" t="s">
        <v>46</v>
      </c>
      <c r="H12" s="100" t="s">
        <v>47</v>
      </c>
      <c r="I12" s="149" t="s">
        <v>56</v>
      </c>
      <c r="K12" s="43" t="s">
        <v>50</v>
      </c>
      <c r="L12" s="43" t="s">
        <v>43</v>
      </c>
      <c r="M12" t="s">
        <v>94</v>
      </c>
    </row>
    <row r="13" spans="2:14" ht="14.25" thickTop="1">
      <c r="B13" s="101">
        <v>1</v>
      </c>
      <c r="C13" s="106" t="s">
        <v>574</v>
      </c>
      <c r="D13" s="107" t="s">
        <v>53</v>
      </c>
      <c r="E13" s="107" t="s">
        <v>187</v>
      </c>
      <c r="F13" s="49" t="str">
        <f t="shared" ref="F13:F37" ca="1" si="0">IF($D13&lt;&gt;"","u4_s_Alert"&amp;UPPER(LEFT($D$6,1))&amp;LOWER(MID($D$6,2,100))&amp;IF($D$7=1,"",N13)&amp;"Srcchk","")</f>
        <v>u4_s_AlertS_tmbzrBcAdSrcchk</v>
      </c>
      <c r="G13" s="49" t="str">
        <f t="shared" ref="G13:G37" si="1">IF($D13&lt;&gt;"",IF($E13="○","vd_s_Alert"&amp;UPPER(LEFT($D$6,1))&amp;LOWER(MID($D$6,2,100))&amp;IF($D$7=1,"",N13)&amp;"RwTx","NULL"),"")</f>
        <v>NULL</v>
      </c>
      <c r="H13" s="105" t="str">
        <f ca="1">IF($D13&lt;&gt;"","ALERT_CH_"&amp;UPPER($D$6)&amp;IF($D$7=1,"","_"&amp;UPPER($C13)),"")</f>
        <v>ALERT_CH_S_TMBZR_BC_AD</v>
      </c>
      <c r="I13" s="150" t="str">
        <f ca="1">IF($D13&lt;&gt;"","ALERT_REQ_"&amp;UPPER($D$6)&amp;IF($D$7=1,"","_"&amp;UPPER($C13)),"")</f>
        <v>ALERT_REQ_S_TMBZR_BC_AD</v>
      </c>
      <c r="K13" t="s">
        <v>51</v>
      </c>
      <c r="L13" t="s">
        <v>55</v>
      </c>
      <c r="M13">
        <f t="shared" ref="M13:M37" si="2">FIND("_",C13,1)</f>
        <v>3</v>
      </c>
      <c r="N13" t="str">
        <f t="shared" ref="N13:N37" si="3">IF(IFERROR(M13,0),UPPER(LEFT(C13,1))&amp;LOWER(MID(C13,2,M13-2))&amp;UPPER(MID(C13,M13+1,1))&amp;LOWER(MID(C13,M13+2,100)),UPPER(LEFT(C13,1))&amp;LOWER(MID(C13,2,100)))</f>
        <v>BcAd</v>
      </c>
    </row>
    <row r="14" spans="2:14">
      <c r="B14" s="91">
        <v>2</v>
      </c>
      <c r="C14" s="147" t="s">
        <v>575</v>
      </c>
      <c r="D14" s="148" t="s">
        <v>53</v>
      </c>
      <c r="E14" s="148" t="s">
        <v>187</v>
      </c>
      <c r="F14" s="44" t="str">
        <f t="shared" ca="1" si="0"/>
        <v>u4_s_AlertS_tmbzrBcDotSrcchk</v>
      </c>
      <c r="G14" s="44" t="str">
        <f t="shared" si="1"/>
        <v>NULL</v>
      </c>
      <c r="H14" s="65" t="str">
        <f t="shared" ref="H14:H37" ca="1" si="4">IF($D14&lt;&gt;"","ALERT_CH_"&amp;UPPER($D$6)&amp;IF($D$7=1,"","_"&amp;UPPER($C14)),"")</f>
        <v>ALERT_CH_S_TMBZR_BC_DOT</v>
      </c>
      <c r="I14" s="151" t="str">
        <f t="shared" ref="I14:I37" ca="1" si="5">IF($D14&lt;&gt;"","ALERT_REQ_"&amp;UPPER($D$6)&amp;IF($D$7=1,"","_"&amp;UPPER($C14)),"")</f>
        <v>ALERT_REQ_S_TMBZR_BC_DOT</v>
      </c>
      <c r="K14" t="s">
        <v>52</v>
      </c>
      <c r="L14" t="str">
        <f ca="1">"vd_g_Alert"&amp;UPPER(LEFT(D6,1))&amp;LOWER(MID(D6,2,100))&amp;"Init"</f>
        <v>vd_g_AlertS_tmbzrInit</v>
      </c>
      <c r="M14">
        <f t="shared" si="2"/>
        <v>3</v>
      </c>
      <c r="N14" t="str">
        <f t="shared" si="3"/>
        <v>BcDot</v>
      </c>
    </row>
    <row r="15" spans="2:14">
      <c r="B15" s="91">
        <v>3</v>
      </c>
      <c r="C15" s="147"/>
      <c r="D15" s="148"/>
      <c r="E15" s="148"/>
      <c r="F15" s="44" t="str">
        <f t="shared" si="0"/>
        <v/>
      </c>
      <c r="G15" s="44" t="str">
        <f t="shared" si="1"/>
        <v/>
      </c>
      <c r="H15" s="65" t="str">
        <f t="shared" si="4"/>
        <v/>
      </c>
      <c r="I15" s="151" t="str">
        <f t="shared" si="5"/>
        <v/>
      </c>
      <c r="K15" t="s">
        <v>132</v>
      </c>
      <c r="M15" t="e">
        <f t="shared" si="2"/>
        <v>#VALUE!</v>
      </c>
      <c r="N15" t="str">
        <f t="shared" si="3"/>
        <v/>
      </c>
    </row>
    <row r="16" spans="2:14">
      <c r="B16" s="91">
        <v>4</v>
      </c>
      <c r="C16" s="147"/>
      <c r="D16" s="148"/>
      <c r="E16" s="148"/>
      <c r="F16" s="44" t="str">
        <f t="shared" si="0"/>
        <v/>
      </c>
      <c r="G16" s="44" t="str">
        <f t="shared" si="1"/>
        <v/>
      </c>
      <c r="H16" s="65" t="str">
        <f t="shared" si="4"/>
        <v/>
      </c>
      <c r="I16" s="151" t="str">
        <f t="shared" si="5"/>
        <v/>
      </c>
      <c r="K16" t="s">
        <v>133</v>
      </c>
      <c r="M16" t="e">
        <f t="shared" si="2"/>
        <v>#VALUE!</v>
      </c>
      <c r="N16" t="str">
        <f t="shared" si="3"/>
        <v/>
      </c>
    </row>
    <row r="17" spans="2:14">
      <c r="B17" s="91">
        <v>5</v>
      </c>
      <c r="C17" s="147"/>
      <c r="D17" s="148"/>
      <c r="E17" s="148"/>
      <c r="F17" s="44" t="str">
        <f t="shared" si="0"/>
        <v/>
      </c>
      <c r="G17" s="44" t="str">
        <f t="shared" si="1"/>
        <v/>
      </c>
      <c r="H17" s="65" t="str">
        <f t="shared" si="4"/>
        <v/>
      </c>
      <c r="I17" s="151" t="str">
        <f t="shared" si="5"/>
        <v/>
      </c>
      <c r="K17" t="s">
        <v>53</v>
      </c>
      <c r="M17" t="e">
        <f t="shared" si="2"/>
        <v>#VALUE!</v>
      </c>
      <c r="N17" t="str">
        <f t="shared" si="3"/>
        <v/>
      </c>
    </row>
    <row r="18" spans="2:14">
      <c r="B18" s="91">
        <v>6</v>
      </c>
      <c r="C18" s="147"/>
      <c r="D18" s="148"/>
      <c r="E18" s="148"/>
      <c r="F18" s="44" t="str">
        <f t="shared" si="0"/>
        <v/>
      </c>
      <c r="G18" s="44" t="str">
        <f t="shared" si="1"/>
        <v/>
      </c>
      <c r="H18" s="65" t="str">
        <f t="shared" si="4"/>
        <v/>
      </c>
      <c r="I18" s="151" t="str">
        <f t="shared" si="5"/>
        <v/>
      </c>
      <c r="K18" t="s">
        <v>54</v>
      </c>
      <c r="M18" t="e">
        <f t="shared" si="2"/>
        <v>#VALUE!</v>
      </c>
      <c r="N18" t="str">
        <f t="shared" si="3"/>
        <v/>
      </c>
    </row>
    <row r="19" spans="2:14">
      <c r="B19" s="91">
        <v>7</v>
      </c>
      <c r="C19" s="147"/>
      <c r="D19" s="148"/>
      <c r="E19" s="148"/>
      <c r="F19" s="44" t="str">
        <f t="shared" si="0"/>
        <v/>
      </c>
      <c r="G19" s="44" t="str">
        <f t="shared" si="1"/>
        <v/>
      </c>
      <c r="H19" s="65" t="str">
        <f t="shared" si="4"/>
        <v/>
      </c>
      <c r="I19" s="151" t="str">
        <f t="shared" si="5"/>
        <v/>
      </c>
      <c r="K19" t="s">
        <v>54</v>
      </c>
      <c r="M19" t="e">
        <f t="shared" si="2"/>
        <v>#VALUE!</v>
      </c>
      <c r="N19" t="str">
        <f t="shared" si="3"/>
        <v/>
      </c>
    </row>
    <row r="20" spans="2:14">
      <c r="B20" s="91">
        <v>8</v>
      </c>
      <c r="C20" s="147"/>
      <c r="D20" s="148"/>
      <c r="E20" s="148"/>
      <c r="F20" s="44" t="str">
        <f t="shared" si="0"/>
        <v/>
      </c>
      <c r="G20" s="44" t="str">
        <f t="shared" si="1"/>
        <v/>
      </c>
      <c r="H20" s="65" t="str">
        <f t="shared" si="4"/>
        <v/>
      </c>
      <c r="I20" s="151" t="str">
        <f t="shared" si="5"/>
        <v/>
      </c>
      <c r="K20" t="s">
        <v>54</v>
      </c>
      <c r="M20" t="e">
        <f t="shared" si="2"/>
        <v>#VALUE!</v>
      </c>
      <c r="N20" t="str">
        <f t="shared" si="3"/>
        <v/>
      </c>
    </row>
    <row r="21" spans="2:14">
      <c r="B21" s="91">
        <v>9</v>
      </c>
      <c r="C21" s="147"/>
      <c r="D21" s="148"/>
      <c r="E21" s="148"/>
      <c r="F21" s="44" t="str">
        <f t="shared" si="0"/>
        <v/>
      </c>
      <c r="G21" s="44" t="str">
        <f t="shared" si="1"/>
        <v/>
      </c>
      <c r="H21" s="65" t="str">
        <f t="shared" si="4"/>
        <v/>
      </c>
      <c r="I21" s="151" t="str">
        <f t="shared" si="5"/>
        <v/>
      </c>
      <c r="K21" t="s">
        <v>54</v>
      </c>
      <c r="M21" t="e">
        <f t="shared" si="2"/>
        <v>#VALUE!</v>
      </c>
      <c r="N21" t="str">
        <f t="shared" si="3"/>
        <v/>
      </c>
    </row>
    <row r="22" spans="2:14">
      <c r="B22" s="91">
        <v>10</v>
      </c>
      <c r="C22" s="147"/>
      <c r="D22" s="148"/>
      <c r="E22" s="148"/>
      <c r="F22" s="44" t="str">
        <f t="shared" si="0"/>
        <v/>
      </c>
      <c r="G22" s="44" t="str">
        <f t="shared" si="1"/>
        <v/>
      </c>
      <c r="H22" s="65" t="str">
        <f t="shared" si="4"/>
        <v/>
      </c>
      <c r="I22" s="151" t="str">
        <f t="shared" si="5"/>
        <v/>
      </c>
      <c r="K22" t="s">
        <v>54</v>
      </c>
      <c r="M22" t="e">
        <f t="shared" si="2"/>
        <v>#VALUE!</v>
      </c>
      <c r="N22" t="str">
        <f t="shared" si="3"/>
        <v/>
      </c>
    </row>
    <row r="23" spans="2:14">
      <c r="B23" s="91">
        <v>11</v>
      </c>
      <c r="C23" s="147"/>
      <c r="D23" s="148"/>
      <c r="E23" s="148"/>
      <c r="F23" s="44" t="str">
        <f t="shared" si="0"/>
        <v/>
      </c>
      <c r="G23" s="44" t="str">
        <f t="shared" si="1"/>
        <v/>
      </c>
      <c r="H23" s="65" t="str">
        <f t="shared" si="4"/>
        <v/>
      </c>
      <c r="I23" s="151" t="str">
        <f t="shared" si="5"/>
        <v/>
      </c>
      <c r="K23" t="s">
        <v>54</v>
      </c>
      <c r="M23" t="e">
        <f t="shared" si="2"/>
        <v>#VALUE!</v>
      </c>
      <c r="N23" t="str">
        <f t="shared" si="3"/>
        <v/>
      </c>
    </row>
    <row r="24" spans="2:14">
      <c r="B24" s="91">
        <v>12</v>
      </c>
      <c r="C24" s="147"/>
      <c r="D24" s="148"/>
      <c r="E24" s="148"/>
      <c r="F24" s="44" t="str">
        <f t="shared" si="0"/>
        <v/>
      </c>
      <c r="G24" s="44" t="str">
        <f t="shared" si="1"/>
        <v/>
      </c>
      <c r="H24" s="65" t="str">
        <f t="shared" si="4"/>
        <v/>
      </c>
      <c r="I24" s="151" t="str">
        <f t="shared" si="5"/>
        <v/>
      </c>
      <c r="K24" t="s">
        <v>54</v>
      </c>
      <c r="M24" t="e">
        <f t="shared" si="2"/>
        <v>#VALUE!</v>
      </c>
      <c r="N24" t="str">
        <f t="shared" si="3"/>
        <v/>
      </c>
    </row>
    <row r="25" spans="2:14">
      <c r="B25" s="91">
        <v>13</v>
      </c>
      <c r="C25" s="147"/>
      <c r="D25" s="148"/>
      <c r="E25" s="148"/>
      <c r="F25" s="44" t="str">
        <f t="shared" si="0"/>
        <v/>
      </c>
      <c r="G25" s="44" t="str">
        <f t="shared" si="1"/>
        <v/>
      </c>
      <c r="H25" s="65" t="str">
        <f t="shared" si="4"/>
        <v/>
      </c>
      <c r="I25" s="151" t="str">
        <f t="shared" si="5"/>
        <v/>
      </c>
      <c r="K25" t="s">
        <v>54</v>
      </c>
      <c r="M25" t="e">
        <f t="shared" si="2"/>
        <v>#VALUE!</v>
      </c>
      <c r="N25" t="str">
        <f t="shared" si="3"/>
        <v/>
      </c>
    </row>
    <row r="26" spans="2:14">
      <c r="B26" s="91">
        <v>14</v>
      </c>
      <c r="C26" s="147"/>
      <c r="D26" s="148"/>
      <c r="E26" s="148"/>
      <c r="F26" s="44" t="str">
        <f t="shared" si="0"/>
        <v/>
      </c>
      <c r="G26" s="44" t="str">
        <f t="shared" si="1"/>
        <v/>
      </c>
      <c r="H26" s="65" t="str">
        <f t="shared" si="4"/>
        <v/>
      </c>
      <c r="I26" s="151" t="str">
        <f t="shared" si="5"/>
        <v/>
      </c>
      <c r="K26" t="s">
        <v>54</v>
      </c>
      <c r="M26" t="e">
        <f t="shared" si="2"/>
        <v>#VALUE!</v>
      </c>
      <c r="N26" t="str">
        <f t="shared" si="3"/>
        <v/>
      </c>
    </row>
    <row r="27" spans="2:14">
      <c r="B27" s="91">
        <v>15</v>
      </c>
      <c r="C27" s="147"/>
      <c r="D27" s="148"/>
      <c r="E27" s="148"/>
      <c r="F27" s="44" t="str">
        <f t="shared" si="0"/>
        <v/>
      </c>
      <c r="G27" s="44" t="str">
        <f t="shared" si="1"/>
        <v/>
      </c>
      <c r="H27" s="65" t="str">
        <f t="shared" si="4"/>
        <v/>
      </c>
      <c r="I27" s="151" t="str">
        <f t="shared" si="5"/>
        <v/>
      </c>
      <c r="K27" t="s">
        <v>54</v>
      </c>
      <c r="M27" t="e">
        <f t="shared" si="2"/>
        <v>#VALUE!</v>
      </c>
      <c r="N27" t="str">
        <f t="shared" si="3"/>
        <v/>
      </c>
    </row>
    <row r="28" spans="2:14">
      <c r="B28" s="91">
        <v>16</v>
      </c>
      <c r="C28" s="147"/>
      <c r="D28" s="148"/>
      <c r="E28" s="148"/>
      <c r="F28" s="44" t="str">
        <f t="shared" si="0"/>
        <v/>
      </c>
      <c r="G28" s="44" t="str">
        <f t="shared" si="1"/>
        <v/>
      </c>
      <c r="H28" s="65" t="str">
        <f t="shared" si="4"/>
        <v/>
      </c>
      <c r="I28" s="151" t="str">
        <f t="shared" si="5"/>
        <v/>
      </c>
      <c r="K28" t="s">
        <v>54</v>
      </c>
      <c r="M28" t="e">
        <f t="shared" si="2"/>
        <v>#VALUE!</v>
      </c>
      <c r="N28" t="str">
        <f t="shared" si="3"/>
        <v/>
      </c>
    </row>
    <row r="29" spans="2:14">
      <c r="B29" s="91">
        <v>17</v>
      </c>
      <c r="C29" s="147"/>
      <c r="D29" s="148"/>
      <c r="E29" s="148"/>
      <c r="F29" s="44" t="str">
        <f t="shared" si="0"/>
        <v/>
      </c>
      <c r="G29" s="44" t="str">
        <f t="shared" si="1"/>
        <v/>
      </c>
      <c r="H29" s="65" t="str">
        <f t="shared" si="4"/>
        <v/>
      </c>
      <c r="I29" s="151" t="str">
        <f t="shared" si="5"/>
        <v/>
      </c>
      <c r="K29" t="s">
        <v>54</v>
      </c>
      <c r="M29" t="e">
        <f t="shared" si="2"/>
        <v>#VALUE!</v>
      </c>
      <c r="N29" t="str">
        <f t="shared" si="3"/>
        <v/>
      </c>
    </row>
    <row r="30" spans="2:14">
      <c r="B30" s="91">
        <v>18</v>
      </c>
      <c r="C30" s="147"/>
      <c r="D30" s="148"/>
      <c r="E30" s="148"/>
      <c r="F30" s="44" t="str">
        <f t="shared" si="0"/>
        <v/>
      </c>
      <c r="G30" s="44" t="str">
        <f t="shared" si="1"/>
        <v/>
      </c>
      <c r="H30" s="65" t="str">
        <f t="shared" si="4"/>
        <v/>
      </c>
      <c r="I30" s="151" t="str">
        <f t="shared" si="5"/>
        <v/>
      </c>
      <c r="K30" t="s">
        <v>54</v>
      </c>
      <c r="M30" t="e">
        <f t="shared" si="2"/>
        <v>#VALUE!</v>
      </c>
      <c r="N30" t="str">
        <f t="shared" si="3"/>
        <v/>
      </c>
    </row>
    <row r="31" spans="2:14">
      <c r="B31" s="91">
        <v>19</v>
      </c>
      <c r="C31" s="147"/>
      <c r="D31" s="148"/>
      <c r="E31" s="148"/>
      <c r="F31" s="44" t="str">
        <f t="shared" si="0"/>
        <v/>
      </c>
      <c r="G31" s="44" t="str">
        <f t="shared" si="1"/>
        <v/>
      </c>
      <c r="H31" s="65" t="str">
        <f t="shared" si="4"/>
        <v/>
      </c>
      <c r="I31" s="151" t="str">
        <f t="shared" si="5"/>
        <v/>
      </c>
      <c r="K31" t="s">
        <v>54</v>
      </c>
      <c r="M31" t="e">
        <f t="shared" si="2"/>
        <v>#VALUE!</v>
      </c>
      <c r="N31" t="str">
        <f t="shared" si="3"/>
        <v/>
      </c>
    </row>
    <row r="32" spans="2:14">
      <c r="B32" s="91">
        <v>20</v>
      </c>
      <c r="C32" s="147"/>
      <c r="D32" s="148"/>
      <c r="E32" s="148"/>
      <c r="F32" s="44" t="str">
        <f t="shared" si="0"/>
        <v/>
      </c>
      <c r="G32" s="44" t="str">
        <f t="shared" si="1"/>
        <v/>
      </c>
      <c r="H32" s="65" t="str">
        <f t="shared" si="4"/>
        <v/>
      </c>
      <c r="I32" s="151" t="str">
        <f t="shared" si="5"/>
        <v/>
      </c>
      <c r="K32" t="s">
        <v>54</v>
      </c>
      <c r="M32" t="e">
        <f t="shared" si="2"/>
        <v>#VALUE!</v>
      </c>
      <c r="N32" t="str">
        <f t="shared" si="3"/>
        <v/>
      </c>
    </row>
    <row r="33" spans="2:14">
      <c r="B33" s="91">
        <v>21</v>
      </c>
      <c r="C33" s="147"/>
      <c r="D33" s="148"/>
      <c r="E33" s="148"/>
      <c r="F33" s="44" t="str">
        <f t="shared" si="0"/>
        <v/>
      </c>
      <c r="G33" s="44" t="str">
        <f t="shared" si="1"/>
        <v/>
      </c>
      <c r="H33" s="65" t="str">
        <f t="shared" si="4"/>
        <v/>
      </c>
      <c r="I33" s="151" t="str">
        <f t="shared" si="5"/>
        <v/>
      </c>
      <c r="K33" t="s">
        <v>54</v>
      </c>
      <c r="M33" t="e">
        <f t="shared" si="2"/>
        <v>#VALUE!</v>
      </c>
      <c r="N33" t="str">
        <f t="shared" si="3"/>
        <v/>
      </c>
    </row>
    <row r="34" spans="2:14">
      <c r="B34" s="91">
        <v>22</v>
      </c>
      <c r="C34" s="147"/>
      <c r="D34" s="148"/>
      <c r="E34" s="148"/>
      <c r="F34" s="44" t="str">
        <f t="shared" si="0"/>
        <v/>
      </c>
      <c r="G34" s="44" t="str">
        <f t="shared" si="1"/>
        <v/>
      </c>
      <c r="H34" s="65" t="str">
        <f t="shared" si="4"/>
        <v/>
      </c>
      <c r="I34" s="151" t="str">
        <f t="shared" si="5"/>
        <v/>
      </c>
      <c r="K34" t="s">
        <v>54</v>
      </c>
      <c r="M34" t="e">
        <f t="shared" si="2"/>
        <v>#VALUE!</v>
      </c>
      <c r="N34" t="str">
        <f t="shared" si="3"/>
        <v/>
      </c>
    </row>
    <row r="35" spans="2:14">
      <c r="B35" s="91">
        <v>23</v>
      </c>
      <c r="C35" s="147"/>
      <c r="D35" s="148"/>
      <c r="E35" s="148"/>
      <c r="F35" s="44" t="str">
        <f t="shared" si="0"/>
        <v/>
      </c>
      <c r="G35" s="44" t="str">
        <f t="shared" si="1"/>
        <v/>
      </c>
      <c r="H35" s="65" t="str">
        <f t="shared" si="4"/>
        <v/>
      </c>
      <c r="I35" s="151" t="str">
        <f t="shared" si="5"/>
        <v/>
      </c>
      <c r="K35" t="s">
        <v>54</v>
      </c>
      <c r="M35" t="e">
        <f t="shared" si="2"/>
        <v>#VALUE!</v>
      </c>
      <c r="N35" t="str">
        <f t="shared" si="3"/>
        <v/>
      </c>
    </row>
    <row r="36" spans="2:14">
      <c r="B36" s="91">
        <v>24</v>
      </c>
      <c r="C36" s="147"/>
      <c r="D36" s="148"/>
      <c r="E36" s="148"/>
      <c r="F36" s="44" t="str">
        <f t="shared" si="0"/>
        <v/>
      </c>
      <c r="G36" s="44" t="str">
        <f t="shared" si="1"/>
        <v/>
      </c>
      <c r="H36" s="65" t="str">
        <f t="shared" si="4"/>
        <v/>
      </c>
      <c r="I36" s="151" t="str">
        <f t="shared" si="5"/>
        <v/>
      </c>
      <c r="K36" t="s">
        <v>54</v>
      </c>
      <c r="M36" t="e">
        <f t="shared" si="2"/>
        <v>#VALUE!</v>
      </c>
      <c r="N36" t="str">
        <f t="shared" si="3"/>
        <v/>
      </c>
    </row>
    <row r="37" spans="2:14" ht="14.25" thickBot="1">
      <c r="B37" s="92">
        <v>25</v>
      </c>
      <c r="C37" s="145"/>
      <c r="D37" s="146"/>
      <c r="E37" s="146"/>
      <c r="F37" s="52" t="str">
        <f t="shared" si="0"/>
        <v/>
      </c>
      <c r="G37" s="52" t="str">
        <f t="shared" si="1"/>
        <v/>
      </c>
      <c r="H37" s="66" t="str">
        <f t="shared" si="4"/>
        <v/>
      </c>
      <c r="I37" s="152"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1" priority="4">
      <formula>14&lt;LEN($D$6)+LEN($C13)</formula>
    </cfRule>
  </conditionalFormatting>
  <conditionalFormatting sqref="D5">
    <cfRule type="containsText" dxfId="10" priority="1" operator="containsText" text="NG">
      <formula>NOT(ISERROR(SEARCH("NG",D5)))</formula>
    </cfRule>
  </conditionalFormatting>
  <conditionalFormatting sqref="D6">
    <cfRule type="expression" dxfId="9"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216</v>
      </c>
      <c r="O2" t="s">
        <v>218</v>
      </c>
    </row>
    <row r="3" spans="2:18" ht="14.25" thickBot="1">
      <c r="B3" s="144" t="s">
        <v>39</v>
      </c>
      <c r="C3" s="99" t="s">
        <v>205</v>
      </c>
      <c r="D3" s="99" t="s">
        <v>211</v>
      </c>
      <c r="E3" s="100" t="s">
        <v>212</v>
      </c>
      <c r="F3" s="188" t="s">
        <v>207</v>
      </c>
      <c r="G3" s="185" t="s">
        <v>221</v>
      </c>
      <c r="H3" s="43"/>
      <c r="I3" s="43"/>
      <c r="J3" s="43"/>
      <c r="K3" s="43"/>
      <c r="L3" s="43"/>
      <c r="M3" s="43"/>
      <c r="O3" s="144" t="s">
        <v>39</v>
      </c>
      <c r="P3" s="184" t="s">
        <v>201</v>
      </c>
      <c r="Q3" s="184" t="s">
        <v>215</v>
      </c>
      <c r="R3" s="185" t="s">
        <v>207</v>
      </c>
    </row>
    <row r="4" spans="2:18" ht="14.25" hidden="1" thickTop="1">
      <c r="B4" s="176">
        <v>0</v>
      </c>
      <c r="C4" s="177" t="s">
        <v>189</v>
      </c>
      <c r="D4" s="177"/>
      <c r="E4" s="178"/>
      <c r="F4" s="189"/>
      <c r="G4" s="190"/>
      <c r="H4" s="43"/>
      <c r="I4" s="43"/>
      <c r="J4" s="43"/>
      <c r="K4" s="43"/>
      <c r="L4" s="43"/>
      <c r="M4" s="43"/>
      <c r="O4" s="186">
        <v>0</v>
      </c>
      <c r="P4" s="183" t="s">
        <v>189</v>
      </c>
      <c r="Q4" s="183" t="s">
        <v>189</v>
      </c>
      <c r="R4" s="138"/>
    </row>
    <row r="5" spans="2:18" ht="14.25" thickTop="1">
      <c r="B5" s="179">
        <v>1</v>
      </c>
      <c r="C5" s="148"/>
      <c r="D5" s="26"/>
      <c r="E5" s="65" t="str">
        <f>IF($C5&lt;&gt;"","ALERT_" &amp; D5 &amp; "_ID_"&amp;UPPER(Matrix!$D$6) &amp; "_" &amp; $C5,"")</f>
        <v/>
      </c>
      <c r="F5" s="112"/>
      <c r="G5" s="65" t="str">
        <f>IF(E5&lt;&gt;"",LEN(E5),"")</f>
        <v/>
      </c>
      <c r="O5" s="179">
        <v>1</v>
      </c>
      <c r="P5" s="148"/>
      <c r="Q5" s="148"/>
      <c r="R5" s="113"/>
    </row>
    <row r="6" spans="2:18">
      <c r="B6" s="179">
        <v>2</v>
      </c>
      <c r="C6" s="148"/>
      <c r="D6" s="26"/>
      <c r="E6" s="65" t="str">
        <f>IF($C6&lt;&gt;"","ALERT_" &amp; D6 &amp; "_ID_"&amp;UPPER(Matrix!$D$6) &amp; "_" &amp; $C6,"")</f>
        <v/>
      </c>
      <c r="F6" s="112"/>
      <c r="G6" s="65" t="str">
        <f t="shared" ref="G6:G29" si="0">IF(E6&lt;&gt;"",LEN(E6),"")</f>
        <v/>
      </c>
      <c r="O6" s="179">
        <v>2</v>
      </c>
      <c r="P6" s="148"/>
      <c r="Q6" s="148"/>
      <c r="R6" s="113"/>
    </row>
    <row r="7" spans="2:18">
      <c r="B7" s="179">
        <v>3</v>
      </c>
      <c r="C7" s="148"/>
      <c r="D7" s="26"/>
      <c r="E7" s="65" t="str">
        <f>IF($C7&lt;&gt;"","ALERT_" &amp; D7 &amp; "_ID_"&amp;UPPER(Matrix!$D$6) &amp; "_" &amp; $C7,"")</f>
        <v/>
      </c>
      <c r="F7" s="112"/>
      <c r="G7" s="65" t="str">
        <f t="shared" si="0"/>
        <v/>
      </c>
      <c r="O7" s="179">
        <v>3</v>
      </c>
      <c r="P7" s="148"/>
      <c r="Q7" s="148"/>
      <c r="R7" s="113"/>
    </row>
    <row r="8" spans="2:18">
      <c r="B8" s="179">
        <v>4</v>
      </c>
      <c r="C8" s="148"/>
      <c r="D8" s="26"/>
      <c r="E8" s="65" t="str">
        <f>IF($C8&lt;&gt;"","ALERT_" &amp; D8 &amp; "_ID_"&amp;UPPER(Matrix!$D$6) &amp; "_" &amp; $C8,"")</f>
        <v/>
      </c>
      <c r="F8" s="112"/>
      <c r="G8" s="65" t="str">
        <f t="shared" si="0"/>
        <v/>
      </c>
      <c r="O8" s="179">
        <v>4</v>
      </c>
      <c r="P8" s="148"/>
      <c r="Q8" s="148"/>
      <c r="R8" s="113"/>
    </row>
    <row r="9" spans="2:18">
      <c r="B9" s="179">
        <v>5</v>
      </c>
      <c r="C9" s="148"/>
      <c r="D9" s="26"/>
      <c r="E9" s="65" t="str">
        <f>IF($C9&lt;&gt;"","ALERT_" &amp; D9 &amp; "_ID_"&amp;UPPER(Matrix!$D$6) &amp; "_" &amp; $C9,"")</f>
        <v/>
      </c>
      <c r="F9" s="112"/>
      <c r="G9" s="65" t="str">
        <f t="shared" si="0"/>
        <v/>
      </c>
      <c r="O9" s="179">
        <v>5</v>
      </c>
      <c r="P9" s="148"/>
      <c r="Q9" s="148"/>
      <c r="R9" s="113"/>
    </row>
    <row r="10" spans="2:18">
      <c r="B10" s="179">
        <v>6</v>
      </c>
      <c r="C10" s="148"/>
      <c r="D10" s="26"/>
      <c r="E10" s="65" t="str">
        <f>IF($C10&lt;&gt;"","ALERT_" &amp; D10 &amp; "_ID_"&amp;UPPER(Matrix!$D$6) &amp; "_" &amp; $C10,"")</f>
        <v/>
      </c>
      <c r="F10" s="112"/>
      <c r="G10" s="65" t="str">
        <f t="shared" si="0"/>
        <v/>
      </c>
      <c r="O10" s="179">
        <v>6</v>
      </c>
      <c r="P10" s="148"/>
      <c r="Q10" s="148"/>
      <c r="R10" s="113"/>
    </row>
    <row r="11" spans="2:18">
      <c r="B11" s="179">
        <v>7</v>
      </c>
      <c r="C11" s="148"/>
      <c r="D11" s="26"/>
      <c r="E11" s="65" t="str">
        <f>IF($C11&lt;&gt;"","ALERT_" &amp; D11 &amp; "_ID_"&amp;UPPER(Matrix!$D$6) &amp; "_" &amp; $C11,"")</f>
        <v/>
      </c>
      <c r="F11" s="112"/>
      <c r="G11" s="65" t="str">
        <f t="shared" si="0"/>
        <v/>
      </c>
      <c r="O11" s="179">
        <v>7</v>
      </c>
      <c r="P11" s="148"/>
      <c r="Q11" s="148"/>
      <c r="R11" s="113"/>
    </row>
    <row r="12" spans="2:18">
      <c r="B12" s="179">
        <v>8</v>
      </c>
      <c r="C12" s="148"/>
      <c r="D12" s="26"/>
      <c r="E12" s="65" t="str">
        <f>IF($C12&lt;&gt;"","ALERT_" &amp; D12 &amp; "_ID_"&amp;UPPER(Matrix!$D$6) &amp; "_" &amp; $C12,"")</f>
        <v/>
      </c>
      <c r="F12" s="112"/>
      <c r="G12" s="65" t="str">
        <f t="shared" si="0"/>
        <v/>
      </c>
      <c r="O12" s="179">
        <v>8</v>
      </c>
      <c r="P12" s="148"/>
      <c r="Q12" s="148"/>
      <c r="R12" s="113"/>
    </row>
    <row r="13" spans="2:18">
      <c r="B13" s="179">
        <v>9</v>
      </c>
      <c r="C13" s="148"/>
      <c r="D13" s="26"/>
      <c r="E13" s="65" t="str">
        <f>IF($C13&lt;&gt;"","ALERT_" &amp; D13 &amp; "_ID_"&amp;UPPER(Matrix!$D$6) &amp; "_" &amp; $C13,"")</f>
        <v/>
      </c>
      <c r="F13" s="112"/>
      <c r="G13" s="65" t="str">
        <f t="shared" si="0"/>
        <v/>
      </c>
      <c r="O13" s="179">
        <v>9</v>
      </c>
      <c r="P13" s="148"/>
      <c r="Q13" s="148"/>
      <c r="R13" s="113"/>
    </row>
    <row r="14" spans="2:18">
      <c r="B14" s="179">
        <v>10</v>
      </c>
      <c r="C14" s="148"/>
      <c r="D14" s="26"/>
      <c r="E14" s="65" t="str">
        <f>IF($C14&lt;&gt;"","ALERT_" &amp; D14 &amp; "_ID_"&amp;UPPER(Matrix!$D$6) &amp; "_" &amp; $C14,"")</f>
        <v/>
      </c>
      <c r="F14" s="112"/>
      <c r="G14" s="65" t="str">
        <f t="shared" si="0"/>
        <v/>
      </c>
      <c r="O14" s="179">
        <v>10</v>
      </c>
      <c r="P14" s="148"/>
      <c r="Q14" s="148"/>
      <c r="R14" s="113"/>
    </row>
    <row r="15" spans="2:18">
      <c r="B15" s="179">
        <v>11</v>
      </c>
      <c r="C15" s="148"/>
      <c r="D15" s="26"/>
      <c r="E15" s="65" t="str">
        <f>IF($C15&lt;&gt;"","ALERT_" &amp; D15 &amp; "_ID_"&amp;UPPER(Matrix!$D$6) &amp; "_" &amp; $C15,"")</f>
        <v/>
      </c>
      <c r="F15" s="112"/>
      <c r="G15" s="65" t="str">
        <f t="shared" si="0"/>
        <v/>
      </c>
      <c r="O15" s="179">
        <v>11</v>
      </c>
      <c r="P15" s="148"/>
      <c r="Q15" s="148"/>
      <c r="R15" s="113"/>
    </row>
    <row r="16" spans="2:18">
      <c r="B16" s="179">
        <v>12</v>
      </c>
      <c r="C16" s="148"/>
      <c r="D16" s="26"/>
      <c r="E16" s="65" t="str">
        <f>IF($C16&lt;&gt;"","ALERT_" &amp; D16 &amp; "_ID_"&amp;UPPER(Matrix!$D$6) &amp; "_" &amp; $C16,"")</f>
        <v/>
      </c>
      <c r="F16" s="112"/>
      <c r="G16" s="65" t="str">
        <f t="shared" si="0"/>
        <v/>
      </c>
      <c r="O16" s="179">
        <v>12</v>
      </c>
      <c r="P16" s="148"/>
      <c r="Q16" s="148"/>
      <c r="R16" s="113"/>
    </row>
    <row r="17" spans="2:18">
      <c r="B17" s="179">
        <v>13</v>
      </c>
      <c r="C17" s="148"/>
      <c r="D17" s="26"/>
      <c r="E17" s="65" t="str">
        <f>IF($C17&lt;&gt;"","ALERT_" &amp; D17 &amp; "_ID_"&amp;UPPER(Matrix!$D$6) &amp; "_" &amp; $C17,"")</f>
        <v/>
      </c>
      <c r="F17" s="112"/>
      <c r="G17" s="65" t="str">
        <f t="shared" si="0"/>
        <v/>
      </c>
      <c r="O17" s="179">
        <v>13</v>
      </c>
      <c r="P17" s="148"/>
      <c r="Q17" s="148"/>
      <c r="R17" s="113"/>
    </row>
    <row r="18" spans="2:18">
      <c r="B18" s="179">
        <v>14</v>
      </c>
      <c r="C18" s="148"/>
      <c r="D18" s="26"/>
      <c r="E18" s="65" t="str">
        <f>IF($C18&lt;&gt;"","ALERT_" &amp; D18 &amp; "_ID_"&amp;UPPER(Matrix!$D$6) &amp; "_" &amp; $C18,"")</f>
        <v/>
      </c>
      <c r="F18" s="112"/>
      <c r="G18" s="65" t="str">
        <f t="shared" si="0"/>
        <v/>
      </c>
      <c r="O18" s="179">
        <v>14</v>
      </c>
      <c r="P18" s="148"/>
      <c r="Q18" s="148"/>
      <c r="R18" s="113"/>
    </row>
    <row r="19" spans="2:18">
      <c r="B19" s="179">
        <v>15</v>
      </c>
      <c r="C19" s="148"/>
      <c r="D19" s="26"/>
      <c r="E19" s="65" t="str">
        <f>IF($C19&lt;&gt;"","ALERT_" &amp; D19 &amp; "_ID_"&amp;UPPER(Matrix!$D$6) &amp; "_" &amp; $C19,"")</f>
        <v/>
      </c>
      <c r="F19" s="112"/>
      <c r="G19" s="65" t="str">
        <f t="shared" si="0"/>
        <v/>
      </c>
      <c r="O19" s="179">
        <v>15</v>
      </c>
      <c r="P19" s="148"/>
      <c r="Q19" s="148"/>
      <c r="R19" s="113"/>
    </row>
    <row r="20" spans="2:18">
      <c r="B20" s="179">
        <v>16</v>
      </c>
      <c r="C20" s="148"/>
      <c r="D20" s="26"/>
      <c r="E20" s="65" t="str">
        <f>IF($C20&lt;&gt;"","ALERT_" &amp; D20 &amp; "_ID_"&amp;UPPER(Matrix!$D$6) &amp; "_" &amp; $C20,"")</f>
        <v/>
      </c>
      <c r="F20" s="112"/>
      <c r="G20" s="65" t="str">
        <f t="shared" si="0"/>
        <v/>
      </c>
      <c r="O20" s="179">
        <v>16</v>
      </c>
      <c r="P20" s="148"/>
      <c r="Q20" s="148"/>
      <c r="R20" s="113"/>
    </row>
    <row r="21" spans="2:18">
      <c r="B21" s="179">
        <v>17</v>
      </c>
      <c r="C21" s="148"/>
      <c r="D21" s="26"/>
      <c r="E21" s="65" t="str">
        <f>IF($C21&lt;&gt;"","ALERT_" &amp; D21 &amp; "_ID_"&amp;UPPER(Matrix!$D$6) &amp; "_" &amp; $C21,"")</f>
        <v/>
      </c>
      <c r="F21" s="112"/>
      <c r="G21" s="65" t="str">
        <f t="shared" si="0"/>
        <v/>
      </c>
      <c r="O21" s="179">
        <v>17</v>
      </c>
      <c r="P21" s="148"/>
      <c r="Q21" s="148"/>
      <c r="R21" s="113"/>
    </row>
    <row r="22" spans="2:18">
      <c r="B22" s="179">
        <v>18</v>
      </c>
      <c r="C22" s="148"/>
      <c r="D22" s="26"/>
      <c r="E22" s="65" t="str">
        <f>IF($C22&lt;&gt;"","ALERT_" &amp; D22 &amp; "_ID_"&amp;UPPER(Matrix!$D$6) &amp; "_" &amp; $C22,"")</f>
        <v/>
      </c>
      <c r="F22" s="112"/>
      <c r="G22" s="65" t="str">
        <f t="shared" si="0"/>
        <v/>
      </c>
      <c r="O22" s="179">
        <v>18</v>
      </c>
      <c r="P22" s="148"/>
      <c r="Q22" s="148"/>
      <c r="R22" s="113"/>
    </row>
    <row r="23" spans="2:18">
      <c r="B23" s="179">
        <v>19</v>
      </c>
      <c r="C23" s="148"/>
      <c r="D23" s="26"/>
      <c r="E23" s="65" t="str">
        <f>IF($C23&lt;&gt;"","ALERT_" &amp; D23 &amp; "_ID_"&amp;UPPER(Matrix!$D$6) &amp; "_" &amp; $C23,"")</f>
        <v/>
      </c>
      <c r="F23" s="112"/>
      <c r="G23" s="65" t="str">
        <f t="shared" si="0"/>
        <v/>
      </c>
      <c r="O23" s="179">
        <v>19</v>
      </c>
      <c r="P23" s="148"/>
      <c r="Q23" s="148"/>
      <c r="R23" s="113"/>
    </row>
    <row r="24" spans="2:18">
      <c r="B24" s="179">
        <v>20</v>
      </c>
      <c r="C24" s="148"/>
      <c r="D24" s="26"/>
      <c r="E24" s="65" t="str">
        <f>IF($C24&lt;&gt;"","ALERT_" &amp; D24 &amp; "_ID_"&amp;UPPER(Matrix!$D$6) &amp; "_" &amp; $C24,"")</f>
        <v/>
      </c>
      <c r="F24" s="112"/>
      <c r="G24" s="65" t="str">
        <f t="shared" si="0"/>
        <v/>
      </c>
      <c r="O24" s="179">
        <v>20</v>
      </c>
      <c r="P24" s="148"/>
      <c r="Q24" s="148"/>
      <c r="R24" s="113"/>
    </row>
    <row r="25" spans="2:18">
      <c r="B25" s="179">
        <v>21</v>
      </c>
      <c r="C25" s="148"/>
      <c r="D25" s="26"/>
      <c r="E25" s="65" t="str">
        <f>IF($C25&lt;&gt;"","ALERT_" &amp; D25 &amp; "_ID_"&amp;UPPER(Matrix!$D$6) &amp; "_" &amp; $C25,"")</f>
        <v/>
      </c>
      <c r="F25" s="112"/>
      <c r="G25" s="65" t="str">
        <f t="shared" si="0"/>
        <v/>
      </c>
      <c r="O25" s="179">
        <v>21</v>
      </c>
      <c r="P25" s="148"/>
      <c r="Q25" s="148"/>
      <c r="R25" s="113"/>
    </row>
    <row r="26" spans="2:18">
      <c r="B26" s="179">
        <v>22</v>
      </c>
      <c r="C26" s="148"/>
      <c r="D26" s="26"/>
      <c r="E26" s="65" t="str">
        <f>IF($C26&lt;&gt;"","ALERT_" &amp; D26 &amp; "_ID_"&amp;UPPER(Matrix!$D$6) &amp; "_" &amp; $C26,"")</f>
        <v/>
      </c>
      <c r="F26" s="112"/>
      <c r="G26" s="65" t="str">
        <f t="shared" si="0"/>
        <v/>
      </c>
      <c r="O26" s="179">
        <v>22</v>
      </c>
      <c r="P26" s="148"/>
      <c r="Q26" s="148"/>
      <c r="R26" s="113"/>
    </row>
    <row r="27" spans="2:18">
      <c r="B27" s="179">
        <v>23</v>
      </c>
      <c r="C27" s="148"/>
      <c r="D27" s="26"/>
      <c r="E27" s="65" t="str">
        <f>IF($C27&lt;&gt;"","ALERT_" &amp; D27 &amp; "_ID_"&amp;UPPER(Matrix!$D$6) &amp; "_" &amp; $C27,"")</f>
        <v/>
      </c>
      <c r="F27" s="112"/>
      <c r="G27" s="65" t="str">
        <f t="shared" si="0"/>
        <v/>
      </c>
      <c r="O27" s="179">
        <v>23</v>
      </c>
      <c r="P27" s="148"/>
      <c r="Q27" s="148"/>
      <c r="R27" s="113"/>
    </row>
    <row r="28" spans="2:18">
      <c r="B28" s="179">
        <v>24</v>
      </c>
      <c r="C28" s="148"/>
      <c r="D28" s="26"/>
      <c r="E28" s="65" t="str">
        <f>IF($C28&lt;&gt;"","ALERT_" &amp; D28 &amp; "_ID_"&amp;UPPER(Matrix!$D$6) &amp; "_" &amp; $C28,"")</f>
        <v/>
      </c>
      <c r="F28" s="112"/>
      <c r="G28" s="65" t="str">
        <f t="shared" si="0"/>
        <v/>
      </c>
      <c r="O28" s="179">
        <v>24</v>
      </c>
      <c r="P28" s="148"/>
      <c r="Q28" s="148"/>
      <c r="R28" s="113"/>
    </row>
    <row r="29" spans="2:18" ht="14.25" thickBot="1">
      <c r="B29" s="180">
        <v>25</v>
      </c>
      <c r="C29" s="146"/>
      <c r="D29" s="51"/>
      <c r="E29" s="66" t="str">
        <f>IF($C29&lt;&gt;"","ALERT_" &amp; D29 &amp; "_ID_"&amp;UPPER(Matrix!$D$6) &amp; "_" &amp; $C29,"")</f>
        <v/>
      </c>
      <c r="F29" s="114"/>
      <c r="G29" s="66" t="str">
        <f t="shared" si="0"/>
        <v/>
      </c>
      <c r="O29" s="180">
        <v>25</v>
      </c>
      <c r="P29" s="146"/>
      <c r="Q29" s="146"/>
      <c r="R29" s="115"/>
    </row>
    <row r="32" spans="2:18" ht="14.25" thickBot="1">
      <c r="B32" t="s">
        <v>217</v>
      </c>
      <c r="O32" t="s">
        <v>214</v>
      </c>
    </row>
    <row r="33" spans="2:18" ht="14.25" thickBot="1">
      <c r="B33" s="144" t="s">
        <v>39</v>
      </c>
      <c r="C33" s="99" t="s">
        <v>205</v>
      </c>
      <c r="D33" s="99" t="s">
        <v>210</v>
      </c>
      <c r="E33" s="100" t="s">
        <v>208</v>
      </c>
      <c r="F33" s="185" t="s">
        <v>209</v>
      </c>
      <c r="G33" s="185" t="s">
        <v>221</v>
      </c>
      <c r="O33" s="144" t="s">
        <v>39</v>
      </c>
      <c r="P33" s="184" t="s">
        <v>202</v>
      </c>
      <c r="Q33" s="184" t="s">
        <v>219</v>
      </c>
      <c r="R33" s="185" t="s">
        <v>206</v>
      </c>
    </row>
    <row r="34" spans="2:18" ht="14.25" hidden="1" thickTop="1">
      <c r="B34" s="176">
        <v>0</v>
      </c>
      <c r="C34" s="177" t="s">
        <v>189</v>
      </c>
      <c r="D34" s="177"/>
      <c r="E34" s="178"/>
      <c r="F34" s="187" t="s">
        <v>189</v>
      </c>
      <c r="G34" s="190"/>
      <c r="O34" s="186">
        <v>0</v>
      </c>
      <c r="P34" s="183" t="s">
        <v>189</v>
      </c>
      <c r="Q34" s="183" t="s">
        <v>189</v>
      </c>
      <c r="R34" s="187" t="s">
        <v>189</v>
      </c>
    </row>
    <row r="35" spans="2:18" ht="14.25" thickTop="1">
      <c r="B35" s="179">
        <v>1</v>
      </c>
      <c r="C35" s="148"/>
      <c r="D35" s="26"/>
      <c r="E35" s="65" t="str">
        <f>IF($C35&lt;&gt;"","ALERT_" &amp; UPPER(Matrix!$D$6) &amp; "_" &amp; $C35,"")</f>
        <v/>
      </c>
      <c r="F35" s="181"/>
      <c r="G35" s="65" t="str">
        <f>IF(E35&lt;&gt;"",LEN(E35),"")</f>
        <v/>
      </c>
      <c r="O35" s="179">
        <v>1</v>
      </c>
      <c r="P35" s="148"/>
      <c r="Q35" s="148"/>
      <c r="R35" s="181"/>
    </row>
    <row r="36" spans="2:18">
      <c r="B36" s="179">
        <v>2</v>
      </c>
      <c r="C36" s="148"/>
      <c r="D36" s="26"/>
      <c r="E36" s="65" t="str">
        <f>IF($C36&lt;&gt;"","ALERT_" &amp; UPPER(Matrix!$D$6) &amp; "_" &amp; $C36,"")</f>
        <v/>
      </c>
      <c r="F36" s="181"/>
      <c r="G36" s="65" t="str">
        <f>IF(E36&lt;&gt;"",LEN(E36),"")</f>
        <v/>
      </c>
      <c r="O36" s="179">
        <v>2</v>
      </c>
      <c r="P36" s="148"/>
      <c r="Q36" s="148"/>
      <c r="R36" s="181"/>
    </row>
    <row r="37" spans="2:18">
      <c r="B37" s="179">
        <v>3</v>
      </c>
      <c r="C37" s="148"/>
      <c r="D37" s="26"/>
      <c r="E37" s="65" t="str">
        <f>IF($C37&lt;&gt;"","ALERT_" &amp; UPPER(Matrix!$D$6) &amp; "_" &amp; $C37,"")</f>
        <v/>
      </c>
      <c r="F37" s="181"/>
      <c r="G37" s="65" t="str">
        <f>IF(E37&lt;&gt;"",LEN(E37),"")</f>
        <v/>
      </c>
      <c r="O37" s="179">
        <v>3</v>
      </c>
      <c r="P37" s="148"/>
      <c r="Q37" s="148"/>
      <c r="R37" s="181"/>
    </row>
    <row r="38" spans="2:18">
      <c r="B38" s="179">
        <v>4</v>
      </c>
      <c r="C38" s="148"/>
      <c r="D38" s="26"/>
      <c r="E38" s="65" t="str">
        <f>IF($C38&lt;&gt;"","ALERT_" &amp; UPPER(Matrix!$D$6) &amp; "_" &amp; $C38,"")</f>
        <v/>
      </c>
      <c r="F38" s="181"/>
      <c r="G38" s="65" t="str">
        <f t="shared" ref="G38:G59" si="1">IF(E38&lt;&gt;"",LEN(E38),"")</f>
        <v/>
      </c>
      <c r="O38" s="179">
        <v>4</v>
      </c>
      <c r="P38" s="148"/>
      <c r="Q38" s="148"/>
      <c r="R38" s="181"/>
    </row>
    <row r="39" spans="2:18">
      <c r="B39" s="179">
        <v>5</v>
      </c>
      <c r="C39" s="148"/>
      <c r="D39" s="26"/>
      <c r="E39" s="65" t="str">
        <f>IF($C39&lt;&gt;"","ALERT_" &amp; UPPER(Matrix!$D$6) &amp; "_" &amp; $C39,"")</f>
        <v/>
      </c>
      <c r="F39" s="181"/>
      <c r="G39" s="65" t="str">
        <f t="shared" si="1"/>
        <v/>
      </c>
      <c r="O39" s="179">
        <v>5</v>
      </c>
      <c r="P39" s="148"/>
      <c r="Q39" s="148"/>
      <c r="R39" s="181"/>
    </row>
    <row r="40" spans="2:18">
      <c r="B40" s="179">
        <v>6</v>
      </c>
      <c r="C40" s="148"/>
      <c r="D40" s="26"/>
      <c r="E40" s="65" t="str">
        <f>IF($C40&lt;&gt;"","ALERT_" &amp; UPPER(Matrix!$D$6) &amp; "_" &amp; $C40,"")</f>
        <v/>
      </c>
      <c r="F40" s="181"/>
      <c r="G40" s="65" t="str">
        <f t="shared" si="1"/>
        <v/>
      </c>
      <c r="O40" s="179">
        <v>6</v>
      </c>
      <c r="P40" s="148"/>
      <c r="Q40" s="148"/>
      <c r="R40" s="181"/>
    </row>
    <row r="41" spans="2:18">
      <c r="B41" s="179">
        <v>7</v>
      </c>
      <c r="C41" s="148"/>
      <c r="D41" s="26"/>
      <c r="E41" s="65" t="str">
        <f>IF($C41&lt;&gt;"","ALERT_" &amp; UPPER(Matrix!$D$6) &amp; "_" &amp; $C41,"")</f>
        <v/>
      </c>
      <c r="F41" s="181"/>
      <c r="G41" s="65" t="str">
        <f t="shared" si="1"/>
        <v/>
      </c>
      <c r="O41" s="179">
        <v>7</v>
      </c>
      <c r="P41" s="148"/>
      <c r="Q41" s="148"/>
      <c r="R41" s="181"/>
    </row>
    <row r="42" spans="2:18">
      <c r="B42" s="179">
        <v>8</v>
      </c>
      <c r="C42" s="148"/>
      <c r="D42" s="26"/>
      <c r="E42" s="65" t="str">
        <f>IF($C42&lt;&gt;"","ALERT_" &amp; UPPER(Matrix!$D$6) &amp; "_" &amp; $C42,"")</f>
        <v/>
      </c>
      <c r="F42" s="181"/>
      <c r="G42" s="65" t="str">
        <f t="shared" si="1"/>
        <v/>
      </c>
      <c r="O42" s="179">
        <v>8</v>
      </c>
      <c r="P42" s="148"/>
      <c r="Q42" s="148"/>
      <c r="R42" s="181"/>
    </row>
    <row r="43" spans="2:18">
      <c r="B43" s="179">
        <v>9</v>
      </c>
      <c r="C43" s="148"/>
      <c r="D43" s="26"/>
      <c r="E43" s="65" t="str">
        <f>IF($C43&lt;&gt;"","ALERT_" &amp; UPPER(Matrix!$D$6) &amp; "_" &amp; $C43,"")</f>
        <v/>
      </c>
      <c r="F43" s="181"/>
      <c r="G43" s="65" t="str">
        <f t="shared" si="1"/>
        <v/>
      </c>
      <c r="O43" s="179">
        <v>9</v>
      </c>
      <c r="P43" s="148"/>
      <c r="Q43" s="148"/>
      <c r="R43" s="181"/>
    </row>
    <row r="44" spans="2:18">
      <c r="B44" s="179">
        <v>10</v>
      </c>
      <c r="C44" s="148"/>
      <c r="D44" s="26"/>
      <c r="E44" s="65" t="str">
        <f>IF($C44&lt;&gt;"","ALERT_" &amp; UPPER(Matrix!$D$6) &amp; "_" &amp; $C44,"")</f>
        <v/>
      </c>
      <c r="F44" s="181"/>
      <c r="G44" s="65" t="str">
        <f t="shared" si="1"/>
        <v/>
      </c>
      <c r="O44" s="179">
        <v>10</v>
      </c>
      <c r="P44" s="148"/>
      <c r="Q44" s="148"/>
      <c r="R44" s="181"/>
    </row>
    <row r="45" spans="2:18">
      <c r="B45" s="179">
        <v>11</v>
      </c>
      <c r="C45" s="148"/>
      <c r="D45" s="26"/>
      <c r="E45" s="65" t="str">
        <f>IF($C45&lt;&gt;"","ALERT_" &amp; UPPER(Matrix!$D$6) &amp; "_" &amp; $C45,"")</f>
        <v/>
      </c>
      <c r="F45" s="181"/>
      <c r="G45" s="65" t="str">
        <f t="shared" si="1"/>
        <v/>
      </c>
      <c r="O45" s="179">
        <v>11</v>
      </c>
      <c r="P45" s="148"/>
      <c r="Q45" s="148"/>
      <c r="R45" s="181"/>
    </row>
    <row r="46" spans="2:18">
      <c r="B46" s="179">
        <v>12</v>
      </c>
      <c r="C46" s="148"/>
      <c r="D46" s="26"/>
      <c r="E46" s="65" t="str">
        <f>IF($C46&lt;&gt;"","ALERT_" &amp; UPPER(Matrix!$D$6) &amp; "_" &amp; $C46,"")</f>
        <v/>
      </c>
      <c r="F46" s="181"/>
      <c r="G46" s="65" t="str">
        <f t="shared" si="1"/>
        <v/>
      </c>
      <c r="O46" s="179">
        <v>12</v>
      </c>
      <c r="P46" s="148"/>
      <c r="Q46" s="148"/>
      <c r="R46" s="181"/>
    </row>
    <row r="47" spans="2:18">
      <c r="B47" s="179">
        <v>13</v>
      </c>
      <c r="C47" s="148"/>
      <c r="D47" s="26"/>
      <c r="E47" s="65" t="str">
        <f>IF($C47&lt;&gt;"","ALERT_" &amp; UPPER(Matrix!$D$6) &amp; "_" &amp; $C47,"")</f>
        <v/>
      </c>
      <c r="F47" s="181"/>
      <c r="G47" s="65" t="str">
        <f t="shared" si="1"/>
        <v/>
      </c>
      <c r="O47" s="179">
        <v>13</v>
      </c>
      <c r="P47" s="148"/>
      <c r="Q47" s="148"/>
      <c r="R47" s="181"/>
    </row>
    <row r="48" spans="2:18">
      <c r="B48" s="179">
        <v>14</v>
      </c>
      <c r="C48" s="148"/>
      <c r="D48" s="26"/>
      <c r="E48" s="65" t="str">
        <f>IF($C48&lt;&gt;"","ALERT_" &amp; UPPER(Matrix!$D$6) &amp; "_" &amp; $C48,"")</f>
        <v/>
      </c>
      <c r="F48" s="181"/>
      <c r="G48" s="65" t="str">
        <f t="shared" si="1"/>
        <v/>
      </c>
      <c r="O48" s="179">
        <v>14</v>
      </c>
      <c r="P48" s="148"/>
      <c r="Q48" s="148"/>
      <c r="R48" s="181"/>
    </row>
    <row r="49" spans="2:18">
      <c r="B49" s="179">
        <v>15</v>
      </c>
      <c r="C49" s="148"/>
      <c r="D49" s="26"/>
      <c r="E49" s="65" t="str">
        <f>IF($C49&lt;&gt;"","ALERT_" &amp; UPPER(Matrix!$D$6) &amp; "_" &amp; $C49,"")</f>
        <v/>
      </c>
      <c r="F49" s="181"/>
      <c r="G49" s="65" t="str">
        <f t="shared" si="1"/>
        <v/>
      </c>
      <c r="O49" s="179">
        <v>15</v>
      </c>
      <c r="P49" s="148"/>
      <c r="Q49" s="148"/>
      <c r="R49" s="181"/>
    </row>
    <row r="50" spans="2:18">
      <c r="B50" s="179">
        <v>16</v>
      </c>
      <c r="C50" s="148"/>
      <c r="D50" s="26"/>
      <c r="E50" s="65" t="str">
        <f>IF($C50&lt;&gt;"","ALERT_" &amp; UPPER(Matrix!$D$6) &amp; "_" &amp; $C50,"")</f>
        <v/>
      </c>
      <c r="F50" s="181"/>
      <c r="G50" s="65" t="str">
        <f t="shared" si="1"/>
        <v/>
      </c>
      <c r="O50" s="179">
        <v>16</v>
      </c>
      <c r="P50" s="148"/>
      <c r="Q50" s="148"/>
      <c r="R50" s="181"/>
    </row>
    <row r="51" spans="2:18">
      <c r="B51" s="179">
        <v>17</v>
      </c>
      <c r="C51" s="148"/>
      <c r="D51" s="26"/>
      <c r="E51" s="65" t="str">
        <f>IF($C51&lt;&gt;"","ALERT_" &amp; UPPER(Matrix!$D$6) &amp; "_" &amp; $C51,"")</f>
        <v/>
      </c>
      <c r="F51" s="181"/>
      <c r="G51" s="65" t="str">
        <f t="shared" si="1"/>
        <v/>
      </c>
      <c r="O51" s="179">
        <v>17</v>
      </c>
      <c r="P51" s="148"/>
      <c r="Q51" s="148"/>
      <c r="R51" s="181"/>
    </row>
    <row r="52" spans="2:18">
      <c r="B52" s="179">
        <v>18</v>
      </c>
      <c r="C52" s="148"/>
      <c r="D52" s="26"/>
      <c r="E52" s="65" t="str">
        <f>IF($C52&lt;&gt;"","ALERT_" &amp; UPPER(Matrix!$D$6) &amp; "_" &amp; $C52,"")</f>
        <v/>
      </c>
      <c r="F52" s="181"/>
      <c r="G52" s="65" t="str">
        <f t="shared" si="1"/>
        <v/>
      </c>
      <c r="O52" s="179">
        <v>18</v>
      </c>
      <c r="P52" s="148"/>
      <c r="Q52" s="148"/>
      <c r="R52" s="181"/>
    </row>
    <row r="53" spans="2:18">
      <c r="B53" s="179">
        <v>19</v>
      </c>
      <c r="C53" s="148"/>
      <c r="D53" s="26"/>
      <c r="E53" s="65" t="str">
        <f>IF($C53&lt;&gt;"","ALERT_" &amp; UPPER(Matrix!$D$6) &amp; "_" &amp; $C53,"")</f>
        <v/>
      </c>
      <c r="F53" s="181"/>
      <c r="G53" s="65" t="str">
        <f t="shared" si="1"/>
        <v/>
      </c>
      <c r="O53" s="179">
        <v>19</v>
      </c>
      <c r="P53" s="148"/>
      <c r="Q53" s="148"/>
      <c r="R53" s="181"/>
    </row>
    <row r="54" spans="2:18">
      <c r="B54" s="179">
        <v>20</v>
      </c>
      <c r="C54" s="148"/>
      <c r="D54" s="26"/>
      <c r="E54" s="65" t="str">
        <f>IF($C54&lt;&gt;"","ALERT_" &amp; UPPER(Matrix!$D$6) &amp; "_" &amp; $C54,"")</f>
        <v/>
      </c>
      <c r="F54" s="181"/>
      <c r="G54" s="65" t="str">
        <f t="shared" si="1"/>
        <v/>
      </c>
      <c r="O54" s="179">
        <v>20</v>
      </c>
      <c r="P54" s="148"/>
      <c r="Q54" s="148"/>
      <c r="R54" s="181"/>
    </row>
    <row r="55" spans="2:18">
      <c r="B55" s="179">
        <v>21</v>
      </c>
      <c r="C55" s="148"/>
      <c r="D55" s="26"/>
      <c r="E55" s="65" t="str">
        <f>IF($C55&lt;&gt;"","ALERT_" &amp; UPPER(Matrix!$D$6) &amp; "_" &amp; $C55,"")</f>
        <v/>
      </c>
      <c r="F55" s="181"/>
      <c r="G55" s="65" t="str">
        <f t="shared" si="1"/>
        <v/>
      </c>
      <c r="O55" s="179">
        <v>21</v>
      </c>
      <c r="P55" s="148"/>
      <c r="Q55" s="148"/>
      <c r="R55" s="181"/>
    </row>
    <row r="56" spans="2:18">
      <c r="B56" s="179">
        <v>22</v>
      </c>
      <c r="C56" s="148"/>
      <c r="D56" s="26"/>
      <c r="E56" s="65" t="str">
        <f>IF($C56&lt;&gt;"","ALERT_" &amp; UPPER(Matrix!$D$6) &amp; "_" &amp; $C56,"")</f>
        <v/>
      </c>
      <c r="F56" s="181"/>
      <c r="G56" s="65" t="str">
        <f t="shared" si="1"/>
        <v/>
      </c>
      <c r="O56" s="179">
        <v>22</v>
      </c>
      <c r="P56" s="148"/>
      <c r="Q56" s="148"/>
      <c r="R56" s="181"/>
    </row>
    <row r="57" spans="2:18">
      <c r="B57" s="179">
        <v>23</v>
      </c>
      <c r="C57" s="148"/>
      <c r="D57" s="26"/>
      <c r="E57" s="65" t="str">
        <f>IF($C57&lt;&gt;"","ALERT_" &amp; UPPER(Matrix!$D$6) &amp; "_" &amp; $C57,"")</f>
        <v/>
      </c>
      <c r="F57" s="181"/>
      <c r="G57" s="65" t="str">
        <f t="shared" si="1"/>
        <v/>
      </c>
      <c r="O57" s="179">
        <v>23</v>
      </c>
      <c r="P57" s="148"/>
      <c r="Q57" s="148"/>
      <c r="R57" s="181"/>
    </row>
    <row r="58" spans="2:18">
      <c r="B58" s="179">
        <v>24</v>
      </c>
      <c r="C58" s="148"/>
      <c r="D58" s="26"/>
      <c r="E58" s="65" t="str">
        <f>IF($C58&lt;&gt;"","ALERT_" &amp; UPPER(Matrix!$D$6) &amp; "_" &amp; $C58,"")</f>
        <v/>
      </c>
      <c r="F58" s="181"/>
      <c r="G58" s="65" t="str">
        <f t="shared" si="1"/>
        <v/>
      </c>
      <c r="O58" s="179">
        <v>24</v>
      </c>
      <c r="P58" s="148"/>
      <c r="Q58" s="148"/>
      <c r="R58" s="181"/>
    </row>
    <row r="59" spans="2:18" ht="14.25" thickBot="1">
      <c r="B59" s="180">
        <v>25</v>
      </c>
      <c r="C59" s="146"/>
      <c r="D59" s="51"/>
      <c r="E59" s="66" t="str">
        <f>IF($C59&lt;&gt;"","ALERT_" &amp; UPPER(Matrix!$D$6) &amp; "_" &amp; $C59,"")</f>
        <v/>
      </c>
      <c r="F59" s="182"/>
      <c r="G59" s="66" t="str">
        <f t="shared" si="1"/>
        <v/>
      </c>
      <c r="O59" s="180">
        <v>25</v>
      </c>
      <c r="P59" s="146"/>
      <c r="Q59" s="146"/>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37.125" bestFit="1"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5" t="s">
        <v>112</v>
      </c>
    </row>
    <row r="2" spans="2:21" ht="14.25" thickBot="1">
      <c r="B2" s="93" t="s">
        <v>63</v>
      </c>
      <c r="C2" s="94" t="s">
        <v>134</v>
      </c>
      <c r="D2" s="95" t="s">
        <v>57</v>
      </c>
      <c r="E2" s="96" t="s">
        <v>58</v>
      </c>
      <c r="F2" s="97" t="s">
        <v>24</v>
      </c>
      <c r="G2" s="96" t="s">
        <v>59</v>
      </c>
      <c r="H2" s="97" t="s">
        <v>26</v>
      </c>
      <c r="I2" s="96" t="s">
        <v>60</v>
      </c>
      <c r="J2" s="97" t="s">
        <v>186</v>
      </c>
      <c r="K2" s="96" t="s">
        <v>61</v>
      </c>
      <c r="L2" s="97" t="s">
        <v>27</v>
      </c>
      <c r="M2" s="94" t="s">
        <v>62</v>
      </c>
      <c r="N2" s="97" t="s">
        <v>129</v>
      </c>
      <c r="O2" s="118" t="s">
        <v>89</v>
      </c>
    </row>
    <row r="3" spans="2:21" ht="15" hidden="1" thickTop="1" thickBot="1">
      <c r="B3" s="27"/>
      <c r="C3" s="48" t="s">
        <v>116</v>
      </c>
      <c r="D3" s="109"/>
      <c r="E3" s="13"/>
      <c r="F3" s="15"/>
      <c r="G3" s="13"/>
      <c r="H3" s="15"/>
      <c r="I3" s="13"/>
      <c r="J3" s="15"/>
      <c r="K3" s="13"/>
      <c r="L3" s="15"/>
      <c r="M3" s="49"/>
      <c r="N3" s="105"/>
      <c r="O3" s="119"/>
      <c r="U3" s="89" t="s">
        <v>106</v>
      </c>
    </row>
    <row r="4" spans="2:21" ht="14.25" thickTop="1">
      <c r="B4" s="27" t="s">
        <v>576</v>
      </c>
      <c r="C4" s="48" t="s">
        <v>580</v>
      </c>
      <c r="D4" s="109">
        <v>0</v>
      </c>
      <c r="E4" s="110" t="s">
        <v>138</v>
      </c>
      <c r="F4" s="111" t="s">
        <v>31</v>
      </c>
      <c r="G4" s="110" t="s">
        <v>138</v>
      </c>
      <c r="H4" s="111" t="s">
        <v>518</v>
      </c>
      <c r="I4" s="110" t="s">
        <v>138</v>
      </c>
      <c r="J4" s="111" t="s">
        <v>31</v>
      </c>
      <c r="K4" s="110" t="s">
        <v>138</v>
      </c>
      <c r="L4" s="111" t="s">
        <v>31</v>
      </c>
      <c r="M4" s="49">
        <f ca="1">LEN(N4)</f>
        <v>29</v>
      </c>
      <c r="N4" s="105" t="str">
        <f ca="1">VLOOKUP($B4,Matrix!$H$13:$I$37,2,FALSE)&amp;"_"&amp;C4</f>
        <v>ALERT_REQ_S_TMBZR_BC_AD_ANN_0</v>
      </c>
      <c r="O4" s="119" t="str">
        <f t="shared" ref="O4:O35" ca="1" si="0">"#define "&amp;N4&amp;REPT(" ",48-M4)&amp;"("&amp;D4&amp;"U)"</f>
        <v>#define ALERT_REQ_S_TMBZR_BC_AD_ANN_0                   (0U)</v>
      </c>
      <c r="U4" s="89" t="s">
        <v>106</v>
      </c>
    </row>
    <row r="5" spans="2:21">
      <c r="B5" s="27" t="s">
        <v>576</v>
      </c>
      <c r="C5" s="26" t="s">
        <v>581</v>
      </c>
      <c r="D5" s="112">
        <v>1</v>
      </c>
      <c r="E5" s="27" t="s">
        <v>138</v>
      </c>
      <c r="F5" s="113" t="s">
        <v>31</v>
      </c>
      <c r="G5" s="27" t="s">
        <v>138</v>
      </c>
      <c r="H5" s="113" t="s">
        <v>523</v>
      </c>
      <c r="I5" s="27" t="s">
        <v>138</v>
      </c>
      <c r="J5" s="113" t="s">
        <v>31</v>
      </c>
      <c r="K5" s="27" t="s">
        <v>138</v>
      </c>
      <c r="L5" s="113" t="s">
        <v>31</v>
      </c>
      <c r="M5" s="44">
        <f t="shared" ref="M5:M68" ca="1" si="1">LEN(N5)</f>
        <v>29</v>
      </c>
      <c r="N5" s="105" t="str">
        <f ca="1">VLOOKUP($B5,Matrix!$H$13:$I$37,2,FALSE)&amp;"_"&amp;C5</f>
        <v>ALERT_REQ_S_TMBZR_BC_AD_ANN_1</v>
      </c>
      <c r="O5" s="120" t="str">
        <f t="shared" ca="1" si="0"/>
        <v>#define ALERT_REQ_S_TMBZR_BC_AD_ANN_1                   (1U)</v>
      </c>
      <c r="U5" s="87" t="s">
        <v>107</v>
      </c>
    </row>
    <row r="6" spans="2:21">
      <c r="B6" s="27" t="s">
        <v>576</v>
      </c>
      <c r="C6" s="102" t="s">
        <v>582</v>
      </c>
      <c r="D6" s="116">
        <v>2</v>
      </c>
      <c r="E6" s="27" t="s">
        <v>138</v>
      </c>
      <c r="F6" s="113" t="s">
        <v>31</v>
      </c>
      <c r="G6" s="27" t="s">
        <v>138</v>
      </c>
      <c r="H6" s="113" t="s">
        <v>528</v>
      </c>
      <c r="I6" s="27" t="s">
        <v>138</v>
      </c>
      <c r="J6" s="113" t="s">
        <v>31</v>
      </c>
      <c r="K6" s="27" t="s">
        <v>138</v>
      </c>
      <c r="L6" s="113" t="s">
        <v>31</v>
      </c>
      <c r="M6" s="44">
        <f t="shared" ca="1" si="1"/>
        <v>29</v>
      </c>
      <c r="N6" s="105" t="str">
        <f ca="1">VLOOKUP($B6,Matrix!$H$13:$I$37,2,FALSE)&amp;"_"&amp;C6</f>
        <v>ALERT_REQ_S_TMBZR_BC_AD_ANN_2</v>
      </c>
      <c r="O6" s="120" t="str">
        <f t="shared" ca="1" si="0"/>
        <v>#define ALERT_REQ_S_TMBZR_BC_AD_ANN_2                   (2U)</v>
      </c>
      <c r="U6" s="30" t="s">
        <v>108</v>
      </c>
    </row>
    <row r="7" spans="2:21">
      <c r="B7" s="104" t="s">
        <v>576</v>
      </c>
      <c r="C7" s="103" t="s">
        <v>583</v>
      </c>
      <c r="D7" s="117">
        <v>3</v>
      </c>
      <c r="E7" s="27" t="s">
        <v>138</v>
      </c>
      <c r="F7" s="113" t="s">
        <v>31</v>
      </c>
      <c r="G7" s="27" t="s">
        <v>138</v>
      </c>
      <c r="H7" s="113" t="s">
        <v>533</v>
      </c>
      <c r="I7" s="27" t="s">
        <v>138</v>
      </c>
      <c r="J7" s="113" t="s">
        <v>31</v>
      </c>
      <c r="K7" s="27" t="s">
        <v>138</v>
      </c>
      <c r="L7" s="113" t="s">
        <v>31</v>
      </c>
      <c r="M7" s="44">
        <f t="shared" ca="1" si="1"/>
        <v>29</v>
      </c>
      <c r="N7" s="105" t="str">
        <f ca="1">VLOOKUP($B7,Matrix!$H$13:$I$37,2,FALSE)&amp;"_"&amp;C7</f>
        <v>ALERT_REQ_S_TMBZR_BC_AD_ANN_3</v>
      </c>
      <c r="O7" s="120" t="str">
        <f t="shared" ca="1" si="0"/>
        <v>#define ALERT_REQ_S_TMBZR_BC_AD_ANN_3                   (3U)</v>
      </c>
      <c r="U7" s="30" t="s">
        <v>109</v>
      </c>
    </row>
    <row r="8" spans="2:21">
      <c r="B8" s="104" t="s">
        <v>576</v>
      </c>
      <c r="C8" s="103" t="s">
        <v>584</v>
      </c>
      <c r="D8" s="117">
        <v>4</v>
      </c>
      <c r="E8" s="27" t="s">
        <v>138</v>
      </c>
      <c r="F8" s="113" t="s">
        <v>31</v>
      </c>
      <c r="G8" s="27" t="s">
        <v>138</v>
      </c>
      <c r="H8" s="113" t="s">
        <v>538</v>
      </c>
      <c r="I8" s="27" t="s">
        <v>138</v>
      </c>
      <c r="J8" s="113" t="s">
        <v>31</v>
      </c>
      <c r="K8" s="27" t="s">
        <v>138</v>
      </c>
      <c r="L8" s="113" t="s">
        <v>31</v>
      </c>
      <c r="M8" s="44">
        <f t="shared" ca="1" si="1"/>
        <v>29</v>
      </c>
      <c r="N8" s="105" t="str">
        <f ca="1">VLOOKUP($B8,Matrix!$H$13:$I$37,2,FALSE)&amp;"_"&amp;C8</f>
        <v>ALERT_REQ_S_TMBZR_BC_AD_ANN_4</v>
      </c>
      <c r="O8" s="120" t="str">
        <f t="shared" ca="1" si="0"/>
        <v>#define ALERT_REQ_S_TMBZR_BC_AD_ANN_4                   (4U)</v>
      </c>
      <c r="U8" s="30" t="s">
        <v>110</v>
      </c>
    </row>
    <row r="9" spans="2:21">
      <c r="B9" s="27" t="s">
        <v>576</v>
      </c>
      <c r="C9" s="26" t="s">
        <v>585</v>
      </c>
      <c r="D9" s="112">
        <v>5</v>
      </c>
      <c r="E9" s="27" t="s">
        <v>138</v>
      </c>
      <c r="F9" s="113" t="s">
        <v>31</v>
      </c>
      <c r="G9" s="27" t="s">
        <v>138</v>
      </c>
      <c r="H9" s="113" t="s">
        <v>541</v>
      </c>
      <c r="I9" s="27" t="s">
        <v>138</v>
      </c>
      <c r="J9" s="113" t="s">
        <v>31</v>
      </c>
      <c r="K9" s="27" t="s">
        <v>138</v>
      </c>
      <c r="L9" s="113" t="s">
        <v>31</v>
      </c>
      <c r="M9" s="44">
        <f t="shared" ca="1" si="1"/>
        <v>31</v>
      </c>
      <c r="N9" s="105" t="str">
        <f ca="1">VLOOKUP($B9,Matrix!$H$13:$I$37,2,FALSE)&amp;"_"&amp;C9</f>
        <v>ALERT_REQ_S_TMBZR_BC_AD_ANN_4P5</v>
      </c>
      <c r="O9" s="120" t="str">
        <f t="shared" ca="1" si="0"/>
        <v>#define ALERT_REQ_S_TMBZR_BC_AD_ANN_4P5                 (5U)</v>
      </c>
      <c r="U9" s="30" t="s">
        <v>111</v>
      </c>
    </row>
    <row r="10" spans="2:21">
      <c r="B10" s="27" t="s">
        <v>576</v>
      </c>
      <c r="C10" s="26" t="s">
        <v>586</v>
      </c>
      <c r="D10" s="112">
        <v>6</v>
      </c>
      <c r="E10" s="27" t="s">
        <v>138</v>
      </c>
      <c r="F10" s="113" t="s">
        <v>31</v>
      </c>
      <c r="G10" s="27" t="s">
        <v>138</v>
      </c>
      <c r="H10" s="113" t="s">
        <v>517</v>
      </c>
      <c r="I10" s="27" t="s">
        <v>138</v>
      </c>
      <c r="J10" s="113" t="s">
        <v>31</v>
      </c>
      <c r="K10" s="27" t="s">
        <v>138</v>
      </c>
      <c r="L10" s="113" t="s">
        <v>31</v>
      </c>
      <c r="M10" s="44">
        <f t="shared" ca="1" si="1"/>
        <v>29</v>
      </c>
      <c r="N10" s="105" t="str">
        <f ca="1">VLOOKUP($B10,Matrix!$H$13:$I$37,2,FALSE)&amp;"_"&amp;C10</f>
        <v>ALERT_REQ_S_TMBZR_BC_AD_RCV_0</v>
      </c>
      <c r="O10" s="120" t="str">
        <f t="shared" ca="1" si="0"/>
        <v>#define ALERT_REQ_S_TMBZR_BC_AD_RCV_0                   (6U)</v>
      </c>
      <c r="U10" s="30"/>
    </row>
    <row r="11" spans="2:21">
      <c r="B11" s="27" t="s">
        <v>576</v>
      </c>
      <c r="C11" s="26" t="s">
        <v>587</v>
      </c>
      <c r="D11" s="112">
        <v>7</v>
      </c>
      <c r="E11" s="27" t="s">
        <v>138</v>
      </c>
      <c r="F11" s="113" t="s">
        <v>31</v>
      </c>
      <c r="G11" s="27" t="s">
        <v>138</v>
      </c>
      <c r="H11" s="113" t="s">
        <v>522</v>
      </c>
      <c r="I11" s="27" t="s">
        <v>138</v>
      </c>
      <c r="J11" s="113" t="s">
        <v>31</v>
      </c>
      <c r="K11" s="27" t="s">
        <v>138</v>
      </c>
      <c r="L11" s="113" t="s">
        <v>31</v>
      </c>
      <c r="M11" s="44">
        <f t="shared" ca="1" si="1"/>
        <v>29</v>
      </c>
      <c r="N11" s="105" t="str">
        <f ca="1">VLOOKUP($B11,Matrix!$H$13:$I$37,2,FALSE)&amp;"_"&amp;C11</f>
        <v>ALERT_REQ_S_TMBZR_BC_AD_RCV_1</v>
      </c>
      <c r="O11" s="120" t="str">
        <f t="shared" ca="1" si="0"/>
        <v>#define ALERT_REQ_S_TMBZR_BC_AD_RCV_1                   (7U)</v>
      </c>
      <c r="U11" s="30"/>
    </row>
    <row r="12" spans="2:21">
      <c r="B12" s="27" t="s">
        <v>576</v>
      </c>
      <c r="C12" s="26" t="s">
        <v>588</v>
      </c>
      <c r="D12" s="112">
        <v>8</v>
      </c>
      <c r="E12" s="27" t="s">
        <v>138</v>
      </c>
      <c r="F12" s="113" t="s">
        <v>31</v>
      </c>
      <c r="G12" s="27" t="s">
        <v>138</v>
      </c>
      <c r="H12" s="113" t="s">
        <v>527</v>
      </c>
      <c r="I12" s="27" t="s">
        <v>138</v>
      </c>
      <c r="J12" s="113" t="s">
        <v>31</v>
      </c>
      <c r="K12" s="27" t="s">
        <v>138</v>
      </c>
      <c r="L12" s="113" t="s">
        <v>31</v>
      </c>
      <c r="M12" s="44">
        <f t="shared" ca="1" si="1"/>
        <v>29</v>
      </c>
      <c r="N12" s="105" t="str">
        <f ca="1">VLOOKUP($B12,Matrix!$H$13:$I$37,2,FALSE)&amp;"_"&amp;C12</f>
        <v>ALERT_REQ_S_TMBZR_BC_AD_RCV_2</v>
      </c>
      <c r="O12" s="120" t="str">
        <f t="shared" ca="1" si="0"/>
        <v>#define ALERT_REQ_S_TMBZR_BC_AD_RCV_2                   (8U)</v>
      </c>
      <c r="U12" s="30"/>
    </row>
    <row r="13" spans="2:21" ht="14.25" thickBot="1">
      <c r="B13" s="27" t="s">
        <v>576</v>
      </c>
      <c r="C13" s="26" t="s">
        <v>589</v>
      </c>
      <c r="D13" s="112">
        <v>9</v>
      </c>
      <c r="E13" s="27" t="s">
        <v>138</v>
      </c>
      <c r="F13" s="113" t="s">
        <v>31</v>
      </c>
      <c r="G13" s="27" t="s">
        <v>138</v>
      </c>
      <c r="H13" s="113" t="s">
        <v>532</v>
      </c>
      <c r="I13" s="27" t="s">
        <v>138</v>
      </c>
      <c r="J13" s="113" t="s">
        <v>31</v>
      </c>
      <c r="K13" s="27" t="s">
        <v>138</v>
      </c>
      <c r="L13" s="113" t="s">
        <v>31</v>
      </c>
      <c r="M13" s="44">
        <f t="shared" ca="1" si="1"/>
        <v>29</v>
      </c>
      <c r="N13" s="105" t="str">
        <f ca="1">VLOOKUP($B13,Matrix!$H$13:$I$37,2,FALSE)&amp;"_"&amp;C13</f>
        <v>ALERT_REQ_S_TMBZR_BC_AD_RCV_3</v>
      </c>
      <c r="O13" s="120" t="str">
        <f t="shared" ca="1" si="0"/>
        <v>#define ALERT_REQ_S_TMBZR_BC_AD_RCV_3                   (9U)</v>
      </c>
      <c r="U13" s="88"/>
    </row>
    <row r="14" spans="2:21">
      <c r="B14" s="27" t="s">
        <v>576</v>
      </c>
      <c r="C14" s="26" t="s">
        <v>590</v>
      </c>
      <c r="D14" s="112">
        <v>10</v>
      </c>
      <c r="E14" s="27" t="s">
        <v>138</v>
      </c>
      <c r="F14" s="113" t="s">
        <v>31</v>
      </c>
      <c r="G14" s="27" t="s">
        <v>138</v>
      </c>
      <c r="H14" s="113" t="s">
        <v>537</v>
      </c>
      <c r="I14" s="27" t="s">
        <v>138</v>
      </c>
      <c r="J14" s="113" t="s">
        <v>31</v>
      </c>
      <c r="K14" s="27" t="s">
        <v>138</v>
      </c>
      <c r="L14" s="113" t="s">
        <v>31</v>
      </c>
      <c r="M14" s="44">
        <f t="shared" ca="1" si="1"/>
        <v>29</v>
      </c>
      <c r="N14" s="105" t="str">
        <f ca="1">VLOOKUP($B14,Matrix!$H$13:$I$37,2,FALSE)&amp;"_"&amp;C14</f>
        <v>ALERT_REQ_S_TMBZR_BC_AD_RCV_4</v>
      </c>
      <c r="O14" s="120" t="str">
        <f t="shared" ca="1" si="0"/>
        <v>#define ALERT_REQ_S_TMBZR_BC_AD_RCV_4                   (10U)</v>
      </c>
    </row>
    <row r="15" spans="2:21">
      <c r="B15" s="27" t="s">
        <v>576</v>
      </c>
      <c r="C15" s="26" t="s">
        <v>591</v>
      </c>
      <c r="D15" s="112">
        <v>11</v>
      </c>
      <c r="E15" s="27" t="s">
        <v>138</v>
      </c>
      <c r="F15" s="113" t="s">
        <v>31</v>
      </c>
      <c r="G15" s="27" t="s">
        <v>138</v>
      </c>
      <c r="H15" s="113" t="s">
        <v>540</v>
      </c>
      <c r="I15" s="27" t="s">
        <v>138</v>
      </c>
      <c r="J15" s="113" t="s">
        <v>31</v>
      </c>
      <c r="K15" s="27" t="s">
        <v>138</v>
      </c>
      <c r="L15" s="113" t="s">
        <v>31</v>
      </c>
      <c r="M15" s="44">
        <f t="shared" ca="1" si="1"/>
        <v>31</v>
      </c>
      <c r="N15" s="105" t="str">
        <f ca="1">VLOOKUP($B15,Matrix!$H$13:$I$37,2,FALSE)&amp;"_"&amp;C15</f>
        <v>ALERT_REQ_S_TMBZR_BC_AD_RCV_4P5</v>
      </c>
      <c r="O15" s="120" t="str">
        <f t="shared" ca="1" si="0"/>
        <v>#define ALERT_REQ_S_TMBZR_BC_AD_RCV_4P5                 (11U)</v>
      </c>
    </row>
    <row r="16" spans="2:21">
      <c r="B16" s="27" t="s">
        <v>576</v>
      </c>
      <c r="C16" s="26" t="s">
        <v>592</v>
      </c>
      <c r="D16" s="112">
        <v>12</v>
      </c>
      <c r="E16" s="27" t="s">
        <v>138</v>
      </c>
      <c r="F16" s="113" t="s">
        <v>31</v>
      </c>
      <c r="G16" s="27" t="s">
        <v>138</v>
      </c>
      <c r="H16" s="113" t="s">
        <v>516</v>
      </c>
      <c r="I16" s="27" t="s">
        <v>138</v>
      </c>
      <c r="J16" s="113" t="s">
        <v>31</v>
      </c>
      <c r="K16" s="27" t="s">
        <v>138</v>
      </c>
      <c r="L16" s="113" t="s">
        <v>31</v>
      </c>
      <c r="M16" s="44">
        <f t="shared" ca="1" si="1"/>
        <v>29</v>
      </c>
      <c r="N16" s="105" t="str">
        <f ca="1">VLOOKUP($B16,Matrix!$H$13:$I$37,2,FALSE)&amp;"_"&amp;C16</f>
        <v>ALERT_REQ_S_TMBZR_BC_AD_RJT_0</v>
      </c>
      <c r="O16" s="120" t="str">
        <f t="shared" ca="1" si="0"/>
        <v>#define ALERT_REQ_S_TMBZR_BC_AD_RJT_0                   (12U)</v>
      </c>
    </row>
    <row r="17" spans="2:15">
      <c r="B17" s="27" t="s">
        <v>576</v>
      </c>
      <c r="C17" s="26" t="s">
        <v>593</v>
      </c>
      <c r="D17" s="112">
        <v>13</v>
      </c>
      <c r="E17" s="27" t="s">
        <v>138</v>
      </c>
      <c r="F17" s="113" t="s">
        <v>31</v>
      </c>
      <c r="G17" s="27" t="s">
        <v>138</v>
      </c>
      <c r="H17" s="113" t="s">
        <v>521</v>
      </c>
      <c r="I17" s="27" t="s">
        <v>138</v>
      </c>
      <c r="J17" s="113" t="s">
        <v>31</v>
      </c>
      <c r="K17" s="27" t="s">
        <v>138</v>
      </c>
      <c r="L17" s="113" t="s">
        <v>31</v>
      </c>
      <c r="M17" s="44">
        <f t="shared" ca="1" si="1"/>
        <v>29</v>
      </c>
      <c r="N17" s="105" t="str">
        <f ca="1">VLOOKUP($B17,Matrix!$H$13:$I$37,2,FALSE)&amp;"_"&amp;C17</f>
        <v>ALERT_REQ_S_TMBZR_BC_AD_RJT_1</v>
      </c>
      <c r="O17" s="120" t="str">
        <f t="shared" ca="1" si="0"/>
        <v>#define ALERT_REQ_S_TMBZR_BC_AD_RJT_1                   (13U)</v>
      </c>
    </row>
    <row r="18" spans="2:15">
      <c r="B18" s="27" t="s">
        <v>576</v>
      </c>
      <c r="C18" s="26" t="s">
        <v>594</v>
      </c>
      <c r="D18" s="112">
        <v>14</v>
      </c>
      <c r="E18" s="27" t="s">
        <v>138</v>
      </c>
      <c r="F18" s="113" t="s">
        <v>31</v>
      </c>
      <c r="G18" s="27" t="s">
        <v>138</v>
      </c>
      <c r="H18" s="113" t="s">
        <v>526</v>
      </c>
      <c r="I18" s="27" t="s">
        <v>138</v>
      </c>
      <c r="J18" s="113" t="s">
        <v>31</v>
      </c>
      <c r="K18" s="27" t="s">
        <v>138</v>
      </c>
      <c r="L18" s="113" t="s">
        <v>31</v>
      </c>
      <c r="M18" s="44">
        <f t="shared" ca="1" si="1"/>
        <v>29</v>
      </c>
      <c r="N18" s="105" t="str">
        <f ca="1">VLOOKUP($B18,Matrix!$H$13:$I$37,2,FALSE)&amp;"_"&amp;C18</f>
        <v>ALERT_REQ_S_TMBZR_BC_AD_RJT_2</v>
      </c>
      <c r="O18" s="120" t="str">
        <f t="shared" ca="1" si="0"/>
        <v>#define ALERT_REQ_S_TMBZR_BC_AD_RJT_2                   (14U)</v>
      </c>
    </row>
    <row r="19" spans="2:15">
      <c r="B19" s="27" t="s">
        <v>576</v>
      </c>
      <c r="C19" s="26" t="s">
        <v>595</v>
      </c>
      <c r="D19" s="112">
        <v>15</v>
      </c>
      <c r="E19" s="27" t="s">
        <v>138</v>
      </c>
      <c r="F19" s="113" t="s">
        <v>31</v>
      </c>
      <c r="G19" s="27" t="s">
        <v>138</v>
      </c>
      <c r="H19" s="113" t="s">
        <v>531</v>
      </c>
      <c r="I19" s="27" t="s">
        <v>138</v>
      </c>
      <c r="J19" s="113" t="s">
        <v>31</v>
      </c>
      <c r="K19" s="27" t="s">
        <v>138</v>
      </c>
      <c r="L19" s="113" t="s">
        <v>31</v>
      </c>
      <c r="M19" s="44">
        <f t="shared" ca="1" si="1"/>
        <v>29</v>
      </c>
      <c r="N19" s="105" t="str">
        <f ca="1">VLOOKUP($B19,Matrix!$H$13:$I$37,2,FALSE)&amp;"_"&amp;C19</f>
        <v>ALERT_REQ_S_TMBZR_BC_AD_RJT_3</v>
      </c>
      <c r="O19" s="120" t="str">
        <f t="shared" ca="1" si="0"/>
        <v>#define ALERT_REQ_S_TMBZR_BC_AD_RJT_3                   (15U)</v>
      </c>
    </row>
    <row r="20" spans="2:15">
      <c r="B20" s="27" t="s">
        <v>576</v>
      </c>
      <c r="C20" s="26" t="s">
        <v>596</v>
      </c>
      <c r="D20" s="112">
        <v>16</v>
      </c>
      <c r="E20" s="27" t="s">
        <v>138</v>
      </c>
      <c r="F20" s="113" t="s">
        <v>31</v>
      </c>
      <c r="G20" s="27" t="s">
        <v>138</v>
      </c>
      <c r="H20" s="113" t="s">
        <v>536</v>
      </c>
      <c r="I20" s="27" t="s">
        <v>138</v>
      </c>
      <c r="J20" s="113" t="s">
        <v>31</v>
      </c>
      <c r="K20" s="27" t="s">
        <v>138</v>
      </c>
      <c r="L20" s="113" t="s">
        <v>31</v>
      </c>
      <c r="M20" s="44">
        <f t="shared" ca="1" si="1"/>
        <v>29</v>
      </c>
      <c r="N20" s="105" t="str">
        <f ca="1">VLOOKUP($B20,Matrix!$H$13:$I$37,2,FALSE)&amp;"_"&amp;C20</f>
        <v>ALERT_REQ_S_TMBZR_BC_AD_RJT_4</v>
      </c>
      <c r="O20" s="120" t="str">
        <f t="shared" ca="1" si="0"/>
        <v>#define ALERT_REQ_S_TMBZR_BC_AD_RJT_4                   (16U)</v>
      </c>
    </row>
    <row r="21" spans="2:15">
      <c r="B21" s="27" t="s">
        <v>576</v>
      </c>
      <c r="C21" s="26" t="s">
        <v>597</v>
      </c>
      <c r="D21" s="112">
        <v>17</v>
      </c>
      <c r="E21" s="27" t="s">
        <v>138</v>
      </c>
      <c r="F21" s="113" t="s">
        <v>31</v>
      </c>
      <c r="G21" s="27" t="s">
        <v>138</v>
      </c>
      <c r="H21" s="113" t="s">
        <v>539</v>
      </c>
      <c r="I21" s="27" t="s">
        <v>138</v>
      </c>
      <c r="J21" s="113" t="s">
        <v>31</v>
      </c>
      <c r="K21" s="27" t="s">
        <v>138</v>
      </c>
      <c r="L21" s="113" t="s">
        <v>31</v>
      </c>
      <c r="M21" s="44">
        <f t="shared" ca="1" si="1"/>
        <v>31</v>
      </c>
      <c r="N21" s="105" t="str">
        <f ca="1">VLOOKUP($B21,Matrix!$H$13:$I$37,2,FALSE)&amp;"_"&amp;C21</f>
        <v>ALERT_REQ_S_TMBZR_BC_AD_RJT_4P5</v>
      </c>
      <c r="O21" s="120" t="str">
        <f t="shared" ca="1" si="0"/>
        <v>#define ALERT_REQ_S_TMBZR_BC_AD_RJT_4P5                 (17U)</v>
      </c>
    </row>
    <row r="22" spans="2:15">
      <c r="B22" s="27" t="s">
        <v>576</v>
      </c>
      <c r="C22" s="26" t="s">
        <v>598</v>
      </c>
      <c r="D22" s="112">
        <v>18</v>
      </c>
      <c r="E22" s="27" t="s">
        <v>138</v>
      </c>
      <c r="F22" s="113" t="s">
        <v>31</v>
      </c>
      <c r="G22" s="27" t="s">
        <v>138</v>
      </c>
      <c r="H22" s="113" t="s">
        <v>514</v>
      </c>
      <c r="I22" s="27" t="s">
        <v>138</v>
      </c>
      <c r="J22" s="113" t="s">
        <v>31</v>
      </c>
      <c r="K22" s="27" t="s">
        <v>138</v>
      </c>
      <c r="L22" s="113" t="s">
        <v>31</v>
      </c>
      <c r="M22" s="44">
        <f t="shared" ca="1" si="1"/>
        <v>30</v>
      </c>
      <c r="N22" s="105" t="str">
        <f ca="1">VLOOKUP($B22,Matrix!$H$13:$I$37,2,FALSE)&amp;"_"&amp;C22</f>
        <v>ALERT_REQ_S_TMBZR_BC_AD_CONT_0</v>
      </c>
      <c r="O22" s="120" t="str">
        <f t="shared" ca="1" si="0"/>
        <v>#define ALERT_REQ_S_TMBZR_BC_AD_CONT_0                  (18U)</v>
      </c>
    </row>
    <row r="23" spans="2:15">
      <c r="B23" s="27" t="s">
        <v>576</v>
      </c>
      <c r="C23" s="26" t="s">
        <v>599</v>
      </c>
      <c r="D23" s="112">
        <v>19</v>
      </c>
      <c r="E23" s="27" t="s">
        <v>138</v>
      </c>
      <c r="F23" s="113" t="s">
        <v>31</v>
      </c>
      <c r="G23" s="27" t="s">
        <v>138</v>
      </c>
      <c r="H23" s="113" t="s">
        <v>519</v>
      </c>
      <c r="I23" s="27" t="s">
        <v>138</v>
      </c>
      <c r="J23" s="113" t="s">
        <v>31</v>
      </c>
      <c r="K23" s="27" t="s">
        <v>138</v>
      </c>
      <c r="L23" s="113" t="s">
        <v>31</v>
      </c>
      <c r="M23" s="44">
        <f t="shared" ca="1" si="1"/>
        <v>30</v>
      </c>
      <c r="N23" s="105" t="str">
        <f ca="1">VLOOKUP($B23,Matrix!$H$13:$I$37,2,FALSE)&amp;"_"&amp;C23</f>
        <v>ALERT_REQ_S_TMBZR_BC_AD_CONT_1</v>
      </c>
      <c r="O23" s="120" t="str">
        <f t="shared" ca="1" si="0"/>
        <v>#define ALERT_REQ_S_TMBZR_BC_AD_CONT_1                  (19U)</v>
      </c>
    </row>
    <row r="24" spans="2:15">
      <c r="B24" s="27" t="s">
        <v>576</v>
      </c>
      <c r="C24" s="26" t="s">
        <v>600</v>
      </c>
      <c r="D24" s="112">
        <v>20</v>
      </c>
      <c r="E24" s="27" t="s">
        <v>138</v>
      </c>
      <c r="F24" s="113" t="s">
        <v>31</v>
      </c>
      <c r="G24" s="27" t="s">
        <v>138</v>
      </c>
      <c r="H24" s="113" t="s">
        <v>524</v>
      </c>
      <c r="I24" s="27" t="s">
        <v>138</v>
      </c>
      <c r="J24" s="113" t="s">
        <v>31</v>
      </c>
      <c r="K24" s="27" t="s">
        <v>138</v>
      </c>
      <c r="L24" s="113" t="s">
        <v>31</v>
      </c>
      <c r="M24" s="44">
        <f t="shared" ca="1" si="1"/>
        <v>30</v>
      </c>
      <c r="N24" s="105" t="str">
        <f ca="1">VLOOKUP($B24,Matrix!$H$13:$I$37,2,FALSE)&amp;"_"&amp;C24</f>
        <v>ALERT_REQ_S_TMBZR_BC_AD_CONT_2</v>
      </c>
      <c r="O24" s="120" t="str">
        <f t="shared" ca="1" si="0"/>
        <v>#define ALERT_REQ_S_TMBZR_BC_AD_CONT_2                  (20U)</v>
      </c>
    </row>
    <row r="25" spans="2:15">
      <c r="B25" s="27" t="s">
        <v>576</v>
      </c>
      <c r="C25" s="26" t="s">
        <v>601</v>
      </c>
      <c r="D25" s="112">
        <v>21</v>
      </c>
      <c r="E25" s="27" t="s">
        <v>138</v>
      </c>
      <c r="F25" s="113" t="s">
        <v>31</v>
      </c>
      <c r="G25" s="27" t="s">
        <v>138</v>
      </c>
      <c r="H25" s="113" t="s">
        <v>529</v>
      </c>
      <c r="I25" s="27" t="s">
        <v>138</v>
      </c>
      <c r="J25" s="113" t="s">
        <v>31</v>
      </c>
      <c r="K25" s="27" t="s">
        <v>138</v>
      </c>
      <c r="L25" s="113" t="s">
        <v>31</v>
      </c>
      <c r="M25" s="44">
        <f t="shared" ca="1" si="1"/>
        <v>30</v>
      </c>
      <c r="N25" s="105" t="str">
        <f ca="1">VLOOKUP($B25,Matrix!$H$13:$I$37,2,FALSE)&amp;"_"&amp;C25</f>
        <v>ALERT_REQ_S_TMBZR_BC_AD_CONT_3</v>
      </c>
      <c r="O25" s="120" t="str">
        <f t="shared" ca="1" si="0"/>
        <v>#define ALERT_REQ_S_TMBZR_BC_AD_CONT_3                  (21U)</v>
      </c>
    </row>
    <row r="26" spans="2:15">
      <c r="B26" s="27" t="s">
        <v>576</v>
      </c>
      <c r="C26" s="26" t="s">
        <v>602</v>
      </c>
      <c r="D26" s="112">
        <v>22</v>
      </c>
      <c r="E26" s="27" t="s">
        <v>138</v>
      </c>
      <c r="F26" s="113" t="s">
        <v>31</v>
      </c>
      <c r="G26" s="27" t="s">
        <v>138</v>
      </c>
      <c r="H26" s="113" t="s">
        <v>534</v>
      </c>
      <c r="I26" s="27" t="s">
        <v>138</v>
      </c>
      <c r="J26" s="113" t="s">
        <v>31</v>
      </c>
      <c r="K26" s="27" t="s">
        <v>138</v>
      </c>
      <c r="L26" s="113" t="s">
        <v>31</v>
      </c>
      <c r="M26" s="44">
        <f t="shared" ca="1" si="1"/>
        <v>30</v>
      </c>
      <c r="N26" s="105" t="str">
        <f ca="1">VLOOKUP($B26,Matrix!$H$13:$I$37,2,FALSE)&amp;"_"&amp;C26</f>
        <v>ALERT_REQ_S_TMBZR_BC_AD_CONT_4</v>
      </c>
      <c r="O26" s="120" t="str">
        <f t="shared" ca="1" si="0"/>
        <v>#define ALERT_REQ_S_TMBZR_BC_AD_CONT_4                  (22U)</v>
      </c>
    </row>
    <row r="27" spans="2:15">
      <c r="B27" s="27" t="s">
        <v>576</v>
      </c>
      <c r="C27" s="26" t="s">
        <v>617</v>
      </c>
      <c r="D27" s="112">
        <v>23</v>
      </c>
      <c r="E27" s="27" t="s">
        <v>138</v>
      </c>
      <c r="F27" s="113" t="s">
        <v>31</v>
      </c>
      <c r="G27" s="27" t="s">
        <v>138</v>
      </c>
      <c r="H27" s="113" t="s">
        <v>542</v>
      </c>
      <c r="I27" s="27" t="s">
        <v>138</v>
      </c>
      <c r="J27" s="113" t="s">
        <v>31</v>
      </c>
      <c r="K27" s="27" t="s">
        <v>138</v>
      </c>
      <c r="L27" s="113" t="s">
        <v>31</v>
      </c>
      <c r="M27" s="44">
        <f t="shared" ca="1" si="1"/>
        <v>30</v>
      </c>
      <c r="N27" s="105" t="str">
        <f ca="1">VLOOKUP($B27,Matrix!$H$13:$I$37,2,FALSE)&amp;"_"&amp;C27</f>
        <v>ALERT_REQ_S_TMBZR_BC_AD_CONT_5</v>
      </c>
      <c r="O27" s="120" t="str">
        <f t="shared" ca="1" si="0"/>
        <v>#define ALERT_REQ_S_TMBZR_BC_AD_CONT_5                  (23U)</v>
      </c>
    </row>
    <row r="28" spans="2:15">
      <c r="B28" s="27" t="s">
        <v>576</v>
      </c>
      <c r="C28" s="26" t="s">
        <v>606</v>
      </c>
      <c r="D28" s="112">
        <v>24</v>
      </c>
      <c r="E28" s="27" t="s">
        <v>138</v>
      </c>
      <c r="F28" s="113" t="s">
        <v>31</v>
      </c>
      <c r="G28" s="27" t="s">
        <v>138</v>
      </c>
      <c r="H28" s="113" t="s">
        <v>515</v>
      </c>
      <c r="I28" s="27" t="s">
        <v>138</v>
      </c>
      <c r="J28" s="113" t="s">
        <v>31</v>
      </c>
      <c r="K28" s="27" t="s">
        <v>138</v>
      </c>
      <c r="L28" s="113" t="s">
        <v>31</v>
      </c>
      <c r="M28" s="44">
        <f t="shared" ca="1" si="1"/>
        <v>29</v>
      </c>
      <c r="N28" s="105" t="str">
        <f ca="1">VLOOKUP($B28,Matrix!$H$13:$I$37,2,FALSE)&amp;"_"&amp;C28</f>
        <v>ALERT_REQ_S_TMBZR_BC_AD_TEN_0</v>
      </c>
      <c r="O28" s="120" t="str">
        <f t="shared" ca="1" si="0"/>
        <v>#define ALERT_REQ_S_TMBZR_BC_AD_TEN_0                   (24U)</v>
      </c>
    </row>
    <row r="29" spans="2:15">
      <c r="B29" s="27" t="s">
        <v>576</v>
      </c>
      <c r="C29" s="26" t="s">
        <v>607</v>
      </c>
      <c r="D29" s="112">
        <v>25</v>
      </c>
      <c r="E29" s="27" t="s">
        <v>138</v>
      </c>
      <c r="F29" s="113" t="s">
        <v>31</v>
      </c>
      <c r="G29" s="27" t="s">
        <v>138</v>
      </c>
      <c r="H29" s="113" t="s">
        <v>520</v>
      </c>
      <c r="I29" s="27" t="s">
        <v>138</v>
      </c>
      <c r="J29" s="113" t="s">
        <v>31</v>
      </c>
      <c r="K29" s="27" t="s">
        <v>138</v>
      </c>
      <c r="L29" s="113" t="s">
        <v>31</v>
      </c>
      <c r="M29" s="44">
        <f t="shared" ca="1" si="1"/>
        <v>29</v>
      </c>
      <c r="N29" s="105" t="str">
        <f ca="1">VLOOKUP($B29,Matrix!$H$13:$I$37,2,FALSE)&amp;"_"&amp;C29</f>
        <v>ALERT_REQ_S_TMBZR_BC_AD_TEN_1</v>
      </c>
      <c r="O29" s="120" t="str">
        <f t="shared" ca="1" si="0"/>
        <v>#define ALERT_REQ_S_TMBZR_BC_AD_TEN_1                   (25U)</v>
      </c>
    </row>
    <row r="30" spans="2:15">
      <c r="B30" s="27" t="s">
        <v>576</v>
      </c>
      <c r="C30" s="26" t="s">
        <v>608</v>
      </c>
      <c r="D30" s="112">
        <v>26</v>
      </c>
      <c r="E30" s="27" t="s">
        <v>138</v>
      </c>
      <c r="F30" s="113" t="s">
        <v>31</v>
      </c>
      <c r="G30" s="27" t="s">
        <v>138</v>
      </c>
      <c r="H30" s="113" t="s">
        <v>525</v>
      </c>
      <c r="I30" s="27" t="s">
        <v>138</v>
      </c>
      <c r="J30" s="113" t="s">
        <v>31</v>
      </c>
      <c r="K30" s="27" t="s">
        <v>138</v>
      </c>
      <c r="L30" s="113" t="s">
        <v>31</v>
      </c>
      <c r="M30" s="44">
        <f t="shared" ca="1" si="1"/>
        <v>29</v>
      </c>
      <c r="N30" s="105" t="str">
        <f ca="1">VLOOKUP($B30,Matrix!$H$13:$I$37,2,FALSE)&amp;"_"&amp;C30</f>
        <v>ALERT_REQ_S_TMBZR_BC_AD_TEN_2</v>
      </c>
      <c r="O30" s="120" t="str">
        <f t="shared" ca="1" si="0"/>
        <v>#define ALERT_REQ_S_TMBZR_BC_AD_TEN_2                   (26U)</v>
      </c>
    </row>
    <row r="31" spans="2:15">
      <c r="B31" s="27" t="s">
        <v>576</v>
      </c>
      <c r="C31" s="26" t="s">
        <v>609</v>
      </c>
      <c r="D31" s="112">
        <v>27</v>
      </c>
      <c r="E31" s="27" t="s">
        <v>138</v>
      </c>
      <c r="F31" s="113" t="s">
        <v>31</v>
      </c>
      <c r="G31" s="27" t="s">
        <v>138</v>
      </c>
      <c r="H31" s="113" t="s">
        <v>530</v>
      </c>
      <c r="I31" s="27" t="s">
        <v>138</v>
      </c>
      <c r="J31" s="113" t="s">
        <v>31</v>
      </c>
      <c r="K31" s="27" t="s">
        <v>138</v>
      </c>
      <c r="L31" s="113" t="s">
        <v>31</v>
      </c>
      <c r="M31" s="44">
        <f t="shared" ca="1" si="1"/>
        <v>29</v>
      </c>
      <c r="N31" s="105" t="str">
        <f ca="1">VLOOKUP($B31,Matrix!$H$13:$I$37,2,FALSE)&amp;"_"&amp;C31</f>
        <v>ALERT_REQ_S_TMBZR_BC_AD_TEN_3</v>
      </c>
      <c r="O31" s="120" t="str">
        <f t="shared" ca="1" si="0"/>
        <v>#define ALERT_REQ_S_TMBZR_BC_AD_TEN_3                   (27U)</v>
      </c>
    </row>
    <row r="32" spans="2:15">
      <c r="B32" s="27" t="s">
        <v>576</v>
      </c>
      <c r="C32" s="26" t="s">
        <v>610</v>
      </c>
      <c r="D32" s="112">
        <v>28</v>
      </c>
      <c r="E32" s="27" t="s">
        <v>138</v>
      </c>
      <c r="F32" s="113" t="s">
        <v>31</v>
      </c>
      <c r="G32" s="27" t="s">
        <v>138</v>
      </c>
      <c r="H32" s="113" t="s">
        <v>535</v>
      </c>
      <c r="I32" s="27" t="s">
        <v>138</v>
      </c>
      <c r="J32" s="113" t="s">
        <v>31</v>
      </c>
      <c r="K32" s="27" t="s">
        <v>138</v>
      </c>
      <c r="L32" s="113" t="s">
        <v>31</v>
      </c>
      <c r="M32" s="44">
        <f t="shared" ca="1" si="1"/>
        <v>29</v>
      </c>
      <c r="N32" s="105" t="str">
        <f ca="1">VLOOKUP($B32,Matrix!$H$13:$I$37,2,FALSE)&amp;"_"&amp;C32</f>
        <v>ALERT_REQ_S_TMBZR_BC_AD_TEN_4</v>
      </c>
      <c r="O32" s="120" t="str">
        <f t="shared" ca="1" si="0"/>
        <v>#define ALERT_REQ_S_TMBZR_BC_AD_TEN_4                   (28U)</v>
      </c>
    </row>
    <row r="33" spans="2:15">
      <c r="B33" s="27" t="s">
        <v>576</v>
      </c>
      <c r="C33" s="26" t="s">
        <v>611</v>
      </c>
      <c r="D33" s="112">
        <v>29</v>
      </c>
      <c r="E33" s="27" t="s">
        <v>138</v>
      </c>
      <c r="F33" s="113" t="s">
        <v>31</v>
      </c>
      <c r="G33" s="27" t="s">
        <v>138</v>
      </c>
      <c r="H33" s="113" t="s">
        <v>543</v>
      </c>
      <c r="I33" s="27" t="s">
        <v>138</v>
      </c>
      <c r="J33" s="113" t="s">
        <v>31</v>
      </c>
      <c r="K33" s="27" t="s">
        <v>138</v>
      </c>
      <c r="L33" s="113" t="s">
        <v>31</v>
      </c>
      <c r="M33" s="44">
        <f t="shared" ca="1" si="1"/>
        <v>29</v>
      </c>
      <c r="N33" s="105" t="str">
        <f ca="1">VLOOKUP($B33,Matrix!$H$13:$I$37,2,FALSE)&amp;"_"&amp;C33</f>
        <v>ALERT_REQ_S_TMBZR_BC_AD_TEN_5</v>
      </c>
      <c r="O33" s="120" t="str">
        <f t="shared" ca="1" si="0"/>
        <v>#define ALERT_REQ_S_TMBZR_BC_AD_TEN_5                   (29U)</v>
      </c>
    </row>
    <row r="34" spans="2:15">
      <c r="B34" s="27" t="s">
        <v>576</v>
      </c>
      <c r="C34" s="26" t="s">
        <v>612</v>
      </c>
      <c r="D34" s="112">
        <v>30</v>
      </c>
      <c r="E34" s="27" t="s">
        <v>138</v>
      </c>
      <c r="F34" s="113" t="s">
        <v>31</v>
      </c>
      <c r="G34" s="27" t="s">
        <v>138</v>
      </c>
      <c r="H34" s="113" t="s">
        <v>544</v>
      </c>
      <c r="I34" s="27" t="s">
        <v>138</v>
      </c>
      <c r="J34" s="113" t="s">
        <v>31</v>
      </c>
      <c r="K34" s="27" t="s">
        <v>138</v>
      </c>
      <c r="L34" s="113" t="s">
        <v>31</v>
      </c>
      <c r="M34" s="44">
        <f t="shared" ca="1" si="1"/>
        <v>29</v>
      </c>
      <c r="N34" s="105" t="str">
        <f ca="1">VLOOKUP($B34,Matrix!$H$13:$I$37,2,FALSE)&amp;"_"&amp;C34</f>
        <v>ALERT_REQ_S_TMBZR_BC_AD_TEN_6</v>
      </c>
      <c r="O34" s="120" t="str">
        <f t="shared" ca="1" si="0"/>
        <v>#define ALERT_REQ_S_TMBZR_BC_AD_TEN_6                   (30U)</v>
      </c>
    </row>
    <row r="35" spans="2:15">
      <c r="B35" s="27" t="s">
        <v>576</v>
      </c>
      <c r="C35" s="26" t="s">
        <v>613</v>
      </c>
      <c r="D35" s="112">
        <v>31</v>
      </c>
      <c r="E35" s="27" t="s">
        <v>138</v>
      </c>
      <c r="F35" s="113" t="s">
        <v>31</v>
      </c>
      <c r="G35" s="27" t="s">
        <v>138</v>
      </c>
      <c r="H35" s="113" t="s">
        <v>545</v>
      </c>
      <c r="I35" s="27" t="s">
        <v>138</v>
      </c>
      <c r="J35" s="113" t="s">
        <v>31</v>
      </c>
      <c r="K35" s="27" t="s">
        <v>138</v>
      </c>
      <c r="L35" s="113" t="s">
        <v>31</v>
      </c>
      <c r="M35" s="44">
        <f t="shared" ca="1" si="1"/>
        <v>31</v>
      </c>
      <c r="N35" s="105" t="str">
        <f ca="1">VLOOKUP($B35,Matrix!$H$13:$I$37,2,FALSE)&amp;"_"&amp;C35</f>
        <v>ALERT_REQ_S_TMBZR_BC_AD_TEN_6P5</v>
      </c>
      <c r="O35" s="120" t="str">
        <f t="shared" ca="1" si="0"/>
        <v>#define ALERT_REQ_S_TMBZR_BC_AD_TEN_6P5                 (31U)</v>
      </c>
    </row>
    <row r="36" spans="2:15">
      <c r="B36" s="27" t="s">
        <v>576</v>
      </c>
      <c r="C36" s="26" t="s">
        <v>614</v>
      </c>
      <c r="D36" s="112">
        <v>32</v>
      </c>
      <c r="E36" s="27" t="s">
        <v>138</v>
      </c>
      <c r="F36" s="113" t="s">
        <v>31</v>
      </c>
      <c r="G36" s="27" t="s">
        <v>138</v>
      </c>
      <c r="H36" s="113" t="s">
        <v>546</v>
      </c>
      <c r="I36" s="27" t="s">
        <v>138</v>
      </c>
      <c r="J36" s="113" t="s">
        <v>31</v>
      </c>
      <c r="K36" s="27" t="s">
        <v>138</v>
      </c>
      <c r="L36" s="113" t="s">
        <v>31</v>
      </c>
      <c r="M36" s="44">
        <f t="shared" ca="1" si="1"/>
        <v>29</v>
      </c>
      <c r="N36" s="105" t="str">
        <f ca="1">VLOOKUP($B36,Matrix!$H$13:$I$37,2,FALSE)&amp;"_"&amp;C36</f>
        <v>ALERT_REQ_S_TMBZR_BC_AD_TEN_7</v>
      </c>
      <c r="O36" s="120" t="str">
        <f t="shared" ref="O36:O67" ca="1" si="2">"#define "&amp;N36&amp;REPT(" ",48-M36)&amp;"("&amp;D36&amp;"U)"</f>
        <v>#define ALERT_REQ_S_TMBZR_BC_AD_TEN_7                   (32U)</v>
      </c>
    </row>
    <row r="37" spans="2:15">
      <c r="B37" s="27" t="s">
        <v>576</v>
      </c>
      <c r="C37" s="26" t="s">
        <v>616</v>
      </c>
      <c r="D37" s="112">
        <v>33</v>
      </c>
      <c r="E37" s="27" t="s">
        <v>138</v>
      </c>
      <c r="F37" s="113" t="s">
        <v>31</v>
      </c>
      <c r="G37" s="27" t="s">
        <v>138</v>
      </c>
      <c r="H37" s="113" t="s">
        <v>547</v>
      </c>
      <c r="I37" s="27" t="s">
        <v>138</v>
      </c>
      <c r="J37" s="113" t="s">
        <v>31</v>
      </c>
      <c r="K37" s="27" t="s">
        <v>138</v>
      </c>
      <c r="L37" s="113" t="s">
        <v>31</v>
      </c>
      <c r="M37" s="44">
        <f t="shared" ca="1" si="1"/>
        <v>29</v>
      </c>
      <c r="N37" s="105" t="str">
        <f ca="1">VLOOKUP($B37,Matrix!$H$13:$I$37,2,FALSE)&amp;"_"&amp;C37</f>
        <v>ALERT_REQ_S_TMBZR_BC_AD_TEN_8</v>
      </c>
      <c r="O37" s="120" t="str">
        <f t="shared" ca="1" si="2"/>
        <v>#define ALERT_REQ_S_TMBZR_BC_AD_TEN_8                   (33U)</v>
      </c>
    </row>
    <row r="38" spans="2:15">
      <c r="B38" s="27" t="s">
        <v>577</v>
      </c>
      <c r="C38" s="26" t="s">
        <v>605</v>
      </c>
      <c r="D38" s="112">
        <v>0</v>
      </c>
      <c r="E38" s="27" t="s">
        <v>138</v>
      </c>
      <c r="F38" s="113" t="s">
        <v>31</v>
      </c>
      <c r="G38" s="27" t="s">
        <v>138</v>
      </c>
      <c r="H38" s="113" t="s">
        <v>572</v>
      </c>
      <c r="I38" s="27" t="s">
        <v>138</v>
      </c>
      <c r="J38" s="113" t="s">
        <v>31</v>
      </c>
      <c r="K38" s="27" t="s">
        <v>138</v>
      </c>
      <c r="L38" s="113" t="s">
        <v>31</v>
      </c>
      <c r="M38" s="44">
        <f t="shared" ca="1" si="1"/>
        <v>31</v>
      </c>
      <c r="N38" s="105" t="str">
        <f ca="1">VLOOKUP($B38,Matrix!$H$13:$I$37,2,FALSE)&amp;"_"&amp;C38</f>
        <v>ALERT_REQ_S_TMBZR_BC_DOT_DOHREQ</v>
      </c>
      <c r="O38" s="120" t="str">
        <f t="shared" ca="1" si="2"/>
        <v>#define ALERT_REQ_S_TMBZR_BC_DOT_DOHREQ                 (0U)</v>
      </c>
    </row>
    <row r="39" spans="2:15">
      <c r="B39" s="27"/>
      <c r="C39" s="26"/>
      <c r="D39" s="112"/>
      <c r="E39" s="27"/>
      <c r="F39" s="113"/>
      <c r="G39" s="27"/>
      <c r="H39" s="113"/>
      <c r="I39" s="27"/>
      <c r="J39" s="113"/>
      <c r="K39" s="27"/>
      <c r="L39" s="113"/>
      <c r="M39" s="44" t="e">
        <f t="shared" ca="1" si="1"/>
        <v>#N/A</v>
      </c>
      <c r="N39" s="105" t="e">
        <f ca="1">VLOOKUP($B39,Matrix!$H$13:$I$37,2,FALSE)&amp;"_"&amp;C39</f>
        <v>#N/A</v>
      </c>
      <c r="O39" s="120" t="e">
        <f t="shared" ca="1" si="2"/>
        <v>#N/A</v>
      </c>
    </row>
    <row r="40" spans="2:15">
      <c r="B40" s="27"/>
      <c r="C40" s="26"/>
      <c r="D40" s="112"/>
      <c r="E40" s="27"/>
      <c r="F40" s="113"/>
      <c r="G40" s="27"/>
      <c r="H40" s="113"/>
      <c r="I40" s="27"/>
      <c r="J40" s="113"/>
      <c r="K40" s="27"/>
      <c r="L40" s="113"/>
      <c r="M40" s="44" t="e">
        <f t="shared" ca="1" si="1"/>
        <v>#N/A</v>
      </c>
      <c r="N40" s="105" t="e">
        <f ca="1">VLOOKUP($B40,Matrix!$H$13:$I$37,2,FALSE)&amp;"_"&amp;C40</f>
        <v>#N/A</v>
      </c>
      <c r="O40" s="120" t="e">
        <f t="shared" ca="1" si="2"/>
        <v>#N/A</v>
      </c>
    </row>
    <row r="41" spans="2:15">
      <c r="B41" s="27"/>
      <c r="C41" s="26"/>
      <c r="D41" s="112"/>
      <c r="E41" s="27"/>
      <c r="F41" s="113"/>
      <c r="G41" s="27"/>
      <c r="H41" s="113"/>
      <c r="I41" s="27"/>
      <c r="J41" s="113"/>
      <c r="K41" s="27"/>
      <c r="L41" s="113"/>
      <c r="M41" s="44" t="e">
        <f t="shared" ca="1" si="1"/>
        <v>#N/A</v>
      </c>
      <c r="N41" s="105" t="e">
        <f ca="1">VLOOKUP($B41,Matrix!$H$13:$I$37,2,FALSE)&amp;"_"&amp;C41</f>
        <v>#N/A</v>
      </c>
      <c r="O41" s="120" t="e">
        <f t="shared" ca="1" si="2"/>
        <v>#N/A</v>
      </c>
    </row>
    <row r="42" spans="2:15">
      <c r="B42" s="27"/>
      <c r="C42" s="26"/>
      <c r="D42" s="112"/>
      <c r="E42" s="27"/>
      <c r="F42" s="113"/>
      <c r="G42" s="27"/>
      <c r="H42" s="113"/>
      <c r="I42" s="27"/>
      <c r="J42" s="113"/>
      <c r="K42" s="27"/>
      <c r="L42" s="113"/>
      <c r="M42" s="44" t="e">
        <f t="shared" ca="1" si="1"/>
        <v>#N/A</v>
      </c>
      <c r="N42" s="105" t="e">
        <f ca="1">VLOOKUP($B42,Matrix!$H$13:$I$37,2,FALSE)&amp;"_"&amp;C42</f>
        <v>#N/A</v>
      </c>
      <c r="O42" s="120" t="e">
        <f t="shared" ca="1" si="2"/>
        <v>#N/A</v>
      </c>
    </row>
    <row r="43" spans="2:15">
      <c r="B43" s="27"/>
      <c r="C43" s="26"/>
      <c r="D43" s="112"/>
      <c r="E43" s="27"/>
      <c r="F43" s="113"/>
      <c r="G43" s="27"/>
      <c r="H43" s="113"/>
      <c r="I43" s="27"/>
      <c r="J43" s="113"/>
      <c r="K43" s="27"/>
      <c r="L43" s="113"/>
      <c r="M43" s="44" t="e">
        <f t="shared" ca="1" si="1"/>
        <v>#N/A</v>
      </c>
      <c r="N43" s="105" t="e">
        <f ca="1">VLOOKUP($B43,Matrix!$H$13:$I$37,2,FALSE)&amp;"_"&amp;C43</f>
        <v>#N/A</v>
      </c>
      <c r="O43" s="120" t="e">
        <f t="shared" ca="1" si="2"/>
        <v>#N/A</v>
      </c>
    </row>
    <row r="44" spans="2:15">
      <c r="B44" s="27"/>
      <c r="C44" s="26"/>
      <c r="D44" s="112"/>
      <c r="E44" s="27"/>
      <c r="F44" s="113"/>
      <c r="G44" s="27"/>
      <c r="H44" s="113"/>
      <c r="I44" s="27"/>
      <c r="J44" s="113"/>
      <c r="K44" s="27"/>
      <c r="L44" s="113"/>
      <c r="M44" s="44" t="e">
        <f t="shared" ca="1" si="1"/>
        <v>#N/A</v>
      </c>
      <c r="N44" s="105" t="e">
        <f ca="1">VLOOKUP($B44,Matrix!$H$13:$I$37,2,FALSE)&amp;"_"&amp;C44</f>
        <v>#N/A</v>
      </c>
      <c r="O44" s="120" t="e">
        <f t="shared" ca="1" si="2"/>
        <v>#N/A</v>
      </c>
    </row>
    <row r="45" spans="2:15">
      <c r="B45" s="27"/>
      <c r="C45" s="26"/>
      <c r="D45" s="112"/>
      <c r="E45" s="27"/>
      <c r="F45" s="113"/>
      <c r="G45" s="27"/>
      <c r="H45" s="113"/>
      <c r="I45" s="27"/>
      <c r="J45" s="113"/>
      <c r="K45" s="27"/>
      <c r="L45" s="113"/>
      <c r="M45" s="44" t="e">
        <f t="shared" ca="1" si="1"/>
        <v>#N/A</v>
      </c>
      <c r="N45" s="105" t="e">
        <f ca="1">VLOOKUP($B45,Matrix!$H$13:$I$37,2,FALSE)&amp;"_"&amp;C45</f>
        <v>#N/A</v>
      </c>
      <c r="O45" s="120" t="e">
        <f t="shared" ca="1" si="2"/>
        <v>#N/A</v>
      </c>
    </row>
    <row r="46" spans="2:15">
      <c r="B46" s="27"/>
      <c r="C46" s="26"/>
      <c r="D46" s="112"/>
      <c r="E46" s="27"/>
      <c r="F46" s="113"/>
      <c r="G46" s="27"/>
      <c r="H46" s="113"/>
      <c r="I46" s="27"/>
      <c r="J46" s="113"/>
      <c r="K46" s="27"/>
      <c r="L46" s="113"/>
      <c r="M46" s="44" t="e">
        <f t="shared" ca="1" si="1"/>
        <v>#N/A</v>
      </c>
      <c r="N46" s="105" t="e">
        <f ca="1">VLOOKUP($B46,Matrix!$H$13:$I$37,2,FALSE)&amp;"_"&amp;C46</f>
        <v>#N/A</v>
      </c>
      <c r="O46" s="120" t="e">
        <f t="shared" ca="1" si="2"/>
        <v>#N/A</v>
      </c>
    </row>
    <row r="47" spans="2:15">
      <c r="B47" s="27"/>
      <c r="C47" s="26"/>
      <c r="D47" s="112"/>
      <c r="E47" s="27"/>
      <c r="F47" s="113"/>
      <c r="G47" s="27"/>
      <c r="H47" s="113"/>
      <c r="I47" s="27"/>
      <c r="J47" s="113"/>
      <c r="K47" s="27"/>
      <c r="L47" s="113"/>
      <c r="M47" s="44" t="e">
        <f t="shared" ca="1" si="1"/>
        <v>#N/A</v>
      </c>
      <c r="N47" s="105" t="e">
        <f ca="1">VLOOKUP($B47,Matrix!$H$13:$I$37,2,FALSE)&amp;"_"&amp;C47</f>
        <v>#N/A</v>
      </c>
      <c r="O47" s="120" t="e">
        <f t="shared" ca="1" si="2"/>
        <v>#N/A</v>
      </c>
    </row>
    <row r="48" spans="2:15">
      <c r="B48" s="27"/>
      <c r="C48" s="26"/>
      <c r="D48" s="112"/>
      <c r="E48" s="27"/>
      <c r="F48" s="113"/>
      <c r="G48" s="27"/>
      <c r="H48" s="113"/>
      <c r="I48" s="27"/>
      <c r="J48" s="113"/>
      <c r="K48" s="27"/>
      <c r="L48" s="113"/>
      <c r="M48" s="44" t="e">
        <f t="shared" ca="1" si="1"/>
        <v>#N/A</v>
      </c>
      <c r="N48" s="105" t="e">
        <f ca="1">VLOOKUP($B48,Matrix!$H$13:$I$37,2,FALSE)&amp;"_"&amp;C48</f>
        <v>#N/A</v>
      </c>
      <c r="O48" s="120" t="e">
        <f t="shared" ca="1" si="2"/>
        <v>#N/A</v>
      </c>
    </row>
    <row r="49" spans="2:15">
      <c r="B49" s="27"/>
      <c r="C49" s="26"/>
      <c r="D49" s="112"/>
      <c r="E49" s="27"/>
      <c r="F49" s="113"/>
      <c r="G49" s="27"/>
      <c r="H49" s="113"/>
      <c r="I49" s="27"/>
      <c r="J49" s="113"/>
      <c r="K49" s="27"/>
      <c r="L49" s="113"/>
      <c r="M49" s="44" t="e">
        <f t="shared" ca="1" si="1"/>
        <v>#N/A</v>
      </c>
      <c r="N49" s="105" t="e">
        <f ca="1">VLOOKUP($B49,Matrix!$H$13:$I$37,2,FALSE)&amp;"_"&amp;C49</f>
        <v>#N/A</v>
      </c>
      <c r="O49" s="120" t="e">
        <f t="shared" ca="1" si="2"/>
        <v>#N/A</v>
      </c>
    </row>
    <row r="50" spans="2:15">
      <c r="B50" s="27"/>
      <c r="C50" s="26"/>
      <c r="D50" s="112"/>
      <c r="E50" s="27"/>
      <c r="F50" s="113"/>
      <c r="G50" s="27"/>
      <c r="H50" s="113"/>
      <c r="I50" s="27"/>
      <c r="J50" s="113"/>
      <c r="K50" s="27"/>
      <c r="L50" s="113"/>
      <c r="M50" s="44" t="e">
        <f t="shared" ca="1" si="1"/>
        <v>#N/A</v>
      </c>
      <c r="N50" s="105" t="e">
        <f ca="1">VLOOKUP($B50,Matrix!$H$13:$I$37,2,FALSE)&amp;"_"&amp;C50</f>
        <v>#N/A</v>
      </c>
      <c r="O50" s="120" t="e">
        <f t="shared" ca="1" si="2"/>
        <v>#N/A</v>
      </c>
    </row>
    <row r="51" spans="2:15">
      <c r="B51" s="27"/>
      <c r="C51" s="26"/>
      <c r="D51" s="112"/>
      <c r="E51" s="27"/>
      <c r="F51" s="113"/>
      <c r="G51" s="27"/>
      <c r="H51" s="113"/>
      <c r="I51" s="27"/>
      <c r="J51" s="113"/>
      <c r="K51" s="27"/>
      <c r="L51" s="113"/>
      <c r="M51" s="44" t="e">
        <f t="shared" ca="1" si="1"/>
        <v>#N/A</v>
      </c>
      <c r="N51" s="105" t="e">
        <f ca="1">VLOOKUP($B51,Matrix!$H$13:$I$37,2,FALSE)&amp;"_"&amp;C51</f>
        <v>#N/A</v>
      </c>
      <c r="O51" s="120" t="e">
        <f t="shared" ca="1" si="2"/>
        <v>#N/A</v>
      </c>
    </row>
    <row r="52" spans="2:15">
      <c r="B52" s="27"/>
      <c r="C52" s="26"/>
      <c r="D52" s="112"/>
      <c r="E52" s="27"/>
      <c r="F52" s="113"/>
      <c r="G52" s="27"/>
      <c r="H52" s="113"/>
      <c r="I52" s="27"/>
      <c r="J52" s="113"/>
      <c r="K52" s="27"/>
      <c r="L52" s="113"/>
      <c r="M52" s="44" t="e">
        <f t="shared" ca="1" si="1"/>
        <v>#N/A</v>
      </c>
      <c r="N52" s="105" t="e">
        <f ca="1">VLOOKUP($B52,Matrix!$H$13:$I$37,2,FALSE)&amp;"_"&amp;C52</f>
        <v>#N/A</v>
      </c>
      <c r="O52" s="120" t="e">
        <f t="shared" ca="1" si="2"/>
        <v>#N/A</v>
      </c>
    </row>
    <row r="53" spans="2:15">
      <c r="B53" s="27"/>
      <c r="C53" s="26"/>
      <c r="D53" s="112"/>
      <c r="E53" s="27"/>
      <c r="F53" s="113"/>
      <c r="G53" s="27"/>
      <c r="H53" s="113"/>
      <c r="I53" s="27"/>
      <c r="J53" s="113"/>
      <c r="K53" s="27"/>
      <c r="L53" s="113"/>
      <c r="M53" s="44" t="e">
        <f t="shared" ca="1" si="1"/>
        <v>#N/A</v>
      </c>
      <c r="N53" s="105" t="e">
        <f ca="1">VLOOKUP($B53,Matrix!$H$13:$I$37,2,FALSE)&amp;"_"&amp;C53</f>
        <v>#N/A</v>
      </c>
      <c r="O53" s="120" t="e">
        <f t="shared" ca="1" si="2"/>
        <v>#N/A</v>
      </c>
    </row>
    <row r="54" spans="2:15">
      <c r="B54" s="27"/>
      <c r="C54" s="26"/>
      <c r="D54" s="112"/>
      <c r="E54" s="27"/>
      <c r="F54" s="113"/>
      <c r="G54" s="27"/>
      <c r="H54" s="113"/>
      <c r="I54" s="27"/>
      <c r="J54" s="113"/>
      <c r="K54" s="27"/>
      <c r="L54" s="113"/>
      <c r="M54" s="44" t="e">
        <f t="shared" ca="1" si="1"/>
        <v>#N/A</v>
      </c>
      <c r="N54" s="105" t="e">
        <f ca="1">VLOOKUP($B54,Matrix!$H$13:$I$37,2,FALSE)&amp;"_"&amp;C54</f>
        <v>#N/A</v>
      </c>
      <c r="O54" s="120" t="e">
        <f t="shared" ca="1" si="2"/>
        <v>#N/A</v>
      </c>
    </row>
    <row r="55" spans="2:15">
      <c r="B55" s="27"/>
      <c r="C55" s="26"/>
      <c r="D55" s="112"/>
      <c r="E55" s="27"/>
      <c r="F55" s="113"/>
      <c r="G55" s="27"/>
      <c r="H55" s="113"/>
      <c r="I55" s="27"/>
      <c r="J55" s="113"/>
      <c r="K55" s="27"/>
      <c r="L55" s="113"/>
      <c r="M55" s="44" t="e">
        <f t="shared" ca="1" si="1"/>
        <v>#N/A</v>
      </c>
      <c r="N55" s="105" t="e">
        <f ca="1">VLOOKUP($B55,Matrix!$H$13:$I$37,2,FALSE)&amp;"_"&amp;C55</f>
        <v>#N/A</v>
      </c>
      <c r="O55" s="120" t="e">
        <f t="shared" ca="1" si="2"/>
        <v>#N/A</v>
      </c>
    </row>
    <row r="56" spans="2:15">
      <c r="B56" s="27"/>
      <c r="C56" s="26"/>
      <c r="D56" s="112"/>
      <c r="E56" s="27"/>
      <c r="F56" s="113"/>
      <c r="G56" s="27"/>
      <c r="H56" s="113"/>
      <c r="I56" s="27"/>
      <c r="J56" s="113"/>
      <c r="K56" s="27"/>
      <c r="L56" s="113"/>
      <c r="M56" s="44" t="e">
        <f t="shared" ca="1" si="1"/>
        <v>#N/A</v>
      </c>
      <c r="N56" s="105" t="e">
        <f ca="1">VLOOKUP($B56,Matrix!$H$13:$I$37,2,FALSE)&amp;"_"&amp;C56</f>
        <v>#N/A</v>
      </c>
      <c r="O56" s="120" t="e">
        <f t="shared" ca="1" si="2"/>
        <v>#N/A</v>
      </c>
    </row>
    <row r="57" spans="2:15">
      <c r="B57" s="27"/>
      <c r="C57" s="26"/>
      <c r="D57" s="112"/>
      <c r="E57" s="27"/>
      <c r="F57" s="113"/>
      <c r="G57" s="27"/>
      <c r="H57" s="113"/>
      <c r="I57" s="27"/>
      <c r="J57" s="113"/>
      <c r="K57" s="27"/>
      <c r="L57" s="113"/>
      <c r="M57" s="44" t="e">
        <f t="shared" ca="1" si="1"/>
        <v>#N/A</v>
      </c>
      <c r="N57" s="105" t="e">
        <f ca="1">VLOOKUP($B57,Matrix!$H$13:$I$37,2,FALSE)&amp;"_"&amp;C57</f>
        <v>#N/A</v>
      </c>
      <c r="O57" s="120" t="e">
        <f t="shared" ca="1" si="2"/>
        <v>#N/A</v>
      </c>
    </row>
    <row r="58" spans="2:15">
      <c r="B58" s="27"/>
      <c r="C58" s="26"/>
      <c r="D58" s="112"/>
      <c r="E58" s="27"/>
      <c r="F58" s="113"/>
      <c r="G58" s="27"/>
      <c r="H58" s="113"/>
      <c r="I58" s="27"/>
      <c r="J58" s="113"/>
      <c r="K58" s="27"/>
      <c r="L58" s="113"/>
      <c r="M58" s="44" t="e">
        <f t="shared" ca="1" si="1"/>
        <v>#N/A</v>
      </c>
      <c r="N58" s="105" t="e">
        <f ca="1">VLOOKUP($B58,Matrix!$H$13:$I$37,2,FALSE)&amp;"_"&amp;C58</f>
        <v>#N/A</v>
      </c>
      <c r="O58" s="120" t="e">
        <f t="shared" ca="1" si="2"/>
        <v>#N/A</v>
      </c>
    </row>
    <row r="59" spans="2:15">
      <c r="B59" s="27"/>
      <c r="C59" s="26"/>
      <c r="D59" s="112"/>
      <c r="E59" s="27"/>
      <c r="F59" s="113"/>
      <c r="G59" s="27"/>
      <c r="H59" s="113"/>
      <c r="I59" s="27"/>
      <c r="J59" s="113"/>
      <c r="K59" s="27"/>
      <c r="L59" s="113"/>
      <c r="M59" s="44" t="e">
        <f t="shared" ca="1" si="1"/>
        <v>#N/A</v>
      </c>
      <c r="N59" s="105" t="e">
        <f ca="1">VLOOKUP($B59,Matrix!$H$13:$I$37,2,FALSE)&amp;"_"&amp;C59</f>
        <v>#N/A</v>
      </c>
      <c r="O59" s="120" t="e">
        <f t="shared" ca="1" si="2"/>
        <v>#N/A</v>
      </c>
    </row>
    <row r="60" spans="2:15">
      <c r="B60" s="27"/>
      <c r="C60" s="26"/>
      <c r="D60" s="112"/>
      <c r="E60" s="27"/>
      <c r="F60" s="113"/>
      <c r="G60" s="27"/>
      <c r="H60" s="113"/>
      <c r="I60" s="27"/>
      <c r="J60" s="113"/>
      <c r="K60" s="27"/>
      <c r="L60" s="113"/>
      <c r="M60" s="44" t="e">
        <f t="shared" ca="1" si="1"/>
        <v>#N/A</v>
      </c>
      <c r="N60" s="105" t="e">
        <f ca="1">VLOOKUP($B60,Matrix!$H$13:$I$37,2,FALSE)&amp;"_"&amp;C60</f>
        <v>#N/A</v>
      </c>
      <c r="O60" s="120" t="e">
        <f t="shared" ca="1" si="2"/>
        <v>#N/A</v>
      </c>
    </row>
    <row r="61" spans="2:15">
      <c r="B61" s="27"/>
      <c r="C61" s="26"/>
      <c r="D61" s="112"/>
      <c r="E61" s="27"/>
      <c r="F61" s="113"/>
      <c r="G61" s="27"/>
      <c r="H61" s="113"/>
      <c r="I61" s="27"/>
      <c r="J61" s="113"/>
      <c r="K61" s="27"/>
      <c r="L61" s="113"/>
      <c r="M61" s="44" t="e">
        <f t="shared" ca="1" si="1"/>
        <v>#N/A</v>
      </c>
      <c r="N61" s="105" t="e">
        <f ca="1">VLOOKUP($B61,Matrix!$H$13:$I$37,2,FALSE)&amp;"_"&amp;C61</f>
        <v>#N/A</v>
      </c>
      <c r="O61" s="120" t="e">
        <f t="shared" ca="1" si="2"/>
        <v>#N/A</v>
      </c>
    </row>
    <row r="62" spans="2:15">
      <c r="B62" s="27"/>
      <c r="C62" s="26"/>
      <c r="D62" s="112"/>
      <c r="E62" s="27"/>
      <c r="F62" s="113"/>
      <c r="G62" s="27"/>
      <c r="H62" s="113"/>
      <c r="I62" s="27"/>
      <c r="J62" s="113"/>
      <c r="K62" s="27"/>
      <c r="L62" s="113"/>
      <c r="M62" s="44" t="e">
        <f t="shared" ca="1" si="1"/>
        <v>#N/A</v>
      </c>
      <c r="N62" s="105" t="e">
        <f ca="1">VLOOKUP($B62,Matrix!$H$13:$I$37,2,FALSE)&amp;"_"&amp;C62</f>
        <v>#N/A</v>
      </c>
      <c r="O62" s="120" t="e">
        <f t="shared" ca="1" si="2"/>
        <v>#N/A</v>
      </c>
    </row>
    <row r="63" spans="2:15">
      <c r="B63" s="27"/>
      <c r="C63" s="26"/>
      <c r="D63" s="112"/>
      <c r="E63" s="27"/>
      <c r="F63" s="113"/>
      <c r="G63" s="27"/>
      <c r="H63" s="113"/>
      <c r="I63" s="27"/>
      <c r="J63" s="113"/>
      <c r="K63" s="27"/>
      <c r="L63" s="113"/>
      <c r="M63" s="44" t="e">
        <f t="shared" ca="1" si="1"/>
        <v>#N/A</v>
      </c>
      <c r="N63" s="105" t="e">
        <f ca="1">VLOOKUP($B63,Matrix!$H$13:$I$37,2,FALSE)&amp;"_"&amp;C63</f>
        <v>#N/A</v>
      </c>
      <c r="O63" s="120" t="e">
        <f t="shared" ca="1" si="2"/>
        <v>#N/A</v>
      </c>
    </row>
    <row r="64" spans="2:15">
      <c r="B64" s="27"/>
      <c r="C64" s="26"/>
      <c r="D64" s="112"/>
      <c r="E64" s="27"/>
      <c r="F64" s="113"/>
      <c r="G64" s="27"/>
      <c r="H64" s="113"/>
      <c r="I64" s="27"/>
      <c r="J64" s="113"/>
      <c r="K64" s="27"/>
      <c r="L64" s="113"/>
      <c r="M64" s="44" t="e">
        <f t="shared" ca="1" si="1"/>
        <v>#N/A</v>
      </c>
      <c r="N64" s="105" t="e">
        <f ca="1">VLOOKUP($B64,Matrix!$H$13:$I$37,2,FALSE)&amp;"_"&amp;C64</f>
        <v>#N/A</v>
      </c>
      <c r="O64" s="120" t="e">
        <f t="shared" ca="1" si="2"/>
        <v>#N/A</v>
      </c>
    </row>
    <row r="65" spans="2:15">
      <c r="B65" s="27"/>
      <c r="C65" s="26"/>
      <c r="D65" s="112"/>
      <c r="E65" s="27"/>
      <c r="F65" s="113"/>
      <c r="G65" s="27"/>
      <c r="H65" s="113"/>
      <c r="I65" s="27"/>
      <c r="J65" s="113"/>
      <c r="K65" s="27"/>
      <c r="L65" s="113"/>
      <c r="M65" s="44" t="e">
        <f t="shared" ca="1" si="1"/>
        <v>#N/A</v>
      </c>
      <c r="N65" s="105" t="e">
        <f ca="1">VLOOKUP($B65,Matrix!$H$13:$I$37,2,FALSE)&amp;"_"&amp;C65</f>
        <v>#N/A</v>
      </c>
      <c r="O65" s="120" t="e">
        <f t="shared" ca="1" si="2"/>
        <v>#N/A</v>
      </c>
    </row>
    <row r="66" spans="2:15">
      <c r="B66" s="27"/>
      <c r="C66" s="26"/>
      <c r="D66" s="112"/>
      <c r="E66" s="27"/>
      <c r="F66" s="113"/>
      <c r="G66" s="27"/>
      <c r="H66" s="113"/>
      <c r="I66" s="27"/>
      <c r="J66" s="113"/>
      <c r="K66" s="27"/>
      <c r="L66" s="113"/>
      <c r="M66" s="44" t="e">
        <f t="shared" ca="1" si="1"/>
        <v>#N/A</v>
      </c>
      <c r="N66" s="105" t="e">
        <f ca="1">VLOOKUP($B66,Matrix!$H$13:$I$37,2,FALSE)&amp;"_"&amp;C66</f>
        <v>#N/A</v>
      </c>
      <c r="O66" s="120" t="e">
        <f t="shared" ca="1" si="2"/>
        <v>#N/A</v>
      </c>
    </row>
    <row r="67" spans="2:15">
      <c r="B67" s="27"/>
      <c r="C67" s="26"/>
      <c r="D67" s="112"/>
      <c r="E67" s="27"/>
      <c r="F67" s="113"/>
      <c r="G67" s="27"/>
      <c r="H67" s="113"/>
      <c r="I67" s="27"/>
      <c r="J67" s="113"/>
      <c r="K67" s="27"/>
      <c r="L67" s="113"/>
      <c r="M67" s="44" t="e">
        <f t="shared" ca="1" si="1"/>
        <v>#N/A</v>
      </c>
      <c r="N67" s="105" t="e">
        <f ca="1">VLOOKUP($B67,Matrix!$H$13:$I$37,2,FALSE)&amp;"_"&amp;C67</f>
        <v>#N/A</v>
      </c>
      <c r="O67" s="120" t="e">
        <f t="shared" ca="1" si="2"/>
        <v>#N/A</v>
      </c>
    </row>
    <row r="68" spans="2:15">
      <c r="B68" s="27"/>
      <c r="C68" s="26"/>
      <c r="D68" s="112"/>
      <c r="E68" s="27"/>
      <c r="F68" s="113"/>
      <c r="G68" s="27"/>
      <c r="H68" s="113"/>
      <c r="I68" s="27"/>
      <c r="J68" s="113"/>
      <c r="K68" s="27"/>
      <c r="L68" s="113"/>
      <c r="M68" s="44" t="e">
        <f t="shared" ca="1" si="1"/>
        <v>#N/A</v>
      </c>
      <c r="N68" s="105" t="e">
        <f ca="1">VLOOKUP($B68,Matrix!$H$13:$I$37,2,FALSE)&amp;"_"&amp;C68</f>
        <v>#N/A</v>
      </c>
      <c r="O68" s="120" t="e">
        <f t="shared" ref="O68:O99" ca="1" si="3">"#define "&amp;N68&amp;REPT(" ",48-M68)&amp;"("&amp;D68&amp;"U)"</f>
        <v>#N/A</v>
      </c>
    </row>
    <row r="69" spans="2:15">
      <c r="B69" s="27"/>
      <c r="C69" s="26"/>
      <c r="D69" s="112"/>
      <c r="E69" s="27"/>
      <c r="F69" s="113"/>
      <c r="G69" s="27"/>
      <c r="H69" s="113"/>
      <c r="I69" s="27"/>
      <c r="J69" s="113"/>
      <c r="K69" s="27"/>
      <c r="L69" s="113"/>
      <c r="M69" s="44" t="e">
        <f t="shared" ref="M69:M103" ca="1" si="4">LEN(N69)</f>
        <v>#N/A</v>
      </c>
      <c r="N69" s="105" t="e">
        <f ca="1">VLOOKUP($B69,Matrix!$H$13:$I$37,2,FALSE)&amp;"_"&amp;C69</f>
        <v>#N/A</v>
      </c>
      <c r="O69" s="120" t="e">
        <f t="shared" ca="1" si="3"/>
        <v>#N/A</v>
      </c>
    </row>
    <row r="70" spans="2:15">
      <c r="B70" s="27"/>
      <c r="C70" s="26"/>
      <c r="D70" s="112"/>
      <c r="E70" s="27"/>
      <c r="F70" s="113"/>
      <c r="G70" s="27"/>
      <c r="H70" s="113"/>
      <c r="I70" s="27"/>
      <c r="J70" s="113"/>
      <c r="K70" s="27"/>
      <c r="L70" s="113"/>
      <c r="M70" s="44" t="e">
        <f t="shared" ca="1" si="4"/>
        <v>#N/A</v>
      </c>
      <c r="N70" s="105" t="e">
        <f ca="1">VLOOKUP($B70,Matrix!$H$13:$I$37,2,FALSE)&amp;"_"&amp;C70</f>
        <v>#N/A</v>
      </c>
      <c r="O70" s="120" t="e">
        <f t="shared" ca="1" si="3"/>
        <v>#N/A</v>
      </c>
    </row>
    <row r="71" spans="2:15">
      <c r="B71" s="27"/>
      <c r="C71" s="26"/>
      <c r="D71" s="112"/>
      <c r="E71" s="27"/>
      <c r="F71" s="113"/>
      <c r="G71" s="27"/>
      <c r="H71" s="113"/>
      <c r="I71" s="27"/>
      <c r="J71" s="113"/>
      <c r="K71" s="27"/>
      <c r="L71" s="113"/>
      <c r="M71" s="44" t="e">
        <f t="shared" ca="1" si="4"/>
        <v>#N/A</v>
      </c>
      <c r="N71" s="105" t="e">
        <f ca="1">VLOOKUP($B71,Matrix!$H$13:$I$37,2,FALSE)&amp;"_"&amp;C71</f>
        <v>#N/A</v>
      </c>
      <c r="O71" s="120" t="e">
        <f t="shared" ca="1" si="3"/>
        <v>#N/A</v>
      </c>
    </row>
    <row r="72" spans="2:15">
      <c r="B72" s="27"/>
      <c r="C72" s="26"/>
      <c r="D72" s="112"/>
      <c r="E72" s="27"/>
      <c r="F72" s="113"/>
      <c r="G72" s="27"/>
      <c r="H72" s="113"/>
      <c r="I72" s="27"/>
      <c r="J72" s="113"/>
      <c r="K72" s="27"/>
      <c r="L72" s="113"/>
      <c r="M72" s="44" t="e">
        <f t="shared" ca="1" si="4"/>
        <v>#N/A</v>
      </c>
      <c r="N72" s="105" t="e">
        <f ca="1">VLOOKUP($B72,Matrix!$H$13:$I$37,2,FALSE)&amp;"_"&amp;C72</f>
        <v>#N/A</v>
      </c>
      <c r="O72" s="120" t="e">
        <f t="shared" ca="1" si="3"/>
        <v>#N/A</v>
      </c>
    </row>
    <row r="73" spans="2:15">
      <c r="B73" s="27"/>
      <c r="C73" s="26"/>
      <c r="D73" s="112"/>
      <c r="E73" s="27"/>
      <c r="F73" s="113"/>
      <c r="G73" s="27"/>
      <c r="H73" s="113"/>
      <c r="I73" s="27"/>
      <c r="J73" s="113"/>
      <c r="K73" s="27"/>
      <c r="L73" s="113"/>
      <c r="M73" s="44" t="e">
        <f t="shared" ca="1" si="4"/>
        <v>#N/A</v>
      </c>
      <c r="N73" s="105" t="e">
        <f ca="1">VLOOKUP($B73,Matrix!$H$13:$I$37,2,FALSE)&amp;"_"&amp;C73</f>
        <v>#N/A</v>
      </c>
      <c r="O73" s="120" t="e">
        <f t="shared" ca="1" si="3"/>
        <v>#N/A</v>
      </c>
    </row>
    <row r="74" spans="2:15">
      <c r="B74" s="27"/>
      <c r="C74" s="26"/>
      <c r="D74" s="112"/>
      <c r="E74" s="27"/>
      <c r="F74" s="113"/>
      <c r="G74" s="27"/>
      <c r="H74" s="113"/>
      <c r="I74" s="27"/>
      <c r="J74" s="113"/>
      <c r="K74" s="27"/>
      <c r="L74" s="113"/>
      <c r="M74" s="44" t="e">
        <f t="shared" ca="1" si="4"/>
        <v>#N/A</v>
      </c>
      <c r="N74" s="105" t="e">
        <f ca="1">VLOOKUP($B74,Matrix!$H$13:$I$37,2,FALSE)&amp;"_"&amp;C74</f>
        <v>#N/A</v>
      </c>
      <c r="O74" s="120" t="e">
        <f t="shared" ca="1" si="3"/>
        <v>#N/A</v>
      </c>
    </row>
    <row r="75" spans="2:15">
      <c r="B75" s="27"/>
      <c r="C75" s="26"/>
      <c r="D75" s="112"/>
      <c r="E75" s="27"/>
      <c r="F75" s="113"/>
      <c r="G75" s="27"/>
      <c r="H75" s="113"/>
      <c r="I75" s="27"/>
      <c r="J75" s="113"/>
      <c r="K75" s="27"/>
      <c r="L75" s="113"/>
      <c r="M75" s="44" t="e">
        <f t="shared" ca="1" si="4"/>
        <v>#N/A</v>
      </c>
      <c r="N75" s="105" t="e">
        <f ca="1">VLOOKUP($B75,Matrix!$H$13:$I$37,2,FALSE)&amp;"_"&amp;C75</f>
        <v>#N/A</v>
      </c>
      <c r="O75" s="120" t="e">
        <f t="shared" ca="1" si="3"/>
        <v>#N/A</v>
      </c>
    </row>
    <row r="76" spans="2:15">
      <c r="B76" s="27"/>
      <c r="C76" s="26"/>
      <c r="D76" s="112"/>
      <c r="E76" s="27"/>
      <c r="F76" s="113"/>
      <c r="G76" s="27"/>
      <c r="H76" s="113"/>
      <c r="I76" s="27"/>
      <c r="J76" s="113"/>
      <c r="K76" s="27"/>
      <c r="L76" s="113"/>
      <c r="M76" s="44" t="e">
        <f t="shared" ca="1" si="4"/>
        <v>#N/A</v>
      </c>
      <c r="N76" s="105" t="e">
        <f ca="1">VLOOKUP($B76,Matrix!$H$13:$I$37,2,FALSE)&amp;"_"&amp;C76</f>
        <v>#N/A</v>
      </c>
      <c r="O76" s="120" t="e">
        <f t="shared" ca="1" si="3"/>
        <v>#N/A</v>
      </c>
    </row>
    <row r="77" spans="2:15">
      <c r="B77" s="27"/>
      <c r="C77" s="26"/>
      <c r="D77" s="112"/>
      <c r="E77" s="27"/>
      <c r="F77" s="113"/>
      <c r="G77" s="27"/>
      <c r="H77" s="113"/>
      <c r="I77" s="27"/>
      <c r="J77" s="113"/>
      <c r="K77" s="27"/>
      <c r="L77" s="113"/>
      <c r="M77" s="44" t="e">
        <f t="shared" ca="1" si="4"/>
        <v>#N/A</v>
      </c>
      <c r="N77" s="105" t="e">
        <f ca="1">VLOOKUP($B77,Matrix!$H$13:$I$37,2,FALSE)&amp;"_"&amp;C77</f>
        <v>#N/A</v>
      </c>
      <c r="O77" s="120" t="e">
        <f t="shared" ca="1" si="3"/>
        <v>#N/A</v>
      </c>
    </row>
    <row r="78" spans="2:15">
      <c r="B78" s="27"/>
      <c r="C78" s="26"/>
      <c r="D78" s="112"/>
      <c r="E78" s="27"/>
      <c r="F78" s="113"/>
      <c r="G78" s="27"/>
      <c r="H78" s="113"/>
      <c r="I78" s="27"/>
      <c r="J78" s="113"/>
      <c r="K78" s="27"/>
      <c r="L78" s="113"/>
      <c r="M78" s="44" t="e">
        <f t="shared" ca="1" si="4"/>
        <v>#N/A</v>
      </c>
      <c r="N78" s="105" t="e">
        <f ca="1">VLOOKUP($B78,Matrix!$H$13:$I$37,2,FALSE)&amp;"_"&amp;C78</f>
        <v>#N/A</v>
      </c>
      <c r="O78" s="120" t="e">
        <f t="shared" ca="1" si="3"/>
        <v>#N/A</v>
      </c>
    </row>
    <row r="79" spans="2:15">
      <c r="B79" s="27"/>
      <c r="C79" s="26"/>
      <c r="D79" s="112"/>
      <c r="E79" s="27"/>
      <c r="F79" s="113"/>
      <c r="G79" s="27"/>
      <c r="H79" s="113"/>
      <c r="I79" s="27"/>
      <c r="J79" s="113"/>
      <c r="K79" s="27"/>
      <c r="L79" s="113"/>
      <c r="M79" s="44" t="e">
        <f t="shared" ca="1" si="4"/>
        <v>#N/A</v>
      </c>
      <c r="N79" s="105" t="e">
        <f ca="1">VLOOKUP($B79,Matrix!$H$13:$I$37,2,FALSE)&amp;"_"&amp;C79</f>
        <v>#N/A</v>
      </c>
      <c r="O79" s="120" t="e">
        <f t="shared" ca="1" si="3"/>
        <v>#N/A</v>
      </c>
    </row>
    <row r="80" spans="2:15">
      <c r="B80" s="27"/>
      <c r="C80" s="26"/>
      <c r="D80" s="112"/>
      <c r="E80" s="27"/>
      <c r="F80" s="113"/>
      <c r="G80" s="27"/>
      <c r="H80" s="113"/>
      <c r="I80" s="27"/>
      <c r="J80" s="113"/>
      <c r="K80" s="27"/>
      <c r="L80" s="113"/>
      <c r="M80" s="44" t="e">
        <f t="shared" ca="1" si="4"/>
        <v>#N/A</v>
      </c>
      <c r="N80" s="105" t="e">
        <f ca="1">VLOOKUP($B80,Matrix!$H$13:$I$37,2,FALSE)&amp;"_"&amp;C80</f>
        <v>#N/A</v>
      </c>
      <c r="O80" s="120" t="e">
        <f t="shared" ca="1" si="3"/>
        <v>#N/A</v>
      </c>
    </row>
    <row r="81" spans="2:15">
      <c r="B81" s="27"/>
      <c r="C81" s="26"/>
      <c r="D81" s="112"/>
      <c r="E81" s="27"/>
      <c r="F81" s="113"/>
      <c r="G81" s="27"/>
      <c r="H81" s="113"/>
      <c r="I81" s="27"/>
      <c r="J81" s="113"/>
      <c r="K81" s="27"/>
      <c r="L81" s="113"/>
      <c r="M81" s="44" t="e">
        <f t="shared" ca="1" si="4"/>
        <v>#N/A</v>
      </c>
      <c r="N81" s="105" t="e">
        <f ca="1">VLOOKUP($B81,Matrix!$H$13:$I$37,2,FALSE)&amp;"_"&amp;C81</f>
        <v>#N/A</v>
      </c>
      <c r="O81" s="120" t="e">
        <f t="shared" ca="1" si="3"/>
        <v>#N/A</v>
      </c>
    </row>
    <row r="82" spans="2:15">
      <c r="B82" s="27"/>
      <c r="C82" s="26"/>
      <c r="D82" s="112"/>
      <c r="E82" s="27"/>
      <c r="F82" s="113"/>
      <c r="G82" s="27"/>
      <c r="H82" s="113"/>
      <c r="I82" s="27"/>
      <c r="J82" s="113"/>
      <c r="K82" s="27"/>
      <c r="L82" s="113"/>
      <c r="M82" s="44" t="e">
        <f t="shared" ca="1" si="4"/>
        <v>#N/A</v>
      </c>
      <c r="N82" s="105" t="e">
        <f ca="1">VLOOKUP($B82,Matrix!$H$13:$I$37,2,FALSE)&amp;"_"&amp;C82</f>
        <v>#N/A</v>
      </c>
      <c r="O82" s="120" t="e">
        <f t="shared" ca="1" si="3"/>
        <v>#N/A</v>
      </c>
    </row>
    <row r="83" spans="2:15">
      <c r="B83" s="27"/>
      <c r="C83" s="26"/>
      <c r="D83" s="112"/>
      <c r="E83" s="27"/>
      <c r="F83" s="113"/>
      <c r="G83" s="27"/>
      <c r="H83" s="113"/>
      <c r="I83" s="27"/>
      <c r="J83" s="113"/>
      <c r="K83" s="27"/>
      <c r="L83" s="113"/>
      <c r="M83" s="44" t="e">
        <f t="shared" ca="1" si="4"/>
        <v>#N/A</v>
      </c>
      <c r="N83" s="105" t="e">
        <f ca="1">VLOOKUP($B83,Matrix!$H$13:$I$37,2,FALSE)&amp;"_"&amp;C83</f>
        <v>#N/A</v>
      </c>
      <c r="O83" s="120" t="e">
        <f t="shared" ca="1" si="3"/>
        <v>#N/A</v>
      </c>
    </row>
    <row r="84" spans="2:15">
      <c r="B84" s="27"/>
      <c r="C84" s="26"/>
      <c r="D84" s="112"/>
      <c r="E84" s="27"/>
      <c r="F84" s="113"/>
      <c r="G84" s="27"/>
      <c r="H84" s="113"/>
      <c r="I84" s="27"/>
      <c r="J84" s="113"/>
      <c r="K84" s="27"/>
      <c r="L84" s="113"/>
      <c r="M84" s="44" t="e">
        <f t="shared" ca="1" si="4"/>
        <v>#N/A</v>
      </c>
      <c r="N84" s="105" t="e">
        <f ca="1">VLOOKUP($B84,Matrix!$H$13:$I$37,2,FALSE)&amp;"_"&amp;C84</f>
        <v>#N/A</v>
      </c>
      <c r="O84" s="120" t="e">
        <f t="shared" ca="1" si="3"/>
        <v>#N/A</v>
      </c>
    </row>
    <row r="85" spans="2:15">
      <c r="B85" s="27"/>
      <c r="C85" s="26"/>
      <c r="D85" s="112"/>
      <c r="E85" s="27"/>
      <c r="F85" s="113"/>
      <c r="G85" s="27"/>
      <c r="H85" s="113"/>
      <c r="I85" s="27"/>
      <c r="J85" s="113"/>
      <c r="K85" s="27"/>
      <c r="L85" s="113"/>
      <c r="M85" s="44" t="e">
        <f t="shared" ca="1" si="4"/>
        <v>#N/A</v>
      </c>
      <c r="N85" s="105" t="e">
        <f ca="1">VLOOKUP($B85,Matrix!$H$13:$I$37,2,FALSE)&amp;"_"&amp;C85</f>
        <v>#N/A</v>
      </c>
      <c r="O85" s="120" t="e">
        <f t="shared" ca="1" si="3"/>
        <v>#N/A</v>
      </c>
    </row>
    <row r="86" spans="2:15">
      <c r="B86" s="27"/>
      <c r="C86" s="26"/>
      <c r="D86" s="112"/>
      <c r="E86" s="27"/>
      <c r="F86" s="113"/>
      <c r="G86" s="27"/>
      <c r="H86" s="113"/>
      <c r="I86" s="27"/>
      <c r="J86" s="113"/>
      <c r="K86" s="27"/>
      <c r="L86" s="113"/>
      <c r="M86" s="44" t="e">
        <f t="shared" ca="1" si="4"/>
        <v>#N/A</v>
      </c>
      <c r="N86" s="105" t="e">
        <f ca="1">VLOOKUP($B86,Matrix!$H$13:$I$37,2,FALSE)&amp;"_"&amp;C86</f>
        <v>#N/A</v>
      </c>
      <c r="O86" s="120" t="e">
        <f t="shared" ca="1" si="3"/>
        <v>#N/A</v>
      </c>
    </row>
    <row r="87" spans="2:15">
      <c r="B87" s="27"/>
      <c r="C87" s="26"/>
      <c r="D87" s="112"/>
      <c r="E87" s="27"/>
      <c r="F87" s="113"/>
      <c r="G87" s="27"/>
      <c r="H87" s="113"/>
      <c r="I87" s="27"/>
      <c r="J87" s="113"/>
      <c r="K87" s="27"/>
      <c r="L87" s="113"/>
      <c r="M87" s="44" t="e">
        <f t="shared" ca="1" si="4"/>
        <v>#N/A</v>
      </c>
      <c r="N87" s="65" t="e">
        <f ca="1">VLOOKUP($B87,Matrix!$H$13:$I$37,2,FALSE)&amp;"_"&amp;C87</f>
        <v>#N/A</v>
      </c>
      <c r="O87" s="120" t="e">
        <f t="shared" ca="1" si="3"/>
        <v>#N/A</v>
      </c>
    </row>
    <row r="88" spans="2:15">
      <c r="B88" s="27"/>
      <c r="C88" s="26"/>
      <c r="D88" s="112"/>
      <c r="E88" s="27"/>
      <c r="F88" s="113"/>
      <c r="G88" s="27"/>
      <c r="H88" s="113"/>
      <c r="I88" s="27"/>
      <c r="J88" s="113"/>
      <c r="K88" s="27"/>
      <c r="L88" s="113"/>
      <c r="M88" s="44" t="e">
        <f t="shared" ca="1" si="4"/>
        <v>#N/A</v>
      </c>
      <c r="N88" s="65" t="e">
        <f ca="1">VLOOKUP($B88,Matrix!$H$13:$I$37,2,FALSE)&amp;"_"&amp;C88</f>
        <v>#N/A</v>
      </c>
      <c r="O88" s="120" t="e">
        <f t="shared" ca="1" si="3"/>
        <v>#N/A</v>
      </c>
    </row>
    <row r="89" spans="2:15">
      <c r="B89" s="27"/>
      <c r="C89" s="26"/>
      <c r="D89" s="112"/>
      <c r="E89" s="27"/>
      <c r="F89" s="113"/>
      <c r="G89" s="27"/>
      <c r="H89" s="113"/>
      <c r="I89" s="27"/>
      <c r="J89" s="113"/>
      <c r="K89" s="27"/>
      <c r="L89" s="113"/>
      <c r="M89" s="44" t="e">
        <f t="shared" ca="1" si="4"/>
        <v>#N/A</v>
      </c>
      <c r="N89" s="65" t="e">
        <f ca="1">VLOOKUP($B89,Matrix!$H$13:$I$37,2,FALSE)&amp;"_"&amp;C89</f>
        <v>#N/A</v>
      </c>
      <c r="O89" s="120" t="e">
        <f t="shared" ca="1" si="3"/>
        <v>#N/A</v>
      </c>
    </row>
    <row r="90" spans="2:15">
      <c r="B90" s="27"/>
      <c r="C90" s="26"/>
      <c r="D90" s="112"/>
      <c r="E90" s="27"/>
      <c r="F90" s="113"/>
      <c r="G90" s="27"/>
      <c r="H90" s="113"/>
      <c r="I90" s="27"/>
      <c r="J90" s="113"/>
      <c r="K90" s="27"/>
      <c r="L90" s="113"/>
      <c r="M90" s="44" t="e">
        <f t="shared" ca="1" si="4"/>
        <v>#N/A</v>
      </c>
      <c r="N90" s="65" t="e">
        <f ca="1">VLOOKUP($B90,Matrix!$H$13:$I$37,2,FALSE)&amp;"_"&amp;C90</f>
        <v>#N/A</v>
      </c>
      <c r="O90" s="120" t="e">
        <f t="shared" ca="1" si="3"/>
        <v>#N/A</v>
      </c>
    </row>
    <row r="91" spans="2:15">
      <c r="B91" s="27"/>
      <c r="C91" s="26"/>
      <c r="D91" s="112"/>
      <c r="E91" s="27"/>
      <c r="F91" s="113"/>
      <c r="G91" s="27"/>
      <c r="H91" s="113"/>
      <c r="I91" s="27"/>
      <c r="J91" s="113"/>
      <c r="K91" s="27"/>
      <c r="L91" s="113"/>
      <c r="M91" s="44" t="e">
        <f t="shared" ca="1" si="4"/>
        <v>#N/A</v>
      </c>
      <c r="N91" s="65" t="e">
        <f ca="1">VLOOKUP($B91,Matrix!$H$13:$I$37,2,FALSE)&amp;"_"&amp;C91</f>
        <v>#N/A</v>
      </c>
      <c r="O91" s="120" t="e">
        <f t="shared" ca="1" si="3"/>
        <v>#N/A</v>
      </c>
    </row>
    <row r="92" spans="2:15">
      <c r="B92" s="27"/>
      <c r="C92" s="26"/>
      <c r="D92" s="112"/>
      <c r="E92" s="27"/>
      <c r="F92" s="113"/>
      <c r="G92" s="27"/>
      <c r="H92" s="113"/>
      <c r="I92" s="27"/>
      <c r="J92" s="113"/>
      <c r="K92" s="27"/>
      <c r="L92" s="113"/>
      <c r="M92" s="44" t="e">
        <f t="shared" ca="1" si="4"/>
        <v>#N/A</v>
      </c>
      <c r="N92" s="65" t="e">
        <f ca="1">VLOOKUP($B92,Matrix!$H$13:$I$37,2,FALSE)&amp;"_"&amp;C92</f>
        <v>#N/A</v>
      </c>
      <c r="O92" s="120" t="e">
        <f t="shared" ca="1" si="3"/>
        <v>#N/A</v>
      </c>
    </row>
    <row r="93" spans="2:15">
      <c r="B93" s="27"/>
      <c r="C93" s="26"/>
      <c r="D93" s="112"/>
      <c r="E93" s="27"/>
      <c r="F93" s="113"/>
      <c r="G93" s="27"/>
      <c r="H93" s="113"/>
      <c r="I93" s="27"/>
      <c r="J93" s="113"/>
      <c r="K93" s="27"/>
      <c r="L93" s="113"/>
      <c r="M93" s="44" t="e">
        <f t="shared" ca="1" si="4"/>
        <v>#N/A</v>
      </c>
      <c r="N93" s="65" t="e">
        <f ca="1">VLOOKUP($B93,Matrix!$H$13:$I$37,2,FALSE)&amp;"_"&amp;C93</f>
        <v>#N/A</v>
      </c>
      <c r="O93" s="120" t="e">
        <f t="shared" ca="1" si="3"/>
        <v>#N/A</v>
      </c>
    </row>
    <row r="94" spans="2:15">
      <c r="B94" s="27"/>
      <c r="C94" s="26"/>
      <c r="D94" s="112"/>
      <c r="E94" s="27"/>
      <c r="F94" s="113"/>
      <c r="G94" s="27"/>
      <c r="H94" s="113"/>
      <c r="I94" s="27"/>
      <c r="J94" s="113"/>
      <c r="K94" s="27"/>
      <c r="L94" s="113"/>
      <c r="M94" s="44" t="e">
        <f t="shared" ca="1" si="4"/>
        <v>#N/A</v>
      </c>
      <c r="N94" s="65" t="e">
        <f ca="1">VLOOKUP($B94,Matrix!$H$13:$I$37,2,FALSE)&amp;"_"&amp;C94</f>
        <v>#N/A</v>
      </c>
      <c r="O94" s="120" t="e">
        <f t="shared" ca="1" si="3"/>
        <v>#N/A</v>
      </c>
    </row>
    <row r="95" spans="2:15">
      <c r="B95" s="27"/>
      <c r="C95" s="26"/>
      <c r="D95" s="112"/>
      <c r="E95" s="27"/>
      <c r="F95" s="113"/>
      <c r="G95" s="27"/>
      <c r="H95" s="113"/>
      <c r="I95" s="27"/>
      <c r="J95" s="113"/>
      <c r="K95" s="27"/>
      <c r="L95" s="113"/>
      <c r="M95" s="44" t="e">
        <f t="shared" ca="1" si="4"/>
        <v>#N/A</v>
      </c>
      <c r="N95" s="65" t="e">
        <f ca="1">VLOOKUP($B95,Matrix!$H$13:$I$37,2,FALSE)&amp;"_"&amp;C95</f>
        <v>#N/A</v>
      </c>
      <c r="O95" s="120" t="e">
        <f t="shared" ca="1" si="3"/>
        <v>#N/A</v>
      </c>
    </row>
    <row r="96" spans="2:15">
      <c r="B96" s="27"/>
      <c r="C96" s="26"/>
      <c r="D96" s="112"/>
      <c r="E96" s="27"/>
      <c r="F96" s="113"/>
      <c r="G96" s="27"/>
      <c r="H96" s="113"/>
      <c r="I96" s="27"/>
      <c r="J96" s="113"/>
      <c r="K96" s="27"/>
      <c r="L96" s="113"/>
      <c r="M96" s="44" t="e">
        <f t="shared" ca="1" si="4"/>
        <v>#N/A</v>
      </c>
      <c r="N96" s="65" t="e">
        <f ca="1">VLOOKUP($B96,Matrix!$H$13:$I$37,2,FALSE)&amp;"_"&amp;C96</f>
        <v>#N/A</v>
      </c>
      <c r="O96" s="120" t="e">
        <f t="shared" ca="1" si="3"/>
        <v>#N/A</v>
      </c>
    </row>
    <row r="97" spans="2:15">
      <c r="B97" s="27"/>
      <c r="C97" s="26"/>
      <c r="D97" s="112"/>
      <c r="E97" s="27"/>
      <c r="F97" s="113"/>
      <c r="G97" s="27"/>
      <c r="H97" s="113"/>
      <c r="I97" s="27"/>
      <c r="J97" s="113"/>
      <c r="K97" s="27"/>
      <c r="L97" s="113"/>
      <c r="M97" s="44" t="e">
        <f t="shared" ca="1" si="4"/>
        <v>#N/A</v>
      </c>
      <c r="N97" s="65" t="e">
        <f ca="1">VLOOKUP($B97,Matrix!$H$13:$I$37,2,FALSE)&amp;"_"&amp;C97</f>
        <v>#N/A</v>
      </c>
      <c r="O97" s="120" t="e">
        <f t="shared" ca="1" si="3"/>
        <v>#N/A</v>
      </c>
    </row>
    <row r="98" spans="2:15">
      <c r="B98" s="27"/>
      <c r="C98" s="26"/>
      <c r="D98" s="112"/>
      <c r="E98" s="27"/>
      <c r="F98" s="113"/>
      <c r="G98" s="27"/>
      <c r="H98" s="113"/>
      <c r="I98" s="27"/>
      <c r="J98" s="113"/>
      <c r="K98" s="27"/>
      <c r="L98" s="113"/>
      <c r="M98" s="44" t="e">
        <f t="shared" ca="1" si="4"/>
        <v>#N/A</v>
      </c>
      <c r="N98" s="65" t="e">
        <f ca="1">VLOOKUP($B98,Matrix!$H$13:$I$37,2,FALSE)&amp;"_"&amp;C98</f>
        <v>#N/A</v>
      </c>
      <c r="O98" s="120" t="e">
        <f t="shared" ca="1" si="3"/>
        <v>#N/A</v>
      </c>
    </row>
    <row r="99" spans="2:15">
      <c r="B99" s="27"/>
      <c r="C99" s="26"/>
      <c r="D99" s="112"/>
      <c r="E99" s="27"/>
      <c r="F99" s="113"/>
      <c r="G99" s="27"/>
      <c r="H99" s="113"/>
      <c r="I99" s="27"/>
      <c r="J99" s="113"/>
      <c r="K99" s="27"/>
      <c r="L99" s="113"/>
      <c r="M99" s="44" t="e">
        <f t="shared" ca="1" si="4"/>
        <v>#N/A</v>
      </c>
      <c r="N99" s="65" t="e">
        <f ca="1">VLOOKUP($B99,Matrix!$H$13:$I$37,2,FALSE)&amp;"_"&amp;C99</f>
        <v>#N/A</v>
      </c>
      <c r="O99" s="120" t="e">
        <f t="shared" ca="1" si="3"/>
        <v>#N/A</v>
      </c>
    </row>
    <row r="100" spans="2:15">
      <c r="B100" s="27"/>
      <c r="C100" s="26"/>
      <c r="D100" s="112"/>
      <c r="E100" s="27"/>
      <c r="F100" s="113"/>
      <c r="G100" s="27"/>
      <c r="H100" s="113"/>
      <c r="I100" s="27"/>
      <c r="J100" s="113"/>
      <c r="K100" s="27"/>
      <c r="L100" s="113"/>
      <c r="M100" s="44" t="e">
        <f t="shared" ca="1" si="4"/>
        <v>#N/A</v>
      </c>
      <c r="N100" s="65" t="e">
        <f ca="1">VLOOKUP($B100,Matrix!$H$13:$I$37,2,FALSE)&amp;"_"&amp;C100</f>
        <v>#N/A</v>
      </c>
      <c r="O100" s="120" t="e">
        <f t="shared" ref="O100:O103" ca="1" si="5">"#define "&amp;N100&amp;REPT(" ",48-M100)&amp;"("&amp;D100&amp;"U)"</f>
        <v>#N/A</v>
      </c>
    </row>
    <row r="101" spans="2:15">
      <c r="B101" s="27"/>
      <c r="C101" s="26"/>
      <c r="D101" s="112"/>
      <c r="E101" s="27"/>
      <c r="F101" s="113"/>
      <c r="G101" s="27"/>
      <c r="H101" s="113"/>
      <c r="I101" s="27"/>
      <c r="J101" s="113"/>
      <c r="K101" s="27"/>
      <c r="L101" s="113"/>
      <c r="M101" s="44" t="e">
        <f t="shared" ca="1" si="4"/>
        <v>#N/A</v>
      </c>
      <c r="N101" s="65" t="e">
        <f ca="1">VLOOKUP($B101,Matrix!$H$13:$I$37,2,FALSE)&amp;"_"&amp;C101</f>
        <v>#N/A</v>
      </c>
      <c r="O101" s="120" t="e">
        <f t="shared" ca="1" si="5"/>
        <v>#N/A</v>
      </c>
    </row>
    <row r="102" spans="2:15">
      <c r="B102" s="27"/>
      <c r="C102" s="26"/>
      <c r="D102" s="112"/>
      <c r="E102" s="27"/>
      <c r="F102" s="113"/>
      <c r="G102" s="27"/>
      <c r="H102" s="113"/>
      <c r="I102" s="27"/>
      <c r="J102" s="113"/>
      <c r="K102" s="27"/>
      <c r="L102" s="113"/>
      <c r="M102" s="44" t="e">
        <f t="shared" ca="1" si="4"/>
        <v>#N/A</v>
      </c>
      <c r="N102" s="65" t="e">
        <f ca="1">VLOOKUP($B102,Matrix!$H$13:$I$37,2,FALSE)&amp;"_"&amp;C102</f>
        <v>#N/A</v>
      </c>
      <c r="O102" s="120" t="e">
        <f t="shared" ca="1" si="5"/>
        <v>#N/A</v>
      </c>
    </row>
    <row r="103" spans="2:15" ht="14.25" thickBot="1">
      <c r="B103" s="50"/>
      <c r="C103" s="51"/>
      <c r="D103" s="114"/>
      <c r="E103" s="50"/>
      <c r="F103" s="115"/>
      <c r="G103" s="50"/>
      <c r="H103" s="115"/>
      <c r="I103" s="50"/>
      <c r="J103" s="115"/>
      <c r="K103" s="50"/>
      <c r="L103" s="115"/>
      <c r="M103" s="52" t="e">
        <f t="shared" ca="1" si="4"/>
        <v>#N/A</v>
      </c>
      <c r="N103" s="66" t="e">
        <f ca="1">VLOOKUP($B103,Matrix!$H$13:$I$37,2,FALSE)&amp;"_"&amp;C103</f>
        <v>#N/A</v>
      </c>
      <c r="O103" s="121" t="e">
        <f t="shared" ca="1" si="5"/>
        <v>#N/A</v>
      </c>
    </row>
  </sheetData>
  <sheetProtection sheet="1" objects="1" scenarios="1"/>
  <protectedRanges>
    <protectedRange sqref="B4:L103" name="範囲1"/>
  </protectedRanges>
  <phoneticPr fontId="2"/>
  <conditionalFormatting sqref="M3:M103">
    <cfRule type="cellIs" dxfId="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64</v>
      </c>
      <c r="AI1" t="s">
        <v>65</v>
      </c>
    </row>
    <row r="2" spans="1:49">
      <c r="B2" s="122" t="s">
        <v>135</v>
      </c>
      <c r="C2" s="285" t="s">
        <v>620</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7" t="s">
        <v>169</v>
      </c>
    </row>
    <row r="3" spans="1:49" ht="213" customHeight="1" thickBot="1">
      <c r="B3" s="191" t="str">
        <f>IF(OR(IF(COUNTIF(D6:AC69,"0")&lt;&gt;0,TRUE,FALSE),IF(COUNTIF(D6:AC69,"1")&lt;&gt;0,TRUE,FALSE)),"Search Table","Index Table")</f>
        <v>Search Table</v>
      </c>
      <c r="C3" s="286"/>
      <c r="D3" s="124" t="s">
        <v>66</v>
      </c>
      <c r="E3" s="124" t="s">
        <v>71</v>
      </c>
      <c r="F3" s="124" t="s">
        <v>54</v>
      </c>
      <c r="G3" s="124" t="s">
        <v>53</v>
      </c>
      <c r="H3" s="124" t="s">
        <v>133</v>
      </c>
      <c r="I3" s="124" t="s">
        <v>132</v>
      </c>
      <c r="J3" s="124" t="s">
        <v>137</v>
      </c>
      <c r="K3" s="124" t="s">
        <v>136</v>
      </c>
      <c r="L3" s="125" t="s">
        <v>71</v>
      </c>
      <c r="M3" s="125" t="s">
        <v>67</v>
      </c>
      <c r="N3" s="125" t="s">
        <v>67</v>
      </c>
      <c r="O3" s="125" t="s">
        <v>67</v>
      </c>
      <c r="P3" s="125" t="s">
        <v>67</v>
      </c>
      <c r="Q3" s="125" t="s">
        <v>67</v>
      </c>
      <c r="R3" s="125" t="s">
        <v>224</v>
      </c>
      <c r="S3" s="125" t="s">
        <v>67</v>
      </c>
      <c r="T3" s="125" t="s">
        <v>67</v>
      </c>
      <c r="U3" s="125" t="s">
        <v>67</v>
      </c>
      <c r="V3" s="125" t="s">
        <v>67</v>
      </c>
      <c r="W3" s="125" t="s">
        <v>67</v>
      </c>
      <c r="X3" s="125" t="s">
        <v>67</v>
      </c>
      <c r="Y3" s="125" t="s">
        <v>67</v>
      </c>
      <c r="Z3" s="293" t="s">
        <v>255</v>
      </c>
      <c r="AA3" s="294"/>
      <c r="AB3" s="295" t="s">
        <v>256</v>
      </c>
      <c r="AC3" s="295"/>
      <c r="AD3" s="295"/>
      <c r="AE3" s="295"/>
      <c r="AF3" s="295"/>
      <c r="AG3" s="295"/>
      <c r="AH3" s="295"/>
      <c r="AI3" s="295"/>
      <c r="AJ3" s="288"/>
      <c r="AR3" s="86" t="s">
        <v>104</v>
      </c>
    </row>
    <row r="4" spans="1:49" ht="14.25" thickBot="1">
      <c r="A4" s="289" t="s">
        <v>68</v>
      </c>
      <c r="B4" s="290"/>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7"/>
      <c r="AR4" s="74" t="s">
        <v>87</v>
      </c>
      <c r="AS4" s="75"/>
      <c r="AT4" s="75"/>
      <c r="AU4" s="75"/>
      <c r="AV4" s="75"/>
      <c r="AW4" s="76"/>
    </row>
    <row r="5" spans="1:49" ht="14.25" thickBot="1">
      <c r="A5" s="291"/>
      <c r="B5" s="292"/>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8"/>
      <c r="AR5" s="77" t="str">
        <f ca="1">"static const U4  "&amp;AW8&amp;"["&amp;AW10&amp;"]"&amp;" = {"</f>
        <v>static const U4  u4_sp_ALERT_S_TMBZR_BC_AD_CRIT[ALERT_S_TMBZR_BC_AD_NUM_DST] = {</v>
      </c>
      <c r="AS5" s="77" t="str">
        <f ca="1">"static const U4  "&amp;$AW$9&amp;"["&amp;$AW$10&amp;"] = {"</f>
        <v>static const U4  u4_sp_ALERT_S_TMBZR_BC_AD_MASK[ALERT_S_TMBZR_BC_AD_NUM_DST] = {</v>
      </c>
      <c r="AT5" s="77" t="str">
        <f ca="1">"static const U1  "&amp;$AW$11&amp;"["&amp;$AW$10&amp;"] = {"</f>
        <v>static const U1  u1_sp_ALERT_S_TMBZR_BC_AD_DST[ALERT_S_TMBZR_BC_AD_NUM_DST] = {</v>
      </c>
      <c r="AU5" s="77" t="str">
        <f ca="1">"const ST_ALERT_MTRX "&amp;$AW$12&amp;" = {"</f>
        <v>const ST_ALERT_MTRX st_gp_ALERT_S_TMBZR_MTRX[2] = {</v>
      </c>
      <c r="AV5" s="62" t="str">
        <f ca="1">"#define "&amp;AW10&amp;REPT(" ",41-LEN(AW10))&amp;"("&amp;AW13&amp;"U)"</f>
        <v>#define ALERT_S_TMBZR_BC_AD_NUM_DST              (36U)</v>
      </c>
      <c r="AW5" s="63"/>
    </row>
    <row r="6" spans="1:49">
      <c r="B6" s="131" t="str">
        <f ca="1">"Table "&amp;$AW$6</f>
        <v>Table BC_AD</v>
      </c>
      <c r="C6" s="49">
        <f>ROW()-ROW($C$6)</f>
        <v>0</v>
      </c>
      <c r="D6" s="126" t="s">
        <v>72</v>
      </c>
      <c r="E6" s="126" t="s">
        <v>72</v>
      </c>
      <c r="F6" s="126" t="s">
        <v>72</v>
      </c>
      <c r="G6" s="126" t="s">
        <v>72</v>
      </c>
      <c r="H6" s="126" t="s">
        <v>72</v>
      </c>
      <c r="I6" s="126" t="s">
        <v>72</v>
      </c>
      <c r="J6" s="126" t="s">
        <v>72</v>
      </c>
      <c r="K6" s="126" t="s">
        <v>72</v>
      </c>
      <c r="L6" s="126" t="s">
        <v>72</v>
      </c>
      <c r="M6" s="126" t="s">
        <v>72</v>
      </c>
      <c r="N6" s="126" t="s">
        <v>72</v>
      </c>
      <c r="O6" s="126" t="s">
        <v>72</v>
      </c>
      <c r="P6" s="126" t="s">
        <v>72</v>
      </c>
      <c r="Q6" s="126" t="s">
        <v>72</v>
      </c>
      <c r="R6" s="126" t="s">
        <v>72</v>
      </c>
      <c r="S6" s="126" t="s">
        <v>72</v>
      </c>
      <c r="T6" s="126" t="s">
        <v>72</v>
      </c>
      <c r="U6" s="126" t="s">
        <v>72</v>
      </c>
      <c r="V6" s="126" t="s">
        <v>72</v>
      </c>
      <c r="W6" s="126" t="s">
        <v>72</v>
      </c>
      <c r="X6" s="126" t="s">
        <v>72</v>
      </c>
      <c r="Y6" s="58" t="s">
        <v>72</v>
      </c>
      <c r="Z6" s="58">
        <v>1</v>
      </c>
      <c r="AA6" s="58" t="s">
        <v>72</v>
      </c>
      <c r="AB6" s="58" t="s">
        <v>72</v>
      </c>
      <c r="AC6" s="58" t="s">
        <v>72</v>
      </c>
      <c r="AD6" s="58" t="s">
        <v>72</v>
      </c>
      <c r="AE6" s="58" t="s">
        <v>72</v>
      </c>
      <c r="AF6" s="58" t="s">
        <v>72</v>
      </c>
      <c r="AG6" s="58" t="s">
        <v>72</v>
      </c>
      <c r="AH6" s="58" t="s">
        <v>72</v>
      </c>
      <c r="AI6" s="58" t="s">
        <v>72</v>
      </c>
      <c r="AJ6" s="48" t="s">
        <v>33</v>
      </c>
      <c r="AL6" t="str">
        <f t="shared" ref="AL6:AL69" si="0">IF($AJ6="UNKNOWN","    (U1)ALERT_REQ_UNKNOWN","    (U1)"&amp;"ALERT_REQ_"&amp;$AW$17&amp;"_"&amp;IF($AW$6&lt;&gt;$AW$17,$AW$6&amp;"_","")&amp;AJ6)</f>
        <v xml:space="preserve">    (U1)ALERT_REQ_UNKNOWN</v>
      </c>
      <c r="AR6" s="60" t="str">
        <f t="shared" ref="AR6:AR37" si="1">IF(AQ71&lt;&gt;"",AQ71,IF(AQ70&lt;&gt;"","};",""))</f>
        <v xml:space="preserve">    (U4)0x00000200U,                                                           /* 00 UNKNOWN                                         */</v>
      </c>
      <c r="AS6" s="60" t="str">
        <f t="shared" ref="AS6:AS37" si="2">IF(AQ136&lt;&gt;"",AQ136,IF(AQ135&lt;&gt;"","};",""))</f>
        <v xml:space="preserve">    (U4)0x00000200U,                                                           /* 00 UNKNOWN                                         */</v>
      </c>
      <c r="AT6" s="60" t="str">
        <f t="shared" ref="AT6:AT67" si="3">IF(AJ6&lt;&gt;"",AL6&amp;IF(AJ7&lt;&gt;"",","," ")&amp;REPT(" ",78-LEN(AL6))&amp;"/* "&amp;IF(C6&lt;10,"0"&amp;C6,C6)&amp;" "&amp;AJ6&amp;REPT(" ",48-LEN(AJ6))&amp;"*/",IF(AJ5&lt;&gt;"","};",""))</f>
        <v xml:space="preserve">    (U1)ALERT_REQ_UNKNOWN,                                                     /* 00 UNKNOWN                                         */</v>
      </c>
      <c r="AU6" s="60" t="s">
        <v>73</v>
      </c>
      <c r="AV6" s="45" t="s">
        <v>75</v>
      </c>
      <c r="AW6" s="64" t="str">
        <f ca="1">UPPER(RIGHT(CELL("filename",A1),LEN(CELL("filename",A1))-FIND("]",CELL("filename",A1))))</f>
        <v>BC_AD</v>
      </c>
    </row>
    <row r="7" spans="1:49">
      <c r="B7" s="131"/>
      <c r="C7" s="44">
        <f t="shared" ref="C7:C68" si="4">ROW()-ROW($C$6)</f>
        <v>1</v>
      </c>
      <c r="D7" s="58" t="s">
        <v>72</v>
      </c>
      <c r="E7" s="58" t="s">
        <v>72</v>
      </c>
      <c r="F7" s="58" t="s">
        <v>72</v>
      </c>
      <c r="G7" s="58" t="s">
        <v>72</v>
      </c>
      <c r="H7" s="58" t="s">
        <v>72</v>
      </c>
      <c r="I7" s="58" t="s">
        <v>72</v>
      </c>
      <c r="J7" s="126" t="s">
        <v>72</v>
      </c>
      <c r="K7" s="126" t="s">
        <v>72</v>
      </c>
      <c r="L7" s="58" t="s">
        <v>72</v>
      </c>
      <c r="M7" s="58" t="s">
        <v>72</v>
      </c>
      <c r="N7" s="58" t="s">
        <v>72</v>
      </c>
      <c r="O7" s="58" t="s">
        <v>72</v>
      </c>
      <c r="P7" s="58" t="s">
        <v>72</v>
      </c>
      <c r="Q7" s="58" t="s">
        <v>72</v>
      </c>
      <c r="R7" s="58" t="s">
        <v>72</v>
      </c>
      <c r="S7" s="58" t="s">
        <v>72</v>
      </c>
      <c r="T7" s="58" t="s">
        <v>72</v>
      </c>
      <c r="U7" s="58" t="s">
        <v>72</v>
      </c>
      <c r="V7" s="58" t="s">
        <v>72</v>
      </c>
      <c r="W7" s="58" t="s">
        <v>72</v>
      </c>
      <c r="X7" s="58" t="s">
        <v>72</v>
      </c>
      <c r="Y7" s="58" t="s">
        <v>72</v>
      </c>
      <c r="Z7" s="58">
        <v>0</v>
      </c>
      <c r="AA7" s="58">
        <v>1</v>
      </c>
      <c r="AB7" s="58" t="s">
        <v>72</v>
      </c>
      <c r="AC7" s="58" t="s">
        <v>72</v>
      </c>
      <c r="AD7" s="58" t="s">
        <v>72</v>
      </c>
      <c r="AE7" s="58" t="s">
        <v>72</v>
      </c>
      <c r="AF7" s="58" t="s">
        <v>72</v>
      </c>
      <c r="AG7" s="58" t="s">
        <v>72</v>
      </c>
      <c r="AH7" s="58" t="s">
        <v>72</v>
      </c>
      <c r="AI7" s="58" t="s">
        <v>72</v>
      </c>
      <c r="AJ7" s="26" t="s">
        <v>33</v>
      </c>
      <c r="AL7" t="str">
        <f t="shared" si="0"/>
        <v xml:space="preserve">    (U1)ALERT_REQ_UNKNOWN</v>
      </c>
      <c r="AR7" s="60" t="str">
        <f t="shared" si="1"/>
        <v xml:space="preserve">    (U4)0x00000100U,                                                           /* 01 UNKNOWN                                         */</v>
      </c>
      <c r="AS7" s="60" t="str">
        <f t="shared" si="2"/>
        <v xml:space="preserve">    (U4)0x00000300U,                                                           /* 01 UNKNOWN                                         */</v>
      </c>
      <c r="AT7" s="60" t="str">
        <f t="shared" si="3"/>
        <v xml:space="preserve">    (U1)ALERT_REQ_UNKNOWN,                                                     /* 01 UNKNOWN                                         */</v>
      </c>
      <c r="AU7" s="60" t="str">
        <f ca="1">"        &amp;"&amp;$AW$14&amp;","&amp;REPT(" ",69-LEN($AW$14))&amp;"/* fp_u4_SRC_CHK                                      */"</f>
        <v xml:space="preserve">        &amp;u4_s_AlertS_tmbzrBcAdSrcchk,                                          /* fp_u4_SRC_CHK                                      */</v>
      </c>
      <c r="AV7" s="46" t="s">
        <v>76</v>
      </c>
      <c r="AW7" s="130">
        <f>IF(B3="Search Table",1,0)</f>
        <v>1</v>
      </c>
    </row>
    <row r="8" spans="1:49">
      <c r="B8" s="131"/>
      <c r="C8" s="44">
        <f t="shared" si="4"/>
        <v>2</v>
      </c>
      <c r="D8" s="58" t="s">
        <v>72</v>
      </c>
      <c r="E8" s="58" t="s">
        <v>72</v>
      </c>
      <c r="F8" s="58" t="s">
        <v>72</v>
      </c>
      <c r="G8" s="58" t="s">
        <v>72</v>
      </c>
      <c r="H8" s="58" t="s">
        <v>72</v>
      </c>
      <c r="I8" s="58" t="s">
        <v>72</v>
      </c>
      <c r="J8" s="58" t="s">
        <v>72</v>
      </c>
      <c r="K8" s="58" t="s">
        <v>72</v>
      </c>
      <c r="L8" s="58" t="s">
        <v>72</v>
      </c>
      <c r="M8" s="58" t="s">
        <v>72</v>
      </c>
      <c r="N8" s="58" t="s">
        <v>72</v>
      </c>
      <c r="O8" s="58" t="s">
        <v>72</v>
      </c>
      <c r="P8" s="58" t="s">
        <v>72</v>
      </c>
      <c r="Q8" s="58" t="s">
        <v>72</v>
      </c>
      <c r="R8" s="58" t="s">
        <v>72</v>
      </c>
      <c r="S8" s="58" t="s">
        <v>72</v>
      </c>
      <c r="T8" s="58" t="s">
        <v>72</v>
      </c>
      <c r="U8" s="58" t="s">
        <v>72</v>
      </c>
      <c r="V8" s="58" t="s">
        <v>72</v>
      </c>
      <c r="W8" s="58" t="s">
        <v>72</v>
      </c>
      <c r="X8" s="58" t="s">
        <v>72</v>
      </c>
      <c r="Y8" s="58" t="s">
        <v>72</v>
      </c>
      <c r="Z8" s="58">
        <v>0</v>
      </c>
      <c r="AA8" s="58">
        <v>0</v>
      </c>
      <c r="AB8" s="237">
        <v>0</v>
      </c>
      <c r="AC8" s="237">
        <v>0</v>
      </c>
      <c r="AD8" s="237">
        <v>0</v>
      </c>
      <c r="AE8" s="237">
        <v>0</v>
      </c>
      <c r="AF8" s="237">
        <v>0</v>
      </c>
      <c r="AG8" s="237">
        <v>0</v>
      </c>
      <c r="AH8" s="237">
        <v>0</v>
      </c>
      <c r="AI8" s="237">
        <v>1</v>
      </c>
      <c r="AJ8" s="26" t="s">
        <v>598</v>
      </c>
      <c r="AL8" t="str">
        <f t="shared" ca="1" si="0"/>
        <v xml:space="preserve">    (U1)ALERT_REQ_S_TMBZR_BC_AD_CONT_0</v>
      </c>
      <c r="AR8" s="60" t="str">
        <f t="shared" si="1"/>
        <v xml:space="preserve">    (U4)0x00000001U,                                                           /* 02 CONT_0                                          */</v>
      </c>
      <c r="AS8" s="60" t="str">
        <f t="shared" si="2"/>
        <v xml:space="preserve">    (U4)0x000003FFU,                                                           /* 02 CONT_0                                          */</v>
      </c>
      <c r="AT8" s="60" t="str">
        <f ca="1">IF(AJ8&lt;&gt;"",AL8&amp;IF(AJ9&lt;&gt;"",","," ")&amp;REPT(" ",78-LEN(AL8))&amp;"/* "&amp;IF(C8&lt;10,"0"&amp;C8,C8)&amp;" "&amp;AJ8&amp;REPT(" ",48-LEN(AJ8))&amp;"*/",IF(AJ7&lt;&gt;"","};",""))</f>
        <v xml:space="preserve">    (U1)ALERT_REQ_S_TMBZR_BC_AD_CONT_0,                                        /* 02 CONT_0                                          */</v>
      </c>
      <c r="AU8" s="60" t="str">
        <f ca="1">IF($AW$15&lt;&gt;"NULL","        &amp;"&amp;$AW$15&amp;","&amp;REPT(" ",69-LEN($AW$15))&amp;"/* fp_vd_XDST                                         */","        vdp_PTR_NA,                                                            /* fp_vd_XDST                                         */")</f>
        <v xml:space="preserve">        vdp_PTR_NA,                                                            /* fp_vd_XDST                                         */</v>
      </c>
      <c r="AV8" s="46" t="s">
        <v>77</v>
      </c>
      <c r="AW8" s="65" t="str">
        <f ca="1">"u4_sp_ALERT_"&amp;IF(AW6&lt;&gt;AW17,$AW$17&amp;"_"&amp;$AW$6,AW17)&amp;"_CRIT"</f>
        <v>u4_sp_ALERT_S_TMBZR_BC_AD_CRIT</v>
      </c>
    </row>
    <row r="9" spans="1:49">
      <c r="B9" s="131"/>
      <c r="C9" s="44">
        <f t="shared" si="4"/>
        <v>3</v>
      </c>
      <c r="D9" s="58" t="s">
        <v>72</v>
      </c>
      <c r="E9" s="58" t="s">
        <v>72</v>
      </c>
      <c r="F9" s="58" t="s">
        <v>72</v>
      </c>
      <c r="G9" s="58" t="s">
        <v>72</v>
      </c>
      <c r="H9" s="58" t="s">
        <v>72</v>
      </c>
      <c r="I9" s="58" t="s">
        <v>72</v>
      </c>
      <c r="J9" s="58" t="s">
        <v>72</v>
      </c>
      <c r="K9" s="58" t="s">
        <v>72</v>
      </c>
      <c r="L9" s="58" t="s">
        <v>72</v>
      </c>
      <c r="M9" s="58" t="s">
        <v>72</v>
      </c>
      <c r="N9" s="58" t="s">
        <v>72</v>
      </c>
      <c r="O9" s="58" t="s">
        <v>72</v>
      </c>
      <c r="P9" s="58" t="s">
        <v>72</v>
      </c>
      <c r="Q9" s="58" t="s">
        <v>72</v>
      </c>
      <c r="R9" s="58" t="s">
        <v>72</v>
      </c>
      <c r="S9" s="58" t="s">
        <v>72</v>
      </c>
      <c r="T9" s="58" t="s">
        <v>72</v>
      </c>
      <c r="U9" s="58" t="s">
        <v>72</v>
      </c>
      <c r="V9" s="58" t="s">
        <v>72</v>
      </c>
      <c r="W9" s="58" t="s">
        <v>72</v>
      </c>
      <c r="X9" s="58" t="s">
        <v>72</v>
      </c>
      <c r="Y9" s="58" t="s">
        <v>72</v>
      </c>
      <c r="Z9" s="58">
        <v>0</v>
      </c>
      <c r="AA9" s="58">
        <v>0</v>
      </c>
      <c r="AB9" s="237">
        <v>0</v>
      </c>
      <c r="AC9" s="237">
        <v>0</v>
      </c>
      <c r="AD9" s="237">
        <v>0</v>
      </c>
      <c r="AE9" s="237">
        <v>0</v>
      </c>
      <c r="AF9" s="237">
        <v>0</v>
      </c>
      <c r="AG9" s="237">
        <v>0</v>
      </c>
      <c r="AH9" s="237">
        <v>1</v>
      </c>
      <c r="AI9" s="237">
        <v>0</v>
      </c>
      <c r="AJ9" s="26" t="s">
        <v>606</v>
      </c>
      <c r="AL9" t="str">
        <f t="shared" ca="1" si="0"/>
        <v xml:space="preserve">    (U1)ALERT_REQ_S_TMBZR_BC_AD_TEN_0</v>
      </c>
      <c r="AR9" s="60" t="str">
        <f t="shared" si="1"/>
        <v xml:space="preserve">    (U4)0x00000002U,                                                           /* 03 TEN_0                                           */</v>
      </c>
      <c r="AS9" s="60" t="str">
        <f t="shared" si="2"/>
        <v xml:space="preserve">    (U4)0x000003FFU,                                                           /* 03 TEN_0                                           */</v>
      </c>
      <c r="AT9" s="60" t="str">
        <f t="shared" ca="1" si="3"/>
        <v xml:space="preserve">    (U1)ALERT_REQ_S_TMBZR_BC_AD_TEN_0,                                         /* 03 TEN_0                                           */</v>
      </c>
      <c r="AU9" s="60"/>
      <c r="AV9" s="46" t="s">
        <v>78</v>
      </c>
      <c r="AW9" s="65" t="str">
        <f ca="1">"u4_sp_ALERT_"&amp;IF(AW6&lt;&gt;AW17,$AW$17&amp;"_"&amp;$AW$6,AW17)&amp;"_MASK"</f>
        <v>u4_sp_ALERT_S_TMBZR_BC_AD_MASK</v>
      </c>
    </row>
    <row r="10" spans="1:49">
      <c r="B10" s="131"/>
      <c r="C10" s="44">
        <f t="shared" si="4"/>
        <v>4</v>
      </c>
      <c r="D10" s="58" t="s">
        <v>72</v>
      </c>
      <c r="E10" s="58" t="s">
        <v>72</v>
      </c>
      <c r="F10" s="58" t="s">
        <v>72</v>
      </c>
      <c r="G10" s="58" t="s">
        <v>72</v>
      </c>
      <c r="H10" s="58" t="s">
        <v>72</v>
      </c>
      <c r="I10" s="58" t="s">
        <v>72</v>
      </c>
      <c r="J10" s="58" t="s">
        <v>72</v>
      </c>
      <c r="K10" s="58" t="s">
        <v>72</v>
      </c>
      <c r="L10" s="58" t="s">
        <v>72</v>
      </c>
      <c r="M10" s="58" t="s">
        <v>72</v>
      </c>
      <c r="N10" s="58" t="s">
        <v>72</v>
      </c>
      <c r="O10" s="58" t="s">
        <v>72</v>
      </c>
      <c r="P10" s="58" t="s">
        <v>72</v>
      </c>
      <c r="Q10" s="58" t="s">
        <v>72</v>
      </c>
      <c r="R10" s="58" t="s">
        <v>72</v>
      </c>
      <c r="S10" s="58" t="s">
        <v>72</v>
      </c>
      <c r="T10" s="58" t="s">
        <v>72</v>
      </c>
      <c r="U10" s="58" t="s">
        <v>72</v>
      </c>
      <c r="V10" s="58" t="s">
        <v>72</v>
      </c>
      <c r="W10" s="58" t="s">
        <v>72</v>
      </c>
      <c r="X10" s="58" t="s">
        <v>72</v>
      </c>
      <c r="Y10" s="58" t="s">
        <v>72</v>
      </c>
      <c r="Z10" s="58">
        <v>0</v>
      </c>
      <c r="AA10" s="58">
        <v>0</v>
      </c>
      <c r="AB10" s="237">
        <v>0</v>
      </c>
      <c r="AC10" s="237">
        <v>0</v>
      </c>
      <c r="AD10" s="237">
        <v>0</v>
      </c>
      <c r="AE10" s="237">
        <v>0</v>
      </c>
      <c r="AF10" s="237">
        <v>0</v>
      </c>
      <c r="AG10" s="237">
        <v>1</v>
      </c>
      <c r="AH10" s="237">
        <v>0</v>
      </c>
      <c r="AI10" s="237">
        <v>1</v>
      </c>
      <c r="AJ10" s="26" t="s">
        <v>592</v>
      </c>
      <c r="AL10" t="str">
        <f t="shared" ca="1" si="0"/>
        <v xml:space="preserve">    (U1)ALERT_REQ_S_TMBZR_BC_AD_RJT_0</v>
      </c>
      <c r="AR10" s="60" t="str">
        <f t="shared" si="1"/>
        <v xml:space="preserve">    (U4)0x00000005U,                                                           /* 04 RJT_0                                           */</v>
      </c>
      <c r="AS10" s="60" t="str">
        <f t="shared" si="2"/>
        <v xml:space="preserve">    (U4)0x000003FFU,                                                           /* 04 RJT_0                                           */</v>
      </c>
      <c r="AT10" s="60" t="str">
        <f t="shared" ca="1" si="3"/>
        <v xml:space="preserve">    (U1)ALERT_REQ_S_TMBZR_BC_AD_RJT_0,                                         /* 04 RJT_0                                           */</v>
      </c>
      <c r="AU10" s="60" t="str">
        <f ca="1">IF($AW$7=1,"        &amp;"&amp;$AW$9&amp;"[0],"&amp;REPT(" ",66-LEN($AW$9))&amp;"/* u4p_MASK                                           */","        (const U4 *)vdp_PTR_NA,                                                /* u4p_MASK                                           */")</f>
        <v xml:space="preserve">        &amp;u4_sp_ALERT_S_TMBZR_BC_AD_MASK[0],                                    /* u4p_MASK                                           */</v>
      </c>
      <c r="AV10" s="46" t="s">
        <v>79</v>
      </c>
      <c r="AW10" s="65" t="str">
        <f ca="1">"ALERT_"&amp;IF(AW6&lt;&gt;AW17,$AW$17&amp;"_"&amp;$AW$6,AW17)&amp;"_NUM_DST"</f>
        <v>ALERT_S_TMBZR_BC_AD_NUM_DST</v>
      </c>
    </row>
    <row r="11" spans="1:49">
      <c r="B11" s="131"/>
      <c r="C11" s="44">
        <f t="shared" si="4"/>
        <v>5</v>
      </c>
      <c r="D11" s="58" t="s">
        <v>72</v>
      </c>
      <c r="E11" s="58" t="s">
        <v>72</v>
      </c>
      <c r="F11" s="58" t="s">
        <v>72</v>
      </c>
      <c r="G11" s="58" t="s">
        <v>72</v>
      </c>
      <c r="H11" s="58" t="s">
        <v>72</v>
      </c>
      <c r="I11" s="58" t="s">
        <v>72</v>
      </c>
      <c r="J11" s="58" t="s">
        <v>72</v>
      </c>
      <c r="K11" s="58" t="s">
        <v>72</v>
      </c>
      <c r="L11" s="58" t="s">
        <v>72</v>
      </c>
      <c r="M11" s="58" t="s">
        <v>72</v>
      </c>
      <c r="N11" s="58" t="s">
        <v>72</v>
      </c>
      <c r="O11" s="58" t="s">
        <v>72</v>
      </c>
      <c r="P11" s="58" t="s">
        <v>72</v>
      </c>
      <c r="Q11" s="58" t="s">
        <v>72</v>
      </c>
      <c r="R11" s="58" t="s">
        <v>72</v>
      </c>
      <c r="S11" s="58" t="s">
        <v>72</v>
      </c>
      <c r="T11" s="58" t="s">
        <v>72</v>
      </c>
      <c r="U11" s="58" t="s">
        <v>72</v>
      </c>
      <c r="V11" s="58" t="s">
        <v>72</v>
      </c>
      <c r="W11" s="58" t="s">
        <v>72</v>
      </c>
      <c r="X11" s="58" t="s">
        <v>72</v>
      </c>
      <c r="Y11" s="58" t="s">
        <v>72</v>
      </c>
      <c r="Z11" s="58">
        <v>0</v>
      </c>
      <c r="AA11" s="58">
        <v>0</v>
      </c>
      <c r="AB11" s="237">
        <v>0</v>
      </c>
      <c r="AC11" s="237">
        <v>0</v>
      </c>
      <c r="AD11" s="237">
        <v>0</v>
      </c>
      <c r="AE11" s="237">
        <v>0</v>
      </c>
      <c r="AF11" s="237">
        <v>0</v>
      </c>
      <c r="AG11" s="237">
        <v>1</v>
      </c>
      <c r="AH11" s="237">
        <v>1</v>
      </c>
      <c r="AI11" s="237">
        <v>0</v>
      </c>
      <c r="AJ11" s="26" t="s">
        <v>586</v>
      </c>
      <c r="AL11" t="str">
        <f t="shared" ca="1" si="0"/>
        <v xml:space="preserve">    (U1)ALERT_REQ_S_TMBZR_BC_AD_RCV_0</v>
      </c>
      <c r="AR11" s="60" t="str">
        <f t="shared" si="1"/>
        <v xml:space="preserve">    (U4)0x00000006U,                                                           /* 05 RCV_0                                           */</v>
      </c>
      <c r="AS11" s="60" t="str">
        <f t="shared" si="2"/>
        <v xml:space="preserve">    (U4)0x000003FFU,                                                           /* 05 RCV_0                                           */</v>
      </c>
      <c r="AT11" s="60" t="str">
        <f t="shared" ca="1" si="3"/>
        <v xml:space="preserve">    (U1)ALERT_REQ_S_TMBZR_BC_AD_RCV_0,                                         /* 05 RCV_0                                           */</v>
      </c>
      <c r="AU11" s="60" t="str">
        <f ca="1">IF($AW$7=1,"        &amp;"&amp;$AW$8&amp;"[0],"&amp;REPT(" ",66-LEN($AW$8))&amp;"/* u4p_CRIT                                           */","        (const U4 *)vdp_PTR_NA,                                                /* u4p_CRIT                                           */")</f>
        <v xml:space="preserve">        &amp;u4_sp_ALERT_S_TMBZR_BC_AD_CRIT[0],                                    /* u4p_CRIT                                           */</v>
      </c>
      <c r="AV11" s="46" t="s">
        <v>80</v>
      </c>
      <c r="AW11" s="65" t="str">
        <f ca="1">"u1_sp_ALERT_"&amp;IF(AW6&lt;&gt;AW17,$AW$17&amp;"_"&amp;$AW$6,AW17)&amp;"_DST"</f>
        <v>u1_sp_ALERT_S_TMBZR_BC_AD_DST</v>
      </c>
    </row>
    <row r="12" spans="1:49">
      <c r="B12" s="131"/>
      <c r="C12" s="44">
        <f t="shared" si="4"/>
        <v>6</v>
      </c>
      <c r="D12" s="58" t="s">
        <v>72</v>
      </c>
      <c r="E12" s="58" t="s">
        <v>72</v>
      </c>
      <c r="F12" s="58" t="s">
        <v>72</v>
      </c>
      <c r="G12" s="58" t="s">
        <v>72</v>
      </c>
      <c r="H12" s="58" t="s">
        <v>72</v>
      </c>
      <c r="I12" s="58" t="s">
        <v>72</v>
      </c>
      <c r="J12" s="58" t="s">
        <v>72</v>
      </c>
      <c r="K12" s="58" t="s">
        <v>72</v>
      </c>
      <c r="L12" s="58" t="s">
        <v>72</v>
      </c>
      <c r="M12" s="58" t="s">
        <v>72</v>
      </c>
      <c r="N12" s="58" t="s">
        <v>72</v>
      </c>
      <c r="O12" s="58" t="s">
        <v>72</v>
      </c>
      <c r="P12" s="58" t="s">
        <v>72</v>
      </c>
      <c r="Q12" s="58" t="s">
        <v>72</v>
      </c>
      <c r="R12" s="58" t="s">
        <v>72</v>
      </c>
      <c r="S12" s="58" t="s">
        <v>72</v>
      </c>
      <c r="T12" s="58" t="s">
        <v>72</v>
      </c>
      <c r="U12" s="58" t="s">
        <v>72</v>
      </c>
      <c r="V12" s="58" t="s">
        <v>72</v>
      </c>
      <c r="W12" s="58" t="s">
        <v>72</v>
      </c>
      <c r="X12" s="58" t="s">
        <v>72</v>
      </c>
      <c r="Y12" s="58" t="s">
        <v>72</v>
      </c>
      <c r="Z12" s="58">
        <v>0</v>
      </c>
      <c r="AA12" s="58">
        <v>0</v>
      </c>
      <c r="AB12" s="237">
        <v>0</v>
      </c>
      <c r="AC12" s="237">
        <v>0</v>
      </c>
      <c r="AD12" s="237">
        <v>0</v>
      </c>
      <c r="AE12" s="237">
        <v>0</v>
      </c>
      <c r="AF12" s="237">
        <v>0</v>
      </c>
      <c r="AG12" s="237">
        <v>1</v>
      </c>
      <c r="AH12" s="237">
        <v>1</v>
      </c>
      <c r="AI12" s="237">
        <v>1</v>
      </c>
      <c r="AJ12" s="26" t="s">
        <v>580</v>
      </c>
      <c r="AL12" t="str">
        <f t="shared" ca="1" si="0"/>
        <v xml:space="preserve">    (U1)ALERT_REQ_S_TMBZR_BC_AD_ANN_0</v>
      </c>
      <c r="AR12" s="60" t="str">
        <f t="shared" si="1"/>
        <v xml:space="preserve">    (U4)0x00000007U,                                                           /* 06 ANN_0                                           */</v>
      </c>
      <c r="AS12" s="60" t="str">
        <f t="shared" si="2"/>
        <v xml:space="preserve">    (U4)0x000003FFU,                                                           /* 06 ANN_0                                           */</v>
      </c>
      <c r="AT12" s="60" t="str">
        <f t="shared" ca="1" si="3"/>
        <v xml:space="preserve">    (U1)ALERT_REQ_S_TMBZR_BC_AD_ANN_0,                                         /* 06 ANN_0                                           */</v>
      </c>
      <c r="AU12" s="60"/>
      <c r="AV12" s="46" t="s">
        <v>95</v>
      </c>
      <c r="AW12" s="65" t="str">
        <f ca="1">Matrix!D8&amp;"["&amp;Matrix!D7&amp;"]"</f>
        <v>st_gp_ALERT_S_TMBZR_MTRX[2]</v>
      </c>
    </row>
    <row r="13" spans="1:49">
      <c r="B13" s="131"/>
      <c r="C13" s="44">
        <f t="shared" si="4"/>
        <v>7</v>
      </c>
      <c r="D13" s="58" t="s">
        <v>72</v>
      </c>
      <c r="E13" s="58" t="s">
        <v>72</v>
      </c>
      <c r="F13" s="58" t="s">
        <v>72</v>
      </c>
      <c r="G13" s="58" t="s">
        <v>72</v>
      </c>
      <c r="H13" s="58" t="s">
        <v>72</v>
      </c>
      <c r="I13" s="58" t="s">
        <v>72</v>
      </c>
      <c r="J13" s="58" t="s">
        <v>72</v>
      </c>
      <c r="K13" s="58" t="s">
        <v>72</v>
      </c>
      <c r="L13" s="58" t="s">
        <v>72</v>
      </c>
      <c r="M13" s="58" t="s">
        <v>72</v>
      </c>
      <c r="N13" s="58" t="s">
        <v>72</v>
      </c>
      <c r="O13" s="58" t="s">
        <v>72</v>
      </c>
      <c r="P13" s="58" t="s">
        <v>72</v>
      </c>
      <c r="Q13" s="58" t="s">
        <v>72</v>
      </c>
      <c r="R13" s="58" t="s">
        <v>72</v>
      </c>
      <c r="S13" s="58" t="s">
        <v>72</v>
      </c>
      <c r="T13" s="58" t="s">
        <v>72</v>
      </c>
      <c r="U13" s="58" t="s">
        <v>72</v>
      </c>
      <c r="V13" s="58" t="s">
        <v>72</v>
      </c>
      <c r="W13" s="58" t="s">
        <v>72</v>
      </c>
      <c r="X13" s="58" t="s">
        <v>72</v>
      </c>
      <c r="Y13" s="58" t="s">
        <v>72</v>
      </c>
      <c r="Z13" s="58">
        <v>0</v>
      </c>
      <c r="AA13" s="58">
        <v>0</v>
      </c>
      <c r="AB13" s="237">
        <v>0</v>
      </c>
      <c r="AC13" s="237">
        <v>0</v>
      </c>
      <c r="AD13" s="237">
        <v>0</v>
      </c>
      <c r="AE13" s="237">
        <v>1</v>
      </c>
      <c r="AF13" s="237">
        <v>0</v>
      </c>
      <c r="AG13" s="237">
        <v>0</v>
      </c>
      <c r="AH13" s="237">
        <v>0</v>
      </c>
      <c r="AI13" s="237">
        <v>1</v>
      </c>
      <c r="AJ13" s="26" t="s">
        <v>599</v>
      </c>
      <c r="AL13" t="str">
        <f t="shared" ca="1" si="0"/>
        <v xml:space="preserve">    (U1)ALERT_REQ_S_TMBZR_BC_AD_CONT_1</v>
      </c>
      <c r="AR13" s="60" t="str">
        <f t="shared" si="1"/>
        <v xml:space="preserve">    (U4)0x00000011U,                                                           /* 07 CONT_1                                          */</v>
      </c>
      <c r="AS13" s="60" t="str">
        <f t="shared" si="2"/>
        <v xml:space="preserve">    (U4)0x000003FFU,                                                           /* 07 CONT_1                                          */</v>
      </c>
      <c r="AT13" s="60" t="str">
        <f t="shared" ca="1" si="3"/>
        <v xml:space="preserve">    (U1)ALERT_REQ_S_TMBZR_BC_AD_CONT_1,                                        /* 07 CONT_1                                          */</v>
      </c>
      <c r="AU13" s="60" t="str">
        <f ca="1">"        &amp;"&amp;$AW$11&amp;"[0],"&amp;REPT(" ",66-LEN($AW$11))&amp;"/* u1p_DST                                            */"</f>
        <v xml:space="preserve">        &amp;u1_sp_ALERT_S_TMBZR_BC_AD_DST[0],                                     /* u1p_DST                                            */</v>
      </c>
      <c r="AV13" s="46" t="s">
        <v>81</v>
      </c>
      <c r="AW13" s="130">
        <f>COUNTA($AJ$6:$AJ$69)</f>
        <v>36</v>
      </c>
    </row>
    <row r="14" spans="1:49">
      <c r="B14" s="131"/>
      <c r="C14" s="44">
        <f t="shared" si="4"/>
        <v>8</v>
      </c>
      <c r="D14" s="58" t="s">
        <v>72</v>
      </c>
      <c r="E14" s="58" t="s">
        <v>72</v>
      </c>
      <c r="F14" s="58" t="s">
        <v>72</v>
      </c>
      <c r="G14" s="58" t="s">
        <v>72</v>
      </c>
      <c r="H14" s="58" t="s">
        <v>72</v>
      </c>
      <c r="I14" s="58" t="s">
        <v>72</v>
      </c>
      <c r="J14" s="58" t="s">
        <v>72</v>
      </c>
      <c r="K14" s="58" t="s">
        <v>72</v>
      </c>
      <c r="L14" s="58" t="s">
        <v>72</v>
      </c>
      <c r="M14" s="58" t="s">
        <v>72</v>
      </c>
      <c r="N14" s="58" t="s">
        <v>72</v>
      </c>
      <c r="O14" s="58" t="s">
        <v>72</v>
      </c>
      <c r="P14" s="58" t="s">
        <v>72</v>
      </c>
      <c r="Q14" s="58" t="s">
        <v>72</v>
      </c>
      <c r="R14" s="58" t="s">
        <v>72</v>
      </c>
      <c r="S14" s="58" t="s">
        <v>72</v>
      </c>
      <c r="T14" s="58" t="s">
        <v>72</v>
      </c>
      <c r="U14" s="58" t="s">
        <v>72</v>
      </c>
      <c r="V14" s="58" t="s">
        <v>72</v>
      </c>
      <c r="W14" s="58" t="s">
        <v>72</v>
      </c>
      <c r="X14" s="58" t="s">
        <v>72</v>
      </c>
      <c r="Y14" s="58" t="s">
        <v>72</v>
      </c>
      <c r="Z14" s="58">
        <v>0</v>
      </c>
      <c r="AA14" s="58">
        <v>0</v>
      </c>
      <c r="AB14" s="237">
        <v>0</v>
      </c>
      <c r="AC14" s="237">
        <v>0</v>
      </c>
      <c r="AD14" s="237">
        <v>0</v>
      </c>
      <c r="AE14" s="237">
        <v>1</v>
      </c>
      <c r="AF14" s="237">
        <v>0</v>
      </c>
      <c r="AG14" s="237">
        <v>0</v>
      </c>
      <c r="AH14" s="237">
        <v>1</v>
      </c>
      <c r="AI14" s="237">
        <v>0</v>
      </c>
      <c r="AJ14" s="26" t="s">
        <v>607</v>
      </c>
      <c r="AL14" t="str">
        <f t="shared" ca="1" si="0"/>
        <v xml:space="preserve">    (U1)ALERT_REQ_S_TMBZR_BC_AD_TEN_1</v>
      </c>
      <c r="AR14" s="60" t="str">
        <f t="shared" si="1"/>
        <v xml:space="preserve">    (U4)0x00000012U,                                                           /* 08 TEN_1                                           */</v>
      </c>
      <c r="AS14" s="60" t="str">
        <f t="shared" si="2"/>
        <v xml:space="preserve">    (U4)0x000003FFU,                                                           /* 08 TEN_1                                           */</v>
      </c>
      <c r="AT14" s="60" t="str">
        <f t="shared" ca="1" si="3"/>
        <v xml:space="preserve">    (U1)ALERT_REQ_S_TMBZR_BC_AD_TEN_1,                                         /* 08 TEN_1                                           */</v>
      </c>
      <c r="AU14" s="60" t="str">
        <f ca="1">"        (U2)"&amp;$AW$10&amp;","&amp;REPT(" ",66-LEN($AW$10))&amp;"/* u2_num_srch                                        */"</f>
        <v xml:space="preserve">        (U2)ALERT_S_TMBZR_BC_AD_NUM_DST,                                       /* u2_num_srch                                        */</v>
      </c>
      <c r="AV14" s="46" t="s">
        <v>82</v>
      </c>
      <c r="AW14" s="65" t="str">
        <f ca="1">IF(AW6&lt;&gt;AW17,VLOOKUP(AW6,Matrix!$C$13:$G$37,4,FALSE),Matrix!F13)</f>
        <v>u4_s_AlertS_tmbzrBcAdSrcchk</v>
      </c>
    </row>
    <row r="15" spans="1:49">
      <c r="B15" s="131"/>
      <c r="C15" s="44">
        <f t="shared" si="4"/>
        <v>9</v>
      </c>
      <c r="D15" s="58" t="s">
        <v>72</v>
      </c>
      <c r="E15" s="58" t="s">
        <v>72</v>
      </c>
      <c r="F15" s="58" t="s">
        <v>72</v>
      </c>
      <c r="G15" s="58" t="s">
        <v>72</v>
      </c>
      <c r="H15" s="58" t="s">
        <v>72</v>
      </c>
      <c r="I15" s="58" t="s">
        <v>72</v>
      </c>
      <c r="J15" s="58" t="s">
        <v>72</v>
      </c>
      <c r="K15" s="58" t="s">
        <v>72</v>
      </c>
      <c r="L15" s="58" t="s">
        <v>72</v>
      </c>
      <c r="M15" s="58" t="s">
        <v>72</v>
      </c>
      <c r="N15" s="58" t="s">
        <v>72</v>
      </c>
      <c r="O15" s="58" t="s">
        <v>72</v>
      </c>
      <c r="P15" s="58" t="s">
        <v>72</v>
      </c>
      <c r="Q15" s="58" t="s">
        <v>72</v>
      </c>
      <c r="R15" s="58" t="s">
        <v>72</v>
      </c>
      <c r="S15" s="58" t="s">
        <v>72</v>
      </c>
      <c r="T15" s="58" t="s">
        <v>72</v>
      </c>
      <c r="U15" s="58" t="s">
        <v>72</v>
      </c>
      <c r="V15" s="58" t="s">
        <v>72</v>
      </c>
      <c r="W15" s="58" t="s">
        <v>72</v>
      </c>
      <c r="X15" s="58" t="s">
        <v>72</v>
      </c>
      <c r="Y15" s="58" t="s">
        <v>72</v>
      </c>
      <c r="Z15" s="58">
        <v>0</v>
      </c>
      <c r="AA15" s="58">
        <v>0</v>
      </c>
      <c r="AB15" s="237">
        <v>0</v>
      </c>
      <c r="AC15" s="237">
        <v>0</v>
      </c>
      <c r="AD15" s="237">
        <v>0</v>
      </c>
      <c r="AE15" s="237">
        <v>1</v>
      </c>
      <c r="AF15" s="237">
        <v>0</v>
      </c>
      <c r="AG15" s="237">
        <v>1</v>
      </c>
      <c r="AH15" s="237">
        <v>0</v>
      </c>
      <c r="AI15" s="237">
        <v>1</v>
      </c>
      <c r="AJ15" s="26" t="s">
        <v>593</v>
      </c>
      <c r="AL15" t="str">
        <f t="shared" ca="1" si="0"/>
        <v xml:space="preserve">    (U1)ALERT_REQ_S_TMBZR_BC_AD_RJT_1</v>
      </c>
      <c r="AR15" s="60" t="str">
        <f t="shared" si="1"/>
        <v xml:space="preserve">    (U4)0x00000015U,                                                           /* 09 RJT_1                                           */</v>
      </c>
      <c r="AS15" s="60" t="str">
        <f t="shared" si="2"/>
        <v xml:space="preserve">    (U4)0x000003FFU,                                                           /* 09 RJT_1                                           */</v>
      </c>
      <c r="AT15" s="60" t="str">
        <f t="shared" ca="1" si="3"/>
        <v xml:space="preserve">    (U1)ALERT_REQ_S_TMBZR_BC_AD_RJT_1,                                         /* 09 RJT_1                                           */</v>
      </c>
      <c r="AU15" s="60" t="str">
        <f ca="1">"        (U1)"&amp;$AW$16&amp;REPT(" ",67-LEN($AW$16))&amp;"/* u1_vom_act                                         */"</f>
        <v xml:space="preserve">        (U1)ALERT_VOM_IGN_ON                                                   /* u1_vom_act                                         */</v>
      </c>
      <c r="AV15" s="46" t="s">
        <v>85</v>
      </c>
      <c r="AW15" s="65" t="str">
        <f ca="1">IF(AW6&lt;&gt;AW17,VLOOKUP(AW6,Matrix!$C$13:$G$37,5,FALSE),Matrix!G13)</f>
        <v>NULL</v>
      </c>
    </row>
    <row r="16" spans="1:49">
      <c r="B16" s="131"/>
      <c r="C16" s="44">
        <f t="shared" si="4"/>
        <v>10</v>
      </c>
      <c r="D16" s="58" t="s">
        <v>72</v>
      </c>
      <c r="E16" s="58" t="s">
        <v>72</v>
      </c>
      <c r="F16" s="58" t="s">
        <v>72</v>
      </c>
      <c r="G16" s="58" t="s">
        <v>72</v>
      </c>
      <c r="H16" s="58" t="s">
        <v>72</v>
      </c>
      <c r="I16" s="58" t="s">
        <v>72</v>
      </c>
      <c r="J16" s="58" t="s">
        <v>72</v>
      </c>
      <c r="K16" s="58" t="s">
        <v>72</v>
      </c>
      <c r="L16" s="58" t="s">
        <v>72</v>
      </c>
      <c r="M16" s="58" t="s">
        <v>72</v>
      </c>
      <c r="N16" s="58" t="s">
        <v>72</v>
      </c>
      <c r="O16" s="58" t="s">
        <v>72</v>
      </c>
      <c r="P16" s="58" t="s">
        <v>72</v>
      </c>
      <c r="Q16" s="58" t="s">
        <v>72</v>
      </c>
      <c r="R16" s="58" t="s">
        <v>72</v>
      </c>
      <c r="S16" s="58" t="s">
        <v>72</v>
      </c>
      <c r="T16" s="58" t="s">
        <v>72</v>
      </c>
      <c r="U16" s="58" t="s">
        <v>72</v>
      </c>
      <c r="V16" s="58" t="s">
        <v>72</v>
      </c>
      <c r="W16" s="58" t="s">
        <v>72</v>
      </c>
      <c r="X16" s="58" t="s">
        <v>72</v>
      </c>
      <c r="Y16" s="58" t="s">
        <v>72</v>
      </c>
      <c r="Z16" s="58">
        <v>0</v>
      </c>
      <c r="AA16" s="58">
        <v>0</v>
      </c>
      <c r="AB16" s="237">
        <v>0</v>
      </c>
      <c r="AC16" s="237">
        <v>0</v>
      </c>
      <c r="AD16" s="237">
        <v>0</v>
      </c>
      <c r="AE16" s="237">
        <v>1</v>
      </c>
      <c r="AF16" s="237">
        <v>0</v>
      </c>
      <c r="AG16" s="237">
        <v>1</v>
      </c>
      <c r="AH16" s="237">
        <v>1</v>
      </c>
      <c r="AI16" s="237">
        <v>0</v>
      </c>
      <c r="AJ16" s="26" t="s">
        <v>587</v>
      </c>
      <c r="AL16" t="str">
        <f t="shared" ca="1" si="0"/>
        <v xml:space="preserve">    (U1)ALERT_REQ_S_TMBZR_BC_AD_RCV_1</v>
      </c>
      <c r="AR16" s="60" t="str">
        <f t="shared" si="1"/>
        <v xml:space="preserve">    (U4)0x00000016U,                                                           /* 10 RCV_1                                           */</v>
      </c>
      <c r="AS16" s="60" t="str">
        <f t="shared" si="2"/>
        <v xml:space="preserve">    (U4)0x000003FFU,                                                           /* 10 RCV_1                                           */</v>
      </c>
      <c r="AT16" s="60" t="str">
        <f t="shared" ca="1" si="3"/>
        <v xml:space="preserve">    (U1)ALERT_REQ_S_TMBZR_BC_AD_RCV_1,                                         /* 10 RCV_1                                           */</v>
      </c>
      <c r="AU16" s="60" t="s">
        <v>74</v>
      </c>
      <c r="AV16" s="46" t="s">
        <v>83</v>
      </c>
      <c r="AW16" s="65" t="str">
        <f ca="1">IF(AW6&lt;&gt;AW17,VLOOKUP(AW6,Matrix!$C$13:$G$37,2,FALSE),Matrix!D13)</f>
        <v>ALERT_VOM_IGN_ON</v>
      </c>
    </row>
    <row r="17" spans="2:49" ht="14.25" thickBot="1">
      <c r="B17" s="131"/>
      <c r="C17" s="44">
        <f t="shared" si="4"/>
        <v>11</v>
      </c>
      <c r="D17" s="58" t="s">
        <v>72</v>
      </c>
      <c r="E17" s="58" t="s">
        <v>72</v>
      </c>
      <c r="F17" s="58" t="s">
        <v>72</v>
      </c>
      <c r="G17" s="58" t="s">
        <v>72</v>
      </c>
      <c r="H17" s="58" t="s">
        <v>72</v>
      </c>
      <c r="I17" s="58" t="s">
        <v>72</v>
      </c>
      <c r="J17" s="58" t="s">
        <v>72</v>
      </c>
      <c r="K17" s="58" t="s">
        <v>72</v>
      </c>
      <c r="L17" s="58" t="s">
        <v>72</v>
      </c>
      <c r="M17" s="58" t="s">
        <v>72</v>
      </c>
      <c r="N17" s="58" t="s">
        <v>72</v>
      </c>
      <c r="O17" s="58" t="s">
        <v>72</v>
      </c>
      <c r="P17" s="58" t="s">
        <v>72</v>
      </c>
      <c r="Q17" s="58" t="s">
        <v>72</v>
      </c>
      <c r="R17" s="58" t="s">
        <v>72</v>
      </c>
      <c r="S17" s="58" t="s">
        <v>72</v>
      </c>
      <c r="T17" s="58" t="s">
        <v>72</v>
      </c>
      <c r="U17" s="58" t="s">
        <v>72</v>
      </c>
      <c r="V17" s="58" t="s">
        <v>72</v>
      </c>
      <c r="W17" s="58" t="s">
        <v>72</v>
      </c>
      <c r="X17" s="58" t="s">
        <v>72</v>
      </c>
      <c r="Y17" s="58" t="s">
        <v>72</v>
      </c>
      <c r="Z17" s="58">
        <v>0</v>
      </c>
      <c r="AA17" s="58">
        <v>0</v>
      </c>
      <c r="AB17" s="237">
        <v>0</v>
      </c>
      <c r="AC17" s="237">
        <v>0</v>
      </c>
      <c r="AD17" s="237">
        <v>0</v>
      </c>
      <c r="AE17" s="237">
        <v>1</v>
      </c>
      <c r="AF17" s="237">
        <v>0</v>
      </c>
      <c r="AG17" s="237">
        <v>1</v>
      </c>
      <c r="AH17" s="237">
        <v>1</v>
      </c>
      <c r="AI17" s="237">
        <v>1</v>
      </c>
      <c r="AJ17" s="26" t="s">
        <v>581</v>
      </c>
      <c r="AL17" t="str">
        <f t="shared" ca="1" si="0"/>
        <v xml:space="preserve">    (U1)ALERT_REQ_S_TMBZR_BC_AD_ANN_1</v>
      </c>
      <c r="AR17" s="60" t="str">
        <f t="shared" si="1"/>
        <v xml:space="preserve">    (U4)0x00000017U,                                                           /* 11 ANN_1                                           */</v>
      </c>
      <c r="AS17" s="60" t="str">
        <f t="shared" si="2"/>
        <v xml:space="preserve">    (U4)0x000003FFU,                                                           /* 11 ANN_1                                           */</v>
      </c>
      <c r="AT17" s="60" t="str">
        <f t="shared" ca="1" si="3"/>
        <v xml:space="preserve">    (U1)ALERT_REQ_S_TMBZR_BC_AD_ANN_1,                                         /* 11 ANN_1                                           */</v>
      </c>
      <c r="AU17" s="61" t="s">
        <v>86</v>
      </c>
      <c r="AV17" s="47" t="s">
        <v>84</v>
      </c>
      <c r="AW17" s="66" t="str">
        <f ca="1">UPPER(Matrix!$D$6)</f>
        <v>S_TMBZR</v>
      </c>
    </row>
    <row r="18" spans="2:49">
      <c r="B18" s="131"/>
      <c r="C18" s="44">
        <f t="shared" si="4"/>
        <v>12</v>
      </c>
      <c r="D18" s="58" t="s">
        <v>72</v>
      </c>
      <c r="E18" s="58" t="s">
        <v>72</v>
      </c>
      <c r="F18" s="58" t="s">
        <v>72</v>
      </c>
      <c r="G18" s="58" t="s">
        <v>72</v>
      </c>
      <c r="H18" s="58" t="s">
        <v>72</v>
      </c>
      <c r="I18" s="58" t="s">
        <v>72</v>
      </c>
      <c r="J18" s="58" t="s">
        <v>72</v>
      </c>
      <c r="K18" s="58" t="s">
        <v>72</v>
      </c>
      <c r="L18" s="58" t="s">
        <v>72</v>
      </c>
      <c r="M18" s="58" t="s">
        <v>72</v>
      </c>
      <c r="N18" s="58" t="s">
        <v>72</v>
      </c>
      <c r="O18" s="58" t="s">
        <v>72</v>
      </c>
      <c r="P18" s="58" t="s">
        <v>72</v>
      </c>
      <c r="Q18" s="58" t="s">
        <v>72</v>
      </c>
      <c r="R18" s="58" t="s">
        <v>72</v>
      </c>
      <c r="S18" s="58" t="s">
        <v>72</v>
      </c>
      <c r="T18" s="58" t="s">
        <v>72</v>
      </c>
      <c r="U18" s="58" t="s">
        <v>72</v>
      </c>
      <c r="V18" s="58" t="s">
        <v>72</v>
      </c>
      <c r="W18" s="58" t="s">
        <v>72</v>
      </c>
      <c r="X18" s="58" t="s">
        <v>72</v>
      </c>
      <c r="Y18" s="58" t="s">
        <v>72</v>
      </c>
      <c r="Z18" s="58">
        <v>0</v>
      </c>
      <c r="AA18" s="58">
        <v>0</v>
      </c>
      <c r="AB18" s="237">
        <v>0</v>
      </c>
      <c r="AC18" s="237">
        <v>0</v>
      </c>
      <c r="AD18" s="237">
        <v>1</v>
      </c>
      <c r="AE18" s="237">
        <v>0</v>
      </c>
      <c r="AF18" s="237">
        <v>0</v>
      </c>
      <c r="AG18" s="237">
        <v>0</v>
      </c>
      <c r="AH18" s="237">
        <v>0</v>
      </c>
      <c r="AI18" s="237">
        <v>1</v>
      </c>
      <c r="AJ18" s="26" t="s">
        <v>600</v>
      </c>
      <c r="AL18" t="str">
        <f t="shared" ca="1" si="0"/>
        <v xml:space="preserve">    (U1)ALERT_REQ_S_TMBZR_BC_AD_CONT_2</v>
      </c>
      <c r="AR18" s="60" t="str">
        <f t="shared" si="1"/>
        <v xml:space="preserve">    (U4)0x00000021U,                                                           /* 12 CONT_2                                          */</v>
      </c>
      <c r="AS18" s="60" t="str">
        <f t="shared" si="2"/>
        <v xml:space="preserve">    (U4)0x000003FFU,                                                           /* 12 CONT_2                                          */</v>
      </c>
      <c r="AT18" s="60" t="str">
        <f t="shared" ca="1" si="3"/>
        <v xml:space="preserve">    (U1)ALERT_REQ_S_TMBZR_BC_AD_CONT_2,                                        /* 12 CONT_2                                          */</v>
      </c>
    </row>
    <row r="19" spans="2:49">
      <c r="B19" s="131"/>
      <c r="C19" s="44">
        <f t="shared" si="4"/>
        <v>13</v>
      </c>
      <c r="D19" s="58" t="s">
        <v>72</v>
      </c>
      <c r="E19" s="58" t="s">
        <v>72</v>
      </c>
      <c r="F19" s="58" t="s">
        <v>72</v>
      </c>
      <c r="G19" s="58" t="s">
        <v>72</v>
      </c>
      <c r="H19" s="58" t="s">
        <v>72</v>
      </c>
      <c r="I19" s="58" t="s">
        <v>72</v>
      </c>
      <c r="J19" s="58" t="s">
        <v>72</v>
      </c>
      <c r="K19" s="58" t="s">
        <v>72</v>
      </c>
      <c r="L19" s="58" t="s">
        <v>72</v>
      </c>
      <c r="M19" s="58" t="s">
        <v>72</v>
      </c>
      <c r="N19" s="58" t="s">
        <v>72</v>
      </c>
      <c r="O19" s="58" t="s">
        <v>72</v>
      </c>
      <c r="P19" s="58" t="s">
        <v>72</v>
      </c>
      <c r="Q19" s="58" t="s">
        <v>72</v>
      </c>
      <c r="R19" s="58" t="s">
        <v>72</v>
      </c>
      <c r="S19" s="58" t="s">
        <v>72</v>
      </c>
      <c r="T19" s="58" t="s">
        <v>72</v>
      </c>
      <c r="U19" s="58" t="s">
        <v>72</v>
      </c>
      <c r="V19" s="58" t="s">
        <v>72</v>
      </c>
      <c r="W19" s="58" t="s">
        <v>72</v>
      </c>
      <c r="X19" s="58" t="s">
        <v>72</v>
      </c>
      <c r="Y19" s="58" t="s">
        <v>72</v>
      </c>
      <c r="Z19" s="58">
        <v>0</v>
      </c>
      <c r="AA19" s="58">
        <v>0</v>
      </c>
      <c r="AB19" s="237">
        <v>0</v>
      </c>
      <c r="AC19" s="237">
        <v>0</v>
      </c>
      <c r="AD19" s="237">
        <v>1</v>
      </c>
      <c r="AE19" s="237">
        <v>0</v>
      </c>
      <c r="AF19" s="237">
        <v>0</v>
      </c>
      <c r="AG19" s="237">
        <v>0</v>
      </c>
      <c r="AH19" s="237">
        <v>1</v>
      </c>
      <c r="AI19" s="237">
        <v>0</v>
      </c>
      <c r="AJ19" s="26" t="s">
        <v>608</v>
      </c>
      <c r="AL19" t="str">
        <f t="shared" ca="1" si="0"/>
        <v xml:space="preserve">    (U1)ALERT_REQ_S_TMBZR_BC_AD_TEN_2</v>
      </c>
      <c r="AR19" s="60" t="str">
        <f t="shared" si="1"/>
        <v xml:space="preserve">    (U4)0x00000022U,                                                           /* 13 TEN_2                                           */</v>
      </c>
      <c r="AS19" s="60" t="str">
        <f t="shared" si="2"/>
        <v xml:space="preserve">    (U4)0x000003FFU,                                                           /* 13 TEN_2                                           */</v>
      </c>
      <c r="AT19" s="60" t="str">
        <f t="shared" ca="1" si="3"/>
        <v xml:space="preserve">    (U1)ALERT_REQ_S_TMBZR_BC_AD_TEN_2,                                         /* 13 TEN_2                                           */</v>
      </c>
    </row>
    <row r="20" spans="2:49">
      <c r="B20" s="131"/>
      <c r="C20" s="44">
        <f t="shared" si="4"/>
        <v>14</v>
      </c>
      <c r="D20" s="58" t="s">
        <v>72</v>
      </c>
      <c r="E20" s="58" t="s">
        <v>72</v>
      </c>
      <c r="F20" s="58" t="s">
        <v>72</v>
      </c>
      <c r="G20" s="58" t="s">
        <v>72</v>
      </c>
      <c r="H20" s="58" t="s">
        <v>72</v>
      </c>
      <c r="I20" s="58" t="s">
        <v>72</v>
      </c>
      <c r="J20" s="58" t="s">
        <v>72</v>
      </c>
      <c r="K20" s="58" t="s">
        <v>72</v>
      </c>
      <c r="L20" s="58" t="s">
        <v>72</v>
      </c>
      <c r="M20" s="58" t="s">
        <v>72</v>
      </c>
      <c r="N20" s="58" t="s">
        <v>72</v>
      </c>
      <c r="O20" s="58" t="s">
        <v>72</v>
      </c>
      <c r="P20" s="58" t="s">
        <v>72</v>
      </c>
      <c r="Q20" s="58" t="s">
        <v>72</v>
      </c>
      <c r="R20" s="58" t="s">
        <v>72</v>
      </c>
      <c r="S20" s="58" t="s">
        <v>72</v>
      </c>
      <c r="T20" s="58" t="s">
        <v>72</v>
      </c>
      <c r="U20" s="58" t="s">
        <v>72</v>
      </c>
      <c r="V20" s="58" t="s">
        <v>72</v>
      </c>
      <c r="W20" s="58" t="s">
        <v>72</v>
      </c>
      <c r="X20" s="58" t="s">
        <v>72</v>
      </c>
      <c r="Y20" s="58" t="s">
        <v>72</v>
      </c>
      <c r="Z20" s="58">
        <v>0</v>
      </c>
      <c r="AA20" s="58">
        <v>0</v>
      </c>
      <c r="AB20" s="237">
        <v>0</v>
      </c>
      <c r="AC20" s="237">
        <v>0</v>
      </c>
      <c r="AD20" s="237">
        <v>1</v>
      </c>
      <c r="AE20" s="237">
        <v>0</v>
      </c>
      <c r="AF20" s="237">
        <v>0</v>
      </c>
      <c r="AG20" s="237">
        <v>1</v>
      </c>
      <c r="AH20" s="237">
        <v>0</v>
      </c>
      <c r="AI20" s="237">
        <v>1</v>
      </c>
      <c r="AJ20" s="26" t="s">
        <v>594</v>
      </c>
      <c r="AL20" t="str">
        <f t="shared" ca="1" si="0"/>
        <v xml:space="preserve">    (U1)ALERT_REQ_S_TMBZR_BC_AD_RJT_2</v>
      </c>
      <c r="AR20" s="60" t="str">
        <f t="shared" si="1"/>
        <v xml:space="preserve">    (U4)0x00000025U,                                                           /* 14 RJT_2                                           */</v>
      </c>
      <c r="AS20" s="60" t="str">
        <f t="shared" si="2"/>
        <v xml:space="preserve">    (U4)0x000003FFU,                                                           /* 14 RJT_2                                           */</v>
      </c>
      <c r="AT20" s="60" t="str">
        <f t="shared" ca="1" si="3"/>
        <v xml:space="preserve">    (U1)ALERT_REQ_S_TMBZR_BC_AD_RJT_2,                                         /* 14 RJT_2                                           */</v>
      </c>
    </row>
    <row r="21" spans="2:49">
      <c r="B21" s="131"/>
      <c r="C21" s="44">
        <f t="shared" si="4"/>
        <v>15</v>
      </c>
      <c r="D21" s="58" t="s">
        <v>72</v>
      </c>
      <c r="E21" s="58" t="s">
        <v>72</v>
      </c>
      <c r="F21" s="58" t="s">
        <v>72</v>
      </c>
      <c r="G21" s="58" t="s">
        <v>72</v>
      </c>
      <c r="H21" s="58" t="s">
        <v>72</v>
      </c>
      <c r="I21" s="58" t="s">
        <v>72</v>
      </c>
      <c r="J21" s="58" t="s">
        <v>72</v>
      </c>
      <c r="K21" s="58" t="s">
        <v>72</v>
      </c>
      <c r="L21" s="58" t="s">
        <v>72</v>
      </c>
      <c r="M21" s="58" t="s">
        <v>72</v>
      </c>
      <c r="N21" s="58" t="s">
        <v>72</v>
      </c>
      <c r="O21" s="58" t="s">
        <v>72</v>
      </c>
      <c r="P21" s="58" t="s">
        <v>72</v>
      </c>
      <c r="Q21" s="58" t="s">
        <v>72</v>
      </c>
      <c r="R21" s="58" t="s">
        <v>72</v>
      </c>
      <c r="S21" s="58" t="s">
        <v>72</v>
      </c>
      <c r="T21" s="58" t="s">
        <v>72</v>
      </c>
      <c r="U21" s="58" t="s">
        <v>72</v>
      </c>
      <c r="V21" s="58" t="s">
        <v>72</v>
      </c>
      <c r="W21" s="58" t="s">
        <v>72</v>
      </c>
      <c r="X21" s="58" t="s">
        <v>72</v>
      </c>
      <c r="Y21" s="58" t="s">
        <v>72</v>
      </c>
      <c r="Z21" s="58">
        <v>0</v>
      </c>
      <c r="AA21" s="58">
        <v>0</v>
      </c>
      <c r="AB21" s="237">
        <v>0</v>
      </c>
      <c r="AC21" s="237">
        <v>0</v>
      </c>
      <c r="AD21" s="237">
        <v>1</v>
      </c>
      <c r="AE21" s="237">
        <v>0</v>
      </c>
      <c r="AF21" s="237">
        <v>0</v>
      </c>
      <c r="AG21" s="237">
        <v>1</v>
      </c>
      <c r="AH21" s="237">
        <v>1</v>
      </c>
      <c r="AI21" s="237">
        <v>0</v>
      </c>
      <c r="AJ21" s="26" t="s">
        <v>588</v>
      </c>
      <c r="AL21" t="str">
        <f t="shared" ca="1" si="0"/>
        <v xml:space="preserve">    (U1)ALERT_REQ_S_TMBZR_BC_AD_RCV_2</v>
      </c>
      <c r="AR21" s="60" t="str">
        <f t="shared" si="1"/>
        <v xml:space="preserve">    (U4)0x00000026U,                                                           /* 15 RCV_2                                           */</v>
      </c>
      <c r="AS21" s="60" t="str">
        <f t="shared" si="2"/>
        <v xml:space="preserve">    (U4)0x000003FFU,                                                           /* 15 RCV_2                                           */</v>
      </c>
      <c r="AT21" s="60" t="str">
        <f t="shared" ca="1" si="3"/>
        <v xml:space="preserve">    (U1)ALERT_REQ_S_TMBZR_BC_AD_RCV_2,                                         /* 15 RCV_2                                           */</v>
      </c>
    </row>
    <row r="22" spans="2:49">
      <c r="B22" s="131"/>
      <c r="C22" s="44">
        <f t="shared" si="4"/>
        <v>16</v>
      </c>
      <c r="D22" s="58" t="s">
        <v>72</v>
      </c>
      <c r="E22" s="58" t="s">
        <v>72</v>
      </c>
      <c r="F22" s="58" t="s">
        <v>72</v>
      </c>
      <c r="G22" s="58" t="s">
        <v>72</v>
      </c>
      <c r="H22" s="58" t="s">
        <v>72</v>
      </c>
      <c r="I22" s="58" t="s">
        <v>72</v>
      </c>
      <c r="J22" s="58" t="s">
        <v>72</v>
      </c>
      <c r="K22" s="58" t="s">
        <v>72</v>
      </c>
      <c r="L22" s="58" t="s">
        <v>72</v>
      </c>
      <c r="M22" s="58" t="s">
        <v>72</v>
      </c>
      <c r="N22" s="58" t="s">
        <v>72</v>
      </c>
      <c r="O22" s="58" t="s">
        <v>72</v>
      </c>
      <c r="P22" s="58" t="s">
        <v>72</v>
      </c>
      <c r="Q22" s="58" t="s">
        <v>72</v>
      </c>
      <c r="R22" s="58" t="s">
        <v>72</v>
      </c>
      <c r="S22" s="58" t="s">
        <v>72</v>
      </c>
      <c r="T22" s="58" t="s">
        <v>72</v>
      </c>
      <c r="U22" s="58" t="s">
        <v>72</v>
      </c>
      <c r="V22" s="58" t="s">
        <v>72</v>
      </c>
      <c r="W22" s="58" t="s">
        <v>72</v>
      </c>
      <c r="X22" s="58" t="s">
        <v>72</v>
      </c>
      <c r="Y22" s="58" t="s">
        <v>72</v>
      </c>
      <c r="Z22" s="58">
        <v>0</v>
      </c>
      <c r="AA22" s="58">
        <v>0</v>
      </c>
      <c r="AB22" s="237">
        <v>0</v>
      </c>
      <c r="AC22" s="237">
        <v>0</v>
      </c>
      <c r="AD22" s="237">
        <v>1</v>
      </c>
      <c r="AE22" s="237">
        <v>0</v>
      </c>
      <c r="AF22" s="237">
        <v>0</v>
      </c>
      <c r="AG22" s="237">
        <v>1</v>
      </c>
      <c r="AH22" s="237">
        <v>1</v>
      </c>
      <c r="AI22" s="237">
        <v>1</v>
      </c>
      <c r="AJ22" s="26" t="s">
        <v>582</v>
      </c>
      <c r="AL22" t="str">
        <f t="shared" ca="1" si="0"/>
        <v xml:space="preserve">    (U1)ALERT_REQ_S_TMBZR_BC_AD_ANN_2</v>
      </c>
      <c r="AR22" s="60" t="str">
        <f t="shared" si="1"/>
        <v xml:space="preserve">    (U4)0x00000027U,                                                           /* 16 ANN_2                                           */</v>
      </c>
      <c r="AS22" s="60" t="str">
        <f t="shared" si="2"/>
        <v xml:space="preserve">    (U4)0x000003FFU,                                                           /* 16 ANN_2                                           */</v>
      </c>
      <c r="AT22" s="60" t="str">
        <f t="shared" ca="1" si="3"/>
        <v xml:space="preserve">    (U1)ALERT_REQ_S_TMBZR_BC_AD_ANN_2,                                         /* 16 ANN_2                                           */</v>
      </c>
    </row>
    <row r="23" spans="2:49">
      <c r="B23" s="131"/>
      <c r="C23" s="44">
        <f t="shared" si="4"/>
        <v>17</v>
      </c>
      <c r="D23" s="58" t="s">
        <v>72</v>
      </c>
      <c r="E23" s="58" t="s">
        <v>72</v>
      </c>
      <c r="F23" s="58" t="s">
        <v>72</v>
      </c>
      <c r="G23" s="58" t="s">
        <v>72</v>
      </c>
      <c r="H23" s="58" t="s">
        <v>72</v>
      </c>
      <c r="I23" s="58" t="s">
        <v>72</v>
      </c>
      <c r="J23" s="58" t="s">
        <v>72</v>
      </c>
      <c r="K23" s="58" t="s">
        <v>72</v>
      </c>
      <c r="L23" s="58" t="s">
        <v>72</v>
      </c>
      <c r="M23" s="58" t="s">
        <v>72</v>
      </c>
      <c r="N23" s="58" t="s">
        <v>72</v>
      </c>
      <c r="O23" s="58" t="s">
        <v>72</v>
      </c>
      <c r="P23" s="58" t="s">
        <v>72</v>
      </c>
      <c r="Q23" s="58" t="s">
        <v>72</v>
      </c>
      <c r="R23" s="58" t="s">
        <v>72</v>
      </c>
      <c r="S23" s="58" t="s">
        <v>72</v>
      </c>
      <c r="T23" s="58" t="s">
        <v>72</v>
      </c>
      <c r="U23" s="58" t="s">
        <v>72</v>
      </c>
      <c r="V23" s="58" t="s">
        <v>72</v>
      </c>
      <c r="W23" s="58" t="s">
        <v>72</v>
      </c>
      <c r="X23" s="58" t="s">
        <v>72</v>
      </c>
      <c r="Y23" s="58" t="s">
        <v>72</v>
      </c>
      <c r="Z23" s="58">
        <v>0</v>
      </c>
      <c r="AA23" s="58">
        <v>0</v>
      </c>
      <c r="AB23" s="237">
        <v>0</v>
      </c>
      <c r="AC23" s="237">
        <v>0</v>
      </c>
      <c r="AD23" s="237">
        <v>1</v>
      </c>
      <c r="AE23" s="237">
        <v>1</v>
      </c>
      <c r="AF23" s="237">
        <v>0</v>
      </c>
      <c r="AG23" s="237">
        <v>0</v>
      </c>
      <c r="AH23" s="237">
        <v>0</v>
      </c>
      <c r="AI23" s="237">
        <v>1</v>
      </c>
      <c r="AJ23" s="26" t="s">
        <v>601</v>
      </c>
      <c r="AL23" t="str">
        <f t="shared" ca="1" si="0"/>
        <v xml:space="preserve">    (U1)ALERT_REQ_S_TMBZR_BC_AD_CONT_3</v>
      </c>
      <c r="AR23" s="60" t="str">
        <f t="shared" si="1"/>
        <v xml:space="preserve">    (U4)0x00000031U,                                                           /* 17 CONT_3                                          */</v>
      </c>
      <c r="AS23" s="60" t="str">
        <f t="shared" si="2"/>
        <v xml:space="preserve">    (U4)0x000003FFU,                                                           /* 17 CONT_3                                          */</v>
      </c>
      <c r="AT23" s="60" t="str">
        <f t="shared" ca="1" si="3"/>
        <v xml:space="preserve">    (U1)ALERT_REQ_S_TMBZR_BC_AD_CONT_3,                                        /* 17 CONT_3                                          */</v>
      </c>
    </row>
    <row r="24" spans="2:49">
      <c r="B24" s="131"/>
      <c r="C24" s="44">
        <f t="shared" si="4"/>
        <v>18</v>
      </c>
      <c r="D24" s="58" t="s">
        <v>72</v>
      </c>
      <c r="E24" s="58" t="s">
        <v>72</v>
      </c>
      <c r="F24" s="58" t="s">
        <v>72</v>
      </c>
      <c r="G24" s="58" t="s">
        <v>72</v>
      </c>
      <c r="H24" s="58" t="s">
        <v>72</v>
      </c>
      <c r="I24" s="58" t="s">
        <v>72</v>
      </c>
      <c r="J24" s="58" t="s">
        <v>72</v>
      </c>
      <c r="K24" s="58" t="s">
        <v>72</v>
      </c>
      <c r="L24" s="58" t="s">
        <v>72</v>
      </c>
      <c r="M24" s="58" t="s">
        <v>72</v>
      </c>
      <c r="N24" s="58" t="s">
        <v>72</v>
      </c>
      <c r="O24" s="58" t="s">
        <v>72</v>
      </c>
      <c r="P24" s="58" t="s">
        <v>72</v>
      </c>
      <c r="Q24" s="58" t="s">
        <v>72</v>
      </c>
      <c r="R24" s="58" t="s">
        <v>72</v>
      </c>
      <c r="S24" s="58" t="s">
        <v>72</v>
      </c>
      <c r="T24" s="58" t="s">
        <v>72</v>
      </c>
      <c r="U24" s="58" t="s">
        <v>72</v>
      </c>
      <c r="V24" s="58" t="s">
        <v>72</v>
      </c>
      <c r="W24" s="58" t="s">
        <v>72</v>
      </c>
      <c r="X24" s="58" t="s">
        <v>72</v>
      </c>
      <c r="Y24" s="58" t="s">
        <v>72</v>
      </c>
      <c r="Z24" s="58">
        <v>0</v>
      </c>
      <c r="AA24" s="58">
        <v>0</v>
      </c>
      <c r="AB24" s="237">
        <v>0</v>
      </c>
      <c r="AC24" s="237">
        <v>0</v>
      </c>
      <c r="AD24" s="237">
        <v>1</v>
      </c>
      <c r="AE24" s="237">
        <v>1</v>
      </c>
      <c r="AF24" s="237">
        <v>0</v>
      </c>
      <c r="AG24" s="237">
        <v>0</v>
      </c>
      <c r="AH24" s="237">
        <v>1</v>
      </c>
      <c r="AI24" s="237">
        <v>0</v>
      </c>
      <c r="AJ24" s="26" t="s">
        <v>609</v>
      </c>
      <c r="AL24" t="str">
        <f t="shared" ca="1" si="0"/>
        <v xml:space="preserve">    (U1)ALERT_REQ_S_TMBZR_BC_AD_TEN_3</v>
      </c>
      <c r="AR24" s="60" t="str">
        <f t="shared" si="1"/>
        <v xml:space="preserve">    (U4)0x00000032U,                                                           /* 18 TEN_3                                           */</v>
      </c>
      <c r="AS24" s="60" t="str">
        <f t="shared" si="2"/>
        <v xml:space="preserve">    (U4)0x000003FFU,                                                           /* 18 TEN_3                                           */</v>
      </c>
      <c r="AT24" s="60" t="str">
        <f t="shared" ca="1" si="3"/>
        <v xml:space="preserve">    (U1)ALERT_REQ_S_TMBZR_BC_AD_TEN_3,                                         /* 18 TEN_3                                           */</v>
      </c>
    </row>
    <row r="25" spans="2:49">
      <c r="B25" s="131"/>
      <c r="C25" s="44">
        <f t="shared" si="4"/>
        <v>19</v>
      </c>
      <c r="D25" s="58" t="s">
        <v>72</v>
      </c>
      <c r="E25" s="58" t="s">
        <v>72</v>
      </c>
      <c r="F25" s="58" t="s">
        <v>72</v>
      </c>
      <c r="G25" s="58" t="s">
        <v>72</v>
      </c>
      <c r="H25" s="58" t="s">
        <v>72</v>
      </c>
      <c r="I25" s="58" t="s">
        <v>72</v>
      </c>
      <c r="J25" s="58" t="s">
        <v>72</v>
      </c>
      <c r="K25" s="58" t="s">
        <v>72</v>
      </c>
      <c r="L25" s="58" t="s">
        <v>72</v>
      </c>
      <c r="M25" s="58" t="s">
        <v>72</v>
      </c>
      <c r="N25" s="58" t="s">
        <v>72</v>
      </c>
      <c r="O25" s="58" t="s">
        <v>72</v>
      </c>
      <c r="P25" s="58" t="s">
        <v>72</v>
      </c>
      <c r="Q25" s="58" t="s">
        <v>72</v>
      </c>
      <c r="R25" s="58" t="s">
        <v>72</v>
      </c>
      <c r="S25" s="58" t="s">
        <v>72</v>
      </c>
      <c r="T25" s="58" t="s">
        <v>72</v>
      </c>
      <c r="U25" s="58" t="s">
        <v>72</v>
      </c>
      <c r="V25" s="58" t="s">
        <v>72</v>
      </c>
      <c r="W25" s="58" t="s">
        <v>72</v>
      </c>
      <c r="X25" s="58" t="s">
        <v>72</v>
      </c>
      <c r="Y25" s="58" t="s">
        <v>72</v>
      </c>
      <c r="Z25" s="58">
        <v>0</v>
      </c>
      <c r="AA25" s="58">
        <v>0</v>
      </c>
      <c r="AB25" s="237">
        <v>0</v>
      </c>
      <c r="AC25" s="237">
        <v>0</v>
      </c>
      <c r="AD25" s="237">
        <v>1</v>
      </c>
      <c r="AE25" s="237">
        <v>1</v>
      </c>
      <c r="AF25" s="237">
        <v>0</v>
      </c>
      <c r="AG25" s="237">
        <v>1</v>
      </c>
      <c r="AH25" s="237">
        <v>0</v>
      </c>
      <c r="AI25" s="237">
        <v>1</v>
      </c>
      <c r="AJ25" s="26" t="s">
        <v>595</v>
      </c>
      <c r="AL25" t="str">
        <f t="shared" ca="1" si="0"/>
        <v xml:space="preserve">    (U1)ALERT_REQ_S_TMBZR_BC_AD_RJT_3</v>
      </c>
      <c r="AR25" s="60" t="str">
        <f t="shared" si="1"/>
        <v xml:space="preserve">    (U4)0x00000035U,                                                           /* 19 RJT_3                                           */</v>
      </c>
      <c r="AS25" s="60" t="str">
        <f t="shared" si="2"/>
        <v xml:space="preserve">    (U4)0x000003FFU,                                                           /* 19 RJT_3                                           */</v>
      </c>
      <c r="AT25" s="60" t="str">
        <f t="shared" ca="1" si="3"/>
        <v xml:space="preserve">    (U1)ALERT_REQ_S_TMBZR_BC_AD_RJT_3,                                         /* 19 RJT_3                                           */</v>
      </c>
    </row>
    <row r="26" spans="2:49">
      <c r="B26" s="131"/>
      <c r="C26" s="44">
        <f t="shared" si="4"/>
        <v>20</v>
      </c>
      <c r="D26" s="58" t="s">
        <v>72</v>
      </c>
      <c r="E26" s="58" t="s">
        <v>72</v>
      </c>
      <c r="F26" s="58" t="s">
        <v>72</v>
      </c>
      <c r="G26" s="58" t="s">
        <v>72</v>
      </c>
      <c r="H26" s="58" t="s">
        <v>72</v>
      </c>
      <c r="I26" s="58" t="s">
        <v>72</v>
      </c>
      <c r="J26" s="58" t="s">
        <v>72</v>
      </c>
      <c r="K26" s="58" t="s">
        <v>72</v>
      </c>
      <c r="L26" s="58" t="s">
        <v>72</v>
      </c>
      <c r="M26" s="58" t="s">
        <v>72</v>
      </c>
      <c r="N26" s="58" t="s">
        <v>72</v>
      </c>
      <c r="O26" s="58" t="s">
        <v>72</v>
      </c>
      <c r="P26" s="58" t="s">
        <v>72</v>
      </c>
      <c r="Q26" s="58" t="s">
        <v>72</v>
      </c>
      <c r="R26" s="58" t="s">
        <v>72</v>
      </c>
      <c r="S26" s="58" t="s">
        <v>72</v>
      </c>
      <c r="T26" s="58" t="s">
        <v>72</v>
      </c>
      <c r="U26" s="58" t="s">
        <v>72</v>
      </c>
      <c r="V26" s="58" t="s">
        <v>72</v>
      </c>
      <c r="W26" s="58" t="s">
        <v>72</v>
      </c>
      <c r="X26" s="58" t="s">
        <v>72</v>
      </c>
      <c r="Y26" s="58" t="s">
        <v>72</v>
      </c>
      <c r="Z26" s="58">
        <v>0</v>
      </c>
      <c r="AA26" s="58">
        <v>0</v>
      </c>
      <c r="AB26" s="237">
        <v>0</v>
      </c>
      <c r="AC26" s="237">
        <v>0</v>
      </c>
      <c r="AD26" s="237">
        <v>1</v>
      </c>
      <c r="AE26" s="237">
        <v>1</v>
      </c>
      <c r="AF26" s="237">
        <v>0</v>
      </c>
      <c r="AG26" s="237">
        <v>1</v>
      </c>
      <c r="AH26" s="237">
        <v>1</v>
      </c>
      <c r="AI26" s="237">
        <v>0</v>
      </c>
      <c r="AJ26" s="26" t="s">
        <v>589</v>
      </c>
      <c r="AL26" t="str">
        <f t="shared" ca="1" si="0"/>
        <v xml:space="preserve">    (U1)ALERT_REQ_S_TMBZR_BC_AD_RCV_3</v>
      </c>
      <c r="AR26" s="60" t="str">
        <f t="shared" si="1"/>
        <v xml:space="preserve">    (U4)0x00000036U,                                                           /* 20 RCV_3                                           */</v>
      </c>
      <c r="AS26" s="60" t="str">
        <f t="shared" si="2"/>
        <v xml:space="preserve">    (U4)0x000003FFU,                                                           /* 20 RCV_3                                           */</v>
      </c>
      <c r="AT26" s="60" t="str">
        <f t="shared" ca="1" si="3"/>
        <v xml:space="preserve">    (U1)ALERT_REQ_S_TMBZR_BC_AD_RCV_3,                                         /* 20 RCV_3                                           */</v>
      </c>
    </row>
    <row r="27" spans="2:49">
      <c r="B27" s="131"/>
      <c r="C27" s="44">
        <f t="shared" si="4"/>
        <v>21</v>
      </c>
      <c r="D27" s="58" t="s">
        <v>72</v>
      </c>
      <c r="E27" s="58" t="s">
        <v>72</v>
      </c>
      <c r="F27" s="58" t="s">
        <v>72</v>
      </c>
      <c r="G27" s="58" t="s">
        <v>72</v>
      </c>
      <c r="H27" s="58" t="s">
        <v>72</v>
      </c>
      <c r="I27" s="58" t="s">
        <v>72</v>
      </c>
      <c r="J27" s="58" t="s">
        <v>72</v>
      </c>
      <c r="K27" s="58" t="s">
        <v>72</v>
      </c>
      <c r="L27" s="58" t="s">
        <v>72</v>
      </c>
      <c r="M27" s="58" t="s">
        <v>72</v>
      </c>
      <c r="N27" s="58" t="s">
        <v>72</v>
      </c>
      <c r="O27" s="58" t="s">
        <v>72</v>
      </c>
      <c r="P27" s="58" t="s">
        <v>72</v>
      </c>
      <c r="Q27" s="58" t="s">
        <v>72</v>
      </c>
      <c r="R27" s="58" t="s">
        <v>72</v>
      </c>
      <c r="S27" s="58" t="s">
        <v>72</v>
      </c>
      <c r="T27" s="58" t="s">
        <v>72</v>
      </c>
      <c r="U27" s="58" t="s">
        <v>72</v>
      </c>
      <c r="V27" s="58" t="s">
        <v>72</v>
      </c>
      <c r="W27" s="58" t="s">
        <v>72</v>
      </c>
      <c r="X27" s="58" t="s">
        <v>72</v>
      </c>
      <c r="Y27" s="58" t="s">
        <v>72</v>
      </c>
      <c r="Z27" s="58">
        <v>0</v>
      </c>
      <c r="AA27" s="58">
        <v>0</v>
      </c>
      <c r="AB27" s="237">
        <v>0</v>
      </c>
      <c r="AC27" s="237">
        <v>0</v>
      </c>
      <c r="AD27" s="237">
        <v>1</v>
      </c>
      <c r="AE27" s="237">
        <v>1</v>
      </c>
      <c r="AF27" s="237">
        <v>0</v>
      </c>
      <c r="AG27" s="237">
        <v>1</v>
      </c>
      <c r="AH27" s="237">
        <v>1</v>
      </c>
      <c r="AI27" s="237">
        <v>1</v>
      </c>
      <c r="AJ27" s="26" t="s">
        <v>583</v>
      </c>
      <c r="AL27" t="str">
        <f t="shared" ca="1" si="0"/>
        <v xml:space="preserve">    (U1)ALERT_REQ_S_TMBZR_BC_AD_ANN_3</v>
      </c>
      <c r="AR27" s="60" t="str">
        <f t="shared" si="1"/>
        <v xml:space="preserve">    (U4)0x00000037U,                                                           /* 21 ANN_3                                           */</v>
      </c>
      <c r="AS27" s="60" t="str">
        <f t="shared" si="2"/>
        <v xml:space="preserve">    (U4)0x000003FFU,                                                           /* 21 ANN_3                                           */</v>
      </c>
      <c r="AT27" s="60" t="str">
        <f t="shared" ca="1" si="3"/>
        <v xml:space="preserve">    (U1)ALERT_REQ_S_TMBZR_BC_AD_ANN_3,                                         /* 21 ANN_3                                           */</v>
      </c>
    </row>
    <row r="28" spans="2:49">
      <c r="B28" s="131"/>
      <c r="C28" s="44">
        <f t="shared" si="4"/>
        <v>22</v>
      </c>
      <c r="D28" s="58" t="s">
        <v>72</v>
      </c>
      <c r="E28" s="58" t="s">
        <v>72</v>
      </c>
      <c r="F28" s="58" t="s">
        <v>72</v>
      </c>
      <c r="G28" s="58" t="s">
        <v>72</v>
      </c>
      <c r="H28" s="58" t="s">
        <v>72</v>
      </c>
      <c r="I28" s="58" t="s">
        <v>72</v>
      </c>
      <c r="J28" s="58" t="s">
        <v>72</v>
      </c>
      <c r="K28" s="58" t="s">
        <v>72</v>
      </c>
      <c r="L28" s="58" t="s">
        <v>72</v>
      </c>
      <c r="M28" s="58" t="s">
        <v>72</v>
      </c>
      <c r="N28" s="58" t="s">
        <v>72</v>
      </c>
      <c r="O28" s="58" t="s">
        <v>72</v>
      </c>
      <c r="P28" s="58" t="s">
        <v>72</v>
      </c>
      <c r="Q28" s="58" t="s">
        <v>72</v>
      </c>
      <c r="R28" s="58" t="s">
        <v>72</v>
      </c>
      <c r="S28" s="58" t="s">
        <v>72</v>
      </c>
      <c r="T28" s="58" t="s">
        <v>72</v>
      </c>
      <c r="U28" s="58" t="s">
        <v>72</v>
      </c>
      <c r="V28" s="58" t="s">
        <v>72</v>
      </c>
      <c r="W28" s="58" t="s">
        <v>72</v>
      </c>
      <c r="X28" s="58" t="s">
        <v>72</v>
      </c>
      <c r="Y28" s="58" t="s">
        <v>72</v>
      </c>
      <c r="Z28" s="58">
        <v>0</v>
      </c>
      <c r="AA28" s="58">
        <v>0</v>
      </c>
      <c r="AB28" s="237">
        <v>0</v>
      </c>
      <c r="AC28" s="237">
        <v>1</v>
      </c>
      <c r="AD28" s="237">
        <v>0</v>
      </c>
      <c r="AE28" s="237">
        <v>0</v>
      </c>
      <c r="AF28" s="237">
        <v>0</v>
      </c>
      <c r="AG28" s="237">
        <v>0</v>
      </c>
      <c r="AH28" s="237">
        <v>0</v>
      </c>
      <c r="AI28" s="237">
        <v>1</v>
      </c>
      <c r="AJ28" s="26" t="s">
        <v>602</v>
      </c>
      <c r="AL28" t="str">
        <f t="shared" ca="1" si="0"/>
        <v xml:space="preserve">    (U1)ALERT_REQ_S_TMBZR_BC_AD_CONT_4</v>
      </c>
      <c r="AR28" s="60" t="str">
        <f t="shared" si="1"/>
        <v xml:space="preserve">    (U4)0x00000041U,                                                           /* 22 CONT_4                                          */</v>
      </c>
      <c r="AS28" s="60" t="str">
        <f t="shared" si="2"/>
        <v xml:space="preserve">    (U4)0x000003FFU,                                                           /* 22 CONT_4                                          */</v>
      </c>
      <c r="AT28" s="60" t="str">
        <f t="shared" ca="1" si="3"/>
        <v xml:space="preserve">    (U1)ALERT_REQ_S_TMBZR_BC_AD_CONT_4,                                        /* 22 CONT_4                                          */</v>
      </c>
    </row>
    <row r="29" spans="2:49">
      <c r="B29" s="131"/>
      <c r="C29" s="44">
        <f t="shared" si="4"/>
        <v>23</v>
      </c>
      <c r="D29" s="58" t="s">
        <v>72</v>
      </c>
      <c r="E29" s="58" t="s">
        <v>72</v>
      </c>
      <c r="F29" s="58" t="s">
        <v>72</v>
      </c>
      <c r="G29" s="58" t="s">
        <v>72</v>
      </c>
      <c r="H29" s="58" t="s">
        <v>72</v>
      </c>
      <c r="I29" s="58" t="s">
        <v>72</v>
      </c>
      <c r="J29" s="58" t="s">
        <v>72</v>
      </c>
      <c r="K29" s="58" t="s">
        <v>72</v>
      </c>
      <c r="L29" s="58" t="s">
        <v>72</v>
      </c>
      <c r="M29" s="58" t="s">
        <v>72</v>
      </c>
      <c r="N29" s="58" t="s">
        <v>72</v>
      </c>
      <c r="O29" s="58" t="s">
        <v>72</v>
      </c>
      <c r="P29" s="58" t="s">
        <v>72</v>
      </c>
      <c r="Q29" s="58" t="s">
        <v>72</v>
      </c>
      <c r="R29" s="58" t="s">
        <v>72</v>
      </c>
      <c r="S29" s="58" t="s">
        <v>72</v>
      </c>
      <c r="T29" s="58" t="s">
        <v>72</v>
      </c>
      <c r="U29" s="58" t="s">
        <v>72</v>
      </c>
      <c r="V29" s="58" t="s">
        <v>72</v>
      </c>
      <c r="W29" s="58" t="s">
        <v>72</v>
      </c>
      <c r="X29" s="58" t="s">
        <v>72</v>
      </c>
      <c r="Y29" s="58" t="s">
        <v>72</v>
      </c>
      <c r="Z29" s="58">
        <v>0</v>
      </c>
      <c r="AA29" s="58">
        <v>0</v>
      </c>
      <c r="AB29" s="237">
        <v>0</v>
      </c>
      <c r="AC29" s="237">
        <v>1</v>
      </c>
      <c r="AD29" s="237">
        <v>0</v>
      </c>
      <c r="AE29" s="237">
        <v>0</v>
      </c>
      <c r="AF29" s="237">
        <v>0</v>
      </c>
      <c r="AG29" s="237">
        <v>0</v>
      </c>
      <c r="AH29" s="237">
        <v>1</v>
      </c>
      <c r="AI29" s="237">
        <v>0</v>
      </c>
      <c r="AJ29" s="26" t="s">
        <v>610</v>
      </c>
      <c r="AL29" t="str">
        <f t="shared" ca="1" si="0"/>
        <v xml:space="preserve">    (U1)ALERT_REQ_S_TMBZR_BC_AD_TEN_4</v>
      </c>
      <c r="AR29" s="60" t="str">
        <f t="shared" si="1"/>
        <v xml:space="preserve">    (U4)0x00000042U,                                                           /* 23 TEN_4                                           */</v>
      </c>
      <c r="AS29" s="60" t="str">
        <f t="shared" si="2"/>
        <v xml:space="preserve">    (U4)0x000003FFU,                                                           /* 23 TEN_4                                           */</v>
      </c>
      <c r="AT29" s="60" t="str">
        <f t="shared" ca="1" si="3"/>
        <v xml:space="preserve">    (U1)ALERT_REQ_S_TMBZR_BC_AD_TEN_4,                                         /* 23 TEN_4                                           */</v>
      </c>
    </row>
    <row r="30" spans="2:49">
      <c r="B30" s="131"/>
      <c r="C30" s="44">
        <f t="shared" si="4"/>
        <v>24</v>
      </c>
      <c r="D30" s="58" t="s">
        <v>72</v>
      </c>
      <c r="E30" s="58" t="s">
        <v>72</v>
      </c>
      <c r="F30" s="58" t="s">
        <v>72</v>
      </c>
      <c r="G30" s="58" t="s">
        <v>72</v>
      </c>
      <c r="H30" s="58" t="s">
        <v>72</v>
      </c>
      <c r="I30" s="58" t="s">
        <v>72</v>
      </c>
      <c r="J30" s="58" t="s">
        <v>72</v>
      </c>
      <c r="K30" s="58" t="s">
        <v>72</v>
      </c>
      <c r="L30" s="58" t="s">
        <v>72</v>
      </c>
      <c r="M30" s="58" t="s">
        <v>72</v>
      </c>
      <c r="N30" s="58" t="s">
        <v>72</v>
      </c>
      <c r="O30" s="58" t="s">
        <v>72</v>
      </c>
      <c r="P30" s="58" t="s">
        <v>72</v>
      </c>
      <c r="Q30" s="58" t="s">
        <v>72</v>
      </c>
      <c r="R30" s="58" t="s">
        <v>72</v>
      </c>
      <c r="S30" s="58" t="s">
        <v>72</v>
      </c>
      <c r="T30" s="58" t="s">
        <v>72</v>
      </c>
      <c r="U30" s="58" t="s">
        <v>72</v>
      </c>
      <c r="V30" s="58" t="s">
        <v>72</v>
      </c>
      <c r="W30" s="58" t="s">
        <v>72</v>
      </c>
      <c r="X30" s="58" t="s">
        <v>72</v>
      </c>
      <c r="Y30" s="58" t="s">
        <v>72</v>
      </c>
      <c r="Z30" s="58">
        <v>0</v>
      </c>
      <c r="AA30" s="58">
        <v>0</v>
      </c>
      <c r="AB30" s="237">
        <v>0</v>
      </c>
      <c r="AC30" s="237">
        <v>1</v>
      </c>
      <c r="AD30" s="237">
        <v>0</v>
      </c>
      <c r="AE30" s="237">
        <v>0</v>
      </c>
      <c r="AF30" s="237">
        <v>0</v>
      </c>
      <c r="AG30" s="237">
        <v>1</v>
      </c>
      <c r="AH30" s="237">
        <v>0</v>
      </c>
      <c r="AI30" s="237">
        <v>1</v>
      </c>
      <c r="AJ30" s="26" t="s">
        <v>596</v>
      </c>
      <c r="AL30" t="str">
        <f t="shared" ca="1" si="0"/>
        <v xml:space="preserve">    (U1)ALERT_REQ_S_TMBZR_BC_AD_RJT_4</v>
      </c>
      <c r="AR30" s="60" t="str">
        <f t="shared" si="1"/>
        <v xml:space="preserve">    (U4)0x00000045U,                                                           /* 24 RJT_4                                           */</v>
      </c>
      <c r="AS30" s="60" t="str">
        <f t="shared" si="2"/>
        <v xml:space="preserve">    (U4)0x000003FFU,                                                           /* 24 RJT_4                                           */</v>
      </c>
      <c r="AT30" s="60" t="str">
        <f t="shared" ca="1" si="3"/>
        <v xml:space="preserve">    (U1)ALERT_REQ_S_TMBZR_BC_AD_RJT_4,                                         /* 24 RJT_4                                           */</v>
      </c>
    </row>
    <row r="31" spans="2:49">
      <c r="B31" s="131"/>
      <c r="C31" s="44">
        <f t="shared" si="4"/>
        <v>25</v>
      </c>
      <c r="D31" s="58" t="s">
        <v>72</v>
      </c>
      <c r="E31" s="58" t="s">
        <v>72</v>
      </c>
      <c r="F31" s="58" t="s">
        <v>72</v>
      </c>
      <c r="G31" s="58" t="s">
        <v>72</v>
      </c>
      <c r="H31" s="58" t="s">
        <v>72</v>
      </c>
      <c r="I31" s="58" t="s">
        <v>72</v>
      </c>
      <c r="J31" s="58" t="s">
        <v>72</v>
      </c>
      <c r="K31" s="58" t="s">
        <v>72</v>
      </c>
      <c r="L31" s="58" t="s">
        <v>72</v>
      </c>
      <c r="M31" s="58" t="s">
        <v>72</v>
      </c>
      <c r="N31" s="58" t="s">
        <v>72</v>
      </c>
      <c r="O31" s="58" t="s">
        <v>72</v>
      </c>
      <c r="P31" s="58" t="s">
        <v>72</v>
      </c>
      <c r="Q31" s="58" t="s">
        <v>72</v>
      </c>
      <c r="R31" s="58" t="s">
        <v>72</v>
      </c>
      <c r="S31" s="58" t="s">
        <v>72</v>
      </c>
      <c r="T31" s="58" t="s">
        <v>72</v>
      </c>
      <c r="U31" s="58" t="s">
        <v>72</v>
      </c>
      <c r="V31" s="58" t="s">
        <v>72</v>
      </c>
      <c r="W31" s="58" t="s">
        <v>72</v>
      </c>
      <c r="X31" s="58" t="s">
        <v>72</v>
      </c>
      <c r="Y31" s="58" t="s">
        <v>72</v>
      </c>
      <c r="Z31" s="58">
        <v>0</v>
      </c>
      <c r="AA31" s="58">
        <v>0</v>
      </c>
      <c r="AB31" s="237">
        <v>0</v>
      </c>
      <c r="AC31" s="237">
        <v>1</v>
      </c>
      <c r="AD31" s="237">
        <v>0</v>
      </c>
      <c r="AE31" s="237">
        <v>0</v>
      </c>
      <c r="AF31" s="237">
        <v>0</v>
      </c>
      <c r="AG31" s="237">
        <v>1</v>
      </c>
      <c r="AH31" s="237">
        <v>1</v>
      </c>
      <c r="AI31" s="237">
        <v>0</v>
      </c>
      <c r="AJ31" s="26" t="s">
        <v>590</v>
      </c>
      <c r="AL31" t="str">
        <f t="shared" ca="1" si="0"/>
        <v xml:space="preserve">    (U1)ALERT_REQ_S_TMBZR_BC_AD_RCV_4</v>
      </c>
      <c r="AR31" s="60" t="str">
        <f t="shared" si="1"/>
        <v xml:space="preserve">    (U4)0x00000046U,                                                           /* 25 RCV_4                                           */</v>
      </c>
      <c r="AS31" s="60" t="str">
        <f t="shared" si="2"/>
        <v xml:space="preserve">    (U4)0x000003FFU,                                                           /* 25 RCV_4                                           */</v>
      </c>
      <c r="AT31" s="60" t="str">
        <f t="shared" ca="1" si="3"/>
        <v xml:space="preserve">    (U1)ALERT_REQ_S_TMBZR_BC_AD_RCV_4,                                         /* 25 RCV_4                                           */</v>
      </c>
    </row>
    <row r="32" spans="2:49">
      <c r="B32" s="131"/>
      <c r="C32" s="44">
        <f t="shared" si="4"/>
        <v>26</v>
      </c>
      <c r="D32" s="58" t="s">
        <v>72</v>
      </c>
      <c r="E32" s="58" t="s">
        <v>72</v>
      </c>
      <c r="F32" s="58" t="s">
        <v>72</v>
      </c>
      <c r="G32" s="58" t="s">
        <v>72</v>
      </c>
      <c r="H32" s="58" t="s">
        <v>72</v>
      </c>
      <c r="I32" s="58" t="s">
        <v>72</v>
      </c>
      <c r="J32" s="58" t="s">
        <v>72</v>
      </c>
      <c r="K32" s="58" t="s">
        <v>72</v>
      </c>
      <c r="L32" s="58" t="s">
        <v>72</v>
      </c>
      <c r="M32" s="58" t="s">
        <v>72</v>
      </c>
      <c r="N32" s="58" t="s">
        <v>72</v>
      </c>
      <c r="O32" s="58" t="s">
        <v>72</v>
      </c>
      <c r="P32" s="58" t="s">
        <v>72</v>
      </c>
      <c r="Q32" s="58" t="s">
        <v>72</v>
      </c>
      <c r="R32" s="58" t="s">
        <v>72</v>
      </c>
      <c r="S32" s="58" t="s">
        <v>72</v>
      </c>
      <c r="T32" s="58" t="s">
        <v>72</v>
      </c>
      <c r="U32" s="58" t="s">
        <v>72</v>
      </c>
      <c r="V32" s="58" t="s">
        <v>72</v>
      </c>
      <c r="W32" s="58" t="s">
        <v>72</v>
      </c>
      <c r="X32" s="58" t="s">
        <v>72</v>
      </c>
      <c r="Y32" s="58" t="s">
        <v>72</v>
      </c>
      <c r="Z32" s="58">
        <v>0</v>
      </c>
      <c r="AA32" s="58">
        <v>0</v>
      </c>
      <c r="AB32" s="237">
        <v>0</v>
      </c>
      <c r="AC32" s="237">
        <v>1</v>
      </c>
      <c r="AD32" s="237">
        <v>0</v>
      </c>
      <c r="AE32" s="237">
        <v>0</v>
      </c>
      <c r="AF32" s="237">
        <v>0</v>
      </c>
      <c r="AG32" s="237">
        <v>1</v>
      </c>
      <c r="AH32" s="237">
        <v>1</v>
      </c>
      <c r="AI32" s="237">
        <v>1</v>
      </c>
      <c r="AJ32" s="26" t="s">
        <v>584</v>
      </c>
      <c r="AL32" t="str">
        <f t="shared" ca="1" si="0"/>
        <v xml:space="preserve">    (U1)ALERT_REQ_S_TMBZR_BC_AD_ANN_4</v>
      </c>
      <c r="AR32" s="60" t="str">
        <f t="shared" si="1"/>
        <v xml:space="preserve">    (U4)0x00000047U,                                                           /* 26 ANN_4                                           */</v>
      </c>
      <c r="AS32" s="60" t="str">
        <f t="shared" si="2"/>
        <v xml:space="preserve">    (U4)0x000003FFU,                                                           /* 26 ANN_4                                           */</v>
      </c>
      <c r="AT32" s="60" t="str">
        <f t="shared" ca="1" si="3"/>
        <v xml:space="preserve">    (U1)ALERT_REQ_S_TMBZR_BC_AD_ANN_4,                                         /* 26 ANN_4                                           */</v>
      </c>
    </row>
    <row r="33" spans="2:46">
      <c r="B33" s="131"/>
      <c r="C33" s="44">
        <f t="shared" si="4"/>
        <v>27</v>
      </c>
      <c r="D33" s="58" t="s">
        <v>72</v>
      </c>
      <c r="E33" s="58" t="s">
        <v>72</v>
      </c>
      <c r="F33" s="58" t="s">
        <v>72</v>
      </c>
      <c r="G33" s="58" t="s">
        <v>72</v>
      </c>
      <c r="H33" s="58" t="s">
        <v>72</v>
      </c>
      <c r="I33" s="58" t="s">
        <v>72</v>
      </c>
      <c r="J33" s="58" t="s">
        <v>72</v>
      </c>
      <c r="K33" s="58" t="s">
        <v>72</v>
      </c>
      <c r="L33" s="58" t="s">
        <v>72</v>
      </c>
      <c r="M33" s="58" t="s">
        <v>72</v>
      </c>
      <c r="N33" s="58" t="s">
        <v>72</v>
      </c>
      <c r="O33" s="58" t="s">
        <v>72</v>
      </c>
      <c r="P33" s="58" t="s">
        <v>72</v>
      </c>
      <c r="Q33" s="58" t="s">
        <v>72</v>
      </c>
      <c r="R33" s="58" t="s">
        <v>72</v>
      </c>
      <c r="S33" s="58" t="s">
        <v>72</v>
      </c>
      <c r="T33" s="58" t="s">
        <v>72</v>
      </c>
      <c r="U33" s="58" t="s">
        <v>72</v>
      </c>
      <c r="V33" s="58" t="s">
        <v>72</v>
      </c>
      <c r="W33" s="58" t="s">
        <v>72</v>
      </c>
      <c r="X33" s="58" t="s">
        <v>72</v>
      </c>
      <c r="Y33" s="58" t="s">
        <v>72</v>
      </c>
      <c r="Z33" s="58">
        <v>0</v>
      </c>
      <c r="AA33" s="58">
        <v>0</v>
      </c>
      <c r="AB33" s="237">
        <v>0</v>
      </c>
      <c r="AC33" s="237">
        <v>1</v>
      </c>
      <c r="AD33" s="237">
        <v>0</v>
      </c>
      <c r="AE33" s="237">
        <v>1</v>
      </c>
      <c r="AF33" s="237">
        <v>0</v>
      </c>
      <c r="AG33" s="237">
        <v>1</v>
      </c>
      <c r="AH33" s="237">
        <v>0</v>
      </c>
      <c r="AI33" s="237">
        <v>1</v>
      </c>
      <c r="AJ33" s="26" t="s">
        <v>597</v>
      </c>
      <c r="AL33" t="str">
        <f t="shared" ca="1" si="0"/>
        <v xml:space="preserve">    (U1)ALERT_REQ_S_TMBZR_BC_AD_RJT_4P5</v>
      </c>
      <c r="AR33" s="60" t="str">
        <f t="shared" si="1"/>
        <v xml:space="preserve">    (U4)0x00000055U,                                                           /* 27 RJT_4P5                                         */</v>
      </c>
      <c r="AS33" s="60" t="str">
        <f t="shared" si="2"/>
        <v xml:space="preserve">    (U4)0x000003FFU,                                                           /* 27 RJT_4P5                                         */</v>
      </c>
      <c r="AT33" s="60" t="str">
        <f t="shared" ca="1" si="3"/>
        <v xml:space="preserve">    (U1)ALERT_REQ_S_TMBZR_BC_AD_RJT_4P5,                                       /* 27 RJT_4P5                                         */</v>
      </c>
    </row>
    <row r="34" spans="2:46">
      <c r="B34" s="131"/>
      <c r="C34" s="44">
        <f t="shared" si="4"/>
        <v>28</v>
      </c>
      <c r="D34" s="58" t="s">
        <v>72</v>
      </c>
      <c r="E34" s="58" t="s">
        <v>72</v>
      </c>
      <c r="F34" s="58" t="s">
        <v>72</v>
      </c>
      <c r="G34" s="58" t="s">
        <v>72</v>
      </c>
      <c r="H34" s="58" t="s">
        <v>72</v>
      </c>
      <c r="I34" s="58" t="s">
        <v>72</v>
      </c>
      <c r="J34" s="58" t="s">
        <v>72</v>
      </c>
      <c r="K34" s="58" t="s">
        <v>72</v>
      </c>
      <c r="L34" s="58" t="s">
        <v>72</v>
      </c>
      <c r="M34" s="58" t="s">
        <v>72</v>
      </c>
      <c r="N34" s="58" t="s">
        <v>72</v>
      </c>
      <c r="O34" s="58" t="s">
        <v>72</v>
      </c>
      <c r="P34" s="58" t="s">
        <v>72</v>
      </c>
      <c r="Q34" s="58" t="s">
        <v>72</v>
      </c>
      <c r="R34" s="58" t="s">
        <v>72</v>
      </c>
      <c r="S34" s="58" t="s">
        <v>72</v>
      </c>
      <c r="T34" s="58" t="s">
        <v>72</v>
      </c>
      <c r="U34" s="58" t="s">
        <v>72</v>
      </c>
      <c r="V34" s="58" t="s">
        <v>72</v>
      </c>
      <c r="W34" s="58" t="s">
        <v>72</v>
      </c>
      <c r="X34" s="58" t="s">
        <v>72</v>
      </c>
      <c r="Y34" s="58" t="s">
        <v>72</v>
      </c>
      <c r="Z34" s="58">
        <v>0</v>
      </c>
      <c r="AA34" s="58">
        <v>0</v>
      </c>
      <c r="AB34" s="237">
        <v>0</v>
      </c>
      <c r="AC34" s="237">
        <v>1</v>
      </c>
      <c r="AD34" s="237">
        <v>0</v>
      </c>
      <c r="AE34" s="237">
        <v>1</v>
      </c>
      <c r="AF34" s="237">
        <v>0</v>
      </c>
      <c r="AG34" s="237">
        <v>1</v>
      </c>
      <c r="AH34" s="237">
        <v>1</v>
      </c>
      <c r="AI34" s="237">
        <v>0</v>
      </c>
      <c r="AJ34" s="26" t="s">
        <v>591</v>
      </c>
      <c r="AL34" t="str">
        <f t="shared" ca="1" si="0"/>
        <v xml:space="preserve">    (U1)ALERT_REQ_S_TMBZR_BC_AD_RCV_4P5</v>
      </c>
      <c r="AR34" s="60" t="str">
        <f t="shared" si="1"/>
        <v xml:space="preserve">    (U4)0x00000056U,                                                           /* 28 RCV_4P5                                         */</v>
      </c>
      <c r="AS34" s="60" t="str">
        <f t="shared" si="2"/>
        <v xml:space="preserve">    (U4)0x000003FFU,                                                           /* 28 RCV_4P5                                         */</v>
      </c>
      <c r="AT34" s="60" t="str">
        <f t="shared" ca="1" si="3"/>
        <v xml:space="preserve">    (U1)ALERT_REQ_S_TMBZR_BC_AD_RCV_4P5,                                       /* 28 RCV_4P5                                         */</v>
      </c>
    </row>
    <row r="35" spans="2:46">
      <c r="B35" s="131"/>
      <c r="C35" s="44">
        <f t="shared" si="4"/>
        <v>29</v>
      </c>
      <c r="D35" s="58" t="s">
        <v>72</v>
      </c>
      <c r="E35" s="58" t="s">
        <v>72</v>
      </c>
      <c r="F35" s="58" t="s">
        <v>72</v>
      </c>
      <c r="G35" s="58" t="s">
        <v>72</v>
      </c>
      <c r="H35" s="58" t="s">
        <v>72</v>
      </c>
      <c r="I35" s="58" t="s">
        <v>72</v>
      </c>
      <c r="J35" s="58" t="s">
        <v>72</v>
      </c>
      <c r="K35" s="58" t="s">
        <v>72</v>
      </c>
      <c r="L35" s="58" t="s">
        <v>72</v>
      </c>
      <c r="M35" s="58" t="s">
        <v>72</v>
      </c>
      <c r="N35" s="58" t="s">
        <v>72</v>
      </c>
      <c r="O35" s="58" t="s">
        <v>72</v>
      </c>
      <c r="P35" s="58" t="s">
        <v>72</v>
      </c>
      <c r="Q35" s="58" t="s">
        <v>72</v>
      </c>
      <c r="R35" s="58" t="s">
        <v>72</v>
      </c>
      <c r="S35" s="58" t="s">
        <v>72</v>
      </c>
      <c r="T35" s="58" t="s">
        <v>72</v>
      </c>
      <c r="U35" s="58" t="s">
        <v>72</v>
      </c>
      <c r="V35" s="58" t="s">
        <v>72</v>
      </c>
      <c r="W35" s="58" t="s">
        <v>72</v>
      </c>
      <c r="X35" s="58" t="s">
        <v>72</v>
      </c>
      <c r="Y35" s="58" t="s">
        <v>72</v>
      </c>
      <c r="Z35" s="58">
        <v>0</v>
      </c>
      <c r="AA35" s="58">
        <v>0</v>
      </c>
      <c r="AB35" s="237">
        <v>0</v>
      </c>
      <c r="AC35" s="237">
        <v>1</v>
      </c>
      <c r="AD35" s="237">
        <v>0</v>
      </c>
      <c r="AE35" s="237">
        <v>1</v>
      </c>
      <c r="AF35" s="237">
        <v>0</v>
      </c>
      <c r="AG35" s="237">
        <v>1</v>
      </c>
      <c r="AH35" s="237">
        <v>1</v>
      </c>
      <c r="AI35" s="237">
        <v>1</v>
      </c>
      <c r="AJ35" s="26" t="s">
        <v>585</v>
      </c>
      <c r="AL35" t="str">
        <f t="shared" ca="1" si="0"/>
        <v xml:space="preserve">    (U1)ALERT_REQ_S_TMBZR_BC_AD_ANN_4P5</v>
      </c>
      <c r="AR35" s="60" t="str">
        <f t="shared" si="1"/>
        <v xml:space="preserve">    (U4)0x00000057U,                                                           /* 29 ANN_4P5                                         */</v>
      </c>
      <c r="AS35" s="60" t="str">
        <f t="shared" si="2"/>
        <v xml:space="preserve">    (U4)0x000003FFU,                                                           /* 29 ANN_4P5                                         */</v>
      </c>
      <c r="AT35" s="60" t="str">
        <f t="shared" ca="1" si="3"/>
        <v xml:space="preserve">    (U1)ALERT_REQ_S_TMBZR_BC_AD_ANN_4P5,                                       /* 29 ANN_4P5                                         */</v>
      </c>
    </row>
    <row r="36" spans="2:46">
      <c r="B36" s="131"/>
      <c r="C36" s="44">
        <f t="shared" si="4"/>
        <v>30</v>
      </c>
      <c r="D36" s="58" t="s">
        <v>72</v>
      </c>
      <c r="E36" s="58" t="s">
        <v>72</v>
      </c>
      <c r="F36" s="58" t="s">
        <v>72</v>
      </c>
      <c r="G36" s="58" t="s">
        <v>72</v>
      </c>
      <c r="H36" s="58" t="s">
        <v>72</v>
      </c>
      <c r="I36" s="58" t="s">
        <v>72</v>
      </c>
      <c r="J36" s="58" t="s">
        <v>72</v>
      </c>
      <c r="K36" s="58" t="s">
        <v>72</v>
      </c>
      <c r="L36" s="58" t="s">
        <v>72</v>
      </c>
      <c r="M36" s="58" t="s">
        <v>72</v>
      </c>
      <c r="N36" s="58" t="s">
        <v>72</v>
      </c>
      <c r="O36" s="58" t="s">
        <v>72</v>
      </c>
      <c r="P36" s="58" t="s">
        <v>72</v>
      </c>
      <c r="Q36" s="58" t="s">
        <v>72</v>
      </c>
      <c r="R36" s="58" t="s">
        <v>72</v>
      </c>
      <c r="S36" s="58" t="s">
        <v>72</v>
      </c>
      <c r="T36" s="58" t="s">
        <v>72</v>
      </c>
      <c r="U36" s="58" t="s">
        <v>72</v>
      </c>
      <c r="V36" s="58" t="s">
        <v>72</v>
      </c>
      <c r="W36" s="58" t="s">
        <v>72</v>
      </c>
      <c r="X36" s="58" t="s">
        <v>72</v>
      </c>
      <c r="Y36" s="58" t="s">
        <v>72</v>
      </c>
      <c r="Z36" s="58">
        <v>0</v>
      </c>
      <c r="AA36" s="58">
        <v>0</v>
      </c>
      <c r="AB36" s="237">
        <v>0</v>
      </c>
      <c r="AC36" s="237">
        <v>1</v>
      </c>
      <c r="AD36" s="237">
        <v>1</v>
      </c>
      <c r="AE36" s="237">
        <v>0</v>
      </c>
      <c r="AF36" s="237">
        <v>0</v>
      </c>
      <c r="AG36" s="237">
        <v>0</v>
      </c>
      <c r="AH36" s="237">
        <v>0</v>
      </c>
      <c r="AI36" s="237">
        <v>1</v>
      </c>
      <c r="AJ36" s="26" t="s">
        <v>603</v>
      </c>
      <c r="AL36" t="str">
        <f t="shared" ca="1" si="0"/>
        <v xml:space="preserve">    (U1)ALERT_REQ_S_TMBZR_BC_AD_CONT_5</v>
      </c>
      <c r="AR36" s="60" t="str">
        <f t="shared" si="1"/>
        <v xml:space="preserve">    (U4)0x00000061U,                                                           /* 30 CONT_5                                          */</v>
      </c>
      <c r="AS36" s="60" t="str">
        <f t="shared" si="2"/>
        <v xml:space="preserve">    (U4)0x000003FFU,                                                           /* 30 CONT_5                                          */</v>
      </c>
      <c r="AT36" s="60" t="str">
        <f t="shared" ca="1" si="3"/>
        <v xml:space="preserve">    (U1)ALERT_REQ_S_TMBZR_BC_AD_CONT_5,                                        /* 30 CONT_5                                          */</v>
      </c>
    </row>
    <row r="37" spans="2:46">
      <c r="B37" s="131"/>
      <c r="C37" s="44">
        <f t="shared" si="4"/>
        <v>31</v>
      </c>
      <c r="D37" s="58" t="s">
        <v>72</v>
      </c>
      <c r="E37" s="58" t="s">
        <v>72</v>
      </c>
      <c r="F37" s="58" t="s">
        <v>72</v>
      </c>
      <c r="G37" s="58" t="s">
        <v>72</v>
      </c>
      <c r="H37" s="58" t="s">
        <v>72</v>
      </c>
      <c r="I37" s="58" t="s">
        <v>72</v>
      </c>
      <c r="J37" s="58" t="s">
        <v>72</v>
      </c>
      <c r="K37" s="58" t="s">
        <v>72</v>
      </c>
      <c r="L37" s="58" t="s">
        <v>72</v>
      </c>
      <c r="M37" s="58" t="s">
        <v>72</v>
      </c>
      <c r="N37" s="58" t="s">
        <v>72</v>
      </c>
      <c r="O37" s="58" t="s">
        <v>72</v>
      </c>
      <c r="P37" s="58" t="s">
        <v>72</v>
      </c>
      <c r="Q37" s="58" t="s">
        <v>72</v>
      </c>
      <c r="R37" s="58" t="s">
        <v>72</v>
      </c>
      <c r="S37" s="58" t="s">
        <v>72</v>
      </c>
      <c r="T37" s="58" t="s">
        <v>72</v>
      </c>
      <c r="U37" s="58" t="s">
        <v>72</v>
      </c>
      <c r="V37" s="58" t="s">
        <v>72</v>
      </c>
      <c r="W37" s="58" t="s">
        <v>72</v>
      </c>
      <c r="X37" s="58" t="s">
        <v>72</v>
      </c>
      <c r="Y37" s="58" t="s">
        <v>72</v>
      </c>
      <c r="Z37" s="58">
        <v>0</v>
      </c>
      <c r="AA37" s="58">
        <v>0</v>
      </c>
      <c r="AB37" s="237">
        <v>0</v>
      </c>
      <c r="AC37" s="237">
        <v>1</v>
      </c>
      <c r="AD37" s="237">
        <v>1</v>
      </c>
      <c r="AE37" s="237">
        <v>0</v>
      </c>
      <c r="AF37" s="237">
        <v>0</v>
      </c>
      <c r="AG37" s="237">
        <v>0</v>
      </c>
      <c r="AH37" s="237">
        <v>1</v>
      </c>
      <c r="AI37" s="237">
        <v>1</v>
      </c>
      <c r="AJ37" s="26" t="s">
        <v>611</v>
      </c>
      <c r="AL37" t="str">
        <f t="shared" ca="1" si="0"/>
        <v xml:space="preserve">    (U1)ALERT_REQ_S_TMBZR_BC_AD_TEN_5</v>
      </c>
      <c r="AR37" s="60" t="str">
        <f t="shared" si="1"/>
        <v xml:space="preserve">    (U4)0x00000063U,                                                           /* 31 TEN_5                                           */</v>
      </c>
      <c r="AS37" s="60" t="str">
        <f t="shared" si="2"/>
        <v xml:space="preserve">    (U4)0x000003FFU,                                                           /* 31 TEN_5                                           */</v>
      </c>
      <c r="AT37" s="60" t="str">
        <f t="shared" ca="1" si="3"/>
        <v xml:space="preserve">    (U1)ALERT_REQ_S_TMBZR_BC_AD_TEN_5,                                         /* 31 TEN_5                                           */</v>
      </c>
    </row>
    <row r="38" spans="2:46">
      <c r="B38" s="131"/>
      <c r="C38" s="44">
        <f t="shared" si="4"/>
        <v>32</v>
      </c>
      <c r="D38" s="58" t="s">
        <v>72</v>
      </c>
      <c r="E38" s="58" t="s">
        <v>72</v>
      </c>
      <c r="F38" s="58" t="s">
        <v>72</v>
      </c>
      <c r="G38" s="58" t="s">
        <v>72</v>
      </c>
      <c r="H38" s="58" t="s">
        <v>72</v>
      </c>
      <c r="I38" s="58" t="s">
        <v>72</v>
      </c>
      <c r="J38" s="58" t="s">
        <v>72</v>
      </c>
      <c r="K38" s="58" t="s">
        <v>72</v>
      </c>
      <c r="L38" s="58" t="s">
        <v>72</v>
      </c>
      <c r="M38" s="58" t="s">
        <v>72</v>
      </c>
      <c r="N38" s="58" t="s">
        <v>72</v>
      </c>
      <c r="O38" s="58" t="s">
        <v>72</v>
      </c>
      <c r="P38" s="58" t="s">
        <v>72</v>
      </c>
      <c r="Q38" s="58" t="s">
        <v>72</v>
      </c>
      <c r="R38" s="58" t="s">
        <v>72</v>
      </c>
      <c r="S38" s="58" t="s">
        <v>72</v>
      </c>
      <c r="T38" s="58" t="s">
        <v>72</v>
      </c>
      <c r="U38" s="58" t="s">
        <v>72</v>
      </c>
      <c r="V38" s="58" t="s">
        <v>72</v>
      </c>
      <c r="W38" s="58" t="s">
        <v>72</v>
      </c>
      <c r="X38" s="58" t="s">
        <v>72</v>
      </c>
      <c r="Y38" s="58" t="s">
        <v>72</v>
      </c>
      <c r="Z38" s="58">
        <v>0</v>
      </c>
      <c r="AA38" s="58">
        <v>0</v>
      </c>
      <c r="AB38" s="237">
        <v>0</v>
      </c>
      <c r="AC38" s="237">
        <v>1</v>
      </c>
      <c r="AD38" s="237">
        <v>1</v>
      </c>
      <c r="AE38" s="237">
        <v>1</v>
      </c>
      <c r="AF38" s="237">
        <v>0</v>
      </c>
      <c r="AG38" s="237">
        <v>0</v>
      </c>
      <c r="AH38" s="237">
        <v>1</v>
      </c>
      <c r="AI38" s="237">
        <v>1</v>
      </c>
      <c r="AJ38" s="26" t="s">
        <v>612</v>
      </c>
      <c r="AL38" t="str">
        <f t="shared" ca="1" si="0"/>
        <v xml:space="preserve">    (U1)ALERT_REQ_S_TMBZR_BC_AD_TEN_6</v>
      </c>
      <c r="AR38" s="60" t="str">
        <f t="shared" ref="AR38:AR68" si="5">IF(AQ103&lt;&gt;"",AQ103,IF(AQ102&lt;&gt;"","};",""))</f>
        <v xml:space="preserve">    (U4)0x00000073U,                                                           /* 32 TEN_6                                           */</v>
      </c>
      <c r="AS38" s="60" t="str">
        <f t="shared" ref="AS38:AS68" si="6">IF(AQ168&lt;&gt;"",AQ168,IF(AQ167&lt;&gt;"","};",""))</f>
        <v xml:space="preserve">    (U4)0x000003FFU,                                                           /* 32 TEN_6                                           */</v>
      </c>
      <c r="AT38" s="60" t="str">
        <f t="shared" ca="1" si="3"/>
        <v xml:space="preserve">    (U1)ALERT_REQ_S_TMBZR_BC_AD_TEN_6,                                         /* 32 TEN_6                                           */</v>
      </c>
    </row>
    <row r="39" spans="2:46">
      <c r="B39" s="131"/>
      <c r="C39" s="44">
        <f t="shared" si="4"/>
        <v>33</v>
      </c>
      <c r="D39" s="58" t="s">
        <v>72</v>
      </c>
      <c r="E39" s="58" t="s">
        <v>72</v>
      </c>
      <c r="F39" s="58" t="s">
        <v>72</v>
      </c>
      <c r="G39" s="58" t="s">
        <v>72</v>
      </c>
      <c r="H39" s="58" t="s">
        <v>72</v>
      </c>
      <c r="I39" s="58" t="s">
        <v>72</v>
      </c>
      <c r="J39" s="58" t="s">
        <v>72</v>
      </c>
      <c r="K39" s="58" t="s">
        <v>72</v>
      </c>
      <c r="L39" s="58" t="s">
        <v>72</v>
      </c>
      <c r="M39" s="58" t="s">
        <v>72</v>
      </c>
      <c r="N39" s="58" t="s">
        <v>72</v>
      </c>
      <c r="O39" s="58" t="s">
        <v>72</v>
      </c>
      <c r="P39" s="58" t="s">
        <v>72</v>
      </c>
      <c r="Q39" s="58" t="s">
        <v>72</v>
      </c>
      <c r="R39" s="58" t="s">
        <v>72</v>
      </c>
      <c r="S39" s="58" t="s">
        <v>72</v>
      </c>
      <c r="T39" s="58" t="s">
        <v>72</v>
      </c>
      <c r="U39" s="58" t="s">
        <v>72</v>
      </c>
      <c r="V39" s="58" t="s">
        <v>72</v>
      </c>
      <c r="W39" s="58" t="s">
        <v>72</v>
      </c>
      <c r="X39" s="58" t="s">
        <v>72</v>
      </c>
      <c r="Y39" s="58" t="s">
        <v>72</v>
      </c>
      <c r="Z39" s="58">
        <v>0</v>
      </c>
      <c r="AA39" s="58">
        <v>0</v>
      </c>
      <c r="AB39" s="58">
        <v>1</v>
      </c>
      <c r="AC39" s="58">
        <v>0</v>
      </c>
      <c r="AD39" s="58">
        <v>0</v>
      </c>
      <c r="AE39" s="58">
        <v>0</v>
      </c>
      <c r="AF39" s="58">
        <v>0</v>
      </c>
      <c r="AG39" s="58">
        <v>0</v>
      </c>
      <c r="AH39" s="58">
        <v>1</v>
      </c>
      <c r="AI39" s="58">
        <v>1</v>
      </c>
      <c r="AJ39" s="26" t="s">
        <v>613</v>
      </c>
      <c r="AL39" t="str">
        <f t="shared" ca="1" si="0"/>
        <v xml:space="preserve">    (U1)ALERT_REQ_S_TMBZR_BC_AD_TEN_6P5</v>
      </c>
      <c r="AR39" s="60" t="str">
        <f t="shared" si="5"/>
        <v xml:space="preserve">    (U4)0x00000083U,                                                           /* 33 TEN_6P5                                         */</v>
      </c>
      <c r="AS39" s="60" t="str">
        <f t="shared" si="6"/>
        <v xml:space="preserve">    (U4)0x000003FFU,                                                           /* 33 TEN_6P5                                         */</v>
      </c>
      <c r="AT39" s="60" t="str">
        <f t="shared" ca="1" si="3"/>
        <v xml:space="preserve">    (U1)ALERT_REQ_S_TMBZR_BC_AD_TEN_6P5,                                       /* 33 TEN_6P5                                         */</v>
      </c>
    </row>
    <row r="40" spans="2:46">
      <c r="B40" s="131"/>
      <c r="C40" s="44">
        <f t="shared" si="4"/>
        <v>34</v>
      </c>
      <c r="D40" s="58" t="s">
        <v>72</v>
      </c>
      <c r="E40" s="58" t="s">
        <v>72</v>
      </c>
      <c r="F40" s="58" t="s">
        <v>72</v>
      </c>
      <c r="G40" s="58" t="s">
        <v>72</v>
      </c>
      <c r="H40" s="58" t="s">
        <v>72</v>
      </c>
      <c r="I40" s="58" t="s">
        <v>72</v>
      </c>
      <c r="J40" s="58" t="s">
        <v>72</v>
      </c>
      <c r="K40" s="58" t="s">
        <v>72</v>
      </c>
      <c r="L40" s="58" t="s">
        <v>72</v>
      </c>
      <c r="M40" s="58" t="s">
        <v>72</v>
      </c>
      <c r="N40" s="58" t="s">
        <v>72</v>
      </c>
      <c r="O40" s="58" t="s">
        <v>72</v>
      </c>
      <c r="P40" s="58" t="s">
        <v>72</v>
      </c>
      <c r="Q40" s="58" t="s">
        <v>72</v>
      </c>
      <c r="R40" s="58" t="s">
        <v>72</v>
      </c>
      <c r="S40" s="58" t="s">
        <v>72</v>
      </c>
      <c r="T40" s="58" t="s">
        <v>72</v>
      </c>
      <c r="U40" s="58" t="s">
        <v>72</v>
      </c>
      <c r="V40" s="58" t="s">
        <v>72</v>
      </c>
      <c r="W40" s="58" t="s">
        <v>72</v>
      </c>
      <c r="X40" s="58" t="s">
        <v>72</v>
      </c>
      <c r="Y40" s="58" t="s">
        <v>72</v>
      </c>
      <c r="Z40" s="58">
        <v>0</v>
      </c>
      <c r="AA40" s="58">
        <v>0</v>
      </c>
      <c r="AB40" s="58">
        <v>1</v>
      </c>
      <c r="AC40" s="58">
        <v>0</v>
      </c>
      <c r="AD40" s="58">
        <v>0</v>
      </c>
      <c r="AE40" s="58">
        <v>1</v>
      </c>
      <c r="AF40" s="58">
        <v>0</v>
      </c>
      <c r="AG40" s="58">
        <v>0</v>
      </c>
      <c r="AH40" s="58">
        <v>1</v>
      </c>
      <c r="AI40" s="58">
        <v>1</v>
      </c>
      <c r="AJ40" s="26" t="s">
        <v>614</v>
      </c>
      <c r="AL40" t="str">
        <f t="shared" ca="1" si="0"/>
        <v xml:space="preserve">    (U1)ALERT_REQ_S_TMBZR_BC_AD_TEN_7</v>
      </c>
      <c r="AR40" s="60" t="str">
        <f t="shared" si="5"/>
        <v xml:space="preserve">    (U4)0x00000093U,                                                           /* 34 TEN_7                                           */</v>
      </c>
      <c r="AS40" s="60" t="str">
        <f t="shared" si="6"/>
        <v xml:space="preserve">    (U4)0x000003FFU,                                                           /* 34 TEN_7                                           */</v>
      </c>
      <c r="AT40" s="60" t="str">
        <f t="shared" ca="1" si="3"/>
        <v xml:space="preserve">    (U1)ALERT_REQ_S_TMBZR_BC_AD_TEN_7,                                         /* 34 TEN_7                                           */</v>
      </c>
    </row>
    <row r="41" spans="2:46">
      <c r="B41" s="131"/>
      <c r="C41" s="44">
        <f t="shared" si="4"/>
        <v>35</v>
      </c>
      <c r="D41" s="58" t="s">
        <v>72</v>
      </c>
      <c r="E41" s="58" t="s">
        <v>72</v>
      </c>
      <c r="F41" s="58" t="s">
        <v>72</v>
      </c>
      <c r="G41" s="58" t="s">
        <v>72</v>
      </c>
      <c r="H41" s="58" t="s">
        <v>72</v>
      </c>
      <c r="I41" s="58" t="s">
        <v>72</v>
      </c>
      <c r="J41" s="58" t="s">
        <v>72</v>
      </c>
      <c r="K41" s="58" t="s">
        <v>72</v>
      </c>
      <c r="L41" s="58" t="s">
        <v>72</v>
      </c>
      <c r="M41" s="58" t="s">
        <v>72</v>
      </c>
      <c r="N41" s="58" t="s">
        <v>72</v>
      </c>
      <c r="O41" s="58" t="s">
        <v>72</v>
      </c>
      <c r="P41" s="58" t="s">
        <v>72</v>
      </c>
      <c r="Q41" s="58" t="s">
        <v>72</v>
      </c>
      <c r="R41" s="58" t="s">
        <v>72</v>
      </c>
      <c r="S41" s="58" t="s">
        <v>72</v>
      </c>
      <c r="T41" s="58" t="s">
        <v>72</v>
      </c>
      <c r="U41" s="58" t="s">
        <v>72</v>
      </c>
      <c r="V41" s="58" t="s">
        <v>72</v>
      </c>
      <c r="W41" s="58" t="s">
        <v>72</v>
      </c>
      <c r="X41" s="58" t="s">
        <v>72</v>
      </c>
      <c r="Y41" s="58" t="s">
        <v>72</v>
      </c>
      <c r="Z41" s="58">
        <v>0</v>
      </c>
      <c r="AA41" s="58">
        <v>0</v>
      </c>
      <c r="AB41" s="58">
        <v>1</v>
      </c>
      <c r="AC41" s="58">
        <v>0</v>
      </c>
      <c r="AD41" s="58">
        <v>1</v>
      </c>
      <c r="AE41" s="58">
        <v>0</v>
      </c>
      <c r="AF41" s="58">
        <v>0</v>
      </c>
      <c r="AG41" s="58">
        <v>1</v>
      </c>
      <c r="AH41" s="58">
        <v>0</v>
      </c>
      <c r="AI41" s="58">
        <v>0</v>
      </c>
      <c r="AJ41" s="26" t="s">
        <v>615</v>
      </c>
      <c r="AL41" t="str">
        <f t="shared" ca="1" si="0"/>
        <v xml:space="preserve">    (U1)ALERT_REQ_S_TMBZR_BC_AD_TEN_8</v>
      </c>
      <c r="AR41" s="60" t="str">
        <f t="shared" si="5"/>
        <v xml:space="preserve">    (U4)0x000000A4U                                                            /* 35 TEN_8                                           */</v>
      </c>
      <c r="AS41" s="60" t="str">
        <f t="shared" si="6"/>
        <v xml:space="preserve">    (U4)0x000003FFU                                                            /* 35 TEN_8                                           */</v>
      </c>
      <c r="AT41" s="60" t="str">
        <f t="shared" ca="1" si="3"/>
        <v xml:space="preserve">    (U1)ALERT_REQ_S_TMBZR_BC_AD_TEN_8                                          /* 35 TEN_8                                           */</v>
      </c>
    </row>
    <row r="42" spans="2:46">
      <c r="B42" s="131"/>
      <c r="C42" s="44">
        <f t="shared" si="4"/>
        <v>36</v>
      </c>
      <c r="D42" s="58" t="s">
        <v>72</v>
      </c>
      <c r="E42" s="58" t="s">
        <v>72</v>
      </c>
      <c r="F42" s="58" t="s">
        <v>72</v>
      </c>
      <c r="G42" s="58" t="s">
        <v>72</v>
      </c>
      <c r="H42" s="58" t="s">
        <v>72</v>
      </c>
      <c r="I42" s="58" t="s">
        <v>72</v>
      </c>
      <c r="J42" s="58" t="s">
        <v>72</v>
      </c>
      <c r="K42" s="58" t="s">
        <v>72</v>
      </c>
      <c r="L42" s="58" t="s">
        <v>72</v>
      </c>
      <c r="M42" s="58" t="s">
        <v>72</v>
      </c>
      <c r="N42" s="58" t="s">
        <v>72</v>
      </c>
      <c r="O42" s="58" t="s">
        <v>72</v>
      </c>
      <c r="P42" s="58" t="s">
        <v>72</v>
      </c>
      <c r="Q42" s="58" t="s">
        <v>72</v>
      </c>
      <c r="R42" s="58" t="s">
        <v>72</v>
      </c>
      <c r="S42" s="58" t="s">
        <v>72</v>
      </c>
      <c r="T42" s="58" t="s">
        <v>72</v>
      </c>
      <c r="U42" s="58" t="s">
        <v>72</v>
      </c>
      <c r="V42" s="58" t="s">
        <v>72</v>
      </c>
      <c r="W42" s="58" t="s">
        <v>72</v>
      </c>
      <c r="X42" s="58" t="s">
        <v>72</v>
      </c>
      <c r="Y42" s="58" t="s">
        <v>72</v>
      </c>
      <c r="Z42" s="58" t="s">
        <v>72</v>
      </c>
      <c r="AA42" s="58" t="s">
        <v>72</v>
      </c>
      <c r="AB42" s="58" t="s">
        <v>72</v>
      </c>
      <c r="AC42" s="58" t="s">
        <v>72</v>
      </c>
      <c r="AD42" s="58" t="s">
        <v>72</v>
      </c>
      <c r="AE42" s="58" t="s">
        <v>72</v>
      </c>
      <c r="AF42" s="58" t="s">
        <v>72</v>
      </c>
      <c r="AG42" s="58" t="s">
        <v>72</v>
      </c>
      <c r="AH42" s="58" t="s">
        <v>72</v>
      </c>
      <c r="AI42" s="58" t="s">
        <v>72</v>
      </c>
      <c r="AJ42" s="26"/>
      <c r="AL42" t="str">
        <f t="shared" ca="1" si="0"/>
        <v xml:space="preserve">    (U1)ALERT_REQ_S_TMBZR_BC_AD_</v>
      </c>
      <c r="AR42" s="60" t="str">
        <f t="shared" si="5"/>
        <v>};</v>
      </c>
      <c r="AS42" s="60" t="str">
        <f t="shared" si="6"/>
        <v>};</v>
      </c>
      <c r="AT42" s="60" t="str">
        <f t="shared" si="3"/>
        <v>};</v>
      </c>
    </row>
    <row r="43" spans="2:46">
      <c r="B43" s="131"/>
      <c r="C43" s="44">
        <f t="shared" si="4"/>
        <v>37</v>
      </c>
      <c r="D43" s="58" t="s">
        <v>72</v>
      </c>
      <c r="E43" s="58" t="s">
        <v>72</v>
      </c>
      <c r="F43" s="58" t="s">
        <v>72</v>
      </c>
      <c r="G43" s="58" t="s">
        <v>72</v>
      </c>
      <c r="H43" s="58" t="s">
        <v>72</v>
      </c>
      <c r="I43" s="58" t="s">
        <v>72</v>
      </c>
      <c r="J43" s="58" t="s">
        <v>72</v>
      </c>
      <c r="K43" s="58" t="s">
        <v>72</v>
      </c>
      <c r="L43" s="58" t="s">
        <v>72</v>
      </c>
      <c r="M43" s="58" t="s">
        <v>72</v>
      </c>
      <c r="N43" s="58" t="s">
        <v>72</v>
      </c>
      <c r="O43" s="58" t="s">
        <v>72</v>
      </c>
      <c r="P43" s="58" t="s">
        <v>72</v>
      </c>
      <c r="Q43" s="58" t="s">
        <v>72</v>
      </c>
      <c r="R43" s="58" t="s">
        <v>72</v>
      </c>
      <c r="S43" s="58" t="s">
        <v>72</v>
      </c>
      <c r="T43" s="58" t="s">
        <v>72</v>
      </c>
      <c r="U43" s="58" t="s">
        <v>72</v>
      </c>
      <c r="V43" s="58" t="s">
        <v>72</v>
      </c>
      <c r="W43" s="58" t="s">
        <v>72</v>
      </c>
      <c r="X43" s="58" t="s">
        <v>72</v>
      </c>
      <c r="Y43" s="58" t="s">
        <v>72</v>
      </c>
      <c r="Z43" s="58" t="s">
        <v>72</v>
      </c>
      <c r="AA43" s="58" t="s">
        <v>72</v>
      </c>
      <c r="AB43" s="58" t="s">
        <v>72</v>
      </c>
      <c r="AC43" s="58" t="s">
        <v>72</v>
      </c>
      <c r="AD43" s="58" t="s">
        <v>72</v>
      </c>
      <c r="AE43" s="58" t="s">
        <v>72</v>
      </c>
      <c r="AF43" s="58" t="s">
        <v>72</v>
      </c>
      <c r="AG43" s="58" t="s">
        <v>72</v>
      </c>
      <c r="AH43" s="58" t="s">
        <v>72</v>
      </c>
      <c r="AI43" s="58" t="s">
        <v>72</v>
      </c>
      <c r="AJ43" s="26"/>
      <c r="AL43" t="str">
        <f t="shared" ca="1" si="0"/>
        <v xml:space="preserve">    (U1)ALERT_REQ_S_TMBZR_BC_AD_</v>
      </c>
      <c r="AR43" s="60" t="str">
        <f t="shared" si="5"/>
        <v/>
      </c>
      <c r="AS43" s="60" t="str">
        <f t="shared" si="6"/>
        <v/>
      </c>
      <c r="AT43" s="60" t="str">
        <f t="shared" si="3"/>
        <v/>
      </c>
    </row>
    <row r="44" spans="2:46">
      <c r="B44" s="131"/>
      <c r="C44" s="44">
        <f t="shared" si="4"/>
        <v>38</v>
      </c>
      <c r="D44" s="58" t="s">
        <v>72</v>
      </c>
      <c r="E44" s="58" t="s">
        <v>72</v>
      </c>
      <c r="F44" s="58" t="s">
        <v>72</v>
      </c>
      <c r="G44" s="58" t="s">
        <v>72</v>
      </c>
      <c r="H44" s="58" t="s">
        <v>72</v>
      </c>
      <c r="I44" s="58" t="s">
        <v>72</v>
      </c>
      <c r="J44" s="58" t="s">
        <v>72</v>
      </c>
      <c r="K44" s="58" t="s">
        <v>72</v>
      </c>
      <c r="L44" s="58" t="s">
        <v>72</v>
      </c>
      <c r="M44" s="58" t="s">
        <v>72</v>
      </c>
      <c r="N44" s="58" t="s">
        <v>72</v>
      </c>
      <c r="O44" s="58" t="s">
        <v>72</v>
      </c>
      <c r="P44" s="58" t="s">
        <v>72</v>
      </c>
      <c r="Q44" s="58" t="s">
        <v>72</v>
      </c>
      <c r="R44" s="58" t="s">
        <v>72</v>
      </c>
      <c r="S44" s="58" t="s">
        <v>72</v>
      </c>
      <c r="T44" s="58" t="s">
        <v>72</v>
      </c>
      <c r="U44" s="58" t="s">
        <v>72</v>
      </c>
      <c r="V44" s="58" t="s">
        <v>72</v>
      </c>
      <c r="W44" s="58" t="s">
        <v>72</v>
      </c>
      <c r="X44" s="58" t="s">
        <v>72</v>
      </c>
      <c r="Y44" s="58" t="s">
        <v>72</v>
      </c>
      <c r="Z44" s="58" t="s">
        <v>72</v>
      </c>
      <c r="AA44" s="58" t="s">
        <v>72</v>
      </c>
      <c r="AB44" s="58" t="s">
        <v>72</v>
      </c>
      <c r="AC44" s="58" t="s">
        <v>72</v>
      </c>
      <c r="AD44" s="58" t="s">
        <v>72</v>
      </c>
      <c r="AE44" s="58" t="s">
        <v>72</v>
      </c>
      <c r="AF44" s="58" t="s">
        <v>72</v>
      </c>
      <c r="AG44" s="58" t="s">
        <v>72</v>
      </c>
      <c r="AH44" s="58" t="s">
        <v>72</v>
      </c>
      <c r="AI44" s="58" t="s">
        <v>72</v>
      </c>
      <c r="AJ44" s="26"/>
      <c r="AL44" t="str">
        <f t="shared" ca="1" si="0"/>
        <v xml:space="preserve">    (U1)ALERT_REQ_S_TMBZR_BC_AD_</v>
      </c>
      <c r="AR44" s="60" t="str">
        <f t="shared" si="5"/>
        <v/>
      </c>
      <c r="AS44" s="60" t="str">
        <f t="shared" si="6"/>
        <v/>
      </c>
      <c r="AT44" s="60" t="str">
        <f t="shared" si="3"/>
        <v/>
      </c>
    </row>
    <row r="45" spans="2:46">
      <c r="B45" s="131"/>
      <c r="C45" s="44">
        <f t="shared" si="4"/>
        <v>39</v>
      </c>
      <c r="D45" s="58" t="s">
        <v>72</v>
      </c>
      <c r="E45" s="58" t="s">
        <v>72</v>
      </c>
      <c r="F45" s="58" t="s">
        <v>72</v>
      </c>
      <c r="G45" s="58" t="s">
        <v>72</v>
      </c>
      <c r="H45" s="58" t="s">
        <v>72</v>
      </c>
      <c r="I45" s="58" t="s">
        <v>72</v>
      </c>
      <c r="J45" s="58" t="s">
        <v>72</v>
      </c>
      <c r="K45" s="58" t="s">
        <v>72</v>
      </c>
      <c r="L45" s="58" t="s">
        <v>72</v>
      </c>
      <c r="M45" s="58" t="s">
        <v>72</v>
      </c>
      <c r="N45" s="58" t="s">
        <v>72</v>
      </c>
      <c r="O45" s="58" t="s">
        <v>72</v>
      </c>
      <c r="P45" s="58" t="s">
        <v>72</v>
      </c>
      <c r="Q45" s="58" t="s">
        <v>72</v>
      </c>
      <c r="R45" s="58" t="s">
        <v>72</v>
      </c>
      <c r="S45" s="58" t="s">
        <v>72</v>
      </c>
      <c r="T45" s="58" t="s">
        <v>72</v>
      </c>
      <c r="U45" s="58" t="s">
        <v>72</v>
      </c>
      <c r="V45" s="58" t="s">
        <v>72</v>
      </c>
      <c r="W45" s="58" t="s">
        <v>72</v>
      </c>
      <c r="X45" s="58" t="s">
        <v>72</v>
      </c>
      <c r="Y45" s="58" t="s">
        <v>72</v>
      </c>
      <c r="Z45" s="58" t="s">
        <v>72</v>
      </c>
      <c r="AA45" s="58" t="s">
        <v>72</v>
      </c>
      <c r="AB45" s="58" t="s">
        <v>72</v>
      </c>
      <c r="AC45" s="58" t="s">
        <v>72</v>
      </c>
      <c r="AD45" s="58" t="s">
        <v>72</v>
      </c>
      <c r="AE45" s="58" t="s">
        <v>72</v>
      </c>
      <c r="AF45" s="58" t="s">
        <v>72</v>
      </c>
      <c r="AG45" s="58" t="s">
        <v>72</v>
      </c>
      <c r="AH45" s="58" t="s">
        <v>72</v>
      </c>
      <c r="AI45" s="58" t="s">
        <v>72</v>
      </c>
      <c r="AJ45" s="26"/>
      <c r="AL45" t="str">
        <f t="shared" ca="1" si="0"/>
        <v xml:space="preserve">    (U1)ALERT_REQ_S_TMBZR_BC_AD_</v>
      </c>
      <c r="AR45" s="60" t="str">
        <f t="shared" si="5"/>
        <v/>
      </c>
      <c r="AS45" s="60" t="str">
        <f t="shared" si="6"/>
        <v/>
      </c>
      <c r="AT45" s="60" t="str">
        <f t="shared" si="3"/>
        <v/>
      </c>
    </row>
    <row r="46" spans="2:46">
      <c r="B46" s="131"/>
      <c r="C46" s="44">
        <f t="shared" si="4"/>
        <v>40</v>
      </c>
      <c r="D46" s="58" t="s">
        <v>72</v>
      </c>
      <c r="E46" s="58" t="s">
        <v>72</v>
      </c>
      <c r="F46" s="58" t="s">
        <v>72</v>
      </c>
      <c r="G46" s="58" t="s">
        <v>72</v>
      </c>
      <c r="H46" s="58" t="s">
        <v>72</v>
      </c>
      <c r="I46" s="58" t="s">
        <v>72</v>
      </c>
      <c r="J46" s="58" t="s">
        <v>72</v>
      </c>
      <c r="K46" s="58" t="s">
        <v>72</v>
      </c>
      <c r="L46" s="58" t="s">
        <v>72</v>
      </c>
      <c r="M46" s="58" t="s">
        <v>72</v>
      </c>
      <c r="N46" s="58" t="s">
        <v>72</v>
      </c>
      <c r="O46" s="58" t="s">
        <v>72</v>
      </c>
      <c r="P46" s="58" t="s">
        <v>72</v>
      </c>
      <c r="Q46" s="58" t="s">
        <v>72</v>
      </c>
      <c r="R46" s="58" t="s">
        <v>72</v>
      </c>
      <c r="S46" s="58" t="s">
        <v>72</v>
      </c>
      <c r="T46" s="58" t="s">
        <v>72</v>
      </c>
      <c r="U46" s="58" t="s">
        <v>72</v>
      </c>
      <c r="V46" s="58" t="s">
        <v>72</v>
      </c>
      <c r="W46" s="58" t="s">
        <v>72</v>
      </c>
      <c r="X46" s="58" t="s">
        <v>72</v>
      </c>
      <c r="Y46" s="58" t="s">
        <v>72</v>
      </c>
      <c r="Z46" s="58" t="s">
        <v>72</v>
      </c>
      <c r="AA46" s="58" t="s">
        <v>72</v>
      </c>
      <c r="AB46" s="58" t="s">
        <v>72</v>
      </c>
      <c r="AC46" s="58" t="s">
        <v>72</v>
      </c>
      <c r="AD46" s="58" t="s">
        <v>72</v>
      </c>
      <c r="AE46" s="58" t="s">
        <v>72</v>
      </c>
      <c r="AF46" s="58" t="s">
        <v>72</v>
      </c>
      <c r="AG46" s="58" t="s">
        <v>72</v>
      </c>
      <c r="AH46" s="58" t="s">
        <v>72</v>
      </c>
      <c r="AI46" s="58" t="s">
        <v>72</v>
      </c>
      <c r="AJ46" s="26"/>
      <c r="AL46" t="str">
        <f t="shared" ca="1" si="0"/>
        <v xml:space="preserve">    (U1)ALERT_REQ_S_TMBZR_BC_AD_</v>
      </c>
      <c r="AR46" s="60" t="str">
        <f t="shared" si="5"/>
        <v/>
      </c>
      <c r="AS46" s="60" t="str">
        <f t="shared" si="6"/>
        <v/>
      </c>
      <c r="AT46" s="60" t="str">
        <f t="shared" si="3"/>
        <v/>
      </c>
    </row>
    <row r="47" spans="2:46">
      <c r="B47" s="131"/>
      <c r="C47" s="44">
        <f t="shared" si="4"/>
        <v>41</v>
      </c>
      <c r="D47" s="58" t="s">
        <v>72</v>
      </c>
      <c r="E47" s="58" t="s">
        <v>72</v>
      </c>
      <c r="F47" s="58" t="s">
        <v>72</v>
      </c>
      <c r="G47" s="58" t="s">
        <v>72</v>
      </c>
      <c r="H47" s="58" t="s">
        <v>72</v>
      </c>
      <c r="I47" s="58" t="s">
        <v>72</v>
      </c>
      <c r="J47" s="58" t="s">
        <v>72</v>
      </c>
      <c r="K47" s="58" t="s">
        <v>72</v>
      </c>
      <c r="L47" s="58" t="s">
        <v>72</v>
      </c>
      <c r="M47" s="58" t="s">
        <v>72</v>
      </c>
      <c r="N47" s="58" t="s">
        <v>72</v>
      </c>
      <c r="O47" s="58" t="s">
        <v>72</v>
      </c>
      <c r="P47" s="58" t="s">
        <v>72</v>
      </c>
      <c r="Q47" s="58" t="s">
        <v>72</v>
      </c>
      <c r="R47" s="58" t="s">
        <v>72</v>
      </c>
      <c r="S47" s="58" t="s">
        <v>72</v>
      </c>
      <c r="T47" s="58" t="s">
        <v>72</v>
      </c>
      <c r="U47" s="58" t="s">
        <v>72</v>
      </c>
      <c r="V47" s="58" t="s">
        <v>72</v>
      </c>
      <c r="W47" s="58" t="s">
        <v>72</v>
      </c>
      <c r="X47" s="58" t="s">
        <v>72</v>
      </c>
      <c r="Y47" s="58" t="s">
        <v>72</v>
      </c>
      <c r="Z47" s="58" t="s">
        <v>72</v>
      </c>
      <c r="AA47" s="58" t="s">
        <v>72</v>
      </c>
      <c r="AB47" s="58" t="s">
        <v>72</v>
      </c>
      <c r="AC47" s="58" t="s">
        <v>72</v>
      </c>
      <c r="AD47" s="58" t="s">
        <v>72</v>
      </c>
      <c r="AE47" s="58" t="s">
        <v>72</v>
      </c>
      <c r="AF47" s="58" t="s">
        <v>72</v>
      </c>
      <c r="AG47" s="58" t="s">
        <v>72</v>
      </c>
      <c r="AH47" s="58" t="s">
        <v>72</v>
      </c>
      <c r="AI47" s="58" t="s">
        <v>72</v>
      </c>
      <c r="AJ47" s="26"/>
      <c r="AL47" t="str">
        <f t="shared" ca="1" si="0"/>
        <v xml:space="preserve">    (U1)ALERT_REQ_S_TMBZR_BC_AD_</v>
      </c>
      <c r="AR47" s="60" t="str">
        <f t="shared" si="5"/>
        <v/>
      </c>
      <c r="AS47" s="60" t="str">
        <f t="shared" si="6"/>
        <v/>
      </c>
      <c r="AT47" s="60" t="str">
        <f t="shared" si="3"/>
        <v/>
      </c>
    </row>
    <row r="48" spans="2:46">
      <c r="B48" s="131"/>
      <c r="C48" s="44">
        <f t="shared" si="4"/>
        <v>42</v>
      </c>
      <c r="D48" s="58" t="s">
        <v>72</v>
      </c>
      <c r="E48" s="58" t="s">
        <v>72</v>
      </c>
      <c r="F48" s="58" t="s">
        <v>72</v>
      </c>
      <c r="G48" s="58" t="s">
        <v>72</v>
      </c>
      <c r="H48" s="58" t="s">
        <v>72</v>
      </c>
      <c r="I48" s="58" t="s">
        <v>72</v>
      </c>
      <c r="J48" s="58" t="s">
        <v>72</v>
      </c>
      <c r="K48" s="58" t="s">
        <v>72</v>
      </c>
      <c r="L48" s="58" t="s">
        <v>72</v>
      </c>
      <c r="M48" s="58" t="s">
        <v>72</v>
      </c>
      <c r="N48" s="58" t="s">
        <v>72</v>
      </c>
      <c r="O48" s="58" t="s">
        <v>72</v>
      </c>
      <c r="P48" s="58" t="s">
        <v>72</v>
      </c>
      <c r="Q48" s="58" t="s">
        <v>72</v>
      </c>
      <c r="R48" s="58" t="s">
        <v>72</v>
      </c>
      <c r="S48" s="58" t="s">
        <v>72</v>
      </c>
      <c r="T48" s="58" t="s">
        <v>72</v>
      </c>
      <c r="U48" s="58" t="s">
        <v>72</v>
      </c>
      <c r="V48" s="58" t="s">
        <v>72</v>
      </c>
      <c r="W48" s="58" t="s">
        <v>72</v>
      </c>
      <c r="X48" s="58" t="s">
        <v>72</v>
      </c>
      <c r="Y48" s="58" t="s">
        <v>72</v>
      </c>
      <c r="Z48" s="58" t="s">
        <v>72</v>
      </c>
      <c r="AA48" s="58" t="s">
        <v>72</v>
      </c>
      <c r="AB48" s="58" t="s">
        <v>72</v>
      </c>
      <c r="AC48" s="58" t="s">
        <v>72</v>
      </c>
      <c r="AD48" s="58" t="s">
        <v>72</v>
      </c>
      <c r="AE48" s="58" t="s">
        <v>72</v>
      </c>
      <c r="AF48" s="58" t="s">
        <v>72</v>
      </c>
      <c r="AG48" s="58" t="s">
        <v>72</v>
      </c>
      <c r="AH48" s="58" t="s">
        <v>72</v>
      </c>
      <c r="AI48" s="58" t="s">
        <v>72</v>
      </c>
      <c r="AJ48" s="26"/>
      <c r="AL48" t="str">
        <f t="shared" ca="1" si="0"/>
        <v xml:space="preserve">    (U1)ALERT_REQ_S_TMBZR_BC_AD_</v>
      </c>
      <c r="AR48" s="60" t="str">
        <f t="shared" si="5"/>
        <v/>
      </c>
      <c r="AS48" s="60" t="str">
        <f t="shared" si="6"/>
        <v/>
      </c>
      <c r="AT48" s="60" t="str">
        <f t="shared" si="3"/>
        <v/>
      </c>
    </row>
    <row r="49" spans="2:46">
      <c r="B49" s="131"/>
      <c r="C49" s="44">
        <f t="shared" si="4"/>
        <v>43</v>
      </c>
      <c r="D49" s="58" t="s">
        <v>72</v>
      </c>
      <c r="E49" s="58" t="s">
        <v>72</v>
      </c>
      <c r="F49" s="58" t="s">
        <v>72</v>
      </c>
      <c r="G49" s="58" t="s">
        <v>72</v>
      </c>
      <c r="H49" s="58" t="s">
        <v>72</v>
      </c>
      <c r="I49" s="58" t="s">
        <v>72</v>
      </c>
      <c r="J49" s="58" t="s">
        <v>72</v>
      </c>
      <c r="K49" s="58" t="s">
        <v>72</v>
      </c>
      <c r="L49" s="58" t="s">
        <v>72</v>
      </c>
      <c r="M49" s="58" t="s">
        <v>72</v>
      </c>
      <c r="N49" s="58" t="s">
        <v>72</v>
      </c>
      <c r="O49" s="58" t="s">
        <v>72</v>
      </c>
      <c r="P49" s="58" t="s">
        <v>72</v>
      </c>
      <c r="Q49" s="58" t="s">
        <v>72</v>
      </c>
      <c r="R49" s="58" t="s">
        <v>72</v>
      </c>
      <c r="S49" s="58" t="s">
        <v>72</v>
      </c>
      <c r="T49" s="58" t="s">
        <v>72</v>
      </c>
      <c r="U49" s="58" t="s">
        <v>72</v>
      </c>
      <c r="V49" s="58" t="s">
        <v>72</v>
      </c>
      <c r="W49" s="58" t="s">
        <v>72</v>
      </c>
      <c r="X49" s="58" t="s">
        <v>72</v>
      </c>
      <c r="Y49" s="58" t="s">
        <v>72</v>
      </c>
      <c r="Z49" s="58" t="s">
        <v>72</v>
      </c>
      <c r="AA49" s="58" t="s">
        <v>72</v>
      </c>
      <c r="AB49" s="58" t="s">
        <v>72</v>
      </c>
      <c r="AC49" s="58" t="s">
        <v>72</v>
      </c>
      <c r="AD49" s="58" t="s">
        <v>72</v>
      </c>
      <c r="AE49" s="58" t="s">
        <v>72</v>
      </c>
      <c r="AF49" s="58" t="s">
        <v>72</v>
      </c>
      <c r="AG49" s="58" t="s">
        <v>72</v>
      </c>
      <c r="AH49" s="58" t="s">
        <v>72</v>
      </c>
      <c r="AI49" s="58" t="s">
        <v>72</v>
      </c>
      <c r="AJ49" s="26"/>
      <c r="AL49" t="str">
        <f t="shared" ca="1" si="0"/>
        <v xml:space="preserve">    (U1)ALERT_REQ_S_TMBZR_BC_AD_</v>
      </c>
      <c r="AR49" s="60" t="str">
        <f t="shared" si="5"/>
        <v/>
      </c>
      <c r="AS49" s="60" t="str">
        <f t="shared" si="6"/>
        <v/>
      </c>
      <c r="AT49" s="60" t="str">
        <f t="shared" si="3"/>
        <v/>
      </c>
    </row>
    <row r="50" spans="2:46">
      <c r="B50" s="131"/>
      <c r="C50" s="44">
        <f t="shared" si="4"/>
        <v>44</v>
      </c>
      <c r="D50" s="58" t="s">
        <v>72</v>
      </c>
      <c r="E50" s="58" t="s">
        <v>72</v>
      </c>
      <c r="F50" s="58" t="s">
        <v>72</v>
      </c>
      <c r="G50" s="58" t="s">
        <v>72</v>
      </c>
      <c r="H50" s="58" t="s">
        <v>72</v>
      </c>
      <c r="I50" s="58" t="s">
        <v>72</v>
      </c>
      <c r="J50" s="58" t="s">
        <v>72</v>
      </c>
      <c r="K50" s="58" t="s">
        <v>72</v>
      </c>
      <c r="L50" s="58" t="s">
        <v>72</v>
      </c>
      <c r="M50" s="58" t="s">
        <v>72</v>
      </c>
      <c r="N50" s="58" t="s">
        <v>72</v>
      </c>
      <c r="O50" s="58" t="s">
        <v>72</v>
      </c>
      <c r="P50" s="58" t="s">
        <v>72</v>
      </c>
      <c r="Q50" s="58" t="s">
        <v>72</v>
      </c>
      <c r="R50" s="58" t="s">
        <v>72</v>
      </c>
      <c r="S50" s="58" t="s">
        <v>72</v>
      </c>
      <c r="T50" s="58" t="s">
        <v>72</v>
      </c>
      <c r="U50" s="58" t="s">
        <v>72</v>
      </c>
      <c r="V50" s="58" t="s">
        <v>72</v>
      </c>
      <c r="W50" s="58" t="s">
        <v>72</v>
      </c>
      <c r="X50" s="58" t="s">
        <v>72</v>
      </c>
      <c r="Y50" s="58" t="s">
        <v>72</v>
      </c>
      <c r="Z50" s="58" t="s">
        <v>72</v>
      </c>
      <c r="AA50" s="58" t="s">
        <v>72</v>
      </c>
      <c r="AB50" s="58" t="s">
        <v>72</v>
      </c>
      <c r="AC50" s="58" t="s">
        <v>72</v>
      </c>
      <c r="AD50" s="58" t="s">
        <v>72</v>
      </c>
      <c r="AE50" s="58" t="s">
        <v>72</v>
      </c>
      <c r="AF50" s="58" t="s">
        <v>72</v>
      </c>
      <c r="AG50" s="58" t="s">
        <v>72</v>
      </c>
      <c r="AH50" s="58" t="s">
        <v>72</v>
      </c>
      <c r="AI50" s="58" t="s">
        <v>72</v>
      </c>
      <c r="AJ50" s="26"/>
      <c r="AL50" t="str">
        <f t="shared" ca="1" si="0"/>
        <v xml:space="preserve">    (U1)ALERT_REQ_S_TMBZR_BC_AD_</v>
      </c>
      <c r="AR50" s="60" t="str">
        <f t="shared" si="5"/>
        <v/>
      </c>
      <c r="AS50" s="60" t="str">
        <f t="shared" si="6"/>
        <v/>
      </c>
      <c r="AT50" s="60" t="str">
        <f t="shared" si="3"/>
        <v/>
      </c>
    </row>
    <row r="51" spans="2:46">
      <c r="B51" s="131"/>
      <c r="C51" s="44">
        <f t="shared" si="4"/>
        <v>45</v>
      </c>
      <c r="D51" s="58" t="s">
        <v>72</v>
      </c>
      <c r="E51" s="58" t="s">
        <v>72</v>
      </c>
      <c r="F51" s="58" t="s">
        <v>72</v>
      </c>
      <c r="G51" s="58" t="s">
        <v>72</v>
      </c>
      <c r="H51" s="58" t="s">
        <v>72</v>
      </c>
      <c r="I51" s="58" t="s">
        <v>72</v>
      </c>
      <c r="J51" s="58" t="s">
        <v>72</v>
      </c>
      <c r="K51" s="58" t="s">
        <v>72</v>
      </c>
      <c r="L51" s="58" t="s">
        <v>72</v>
      </c>
      <c r="M51" s="58" t="s">
        <v>72</v>
      </c>
      <c r="N51" s="58" t="s">
        <v>72</v>
      </c>
      <c r="O51" s="58" t="s">
        <v>72</v>
      </c>
      <c r="P51" s="58" t="s">
        <v>72</v>
      </c>
      <c r="Q51" s="58" t="s">
        <v>72</v>
      </c>
      <c r="R51" s="58" t="s">
        <v>72</v>
      </c>
      <c r="S51" s="58" t="s">
        <v>72</v>
      </c>
      <c r="T51" s="58" t="s">
        <v>72</v>
      </c>
      <c r="U51" s="58" t="s">
        <v>72</v>
      </c>
      <c r="V51" s="58" t="s">
        <v>72</v>
      </c>
      <c r="W51" s="58" t="s">
        <v>72</v>
      </c>
      <c r="X51" s="58" t="s">
        <v>72</v>
      </c>
      <c r="Y51" s="58" t="s">
        <v>72</v>
      </c>
      <c r="Z51" s="58" t="s">
        <v>72</v>
      </c>
      <c r="AA51" s="58" t="s">
        <v>72</v>
      </c>
      <c r="AB51" s="58" t="s">
        <v>72</v>
      </c>
      <c r="AC51" s="58" t="s">
        <v>72</v>
      </c>
      <c r="AD51" s="58" t="s">
        <v>72</v>
      </c>
      <c r="AE51" s="58" t="s">
        <v>72</v>
      </c>
      <c r="AF51" s="58" t="s">
        <v>72</v>
      </c>
      <c r="AG51" s="58" t="s">
        <v>72</v>
      </c>
      <c r="AH51" s="58" t="s">
        <v>72</v>
      </c>
      <c r="AI51" s="58" t="s">
        <v>72</v>
      </c>
      <c r="AJ51" s="26"/>
      <c r="AL51" t="str">
        <f t="shared" ca="1" si="0"/>
        <v xml:space="preserve">    (U1)ALERT_REQ_S_TMBZR_BC_AD_</v>
      </c>
      <c r="AR51" s="60" t="str">
        <f t="shared" si="5"/>
        <v/>
      </c>
      <c r="AS51" s="60" t="str">
        <f t="shared" si="6"/>
        <v/>
      </c>
      <c r="AT51" s="60" t="str">
        <f t="shared" si="3"/>
        <v/>
      </c>
    </row>
    <row r="52" spans="2:46">
      <c r="B52" s="131"/>
      <c r="C52" s="44">
        <f t="shared" si="4"/>
        <v>46</v>
      </c>
      <c r="D52" s="58" t="s">
        <v>72</v>
      </c>
      <c r="E52" s="58" t="s">
        <v>72</v>
      </c>
      <c r="F52" s="58" t="s">
        <v>72</v>
      </c>
      <c r="G52" s="58" t="s">
        <v>72</v>
      </c>
      <c r="H52" s="58" t="s">
        <v>72</v>
      </c>
      <c r="I52" s="58" t="s">
        <v>72</v>
      </c>
      <c r="J52" s="58" t="s">
        <v>72</v>
      </c>
      <c r="K52" s="58" t="s">
        <v>72</v>
      </c>
      <c r="L52" s="58" t="s">
        <v>72</v>
      </c>
      <c r="M52" s="58" t="s">
        <v>72</v>
      </c>
      <c r="N52" s="58" t="s">
        <v>72</v>
      </c>
      <c r="O52" s="58" t="s">
        <v>72</v>
      </c>
      <c r="P52" s="58" t="s">
        <v>72</v>
      </c>
      <c r="Q52" s="58" t="s">
        <v>72</v>
      </c>
      <c r="R52" s="58" t="s">
        <v>72</v>
      </c>
      <c r="S52" s="58" t="s">
        <v>72</v>
      </c>
      <c r="T52" s="58" t="s">
        <v>72</v>
      </c>
      <c r="U52" s="58" t="s">
        <v>72</v>
      </c>
      <c r="V52" s="58" t="s">
        <v>72</v>
      </c>
      <c r="W52" s="58" t="s">
        <v>72</v>
      </c>
      <c r="X52" s="58" t="s">
        <v>72</v>
      </c>
      <c r="Y52" s="58" t="s">
        <v>72</v>
      </c>
      <c r="Z52" s="58" t="s">
        <v>72</v>
      </c>
      <c r="AA52" s="58" t="s">
        <v>72</v>
      </c>
      <c r="AB52" s="58" t="s">
        <v>72</v>
      </c>
      <c r="AC52" s="58" t="s">
        <v>72</v>
      </c>
      <c r="AD52" s="58" t="s">
        <v>72</v>
      </c>
      <c r="AE52" s="58" t="s">
        <v>72</v>
      </c>
      <c r="AF52" s="58" t="s">
        <v>72</v>
      </c>
      <c r="AG52" s="58" t="s">
        <v>72</v>
      </c>
      <c r="AH52" s="58" t="s">
        <v>72</v>
      </c>
      <c r="AI52" s="58" t="s">
        <v>72</v>
      </c>
      <c r="AJ52" s="26"/>
      <c r="AL52" t="str">
        <f t="shared" ca="1" si="0"/>
        <v xml:space="preserve">    (U1)ALERT_REQ_S_TMBZR_BC_AD_</v>
      </c>
      <c r="AR52" s="60" t="str">
        <f t="shared" si="5"/>
        <v/>
      </c>
      <c r="AS52" s="60" t="str">
        <f t="shared" si="6"/>
        <v/>
      </c>
      <c r="AT52" s="60" t="str">
        <f t="shared" si="3"/>
        <v/>
      </c>
    </row>
    <row r="53" spans="2:46">
      <c r="B53" s="131"/>
      <c r="C53" s="44">
        <f t="shared" si="4"/>
        <v>47</v>
      </c>
      <c r="D53" s="58" t="s">
        <v>72</v>
      </c>
      <c r="E53" s="58" t="s">
        <v>72</v>
      </c>
      <c r="F53" s="58" t="s">
        <v>72</v>
      </c>
      <c r="G53" s="58" t="s">
        <v>72</v>
      </c>
      <c r="H53" s="58" t="s">
        <v>72</v>
      </c>
      <c r="I53" s="58" t="s">
        <v>72</v>
      </c>
      <c r="J53" s="58" t="s">
        <v>72</v>
      </c>
      <c r="K53" s="58" t="s">
        <v>72</v>
      </c>
      <c r="L53" s="58" t="s">
        <v>72</v>
      </c>
      <c r="M53" s="58" t="s">
        <v>72</v>
      </c>
      <c r="N53" s="58" t="s">
        <v>72</v>
      </c>
      <c r="O53" s="58" t="s">
        <v>72</v>
      </c>
      <c r="P53" s="58" t="s">
        <v>72</v>
      </c>
      <c r="Q53" s="58" t="s">
        <v>72</v>
      </c>
      <c r="R53" s="58" t="s">
        <v>72</v>
      </c>
      <c r="S53" s="58" t="s">
        <v>72</v>
      </c>
      <c r="T53" s="58" t="s">
        <v>72</v>
      </c>
      <c r="U53" s="58" t="s">
        <v>72</v>
      </c>
      <c r="V53" s="58" t="s">
        <v>72</v>
      </c>
      <c r="W53" s="58" t="s">
        <v>72</v>
      </c>
      <c r="X53" s="58" t="s">
        <v>72</v>
      </c>
      <c r="Y53" s="58" t="s">
        <v>72</v>
      </c>
      <c r="Z53" s="58" t="s">
        <v>72</v>
      </c>
      <c r="AA53" s="58" t="s">
        <v>72</v>
      </c>
      <c r="AB53" s="58" t="s">
        <v>72</v>
      </c>
      <c r="AC53" s="58" t="s">
        <v>72</v>
      </c>
      <c r="AD53" s="58" t="s">
        <v>72</v>
      </c>
      <c r="AE53" s="58" t="s">
        <v>72</v>
      </c>
      <c r="AF53" s="58" t="s">
        <v>72</v>
      </c>
      <c r="AG53" s="58" t="s">
        <v>72</v>
      </c>
      <c r="AH53" s="58" t="s">
        <v>72</v>
      </c>
      <c r="AI53" s="58" t="s">
        <v>72</v>
      </c>
      <c r="AJ53" s="26"/>
      <c r="AL53" t="str">
        <f t="shared" ca="1" si="0"/>
        <v xml:space="preserve">    (U1)ALERT_REQ_S_TMBZR_BC_AD_</v>
      </c>
      <c r="AR53" s="60" t="str">
        <f t="shared" si="5"/>
        <v/>
      </c>
      <c r="AS53" s="60" t="str">
        <f t="shared" si="6"/>
        <v/>
      </c>
      <c r="AT53" s="60" t="str">
        <f t="shared" si="3"/>
        <v/>
      </c>
    </row>
    <row r="54" spans="2:46">
      <c r="B54" s="131"/>
      <c r="C54" s="44">
        <f t="shared" si="4"/>
        <v>48</v>
      </c>
      <c r="D54" s="58" t="s">
        <v>72</v>
      </c>
      <c r="E54" s="58" t="s">
        <v>72</v>
      </c>
      <c r="F54" s="58" t="s">
        <v>72</v>
      </c>
      <c r="G54" s="58" t="s">
        <v>72</v>
      </c>
      <c r="H54" s="58" t="s">
        <v>72</v>
      </c>
      <c r="I54" s="58" t="s">
        <v>72</v>
      </c>
      <c r="J54" s="58" t="s">
        <v>72</v>
      </c>
      <c r="K54" s="58" t="s">
        <v>72</v>
      </c>
      <c r="L54" s="58" t="s">
        <v>72</v>
      </c>
      <c r="M54" s="58" t="s">
        <v>72</v>
      </c>
      <c r="N54" s="58" t="s">
        <v>72</v>
      </c>
      <c r="O54" s="58" t="s">
        <v>72</v>
      </c>
      <c r="P54" s="58" t="s">
        <v>72</v>
      </c>
      <c r="Q54" s="58" t="s">
        <v>72</v>
      </c>
      <c r="R54" s="58" t="s">
        <v>72</v>
      </c>
      <c r="S54" s="58" t="s">
        <v>72</v>
      </c>
      <c r="T54" s="58" t="s">
        <v>72</v>
      </c>
      <c r="U54" s="58" t="s">
        <v>72</v>
      </c>
      <c r="V54" s="58" t="s">
        <v>72</v>
      </c>
      <c r="W54" s="58" t="s">
        <v>72</v>
      </c>
      <c r="X54" s="58" t="s">
        <v>72</v>
      </c>
      <c r="Y54" s="58" t="s">
        <v>72</v>
      </c>
      <c r="Z54" s="58" t="s">
        <v>72</v>
      </c>
      <c r="AA54" s="58" t="s">
        <v>72</v>
      </c>
      <c r="AB54" s="58" t="s">
        <v>72</v>
      </c>
      <c r="AC54" s="58" t="s">
        <v>72</v>
      </c>
      <c r="AD54" s="58" t="s">
        <v>72</v>
      </c>
      <c r="AE54" s="58" t="s">
        <v>72</v>
      </c>
      <c r="AF54" s="58" t="s">
        <v>72</v>
      </c>
      <c r="AG54" s="58" t="s">
        <v>72</v>
      </c>
      <c r="AH54" s="58" t="s">
        <v>72</v>
      </c>
      <c r="AI54" s="58" t="s">
        <v>72</v>
      </c>
      <c r="AJ54" s="26"/>
      <c r="AL54" t="str">
        <f t="shared" ca="1" si="0"/>
        <v xml:space="preserve">    (U1)ALERT_REQ_S_TMBZR_BC_AD_</v>
      </c>
      <c r="AR54" s="60" t="str">
        <f t="shared" si="5"/>
        <v/>
      </c>
      <c r="AS54" s="60" t="str">
        <f t="shared" si="6"/>
        <v/>
      </c>
      <c r="AT54" s="60" t="str">
        <f t="shared" si="3"/>
        <v/>
      </c>
    </row>
    <row r="55" spans="2:46">
      <c r="B55" s="131"/>
      <c r="C55" s="44">
        <f t="shared" si="4"/>
        <v>49</v>
      </c>
      <c r="D55" s="58" t="s">
        <v>72</v>
      </c>
      <c r="E55" s="58" t="s">
        <v>72</v>
      </c>
      <c r="F55" s="58" t="s">
        <v>72</v>
      </c>
      <c r="G55" s="58" t="s">
        <v>72</v>
      </c>
      <c r="H55" s="58" t="s">
        <v>72</v>
      </c>
      <c r="I55" s="58" t="s">
        <v>72</v>
      </c>
      <c r="J55" s="58" t="s">
        <v>72</v>
      </c>
      <c r="K55" s="58" t="s">
        <v>72</v>
      </c>
      <c r="L55" s="58" t="s">
        <v>72</v>
      </c>
      <c r="M55" s="58" t="s">
        <v>72</v>
      </c>
      <c r="N55" s="58" t="s">
        <v>72</v>
      </c>
      <c r="O55" s="58" t="s">
        <v>72</v>
      </c>
      <c r="P55" s="58" t="s">
        <v>72</v>
      </c>
      <c r="Q55" s="58" t="s">
        <v>72</v>
      </c>
      <c r="R55" s="58" t="s">
        <v>72</v>
      </c>
      <c r="S55" s="58" t="s">
        <v>72</v>
      </c>
      <c r="T55" s="58" t="s">
        <v>72</v>
      </c>
      <c r="U55" s="58" t="s">
        <v>72</v>
      </c>
      <c r="V55" s="58" t="s">
        <v>72</v>
      </c>
      <c r="W55" s="58" t="s">
        <v>72</v>
      </c>
      <c r="X55" s="58" t="s">
        <v>72</v>
      </c>
      <c r="Y55" s="58" t="s">
        <v>72</v>
      </c>
      <c r="Z55" s="58" t="s">
        <v>72</v>
      </c>
      <c r="AA55" s="58" t="s">
        <v>72</v>
      </c>
      <c r="AB55" s="58" t="s">
        <v>72</v>
      </c>
      <c r="AC55" s="58" t="s">
        <v>72</v>
      </c>
      <c r="AD55" s="58" t="s">
        <v>72</v>
      </c>
      <c r="AE55" s="58" t="s">
        <v>72</v>
      </c>
      <c r="AF55" s="58" t="s">
        <v>72</v>
      </c>
      <c r="AG55" s="58" t="s">
        <v>72</v>
      </c>
      <c r="AH55" s="58" t="s">
        <v>72</v>
      </c>
      <c r="AI55" s="58" t="s">
        <v>72</v>
      </c>
      <c r="AJ55" s="26"/>
      <c r="AL55" t="str">
        <f t="shared" ca="1" si="0"/>
        <v xml:space="preserve">    (U1)ALERT_REQ_S_TMBZR_BC_AD_</v>
      </c>
      <c r="AR55" s="60" t="str">
        <f t="shared" si="5"/>
        <v/>
      </c>
      <c r="AS55" s="60" t="str">
        <f t="shared" si="6"/>
        <v/>
      </c>
      <c r="AT55" s="60" t="str">
        <f t="shared" si="3"/>
        <v/>
      </c>
    </row>
    <row r="56" spans="2:46">
      <c r="B56" s="131"/>
      <c r="C56" s="44">
        <f t="shared" si="4"/>
        <v>50</v>
      </c>
      <c r="D56" s="58" t="s">
        <v>72</v>
      </c>
      <c r="E56" s="58" t="s">
        <v>72</v>
      </c>
      <c r="F56" s="58" t="s">
        <v>72</v>
      </c>
      <c r="G56" s="58" t="s">
        <v>72</v>
      </c>
      <c r="H56" s="58" t="s">
        <v>72</v>
      </c>
      <c r="I56" s="58" t="s">
        <v>72</v>
      </c>
      <c r="J56" s="58" t="s">
        <v>72</v>
      </c>
      <c r="K56" s="58" t="s">
        <v>72</v>
      </c>
      <c r="L56" s="58" t="s">
        <v>72</v>
      </c>
      <c r="M56" s="58" t="s">
        <v>72</v>
      </c>
      <c r="N56" s="58" t="s">
        <v>72</v>
      </c>
      <c r="O56" s="58" t="s">
        <v>72</v>
      </c>
      <c r="P56" s="58" t="s">
        <v>72</v>
      </c>
      <c r="Q56" s="58" t="s">
        <v>72</v>
      </c>
      <c r="R56" s="58" t="s">
        <v>72</v>
      </c>
      <c r="S56" s="58" t="s">
        <v>72</v>
      </c>
      <c r="T56" s="58" t="s">
        <v>72</v>
      </c>
      <c r="U56" s="58" t="s">
        <v>72</v>
      </c>
      <c r="V56" s="58" t="s">
        <v>72</v>
      </c>
      <c r="W56" s="58" t="s">
        <v>72</v>
      </c>
      <c r="X56" s="58" t="s">
        <v>72</v>
      </c>
      <c r="Y56" s="58" t="s">
        <v>72</v>
      </c>
      <c r="Z56" s="58" t="s">
        <v>72</v>
      </c>
      <c r="AA56" s="58" t="s">
        <v>72</v>
      </c>
      <c r="AB56" s="58" t="s">
        <v>72</v>
      </c>
      <c r="AC56" s="58" t="s">
        <v>72</v>
      </c>
      <c r="AD56" s="58" t="s">
        <v>72</v>
      </c>
      <c r="AE56" s="58" t="s">
        <v>72</v>
      </c>
      <c r="AF56" s="58" t="s">
        <v>72</v>
      </c>
      <c r="AG56" s="58" t="s">
        <v>72</v>
      </c>
      <c r="AH56" s="58" t="s">
        <v>72</v>
      </c>
      <c r="AI56" s="58" t="s">
        <v>72</v>
      </c>
      <c r="AJ56" s="26"/>
      <c r="AL56" t="str">
        <f t="shared" ca="1" si="0"/>
        <v xml:space="preserve">    (U1)ALERT_REQ_S_TMBZR_BC_AD_</v>
      </c>
      <c r="AR56" s="60" t="str">
        <f t="shared" si="5"/>
        <v/>
      </c>
      <c r="AS56" s="60" t="str">
        <f t="shared" si="6"/>
        <v/>
      </c>
      <c r="AT56" s="60" t="str">
        <f t="shared" si="3"/>
        <v/>
      </c>
    </row>
    <row r="57" spans="2:46">
      <c r="B57" s="131"/>
      <c r="C57" s="44">
        <f t="shared" si="4"/>
        <v>51</v>
      </c>
      <c r="D57" s="58" t="s">
        <v>72</v>
      </c>
      <c r="E57" s="58" t="s">
        <v>72</v>
      </c>
      <c r="F57" s="58" t="s">
        <v>72</v>
      </c>
      <c r="G57" s="58" t="s">
        <v>72</v>
      </c>
      <c r="H57" s="58" t="s">
        <v>72</v>
      </c>
      <c r="I57" s="58" t="s">
        <v>72</v>
      </c>
      <c r="J57" s="58" t="s">
        <v>72</v>
      </c>
      <c r="K57" s="58" t="s">
        <v>72</v>
      </c>
      <c r="L57" s="58" t="s">
        <v>72</v>
      </c>
      <c r="M57" s="58" t="s">
        <v>72</v>
      </c>
      <c r="N57" s="58" t="s">
        <v>72</v>
      </c>
      <c r="O57" s="58" t="s">
        <v>72</v>
      </c>
      <c r="P57" s="58" t="s">
        <v>72</v>
      </c>
      <c r="Q57" s="58" t="s">
        <v>72</v>
      </c>
      <c r="R57" s="58" t="s">
        <v>72</v>
      </c>
      <c r="S57" s="58" t="s">
        <v>72</v>
      </c>
      <c r="T57" s="58" t="s">
        <v>72</v>
      </c>
      <c r="U57" s="58" t="s">
        <v>72</v>
      </c>
      <c r="V57" s="58" t="s">
        <v>72</v>
      </c>
      <c r="W57" s="58" t="s">
        <v>72</v>
      </c>
      <c r="X57" s="58" t="s">
        <v>72</v>
      </c>
      <c r="Y57" s="58" t="s">
        <v>72</v>
      </c>
      <c r="Z57" s="58" t="s">
        <v>72</v>
      </c>
      <c r="AA57" s="58" t="s">
        <v>72</v>
      </c>
      <c r="AB57" s="58" t="s">
        <v>72</v>
      </c>
      <c r="AC57" s="58" t="s">
        <v>72</v>
      </c>
      <c r="AD57" s="58" t="s">
        <v>72</v>
      </c>
      <c r="AE57" s="58" t="s">
        <v>72</v>
      </c>
      <c r="AF57" s="58" t="s">
        <v>72</v>
      </c>
      <c r="AG57" s="58" t="s">
        <v>72</v>
      </c>
      <c r="AH57" s="58" t="s">
        <v>72</v>
      </c>
      <c r="AI57" s="58" t="s">
        <v>72</v>
      </c>
      <c r="AJ57" s="26"/>
      <c r="AL57" t="str">
        <f t="shared" ca="1" si="0"/>
        <v xml:space="preserve">    (U1)ALERT_REQ_S_TMBZR_BC_AD_</v>
      </c>
      <c r="AR57" s="60" t="str">
        <f t="shared" si="5"/>
        <v/>
      </c>
      <c r="AS57" s="60" t="str">
        <f t="shared" si="6"/>
        <v/>
      </c>
      <c r="AT57" s="60" t="str">
        <f t="shared" si="3"/>
        <v/>
      </c>
    </row>
    <row r="58" spans="2:46">
      <c r="B58" s="131"/>
      <c r="C58" s="44">
        <f t="shared" si="4"/>
        <v>52</v>
      </c>
      <c r="D58" s="58" t="s">
        <v>72</v>
      </c>
      <c r="E58" s="58" t="s">
        <v>72</v>
      </c>
      <c r="F58" s="58" t="s">
        <v>72</v>
      </c>
      <c r="G58" s="58" t="s">
        <v>72</v>
      </c>
      <c r="H58" s="58" t="s">
        <v>72</v>
      </c>
      <c r="I58" s="58" t="s">
        <v>72</v>
      </c>
      <c r="J58" s="58" t="s">
        <v>72</v>
      </c>
      <c r="K58" s="58" t="s">
        <v>72</v>
      </c>
      <c r="L58" s="58" t="s">
        <v>72</v>
      </c>
      <c r="M58" s="58" t="s">
        <v>72</v>
      </c>
      <c r="N58" s="58" t="s">
        <v>72</v>
      </c>
      <c r="O58" s="58" t="s">
        <v>72</v>
      </c>
      <c r="P58" s="58" t="s">
        <v>72</v>
      </c>
      <c r="Q58" s="58" t="s">
        <v>72</v>
      </c>
      <c r="R58" s="58" t="s">
        <v>72</v>
      </c>
      <c r="S58" s="58" t="s">
        <v>72</v>
      </c>
      <c r="T58" s="58" t="s">
        <v>72</v>
      </c>
      <c r="U58" s="58" t="s">
        <v>72</v>
      </c>
      <c r="V58" s="58" t="s">
        <v>72</v>
      </c>
      <c r="W58" s="58" t="s">
        <v>72</v>
      </c>
      <c r="X58" s="58" t="s">
        <v>72</v>
      </c>
      <c r="Y58" s="58" t="s">
        <v>72</v>
      </c>
      <c r="Z58" s="58" t="s">
        <v>72</v>
      </c>
      <c r="AA58" s="58" t="s">
        <v>72</v>
      </c>
      <c r="AB58" s="58" t="s">
        <v>72</v>
      </c>
      <c r="AC58" s="58" t="s">
        <v>72</v>
      </c>
      <c r="AD58" s="58" t="s">
        <v>72</v>
      </c>
      <c r="AE58" s="58" t="s">
        <v>72</v>
      </c>
      <c r="AF58" s="58" t="s">
        <v>72</v>
      </c>
      <c r="AG58" s="58" t="s">
        <v>72</v>
      </c>
      <c r="AH58" s="58" t="s">
        <v>72</v>
      </c>
      <c r="AI58" s="58" t="s">
        <v>72</v>
      </c>
      <c r="AJ58" s="26"/>
      <c r="AL58" t="str">
        <f t="shared" ca="1" si="0"/>
        <v xml:space="preserve">    (U1)ALERT_REQ_S_TMBZR_BC_AD_</v>
      </c>
      <c r="AR58" s="60" t="str">
        <f t="shared" si="5"/>
        <v/>
      </c>
      <c r="AS58" s="60" t="str">
        <f t="shared" si="6"/>
        <v/>
      </c>
      <c r="AT58" s="60" t="str">
        <f t="shared" si="3"/>
        <v/>
      </c>
    </row>
    <row r="59" spans="2:46">
      <c r="B59" s="131"/>
      <c r="C59" s="44">
        <f t="shared" si="4"/>
        <v>53</v>
      </c>
      <c r="D59" s="58" t="s">
        <v>72</v>
      </c>
      <c r="E59" s="58" t="s">
        <v>72</v>
      </c>
      <c r="F59" s="58" t="s">
        <v>72</v>
      </c>
      <c r="G59" s="58" t="s">
        <v>72</v>
      </c>
      <c r="H59" s="58" t="s">
        <v>72</v>
      </c>
      <c r="I59" s="58" t="s">
        <v>72</v>
      </c>
      <c r="J59" s="58" t="s">
        <v>72</v>
      </c>
      <c r="K59" s="58" t="s">
        <v>72</v>
      </c>
      <c r="L59" s="58" t="s">
        <v>72</v>
      </c>
      <c r="M59" s="58" t="s">
        <v>72</v>
      </c>
      <c r="N59" s="58" t="s">
        <v>72</v>
      </c>
      <c r="O59" s="58" t="s">
        <v>72</v>
      </c>
      <c r="P59" s="58" t="s">
        <v>72</v>
      </c>
      <c r="Q59" s="58" t="s">
        <v>72</v>
      </c>
      <c r="R59" s="58" t="s">
        <v>72</v>
      </c>
      <c r="S59" s="58" t="s">
        <v>72</v>
      </c>
      <c r="T59" s="58" t="s">
        <v>72</v>
      </c>
      <c r="U59" s="58" t="s">
        <v>72</v>
      </c>
      <c r="V59" s="58" t="s">
        <v>72</v>
      </c>
      <c r="W59" s="58" t="s">
        <v>72</v>
      </c>
      <c r="X59" s="58" t="s">
        <v>72</v>
      </c>
      <c r="Y59" s="58" t="s">
        <v>72</v>
      </c>
      <c r="Z59" s="58" t="s">
        <v>72</v>
      </c>
      <c r="AA59" s="58" t="s">
        <v>72</v>
      </c>
      <c r="AB59" s="58" t="s">
        <v>72</v>
      </c>
      <c r="AC59" s="58" t="s">
        <v>72</v>
      </c>
      <c r="AD59" s="58" t="s">
        <v>72</v>
      </c>
      <c r="AE59" s="58" t="s">
        <v>72</v>
      </c>
      <c r="AF59" s="58" t="s">
        <v>72</v>
      </c>
      <c r="AG59" s="58" t="s">
        <v>72</v>
      </c>
      <c r="AH59" s="58" t="s">
        <v>72</v>
      </c>
      <c r="AI59" s="58" t="s">
        <v>72</v>
      </c>
      <c r="AJ59" s="26"/>
      <c r="AL59" t="str">
        <f t="shared" ca="1" si="0"/>
        <v xml:space="preserve">    (U1)ALERT_REQ_S_TMBZR_BC_AD_</v>
      </c>
      <c r="AR59" s="60" t="str">
        <f t="shared" si="5"/>
        <v/>
      </c>
      <c r="AS59" s="60" t="str">
        <f t="shared" si="6"/>
        <v/>
      </c>
      <c r="AT59" s="60" t="str">
        <f t="shared" si="3"/>
        <v/>
      </c>
    </row>
    <row r="60" spans="2:46">
      <c r="B60" s="131"/>
      <c r="C60" s="44">
        <f t="shared" si="4"/>
        <v>54</v>
      </c>
      <c r="D60" s="58" t="s">
        <v>72</v>
      </c>
      <c r="E60" s="58" t="s">
        <v>72</v>
      </c>
      <c r="F60" s="58" t="s">
        <v>72</v>
      </c>
      <c r="G60" s="58" t="s">
        <v>72</v>
      </c>
      <c r="H60" s="58" t="s">
        <v>72</v>
      </c>
      <c r="I60" s="58" t="s">
        <v>72</v>
      </c>
      <c r="J60" s="58" t="s">
        <v>72</v>
      </c>
      <c r="K60" s="58" t="s">
        <v>72</v>
      </c>
      <c r="L60" s="58" t="s">
        <v>72</v>
      </c>
      <c r="M60" s="58" t="s">
        <v>72</v>
      </c>
      <c r="N60" s="58" t="s">
        <v>72</v>
      </c>
      <c r="O60" s="58" t="s">
        <v>72</v>
      </c>
      <c r="P60" s="58" t="s">
        <v>72</v>
      </c>
      <c r="Q60" s="58" t="s">
        <v>72</v>
      </c>
      <c r="R60" s="58" t="s">
        <v>72</v>
      </c>
      <c r="S60" s="58" t="s">
        <v>72</v>
      </c>
      <c r="T60" s="58" t="s">
        <v>72</v>
      </c>
      <c r="U60" s="58" t="s">
        <v>72</v>
      </c>
      <c r="V60" s="58" t="s">
        <v>72</v>
      </c>
      <c r="W60" s="58" t="s">
        <v>72</v>
      </c>
      <c r="X60" s="58" t="s">
        <v>72</v>
      </c>
      <c r="Y60" s="58" t="s">
        <v>72</v>
      </c>
      <c r="Z60" s="58" t="s">
        <v>72</v>
      </c>
      <c r="AA60" s="58" t="s">
        <v>72</v>
      </c>
      <c r="AB60" s="58" t="s">
        <v>72</v>
      </c>
      <c r="AC60" s="58" t="s">
        <v>72</v>
      </c>
      <c r="AD60" s="58" t="s">
        <v>72</v>
      </c>
      <c r="AE60" s="58" t="s">
        <v>72</v>
      </c>
      <c r="AF60" s="58" t="s">
        <v>72</v>
      </c>
      <c r="AG60" s="58" t="s">
        <v>72</v>
      </c>
      <c r="AH60" s="58" t="s">
        <v>72</v>
      </c>
      <c r="AI60" s="58" t="s">
        <v>72</v>
      </c>
      <c r="AJ60" s="26"/>
      <c r="AL60" t="str">
        <f t="shared" ca="1" si="0"/>
        <v xml:space="preserve">    (U1)ALERT_REQ_S_TMBZR_BC_AD_</v>
      </c>
      <c r="AR60" s="60" t="str">
        <f t="shared" si="5"/>
        <v/>
      </c>
      <c r="AS60" s="60" t="str">
        <f t="shared" si="6"/>
        <v/>
      </c>
      <c r="AT60" s="60" t="str">
        <f t="shared" si="3"/>
        <v/>
      </c>
    </row>
    <row r="61" spans="2:46">
      <c r="B61" s="131"/>
      <c r="C61" s="44">
        <f t="shared" si="4"/>
        <v>55</v>
      </c>
      <c r="D61" s="58" t="s">
        <v>72</v>
      </c>
      <c r="E61" s="58" t="s">
        <v>72</v>
      </c>
      <c r="F61" s="58" t="s">
        <v>72</v>
      </c>
      <c r="G61" s="58" t="s">
        <v>72</v>
      </c>
      <c r="H61" s="58" t="s">
        <v>72</v>
      </c>
      <c r="I61" s="58" t="s">
        <v>72</v>
      </c>
      <c r="J61" s="58" t="s">
        <v>72</v>
      </c>
      <c r="K61" s="58" t="s">
        <v>72</v>
      </c>
      <c r="L61" s="58" t="s">
        <v>72</v>
      </c>
      <c r="M61" s="58" t="s">
        <v>72</v>
      </c>
      <c r="N61" s="58" t="s">
        <v>72</v>
      </c>
      <c r="O61" s="58" t="s">
        <v>72</v>
      </c>
      <c r="P61" s="58" t="s">
        <v>72</v>
      </c>
      <c r="Q61" s="58" t="s">
        <v>72</v>
      </c>
      <c r="R61" s="58" t="s">
        <v>72</v>
      </c>
      <c r="S61" s="58" t="s">
        <v>72</v>
      </c>
      <c r="T61" s="58" t="s">
        <v>72</v>
      </c>
      <c r="U61" s="58" t="s">
        <v>72</v>
      </c>
      <c r="V61" s="58" t="s">
        <v>72</v>
      </c>
      <c r="W61" s="58" t="s">
        <v>72</v>
      </c>
      <c r="X61" s="58" t="s">
        <v>72</v>
      </c>
      <c r="Y61" s="58" t="s">
        <v>72</v>
      </c>
      <c r="Z61" s="58" t="s">
        <v>72</v>
      </c>
      <c r="AA61" s="58" t="s">
        <v>72</v>
      </c>
      <c r="AB61" s="58" t="s">
        <v>72</v>
      </c>
      <c r="AC61" s="58" t="s">
        <v>72</v>
      </c>
      <c r="AD61" s="58" t="s">
        <v>72</v>
      </c>
      <c r="AE61" s="58" t="s">
        <v>72</v>
      </c>
      <c r="AF61" s="58" t="s">
        <v>72</v>
      </c>
      <c r="AG61" s="58" t="s">
        <v>72</v>
      </c>
      <c r="AH61" s="58" t="s">
        <v>72</v>
      </c>
      <c r="AI61" s="58" t="s">
        <v>72</v>
      </c>
      <c r="AJ61" s="26"/>
      <c r="AL61" t="str">
        <f t="shared" ca="1" si="0"/>
        <v xml:space="preserve">    (U1)ALERT_REQ_S_TMBZR_BC_AD_</v>
      </c>
      <c r="AR61" s="60" t="str">
        <f t="shared" si="5"/>
        <v/>
      </c>
      <c r="AS61" s="60" t="str">
        <f t="shared" si="6"/>
        <v/>
      </c>
      <c r="AT61" s="60" t="str">
        <f t="shared" si="3"/>
        <v/>
      </c>
    </row>
    <row r="62" spans="2:46">
      <c r="B62" s="131"/>
      <c r="C62" s="44">
        <f t="shared" si="4"/>
        <v>56</v>
      </c>
      <c r="D62" s="58" t="s">
        <v>72</v>
      </c>
      <c r="E62" s="58" t="s">
        <v>72</v>
      </c>
      <c r="F62" s="58" t="s">
        <v>72</v>
      </c>
      <c r="G62" s="58" t="s">
        <v>72</v>
      </c>
      <c r="H62" s="58" t="s">
        <v>72</v>
      </c>
      <c r="I62" s="58" t="s">
        <v>72</v>
      </c>
      <c r="J62" s="58" t="s">
        <v>72</v>
      </c>
      <c r="K62" s="58" t="s">
        <v>72</v>
      </c>
      <c r="L62" s="58" t="s">
        <v>72</v>
      </c>
      <c r="M62" s="58" t="s">
        <v>72</v>
      </c>
      <c r="N62" s="58" t="s">
        <v>72</v>
      </c>
      <c r="O62" s="58" t="s">
        <v>72</v>
      </c>
      <c r="P62" s="58" t="s">
        <v>72</v>
      </c>
      <c r="Q62" s="58" t="s">
        <v>72</v>
      </c>
      <c r="R62" s="58" t="s">
        <v>72</v>
      </c>
      <c r="S62" s="58" t="s">
        <v>72</v>
      </c>
      <c r="T62" s="58" t="s">
        <v>72</v>
      </c>
      <c r="U62" s="58" t="s">
        <v>72</v>
      </c>
      <c r="V62" s="58" t="s">
        <v>72</v>
      </c>
      <c r="W62" s="58" t="s">
        <v>72</v>
      </c>
      <c r="X62" s="58" t="s">
        <v>72</v>
      </c>
      <c r="Y62" s="58" t="s">
        <v>72</v>
      </c>
      <c r="Z62" s="58" t="s">
        <v>72</v>
      </c>
      <c r="AA62" s="58" t="s">
        <v>72</v>
      </c>
      <c r="AB62" s="58" t="s">
        <v>72</v>
      </c>
      <c r="AC62" s="58" t="s">
        <v>72</v>
      </c>
      <c r="AD62" s="58" t="s">
        <v>72</v>
      </c>
      <c r="AE62" s="58" t="s">
        <v>72</v>
      </c>
      <c r="AF62" s="58" t="s">
        <v>72</v>
      </c>
      <c r="AG62" s="58" t="s">
        <v>72</v>
      </c>
      <c r="AH62" s="58" t="s">
        <v>72</v>
      </c>
      <c r="AI62" s="58" t="s">
        <v>72</v>
      </c>
      <c r="AJ62" s="26"/>
      <c r="AL62" t="str">
        <f t="shared" ca="1" si="0"/>
        <v xml:space="preserve">    (U1)ALERT_REQ_S_TMBZR_BC_AD_</v>
      </c>
      <c r="AR62" s="60" t="str">
        <f t="shared" si="5"/>
        <v/>
      </c>
      <c r="AS62" s="60" t="str">
        <f t="shared" si="6"/>
        <v/>
      </c>
      <c r="AT62" s="60" t="str">
        <f t="shared" si="3"/>
        <v/>
      </c>
    </row>
    <row r="63" spans="2:46">
      <c r="B63" s="131"/>
      <c r="C63" s="44">
        <f t="shared" si="4"/>
        <v>57</v>
      </c>
      <c r="D63" s="58" t="s">
        <v>72</v>
      </c>
      <c r="E63" s="58" t="s">
        <v>72</v>
      </c>
      <c r="F63" s="58" t="s">
        <v>72</v>
      </c>
      <c r="G63" s="58" t="s">
        <v>72</v>
      </c>
      <c r="H63" s="58" t="s">
        <v>72</v>
      </c>
      <c r="I63" s="58" t="s">
        <v>72</v>
      </c>
      <c r="J63" s="58" t="s">
        <v>72</v>
      </c>
      <c r="K63" s="58" t="s">
        <v>72</v>
      </c>
      <c r="L63" s="58" t="s">
        <v>72</v>
      </c>
      <c r="M63" s="58" t="s">
        <v>72</v>
      </c>
      <c r="N63" s="58" t="s">
        <v>72</v>
      </c>
      <c r="O63" s="58" t="s">
        <v>72</v>
      </c>
      <c r="P63" s="58" t="s">
        <v>72</v>
      </c>
      <c r="Q63" s="58" t="s">
        <v>72</v>
      </c>
      <c r="R63" s="58" t="s">
        <v>72</v>
      </c>
      <c r="S63" s="58" t="s">
        <v>72</v>
      </c>
      <c r="T63" s="58" t="s">
        <v>72</v>
      </c>
      <c r="U63" s="58" t="s">
        <v>72</v>
      </c>
      <c r="V63" s="58" t="s">
        <v>72</v>
      </c>
      <c r="W63" s="58" t="s">
        <v>72</v>
      </c>
      <c r="X63" s="58" t="s">
        <v>72</v>
      </c>
      <c r="Y63" s="58" t="s">
        <v>72</v>
      </c>
      <c r="Z63" s="58" t="s">
        <v>72</v>
      </c>
      <c r="AA63" s="58" t="s">
        <v>72</v>
      </c>
      <c r="AB63" s="58" t="s">
        <v>72</v>
      </c>
      <c r="AC63" s="58" t="s">
        <v>72</v>
      </c>
      <c r="AD63" s="58" t="s">
        <v>72</v>
      </c>
      <c r="AE63" s="58" t="s">
        <v>72</v>
      </c>
      <c r="AF63" s="58" t="s">
        <v>72</v>
      </c>
      <c r="AG63" s="58" t="s">
        <v>72</v>
      </c>
      <c r="AH63" s="58" t="s">
        <v>72</v>
      </c>
      <c r="AI63" s="58" t="s">
        <v>72</v>
      </c>
      <c r="AJ63" s="26"/>
      <c r="AL63" t="str">
        <f t="shared" ca="1" si="0"/>
        <v xml:space="preserve">    (U1)ALERT_REQ_S_TMBZR_BC_AD_</v>
      </c>
      <c r="AR63" s="60" t="str">
        <f t="shared" si="5"/>
        <v/>
      </c>
      <c r="AS63" s="60" t="str">
        <f t="shared" si="6"/>
        <v/>
      </c>
      <c r="AT63" s="60" t="str">
        <f t="shared" si="3"/>
        <v/>
      </c>
    </row>
    <row r="64" spans="2:46">
      <c r="B64" s="131"/>
      <c r="C64" s="44">
        <f t="shared" si="4"/>
        <v>58</v>
      </c>
      <c r="D64" s="58" t="s">
        <v>72</v>
      </c>
      <c r="E64" s="58" t="s">
        <v>72</v>
      </c>
      <c r="F64" s="58" t="s">
        <v>72</v>
      </c>
      <c r="G64" s="58" t="s">
        <v>72</v>
      </c>
      <c r="H64" s="58" t="s">
        <v>72</v>
      </c>
      <c r="I64" s="58" t="s">
        <v>72</v>
      </c>
      <c r="J64" s="58" t="s">
        <v>72</v>
      </c>
      <c r="K64" s="58" t="s">
        <v>72</v>
      </c>
      <c r="L64" s="58" t="s">
        <v>72</v>
      </c>
      <c r="M64" s="58" t="s">
        <v>72</v>
      </c>
      <c r="N64" s="58" t="s">
        <v>72</v>
      </c>
      <c r="O64" s="58" t="s">
        <v>72</v>
      </c>
      <c r="P64" s="58" t="s">
        <v>72</v>
      </c>
      <c r="Q64" s="58" t="s">
        <v>72</v>
      </c>
      <c r="R64" s="58" t="s">
        <v>72</v>
      </c>
      <c r="S64" s="58" t="s">
        <v>72</v>
      </c>
      <c r="T64" s="58" t="s">
        <v>72</v>
      </c>
      <c r="U64" s="58" t="s">
        <v>72</v>
      </c>
      <c r="V64" s="58" t="s">
        <v>72</v>
      </c>
      <c r="W64" s="58" t="s">
        <v>72</v>
      </c>
      <c r="X64" s="58" t="s">
        <v>72</v>
      </c>
      <c r="Y64" s="58" t="s">
        <v>72</v>
      </c>
      <c r="Z64" s="58" t="s">
        <v>72</v>
      </c>
      <c r="AA64" s="58" t="s">
        <v>72</v>
      </c>
      <c r="AB64" s="58" t="s">
        <v>72</v>
      </c>
      <c r="AC64" s="58" t="s">
        <v>72</v>
      </c>
      <c r="AD64" s="58" t="s">
        <v>72</v>
      </c>
      <c r="AE64" s="58" t="s">
        <v>72</v>
      </c>
      <c r="AF64" s="58" t="s">
        <v>72</v>
      </c>
      <c r="AG64" s="58" t="s">
        <v>72</v>
      </c>
      <c r="AH64" s="58" t="s">
        <v>72</v>
      </c>
      <c r="AI64" s="58" t="s">
        <v>72</v>
      </c>
      <c r="AJ64" s="26"/>
      <c r="AL64" t="str">
        <f t="shared" ca="1" si="0"/>
        <v xml:space="preserve">    (U1)ALERT_REQ_S_TMBZR_BC_AD_</v>
      </c>
      <c r="AR64" s="60" t="str">
        <f t="shared" si="5"/>
        <v/>
      </c>
      <c r="AS64" s="60" t="str">
        <f t="shared" si="6"/>
        <v/>
      </c>
      <c r="AT64" s="60" t="str">
        <f t="shared" si="3"/>
        <v/>
      </c>
    </row>
    <row r="65" spans="1:46">
      <c r="B65" s="131"/>
      <c r="C65" s="44">
        <f t="shared" si="4"/>
        <v>59</v>
      </c>
      <c r="D65" s="58" t="s">
        <v>72</v>
      </c>
      <c r="E65" s="58" t="s">
        <v>72</v>
      </c>
      <c r="F65" s="58" t="s">
        <v>72</v>
      </c>
      <c r="G65" s="58" t="s">
        <v>72</v>
      </c>
      <c r="H65" s="58" t="s">
        <v>72</v>
      </c>
      <c r="I65" s="58" t="s">
        <v>72</v>
      </c>
      <c r="J65" s="58" t="s">
        <v>72</v>
      </c>
      <c r="K65" s="58" t="s">
        <v>72</v>
      </c>
      <c r="L65" s="58" t="s">
        <v>72</v>
      </c>
      <c r="M65" s="58" t="s">
        <v>72</v>
      </c>
      <c r="N65" s="58" t="s">
        <v>72</v>
      </c>
      <c r="O65" s="58" t="s">
        <v>72</v>
      </c>
      <c r="P65" s="58" t="s">
        <v>72</v>
      </c>
      <c r="Q65" s="58" t="s">
        <v>72</v>
      </c>
      <c r="R65" s="58" t="s">
        <v>72</v>
      </c>
      <c r="S65" s="58" t="s">
        <v>72</v>
      </c>
      <c r="T65" s="58" t="s">
        <v>72</v>
      </c>
      <c r="U65" s="58" t="s">
        <v>72</v>
      </c>
      <c r="V65" s="58" t="s">
        <v>72</v>
      </c>
      <c r="W65" s="58" t="s">
        <v>72</v>
      </c>
      <c r="X65" s="58" t="s">
        <v>72</v>
      </c>
      <c r="Y65" s="58" t="s">
        <v>72</v>
      </c>
      <c r="Z65" s="58" t="s">
        <v>72</v>
      </c>
      <c r="AA65" s="58" t="s">
        <v>72</v>
      </c>
      <c r="AB65" s="58" t="s">
        <v>72</v>
      </c>
      <c r="AC65" s="58" t="s">
        <v>72</v>
      </c>
      <c r="AD65" s="58" t="s">
        <v>72</v>
      </c>
      <c r="AE65" s="58" t="s">
        <v>72</v>
      </c>
      <c r="AF65" s="58" t="s">
        <v>72</v>
      </c>
      <c r="AG65" s="58" t="s">
        <v>72</v>
      </c>
      <c r="AH65" s="58" t="s">
        <v>72</v>
      </c>
      <c r="AI65" s="58" t="s">
        <v>72</v>
      </c>
      <c r="AJ65" s="26"/>
      <c r="AL65" t="str">
        <f t="shared" ca="1" si="0"/>
        <v xml:space="preserve">    (U1)ALERT_REQ_S_TMBZR_BC_AD_</v>
      </c>
      <c r="AR65" s="60" t="str">
        <f t="shared" si="5"/>
        <v/>
      </c>
      <c r="AS65" s="60" t="str">
        <f t="shared" si="6"/>
        <v/>
      </c>
      <c r="AT65" s="60" t="str">
        <f t="shared" si="3"/>
        <v/>
      </c>
    </row>
    <row r="66" spans="1:46">
      <c r="B66" s="131"/>
      <c r="C66" s="44">
        <f t="shared" si="4"/>
        <v>60</v>
      </c>
      <c r="D66" s="58" t="s">
        <v>72</v>
      </c>
      <c r="E66" s="58" t="s">
        <v>72</v>
      </c>
      <c r="F66" s="58" t="s">
        <v>72</v>
      </c>
      <c r="G66" s="58" t="s">
        <v>72</v>
      </c>
      <c r="H66" s="58" t="s">
        <v>72</v>
      </c>
      <c r="I66" s="58" t="s">
        <v>72</v>
      </c>
      <c r="J66" s="58" t="s">
        <v>72</v>
      </c>
      <c r="K66" s="58" t="s">
        <v>72</v>
      </c>
      <c r="L66" s="58" t="s">
        <v>72</v>
      </c>
      <c r="M66" s="58" t="s">
        <v>72</v>
      </c>
      <c r="N66" s="58" t="s">
        <v>72</v>
      </c>
      <c r="O66" s="58" t="s">
        <v>72</v>
      </c>
      <c r="P66" s="58" t="s">
        <v>72</v>
      </c>
      <c r="Q66" s="58" t="s">
        <v>72</v>
      </c>
      <c r="R66" s="58" t="s">
        <v>72</v>
      </c>
      <c r="S66" s="58" t="s">
        <v>72</v>
      </c>
      <c r="T66" s="58" t="s">
        <v>72</v>
      </c>
      <c r="U66" s="58" t="s">
        <v>72</v>
      </c>
      <c r="V66" s="58" t="s">
        <v>72</v>
      </c>
      <c r="W66" s="58" t="s">
        <v>72</v>
      </c>
      <c r="X66" s="58" t="s">
        <v>72</v>
      </c>
      <c r="Y66" s="58" t="s">
        <v>72</v>
      </c>
      <c r="Z66" s="58" t="s">
        <v>72</v>
      </c>
      <c r="AA66" s="58" t="s">
        <v>72</v>
      </c>
      <c r="AB66" s="58" t="s">
        <v>72</v>
      </c>
      <c r="AC66" s="58" t="s">
        <v>72</v>
      </c>
      <c r="AD66" s="58" t="s">
        <v>72</v>
      </c>
      <c r="AE66" s="58" t="s">
        <v>72</v>
      </c>
      <c r="AF66" s="58" t="s">
        <v>72</v>
      </c>
      <c r="AG66" s="58" t="s">
        <v>72</v>
      </c>
      <c r="AH66" s="58" t="s">
        <v>72</v>
      </c>
      <c r="AI66" s="58" t="s">
        <v>72</v>
      </c>
      <c r="AJ66" s="26"/>
      <c r="AL66" t="str">
        <f t="shared" ca="1" si="0"/>
        <v xml:space="preserve">    (U1)ALERT_REQ_S_TMBZR_BC_AD_</v>
      </c>
      <c r="AR66" s="60" t="str">
        <f t="shared" si="5"/>
        <v/>
      </c>
      <c r="AS66" s="60" t="str">
        <f t="shared" si="6"/>
        <v/>
      </c>
      <c r="AT66" s="60" t="str">
        <f t="shared" si="3"/>
        <v/>
      </c>
    </row>
    <row r="67" spans="1:46">
      <c r="B67" s="131"/>
      <c r="C67" s="44">
        <f t="shared" si="4"/>
        <v>61</v>
      </c>
      <c r="D67" s="58" t="s">
        <v>72</v>
      </c>
      <c r="E67" s="58" t="s">
        <v>72</v>
      </c>
      <c r="F67" s="58" t="s">
        <v>72</v>
      </c>
      <c r="G67" s="58" t="s">
        <v>72</v>
      </c>
      <c r="H67" s="58" t="s">
        <v>72</v>
      </c>
      <c r="I67" s="58" t="s">
        <v>72</v>
      </c>
      <c r="J67" s="58" t="s">
        <v>72</v>
      </c>
      <c r="K67" s="58" t="s">
        <v>72</v>
      </c>
      <c r="L67" s="58" t="s">
        <v>72</v>
      </c>
      <c r="M67" s="58" t="s">
        <v>72</v>
      </c>
      <c r="N67" s="58" t="s">
        <v>72</v>
      </c>
      <c r="O67" s="58" t="s">
        <v>72</v>
      </c>
      <c r="P67" s="58" t="s">
        <v>72</v>
      </c>
      <c r="Q67" s="58" t="s">
        <v>72</v>
      </c>
      <c r="R67" s="58" t="s">
        <v>72</v>
      </c>
      <c r="S67" s="58" t="s">
        <v>72</v>
      </c>
      <c r="T67" s="58" t="s">
        <v>72</v>
      </c>
      <c r="U67" s="58" t="s">
        <v>72</v>
      </c>
      <c r="V67" s="58" t="s">
        <v>72</v>
      </c>
      <c r="W67" s="58" t="s">
        <v>72</v>
      </c>
      <c r="X67" s="58" t="s">
        <v>72</v>
      </c>
      <c r="Y67" s="58" t="s">
        <v>72</v>
      </c>
      <c r="Z67" s="58" t="s">
        <v>72</v>
      </c>
      <c r="AA67" s="58" t="s">
        <v>72</v>
      </c>
      <c r="AB67" s="58" t="s">
        <v>72</v>
      </c>
      <c r="AC67" s="58" t="s">
        <v>72</v>
      </c>
      <c r="AD67" s="58" t="s">
        <v>72</v>
      </c>
      <c r="AE67" s="58" t="s">
        <v>72</v>
      </c>
      <c r="AF67" s="58" t="s">
        <v>72</v>
      </c>
      <c r="AG67" s="58" t="s">
        <v>72</v>
      </c>
      <c r="AH67" s="58" t="s">
        <v>72</v>
      </c>
      <c r="AI67" s="58" t="s">
        <v>72</v>
      </c>
      <c r="AJ67" s="26"/>
      <c r="AL67" t="str">
        <f t="shared" ca="1" si="0"/>
        <v xml:space="preserve">    (U1)ALERT_REQ_S_TMBZR_BC_AD_</v>
      </c>
      <c r="AR67" s="60" t="str">
        <f t="shared" si="5"/>
        <v/>
      </c>
      <c r="AS67" s="60" t="str">
        <f t="shared" si="6"/>
        <v/>
      </c>
      <c r="AT67" s="60" t="str">
        <f t="shared" si="3"/>
        <v/>
      </c>
    </row>
    <row r="68" spans="1:46">
      <c r="B68" s="131"/>
      <c r="C68" s="44">
        <f t="shared" si="4"/>
        <v>62</v>
      </c>
      <c r="D68" s="58" t="s">
        <v>72</v>
      </c>
      <c r="E68" s="58" t="s">
        <v>72</v>
      </c>
      <c r="F68" s="58" t="s">
        <v>72</v>
      </c>
      <c r="G68" s="58" t="s">
        <v>72</v>
      </c>
      <c r="H68" s="58" t="s">
        <v>72</v>
      </c>
      <c r="I68" s="58" t="s">
        <v>72</v>
      </c>
      <c r="J68" s="58" t="s">
        <v>72</v>
      </c>
      <c r="K68" s="58" t="s">
        <v>72</v>
      </c>
      <c r="L68" s="58" t="s">
        <v>72</v>
      </c>
      <c r="M68" s="58" t="s">
        <v>72</v>
      </c>
      <c r="N68" s="58" t="s">
        <v>72</v>
      </c>
      <c r="O68" s="58" t="s">
        <v>72</v>
      </c>
      <c r="P68" s="58" t="s">
        <v>72</v>
      </c>
      <c r="Q68" s="58" t="s">
        <v>72</v>
      </c>
      <c r="R68" s="58" t="s">
        <v>72</v>
      </c>
      <c r="S68" s="58" t="s">
        <v>72</v>
      </c>
      <c r="T68" s="58" t="s">
        <v>72</v>
      </c>
      <c r="U68" s="58" t="s">
        <v>72</v>
      </c>
      <c r="V68" s="58" t="s">
        <v>72</v>
      </c>
      <c r="W68" s="58" t="s">
        <v>72</v>
      </c>
      <c r="X68" s="58" t="s">
        <v>72</v>
      </c>
      <c r="Y68" s="58" t="s">
        <v>72</v>
      </c>
      <c r="Z68" s="58" t="s">
        <v>72</v>
      </c>
      <c r="AA68" s="58" t="s">
        <v>72</v>
      </c>
      <c r="AB68" s="58" t="s">
        <v>72</v>
      </c>
      <c r="AC68" s="58" t="s">
        <v>72</v>
      </c>
      <c r="AD68" s="58" t="s">
        <v>72</v>
      </c>
      <c r="AE68" s="58" t="s">
        <v>72</v>
      </c>
      <c r="AF68" s="58" t="s">
        <v>72</v>
      </c>
      <c r="AG68" s="58" t="s">
        <v>72</v>
      </c>
      <c r="AH68" s="58" t="s">
        <v>72</v>
      </c>
      <c r="AI68" s="58" t="s">
        <v>72</v>
      </c>
      <c r="AJ68" s="26"/>
      <c r="AL68" t="str">
        <f t="shared" ca="1" si="0"/>
        <v xml:space="preserve">    (U1)ALERT_REQ_S_TMBZR_BC_AD_</v>
      </c>
      <c r="AR68" s="60" t="str">
        <f t="shared" si="5"/>
        <v/>
      </c>
      <c r="AS68" s="60" t="str">
        <f t="shared" si="6"/>
        <v/>
      </c>
      <c r="AT68" s="60" t="str">
        <f>IF(AJ68&lt;&gt;"",AL68&amp;IF(AJ69&lt;&gt;"",","," ")&amp;REPT(" ",78-LEN(AL68))&amp;"/* "&amp;IF(C68&lt;10,"0"&amp;C68,C68)&amp;" "&amp;AJ68&amp;REPT(" ",48-LEN(AJ68))&amp;"*/",IF(AJ67&lt;&gt;"","};",""))</f>
        <v/>
      </c>
    </row>
    <row r="69" spans="1:46">
      <c r="B69" s="132"/>
      <c r="C69" s="44">
        <f t="shared" ref="C69" si="7">ROW()-ROW($C$6)</f>
        <v>63</v>
      </c>
      <c r="D69" s="58" t="s">
        <v>72</v>
      </c>
      <c r="E69" s="58" t="s">
        <v>72</v>
      </c>
      <c r="F69" s="58" t="s">
        <v>72</v>
      </c>
      <c r="G69" s="58" t="s">
        <v>72</v>
      </c>
      <c r="H69" s="58" t="s">
        <v>72</v>
      </c>
      <c r="I69" s="58" t="s">
        <v>72</v>
      </c>
      <c r="J69" s="58" t="s">
        <v>72</v>
      </c>
      <c r="K69" s="58" t="s">
        <v>72</v>
      </c>
      <c r="L69" s="58" t="s">
        <v>72</v>
      </c>
      <c r="M69" s="58" t="s">
        <v>72</v>
      </c>
      <c r="N69" s="58" t="s">
        <v>72</v>
      </c>
      <c r="O69" s="58" t="s">
        <v>72</v>
      </c>
      <c r="P69" s="58" t="s">
        <v>72</v>
      </c>
      <c r="Q69" s="58" t="s">
        <v>72</v>
      </c>
      <c r="R69" s="58" t="s">
        <v>72</v>
      </c>
      <c r="S69" s="58" t="s">
        <v>72</v>
      </c>
      <c r="T69" s="58" t="s">
        <v>72</v>
      </c>
      <c r="U69" s="58" t="s">
        <v>72</v>
      </c>
      <c r="V69" s="58" t="s">
        <v>72</v>
      </c>
      <c r="W69" s="58" t="s">
        <v>72</v>
      </c>
      <c r="X69" s="58" t="s">
        <v>72</v>
      </c>
      <c r="Y69" s="58" t="s">
        <v>72</v>
      </c>
      <c r="Z69" s="58" t="s">
        <v>72</v>
      </c>
      <c r="AA69" s="58" t="s">
        <v>72</v>
      </c>
      <c r="AB69" s="58" t="s">
        <v>72</v>
      </c>
      <c r="AC69" s="58" t="s">
        <v>72</v>
      </c>
      <c r="AD69" s="58" t="s">
        <v>72</v>
      </c>
      <c r="AE69" s="58" t="s">
        <v>72</v>
      </c>
      <c r="AF69" s="58" t="s">
        <v>72</v>
      </c>
      <c r="AG69" s="58" t="s">
        <v>72</v>
      </c>
      <c r="AH69" s="58" t="s">
        <v>72</v>
      </c>
      <c r="AI69" s="58" t="s">
        <v>72</v>
      </c>
      <c r="AJ69" s="26"/>
      <c r="AL69" t="str">
        <f t="shared" ca="1" si="0"/>
        <v xml:space="preserve">    (U1)ALERT_REQ_S_TMBZR_BC_AD_</v>
      </c>
      <c r="AR69" s="60" t="str">
        <f t="shared" ref="AR69:AR70" si="8">IF(AQ134&lt;&gt;"",AQ134,IF(AQ133&lt;&gt;"","};",""))</f>
        <v/>
      </c>
      <c r="AS69" s="60" t="str">
        <f t="shared" ref="AS69:AS70" si="9">IF(AQ199&lt;&gt;"",AQ199,IF(AQ198&lt;&gt;"","};",""))</f>
        <v/>
      </c>
      <c r="AT69" s="60" t="str">
        <f>IF(AJ69&lt;&gt;"",AL69&amp;IF(AJ70&lt;&gt;"",","," ")&amp;REPT(" ",78-LEN(AL69))&amp;"/* "&amp;IF(C69&lt;10,"0"&amp;C69,C69)&amp;" "&amp;AJ69&amp;REPT(" ",48-LEN(AJ69))&amp;"*/",IF(AJ68&lt;&gt;"","};",""))</f>
        <v/>
      </c>
    </row>
    <row r="70" spans="1:46" ht="14.25" thickBot="1">
      <c r="A70" s="53" t="s">
        <v>69</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8"/>
        <v/>
      </c>
      <c r="AS70" s="61" t="str">
        <f t="shared" si="9"/>
        <v/>
      </c>
      <c r="AT70" s="61" t="str">
        <f t="shared" ref="AT70" si="10">IF(AJ70&lt;&gt;"",AL70&amp;IF(AJ71&lt;&gt;"",","," ")&amp;REPT(" ",78-LEN(AL70))&amp;"/* "&amp;IF(C70&lt;10,"0"&amp;C70,C70)&amp;" "&amp;AJ70&amp;REPT(" ",48-LEN(AJ70))&amp;"*/",IF(AJ69&lt;&gt;"","};",""))</f>
        <v/>
      </c>
    </row>
    <row r="71" spans="1:46">
      <c r="B71" s="133" t="str">
        <f ca="1">IF(B6&lt;&gt;"",B6,"")</f>
        <v>Table BC_AD</v>
      </c>
      <c r="C71" s="44">
        <f>IF(C6&lt;&gt;"",C6,"")</f>
        <v>0</v>
      </c>
      <c r="D71" s="123">
        <f t="shared" ref="D71:AI71" si="11">IF(D6=1,1,0)</f>
        <v>0</v>
      </c>
      <c r="E71" s="123">
        <f t="shared" si="11"/>
        <v>0</v>
      </c>
      <c r="F71" s="123">
        <f t="shared" si="11"/>
        <v>0</v>
      </c>
      <c r="G71" s="123">
        <f t="shared" si="11"/>
        <v>0</v>
      </c>
      <c r="H71" s="123">
        <f t="shared" si="11"/>
        <v>0</v>
      </c>
      <c r="I71" s="123">
        <f t="shared" si="11"/>
        <v>0</v>
      </c>
      <c r="J71" s="123">
        <f t="shared" si="11"/>
        <v>0</v>
      </c>
      <c r="K71" s="123">
        <f t="shared" si="11"/>
        <v>0</v>
      </c>
      <c r="L71" s="123">
        <f t="shared" si="11"/>
        <v>0</v>
      </c>
      <c r="M71" s="123">
        <f t="shared" si="11"/>
        <v>0</v>
      </c>
      <c r="N71" s="123">
        <f t="shared" si="11"/>
        <v>0</v>
      </c>
      <c r="O71" s="123">
        <f t="shared" si="11"/>
        <v>0</v>
      </c>
      <c r="P71" s="123">
        <f t="shared" si="11"/>
        <v>0</v>
      </c>
      <c r="Q71" s="123">
        <f t="shared" si="11"/>
        <v>0</v>
      </c>
      <c r="R71" s="123">
        <f t="shared" si="11"/>
        <v>0</v>
      </c>
      <c r="S71" s="123">
        <f t="shared" si="11"/>
        <v>0</v>
      </c>
      <c r="T71" s="123">
        <f t="shared" si="11"/>
        <v>0</v>
      </c>
      <c r="U71" s="123">
        <f t="shared" si="11"/>
        <v>0</v>
      </c>
      <c r="V71" s="123">
        <f t="shared" si="11"/>
        <v>0</v>
      </c>
      <c r="W71" s="123">
        <f t="shared" si="11"/>
        <v>0</v>
      </c>
      <c r="X71" s="123">
        <f t="shared" si="11"/>
        <v>0</v>
      </c>
      <c r="Y71" s="123">
        <f t="shared" si="11"/>
        <v>0</v>
      </c>
      <c r="Z71" s="123">
        <f t="shared" si="11"/>
        <v>1</v>
      </c>
      <c r="AA71" s="123">
        <f t="shared" si="11"/>
        <v>0</v>
      </c>
      <c r="AB71" s="123">
        <f t="shared" si="11"/>
        <v>0</v>
      </c>
      <c r="AC71" s="123">
        <f t="shared" si="11"/>
        <v>0</v>
      </c>
      <c r="AD71" s="123">
        <f t="shared" si="11"/>
        <v>0</v>
      </c>
      <c r="AE71" s="123">
        <f t="shared" si="11"/>
        <v>0</v>
      </c>
      <c r="AF71" s="123">
        <f t="shared" si="11"/>
        <v>0</v>
      </c>
      <c r="AG71" s="123">
        <f t="shared" si="11"/>
        <v>0</v>
      </c>
      <c r="AH71" s="123">
        <f t="shared" si="11"/>
        <v>0</v>
      </c>
      <c r="AI71" s="123">
        <f t="shared" si="11"/>
        <v>0</v>
      </c>
      <c r="AJ71" s="44" t="str">
        <f t="shared" ref="AJ71:AJ102" si="12">IF(AJ6&lt;&gt;"",AJ6,"")</f>
        <v>UNKNOWN</v>
      </c>
      <c r="AK71" s="57"/>
      <c r="AL71" s="57" t="str">
        <f>BIN2HEX(AB71&amp;AC71&amp;AD71&amp;AE71&amp;AF71&amp;AG71&amp;AH71&amp;AI71,2)</f>
        <v>00</v>
      </c>
      <c r="AM71" s="59" t="str">
        <f>BIN2HEX(T71&amp;U71&amp;V71&amp;W71&amp;X71&amp;Y71&amp;Z71&amp;AA71,2)</f>
        <v>02</v>
      </c>
      <c r="AN71" s="59" t="str">
        <f>BIN2HEX(L71&amp;M71&amp;N71&amp;O71&amp;P71&amp;Q71&amp;R71&amp;S71,2)</f>
        <v>00</v>
      </c>
      <c r="AO71" s="59" t="str">
        <f>BIN2HEX(D71&amp;E71&amp;F71&amp;G71&amp;H71&amp;I71&amp;J71&amp;K71,2)</f>
        <v>00</v>
      </c>
      <c r="AQ71" t="str">
        <f t="shared" ref="AQ71:AQ134" si="13">IF(AJ71="","","    (U4)0x"&amp;AO71&amp;AN71&amp;AM71&amp;AL71&amp;"U"&amp;IF(AJ72=""," ",",")&amp;REPT(" ",59)&amp;"/* "&amp;IF(C71&lt;10,"0"&amp;C71,C71)&amp;" "&amp;AJ71&amp;REPT(" ",47-LEN(AJ71))&amp;" */")</f>
        <v xml:space="preserve">    (U4)0x00000200U,                                                           /* 00 UNKNOWN                                         */</v>
      </c>
    </row>
    <row r="72" spans="1:46">
      <c r="B72" s="131"/>
      <c r="C72" s="44">
        <f t="shared" ref="C72:C103" si="14">IF(C7&lt;&gt;"",C7,"")</f>
        <v>1</v>
      </c>
      <c r="D72" s="123">
        <f t="shared" ref="D72:AI72" si="15">IF(D7=1,1,0)</f>
        <v>0</v>
      </c>
      <c r="E72" s="123">
        <f t="shared" si="15"/>
        <v>0</v>
      </c>
      <c r="F72" s="123">
        <f t="shared" si="15"/>
        <v>0</v>
      </c>
      <c r="G72" s="123">
        <f t="shared" si="15"/>
        <v>0</v>
      </c>
      <c r="H72" s="123">
        <f t="shared" si="15"/>
        <v>0</v>
      </c>
      <c r="I72" s="123">
        <f t="shared" si="15"/>
        <v>0</v>
      </c>
      <c r="J72" s="123">
        <f t="shared" si="15"/>
        <v>0</v>
      </c>
      <c r="K72" s="123">
        <f t="shared" si="15"/>
        <v>0</v>
      </c>
      <c r="L72" s="123">
        <f t="shared" si="15"/>
        <v>0</v>
      </c>
      <c r="M72" s="123">
        <f t="shared" si="15"/>
        <v>0</v>
      </c>
      <c r="N72" s="123">
        <f t="shared" si="15"/>
        <v>0</v>
      </c>
      <c r="O72" s="123">
        <f t="shared" si="15"/>
        <v>0</v>
      </c>
      <c r="P72" s="123">
        <f t="shared" si="15"/>
        <v>0</v>
      </c>
      <c r="Q72" s="123">
        <f t="shared" si="15"/>
        <v>0</v>
      </c>
      <c r="R72" s="123">
        <f t="shared" si="15"/>
        <v>0</v>
      </c>
      <c r="S72" s="123">
        <f t="shared" si="15"/>
        <v>0</v>
      </c>
      <c r="T72" s="123">
        <f t="shared" si="15"/>
        <v>0</v>
      </c>
      <c r="U72" s="123">
        <f t="shared" si="15"/>
        <v>0</v>
      </c>
      <c r="V72" s="123">
        <f t="shared" si="15"/>
        <v>0</v>
      </c>
      <c r="W72" s="123">
        <f t="shared" si="15"/>
        <v>0</v>
      </c>
      <c r="X72" s="123">
        <f t="shared" si="15"/>
        <v>0</v>
      </c>
      <c r="Y72" s="123">
        <f t="shared" si="15"/>
        <v>0</v>
      </c>
      <c r="Z72" s="123">
        <f t="shared" si="15"/>
        <v>0</v>
      </c>
      <c r="AA72" s="123">
        <f t="shared" si="15"/>
        <v>1</v>
      </c>
      <c r="AB72" s="123">
        <f t="shared" si="15"/>
        <v>0</v>
      </c>
      <c r="AC72" s="123">
        <f t="shared" si="15"/>
        <v>0</v>
      </c>
      <c r="AD72" s="123">
        <f t="shared" si="15"/>
        <v>0</v>
      </c>
      <c r="AE72" s="123">
        <f t="shared" si="15"/>
        <v>0</v>
      </c>
      <c r="AF72" s="123">
        <f t="shared" si="15"/>
        <v>0</v>
      </c>
      <c r="AG72" s="123">
        <f t="shared" si="15"/>
        <v>0</v>
      </c>
      <c r="AH72" s="123">
        <f t="shared" si="15"/>
        <v>0</v>
      </c>
      <c r="AI72" s="123">
        <f t="shared" si="15"/>
        <v>0</v>
      </c>
      <c r="AJ72" s="44" t="str">
        <f t="shared" si="12"/>
        <v>UNKNOWN</v>
      </c>
      <c r="AK72" s="57"/>
      <c r="AL72" s="57" t="str">
        <f t="shared" ref="AL72:AL134" si="16">BIN2HEX(AB72&amp;AC72&amp;AD72&amp;AE72&amp;AF72&amp;AG72&amp;AH72&amp;AI72,2)</f>
        <v>00</v>
      </c>
      <c r="AM72" s="59" t="str">
        <f t="shared" ref="AM72:AM134" si="17">BIN2HEX(T72&amp;U72&amp;V72&amp;W72&amp;X72&amp;Y72&amp;Z72&amp;AA72,2)</f>
        <v>01</v>
      </c>
      <c r="AN72" s="59" t="str">
        <f t="shared" ref="AN72:AN134" si="18">BIN2HEX(L72&amp;M72&amp;N72&amp;O72&amp;P72&amp;Q72&amp;R72&amp;S72,2)</f>
        <v>00</v>
      </c>
      <c r="AO72" s="59" t="str">
        <f t="shared" ref="AO72:AO134" si="19">BIN2HEX(D72&amp;E72&amp;F72&amp;G72&amp;H72&amp;I72&amp;J72&amp;K72,2)</f>
        <v>00</v>
      </c>
      <c r="AQ72" t="str">
        <f t="shared" si="13"/>
        <v xml:space="preserve">    (U4)0x00000100U,                                                           /* 01 UNKNOWN                                         */</v>
      </c>
    </row>
    <row r="73" spans="1:46">
      <c r="B73" s="131"/>
      <c r="C73" s="44">
        <f t="shared" si="14"/>
        <v>2</v>
      </c>
      <c r="D73" s="123">
        <f t="shared" ref="D73:AI73" si="20">IF(D8=1,1,0)</f>
        <v>0</v>
      </c>
      <c r="E73" s="123">
        <f t="shared" si="20"/>
        <v>0</v>
      </c>
      <c r="F73" s="123">
        <f t="shared" si="20"/>
        <v>0</v>
      </c>
      <c r="G73" s="123">
        <f t="shared" si="20"/>
        <v>0</v>
      </c>
      <c r="H73" s="123">
        <f t="shared" si="20"/>
        <v>0</v>
      </c>
      <c r="I73" s="123">
        <f t="shared" si="20"/>
        <v>0</v>
      </c>
      <c r="J73" s="123">
        <f t="shared" si="20"/>
        <v>0</v>
      </c>
      <c r="K73" s="123">
        <f t="shared" si="20"/>
        <v>0</v>
      </c>
      <c r="L73" s="123">
        <f t="shared" si="20"/>
        <v>0</v>
      </c>
      <c r="M73" s="123">
        <f t="shared" si="20"/>
        <v>0</v>
      </c>
      <c r="N73" s="123">
        <f t="shared" si="20"/>
        <v>0</v>
      </c>
      <c r="O73" s="123">
        <f t="shared" si="20"/>
        <v>0</v>
      </c>
      <c r="P73" s="123">
        <f t="shared" si="20"/>
        <v>0</v>
      </c>
      <c r="Q73" s="123">
        <f t="shared" si="20"/>
        <v>0</v>
      </c>
      <c r="R73" s="123">
        <f t="shared" si="20"/>
        <v>0</v>
      </c>
      <c r="S73" s="123">
        <f t="shared" si="20"/>
        <v>0</v>
      </c>
      <c r="T73" s="123">
        <f t="shared" si="20"/>
        <v>0</v>
      </c>
      <c r="U73" s="123">
        <f t="shared" si="20"/>
        <v>0</v>
      </c>
      <c r="V73" s="123">
        <f t="shared" si="20"/>
        <v>0</v>
      </c>
      <c r="W73" s="123">
        <f t="shared" si="20"/>
        <v>0</v>
      </c>
      <c r="X73" s="123">
        <f t="shared" si="20"/>
        <v>0</v>
      </c>
      <c r="Y73" s="123">
        <f t="shared" si="20"/>
        <v>0</v>
      </c>
      <c r="Z73" s="123">
        <f t="shared" si="20"/>
        <v>0</v>
      </c>
      <c r="AA73" s="123">
        <f t="shared" si="20"/>
        <v>0</v>
      </c>
      <c r="AB73" s="123">
        <f t="shared" si="20"/>
        <v>0</v>
      </c>
      <c r="AC73" s="123">
        <f t="shared" si="20"/>
        <v>0</v>
      </c>
      <c r="AD73" s="123">
        <f t="shared" si="20"/>
        <v>0</v>
      </c>
      <c r="AE73" s="123">
        <f t="shared" si="20"/>
        <v>0</v>
      </c>
      <c r="AF73" s="123">
        <f t="shared" si="20"/>
        <v>0</v>
      </c>
      <c r="AG73" s="123">
        <f t="shared" si="20"/>
        <v>0</v>
      </c>
      <c r="AH73" s="123">
        <f t="shared" si="20"/>
        <v>0</v>
      </c>
      <c r="AI73" s="123">
        <f t="shared" si="20"/>
        <v>1</v>
      </c>
      <c r="AJ73" s="44" t="str">
        <f t="shared" si="12"/>
        <v>CONT_0</v>
      </c>
      <c r="AK73" s="57"/>
      <c r="AL73" s="57" t="str">
        <f t="shared" si="16"/>
        <v>01</v>
      </c>
      <c r="AM73" s="59" t="str">
        <f t="shared" si="17"/>
        <v>00</v>
      </c>
      <c r="AN73" s="59" t="str">
        <f t="shared" si="18"/>
        <v>00</v>
      </c>
      <c r="AO73" s="59" t="str">
        <f t="shared" si="19"/>
        <v>00</v>
      </c>
      <c r="AQ73" t="str">
        <f t="shared" si="13"/>
        <v xml:space="preserve">    (U4)0x00000001U,                                                           /* 02 CONT_0                                          */</v>
      </c>
    </row>
    <row r="74" spans="1:46">
      <c r="B74" s="131"/>
      <c r="C74" s="44">
        <f t="shared" si="14"/>
        <v>3</v>
      </c>
      <c r="D74" s="123">
        <f t="shared" ref="D74:AI74" si="21">IF(D9=1,1,0)</f>
        <v>0</v>
      </c>
      <c r="E74" s="123">
        <f t="shared" si="21"/>
        <v>0</v>
      </c>
      <c r="F74" s="123">
        <f t="shared" si="21"/>
        <v>0</v>
      </c>
      <c r="G74" s="123">
        <f t="shared" si="21"/>
        <v>0</v>
      </c>
      <c r="H74" s="123">
        <f t="shared" si="21"/>
        <v>0</v>
      </c>
      <c r="I74" s="123">
        <f t="shared" si="21"/>
        <v>0</v>
      </c>
      <c r="J74" s="123">
        <f t="shared" si="21"/>
        <v>0</v>
      </c>
      <c r="K74" s="123">
        <f t="shared" si="21"/>
        <v>0</v>
      </c>
      <c r="L74" s="123">
        <f t="shared" si="21"/>
        <v>0</v>
      </c>
      <c r="M74" s="123">
        <f t="shared" si="21"/>
        <v>0</v>
      </c>
      <c r="N74" s="123">
        <f t="shared" si="21"/>
        <v>0</v>
      </c>
      <c r="O74" s="123">
        <f t="shared" si="21"/>
        <v>0</v>
      </c>
      <c r="P74" s="123">
        <f t="shared" si="21"/>
        <v>0</v>
      </c>
      <c r="Q74" s="123">
        <f t="shared" si="21"/>
        <v>0</v>
      </c>
      <c r="R74" s="123">
        <f t="shared" si="21"/>
        <v>0</v>
      </c>
      <c r="S74" s="123">
        <f t="shared" si="21"/>
        <v>0</v>
      </c>
      <c r="T74" s="123">
        <f t="shared" si="21"/>
        <v>0</v>
      </c>
      <c r="U74" s="123">
        <f t="shared" si="21"/>
        <v>0</v>
      </c>
      <c r="V74" s="123">
        <f t="shared" si="21"/>
        <v>0</v>
      </c>
      <c r="W74" s="123">
        <f t="shared" si="21"/>
        <v>0</v>
      </c>
      <c r="X74" s="123">
        <f t="shared" si="21"/>
        <v>0</v>
      </c>
      <c r="Y74" s="123">
        <f t="shared" si="21"/>
        <v>0</v>
      </c>
      <c r="Z74" s="123">
        <f t="shared" si="21"/>
        <v>0</v>
      </c>
      <c r="AA74" s="123">
        <f t="shared" si="21"/>
        <v>0</v>
      </c>
      <c r="AB74" s="123">
        <f t="shared" si="21"/>
        <v>0</v>
      </c>
      <c r="AC74" s="123">
        <f t="shared" si="21"/>
        <v>0</v>
      </c>
      <c r="AD74" s="123">
        <f t="shared" si="21"/>
        <v>0</v>
      </c>
      <c r="AE74" s="123">
        <f t="shared" si="21"/>
        <v>0</v>
      </c>
      <c r="AF74" s="123">
        <f t="shared" si="21"/>
        <v>0</v>
      </c>
      <c r="AG74" s="123">
        <f t="shared" si="21"/>
        <v>0</v>
      </c>
      <c r="AH74" s="123">
        <f t="shared" si="21"/>
        <v>1</v>
      </c>
      <c r="AI74" s="123">
        <f t="shared" si="21"/>
        <v>0</v>
      </c>
      <c r="AJ74" s="44" t="str">
        <f t="shared" si="12"/>
        <v>TEN_0</v>
      </c>
      <c r="AK74" s="57"/>
      <c r="AL74" s="57" t="str">
        <f t="shared" si="16"/>
        <v>02</v>
      </c>
      <c r="AM74" s="59" t="str">
        <f t="shared" si="17"/>
        <v>00</v>
      </c>
      <c r="AN74" s="59" t="str">
        <f t="shared" si="18"/>
        <v>00</v>
      </c>
      <c r="AO74" s="59" t="str">
        <f t="shared" si="19"/>
        <v>00</v>
      </c>
      <c r="AQ74" t="str">
        <f t="shared" si="13"/>
        <v xml:space="preserve">    (U4)0x00000002U,                                                           /* 03 TEN_0                                           */</v>
      </c>
    </row>
    <row r="75" spans="1:46">
      <c r="B75" s="131"/>
      <c r="C75" s="44">
        <f t="shared" si="14"/>
        <v>4</v>
      </c>
      <c r="D75" s="123">
        <f t="shared" ref="D75:AI75" si="22">IF(D10=1,1,0)</f>
        <v>0</v>
      </c>
      <c r="E75" s="123">
        <f t="shared" si="22"/>
        <v>0</v>
      </c>
      <c r="F75" s="123">
        <f t="shared" si="22"/>
        <v>0</v>
      </c>
      <c r="G75" s="123">
        <f t="shared" si="22"/>
        <v>0</v>
      </c>
      <c r="H75" s="123">
        <f t="shared" si="22"/>
        <v>0</v>
      </c>
      <c r="I75" s="123">
        <f t="shared" si="22"/>
        <v>0</v>
      </c>
      <c r="J75" s="123">
        <f t="shared" si="22"/>
        <v>0</v>
      </c>
      <c r="K75" s="123">
        <f t="shared" si="22"/>
        <v>0</v>
      </c>
      <c r="L75" s="123">
        <f t="shared" si="22"/>
        <v>0</v>
      </c>
      <c r="M75" s="123">
        <f t="shared" si="22"/>
        <v>0</v>
      </c>
      <c r="N75" s="123">
        <f t="shared" si="22"/>
        <v>0</v>
      </c>
      <c r="O75" s="123">
        <f t="shared" si="22"/>
        <v>0</v>
      </c>
      <c r="P75" s="123">
        <f t="shared" si="22"/>
        <v>0</v>
      </c>
      <c r="Q75" s="123">
        <f t="shared" si="22"/>
        <v>0</v>
      </c>
      <c r="R75" s="123">
        <f t="shared" si="22"/>
        <v>0</v>
      </c>
      <c r="S75" s="123">
        <f t="shared" si="22"/>
        <v>0</v>
      </c>
      <c r="T75" s="123">
        <f t="shared" si="22"/>
        <v>0</v>
      </c>
      <c r="U75" s="123">
        <f t="shared" si="22"/>
        <v>0</v>
      </c>
      <c r="V75" s="123">
        <f t="shared" si="22"/>
        <v>0</v>
      </c>
      <c r="W75" s="123">
        <f t="shared" si="22"/>
        <v>0</v>
      </c>
      <c r="X75" s="123">
        <f t="shared" si="22"/>
        <v>0</v>
      </c>
      <c r="Y75" s="123">
        <f t="shared" si="22"/>
        <v>0</v>
      </c>
      <c r="Z75" s="123">
        <f t="shared" si="22"/>
        <v>0</v>
      </c>
      <c r="AA75" s="123">
        <f t="shared" si="22"/>
        <v>0</v>
      </c>
      <c r="AB75" s="123">
        <f t="shared" si="22"/>
        <v>0</v>
      </c>
      <c r="AC75" s="123">
        <f t="shared" si="22"/>
        <v>0</v>
      </c>
      <c r="AD75" s="123">
        <f t="shared" si="22"/>
        <v>0</v>
      </c>
      <c r="AE75" s="123">
        <f t="shared" si="22"/>
        <v>0</v>
      </c>
      <c r="AF75" s="123">
        <f t="shared" si="22"/>
        <v>0</v>
      </c>
      <c r="AG75" s="123">
        <f t="shared" si="22"/>
        <v>1</v>
      </c>
      <c r="AH75" s="123">
        <f t="shared" si="22"/>
        <v>0</v>
      </c>
      <c r="AI75" s="123">
        <f t="shared" si="22"/>
        <v>1</v>
      </c>
      <c r="AJ75" s="44" t="str">
        <f t="shared" si="12"/>
        <v>RJT_0</v>
      </c>
      <c r="AK75" s="57"/>
      <c r="AL75" s="57" t="str">
        <f t="shared" si="16"/>
        <v>05</v>
      </c>
      <c r="AM75" s="59" t="str">
        <f t="shared" si="17"/>
        <v>00</v>
      </c>
      <c r="AN75" s="59" t="str">
        <f t="shared" si="18"/>
        <v>00</v>
      </c>
      <c r="AO75" s="59" t="str">
        <f t="shared" si="19"/>
        <v>00</v>
      </c>
      <c r="AQ75" t="str">
        <f t="shared" si="13"/>
        <v xml:space="preserve">    (U4)0x00000005U,                                                           /* 04 RJT_0                                           */</v>
      </c>
    </row>
    <row r="76" spans="1:46">
      <c r="B76" s="131"/>
      <c r="C76" s="44">
        <f t="shared" si="14"/>
        <v>5</v>
      </c>
      <c r="D76" s="123">
        <f t="shared" ref="D76:AI76" si="23">IF(D11=1,1,0)</f>
        <v>0</v>
      </c>
      <c r="E76" s="123">
        <f t="shared" si="23"/>
        <v>0</v>
      </c>
      <c r="F76" s="123">
        <f t="shared" si="23"/>
        <v>0</v>
      </c>
      <c r="G76" s="123">
        <f t="shared" si="23"/>
        <v>0</v>
      </c>
      <c r="H76" s="123">
        <f t="shared" si="23"/>
        <v>0</v>
      </c>
      <c r="I76" s="123">
        <f t="shared" si="23"/>
        <v>0</v>
      </c>
      <c r="J76" s="123">
        <f t="shared" si="23"/>
        <v>0</v>
      </c>
      <c r="K76" s="123">
        <f t="shared" si="23"/>
        <v>0</v>
      </c>
      <c r="L76" s="123">
        <f t="shared" si="23"/>
        <v>0</v>
      </c>
      <c r="M76" s="123">
        <f t="shared" si="23"/>
        <v>0</v>
      </c>
      <c r="N76" s="123">
        <f t="shared" si="23"/>
        <v>0</v>
      </c>
      <c r="O76" s="123">
        <f t="shared" si="23"/>
        <v>0</v>
      </c>
      <c r="P76" s="123">
        <f t="shared" si="23"/>
        <v>0</v>
      </c>
      <c r="Q76" s="123">
        <f t="shared" si="23"/>
        <v>0</v>
      </c>
      <c r="R76" s="123">
        <f t="shared" si="23"/>
        <v>0</v>
      </c>
      <c r="S76" s="123">
        <f t="shared" si="23"/>
        <v>0</v>
      </c>
      <c r="T76" s="123">
        <f t="shared" si="23"/>
        <v>0</v>
      </c>
      <c r="U76" s="123">
        <f t="shared" si="23"/>
        <v>0</v>
      </c>
      <c r="V76" s="123">
        <f t="shared" si="23"/>
        <v>0</v>
      </c>
      <c r="W76" s="123">
        <f t="shared" si="23"/>
        <v>0</v>
      </c>
      <c r="X76" s="123">
        <f t="shared" si="23"/>
        <v>0</v>
      </c>
      <c r="Y76" s="123">
        <f t="shared" si="23"/>
        <v>0</v>
      </c>
      <c r="Z76" s="123">
        <f t="shared" si="23"/>
        <v>0</v>
      </c>
      <c r="AA76" s="123">
        <f t="shared" si="23"/>
        <v>0</v>
      </c>
      <c r="AB76" s="123">
        <f t="shared" si="23"/>
        <v>0</v>
      </c>
      <c r="AC76" s="123">
        <f t="shared" si="23"/>
        <v>0</v>
      </c>
      <c r="AD76" s="123">
        <f t="shared" si="23"/>
        <v>0</v>
      </c>
      <c r="AE76" s="123">
        <f t="shared" si="23"/>
        <v>0</v>
      </c>
      <c r="AF76" s="123">
        <f t="shared" si="23"/>
        <v>0</v>
      </c>
      <c r="AG76" s="123">
        <f t="shared" si="23"/>
        <v>1</v>
      </c>
      <c r="AH76" s="123">
        <f t="shared" si="23"/>
        <v>1</v>
      </c>
      <c r="AI76" s="123">
        <f t="shared" si="23"/>
        <v>0</v>
      </c>
      <c r="AJ76" s="44" t="str">
        <f t="shared" si="12"/>
        <v>RCV_0</v>
      </c>
      <c r="AK76" s="57"/>
      <c r="AL76" s="57" t="str">
        <f t="shared" si="16"/>
        <v>06</v>
      </c>
      <c r="AM76" s="59" t="str">
        <f t="shared" si="17"/>
        <v>00</v>
      </c>
      <c r="AN76" s="59" t="str">
        <f t="shared" si="18"/>
        <v>00</v>
      </c>
      <c r="AO76" s="59" t="str">
        <f t="shared" si="19"/>
        <v>00</v>
      </c>
      <c r="AQ76" t="str">
        <f t="shared" si="13"/>
        <v xml:space="preserve">    (U4)0x00000006U,                                                           /* 05 RCV_0                                           */</v>
      </c>
    </row>
    <row r="77" spans="1:46">
      <c r="B77" s="131"/>
      <c r="C77" s="44">
        <f t="shared" si="14"/>
        <v>6</v>
      </c>
      <c r="D77" s="123">
        <f t="shared" ref="D77:AI77" si="24">IF(D12=1,1,0)</f>
        <v>0</v>
      </c>
      <c r="E77" s="123">
        <f t="shared" si="24"/>
        <v>0</v>
      </c>
      <c r="F77" s="123">
        <f t="shared" si="24"/>
        <v>0</v>
      </c>
      <c r="G77" s="123">
        <f t="shared" si="24"/>
        <v>0</v>
      </c>
      <c r="H77" s="123">
        <f t="shared" si="24"/>
        <v>0</v>
      </c>
      <c r="I77" s="123">
        <f t="shared" si="24"/>
        <v>0</v>
      </c>
      <c r="J77" s="123">
        <f t="shared" si="24"/>
        <v>0</v>
      </c>
      <c r="K77" s="123">
        <f t="shared" si="24"/>
        <v>0</v>
      </c>
      <c r="L77" s="123">
        <f t="shared" si="24"/>
        <v>0</v>
      </c>
      <c r="M77" s="123">
        <f t="shared" si="24"/>
        <v>0</v>
      </c>
      <c r="N77" s="123">
        <f t="shared" si="24"/>
        <v>0</v>
      </c>
      <c r="O77" s="123">
        <f t="shared" si="24"/>
        <v>0</v>
      </c>
      <c r="P77" s="123">
        <f t="shared" si="24"/>
        <v>0</v>
      </c>
      <c r="Q77" s="123">
        <f t="shared" si="24"/>
        <v>0</v>
      </c>
      <c r="R77" s="123">
        <f t="shared" si="24"/>
        <v>0</v>
      </c>
      <c r="S77" s="123">
        <f t="shared" si="24"/>
        <v>0</v>
      </c>
      <c r="T77" s="123">
        <f t="shared" si="24"/>
        <v>0</v>
      </c>
      <c r="U77" s="123">
        <f t="shared" si="24"/>
        <v>0</v>
      </c>
      <c r="V77" s="123">
        <f t="shared" si="24"/>
        <v>0</v>
      </c>
      <c r="W77" s="123">
        <f t="shared" si="24"/>
        <v>0</v>
      </c>
      <c r="X77" s="123">
        <f t="shared" si="24"/>
        <v>0</v>
      </c>
      <c r="Y77" s="123">
        <f t="shared" si="24"/>
        <v>0</v>
      </c>
      <c r="Z77" s="123">
        <f t="shared" si="24"/>
        <v>0</v>
      </c>
      <c r="AA77" s="123">
        <f t="shared" si="24"/>
        <v>0</v>
      </c>
      <c r="AB77" s="123">
        <f t="shared" si="24"/>
        <v>0</v>
      </c>
      <c r="AC77" s="123">
        <f t="shared" si="24"/>
        <v>0</v>
      </c>
      <c r="AD77" s="123">
        <f t="shared" si="24"/>
        <v>0</v>
      </c>
      <c r="AE77" s="123">
        <f t="shared" si="24"/>
        <v>0</v>
      </c>
      <c r="AF77" s="123">
        <f t="shared" si="24"/>
        <v>0</v>
      </c>
      <c r="AG77" s="123">
        <f t="shared" si="24"/>
        <v>1</v>
      </c>
      <c r="AH77" s="123">
        <f t="shared" si="24"/>
        <v>1</v>
      </c>
      <c r="AI77" s="123">
        <f t="shared" si="24"/>
        <v>1</v>
      </c>
      <c r="AJ77" s="44" t="str">
        <f t="shared" si="12"/>
        <v>ANN_0</v>
      </c>
      <c r="AK77" s="57"/>
      <c r="AL77" s="57" t="str">
        <f t="shared" si="16"/>
        <v>07</v>
      </c>
      <c r="AM77" s="59" t="str">
        <f t="shared" si="17"/>
        <v>00</v>
      </c>
      <c r="AN77" s="59" t="str">
        <f t="shared" si="18"/>
        <v>00</v>
      </c>
      <c r="AO77" s="59" t="str">
        <f t="shared" si="19"/>
        <v>00</v>
      </c>
      <c r="AQ77" t="str">
        <f t="shared" si="13"/>
        <v xml:space="preserve">    (U4)0x00000007U,                                                           /* 06 ANN_0                                           */</v>
      </c>
    </row>
    <row r="78" spans="1:46">
      <c r="B78" s="131"/>
      <c r="C78" s="44">
        <f t="shared" si="14"/>
        <v>7</v>
      </c>
      <c r="D78" s="123">
        <f t="shared" ref="D78:AI78" si="25">IF(D13=1,1,0)</f>
        <v>0</v>
      </c>
      <c r="E78" s="123">
        <f t="shared" si="25"/>
        <v>0</v>
      </c>
      <c r="F78" s="123">
        <f t="shared" si="25"/>
        <v>0</v>
      </c>
      <c r="G78" s="123">
        <f t="shared" si="25"/>
        <v>0</v>
      </c>
      <c r="H78" s="123">
        <f t="shared" si="25"/>
        <v>0</v>
      </c>
      <c r="I78" s="123">
        <f t="shared" si="25"/>
        <v>0</v>
      </c>
      <c r="J78" s="123">
        <f t="shared" si="25"/>
        <v>0</v>
      </c>
      <c r="K78" s="123">
        <f t="shared" si="25"/>
        <v>0</v>
      </c>
      <c r="L78" s="123">
        <f t="shared" si="25"/>
        <v>0</v>
      </c>
      <c r="M78" s="123">
        <f t="shared" si="25"/>
        <v>0</v>
      </c>
      <c r="N78" s="123">
        <f t="shared" si="25"/>
        <v>0</v>
      </c>
      <c r="O78" s="123">
        <f t="shared" si="25"/>
        <v>0</v>
      </c>
      <c r="P78" s="123">
        <f t="shared" si="25"/>
        <v>0</v>
      </c>
      <c r="Q78" s="123">
        <f t="shared" si="25"/>
        <v>0</v>
      </c>
      <c r="R78" s="123">
        <f t="shared" si="25"/>
        <v>0</v>
      </c>
      <c r="S78" s="123">
        <f t="shared" si="25"/>
        <v>0</v>
      </c>
      <c r="T78" s="123">
        <f t="shared" si="25"/>
        <v>0</v>
      </c>
      <c r="U78" s="123">
        <f t="shared" si="25"/>
        <v>0</v>
      </c>
      <c r="V78" s="123">
        <f t="shared" si="25"/>
        <v>0</v>
      </c>
      <c r="W78" s="123">
        <f t="shared" si="25"/>
        <v>0</v>
      </c>
      <c r="X78" s="123">
        <f t="shared" si="25"/>
        <v>0</v>
      </c>
      <c r="Y78" s="123">
        <f t="shared" si="25"/>
        <v>0</v>
      </c>
      <c r="Z78" s="123">
        <f t="shared" si="25"/>
        <v>0</v>
      </c>
      <c r="AA78" s="123">
        <f t="shared" si="25"/>
        <v>0</v>
      </c>
      <c r="AB78" s="123">
        <f t="shared" si="25"/>
        <v>0</v>
      </c>
      <c r="AC78" s="123">
        <f t="shared" si="25"/>
        <v>0</v>
      </c>
      <c r="AD78" s="123">
        <f t="shared" si="25"/>
        <v>0</v>
      </c>
      <c r="AE78" s="123">
        <f t="shared" si="25"/>
        <v>1</v>
      </c>
      <c r="AF78" s="123">
        <f t="shared" si="25"/>
        <v>0</v>
      </c>
      <c r="AG78" s="123">
        <f t="shared" si="25"/>
        <v>0</v>
      </c>
      <c r="AH78" s="123">
        <f t="shared" si="25"/>
        <v>0</v>
      </c>
      <c r="AI78" s="123">
        <f t="shared" si="25"/>
        <v>1</v>
      </c>
      <c r="AJ78" s="44" t="str">
        <f t="shared" si="12"/>
        <v>CONT_1</v>
      </c>
      <c r="AK78" s="57"/>
      <c r="AL78" s="57" t="str">
        <f t="shared" si="16"/>
        <v>11</v>
      </c>
      <c r="AM78" s="59" t="str">
        <f t="shared" si="17"/>
        <v>00</v>
      </c>
      <c r="AN78" s="59" t="str">
        <f t="shared" si="18"/>
        <v>00</v>
      </c>
      <c r="AO78" s="59" t="str">
        <f t="shared" si="19"/>
        <v>00</v>
      </c>
      <c r="AQ78" t="str">
        <f t="shared" si="13"/>
        <v xml:space="preserve">    (U4)0x00000011U,                                                           /* 07 CONT_1                                          */</v>
      </c>
    </row>
    <row r="79" spans="1:46">
      <c r="B79" s="131"/>
      <c r="C79" s="44">
        <f t="shared" si="14"/>
        <v>8</v>
      </c>
      <c r="D79" s="123">
        <f t="shared" ref="D79:AI79" si="26">IF(D14=1,1,0)</f>
        <v>0</v>
      </c>
      <c r="E79" s="123">
        <f t="shared" si="26"/>
        <v>0</v>
      </c>
      <c r="F79" s="123">
        <f t="shared" si="26"/>
        <v>0</v>
      </c>
      <c r="G79" s="123">
        <f t="shared" si="26"/>
        <v>0</v>
      </c>
      <c r="H79" s="123">
        <f t="shared" si="26"/>
        <v>0</v>
      </c>
      <c r="I79" s="123">
        <f t="shared" si="26"/>
        <v>0</v>
      </c>
      <c r="J79" s="123">
        <f t="shared" si="26"/>
        <v>0</v>
      </c>
      <c r="K79" s="123">
        <f t="shared" si="26"/>
        <v>0</v>
      </c>
      <c r="L79" s="123">
        <f t="shared" si="26"/>
        <v>0</v>
      </c>
      <c r="M79" s="123">
        <f t="shared" si="26"/>
        <v>0</v>
      </c>
      <c r="N79" s="123">
        <f t="shared" si="26"/>
        <v>0</v>
      </c>
      <c r="O79" s="123">
        <f t="shared" si="26"/>
        <v>0</v>
      </c>
      <c r="P79" s="123">
        <f t="shared" si="26"/>
        <v>0</v>
      </c>
      <c r="Q79" s="123">
        <f t="shared" si="26"/>
        <v>0</v>
      </c>
      <c r="R79" s="123">
        <f t="shared" si="26"/>
        <v>0</v>
      </c>
      <c r="S79" s="123">
        <f t="shared" si="26"/>
        <v>0</v>
      </c>
      <c r="T79" s="123">
        <f t="shared" si="26"/>
        <v>0</v>
      </c>
      <c r="U79" s="123">
        <f t="shared" si="26"/>
        <v>0</v>
      </c>
      <c r="V79" s="123">
        <f t="shared" si="26"/>
        <v>0</v>
      </c>
      <c r="W79" s="123">
        <f t="shared" si="26"/>
        <v>0</v>
      </c>
      <c r="X79" s="123">
        <f t="shared" si="26"/>
        <v>0</v>
      </c>
      <c r="Y79" s="123">
        <f t="shared" si="26"/>
        <v>0</v>
      </c>
      <c r="Z79" s="123">
        <f t="shared" si="26"/>
        <v>0</v>
      </c>
      <c r="AA79" s="123">
        <f t="shared" si="26"/>
        <v>0</v>
      </c>
      <c r="AB79" s="123">
        <f t="shared" si="26"/>
        <v>0</v>
      </c>
      <c r="AC79" s="123">
        <f t="shared" si="26"/>
        <v>0</v>
      </c>
      <c r="AD79" s="123">
        <f t="shared" si="26"/>
        <v>0</v>
      </c>
      <c r="AE79" s="123">
        <f t="shared" si="26"/>
        <v>1</v>
      </c>
      <c r="AF79" s="123">
        <f t="shared" si="26"/>
        <v>0</v>
      </c>
      <c r="AG79" s="123">
        <f t="shared" si="26"/>
        <v>0</v>
      </c>
      <c r="AH79" s="123">
        <f t="shared" si="26"/>
        <v>1</v>
      </c>
      <c r="AI79" s="123">
        <f t="shared" si="26"/>
        <v>0</v>
      </c>
      <c r="AJ79" s="44" t="str">
        <f t="shared" si="12"/>
        <v>TEN_1</v>
      </c>
      <c r="AK79" s="57"/>
      <c r="AL79" s="57" t="str">
        <f t="shared" si="16"/>
        <v>12</v>
      </c>
      <c r="AM79" s="59" t="str">
        <f t="shared" si="17"/>
        <v>00</v>
      </c>
      <c r="AN79" s="59" t="str">
        <f t="shared" si="18"/>
        <v>00</v>
      </c>
      <c r="AO79" s="59" t="str">
        <f t="shared" si="19"/>
        <v>00</v>
      </c>
      <c r="AQ79" t="str">
        <f t="shared" si="13"/>
        <v xml:space="preserve">    (U4)0x00000012U,                                                           /* 08 TEN_1                                           */</v>
      </c>
    </row>
    <row r="80" spans="1:46">
      <c r="B80" s="131"/>
      <c r="C80" s="44">
        <f t="shared" si="14"/>
        <v>9</v>
      </c>
      <c r="D80" s="123">
        <f t="shared" ref="D80:AI80" si="27">IF(D15=1,1,0)</f>
        <v>0</v>
      </c>
      <c r="E80" s="123">
        <f t="shared" si="27"/>
        <v>0</v>
      </c>
      <c r="F80" s="123">
        <f t="shared" si="27"/>
        <v>0</v>
      </c>
      <c r="G80" s="123">
        <f t="shared" si="27"/>
        <v>0</v>
      </c>
      <c r="H80" s="123">
        <f t="shared" si="27"/>
        <v>0</v>
      </c>
      <c r="I80" s="123">
        <f t="shared" si="27"/>
        <v>0</v>
      </c>
      <c r="J80" s="123">
        <f t="shared" si="27"/>
        <v>0</v>
      </c>
      <c r="K80" s="123">
        <f t="shared" si="27"/>
        <v>0</v>
      </c>
      <c r="L80" s="123">
        <f t="shared" si="27"/>
        <v>0</v>
      </c>
      <c r="M80" s="123">
        <f t="shared" si="27"/>
        <v>0</v>
      </c>
      <c r="N80" s="123">
        <f t="shared" si="27"/>
        <v>0</v>
      </c>
      <c r="O80" s="123">
        <f t="shared" si="27"/>
        <v>0</v>
      </c>
      <c r="P80" s="123">
        <f t="shared" si="27"/>
        <v>0</v>
      </c>
      <c r="Q80" s="123">
        <f t="shared" si="27"/>
        <v>0</v>
      </c>
      <c r="R80" s="123">
        <f t="shared" si="27"/>
        <v>0</v>
      </c>
      <c r="S80" s="123">
        <f t="shared" si="27"/>
        <v>0</v>
      </c>
      <c r="T80" s="123">
        <f t="shared" si="27"/>
        <v>0</v>
      </c>
      <c r="U80" s="123">
        <f t="shared" si="27"/>
        <v>0</v>
      </c>
      <c r="V80" s="123">
        <f t="shared" si="27"/>
        <v>0</v>
      </c>
      <c r="W80" s="123">
        <f t="shared" si="27"/>
        <v>0</v>
      </c>
      <c r="X80" s="123">
        <f t="shared" si="27"/>
        <v>0</v>
      </c>
      <c r="Y80" s="123">
        <f t="shared" si="27"/>
        <v>0</v>
      </c>
      <c r="Z80" s="123">
        <f t="shared" si="27"/>
        <v>0</v>
      </c>
      <c r="AA80" s="123">
        <f t="shared" si="27"/>
        <v>0</v>
      </c>
      <c r="AB80" s="123">
        <f t="shared" si="27"/>
        <v>0</v>
      </c>
      <c r="AC80" s="123">
        <f t="shared" si="27"/>
        <v>0</v>
      </c>
      <c r="AD80" s="123">
        <f t="shared" si="27"/>
        <v>0</v>
      </c>
      <c r="AE80" s="123">
        <f t="shared" si="27"/>
        <v>1</v>
      </c>
      <c r="AF80" s="123">
        <f t="shared" si="27"/>
        <v>0</v>
      </c>
      <c r="AG80" s="123">
        <f t="shared" si="27"/>
        <v>1</v>
      </c>
      <c r="AH80" s="123">
        <f t="shared" si="27"/>
        <v>0</v>
      </c>
      <c r="AI80" s="123">
        <f t="shared" si="27"/>
        <v>1</v>
      </c>
      <c r="AJ80" s="44" t="str">
        <f t="shared" si="12"/>
        <v>RJT_1</v>
      </c>
      <c r="AK80" s="57"/>
      <c r="AL80" s="57" t="str">
        <f t="shared" si="16"/>
        <v>15</v>
      </c>
      <c r="AM80" s="59" t="str">
        <f t="shared" si="17"/>
        <v>00</v>
      </c>
      <c r="AN80" s="59" t="str">
        <f t="shared" si="18"/>
        <v>00</v>
      </c>
      <c r="AO80" s="59" t="str">
        <f t="shared" si="19"/>
        <v>00</v>
      </c>
      <c r="AQ80" t="str">
        <f t="shared" si="13"/>
        <v xml:space="preserve">    (U4)0x00000015U,                                                           /* 09 RJT_1                                           */</v>
      </c>
    </row>
    <row r="81" spans="2:43">
      <c r="B81" s="131"/>
      <c r="C81" s="44">
        <f t="shared" si="14"/>
        <v>10</v>
      </c>
      <c r="D81" s="123">
        <f t="shared" ref="D81:AI81" si="28">IF(D16=1,1,0)</f>
        <v>0</v>
      </c>
      <c r="E81" s="123">
        <f t="shared" si="28"/>
        <v>0</v>
      </c>
      <c r="F81" s="123">
        <f t="shared" si="28"/>
        <v>0</v>
      </c>
      <c r="G81" s="123">
        <f t="shared" si="28"/>
        <v>0</v>
      </c>
      <c r="H81" s="123">
        <f t="shared" si="28"/>
        <v>0</v>
      </c>
      <c r="I81" s="123">
        <f t="shared" si="28"/>
        <v>0</v>
      </c>
      <c r="J81" s="123">
        <f t="shared" si="28"/>
        <v>0</v>
      </c>
      <c r="K81" s="123">
        <f t="shared" si="28"/>
        <v>0</v>
      </c>
      <c r="L81" s="123">
        <f t="shared" si="28"/>
        <v>0</v>
      </c>
      <c r="M81" s="123">
        <f t="shared" si="28"/>
        <v>0</v>
      </c>
      <c r="N81" s="123">
        <f t="shared" si="28"/>
        <v>0</v>
      </c>
      <c r="O81" s="123">
        <f t="shared" si="28"/>
        <v>0</v>
      </c>
      <c r="P81" s="123">
        <f t="shared" si="28"/>
        <v>0</v>
      </c>
      <c r="Q81" s="123">
        <f t="shared" si="28"/>
        <v>0</v>
      </c>
      <c r="R81" s="123">
        <f t="shared" si="28"/>
        <v>0</v>
      </c>
      <c r="S81" s="123">
        <f t="shared" si="28"/>
        <v>0</v>
      </c>
      <c r="T81" s="123">
        <f t="shared" si="28"/>
        <v>0</v>
      </c>
      <c r="U81" s="123">
        <f t="shared" si="28"/>
        <v>0</v>
      </c>
      <c r="V81" s="123">
        <f t="shared" si="28"/>
        <v>0</v>
      </c>
      <c r="W81" s="123">
        <f t="shared" si="28"/>
        <v>0</v>
      </c>
      <c r="X81" s="123">
        <f t="shared" si="28"/>
        <v>0</v>
      </c>
      <c r="Y81" s="123">
        <f t="shared" si="28"/>
        <v>0</v>
      </c>
      <c r="Z81" s="123">
        <f t="shared" si="28"/>
        <v>0</v>
      </c>
      <c r="AA81" s="123">
        <f t="shared" si="28"/>
        <v>0</v>
      </c>
      <c r="AB81" s="123">
        <f t="shared" si="28"/>
        <v>0</v>
      </c>
      <c r="AC81" s="123">
        <f t="shared" si="28"/>
        <v>0</v>
      </c>
      <c r="AD81" s="123">
        <f t="shared" si="28"/>
        <v>0</v>
      </c>
      <c r="AE81" s="123">
        <f t="shared" si="28"/>
        <v>1</v>
      </c>
      <c r="AF81" s="123">
        <f t="shared" si="28"/>
        <v>0</v>
      </c>
      <c r="AG81" s="123">
        <f t="shared" si="28"/>
        <v>1</v>
      </c>
      <c r="AH81" s="123">
        <f t="shared" si="28"/>
        <v>1</v>
      </c>
      <c r="AI81" s="123">
        <f t="shared" si="28"/>
        <v>0</v>
      </c>
      <c r="AJ81" s="44" t="str">
        <f t="shared" si="12"/>
        <v>RCV_1</v>
      </c>
      <c r="AK81" s="57"/>
      <c r="AL81" s="57" t="str">
        <f t="shared" si="16"/>
        <v>16</v>
      </c>
      <c r="AM81" s="59" t="str">
        <f t="shared" si="17"/>
        <v>00</v>
      </c>
      <c r="AN81" s="59" t="str">
        <f t="shared" si="18"/>
        <v>00</v>
      </c>
      <c r="AO81" s="59" t="str">
        <f t="shared" si="19"/>
        <v>00</v>
      </c>
      <c r="AQ81" t="str">
        <f t="shared" si="13"/>
        <v xml:space="preserve">    (U4)0x00000016U,                                                           /* 10 RCV_1                                           */</v>
      </c>
    </row>
    <row r="82" spans="2:43">
      <c r="B82" s="131"/>
      <c r="C82" s="44">
        <f t="shared" si="14"/>
        <v>11</v>
      </c>
      <c r="D82" s="123">
        <f t="shared" ref="D82:AI82" si="29">IF(D17=1,1,0)</f>
        <v>0</v>
      </c>
      <c r="E82" s="123">
        <f t="shared" si="29"/>
        <v>0</v>
      </c>
      <c r="F82" s="123">
        <f t="shared" si="29"/>
        <v>0</v>
      </c>
      <c r="G82" s="123">
        <f t="shared" si="29"/>
        <v>0</v>
      </c>
      <c r="H82" s="123">
        <f t="shared" si="29"/>
        <v>0</v>
      </c>
      <c r="I82" s="123">
        <f t="shared" si="29"/>
        <v>0</v>
      </c>
      <c r="J82" s="123">
        <f t="shared" si="29"/>
        <v>0</v>
      </c>
      <c r="K82" s="123">
        <f t="shared" si="29"/>
        <v>0</v>
      </c>
      <c r="L82" s="123">
        <f t="shared" si="29"/>
        <v>0</v>
      </c>
      <c r="M82" s="123">
        <f t="shared" si="29"/>
        <v>0</v>
      </c>
      <c r="N82" s="123">
        <f t="shared" si="29"/>
        <v>0</v>
      </c>
      <c r="O82" s="123">
        <f t="shared" si="29"/>
        <v>0</v>
      </c>
      <c r="P82" s="123">
        <f t="shared" si="29"/>
        <v>0</v>
      </c>
      <c r="Q82" s="123">
        <f t="shared" si="29"/>
        <v>0</v>
      </c>
      <c r="R82" s="123">
        <f t="shared" si="29"/>
        <v>0</v>
      </c>
      <c r="S82" s="123">
        <f t="shared" si="29"/>
        <v>0</v>
      </c>
      <c r="T82" s="123">
        <f t="shared" si="29"/>
        <v>0</v>
      </c>
      <c r="U82" s="123">
        <f t="shared" si="29"/>
        <v>0</v>
      </c>
      <c r="V82" s="123">
        <f t="shared" si="29"/>
        <v>0</v>
      </c>
      <c r="W82" s="123">
        <f t="shared" si="29"/>
        <v>0</v>
      </c>
      <c r="X82" s="123">
        <f t="shared" si="29"/>
        <v>0</v>
      </c>
      <c r="Y82" s="123">
        <f t="shared" si="29"/>
        <v>0</v>
      </c>
      <c r="Z82" s="123">
        <f t="shared" si="29"/>
        <v>0</v>
      </c>
      <c r="AA82" s="123">
        <f t="shared" si="29"/>
        <v>0</v>
      </c>
      <c r="AB82" s="123">
        <f t="shared" si="29"/>
        <v>0</v>
      </c>
      <c r="AC82" s="123">
        <f t="shared" si="29"/>
        <v>0</v>
      </c>
      <c r="AD82" s="123">
        <f t="shared" si="29"/>
        <v>0</v>
      </c>
      <c r="AE82" s="123">
        <f t="shared" si="29"/>
        <v>1</v>
      </c>
      <c r="AF82" s="123">
        <f t="shared" si="29"/>
        <v>0</v>
      </c>
      <c r="AG82" s="123">
        <f t="shared" si="29"/>
        <v>1</v>
      </c>
      <c r="AH82" s="123">
        <f t="shared" si="29"/>
        <v>1</v>
      </c>
      <c r="AI82" s="123">
        <f t="shared" si="29"/>
        <v>1</v>
      </c>
      <c r="AJ82" s="44" t="str">
        <f t="shared" si="12"/>
        <v>ANN_1</v>
      </c>
      <c r="AK82" s="57"/>
      <c r="AL82" s="57" t="str">
        <f t="shared" si="16"/>
        <v>17</v>
      </c>
      <c r="AM82" s="59" t="str">
        <f t="shared" si="17"/>
        <v>00</v>
      </c>
      <c r="AN82" s="59" t="str">
        <f t="shared" si="18"/>
        <v>00</v>
      </c>
      <c r="AO82" s="59" t="str">
        <f t="shared" si="19"/>
        <v>00</v>
      </c>
      <c r="AQ82" t="str">
        <f t="shared" si="13"/>
        <v xml:space="preserve">    (U4)0x00000017U,                                                           /* 11 ANN_1                                           */</v>
      </c>
    </row>
    <row r="83" spans="2:43">
      <c r="B83" s="131"/>
      <c r="C83" s="44">
        <f t="shared" si="14"/>
        <v>12</v>
      </c>
      <c r="D83" s="123">
        <f t="shared" ref="D83:AI83" si="30">IF(D18=1,1,0)</f>
        <v>0</v>
      </c>
      <c r="E83" s="123">
        <f t="shared" si="30"/>
        <v>0</v>
      </c>
      <c r="F83" s="123">
        <f t="shared" si="30"/>
        <v>0</v>
      </c>
      <c r="G83" s="123">
        <f t="shared" si="30"/>
        <v>0</v>
      </c>
      <c r="H83" s="123">
        <f t="shared" si="30"/>
        <v>0</v>
      </c>
      <c r="I83" s="123">
        <f t="shared" si="30"/>
        <v>0</v>
      </c>
      <c r="J83" s="123">
        <f t="shared" si="30"/>
        <v>0</v>
      </c>
      <c r="K83" s="123">
        <f t="shared" si="30"/>
        <v>0</v>
      </c>
      <c r="L83" s="123">
        <f t="shared" si="30"/>
        <v>0</v>
      </c>
      <c r="M83" s="123">
        <f t="shared" si="30"/>
        <v>0</v>
      </c>
      <c r="N83" s="123">
        <f t="shared" si="30"/>
        <v>0</v>
      </c>
      <c r="O83" s="123">
        <f t="shared" si="30"/>
        <v>0</v>
      </c>
      <c r="P83" s="123">
        <f t="shared" si="30"/>
        <v>0</v>
      </c>
      <c r="Q83" s="123">
        <f t="shared" si="30"/>
        <v>0</v>
      </c>
      <c r="R83" s="123">
        <f t="shared" si="30"/>
        <v>0</v>
      </c>
      <c r="S83" s="123">
        <f t="shared" si="30"/>
        <v>0</v>
      </c>
      <c r="T83" s="123">
        <f t="shared" si="30"/>
        <v>0</v>
      </c>
      <c r="U83" s="123">
        <f t="shared" si="30"/>
        <v>0</v>
      </c>
      <c r="V83" s="123">
        <f t="shared" si="30"/>
        <v>0</v>
      </c>
      <c r="W83" s="123">
        <f t="shared" si="30"/>
        <v>0</v>
      </c>
      <c r="X83" s="123">
        <f t="shared" si="30"/>
        <v>0</v>
      </c>
      <c r="Y83" s="123">
        <f t="shared" si="30"/>
        <v>0</v>
      </c>
      <c r="Z83" s="123">
        <f t="shared" si="30"/>
        <v>0</v>
      </c>
      <c r="AA83" s="123">
        <f t="shared" si="30"/>
        <v>0</v>
      </c>
      <c r="AB83" s="123">
        <f t="shared" si="30"/>
        <v>0</v>
      </c>
      <c r="AC83" s="123">
        <f t="shared" si="30"/>
        <v>0</v>
      </c>
      <c r="AD83" s="123">
        <f t="shared" si="30"/>
        <v>1</v>
      </c>
      <c r="AE83" s="123">
        <f t="shared" si="30"/>
        <v>0</v>
      </c>
      <c r="AF83" s="123">
        <f t="shared" si="30"/>
        <v>0</v>
      </c>
      <c r="AG83" s="123">
        <f t="shared" si="30"/>
        <v>0</v>
      </c>
      <c r="AH83" s="123">
        <f t="shared" si="30"/>
        <v>0</v>
      </c>
      <c r="AI83" s="123">
        <f t="shared" si="30"/>
        <v>1</v>
      </c>
      <c r="AJ83" s="44" t="str">
        <f t="shared" si="12"/>
        <v>CONT_2</v>
      </c>
      <c r="AK83" s="57"/>
      <c r="AL83" s="57" t="str">
        <f t="shared" si="16"/>
        <v>21</v>
      </c>
      <c r="AM83" s="59" t="str">
        <f t="shared" si="17"/>
        <v>00</v>
      </c>
      <c r="AN83" s="59" t="str">
        <f t="shared" si="18"/>
        <v>00</v>
      </c>
      <c r="AO83" s="59" t="str">
        <f t="shared" si="19"/>
        <v>00</v>
      </c>
      <c r="AQ83" t="str">
        <f t="shared" si="13"/>
        <v xml:space="preserve">    (U4)0x00000021U,                                                           /* 12 CONT_2                                          */</v>
      </c>
    </row>
    <row r="84" spans="2:43">
      <c r="B84" s="131"/>
      <c r="C84" s="44">
        <f t="shared" si="14"/>
        <v>13</v>
      </c>
      <c r="D84" s="123">
        <f t="shared" ref="D84:AI84" si="31">IF(D19=1,1,0)</f>
        <v>0</v>
      </c>
      <c r="E84" s="123">
        <f t="shared" si="31"/>
        <v>0</v>
      </c>
      <c r="F84" s="123">
        <f t="shared" si="31"/>
        <v>0</v>
      </c>
      <c r="G84" s="123">
        <f t="shared" si="31"/>
        <v>0</v>
      </c>
      <c r="H84" s="123">
        <f t="shared" si="31"/>
        <v>0</v>
      </c>
      <c r="I84" s="123">
        <f t="shared" si="31"/>
        <v>0</v>
      </c>
      <c r="J84" s="123">
        <f t="shared" si="31"/>
        <v>0</v>
      </c>
      <c r="K84" s="123">
        <f t="shared" si="31"/>
        <v>0</v>
      </c>
      <c r="L84" s="123">
        <f t="shared" si="31"/>
        <v>0</v>
      </c>
      <c r="M84" s="123">
        <f t="shared" si="31"/>
        <v>0</v>
      </c>
      <c r="N84" s="123">
        <f t="shared" si="31"/>
        <v>0</v>
      </c>
      <c r="O84" s="123">
        <f t="shared" si="31"/>
        <v>0</v>
      </c>
      <c r="P84" s="123">
        <f t="shared" si="31"/>
        <v>0</v>
      </c>
      <c r="Q84" s="123">
        <f t="shared" si="31"/>
        <v>0</v>
      </c>
      <c r="R84" s="123">
        <f t="shared" si="31"/>
        <v>0</v>
      </c>
      <c r="S84" s="123">
        <f t="shared" si="31"/>
        <v>0</v>
      </c>
      <c r="T84" s="123">
        <f t="shared" si="31"/>
        <v>0</v>
      </c>
      <c r="U84" s="123">
        <f t="shared" si="31"/>
        <v>0</v>
      </c>
      <c r="V84" s="123">
        <f t="shared" si="31"/>
        <v>0</v>
      </c>
      <c r="W84" s="123">
        <f t="shared" si="31"/>
        <v>0</v>
      </c>
      <c r="X84" s="123">
        <f t="shared" si="31"/>
        <v>0</v>
      </c>
      <c r="Y84" s="123">
        <f t="shared" si="31"/>
        <v>0</v>
      </c>
      <c r="Z84" s="123">
        <f t="shared" si="31"/>
        <v>0</v>
      </c>
      <c r="AA84" s="123">
        <f t="shared" si="31"/>
        <v>0</v>
      </c>
      <c r="AB84" s="123">
        <f t="shared" si="31"/>
        <v>0</v>
      </c>
      <c r="AC84" s="123">
        <f t="shared" si="31"/>
        <v>0</v>
      </c>
      <c r="AD84" s="123">
        <f t="shared" si="31"/>
        <v>1</v>
      </c>
      <c r="AE84" s="123">
        <f t="shared" si="31"/>
        <v>0</v>
      </c>
      <c r="AF84" s="123">
        <f t="shared" si="31"/>
        <v>0</v>
      </c>
      <c r="AG84" s="123">
        <f t="shared" si="31"/>
        <v>0</v>
      </c>
      <c r="AH84" s="123">
        <f t="shared" si="31"/>
        <v>1</v>
      </c>
      <c r="AI84" s="123">
        <f t="shared" si="31"/>
        <v>0</v>
      </c>
      <c r="AJ84" s="44" t="str">
        <f t="shared" si="12"/>
        <v>TEN_2</v>
      </c>
      <c r="AK84" s="57"/>
      <c r="AL84" s="57" t="str">
        <f t="shared" si="16"/>
        <v>22</v>
      </c>
      <c r="AM84" s="59" t="str">
        <f t="shared" si="17"/>
        <v>00</v>
      </c>
      <c r="AN84" s="59" t="str">
        <f t="shared" si="18"/>
        <v>00</v>
      </c>
      <c r="AO84" s="59" t="str">
        <f t="shared" si="19"/>
        <v>00</v>
      </c>
      <c r="AQ84" t="str">
        <f t="shared" si="13"/>
        <v xml:space="preserve">    (U4)0x00000022U,                                                           /* 13 TEN_2                                           */</v>
      </c>
    </row>
    <row r="85" spans="2:43">
      <c r="B85" s="131"/>
      <c r="C85" s="44">
        <f t="shared" si="14"/>
        <v>14</v>
      </c>
      <c r="D85" s="123">
        <f t="shared" ref="D85:AI85" si="32">IF(D20=1,1,0)</f>
        <v>0</v>
      </c>
      <c r="E85" s="123">
        <f t="shared" si="32"/>
        <v>0</v>
      </c>
      <c r="F85" s="123">
        <f t="shared" si="32"/>
        <v>0</v>
      </c>
      <c r="G85" s="123">
        <f t="shared" si="32"/>
        <v>0</v>
      </c>
      <c r="H85" s="123">
        <f t="shared" si="32"/>
        <v>0</v>
      </c>
      <c r="I85" s="123">
        <f t="shared" si="32"/>
        <v>0</v>
      </c>
      <c r="J85" s="123">
        <f t="shared" si="32"/>
        <v>0</v>
      </c>
      <c r="K85" s="123">
        <f t="shared" si="32"/>
        <v>0</v>
      </c>
      <c r="L85" s="123">
        <f t="shared" si="32"/>
        <v>0</v>
      </c>
      <c r="M85" s="123">
        <f t="shared" si="32"/>
        <v>0</v>
      </c>
      <c r="N85" s="123">
        <f t="shared" si="32"/>
        <v>0</v>
      </c>
      <c r="O85" s="123">
        <f t="shared" si="32"/>
        <v>0</v>
      </c>
      <c r="P85" s="123">
        <f t="shared" si="32"/>
        <v>0</v>
      </c>
      <c r="Q85" s="123">
        <f t="shared" si="32"/>
        <v>0</v>
      </c>
      <c r="R85" s="123">
        <f t="shared" si="32"/>
        <v>0</v>
      </c>
      <c r="S85" s="123">
        <f t="shared" si="32"/>
        <v>0</v>
      </c>
      <c r="T85" s="123">
        <f t="shared" si="32"/>
        <v>0</v>
      </c>
      <c r="U85" s="123">
        <f t="shared" si="32"/>
        <v>0</v>
      </c>
      <c r="V85" s="123">
        <f t="shared" si="32"/>
        <v>0</v>
      </c>
      <c r="W85" s="123">
        <f t="shared" si="32"/>
        <v>0</v>
      </c>
      <c r="X85" s="123">
        <f t="shared" si="32"/>
        <v>0</v>
      </c>
      <c r="Y85" s="123">
        <f t="shared" si="32"/>
        <v>0</v>
      </c>
      <c r="Z85" s="123">
        <f t="shared" si="32"/>
        <v>0</v>
      </c>
      <c r="AA85" s="123">
        <f t="shared" si="32"/>
        <v>0</v>
      </c>
      <c r="AB85" s="123">
        <f t="shared" si="32"/>
        <v>0</v>
      </c>
      <c r="AC85" s="123">
        <f t="shared" si="32"/>
        <v>0</v>
      </c>
      <c r="AD85" s="123">
        <f t="shared" si="32"/>
        <v>1</v>
      </c>
      <c r="AE85" s="123">
        <f t="shared" si="32"/>
        <v>0</v>
      </c>
      <c r="AF85" s="123">
        <f t="shared" si="32"/>
        <v>0</v>
      </c>
      <c r="AG85" s="123">
        <f t="shared" si="32"/>
        <v>1</v>
      </c>
      <c r="AH85" s="123">
        <f t="shared" si="32"/>
        <v>0</v>
      </c>
      <c r="AI85" s="123">
        <f t="shared" si="32"/>
        <v>1</v>
      </c>
      <c r="AJ85" s="44" t="str">
        <f t="shared" si="12"/>
        <v>RJT_2</v>
      </c>
      <c r="AK85" s="57"/>
      <c r="AL85" s="57" t="str">
        <f t="shared" si="16"/>
        <v>25</v>
      </c>
      <c r="AM85" s="59" t="str">
        <f t="shared" si="17"/>
        <v>00</v>
      </c>
      <c r="AN85" s="59" t="str">
        <f t="shared" si="18"/>
        <v>00</v>
      </c>
      <c r="AO85" s="59" t="str">
        <f t="shared" si="19"/>
        <v>00</v>
      </c>
      <c r="AQ85" t="str">
        <f t="shared" si="13"/>
        <v xml:space="preserve">    (U4)0x00000025U,                                                           /* 14 RJT_2                                           */</v>
      </c>
    </row>
    <row r="86" spans="2:43">
      <c r="B86" s="131"/>
      <c r="C86" s="44">
        <f t="shared" si="14"/>
        <v>15</v>
      </c>
      <c r="D86" s="123">
        <f t="shared" ref="D86:AI86" si="33">IF(D21=1,1,0)</f>
        <v>0</v>
      </c>
      <c r="E86" s="123">
        <f t="shared" si="33"/>
        <v>0</v>
      </c>
      <c r="F86" s="123">
        <f t="shared" si="33"/>
        <v>0</v>
      </c>
      <c r="G86" s="123">
        <f t="shared" si="33"/>
        <v>0</v>
      </c>
      <c r="H86" s="123">
        <f t="shared" si="33"/>
        <v>0</v>
      </c>
      <c r="I86" s="123">
        <f t="shared" si="33"/>
        <v>0</v>
      </c>
      <c r="J86" s="123">
        <f t="shared" si="33"/>
        <v>0</v>
      </c>
      <c r="K86" s="123">
        <f t="shared" si="33"/>
        <v>0</v>
      </c>
      <c r="L86" s="123">
        <f t="shared" si="33"/>
        <v>0</v>
      </c>
      <c r="M86" s="123">
        <f t="shared" si="33"/>
        <v>0</v>
      </c>
      <c r="N86" s="123">
        <f t="shared" si="33"/>
        <v>0</v>
      </c>
      <c r="O86" s="123">
        <f t="shared" si="33"/>
        <v>0</v>
      </c>
      <c r="P86" s="123">
        <f t="shared" si="33"/>
        <v>0</v>
      </c>
      <c r="Q86" s="123">
        <f t="shared" si="33"/>
        <v>0</v>
      </c>
      <c r="R86" s="123">
        <f t="shared" si="33"/>
        <v>0</v>
      </c>
      <c r="S86" s="123">
        <f t="shared" si="33"/>
        <v>0</v>
      </c>
      <c r="T86" s="123">
        <f t="shared" si="33"/>
        <v>0</v>
      </c>
      <c r="U86" s="123">
        <f t="shared" si="33"/>
        <v>0</v>
      </c>
      <c r="V86" s="123">
        <f t="shared" si="33"/>
        <v>0</v>
      </c>
      <c r="W86" s="123">
        <f t="shared" si="33"/>
        <v>0</v>
      </c>
      <c r="X86" s="123">
        <f t="shared" si="33"/>
        <v>0</v>
      </c>
      <c r="Y86" s="123">
        <f t="shared" si="33"/>
        <v>0</v>
      </c>
      <c r="Z86" s="123">
        <f t="shared" si="33"/>
        <v>0</v>
      </c>
      <c r="AA86" s="123">
        <f t="shared" si="33"/>
        <v>0</v>
      </c>
      <c r="AB86" s="123">
        <f t="shared" si="33"/>
        <v>0</v>
      </c>
      <c r="AC86" s="123">
        <f t="shared" si="33"/>
        <v>0</v>
      </c>
      <c r="AD86" s="123">
        <f t="shared" si="33"/>
        <v>1</v>
      </c>
      <c r="AE86" s="123">
        <f t="shared" si="33"/>
        <v>0</v>
      </c>
      <c r="AF86" s="123">
        <f t="shared" si="33"/>
        <v>0</v>
      </c>
      <c r="AG86" s="123">
        <f t="shared" si="33"/>
        <v>1</v>
      </c>
      <c r="AH86" s="123">
        <f t="shared" si="33"/>
        <v>1</v>
      </c>
      <c r="AI86" s="123">
        <f t="shared" si="33"/>
        <v>0</v>
      </c>
      <c r="AJ86" s="44" t="str">
        <f t="shared" si="12"/>
        <v>RCV_2</v>
      </c>
      <c r="AK86" s="57"/>
      <c r="AL86" s="57" t="str">
        <f t="shared" si="16"/>
        <v>26</v>
      </c>
      <c r="AM86" s="59" t="str">
        <f t="shared" si="17"/>
        <v>00</v>
      </c>
      <c r="AN86" s="59" t="str">
        <f t="shared" si="18"/>
        <v>00</v>
      </c>
      <c r="AO86" s="59" t="str">
        <f t="shared" si="19"/>
        <v>00</v>
      </c>
      <c r="AQ86" t="str">
        <f t="shared" si="13"/>
        <v xml:space="preserve">    (U4)0x00000026U,                                                           /* 15 RCV_2                                           */</v>
      </c>
    </row>
    <row r="87" spans="2:43">
      <c r="B87" s="131"/>
      <c r="C87" s="44">
        <f t="shared" si="14"/>
        <v>16</v>
      </c>
      <c r="D87" s="123">
        <f t="shared" ref="D87:AI87" si="34">IF(D22=1,1,0)</f>
        <v>0</v>
      </c>
      <c r="E87" s="123">
        <f t="shared" si="34"/>
        <v>0</v>
      </c>
      <c r="F87" s="123">
        <f t="shared" si="34"/>
        <v>0</v>
      </c>
      <c r="G87" s="123">
        <f t="shared" si="34"/>
        <v>0</v>
      </c>
      <c r="H87" s="123">
        <f t="shared" si="34"/>
        <v>0</v>
      </c>
      <c r="I87" s="123">
        <f t="shared" si="34"/>
        <v>0</v>
      </c>
      <c r="J87" s="123">
        <f t="shared" si="34"/>
        <v>0</v>
      </c>
      <c r="K87" s="123">
        <f t="shared" si="34"/>
        <v>0</v>
      </c>
      <c r="L87" s="123">
        <f t="shared" si="34"/>
        <v>0</v>
      </c>
      <c r="M87" s="123">
        <f t="shared" si="34"/>
        <v>0</v>
      </c>
      <c r="N87" s="123">
        <f t="shared" si="34"/>
        <v>0</v>
      </c>
      <c r="O87" s="123">
        <f t="shared" si="34"/>
        <v>0</v>
      </c>
      <c r="P87" s="123">
        <f t="shared" si="34"/>
        <v>0</v>
      </c>
      <c r="Q87" s="123">
        <f t="shared" si="34"/>
        <v>0</v>
      </c>
      <c r="R87" s="123">
        <f t="shared" si="34"/>
        <v>0</v>
      </c>
      <c r="S87" s="123">
        <f t="shared" si="34"/>
        <v>0</v>
      </c>
      <c r="T87" s="123">
        <f t="shared" si="34"/>
        <v>0</v>
      </c>
      <c r="U87" s="123">
        <f t="shared" si="34"/>
        <v>0</v>
      </c>
      <c r="V87" s="123">
        <f t="shared" si="34"/>
        <v>0</v>
      </c>
      <c r="W87" s="123">
        <f t="shared" si="34"/>
        <v>0</v>
      </c>
      <c r="X87" s="123">
        <f t="shared" si="34"/>
        <v>0</v>
      </c>
      <c r="Y87" s="123">
        <f t="shared" si="34"/>
        <v>0</v>
      </c>
      <c r="Z87" s="123">
        <f t="shared" si="34"/>
        <v>0</v>
      </c>
      <c r="AA87" s="123">
        <f t="shared" si="34"/>
        <v>0</v>
      </c>
      <c r="AB87" s="123">
        <f t="shared" si="34"/>
        <v>0</v>
      </c>
      <c r="AC87" s="123">
        <f t="shared" si="34"/>
        <v>0</v>
      </c>
      <c r="AD87" s="123">
        <f t="shared" si="34"/>
        <v>1</v>
      </c>
      <c r="AE87" s="123">
        <f t="shared" si="34"/>
        <v>0</v>
      </c>
      <c r="AF87" s="123">
        <f t="shared" si="34"/>
        <v>0</v>
      </c>
      <c r="AG87" s="123">
        <f t="shared" si="34"/>
        <v>1</v>
      </c>
      <c r="AH87" s="123">
        <f t="shared" si="34"/>
        <v>1</v>
      </c>
      <c r="AI87" s="123">
        <f t="shared" si="34"/>
        <v>1</v>
      </c>
      <c r="AJ87" s="44" t="str">
        <f t="shared" si="12"/>
        <v>ANN_2</v>
      </c>
      <c r="AK87" s="57"/>
      <c r="AL87" s="57" t="str">
        <f t="shared" si="16"/>
        <v>27</v>
      </c>
      <c r="AM87" s="59" t="str">
        <f t="shared" si="17"/>
        <v>00</v>
      </c>
      <c r="AN87" s="59" t="str">
        <f t="shared" si="18"/>
        <v>00</v>
      </c>
      <c r="AO87" s="59" t="str">
        <f t="shared" si="19"/>
        <v>00</v>
      </c>
      <c r="AQ87" t="str">
        <f t="shared" si="13"/>
        <v xml:space="preserve">    (U4)0x00000027U,                                                           /* 16 ANN_2                                           */</v>
      </c>
    </row>
    <row r="88" spans="2:43">
      <c r="B88" s="131"/>
      <c r="C88" s="44">
        <f t="shared" si="14"/>
        <v>17</v>
      </c>
      <c r="D88" s="123">
        <f t="shared" ref="D88:AI88" si="35">IF(D23=1,1,0)</f>
        <v>0</v>
      </c>
      <c r="E88" s="123">
        <f t="shared" si="35"/>
        <v>0</v>
      </c>
      <c r="F88" s="123">
        <f t="shared" si="35"/>
        <v>0</v>
      </c>
      <c r="G88" s="123">
        <f t="shared" si="35"/>
        <v>0</v>
      </c>
      <c r="H88" s="123">
        <f t="shared" si="35"/>
        <v>0</v>
      </c>
      <c r="I88" s="123">
        <f t="shared" si="35"/>
        <v>0</v>
      </c>
      <c r="J88" s="123">
        <f t="shared" si="35"/>
        <v>0</v>
      </c>
      <c r="K88" s="123">
        <f t="shared" si="35"/>
        <v>0</v>
      </c>
      <c r="L88" s="123">
        <f t="shared" si="35"/>
        <v>0</v>
      </c>
      <c r="M88" s="123">
        <f t="shared" si="35"/>
        <v>0</v>
      </c>
      <c r="N88" s="123">
        <f t="shared" si="35"/>
        <v>0</v>
      </c>
      <c r="O88" s="123">
        <f t="shared" si="35"/>
        <v>0</v>
      </c>
      <c r="P88" s="123">
        <f t="shared" si="35"/>
        <v>0</v>
      </c>
      <c r="Q88" s="123">
        <f t="shared" si="35"/>
        <v>0</v>
      </c>
      <c r="R88" s="123">
        <f t="shared" si="35"/>
        <v>0</v>
      </c>
      <c r="S88" s="123">
        <f t="shared" si="35"/>
        <v>0</v>
      </c>
      <c r="T88" s="123">
        <f t="shared" si="35"/>
        <v>0</v>
      </c>
      <c r="U88" s="123">
        <f t="shared" si="35"/>
        <v>0</v>
      </c>
      <c r="V88" s="123">
        <f t="shared" si="35"/>
        <v>0</v>
      </c>
      <c r="W88" s="123">
        <f t="shared" si="35"/>
        <v>0</v>
      </c>
      <c r="X88" s="123">
        <f t="shared" si="35"/>
        <v>0</v>
      </c>
      <c r="Y88" s="123">
        <f t="shared" si="35"/>
        <v>0</v>
      </c>
      <c r="Z88" s="123">
        <f t="shared" si="35"/>
        <v>0</v>
      </c>
      <c r="AA88" s="123">
        <f t="shared" si="35"/>
        <v>0</v>
      </c>
      <c r="AB88" s="123">
        <f t="shared" si="35"/>
        <v>0</v>
      </c>
      <c r="AC88" s="123">
        <f t="shared" si="35"/>
        <v>0</v>
      </c>
      <c r="AD88" s="123">
        <f t="shared" si="35"/>
        <v>1</v>
      </c>
      <c r="AE88" s="123">
        <f t="shared" si="35"/>
        <v>1</v>
      </c>
      <c r="AF88" s="123">
        <f t="shared" si="35"/>
        <v>0</v>
      </c>
      <c r="AG88" s="123">
        <f t="shared" si="35"/>
        <v>0</v>
      </c>
      <c r="AH88" s="123">
        <f t="shared" si="35"/>
        <v>0</v>
      </c>
      <c r="AI88" s="123">
        <f t="shared" si="35"/>
        <v>1</v>
      </c>
      <c r="AJ88" s="44" t="str">
        <f t="shared" si="12"/>
        <v>CONT_3</v>
      </c>
      <c r="AK88" s="57"/>
      <c r="AL88" s="57" t="str">
        <f t="shared" si="16"/>
        <v>31</v>
      </c>
      <c r="AM88" s="59" t="str">
        <f t="shared" si="17"/>
        <v>00</v>
      </c>
      <c r="AN88" s="59" t="str">
        <f t="shared" si="18"/>
        <v>00</v>
      </c>
      <c r="AO88" s="59" t="str">
        <f t="shared" si="19"/>
        <v>00</v>
      </c>
      <c r="AQ88" t="str">
        <f t="shared" si="13"/>
        <v xml:space="preserve">    (U4)0x00000031U,                                                           /* 17 CONT_3                                          */</v>
      </c>
    </row>
    <row r="89" spans="2:43">
      <c r="B89" s="131"/>
      <c r="C89" s="44">
        <f t="shared" si="14"/>
        <v>18</v>
      </c>
      <c r="D89" s="123">
        <f t="shared" ref="D89:AI89" si="36">IF(D24=1,1,0)</f>
        <v>0</v>
      </c>
      <c r="E89" s="123">
        <f t="shared" si="36"/>
        <v>0</v>
      </c>
      <c r="F89" s="123">
        <f t="shared" si="36"/>
        <v>0</v>
      </c>
      <c r="G89" s="123">
        <f t="shared" si="36"/>
        <v>0</v>
      </c>
      <c r="H89" s="123">
        <f t="shared" si="36"/>
        <v>0</v>
      </c>
      <c r="I89" s="123">
        <f t="shared" si="36"/>
        <v>0</v>
      </c>
      <c r="J89" s="123">
        <f t="shared" si="36"/>
        <v>0</v>
      </c>
      <c r="K89" s="123">
        <f t="shared" si="36"/>
        <v>0</v>
      </c>
      <c r="L89" s="123">
        <f t="shared" si="36"/>
        <v>0</v>
      </c>
      <c r="M89" s="123">
        <f t="shared" si="36"/>
        <v>0</v>
      </c>
      <c r="N89" s="123">
        <f t="shared" si="36"/>
        <v>0</v>
      </c>
      <c r="O89" s="123">
        <f t="shared" si="36"/>
        <v>0</v>
      </c>
      <c r="P89" s="123">
        <f t="shared" si="36"/>
        <v>0</v>
      </c>
      <c r="Q89" s="123">
        <f t="shared" si="36"/>
        <v>0</v>
      </c>
      <c r="R89" s="123">
        <f t="shared" si="36"/>
        <v>0</v>
      </c>
      <c r="S89" s="123">
        <f t="shared" si="36"/>
        <v>0</v>
      </c>
      <c r="T89" s="123">
        <f t="shared" si="36"/>
        <v>0</v>
      </c>
      <c r="U89" s="123">
        <f t="shared" si="36"/>
        <v>0</v>
      </c>
      <c r="V89" s="123">
        <f t="shared" si="36"/>
        <v>0</v>
      </c>
      <c r="W89" s="123">
        <f t="shared" si="36"/>
        <v>0</v>
      </c>
      <c r="X89" s="123">
        <f t="shared" si="36"/>
        <v>0</v>
      </c>
      <c r="Y89" s="123">
        <f t="shared" si="36"/>
        <v>0</v>
      </c>
      <c r="Z89" s="123">
        <f t="shared" si="36"/>
        <v>0</v>
      </c>
      <c r="AA89" s="123">
        <f t="shared" si="36"/>
        <v>0</v>
      </c>
      <c r="AB89" s="123">
        <f t="shared" si="36"/>
        <v>0</v>
      </c>
      <c r="AC89" s="123">
        <f t="shared" si="36"/>
        <v>0</v>
      </c>
      <c r="AD89" s="123">
        <f t="shared" si="36"/>
        <v>1</v>
      </c>
      <c r="AE89" s="123">
        <f t="shared" si="36"/>
        <v>1</v>
      </c>
      <c r="AF89" s="123">
        <f t="shared" si="36"/>
        <v>0</v>
      </c>
      <c r="AG89" s="123">
        <f t="shared" si="36"/>
        <v>0</v>
      </c>
      <c r="AH89" s="123">
        <f t="shared" si="36"/>
        <v>1</v>
      </c>
      <c r="AI89" s="123">
        <f t="shared" si="36"/>
        <v>0</v>
      </c>
      <c r="AJ89" s="44" t="str">
        <f t="shared" si="12"/>
        <v>TEN_3</v>
      </c>
      <c r="AK89" s="57"/>
      <c r="AL89" s="57" t="str">
        <f t="shared" si="16"/>
        <v>32</v>
      </c>
      <c r="AM89" s="59" t="str">
        <f t="shared" si="17"/>
        <v>00</v>
      </c>
      <c r="AN89" s="59" t="str">
        <f t="shared" si="18"/>
        <v>00</v>
      </c>
      <c r="AO89" s="59" t="str">
        <f t="shared" si="19"/>
        <v>00</v>
      </c>
      <c r="AQ89" t="str">
        <f t="shared" si="13"/>
        <v xml:space="preserve">    (U4)0x00000032U,                                                           /* 18 TEN_3                                           */</v>
      </c>
    </row>
    <row r="90" spans="2:43">
      <c r="B90" s="131"/>
      <c r="C90" s="44">
        <f t="shared" si="14"/>
        <v>19</v>
      </c>
      <c r="D90" s="123">
        <f t="shared" ref="D90:AI90" si="37">IF(D25=1,1,0)</f>
        <v>0</v>
      </c>
      <c r="E90" s="123">
        <f t="shared" si="37"/>
        <v>0</v>
      </c>
      <c r="F90" s="123">
        <f t="shared" si="37"/>
        <v>0</v>
      </c>
      <c r="G90" s="123">
        <f t="shared" si="37"/>
        <v>0</v>
      </c>
      <c r="H90" s="123">
        <f t="shared" si="37"/>
        <v>0</v>
      </c>
      <c r="I90" s="123">
        <f t="shared" si="37"/>
        <v>0</v>
      </c>
      <c r="J90" s="123">
        <f t="shared" si="37"/>
        <v>0</v>
      </c>
      <c r="K90" s="123">
        <f t="shared" si="37"/>
        <v>0</v>
      </c>
      <c r="L90" s="123">
        <f t="shared" si="37"/>
        <v>0</v>
      </c>
      <c r="M90" s="123">
        <f t="shared" si="37"/>
        <v>0</v>
      </c>
      <c r="N90" s="123">
        <f t="shared" si="37"/>
        <v>0</v>
      </c>
      <c r="O90" s="123">
        <f t="shared" si="37"/>
        <v>0</v>
      </c>
      <c r="P90" s="123">
        <f t="shared" si="37"/>
        <v>0</v>
      </c>
      <c r="Q90" s="123">
        <f t="shared" si="37"/>
        <v>0</v>
      </c>
      <c r="R90" s="123">
        <f t="shared" si="37"/>
        <v>0</v>
      </c>
      <c r="S90" s="123">
        <f t="shared" si="37"/>
        <v>0</v>
      </c>
      <c r="T90" s="123">
        <f t="shared" si="37"/>
        <v>0</v>
      </c>
      <c r="U90" s="123">
        <f t="shared" si="37"/>
        <v>0</v>
      </c>
      <c r="V90" s="123">
        <f t="shared" si="37"/>
        <v>0</v>
      </c>
      <c r="W90" s="123">
        <f t="shared" si="37"/>
        <v>0</v>
      </c>
      <c r="X90" s="123">
        <f t="shared" si="37"/>
        <v>0</v>
      </c>
      <c r="Y90" s="123">
        <f t="shared" si="37"/>
        <v>0</v>
      </c>
      <c r="Z90" s="123">
        <f t="shared" si="37"/>
        <v>0</v>
      </c>
      <c r="AA90" s="123">
        <f t="shared" si="37"/>
        <v>0</v>
      </c>
      <c r="AB90" s="123">
        <f t="shared" si="37"/>
        <v>0</v>
      </c>
      <c r="AC90" s="123">
        <f t="shared" si="37"/>
        <v>0</v>
      </c>
      <c r="AD90" s="123">
        <f t="shared" si="37"/>
        <v>1</v>
      </c>
      <c r="AE90" s="123">
        <f t="shared" si="37"/>
        <v>1</v>
      </c>
      <c r="AF90" s="123">
        <f t="shared" si="37"/>
        <v>0</v>
      </c>
      <c r="AG90" s="123">
        <f t="shared" si="37"/>
        <v>1</v>
      </c>
      <c r="AH90" s="123">
        <f t="shared" si="37"/>
        <v>0</v>
      </c>
      <c r="AI90" s="123">
        <f t="shared" si="37"/>
        <v>1</v>
      </c>
      <c r="AJ90" s="44" t="str">
        <f t="shared" si="12"/>
        <v>RJT_3</v>
      </c>
      <c r="AK90" s="57"/>
      <c r="AL90" s="57" t="str">
        <f t="shared" si="16"/>
        <v>35</v>
      </c>
      <c r="AM90" s="59" t="str">
        <f t="shared" si="17"/>
        <v>00</v>
      </c>
      <c r="AN90" s="59" t="str">
        <f t="shared" si="18"/>
        <v>00</v>
      </c>
      <c r="AO90" s="59" t="str">
        <f t="shared" si="19"/>
        <v>00</v>
      </c>
      <c r="AQ90" t="str">
        <f t="shared" si="13"/>
        <v xml:space="preserve">    (U4)0x00000035U,                                                           /* 19 RJT_3                                           */</v>
      </c>
    </row>
    <row r="91" spans="2:43">
      <c r="B91" s="131"/>
      <c r="C91" s="44">
        <f t="shared" si="14"/>
        <v>20</v>
      </c>
      <c r="D91" s="123">
        <f t="shared" ref="D91:AI91" si="38">IF(D26=1,1,0)</f>
        <v>0</v>
      </c>
      <c r="E91" s="123">
        <f t="shared" si="38"/>
        <v>0</v>
      </c>
      <c r="F91" s="123">
        <f t="shared" si="38"/>
        <v>0</v>
      </c>
      <c r="G91" s="123">
        <f t="shared" si="38"/>
        <v>0</v>
      </c>
      <c r="H91" s="123">
        <f t="shared" si="38"/>
        <v>0</v>
      </c>
      <c r="I91" s="123">
        <f t="shared" si="38"/>
        <v>0</v>
      </c>
      <c r="J91" s="123">
        <f t="shared" si="38"/>
        <v>0</v>
      </c>
      <c r="K91" s="123">
        <f t="shared" si="38"/>
        <v>0</v>
      </c>
      <c r="L91" s="123">
        <f t="shared" si="38"/>
        <v>0</v>
      </c>
      <c r="M91" s="123">
        <f t="shared" si="38"/>
        <v>0</v>
      </c>
      <c r="N91" s="123">
        <f t="shared" si="38"/>
        <v>0</v>
      </c>
      <c r="O91" s="123">
        <f t="shared" si="38"/>
        <v>0</v>
      </c>
      <c r="P91" s="123">
        <f t="shared" si="38"/>
        <v>0</v>
      </c>
      <c r="Q91" s="123">
        <f t="shared" si="38"/>
        <v>0</v>
      </c>
      <c r="R91" s="123">
        <f t="shared" si="38"/>
        <v>0</v>
      </c>
      <c r="S91" s="123">
        <f t="shared" si="38"/>
        <v>0</v>
      </c>
      <c r="T91" s="123">
        <f t="shared" si="38"/>
        <v>0</v>
      </c>
      <c r="U91" s="123">
        <f t="shared" si="38"/>
        <v>0</v>
      </c>
      <c r="V91" s="123">
        <f t="shared" si="38"/>
        <v>0</v>
      </c>
      <c r="W91" s="123">
        <f t="shared" si="38"/>
        <v>0</v>
      </c>
      <c r="X91" s="123">
        <f t="shared" si="38"/>
        <v>0</v>
      </c>
      <c r="Y91" s="123">
        <f t="shared" si="38"/>
        <v>0</v>
      </c>
      <c r="Z91" s="123">
        <f t="shared" si="38"/>
        <v>0</v>
      </c>
      <c r="AA91" s="123">
        <f t="shared" si="38"/>
        <v>0</v>
      </c>
      <c r="AB91" s="123">
        <f t="shared" si="38"/>
        <v>0</v>
      </c>
      <c r="AC91" s="123">
        <f t="shared" si="38"/>
        <v>0</v>
      </c>
      <c r="AD91" s="123">
        <f t="shared" si="38"/>
        <v>1</v>
      </c>
      <c r="AE91" s="123">
        <f t="shared" si="38"/>
        <v>1</v>
      </c>
      <c r="AF91" s="123">
        <f t="shared" si="38"/>
        <v>0</v>
      </c>
      <c r="AG91" s="123">
        <f t="shared" si="38"/>
        <v>1</v>
      </c>
      <c r="AH91" s="123">
        <f t="shared" si="38"/>
        <v>1</v>
      </c>
      <c r="AI91" s="123">
        <f t="shared" si="38"/>
        <v>0</v>
      </c>
      <c r="AJ91" s="44" t="str">
        <f t="shared" si="12"/>
        <v>RCV_3</v>
      </c>
      <c r="AK91" s="57"/>
      <c r="AL91" s="57" t="str">
        <f t="shared" si="16"/>
        <v>36</v>
      </c>
      <c r="AM91" s="59" t="str">
        <f t="shared" si="17"/>
        <v>00</v>
      </c>
      <c r="AN91" s="59" t="str">
        <f t="shared" si="18"/>
        <v>00</v>
      </c>
      <c r="AO91" s="59" t="str">
        <f t="shared" si="19"/>
        <v>00</v>
      </c>
      <c r="AQ91" t="str">
        <f t="shared" si="13"/>
        <v xml:space="preserve">    (U4)0x00000036U,                                                           /* 20 RCV_3                                           */</v>
      </c>
    </row>
    <row r="92" spans="2:43">
      <c r="B92" s="131"/>
      <c r="C92" s="44">
        <f t="shared" si="14"/>
        <v>21</v>
      </c>
      <c r="D92" s="123">
        <f t="shared" ref="D92:AI92" si="39">IF(D27=1,1,0)</f>
        <v>0</v>
      </c>
      <c r="E92" s="123">
        <f t="shared" si="39"/>
        <v>0</v>
      </c>
      <c r="F92" s="123">
        <f t="shared" si="39"/>
        <v>0</v>
      </c>
      <c r="G92" s="123">
        <f t="shared" si="39"/>
        <v>0</v>
      </c>
      <c r="H92" s="123">
        <f t="shared" si="39"/>
        <v>0</v>
      </c>
      <c r="I92" s="123">
        <f t="shared" si="39"/>
        <v>0</v>
      </c>
      <c r="J92" s="123">
        <f t="shared" si="39"/>
        <v>0</v>
      </c>
      <c r="K92" s="123">
        <f t="shared" si="39"/>
        <v>0</v>
      </c>
      <c r="L92" s="123">
        <f t="shared" si="39"/>
        <v>0</v>
      </c>
      <c r="M92" s="123">
        <f t="shared" si="39"/>
        <v>0</v>
      </c>
      <c r="N92" s="123">
        <f t="shared" si="39"/>
        <v>0</v>
      </c>
      <c r="O92" s="123">
        <f t="shared" si="39"/>
        <v>0</v>
      </c>
      <c r="P92" s="123">
        <f t="shared" si="39"/>
        <v>0</v>
      </c>
      <c r="Q92" s="123">
        <f t="shared" si="39"/>
        <v>0</v>
      </c>
      <c r="R92" s="123">
        <f t="shared" si="39"/>
        <v>0</v>
      </c>
      <c r="S92" s="123">
        <f t="shared" si="39"/>
        <v>0</v>
      </c>
      <c r="T92" s="123">
        <f t="shared" si="39"/>
        <v>0</v>
      </c>
      <c r="U92" s="123">
        <f t="shared" si="39"/>
        <v>0</v>
      </c>
      <c r="V92" s="123">
        <f t="shared" si="39"/>
        <v>0</v>
      </c>
      <c r="W92" s="123">
        <f t="shared" si="39"/>
        <v>0</v>
      </c>
      <c r="X92" s="123">
        <f t="shared" si="39"/>
        <v>0</v>
      </c>
      <c r="Y92" s="123">
        <f t="shared" si="39"/>
        <v>0</v>
      </c>
      <c r="Z92" s="123">
        <f t="shared" si="39"/>
        <v>0</v>
      </c>
      <c r="AA92" s="123">
        <f t="shared" si="39"/>
        <v>0</v>
      </c>
      <c r="AB92" s="123">
        <f t="shared" si="39"/>
        <v>0</v>
      </c>
      <c r="AC92" s="123">
        <f t="shared" si="39"/>
        <v>0</v>
      </c>
      <c r="AD92" s="123">
        <f t="shared" si="39"/>
        <v>1</v>
      </c>
      <c r="AE92" s="123">
        <f t="shared" si="39"/>
        <v>1</v>
      </c>
      <c r="AF92" s="123">
        <f t="shared" si="39"/>
        <v>0</v>
      </c>
      <c r="AG92" s="123">
        <f t="shared" si="39"/>
        <v>1</v>
      </c>
      <c r="AH92" s="123">
        <f t="shared" si="39"/>
        <v>1</v>
      </c>
      <c r="AI92" s="123">
        <f t="shared" si="39"/>
        <v>1</v>
      </c>
      <c r="AJ92" s="44" t="str">
        <f t="shared" si="12"/>
        <v>ANN_3</v>
      </c>
      <c r="AK92" s="57"/>
      <c r="AL92" s="57" t="str">
        <f t="shared" si="16"/>
        <v>37</v>
      </c>
      <c r="AM92" s="59" t="str">
        <f t="shared" si="17"/>
        <v>00</v>
      </c>
      <c r="AN92" s="59" t="str">
        <f t="shared" si="18"/>
        <v>00</v>
      </c>
      <c r="AO92" s="59" t="str">
        <f t="shared" si="19"/>
        <v>00</v>
      </c>
      <c r="AQ92" t="str">
        <f t="shared" si="13"/>
        <v xml:space="preserve">    (U4)0x00000037U,                                                           /* 21 ANN_3                                           */</v>
      </c>
    </row>
    <row r="93" spans="2:43">
      <c r="B93" s="131"/>
      <c r="C93" s="44">
        <f t="shared" si="14"/>
        <v>22</v>
      </c>
      <c r="D93" s="123">
        <f t="shared" ref="D93:AI93" si="40">IF(D28=1,1,0)</f>
        <v>0</v>
      </c>
      <c r="E93" s="123">
        <f t="shared" si="40"/>
        <v>0</v>
      </c>
      <c r="F93" s="123">
        <f t="shared" si="40"/>
        <v>0</v>
      </c>
      <c r="G93" s="123">
        <f t="shared" si="40"/>
        <v>0</v>
      </c>
      <c r="H93" s="123">
        <f t="shared" si="40"/>
        <v>0</v>
      </c>
      <c r="I93" s="123">
        <f t="shared" si="40"/>
        <v>0</v>
      </c>
      <c r="J93" s="123">
        <f t="shared" si="40"/>
        <v>0</v>
      </c>
      <c r="K93" s="123">
        <f t="shared" si="40"/>
        <v>0</v>
      </c>
      <c r="L93" s="123">
        <f t="shared" si="40"/>
        <v>0</v>
      </c>
      <c r="M93" s="123">
        <f t="shared" si="40"/>
        <v>0</v>
      </c>
      <c r="N93" s="123">
        <f t="shared" si="40"/>
        <v>0</v>
      </c>
      <c r="O93" s="123">
        <f t="shared" si="40"/>
        <v>0</v>
      </c>
      <c r="P93" s="123">
        <f t="shared" si="40"/>
        <v>0</v>
      </c>
      <c r="Q93" s="123">
        <f t="shared" si="40"/>
        <v>0</v>
      </c>
      <c r="R93" s="123">
        <f t="shared" si="40"/>
        <v>0</v>
      </c>
      <c r="S93" s="123">
        <f t="shared" si="40"/>
        <v>0</v>
      </c>
      <c r="T93" s="123">
        <f t="shared" si="40"/>
        <v>0</v>
      </c>
      <c r="U93" s="123">
        <f t="shared" si="40"/>
        <v>0</v>
      </c>
      <c r="V93" s="123">
        <f t="shared" si="40"/>
        <v>0</v>
      </c>
      <c r="W93" s="123">
        <f t="shared" si="40"/>
        <v>0</v>
      </c>
      <c r="X93" s="123">
        <f t="shared" si="40"/>
        <v>0</v>
      </c>
      <c r="Y93" s="123">
        <f t="shared" si="40"/>
        <v>0</v>
      </c>
      <c r="Z93" s="123">
        <f t="shared" si="40"/>
        <v>0</v>
      </c>
      <c r="AA93" s="123">
        <f t="shared" si="40"/>
        <v>0</v>
      </c>
      <c r="AB93" s="123">
        <f t="shared" si="40"/>
        <v>0</v>
      </c>
      <c r="AC93" s="123">
        <f t="shared" si="40"/>
        <v>1</v>
      </c>
      <c r="AD93" s="123">
        <f t="shared" si="40"/>
        <v>0</v>
      </c>
      <c r="AE93" s="123">
        <f t="shared" si="40"/>
        <v>0</v>
      </c>
      <c r="AF93" s="123">
        <f t="shared" si="40"/>
        <v>0</v>
      </c>
      <c r="AG93" s="123">
        <f t="shared" si="40"/>
        <v>0</v>
      </c>
      <c r="AH93" s="123">
        <f t="shared" si="40"/>
        <v>0</v>
      </c>
      <c r="AI93" s="123">
        <f t="shared" si="40"/>
        <v>1</v>
      </c>
      <c r="AJ93" s="44" t="str">
        <f t="shared" si="12"/>
        <v>CONT_4</v>
      </c>
      <c r="AK93" s="57"/>
      <c r="AL93" s="57" t="str">
        <f t="shared" si="16"/>
        <v>41</v>
      </c>
      <c r="AM93" s="59" t="str">
        <f t="shared" si="17"/>
        <v>00</v>
      </c>
      <c r="AN93" s="59" t="str">
        <f t="shared" si="18"/>
        <v>00</v>
      </c>
      <c r="AO93" s="59" t="str">
        <f t="shared" si="19"/>
        <v>00</v>
      </c>
      <c r="AQ93" t="str">
        <f t="shared" si="13"/>
        <v xml:space="preserve">    (U4)0x00000041U,                                                           /* 22 CONT_4                                          */</v>
      </c>
    </row>
    <row r="94" spans="2:43">
      <c r="B94" s="131"/>
      <c r="C94" s="44">
        <f t="shared" si="14"/>
        <v>23</v>
      </c>
      <c r="D94" s="123">
        <f t="shared" ref="D94:AI94" si="41">IF(D29=1,1,0)</f>
        <v>0</v>
      </c>
      <c r="E94" s="123">
        <f t="shared" si="41"/>
        <v>0</v>
      </c>
      <c r="F94" s="123">
        <f t="shared" si="41"/>
        <v>0</v>
      </c>
      <c r="G94" s="123">
        <f t="shared" si="41"/>
        <v>0</v>
      </c>
      <c r="H94" s="123">
        <f t="shared" si="41"/>
        <v>0</v>
      </c>
      <c r="I94" s="123">
        <f t="shared" si="41"/>
        <v>0</v>
      </c>
      <c r="J94" s="123">
        <f t="shared" si="41"/>
        <v>0</v>
      </c>
      <c r="K94" s="123">
        <f t="shared" si="41"/>
        <v>0</v>
      </c>
      <c r="L94" s="123">
        <f t="shared" si="41"/>
        <v>0</v>
      </c>
      <c r="M94" s="123">
        <f t="shared" si="41"/>
        <v>0</v>
      </c>
      <c r="N94" s="123">
        <f t="shared" si="41"/>
        <v>0</v>
      </c>
      <c r="O94" s="123">
        <f t="shared" si="41"/>
        <v>0</v>
      </c>
      <c r="P94" s="123">
        <f t="shared" si="41"/>
        <v>0</v>
      </c>
      <c r="Q94" s="123">
        <f t="shared" si="41"/>
        <v>0</v>
      </c>
      <c r="R94" s="123">
        <f t="shared" si="41"/>
        <v>0</v>
      </c>
      <c r="S94" s="123">
        <f t="shared" si="41"/>
        <v>0</v>
      </c>
      <c r="T94" s="123">
        <f t="shared" si="41"/>
        <v>0</v>
      </c>
      <c r="U94" s="123">
        <f t="shared" si="41"/>
        <v>0</v>
      </c>
      <c r="V94" s="123">
        <f t="shared" si="41"/>
        <v>0</v>
      </c>
      <c r="W94" s="123">
        <f t="shared" si="41"/>
        <v>0</v>
      </c>
      <c r="X94" s="123">
        <f t="shared" si="41"/>
        <v>0</v>
      </c>
      <c r="Y94" s="123">
        <f t="shared" si="41"/>
        <v>0</v>
      </c>
      <c r="Z94" s="123">
        <f t="shared" si="41"/>
        <v>0</v>
      </c>
      <c r="AA94" s="123">
        <f t="shared" si="41"/>
        <v>0</v>
      </c>
      <c r="AB94" s="123">
        <f t="shared" si="41"/>
        <v>0</v>
      </c>
      <c r="AC94" s="123">
        <f t="shared" si="41"/>
        <v>1</v>
      </c>
      <c r="AD94" s="123">
        <f t="shared" si="41"/>
        <v>0</v>
      </c>
      <c r="AE94" s="123">
        <f t="shared" si="41"/>
        <v>0</v>
      </c>
      <c r="AF94" s="123">
        <f t="shared" si="41"/>
        <v>0</v>
      </c>
      <c r="AG94" s="123">
        <f t="shared" si="41"/>
        <v>0</v>
      </c>
      <c r="AH94" s="123">
        <f t="shared" si="41"/>
        <v>1</v>
      </c>
      <c r="AI94" s="123">
        <f t="shared" si="41"/>
        <v>0</v>
      </c>
      <c r="AJ94" s="44" t="str">
        <f t="shared" si="12"/>
        <v>TEN_4</v>
      </c>
      <c r="AK94" s="57"/>
      <c r="AL94" s="57" t="str">
        <f t="shared" si="16"/>
        <v>42</v>
      </c>
      <c r="AM94" s="59" t="str">
        <f t="shared" si="17"/>
        <v>00</v>
      </c>
      <c r="AN94" s="59" t="str">
        <f t="shared" si="18"/>
        <v>00</v>
      </c>
      <c r="AO94" s="59" t="str">
        <f t="shared" si="19"/>
        <v>00</v>
      </c>
      <c r="AQ94" t="str">
        <f t="shared" si="13"/>
        <v xml:space="preserve">    (U4)0x00000042U,                                                           /* 23 TEN_4                                           */</v>
      </c>
    </row>
    <row r="95" spans="2:43">
      <c r="B95" s="131"/>
      <c r="C95" s="44">
        <f t="shared" si="14"/>
        <v>24</v>
      </c>
      <c r="D95" s="123">
        <f t="shared" ref="D95:AI95" si="42">IF(D30=1,1,0)</f>
        <v>0</v>
      </c>
      <c r="E95" s="123">
        <f t="shared" si="42"/>
        <v>0</v>
      </c>
      <c r="F95" s="123">
        <f t="shared" si="42"/>
        <v>0</v>
      </c>
      <c r="G95" s="123">
        <f t="shared" si="42"/>
        <v>0</v>
      </c>
      <c r="H95" s="123">
        <f t="shared" si="42"/>
        <v>0</v>
      </c>
      <c r="I95" s="123">
        <f t="shared" si="42"/>
        <v>0</v>
      </c>
      <c r="J95" s="123">
        <f t="shared" si="42"/>
        <v>0</v>
      </c>
      <c r="K95" s="123">
        <f t="shared" si="42"/>
        <v>0</v>
      </c>
      <c r="L95" s="123">
        <f t="shared" si="42"/>
        <v>0</v>
      </c>
      <c r="M95" s="123">
        <f t="shared" si="42"/>
        <v>0</v>
      </c>
      <c r="N95" s="123">
        <f t="shared" si="42"/>
        <v>0</v>
      </c>
      <c r="O95" s="123">
        <f t="shared" si="42"/>
        <v>0</v>
      </c>
      <c r="P95" s="123">
        <f t="shared" si="42"/>
        <v>0</v>
      </c>
      <c r="Q95" s="123">
        <f t="shared" si="42"/>
        <v>0</v>
      </c>
      <c r="R95" s="123">
        <f t="shared" si="42"/>
        <v>0</v>
      </c>
      <c r="S95" s="123">
        <f t="shared" si="42"/>
        <v>0</v>
      </c>
      <c r="T95" s="123">
        <f t="shared" si="42"/>
        <v>0</v>
      </c>
      <c r="U95" s="123">
        <f t="shared" si="42"/>
        <v>0</v>
      </c>
      <c r="V95" s="123">
        <f t="shared" si="42"/>
        <v>0</v>
      </c>
      <c r="W95" s="123">
        <f t="shared" si="42"/>
        <v>0</v>
      </c>
      <c r="X95" s="123">
        <f t="shared" si="42"/>
        <v>0</v>
      </c>
      <c r="Y95" s="123">
        <f t="shared" si="42"/>
        <v>0</v>
      </c>
      <c r="Z95" s="123">
        <f t="shared" si="42"/>
        <v>0</v>
      </c>
      <c r="AA95" s="123">
        <f t="shared" si="42"/>
        <v>0</v>
      </c>
      <c r="AB95" s="123">
        <f t="shared" si="42"/>
        <v>0</v>
      </c>
      <c r="AC95" s="123">
        <f t="shared" si="42"/>
        <v>1</v>
      </c>
      <c r="AD95" s="123">
        <f t="shared" si="42"/>
        <v>0</v>
      </c>
      <c r="AE95" s="123">
        <f t="shared" si="42"/>
        <v>0</v>
      </c>
      <c r="AF95" s="123">
        <f t="shared" si="42"/>
        <v>0</v>
      </c>
      <c r="AG95" s="123">
        <f t="shared" si="42"/>
        <v>1</v>
      </c>
      <c r="AH95" s="123">
        <f t="shared" si="42"/>
        <v>0</v>
      </c>
      <c r="AI95" s="123">
        <f t="shared" si="42"/>
        <v>1</v>
      </c>
      <c r="AJ95" s="44" t="str">
        <f t="shared" si="12"/>
        <v>RJT_4</v>
      </c>
      <c r="AK95" s="57"/>
      <c r="AL95" s="57" t="str">
        <f t="shared" si="16"/>
        <v>45</v>
      </c>
      <c r="AM95" s="59" t="str">
        <f t="shared" si="17"/>
        <v>00</v>
      </c>
      <c r="AN95" s="59" t="str">
        <f t="shared" si="18"/>
        <v>00</v>
      </c>
      <c r="AO95" s="59" t="str">
        <f t="shared" si="19"/>
        <v>00</v>
      </c>
      <c r="AQ95" t="str">
        <f t="shared" si="13"/>
        <v xml:space="preserve">    (U4)0x00000045U,                                                           /* 24 RJT_4                                           */</v>
      </c>
    </row>
    <row r="96" spans="2:43">
      <c r="B96" s="131"/>
      <c r="C96" s="44">
        <f t="shared" si="14"/>
        <v>25</v>
      </c>
      <c r="D96" s="123">
        <f t="shared" ref="D96:AI96" si="43">IF(D31=1,1,0)</f>
        <v>0</v>
      </c>
      <c r="E96" s="123">
        <f t="shared" si="43"/>
        <v>0</v>
      </c>
      <c r="F96" s="123">
        <f t="shared" si="43"/>
        <v>0</v>
      </c>
      <c r="G96" s="123">
        <f t="shared" si="43"/>
        <v>0</v>
      </c>
      <c r="H96" s="123">
        <f t="shared" si="43"/>
        <v>0</v>
      </c>
      <c r="I96" s="123">
        <f t="shared" si="43"/>
        <v>0</v>
      </c>
      <c r="J96" s="123">
        <f t="shared" si="43"/>
        <v>0</v>
      </c>
      <c r="K96" s="123">
        <f t="shared" si="43"/>
        <v>0</v>
      </c>
      <c r="L96" s="123">
        <f t="shared" si="43"/>
        <v>0</v>
      </c>
      <c r="M96" s="123">
        <f t="shared" si="43"/>
        <v>0</v>
      </c>
      <c r="N96" s="123">
        <f t="shared" si="43"/>
        <v>0</v>
      </c>
      <c r="O96" s="123">
        <f t="shared" si="43"/>
        <v>0</v>
      </c>
      <c r="P96" s="123">
        <f t="shared" si="43"/>
        <v>0</v>
      </c>
      <c r="Q96" s="123">
        <f t="shared" si="43"/>
        <v>0</v>
      </c>
      <c r="R96" s="123">
        <f t="shared" si="43"/>
        <v>0</v>
      </c>
      <c r="S96" s="123">
        <f t="shared" si="43"/>
        <v>0</v>
      </c>
      <c r="T96" s="123">
        <f t="shared" si="43"/>
        <v>0</v>
      </c>
      <c r="U96" s="123">
        <f t="shared" si="43"/>
        <v>0</v>
      </c>
      <c r="V96" s="123">
        <f t="shared" si="43"/>
        <v>0</v>
      </c>
      <c r="W96" s="123">
        <f t="shared" si="43"/>
        <v>0</v>
      </c>
      <c r="X96" s="123">
        <f t="shared" si="43"/>
        <v>0</v>
      </c>
      <c r="Y96" s="123">
        <f t="shared" si="43"/>
        <v>0</v>
      </c>
      <c r="Z96" s="123">
        <f t="shared" si="43"/>
        <v>0</v>
      </c>
      <c r="AA96" s="123">
        <f t="shared" si="43"/>
        <v>0</v>
      </c>
      <c r="AB96" s="123">
        <f t="shared" si="43"/>
        <v>0</v>
      </c>
      <c r="AC96" s="123">
        <f t="shared" si="43"/>
        <v>1</v>
      </c>
      <c r="AD96" s="123">
        <f t="shared" si="43"/>
        <v>0</v>
      </c>
      <c r="AE96" s="123">
        <f t="shared" si="43"/>
        <v>0</v>
      </c>
      <c r="AF96" s="123">
        <f t="shared" si="43"/>
        <v>0</v>
      </c>
      <c r="AG96" s="123">
        <f t="shared" si="43"/>
        <v>1</v>
      </c>
      <c r="AH96" s="123">
        <f t="shared" si="43"/>
        <v>1</v>
      </c>
      <c r="AI96" s="123">
        <f t="shared" si="43"/>
        <v>0</v>
      </c>
      <c r="AJ96" s="44" t="str">
        <f t="shared" si="12"/>
        <v>RCV_4</v>
      </c>
      <c r="AK96" s="57"/>
      <c r="AL96" s="57" t="str">
        <f t="shared" si="16"/>
        <v>46</v>
      </c>
      <c r="AM96" s="59" t="str">
        <f t="shared" si="17"/>
        <v>00</v>
      </c>
      <c r="AN96" s="59" t="str">
        <f t="shared" si="18"/>
        <v>00</v>
      </c>
      <c r="AO96" s="59" t="str">
        <f t="shared" si="19"/>
        <v>00</v>
      </c>
      <c r="AQ96" t="str">
        <f t="shared" si="13"/>
        <v xml:space="preserve">    (U4)0x00000046U,                                                           /* 25 RCV_4                                           */</v>
      </c>
    </row>
    <row r="97" spans="2:43">
      <c r="B97" s="131"/>
      <c r="C97" s="44">
        <f t="shared" si="14"/>
        <v>26</v>
      </c>
      <c r="D97" s="123">
        <f t="shared" ref="D97:AI97" si="44">IF(D32=1,1,0)</f>
        <v>0</v>
      </c>
      <c r="E97" s="123">
        <f t="shared" si="44"/>
        <v>0</v>
      </c>
      <c r="F97" s="123">
        <f t="shared" si="44"/>
        <v>0</v>
      </c>
      <c r="G97" s="123">
        <f t="shared" si="44"/>
        <v>0</v>
      </c>
      <c r="H97" s="123">
        <f t="shared" si="44"/>
        <v>0</v>
      </c>
      <c r="I97" s="123">
        <f t="shared" si="44"/>
        <v>0</v>
      </c>
      <c r="J97" s="123">
        <f t="shared" si="44"/>
        <v>0</v>
      </c>
      <c r="K97" s="123">
        <f t="shared" si="44"/>
        <v>0</v>
      </c>
      <c r="L97" s="123">
        <f t="shared" si="44"/>
        <v>0</v>
      </c>
      <c r="M97" s="123">
        <f t="shared" si="44"/>
        <v>0</v>
      </c>
      <c r="N97" s="123">
        <f t="shared" si="44"/>
        <v>0</v>
      </c>
      <c r="O97" s="123">
        <f t="shared" si="44"/>
        <v>0</v>
      </c>
      <c r="P97" s="123">
        <f t="shared" si="44"/>
        <v>0</v>
      </c>
      <c r="Q97" s="123">
        <f t="shared" si="44"/>
        <v>0</v>
      </c>
      <c r="R97" s="123">
        <f t="shared" si="44"/>
        <v>0</v>
      </c>
      <c r="S97" s="123">
        <f t="shared" si="44"/>
        <v>0</v>
      </c>
      <c r="T97" s="123">
        <f t="shared" si="44"/>
        <v>0</v>
      </c>
      <c r="U97" s="123">
        <f t="shared" si="44"/>
        <v>0</v>
      </c>
      <c r="V97" s="123">
        <f t="shared" si="44"/>
        <v>0</v>
      </c>
      <c r="W97" s="123">
        <f t="shared" si="44"/>
        <v>0</v>
      </c>
      <c r="X97" s="123">
        <f t="shared" si="44"/>
        <v>0</v>
      </c>
      <c r="Y97" s="123">
        <f t="shared" si="44"/>
        <v>0</v>
      </c>
      <c r="Z97" s="123">
        <f t="shared" si="44"/>
        <v>0</v>
      </c>
      <c r="AA97" s="123">
        <f t="shared" si="44"/>
        <v>0</v>
      </c>
      <c r="AB97" s="123">
        <f t="shared" si="44"/>
        <v>0</v>
      </c>
      <c r="AC97" s="123">
        <f t="shared" si="44"/>
        <v>1</v>
      </c>
      <c r="AD97" s="123">
        <f t="shared" si="44"/>
        <v>0</v>
      </c>
      <c r="AE97" s="123">
        <f t="shared" si="44"/>
        <v>0</v>
      </c>
      <c r="AF97" s="123">
        <f t="shared" si="44"/>
        <v>0</v>
      </c>
      <c r="AG97" s="123">
        <f t="shared" si="44"/>
        <v>1</v>
      </c>
      <c r="AH97" s="123">
        <f t="shared" si="44"/>
        <v>1</v>
      </c>
      <c r="AI97" s="123">
        <f t="shared" si="44"/>
        <v>1</v>
      </c>
      <c r="AJ97" s="44" t="str">
        <f t="shared" si="12"/>
        <v>ANN_4</v>
      </c>
      <c r="AK97" s="57"/>
      <c r="AL97" s="57" t="str">
        <f t="shared" si="16"/>
        <v>47</v>
      </c>
      <c r="AM97" s="59" t="str">
        <f t="shared" si="17"/>
        <v>00</v>
      </c>
      <c r="AN97" s="59" t="str">
        <f t="shared" si="18"/>
        <v>00</v>
      </c>
      <c r="AO97" s="59" t="str">
        <f t="shared" si="19"/>
        <v>00</v>
      </c>
      <c r="AQ97" t="str">
        <f t="shared" si="13"/>
        <v xml:space="preserve">    (U4)0x00000047U,                                                           /* 26 ANN_4                                           */</v>
      </c>
    </row>
    <row r="98" spans="2:43">
      <c r="B98" s="131"/>
      <c r="C98" s="44">
        <f t="shared" si="14"/>
        <v>27</v>
      </c>
      <c r="D98" s="123">
        <f t="shared" ref="D98:AI98" si="45">IF(D33=1,1,0)</f>
        <v>0</v>
      </c>
      <c r="E98" s="123">
        <f t="shared" si="45"/>
        <v>0</v>
      </c>
      <c r="F98" s="123">
        <f t="shared" si="45"/>
        <v>0</v>
      </c>
      <c r="G98" s="123">
        <f t="shared" si="45"/>
        <v>0</v>
      </c>
      <c r="H98" s="123">
        <f t="shared" si="45"/>
        <v>0</v>
      </c>
      <c r="I98" s="123">
        <f t="shared" si="45"/>
        <v>0</v>
      </c>
      <c r="J98" s="123">
        <f t="shared" si="45"/>
        <v>0</v>
      </c>
      <c r="K98" s="123">
        <f t="shared" si="45"/>
        <v>0</v>
      </c>
      <c r="L98" s="123">
        <f t="shared" si="45"/>
        <v>0</v>
      </c>
      <c r="M98" s="123">
        <f t="shared" si="45"/>
        <v>0</v>
      </c>
      <c r="N98" s="123">
        <f t="shared" si="45"/>
        <v>0</v>
      </c>
      <c r="O98" s="123">
        <f t="shared" si="45"/>
        <v>0</v>
      </c>
      <c r="P98" s="123">
        <f t="shared" si="45"/>
        <v>0</v>
      </c>
      <c r="Q98" s="123">
        <f t="shared" si="45"/>
        <v>0</v>
      </c>
      <c r="R98" s="123">
        <f t="shared" si="45"/>
        <v>0</v>
      </c>
      <c r="S98" s="123">
        <f t="shared" si="45"/>
        <v>0</v>
      </c>
      <c r="T98" s="123">
        <f t="shared" si="45"/>
        <v>0</v>
      </c>
      <c r="U98" s="123">
        <f t="shared" si="45"/>
        <v>0</v>
      </c>
      <c r="V98" s="123">
        <f t="shared" si="45"/>
        <v>0</v>
      </c>
      <c r="W98" s="123">
        <f t="shared" si="45"/>
        <v>0</v>
      </c>
      <c r="X98" s="123">
        <f t="shared" si="45"/>
        <v>0</v>
      </c>
      <c r="Y98" s="123">
        <f t="shared" si="45"/>
        <v>0</v>
      </c>
      <c r="Z98" s="123">
        <f t="shared" si="45"/>
        <v>0</v>
      </c>
      <c r="AA98" s="123">
        <f t="shared" si="45"/>
        <v>0</v>
      </c>
      <c r="AB98" s="123">
        <f t="shared" si="45"/>
        <v>0</v>
      </c>
      <c r="AC98" s="123">
        <f t="shared" si="45"/>
        <v>1</v>
      </c>
      <c r="AD98" s="123">
        <f t="shared" si="45"/>
        <v>0</v>
      </c>
      <c r="AE98" s="123">
        <f t="shared" si="45"/>
        <v>1</v>
      </c>
      <c r="AF98" s="123">
        <f t="shared" si="45"/>
        <v>0</v>
      </c>
      <c r="AG98" s="123">
        <f t="shared" si="45"/>
        <v>1</v>
      </c>
      <c r="AH98" s="123">
        <f t="shared" si="45"/>
        <v>0</v>
      </c>
      <c r="AI98" s="123">
        <f t="shared" si="45"/>
        <v>1</v>
      </c>
      <c r="AJ98" s="44" t="str">
        <f t="shared" si="12"/>
        <v>RJT_4P5</v>
      </c>
      <c r="AK98" s="57"/>
      <c r="AL98" s="57" t="str">
        <f t="shared" si="16"/>
        <v>55</v>
      </c>
      <c r="AM98" s="59" t="str">
        <f t="shared" si="17"/>
        <v>00</v>
      </c>
      <c r="AN98" s="59" t="str">
        <f t="shared" si="18"/>
        <v>00</v>
      </c>
      <c r="AO98" s="59" t="str">
        <f t="shared" si="19"/>
        <v>00</v>
      </c>
      <c r="AQ98" t="str">
        <f t="shared" si="13"/>
        <v xml:space="preserve">    (U4)0x00000055U,                                                           /* 27 RJT_4P5                                         */</v>
      </c>
    </row>
    <row r="99" spans="2:43">
      <c r="B99" s="131"/>
      <c r="C99" s="44">
        <f t="shared" si="14"/>
        <v>28</v>
      </c>
      <c r="D99" s="123">
        <f t="shared" ref="D99:AI99" si="46">IF(D34=1,1,0)</f>
        <v>0</v>
      </c>
      <c r="E99" s="123">
        <f t="shared" si="46"/>
        <v>0</v>
      </c>
      <c r="F99" s="123">
        <f t="shared" si="46"/>
        <v>0</v>
      </c>
      <c r="G99" s="123">
        <f t="shared" si="46"/>
        <v>0</v>
      </c>
      <c r="H99" s="123">
        <f t="shared" si="46"/>
        <v>0</v>
      </c>
      <c r="I99" s="123">
        <f t="shared" si="46"/>
        <v>0</v>
      </c>
      <c r="J99" s="123">
        <f t="shared" si="46"/>
        <v>0</v>
      </c>
      <c r="K99" s="123">
        <f t="shared" si="46"/>
        <v>0</v>
      </c>
      <c r="L99" s="123">
        <f t="shared" si="46"/>
        <v>0</v>
      </c>
      <c r="M99" s="123">
        <f t="shared" si="46"/>
        <v>0</v>
      </c>
      <c r="N99" s="123">
        <f t="shared" si="46"/>
        <v>0</v>
      </c>
      <c r="O99" s="123">
        <f t="shared" si="46"/>
        <v>0</v>
      </c>
      <c r="P99" s="123">
        <f t="shared" si="46"/>
        <v>0</v>
      </c>
      <c r="Q99" s="123">
        <f t="shared" si="46"/>
        <v>0</v>
      </c>
      <c r="R99" s="123">
        <f t="shared" si="46"/>
        <v>0</v>
      </c>
      <c r="S99" s="123">
        <f t="shared" si="46"/>
        <v>0</v>
      </c>
      <c r="T99" s="123">
        <f t="shared" si="46"/>
        <v>0</v>
      </c>
      <c r="U99" s="123">
        <f t="shared" si="46"/>
        <v>0</v>
      </c>
      <c r="V99" s="123">
        <f t="shared" si="46"/>
        <v>0</v>
      </c>
      <c r="W99" s="123">
        <f t="shared" si="46"/>
        <v>0</v>
      </c>
      <c r="X99" s="123">
        <f t="shared" si="46"/>
        <v>0</v>
      </c>
      <c r="Y99" s="123">
        <f t="shared" si="46"/>
        <v>0</v>
      </c>
      <c r="Z99" s="123">
        <f t="shared" si="46"/>
        <v>0</v>
      </c>
      <c r="AA99" s="123">
        <f t="shared" si="46"/>
        <v>0</v>
      </c>
      <c r="AB99" s="123">
        <f t="shared" si="46"/>
        <v>0</v>
      </c>
      <c r="AC99" s="123">
        <f t="shared" si="46"/>
        <v>1</v>
      </c>
      <c r="AD99" s="123">
        <f t="shared" si="46"/>
        <v>0</v>
      </c>
      <c r="AE99" s="123">
        <f t="shared" si="46"/>
        <v>1</v>
      </c>
      <c r="AF99" s="123">
        <f t="shared" si="46"/>
        <v>0</v>
      </c>
      <c r="AG99" s="123">
        <f t="shared" si="46"/>
        <v>1</v>
      </c>
      <c r="AH99" s="123">
        <f t="shared" si="46"/>
        <v>1</v>
      </c>
      <c r="AI99" s="123">
        <f t="shared" si="46"/>
        <v>0</v>
      </c>
      <c r="AJ99" s="44" t="str">
        <f t="shared" si="12"/>
        <v>RCV_4P5</v>
      </c>
      <c r="AK99" s="57"/>
      <c r="AL99" s="57" t="str">
        <f t="shared" si="16"/>
        <v>56</v>
      </c>
      <c r="AM99" s="59" t="str">
        <f t="shared" si="17"/>
        <v>00</v>
      </c>
      <c r="AN99" s="59" t="str">
        <f t="shared" si="18"/>
        <v>00</v>
      </c>
      <c r="AO99" s="59" t="str">
        <f t="shared" si="19"/>
        <v>00</v>
      </c>
      <c r="AQ99" t="str">
        <f t="shared" si="13"/>
        <v xml:space="preserve">    (U4)0x00000056U,                                                           /* 28 RCV_4P5                                         */</v>
      </c>
    </row>
    <row r="100" spans="2:43">
      <c r="B100" s="131"/>
      <c r="C100" s="44">
        <f t="shared" si="14"/>
        <v>29</v>
      </c>
      <c r="D100" s="123">
        <f t="shared" ref="D100:AI100" si="47">IF(D35=1,1,0)</f>
        <v>0</v>
      </c>
      <c r="E100" s="123">
        <f t="shared" si="47"/>
        <v>0</v>
      </c>
      <c r="F100" s="123">
        <f t="shared" si="47"/>
        <v>0</v>
      </c>
      <c r="G100" s="123">
        <f t="shared" si="47"/>
        <v>0</v>
      </c>
      <c r="H100" s="123">
        <f t="shared" si="47"/>
        <v>0</v>
      </c>
      <c r="I100" s="123">
        <f t="shared" si="47"/>
        <v>0</v>
      </c>
      <c r="J100" s="123">
        <f t="shared" si="47"/>
        <v>0</v>
      </c>
      <c r="K100" s="123">
        <f t="shared" si="47"/>
        <v>0</v>
      </c>
      <c r="L100" s="123">
        <f t="shared" si="47"/>
        <v>0</v>
      </c>
      <c r="M100" s="123">
        <f t="shared" si="47"/>
        <v>0</v>
      </c>
      <c r="N100" s="123">
        <f t="shared" si="47"/>
        <v>0</v>
      </c>
      <c r="O100" s="123">
        <f t="shared" si="47"/>
        <v>0</v>
      </c>
      <c r="P100" s="123">
        <f t="shared" si="47"/>
        <v>0</v>
      </c>
      <c r="Q100" s="123">
        <f t="shared" si="47"/>
        <v>0</v>
      </c>
      <c r="R100" s="123">
        <f t="shared" si="47"/>
        <v>0</v>
      </c>
      <c r="S100" s="123">
        <f t="shared" si="47"/>
        <v>0</v>
      </c>
      <c r="T100" s="123">
        <f t="shared" si="47"/>
        <v>0</v>
      </c>
      <c r="U100" s="123">
        <f t="shared" si="47"/>
        <v>0</v>
      </c>
      <c r="V100" s="123">
        <f t="shared" si="47"/>
        <v>0</v>
      </c>
      <c r="W100" s="123">
        <f t="shared" si="47"/>
        <v>0</v>
      </c>
      <c r="X100" s="123">
        <f t="shared" si="47"/>
        <v>0</v>
      </c>
      <c r="Y100" s="123">
        <f t="shared" si="47"/>
        <v>0</v>
      </c>
      <c r="Z100" s="123">
        <f t="shared" si="47"/>
        <v>0</v>
      </c>
      <c r="AA100" s="123">
        <f t="shared" si="47"/>
        <v>0</v>
      </c>
      <c r="AB100" s="123">
        <f t="shared" si="47"/>
        <v>0</v>
      </c>
      <c r="AC100" s="123">
        <f t="shared" si="47"/>
        <v>1</v>
      </c>
      <c r="AD100" s="123">
        <f t="shared" si="47"/>
        <v>0</v>
      </c>
      <c r="AE100" s="123">
        <f t="shared" si="47"/>
        <v>1</v>
      </c>
      <c r="AF100" s="123">
        <f t="shared" si="47"/>
        <v>0</v>
      </c>
      <c r="AG100" s="123">
        <f t="shared" si="47"/>
        <v>1</v>
      </c>
      <c r="AH100" s="123">
        <f t="shared" si="47"/>
        <v>1</v>
      </c>
      <c r="AI100" s="123">
        <f t="shared" si="47"/>
        <v>1</v>
      </c>
      <c r="AJ100" s="44" t="str">
        <f t="shared" si="12"/>
        <v>ANN_4P5</v>
      </c>
      <c r="AK100" s="57"/>
      <c r="AL100" s="57" t="str">
        <f t="shared" si="16"/>
        <v>57</v>
      </c>
      <c r="AM100" s="59" t="str">
        <f t="shared" si="17"/>
        <v>00</v>
      </c>
      <c r="AN100" s="59" t="str">
        <f t="shared" si="18"/>
        <v>00</v>
      </c>
      <c r="AO100" s="59" t="str">
        <f t="shared" si="19"/>
        <v>00</v>
      </c>
      <c r="AQ100" t="str">
        <f t="shared" si="13"/>
        <v xml:space="preserve">    (U4)0x00000057U,                                                           /* 29 ANN_4P5                                         */</v>
      </c>
    </row>
    <row r="101" spans="2:43">
      <c r="B101" s="131"/>
      <c r="C101" s="44">
        <f t="shared" si="14"/>
        <v>30</v>
      </c>
      <c r="D101" s="123">
        <f t="shared" ref="D101:AI101" si="48">IF(D36=1,1,0)</f>
        <v>0</v>
      </c>
      <c r="E101" s="123">
        <f t="shared" si="48"/>
        <v>0</v>
      </c>
      <c r="F101" s="123">
        <f t="shared" si="48"/>
        <v>0</v>
      </c>
      <c r="G101" s="123">
        <f t="shared" si="48"/>
        <v>0</v>
      </c>
      <c r="H101" s="123">
        <f t="shared" si="48"/>
        <v>0</v>
      </c>
      <c r="I101" s="123">
        <f t="shared" si="48"/>
        <v>0</v>
      </c>
      <c r="J101" s="123">
        <f t="shared" si="48"/>
        <v>0</v>
      </c>
      <c r="K101" s="123">
        <f t="shared" si="48"/>
        <v>0</v>
      </c>
      <c r="L101" s="123">
        <f t="shared" si="48"/>
        <v>0</v>
      </c>
      <c r="M101" s="123">
        <f t="shared" si="48"/>
        <v>0</v>
      </c>
      <c r="N101" s="123">
        <f t="shared" si="48"/>
        <v>0</v>
      </c>
      <c r="O101" s="123">
        <f t="shared" si="48"/>
        <v>0</v>
      </c>
      <c r="P101" s="123">
        <f t="shared" si="48"/>
        <v>0</v>
      </c>
      <c r="Q101" s="123">
        <f t="shared" si="48"/>
        <v>0</v>
      </c>
      <c r="R101" s="123">
        <f t="shared" si="48"/>
        <v>0</v>
      </c>
      <c r="S101" s="123">
        <f t="shared" si="48"/>
        <v>0</v>
      </c>
      <c r="T101" s="123">
        <f t="shared" si="48"/>
        <v>0</v>
      </c>
      <c r="U101" s="123">
        <f t="shared" si="48"/>
        <v>0</v>
      </c>
      <c r="V101" s="123">
        <f t="shared" si="48"/>
        <v>0</v>
      </c>
      <c r="W101" s="123">
        <f t="shared" si="48"/>
        <v>0</v>
      </c>
      <c r="X101" s="123">
        <f t="shared" si="48"/>
        <v>0</v>
      </c>
      <c r="Y101" s="123">
        <f t="shared" si="48"/>
        <v>0</v>
      </c>
      <c r="Z101" s="123">
        <f t="shared" si="48"/>
        <v>0</v>
      </c>
      <c r="AA101" s="123">
        <f t="shared" si="48"/>
        <v>0</v>
      </c>
      <c r="AB101" s="123">
        <f t="shared" si="48"/>
        <v>0</v>
      </c>
      <c r="AC101" s="123">
        <f t="shared" si="48"/>
        <v>1</v>
      </c>
      <c r="AD101" s="123">
        <f t="shared" si="48"/>
        <v>1</v>
      </c>
      <c r="AE101" s="123">
        <f t="shared" si="48"/>
        <v>0</v>
      </c>
      <c r="AF101" s="123">
        <f t="shared" si="48"/>
        <v>0</v>
      </c>
      <c r="AG101" s="123">
        <f t="shared" si="48"/>
        <v>0</v>
      </c>
      <c r="AH101" s="123">
        <f t="shared" si="48"/>
        <v>0</v>
      </c>
      <c r="AI101" s="123">
        <f t="shared" si="48"/>
        <v>1</v>
      </c>
      <c r="AJ101" s="44" t="str">
        <f t="shared" si="12"/>
        <v>CONT_5</v>
      </c>
      <c r="AK101" s="57"/>
      <c r="AL101" s="57" t="str">
        <f t="shared" si="16"/>
        <v>61</v>
      </c>
      <c r="AM101" s="59" t="str">
        <f t="shared" si="17"/>
        <v>00</v>
      </c>
      <c r="AN101" s="59" t="str">
        <f t="shared" si="18"/>
        <v>00</v>
      </c>
      <c r="AO101" s="59" t="str">
        <f t="shared" si="19"/>
        <v>00</v>
      </c>
      <c r="AQ101" t="str">
        <f t="shared" si="13"/>
        <v xml:space="preserve">    (U4)0x00000061U,                                                           /* 30 CONT_5                                          */</v>
      </c>
    </row>
    <row r="102" spans="2:43">
      <c r="B102" s="131"/>
      <c r="C102" s="44">
        <f t="shared" si="14"/>
        <v>31</v>
      </c>
      <c r="D102" s="123">
        <f t="shared" ref="D102:AI102" si="49">IF(D37=1,1,0)</f>
        <v>0</v>
      </c>
      <c r="E102" s="123">
        <f t="shared" si="49"/>
        <v>0</v>
      </c>
      <c r="F102" s="123">
        <f t="shared" si="49"/>
        <v>0</v>
      </c>
      <c r="G102" s="123">
        <f t="shared" si="49"/>
        <v>0</v>
      </c>
      <c r="H102" s="123">
        <f t="shared" si="49"/>
        <v>0</v>
      </c>
      <c r="I102" s="123">
        <f t="shared" si="49"/>
        <v>0</v>
      </c>
      <c r="J102" s="123">
        <f t="shared" si="49"/>
        <v>0</v>
      </c>
      <c r="K102" s="123">
        <f t="shared" si="49"/>
        <v>0</v>
      </c>
      <c r="L102" s="123">
        <f t="shared" si="49"/>
        <v>0</v>
      </c>
      <c r="M102" s="123">
        <f t="shared" si="49"/>
        <v>0</v>
      </c>
      <c r="N102" s="123">
        <f t="shared" si="49"/>
        <v>0</v>
      </c>
      <c r="O102" s="123">
        <f t="shared" si="49"/>
        <v>0</v>
      </c>
      <c r="P102" s="123">
        <f t="shared" si="49"/>
        <v>0</v>
      </c>
      <c r="Q102" s="123">
        <f t="shared" si="49"/>
        <v>0</v>
      </c>
      <c r="R102" s="123">
        <f t="shared" si="49"/>
        <v>0</v>
      </c>
      <c r="S102" s="123">
        <f t="shared" si="49"/>
        <v>0</v>
      </c>
      <c r="T102" s="123">
        <f t="shared" si="49"/>
        <v>0</v>
      </c>
      <c r="U102" s="123">
        <f t="shared" si="49"/>
        <v>0</v>
      </c>
      <c r="V102" s="123">
        <f t="shared" si="49"/>
        <v>0</v>
      </c>
      <c r="W102" s="123">
        <f t="shared" si="49"/>
        <v>0</v>
      </c>
      <c r="X102" s="123">
        <f t="shared" si="49"/>
        <v>0</v>
      </c>
      <c r="Y102" s="123">
        <f t="shared" si="49"/>
        <v>0</v>
      </c>
      <c r="Z102" s="123">
        <f t="shared" si="49"/>
        <v>0</v>
      </c>
      <c r="AA102" s="123">
        <f t="shared" si="49"/>
        <v>0</v>
      </c>
      <c r="AB102" s="123">
        <f t="shared" si="49"/>
        <v>0</v>
      </c>
      <c r="AC102" s="123">
        <f t="shared" si="49"/>
        <v>1</v>
      </c>
      <c r="AD102" s="123">
        <f t="shared" si="49"/>
        <v>1</v>
      </c>
      <c r="AE102" s="123">
        <f t="shared" si="49"/>
        <v>0</v>
      </c>
      <c r="AF102" s="123">
        <f t="shared" si="49"/>
        <v>0</v>
      </c>
      <c r="AG102" s="123">
        <f t="shared" si="49"/>
        <v>0</v>
      </c>
      <c r="AH102" s="123">
        <f t="shared" si="49"/>
        <v>1</v>
      </c>
      <c r="AI102" s="123">
        <f t="shared" si="49"/>
        <v>1</v>
      </c>
      <c r="AJ102" s="44" t="str">
        <f t="shared" si="12"/>
        <v>TEN_5</v>
      </c>
      <c r="AK102" s="57"/>
      <c r="AL102" s="57" t="str">
        <f t="shared" si="16"/>
        <v>63</v>
      </c>
      <c r="AM102" s="59" t="str">
        <f t="shared" si="17"/>
        <v>00</v>
      </c>
      <c r="AN102" s="59" t="str">
        <f t="shared" si="18"/>
        <v>00</v>
      </c>
      <c r="AO102" s="59" t="str">
        <f t="shared" si="19"/>
        <v>00</v>
      </c>
      <c r="AQ102" t="str">
        <f t="shared" si="13"/>
        <v xml:space="preserve">    (U4)0x00000063U,                                                           /* 31 TEN_5                                           */</v>
      </c>
    </row>
    <row r="103" spans="2:43">
      <c r="B103" s="131"/>
      <c r="C103" s="44">
        <f t="shared" si="14"/>
        <v>32</v>
      </c>
      <c r="D103" s="123">
        <f t="shared" ref="D103:AI103" si="50">IF(D38=1,1,0)</f>
        <v>0</v>
      </c>
      <c r="E103" s="123">
        <f t="shared" si="50"/>
        <v>0</v>
      </c>
      <c r="F103" s="123">
        <f t="shared" si="50"/>
        <v>0</v>
      </c>
      <c r="G103" s="123">
        <f t="shared" si="50"/>
        <v>0</v>
      </c>
      <c r="H103" s="123">
        <f t="shared" si="50"/>
        <v>0</v>
      </c>
      <c r="I103" s="123">
        <f t="shared" si="50"/>
        <v>0</v>
      </c>
      <c r="J103" s="123">
        <f t="shared" si="50"/>
        <v>0</v>
      </c>
      <c r="K103" s="123">
        <f t="shared" si="50"/>
        <v>0</v>
      </c>
      <c r="L103" s="123">
        <f t="shared" si="50"/>
        <v>0</v>
      </c>
      <c r="M103" s="123">
        <f t="shared" si="50"/>
        <v>0</v>
      </c>
      <c r="N103" s="123">
        <f t="shared" si="50"/>
        <v>0</v>
      </c>
      <c r="O103" s="123">
        <f t="shared" si="50"/>
        <v>0</v>
      </c>
      <c r="P103" s="123">
        <f t="shared" si="50"/>
        <v>0</v>
      </c>
      <c r="Q103" s="123">
        <f t="shared" si="50"/>
        <v>0</v>
      </c>
      <c r="R103" s="123">
        <f t="shared" si="50"/>
        <v>0</v>
      </c>
      <c r="S103" s="123">
        <f t="shared" si="50"/>
        <v>0</v>
      </c>
      <c r="T103" s="123">
        <f t="shared" si="50"/>
        <v>0</v>
      </c>
      <c r="U103" s="123">
        <f t="shared" si="50"/>
        <v>0</v>
      </c>
      <c r="V103" s="123">
        <f t="shared" si="50"/>
        <v>0</v>
      </c>
      <c r="W103" s="123">
        <f t="shared" si="50"/>
        <v>0</v>
      </c>
      <c r="X103" s="123">
        <f t="shared" si="50"/>
        <v>0</v>
      </c>
      <c r="Y103" s="123">
        <f t="shared" si="50"/>
        <v>0</v>
      </c>
      <c r="Z103" s="123">
        <f t="shared" si="50"/>
        <v>0</v>
      </c>
      <c r="AA103" s="123">
        <f t="shared" si="50"/>
        <v>0</v>
      </c>
      <c r="AB103" s="123">
        <f t="shared" si="50"/>
        <v>0</v>
      </c>
      <c r="AC103" s="123">
        <f t="shared" si="50"/>
        <v>1</v>
      </c>
      <c r="AD103" s="123">
        <f t="shared" si="50"/>
        <v>1</v>
      </c>
      <c r="AE103" s="123">
        <f t="shared" si="50"/>
        <v>1</v>
      </c>
      <c r="AF103" s="123">
        <f t="shared" si="50"/>
        <v>0</v>
      </c>
      <c r="AG103" s="123">
        <f t="shared" si="50"/>
        <v>0</v>
      </c>
      <c r="AH103" s="123">
        <f t="shared" si="50"/>
        <v>1</v>
      </c>
      <c r="AI103" s="123">
        <f t="shared" si="50"/>
        <v>1</v>
      </c>
      <c r="AJ103" s="44" t="str">
        <f t="shared" ref="AJ103:AJ133" si="51">IF(AJ38&lt;&gt;"",AJ38,"")</f>
        <v>TEN_6</v>
      </c>
      <c r="AK103" s="57"/>
      <c r="AL103" s="57" t="str">
        <f t="shared" si="16"/>
        <v>73</v>
      </c>
      <c r="AM103" s="59" t="str">
        <f t="shared" si="17"/>
        <v>00</v>
      </c>
      <c r="AN103" s="59" t="str">
        <f t="shared" si="18"/>
        <v>00</v>
      </c>
      <c r="AO103" s="59" t="str">
        <f t="shared" si="19"/>
        <v>00</v>
      </c>
      <c r="AQ103" t="str">
        <f t="shared" si="13"/>
        <v xml:space="preserve">    (U4)0x00000073U,                                                           /* 32 TEN_6                                           */</v>
      </c>
    </row>
    <row r="104" spans="2:43">
      <c r="B104" s="131"/>
      <c r="C104" s="44">
        <f t="shared" ref="C104:C133" si="52">IF(C39&lt;&gt;"",C39,"")</f>
        <v>33</v>
      </c>
      <c r="D104" s="123">
        <f t="shared" ref="D104:AI104" si="53">IF(D39=1,1,0)</f>
        <v>0</v>
      </c>
      <c r="E104" s="123">
        <f t="shared" si="53"/>
        <v>0</v>
      </c>
      <c r="F104" s="123">
        <f t="shared" si="53"/>
        <v>0</v>
      </c>
      <c r="G104" s="123">
        <f t="shared" si="53"/>
        <v>0</v>
      </c>
      <c r="H104" s="123">
        <f t="shared" si="53"/>
        <v>0</v>
      </c>
      <c r="I104" s="123">
        <f t="shared" si="53"/>
        <v>0</v>
      </c>
      <c r="J104" s="123">
        <f t="shared" si="53"/>
        <v>0</v>
      </c>
      <c r="K104" s="123">
        <f t="shared" si="53"/>
        <v>0</v>
      </c>
      <c r="L104" s="123">
        <f t="shared" si="53"/>
        <v>0</v>
      </c>
      <c r="M104" s="123">
        <f t="shared" si="53"/>
        <v>0</v>
      </c>
      <c r="N104" s="123">
        <f t="shared" si="53"/>
        <v>0</v>
      </c>
      <c r="O104" s="123">
        <f t="shared" si="53"/>
        <v>0</v>
      </c>
      <c r="P104" s="123">
        <f t="shared" si="53"/>
        <v>0</v>
      </c>
      <c r="Q104" s="123">
        <f t="shared" si="53"/>
        <v>0</v>
      </c>
      <c r="R104" s="123">
        <f t="shared" si="53"/>
        <v>0</v>
      </c>
      <c r="S104" s="123">
        <f t="shared" si="53"/>
        <v>0</v>
      </c>
      <c r="T104" s="123">
        <f t="shared" si="53"/>
        <v>0</v>
      </c>
      <c r="U104" s="123">
        <f t="shared" si="53"/>
        <v>0</v>
      </c>
      <c r="V104" s="123">
        <f t="shared" si="53"/>
        <v>0</v>
      </c>
      <c r="W104" s="123">
        <f t="shared" si="53"/>
        <v>0</v>
      </c>
      <c r="X104" s="123">
        <f t="shared" si="53"/>
        <v>0</v>
      </c>
      <c r="Y104" s="123">
        <f t="shared" si="53"/>
        <v>0</v>
      </c>
      <c r="Z104" s="123">
        <f t="shared" si="53"/>
        <v>0</v>
      </c>
      <c r="AA104" s="123">
        <f t="shared" si="53"/>
        <v>0</v>
      </c>
      <c r="AB104" s="123">
        <f t="shared" si="53"/>
        <v>1</v>
      </c>
      <c r="AC104" s="123">
        <f t="shared" si="53"/>
        <v>0</v>
      </c>
      <c r="AD104" s="123">
        <f t="shared" si="53"/>
        <v>0</v>
      </c>
      <c r="AE104" s="123">
        <f t="shared" si="53"/>
        <v>0</v>
      </c>
      <c r="AF104" s="123">
        <f t="shared" si="53"/>
        <v>0</v>
      </c>
      <c r="AG104" s="123">
        <f t="shared" si="53"/>
        <v>0</v>
      </c>
      <c r="AH104" s="123">
        <f t="shared" si="53"/>
        <v>1</v>
      </c>
      <c r="AI104" s="123">
        <f t="shared" si="53"/>
        <v>1</v>
      </c>
      <c r="AJ104" s="44" t="str">
        <f t="shared" si="51"/>
        <v>TEN_6P5</v>
      </c>
      <c r="AK104" s="57"/>
      <c r="AL104" s="57" t="str">
        <f t="shared" si="16"/>
        <v>83</v>
      </c>
      <c r="AM104" s="59" t="str">
        <f t="shared" si="17"/>
        <v>00</v>
      </c>
      <c r="AN104" s="59" t="str">
        <f t="shared" si="18"/>
        <v>00</v>
      </c>
      <c r="AO104" s="59" t="str">
        <f t="shared" si="19"/>
        <v>00</v>
      </c>
      <c r="AQ104" t="str">
        <f t="shared" si="13"/>
        <v xml:space="preserve">    (U4)0x00000083U,                                                           /* 33 TEN_6P5                                         */</v>
      </c>
    </row>
    <row r="105" spans="2:43">
      <c r="B105" s="131"/>
      <c r="C105" s="44">
        <f t="shared" si="52"/>
        <v>34</v>
      </c>
      <c r="D105" s="123">
        <f t="shared" ref="D105:AI105" si="54">IF(D40=1,1,0)</f>
        <v>0</v>
      </c>
      <c r="E105" s="123">
        <f t="shared" si="54"/>
        <v>0</v>
      </c>
      <c r="F105" s="123">
        <f t="shared" si="54"/>
        <v>0</v>
      </c>
      <c r="G105" s="123">
        <f t="shared" si="54"/>
        <v>0</v>
      </c>
      <c r="H105" s="123">
        <f t="shared" si="54"/>
        <v>0</v>
      </c>
      <c r="I105" s="123">
        <f t="shared" si="54"/>
        <v>0</v>
      </c>
      <c r="J105" s="123">
        <f t="shared" si="54"/>
        <v>0</v>
      </c>
      <c r="K105" s="123">
        <f t="shared" si="54"/>
        <v>0</v>
      </c>
      <c r="L105" s="123">
        <f t="shared" si="54"/>
        <v>0</v>
      </c>
      <c r="M105" s="123">
        <f t="shared" si="54"/>
        <v>0</v>
      </c>
      <c r="N105" s="123">
        <f t="shared" si="54"/>
        <v>0</v>
      </c>
      <c r="O105" s="123">
        <f t="shared" si="54"/>
        <v>0</v>
      </c>
      <c r="P105" s="123">
        <f t="shared" si="54"/>
        <v>0</v>
      </c>
      <c r="Q105" s="123">
        <f t="shared" si="54"/>
        <v>0</v>
      </c>
      <c r="R105" s="123">
        <f t="shared" si="54"/>
        <v>0</v>
      </c>
      <c r="S105" s="123">
        <f t="shared" si="54"/>
        <v>0</v>
      </c>
      <c r="T105" s="123">
        <f t="shared" si="54"/>
        <v>0</v>
      </c>
      <c r="U105" s="123">
        <f t="shared" si="54"/>
        <v>0</v>
      </c>
      <c r="V105" s="123">
        <f t="shared" si="54"/>
        <v>0</v>
      </c>
      <c r="W105" s="123">
        <f t="shared" si="54"/>
        <v>0</v>
      </c>
      <c r="X105" s="123">
        <f t="shared" si="54"/>
        <v>0</v>
      </c>
      <c r="Y105" s="123">
        <f t="shared" si="54"/>
        <v>0</v>
      </c>
      <c r="Z105" s="123">
        <f t="shared" si="54"/>
        <v>0</v>
      </c>
      <c r="AA105" s="123">
        <f t="shared" si="54"/>
        <v>0</v>
      </c>
      <c r="AB105" s="123">
        <f t="shared" si="54"/>
        <v>1</v>
      </c>
      <c r="AC105" s="123">
        <f t="shared" si="54"/>
        <v>0</v>
      </c>
      <c r="AD105" s="123">
        <f t="shared" si="54"/>
        <v>0</v>
      </c>
      <c r="AE105" s="123">
        <f t="shared" si="54"/>
        <v>1</v>
      </c>
      <c r="AF105" s="123">
        <f t="shared" si="54"/>
        <v>0</v>
      </c>
      <c r="AG105" s="123">
        <f t="shared" si="54"/>
        <v>0</v>
      </c>
      <c r="AH105" s="123">
        <f t="shared" si="54"/>
        <v>1</v>
      </c>
      <c r="AI105" s="123">
        <f t="shared" si="54"/>
        <v>1</v>
      </c>
      <c r="AJ105" s="44" t="str">
        <f t="shared" si="51"/>
        <v>TEN_7</v>
      </c>
      <c r="AK105" s="57"/>
      <c r="AL105" s="57" t="str">
        <f t="shared" si="16"/>
        <v>93</v>
      </c>
      <c r="AM105" s="59" t="str">
        <f t="shared" si="17"/>
        <v>00</v>
      </c>
      <c r="AN105" s="59" t="str">
        <f t="shared" si="18"/>
        <v>00</v>
      </c>
      <c r="AO105" s="59" t="str">
        <f t="shared" si="19"/>
        <v>00</v>
      </c>
      <c r="AQ105" t="str">
        <f t="shared" si="13"/>
        <v xml:space="preserve">    (U4)0x00000093U,                                                           /* 34 TEN_7                                           */</v>
      </c>
    </row>
    <row r="106" spans="2:43">
      <c r="B106" s="131"/>
      <c r="C106" s="44">
        <f t="shared" si="52"/>
        <v>35</v>
      </c>
      <c r="D106" s="123">
        <f t="shared" ref="D106:AI106" si="55">IF(D41=1,1,0)</f>
        <v>0</v>
      </c>
      <c r="E106" s="123">
        <f t="shared" si="55"/>
        <v>0</v>
      </c>
      <c r="F106" s="123">
        <f t="shared" si="55"/>
        <v>0</v>
      </c>
      <c r="G106" s="123">
        <f t="shared" si="55"/>
        <v>0</v>
      </c>
      <c r="H106" s="123">
        <f t="shared" si="55"/>
        <v>0</v>
      </c>
      <c r="I106" s="123">
        <f t="shared" si="55"/>
        <v>0</v>
      </c>
      <c r="J106" s="123">
        <f t="shared" si="55"/>
        <v>0</v>
      </c>
      <c r="K106" s="123">
        <f t="shared" si="55"/>
        <v>0</v>
      </c>
      <c r="L106" s="123">
        <f t="shared" si="55"/>
        <v>0</v>
      </c>
      <c r="M106" s="123">
        <f t="shared" si="55"/>
        <v>0</v>
      </c>
      <c r="N106" s="123">
        <f t="shared" si="55"/>
        <v>0</v>
      </c>
      <c r="O106" s="123">
        <f t="shared" si="55"/>
        <v>0</v>
      </c>
      <c r="P106" s="123">
        <f t="shared" si="55"/>
        <v>0</v>
      </c>
      <c r="Q106" s="123">
        <f t="shared" si="55"/>
        <v>0</v>
      </c>
      <c r="R106" s="123">
        <f t="shared" si="55"/>
        <v>0</v>
      </c>
      <c r="S106" s="123">
        <f t="shared" si="55"/>
        <v>0</v>
      </c>
      <c r="T106" s="123">
        <f t="shared" si="55"/>
        <v>0</v>
      </c>
      <c r="U106" s="123">
        <f t="shared" si="55"/>
        <v>0</v>
      </c>
      <c r="V106" s="123">
        <f t="shared" si="55"/>
        <v>0</v>
      </c>
      <c r="W106" s="123">
        <f t="shared" si="55"/>
        <v>0</v>
      </c>
      <c r="X106" s="123">
        <f t="shared" si="55"/>
        <v>0</v>
      </c>
      <c r="Y106" s="123">
        <f t="shared" si="55"/>
        <v>0</v>
      </c>
      <c r="Z106" s="123">
        <f t="shared" si="55"/>
        <v>0</v>
      </c>
      <c r="AA106" s="123">
        <f t="shared" si="55"/>
        <v>0</v>
      </c>
      <c r="AB106" s="123">
        <f t="shared" si="55"/>
        <v>1</v>
      </c>
      <c r="AC106" s="123">
        <f t="shared" si="55"/>
        <v>0</v>
      </c>
      <c r="AD106" s="123">
        <f t="shared" si="55"/>
        <v>1</v>
      </c>
      <c r="AE106" s="123">
        <f t="shared" si="55"/>
        <v>0</v>
      </c>
      <c r="AF106" s="123">
        <f t="shared" si="55"/>
        <v>0</v>
      </c>
      <c r="AG106" s="123">
        <f t="shared" si="55"/>
        <v>1</v>
      </c>
      <c r="AH106" s="123">
        <f t="shared" si="55"/>
        <v>0</v>
      </c>
      <c r="AI106" s="123">
        <f t="shared" si="55"/>
        <v>0</v>
      </c>
      <c r="AJ106" s="44" t="str">
        <f t="shared" si="51"/>
        <v>TEN_8</v>
      </c>
      <c r="AK106" s="57"/>
      <c r="AL106" s="57" t="str">
        <f t="shared" si="16"/>
        <v>A4</v>
      </c>
      <c r="AM106" s="59" t="str">
        <f t="shared" si="17"/>
        <v>00</v>
      </c>
      <c r="AN106" s="59" t="str">
        <f t="shared" si="18"/>
        <v>00</v>
      </c>
      <c r="AO106" s="59" t="str">
        <f t="shared" si="19"/>
        <v>00</v>
      </c>
      <c r="AQ106" t="str">
        <f t="shared" si="13"/>
        <v xml:space="preserve">    (U4)0x000000A4U                                                            /* 35 TEN_8                                           */</v>
      </c>
    </row>
    <row r="107" spans="2:43">
      <c r="B107" s="131"/>
      <c r="C107" s="44">
        <f t="shared" si="52"/>
        <v>36</v>
      </c>
      <c r="D107" s="123">
        <f t="shared" ref="D107:AI107" si="56">IF(D42=1,1,0)</f>
        <v>0</v>
      </c>
      <c r="E107" s="123">
        <f t="shared" si="56"/>
        <v>0</v>
      </c>
      <c r="F107" s="123">
        <f t="shared" si="56"/>
        <v>0</v>
      </c>
      <c r="G107" s="123">
        <f t="shared" si="56"/>
        <v>0</v>
      </c>
      <c r="H107" s="123">
        <f t="shared" si="56"/>
        <v>0</v>
      </c>
      <c r="I107" s="123">
        <f t="shared" si="56"/>
        <v>0</v>
      </c>
      <c r="J107" s="123">
        <f t="shared" si="56"/>
        <v>0</v>
      </c>
      <c r="K107" s="123">
        <f t="shared" si="56"/>
        <v>0</v>
      </c>
      <c r="L107" s="123">
        <f t="shared" si="56"/>
        <v>0</v>
      </c>
      <c r="M107" s="123">
        <f t="shared" si="56"/>
        <v>0</v>
      </c>
      <c r="N107" s="123">
        <f t="shared" si="56"/>
        <v>0</v>
      </c>
      <c r="O107" s="123">
        <f t="shared" si="56"/>
        <v>0</v>
      </c>
      <c r="P107" s="123">
        <f t="shared" si="56"/>
        <v>0</v>
      </c>
      <c r="Q107" s="123">
        <f t="shared" si="56"/>
        <v>0</v>
      </c>
      <c r="R107" s="123">
        <f t="shared" si="56"/>
        <v>0</v>
      </c>
      <c r="S107" s="123">
        <f t="shared" si="56"/>
        <v>0</v>
      </c>
      <c r="T107" s="123">
        <f t="shared" si="56"/>
        <v>0</v>
      </c>
      <c r="U107" s="123">
        <f t="shared" si="56"/>
        <v>0</v>
      </c>
      <c r="V107" s="123">
        <f t="shared" si="56"/>
        <v>0</v>
      </c>
      <c r="W107" s="123">
        <f t="shared" si="56"/>
        <v>0</v>
      </c>
      <c r="X107" s="123">
        <f t="shared" si="56"/>
        <v>0</v>
      </c>
      <c r="Y107" s="123">
        <f t="shared" si="56"/>
        <v>0</v>
      </c>
      <c r="Z107" s="123">
        <f t="shared" si="56"/>
        <v>0</v>
      </c>
      <c r="AA107" s="123">
        <f t="shared" si="56"/>
        <v>0</v>
      </c>
      <c r="AB107" s="123">
        <f t="shared" si="56"/>
        <v>0</v>
      </c>
      <c r="AC107" s="123">
        <f t="shared" si="56"/>
        <v>0</v>
      </c>
      <c r="AD107" s="123">
        <f t="shared" si="56"/>
        <v>0</v>
      </c>
      <c r="AE107" s="123">
        <f t="shared" si="56"/>
        <v>0</v>
      </c>
      <c r="AF107" s="123">
        <f t="shared" si="56"/>
        <v>0</v>
      </c>
      <c r="AG107" s="123">
        <f t="shared" si="56"/>
        <v>0</v>
      </c>
      <c r="AH107" s="123">
        <f t="shared" si="56"/>
        <v>0</v>
      </c>
      <c r="AI107" s="123">
        <f t="shared" si="56"/>
        <v>0</v>
      </c>
      <c r="AJ107" s="44" t="str">
        <f t="shared" si="51"/>
        <v/>
      </c>
      <c r="AK107" s="57"/>
      <c r="AL107" s="57" t="str">
        <f t="shared" si="16"/>
        <v>00</v>
      </c>
      <c r="AM107" s="59" t="str">
        <f t="shared" si="17"/>
        <v>00</v>
      </c>
      <c r="AN107" s="59" t="str">
        <f t="shared" si="18"/>
        <v>00</v>
      </c>
      <c r="AO107" s="59" t="str">
        <f t="shared" si="19"/>
        <v>00</v>
      </c>
      <c r="AQ107" t="str">
        <f t="shared" si="13"/>
        <v/>
      </c>
    </row>
    <row r="108" spans="2:43">
      <c r="B108" s="131"/>
      <c r="C108" s="44">
        <f t="shared" si="52"/>
        <v>37</v>
      </c>
      <c r="D108" s="123">
        <f t="shared" ref="D108:AI108" si="57">IF(D43=1,1,0)</f>
        <v>0</v>
      </c>
      <c r="E108" s="123">
        <f t="shared" si="57"/>
        <v>0</v>
      </c>
      <c r="F108" s="123">
        <f t="shared" si="57"/>
        <v>0</v>
      </c>
      <c r="G108" s="123">
        <f t="shared" si="57"/>
        <v>0</v>
      </c>
      <c r="H108" s="123">
        <f t="shared" si="57"/>
        <v>0</v>
      </c>
      <c r="I108" s="123">
        <f t="shared" si="57"/>
        <v>0</v>
      </c>
      <c r="J108" s="123">
        <f t="shared" si="57"/>
        <v>0</v>
      </c>
      <c r="K108" s="123">
        <f t="shared" si="57"/>
        <v>0</v>
      </c>
      <c r="L108" s="123">
        <f t="shared" si="57"/>
        <v>0</v>
      </c>
      <c r="M108" s="123">
        <f t="shared" si="57"/>
        <v>0</v>
      </c>
      <c r="N108" s="123">
        <f t="shared" si="57"/>
        <v>0</v>
      </c>
      <c r="O108" s="123">
        <f t="shared" si="57"/>
        <v>0</v>
      </c>
      <c r="P108" s="123">
        <f t="shared" si="57"/>
        <v>0</v>
      </c>
      <c r="Q108" s="123">
        <f t="shared" si="57"/>
        <v>0</v>
      </c>
      <c r="R108" s="123">
        <f t="shared" si="57"/>
        <v>0</v>
      </c>
      <c r="S108" s="123">
        <f t="shared" si="57"/>
        <v>0</v>
      </c>
      <c r="T108" s="123">
        <f t="shared" si="57"/>
        <v>0</v>
      </c>
      <c r="U108" s="123">
        <f t="shared" si="57"/>
        <v>0</v>
      </c>
      <c r="V108" s="123">
        <f t="shared" si="57"/>
        <v>0</v>
      </c>
      <c r="W108" s="123">
        <f t="shared" si="57"/>
        <v>0</v>
      </c>
      <c r="X108" s="123">
        <f t="shared" si="57"/>
        <v>0</v>
      </c>
      <c r="Y108" s="123">
        <f t="shared" si="57"/>
        <v>0</v>
      </c>
      <c r="Z108" s="123">
        <f t="shared" si="57"/>
        <v>0</v>
      </c>
      <c r="AA108" s="123">
        <f t="shared" si="57"/>
        <v>0</v>
      </c>
      <c r="AB108" s="123">
        <f t="shared" si="57"/>
        <v>0</v>
      </c>
      <c r="AC108" s="123">
        <f t="shared" si="57"/>
        <v>0</v>
      </c>
      <c r="AD108" s="123">
        <f t="shared" si="57"/>
        <v>0</v>
      </c>
      <c r="AE108" s="123">
        <f t="shared" si="57"/>
        <v>0</v>
      </c>
      <c r="AF108" s="123">
        <f t="shared" si="57"/>
        <v>0</v>
      </c>
      <c r="AG108" s="123">
        <f t="shared" si="57"/>
        <v>0</v>
      </c>
      <c r="AH108" s="123">
        <f t="shared" si="57"/>
        <v>0</v>
      </c>
      <c r="AI108" s="123">
        <f t="shared" si="57"/>
        <v>0</v>
      </c>
      <c r="AJ108" s="44" t="str">
        <f t="shared" si="51"/>
        <v/>
      </c>
      <c r="AK108" s="57"/>
      <c r="AL108" s="57" t="str">
        <f t="shared" si="16"/>
        <v>00</v>
      </c>
      <c r="AM108" s="59" t="str">
        <f t="shared" si="17"/>
        <v>00</v>
      </c>
      <c r="AN108" s="59" t="str">
        <f t="shared" si="18"/>
        <v>00</v>
      </c>
      <c r="AO108" s="59" t="str">
        <f t="shared" si="19"/>
        <v>00</v>
      </c>
      <c r="AQ108" t="str">
        <f t="shared" si="13"/>
        <v/>
      </c>
    </row>
    <row r="109" spans="2:43">
      <c r="B109" s="131"/>
      <c r="C109" s="44">
        <f t="shared" si="52"/>
        <v>38</v>
      </c>
      <c r="D109" s="123">
        <f t="shared" ref="D109:AI109" si="58">IF(D44=1,1,0)</f>
        <v>0</v>
      </c>
      <c r="E109" s="123">
        <f t="shared" si="58"/>
        <v>0</v>
      </c>
      <c r="F109" s="123">
        <f t="shared" si="58"/>
        <v>0</v>
      </c>
      <c r="G109" s="123">
        <f t="shared" si="58"/>
        <v>0</v>
      </c>
      <c r="H109" s="123">
        <f t="shared" si="58"/>
        <v>0</v>
      </c>
      <c r="I109" s="123">
        <f t="shared" si="58"/>
        <v>0</v>
      </c>
      <c r="J109" s="123">
        <f t="shared" si="58"/>
        <v>0</v>
      </c>
      <c r="K109" s="123">
        <f t="shared" si="58"/>
        <v>0</v>
      </c>
      <c r="L109" s="123">
        <f t="shared" si="58"/>
        <v>0</v>
      </c>
      <c r="M109" s="123">
        <f t="shared" si="58"/>
        <v>0</v>
      </c>
      <c r="N109" s="123">
        <f t="shared" si="58"/>
        <v>0</v>
      </c>
      <c r="O109" s="123">
        <f t="shared" si="58"/>
        <v>0</v>
      </c>
      <c r="P109" s="123">
        <f t="shared" si="58"/>
        <v>0</v>
      </c>
      <c r="Q109" s="123">
        <f t="shared" si="58"/>
        <v>0</v>
      </c>
      <c r="R109" s="123">
        <f t="shared" si="58"/>
        <v>0</v>
      </c>
      <c r="S109" s="123">
        <f t="shared" si="58"/>
        <v>0</v>
      </c>
      <c r="T109" s="123">
        <f t="shared" si="58"/>
        <v>0</v>
      </c>
      <c r="U109" s="123">
        <f t="shared" si="58"/>
        <v>0</v>
      </c>
      <c r="V109" s="123">
        <f t="shared" si="58"/>
        <v>0</v>
      </c>
      <c r="W109" s="123">
        <f t="shared" si="58"/>
        <v>0</v>
      </c>
      <c r="X109" s="123">
        <f t="shared" si="58"/>
        <v>0</v>
      </c>
      <c r="Y109" s="123">
        <f t="shared" si="58"/>
        <v>0</v>
      </c>
      <c r="Z109" s="123">
        <f t="shared" si="58"/>
        <v>0</v>
      </c>
      <c r="AA109" s="123">
        <f t="shared" si="58"/>
        <v>0</v>
      </c>
      <c r="AB109" s="123">
        <f t="shared" si="58"/>
        <v>0</v>
      </c>
      <c r="AC109" s="123">
        <f t="shared" si="58"/>
        <v>0</v>
      </c>
      <c r="AD109" s="123">
        <f t="shared" si="58"/>
        <v>0</v>
      </c>
      <c r="AE109" s="123">
        <f t="shared" si="58"/>
        <v>0</v>
      </c>
      <c r="AF109" s="123">
        <f t="shared" si="58"/>
        <v>0</v>
      </c>
      <c r="AG109" s="123">
        <f t="shared" si="58"/>
        <v>0</v>
      </c>
      <c r="AH109" s="123">
        <f t="shared" si="58"/>
        <v>0</v>
      </c>
      <c r="AI109" s="123">
        <f t="shared" si="58"/>
        <v>0</v>
      </c>
      <c r="AJ109" s="44" t="str">
        <f t="shared" si="51"/>
        <v/>
      </c>
      <c r="AK109" s="57"/>
      <c r="AL109" s="57" t="str">
        <f t="shared" si="16"/>
        <v>00</v>
      </c>
      <c r="AM109" s="59" t="str">
        <f t="shared" si="17"/>
        <v>00</v>
      </c>
      <c r="AN109" s="59" t="str">
        <f t="shared" si="18"/>
        <v>00</v>
      </c>
      <c r="AO109" s="59" t="str">
        <f t="shared" si="19"/>
        <v>00</v>
      </c>
      <c r="AQ109" t="str">
        <f t="shared" si="13"/>
        <v/>
      </c>
    </row>
    <row r="110" spans="2:43">
      <c r="B110" s="131"/>
      <c r="C110" s="44">
        <f t="shared" si="52"/>
        <v>39</v>
      </c>
      <c r="D110" s="123">
        <f t="shared" ref="D110:AI110" si="59">IF(D45=1,1,0)</f>
        <v>0</v>
      </c>
      <c r="E110" s="123">
        <f t="shared" si="59"/>
        <v>0</v>
      </c>
      <c r="F110" s="123">
        <f t="shared" si="59"/>
        <v>0</v>
      </c>
      <c r="G110" s="123">
        <f t="shared" si="59"/>
        <v>0</v>
      </c>
      <c r="H110" s="123">
        <f t="shared" si="59"/>
        <v>0</v>
      </c>
      <c r="I110" s="123">
        <f t="shared" si="59"/>
        <v>0</v>
      </c>
      <c r="J110" s="123">
        <f t="shared" si="59"/>
        <v>0</v>
      </c>
      <c r="K110" s="123">
        <f t="shared" si="59"/>
        <v>0</v>
      </c>
      <c r="L110" s="123">
        <f t="shared" si="59"/>
        <v>0</v>
      </c>
      <c r="M110" s="123">
        <f t="shared" si="59"/>
        <v>0</v>
      </c>
      <c r="N110" s="123">
        <f t="shared" si="59"/>
        <v>0</v>
      </c>
      <c r="O110" s="123">
        <f t="shared" si="59"/>
        <v>0</v>
      </c>
      <c r="P110" s="123">
        <f t="shared" si="59"/>
        <v>0</v>
      </c>
      <c r="Q110" s="123">
        <f t="shared" si="59"/>
        <v>0</v>
      </c>
      <c r="R110" s="123">
        <f t="shared" si="59"/>
        <v>0</v>
      </c>
      <c r="S110" s="123">
        <f t="shared" si="59"/>
        <v>0</v>
      </c>
      <c r="T110" s="123">
        <f t="shared" si="59"/>
        <v>0</v>
      </c>
      <c r="U110" s="123">
        <f t="shared" si="59"/>
        <v>0</v>
      </c>
      <c r="V110" s="123">
        <f t="shared" si="59"/>
        <v>0</v>
      </c>
      <c r="W110" s="123">
        <f t="shared" si="59"/>
        <v>0</v>
      </c>
      <c r="X110" s="123">
        <f t="shared" si="59"/>
        <v>0</v>
      </c>
      <c r="Y110" s="123">
        <f t="shared" si="59"/>
        <v>0</v>
      </c>
      <c r="Z110" s="123">
        <f t="shared" si="59"/>
        <v>0</v>
      </c>
      <c r="AA110" s="123">
        <f t="shared" si="59"/>
        <v>0</v>
      </c>
      <c r="AB110" s="123">
        <f t="shared" si="59"/>
        <v>0</v>
      </c>
      <c r="AC110" s="123">
        <f t="shared" si="59"/>
        <v>0</v>
      </c>
      <c r="AD110" s="123">
        <f t="shared" si="59"/>
        <v>0</v>
      </c>
      <c r="AE110" s="123">
        <f t="shared" si="59"/>
        <v>0</v>
      </c>
      <c r="AF110" s="123">
        <f t="shared" si="59"/>
        <v>0</v>
      </c>
      <c r="AG110" s="123">
        <f t="shared" si="59"/>
        <v>0</v>
      </c>
      <c r="AH110" s="123">
        <f t="shared" si="59"/>
        <v>0</v>
      </c>
      <c r="AI110" s="123">
        <f t="shared" si="59"/>
        <v>0</v>
      </c>
      <c r="AJ110" s="44" t="str">
        <f t="shared" si="51"/>
        <v/>
      </c>
      <c r="AK110" s="57"/>
      <c r="AL110" s="57" t="str">
        <f t="shared" si="16"/>
        <v>00</v>
      </c>
      <c r="AM110" s="59" t="str">
        <f t="shared" si="17"/>
        <v>00</v>
      </c>
      <c r="AN110" s="59" t="str">
        <f t="shared" si="18"/>
        <v>00</v>
      </c>
      <c r="AO110" s="59" t="str">
        <f t="shared" si="19"/>
        <v>00</v>
      </c>
      <c r="AQ110" t="str">
        <f t="shared" si="13"/>
        <v/>
      </c>
    </row>
    <row r="111" spans="2:43">
      <c r="B111" s="131"/>
      <c r="C111" s="44">
        <f t="shared" si="52"/>
        <v>40</v>
      </c>
      <c r="D111" s="123">
        <f t="shared" ref="D111:AI111" si="60">IF(D46=1,1,0)</f>
        <v>0</v>
      </c>
      <c r="E111" s="123">
        <f t="shared" si="60"/>
        <v>0</v>
      </c>
      <c r="F111" s="123">
        <f t="shared" si="60"/>
        <v>0</v>
      </c>
      <c r="G111" s="123">
        <f t="shared" si="60"/>
        <v>0</v>
      </c>
      <c r="H111" s="123">
        <f t="shared" si="60"/>
        <v>0</v>
      </c>
      <c r="I111" s="123">
        <f t="shared" si="60"/>
        <v>0</v>
      </c>
      <c r="J111" s="123">
        <f t="shared" si="60"/>
        <v>0</v>
      </c>
      <c r="K111" s="123">
        <f t="shared" si="60"/>
        <v>0</v>
      </c>
      <c r="L111" s="123">
        <f t="shared" si="60"/>
        <v>0</v>
      </c>
      <c r="M111" s="123">
        <f t="shared" si="60"/>
        <v>0</v>
      </c>
      <c r="N111" s="123">
        <f t="shared" si="60"/>
        <v>0</v>
      </c>
      <c r="O111" s="123">
        <f t="shared" si="60"/>
        <v>0</v>
      </c>
      <c r="P111" s="123">
        <f t="shared" si="60"/>
        <v>0</v>
      </c>
      <c r="Q111" s="123">
        <f t="shared" si="60"/>
        <v>0</v>
      </c>
      <c r="R111" s="123">
        <f t="shared" si="60"/>
        <v>0</v>
      </c>
      <c r="S111" s="123">
        <f t="shared" si="60"/>
        <v>0</v>
      </c>
      <c r="T111" s="123">
        <f t="shared" si="60"/>
        <v>0</v>
      </c>
      <c r="U111" s="123">
        <f t="shared" si="60"/>
        <v>0</v>
      </c>
      <c r="V111" s="123">
        <f t="shared" si="60"/>
        <v>0</v>
      </c>
      <c r="W111" s="123">
        <f t="shared" si="60"/>
        <v>0</v>
      </c>
      <c r="X111" s="123">
        <f t="shared" si="60"/>
        <v>0</v>
      </c>
      <c r="Y111" s="123">
        <f t="shared" si="60"/>
        <v>0</v>
      </c>
      <c r="Z111" s="123">
        <f t="shared" si="60"/>
        <v>0</v>
      </c>
      <c r="AA111" s="123">
        <f t="shared" si="60"/>
        <v>0</v>
      </c>
      <c r="AB111" s="123">
        <f t="shared" si="60"/>
        <v>0</v>
      </c>
      <c r="AC111" s="123">
        <f t="shared" si="60"/>
        <v>0</v>
      </c>
      <c r="AD111" s="123">
        <f t="shared" si="60"/>
        <v>0</v>
      </c>
      <c r="AE111" s="123">
        <f t="shared" si="60"/>
        <v>0</v>
      </c>
      <c r="AF111" s="123">
        <f t="shared" si="60"/>
        <v>0</v>
      </c>
      <c r="AG111" s="123">
        <f t="shared" si="60"/>
        <v>0</v>
      </c>
      <c r="AH111" s="123">
        <f t="shared" si="60"/>
        <v>0</v>
      </c>
      <c r="AI111" s="123">
        <f t="shared" si="60"/>
        <v>0</v>
      </c>
      <c r="AJ111" s="44" t="str">
        <f t="shared" si="51"/>
        <v/>
      </c>
      <c r="AK111" s="57"/>
      <c r="AL111" s="57" t="str">
        <f t="shared" si="16"/>
        <v>00</v>
      </c>
      <c r="AM111" s="59" t="str">
        <f t="shared" si="17"/>
        <v>00</v>
      </c>
      <c r="AN111" s="59" t="str">
        <f t="shared" si="18"/>
        <v>00</v>
      </c>
      <c r="AO111" s="59" t="str">
        <f t="shared" si="19"/>
        <v>00</v>
      </c>
      <c r="AQ111" t="str">
        <f t="shared" si="13"/>
        <v/>
      </c>
    </row>
    <row r="112" spans="2:43">
      <c r="B112" s="131"/>
      <c r="C112" s="44">
        <f t="shared" si="52"/>
        <v>41</v>
      </c>
      <c r="D112" s="123">
        <f t="shared" ref="D112:AI112" si="61">IF(D47=1,1,0)</f>
        <v>0</v>
      </c>
      <c r="E112" s="123">
        <f t="shared" si="61"/>
        <v>0</v>
      </c>
      <c r="F112" s="123">
        <f t="shared" si="61"/>
        <v>0</v>
      </c>
      <c r="G112" s="123">
        <f t="shared" si="61"/>
        <v>0</v>
      </c>
      <c r="H112" s="123">
        <f t="shared" si="61"/>
        <v>0</v>
      </c>
      <c r="I112" s="123">
        <f t="shared" si="61"/>
        <v>0</v>
      </c>
      <c r="J112" s="123">
        <f t="shared" si="61"/>
        <v>0</v>
      </c>
      <c r="K112" s="123">
        <f t="shared" si="61"/>
        <v>0</v>
      </c>
      <c r="L112" s="123">
        <f t="shared" si="61"/>
        <v>0</v>
      </c>
      <c r="M112" s="123">
        <f t="shared" si="61"/>
        <v>0</v>
      </c>
      <c r="N112" s="123">
        <f t="shared" si="61"/>
        <v>0</v>
      </c>
      <c r="O112" s="123">
        <f t="shared" si="61"/>
        <v>0</v>
      </c>
      <c r="P112" s="123">
        <f t="shared" si="61"/>
        <v>0</v>
      </c>
      <c r="Q112" s="123">
        <f t="shared" si="61"/>
        <v>0</v>
      </c>
      <c r="R112" s="123">
        <f t="shared" si="61"/>
        <v>0</v>
      </c>
      <c r="S112" s="123">
        <f t="shared" si="61"/>
        <v>0</v>
      </c>
      <c r="T112" s="123">
        <f t="shared" si="61"/>
        <v>0</v>
      </c>
      <c r="U112" s="123">
        <f t="shared" si="61"/>
        <v>0</v>
      </c>
      <c r="V112" s="123">
        <f t="shared" si="61"/>
        <v>0</v>
      </c>
      <c r="W112" s="123">
        <f t="shared" si="61"/>
        <v>0</v>
      </c>
      <c r="X112" s="123">
        <f t="shared" si="61"/>
        <v>0</v>
      </c>
      <c r="Y112" s="123">
        <f t="shared" si="61"/>
        <v>0</v>
      </c>
      <c r="Z112" s="123">
        <f t="shared" si="61"/>
        <v>0</v>
      </c>
      <c r="AA112" s="123">
        <f t="shared" si="61"/>
        <v>0</v>
      </c>
      <c r="AB112" s="123">
        <f t="shared" si="61"/>
        <v>0</v>
      </c>
      <c r="AC112" s="123">
        <f t="shared" si="61"/>
        <v>0</v>
      </c>
      <c r="AD112" s="123">
        <f t="shared" si="61"/>
        <v>0</v>
      </c>
      <c r="AE112" s="123">
        <f t="shared" si="61"/>
        <v>0</v>
      </c>
      <c r="AF112" s="123">
        <f t="shared" si="61"/>
        <v>0</v>
      </c>
      <c r="AG112" s="123">
        <f t="shared" si="61"/>
        <v>0</v>
      </c>
      <c r="AH112" s="123">
        <f t="shared" si="61"/>
        <v>0</v>
      </c>
      <c r="AI112" s="123">
        <f t="shared" si="61"/>
        <v>0</v>
      </c>
      <c r="AJ112" s="44" t="str">
        <f t="shared" si="51"/>
        <v/>
      </c>
      <c r="AK112" s="57"/>
      <c r="AL112" s="57" t="str">
        <f t="shared" si="16"/>
        <v>00</v>
      </c>
      <c r="AM112" s="59" t="str">
        <f t="shared" si="17"/>
        <v>00</v>
      </c>
      <c r="AN112" s="59" t="str">
        <f t="shared" si="18"/>
        <v>00</v>
      </c>
      <c r="AO112" s="59" t="str">
        <f t="shared" si="19"/>
        <v>00</v>
      </c>
      <c r="AQ112" t="str">
        <f t="shared" si="13"/>
        <v/>
      </c>
    </row>
    <row r="113" spans="2:43">
      <c r="B113" s="131"/>
      <c r="C113" s="44">
        <f t="shared" si="52"/>
        <v>42</v>
      </c>
      <c r="D113" s="123">
        <f t="shared" ref="D113:AI113" si="62">IF(D48=1,1,0)</f>
        <v>0</v>
      </c>
      <c r="E113" s="123">
        <f t="shared" si="62"/>
        <v>0</v>
      </c>
      <c r="F113" s="123">
        <f t="shared" si="62"/>
        <v>0</v>
      </c>
      <c r="G113" s="123">
        <f t="shared" si="62"/>
        <v>0</v>
      </c>
      <c r="H113" s="123">
        <f t="shared" si="62"/>
        <v>0</v>
      </c>
      <c r="I113" s="123">
        <f t="shared" si="62"/>
        <v>0</v>
      </c>
      <c r="J113" s="123">
        <f t="shared" si="62"/>
        <v>0</v>
      </c>
      <c r="K113" s="123">
        <f t="shared" si="62"/>
        <v>0</v>
      </c>
      <c r="L113" s="123">
        <f t="shared" si="62"/>
        <v>0</v>
      </c>
      <c r="M113" s="123">
        <f t="shared" si="62"/>
        <v>0</v>
      </c>
      <c r="N113" s="123">
        <f t="shared" si="62"/>
        <v>0</v>
      </c>
      <c r="O113" s="123">
        <f t="shared" si="62"/>
        <v>0</v>
      </c>
      <c r="P113" s="123">
        <f t="shared" si="62"/>
        <v>0</v>
      </c>
      <c r="Q113" s="123">
        <f t="shared" si="62"/>
        <v>0</v>
      </c>
      <c r="R113" s="123">
        <f t="shared" si="62"/>
        <v>0</v>
      </c>
      <c r="S113" s="123">
        <f t="shared" si="62"/>
        <v>0</v>
      </c>
      <c r="T113" s="123">
        <f t="shared" si="62"/>
        <v>0</v>
      </c>
      <c r="U113" s="123">
        <f t="shared" si="62"/>
        <v>0</v>
      </c>
      <c r="V113" s="123">
        <f t="shared" si="62"/>
        <v>0</v>
      </c>
      <c r="W113" s="123">
        <f t="shared" si="62"/>
        <v>0</v>
      </c>
      <c r="X113" s="123">
        <f t="shared" si="62"/>
        <v>0</v>
      </c>
      <c r="Y113" s="123">
        <f t="shared" si="62"/>
        <v>0</v>
      </c>
      <c r="Z113" s="123">
        <f t="shared" si="62"/>
        <v>0</v>
      </c>
      <c r="AA113" s="123">
        <f t="shared" si="62"/>
        <v>0</v>
      </c>
      <c r="AB113" s="123">
        <f t="shared" si="62"/>
        <v>0</v>
      </c>
      <c r="AC113" s="123">
        <f t="shared" si="62"/>
        <v>0</v>
      </c>
      <c r="AD113" s="123">
        <f t="shared" si="62"/>
        <v>0</v>
      </c>
      <c r="AE113" s="123">
        <f t="shared" si="62"/>
        <v>0</v>
      </c>
      <c r="AF113" s="123">
        <f t="shared" si="62"/>
        <v>0</v>
      </c>
      <c r="AG113" s="123">
        <f t="shared" si="62"/>
        <v>0</v>
      </c>
      <c r="AH113" s="123">
        <f t="shared" si="62"/>
        <v>0</v>
      </c>
      <c r="AI113" s="123">
        <f t="shared" si="62"/>
        <v>0</v>
      </c>
      <c r="AJ113" s="44" t="str">
        <f t="shared" si="51"/>
        <v/>
      </c>
      <c r="AK113" s="57"/>
      <c r="AL113" s="57" t="str">
        <f t="shared" si="16"/>
        <v>00</v>
      </c>
      <c r="AM113" s="59" t="str">
        <f t="shared" si="17"/>
        <v>00</v>
      </c>
      <c r="AN113" s="59" t="str">
        <f t="shared" si="18"/>
        <v>00</v>
      </c>
      <c r="AO113" s="59" t="str">
        <f t="shared" si="19"/>
        <v>00</v>
      </c>
      <c r="AQ113" t="str">
        <f t="shared" si="13"/>
        <v/>
      </c>
    </row>
    <row r="114" spans="2:43">
      <c r="B114" s="131"/>
      <c r="C114" s="44">
        <f t="shared" si="52"/>
        <v>43</v>
      </c>
      <c r="D114" s="123">
        <f t="shared" ref="D114:AI114" si="63">IF(D49=1,1,0)</f>
        <v>0</v>
      </c>
      <c r="E114" s="123">
        <f t="shared" si="63"/>
        <v>0</v>
      </c>
      <c r="F114" s="123">
        <f t="shared" si="63"/>
        <v>0</v>
      </c>
      <c r="G114" s="123">
        <f t="shared" si="63"/>
        <v>0</v>
      </c>
      <c r="H114" s="123">
        <f t="shared" si="63"/>
        <v>0</v>
      </c>
      <c r="I114" s="123">
        <f t="shared" si="63"/>
        <v>0</v>
      </c>
      <c r="J114" s="123">
        <f t="shared" si="63"/>
        <v>0</v>
      </c>
      <c r="K114" s="123">
        <f t="shared" si="63"/>
        <v>0</v>
      </c>
      <c r="L114" s="123">
        <f t="shared" si="63"/>
        <v>0</v>
      </c>
      <c r="M114" s="123">
        <f t="shared" si="63"/>
        <v>0</v>
      </c>
      <c r="N114" s="123">
        <f t="shared" si="63"/>
        <v>0</v>
      </c>
      <c r="O114" s="123">
        <f t="shared" si="63"/>
        <v>0</v>
      </c>
      <c r="P114" s="123">
        <f t="shared" si="63"/>
        <v>0</v>
      </c>
      <c r="Q114" s="123">
        <f t="shared" si="63"/>
        <v>0</v>
      </c>
      <c r="R114" s="123">
        <f t="shared" si="63"/>
        <v>0</v>
      </c>
      <c r="S114" s="123">
        <f t="shared" si="63"/>
        <v>0</v>
      </c>
      <c r="T114" s="123">
        <f t="shared" si="63"/>
        <v>0</v>
      </c>
      <c r="U114" s="123">
        <f t="shared" si="63"/>
        <v>0</v>
      </c>
      <c r="V114" s="123">
        <f t="shared" si="63"/>
        <v>0</v>
      </c>
      <c r="W114" s="123">
        <f t="shared" si="63"/>
        <v>0</v>
      </c>
      <c r="X114" s="123">
        <f t="shared" si="63"/>
        <v>0</v>
      </c>
      <c r="Y114" s="123">
        <f t="shared" si="63"/>
        <v>0</v>
      </c>
      <c r="Z114" s="123">
        <f t="shared" si="63"/>
        <v>0</v>
      </c>
      <c r="AA114" s="123">
        <f t="shared" si="63"/>
        <v>0</v>
      </c>
      <c r="AB114" s="123">
        <f t="shared" si="63"/>
        <v>0</v>
      </c>
      <c r="AC114" s="123">
        <f t="shared" si="63"/>
        <v>0</v>
      </c>
      <c r="AD114" s="123">
        <f t="shared" si="63"/>
        <v>0</v>
      </c>
      <c r="AE114" s="123">
        <f t="shared" si="63"/>
        <v>0</v>
      </c>
      <c r="AF114" s="123">
        <f t="shared" si="63"/>
        <v>0</v>
      </c>
      <c r="AG114" s="123">
        <f t="shared" si="63"/>
        <v>0</v>
      </c>
      <c r="AH114" s="123">
        <f t="shared" si="63"/>
        <v>0</v>
      </c>
      <c r="AI114" s="123">
        <f t="shared" si="63"/>
        <v>0</v>
      </c>
      <c r="AJ114" s="44" t="str">
        <f t="shared" si="51"/>
        <v/>
      </c>
      <c r="AK114" s="57"/>
      <c r="AL114" s="57" t="str">
        <f t="shared" si="16"/>
        <v>00</v>
      </c>
      <c r="AM114" s="59" t="str">
        <f t="shared" si="17"/>
        <v>00</v>
      </c>
      <c r="AN114" s="59" t="str">
        <f t="shared" si="18"/>
        <v>00</v>
      </c>
      <c r="AO114" s="59" t="str">
        <f t="shared" si="19"/>
        <v>00</v>
      </c>
      <c r="AQ114" t="str">
        <f t="shared" si="13"/>
        <v/>
      </c>
    </row>
    <row r="115" spans="2:43">
      <c r="B115" s="131"/>
      <c r="C115" s="44">
        <f t="shared" si="52"/>
        <v>44</v>
      </c>
      <c r="D115" s="123">
        <f t="shared" ref="D115:AI115" si="64">IF(D50=1,1,0)</f>
        <v>0</v>
      </c>
      <c r="E115" s="123">
        <f t="shared" si="64"/>
        <v>0</v>
      </c>
      <c r="F115" s="123">
        <f t="shared" si="64"/>
        <v>0</v>
      </c>
      <c r="G115" s="123">
        <f t="shared" si="64"/>
        <v>0</v>
      </c>
      <c r="H115" s="123">
        <f t="shared" si="64"/>
        <v>0</v>
      </c>
      <c r="I115" s="123">
        <f t="shared" si="64"/>
        <v>0</v>
      </c>
      <c r="J115" s="123">
        <f t="shared" si="64"/>
        <v>0</v>
      </c>
      <c r="K115" s="123">
        <f t="shared" si="64"/>
        <v>0</v>
      </c>
      <c r="L115" s="123">
        <f t="shared" si="64"/>
        <v>0</v>
      </c>
      <c r="M115" s="123">
        <f t="shared" si="64"/>
        <v>0</v>
      </c>
      <c r="N115" s="123">
        <f t="shared" si="64"/>
        <v>0</v>
      </c>
      <c r="O115" s="123">
        <f t="shared" si="64"/>
        <v>0</v>
      </c>
      <c r="P115" s="123">
        <f t="shared" si="64"/>
        <v>0</v>
      </c>
      <c r="Q115" s="123">
        <f t="shared" si="64"/>
        <v>0</v>
      </c>
      <c r="R115" s="123">
        <f t="shared" si="64"/>
        <v>0</v>
      </c>
      <c r="S115" s="123">
        <f t="shared" si="64"/>
        <v>0</v>
      </c>
      <c r="T115" s="123">
        <f t="shared" si="64"/>
        <v>0</v>
      </c>
      <c r="U115" s="123">
        <f t="shared" si="64"/>
        <v>0</v>
      </c>
      <c r="V115" s="123">
        <f t="shared" si="64"/>
        <v>0</v>
      </c>
      <c r="W115" s="123">
        <f t="shared" si="64"/>
        <v>0</v>
      </c>
      <c r="X115" s="123">
        <f t="shared" si="64"/>
        <v>0</v>
      </c>
      <c r="Y115" s="123">
        <f t="shared" si="64"/>
        <v>0</v>
      </c>
      <c r="Z115" s="123">
        <f t="shared" si="64"/>
        <v>0</v>
      </c>
      <c r="AA115" s="123">
        <f t="shared" si="64"/>
        <v>0</v>
      </c>
      <c r="AB115" s="123">
        <f t="shared" si="64"/>
        <v>0</v>
      </c>
      <c r="AC115" s="123">
        <f t="shared" si="64"/>
        <v>0</v>
      </c>
      <c r="AD115" s="123">
        <f t="shared" si="64"/>
        <v>0</v>
      </c>
      <c r="AE115" s="123">
        <f t="shared" si="64"/>
        <v>0</v>
      </c>
      <c r="AF115" s="123">
        <f t="shared" si="64"/>
        <v>0</v>
      </c>
      <c r="AG115" s="123">
        <f t="shared" si="64"/>
        <v>0</v>
      </c>
      <c r="AH115" s="123">
        <f t="shared" si="64"/>
        <v>0</v>
      </c>
      <c r="AI115" s="123">
        <f t="shared" si="64"/>
        <v>0</v>
      </c>
      <c r="AJ115" s="44" t="str">
        <f t="shared" si="51"/>
        <v/>
      </c>
      <c r="AK115" s="57"/>
      <c r="AL115" s="57" t="str">
        <f t="shared" si="16"/>
        <v>00</v>
      </c>
      <c r="AM115" s="59" t="str">
        <f t="shared" si="17"/>
        <v>00</v>
      </c>
      <c r="AN115" s="59" t="str">
        <f t="shared" si="18"/>
        <v>00</v>
      </c>
      <c r="AO115" s="59" t="str">
        <f t="shared" si="19"/>
        <v>00</v>
      </c>
      <c r="AQ115" t="str">
        <f t="shared" si="13"/>
        <v/>
      </c>
    </row>
    <row r="116" spans="2:43">
      <c r="B116" s="131"/>
      <c r="C116" s="44">
        <f t="shared" si="52"/>
        <v>45</v>
      </c>
      <c r="D116" s="123">
        <f t="shared" ref="D116:AI116" si="65">IF(D51=1,1,0)</f>
        <v>0</v>
      </c>
      <c r="E116" s="123">
        <f t="shared" si="65"/>
        <v>0</v>
      </c>
      <c r="F116" s="123">
        <f t="shared" si="65"/>
        <v>0</v>
      </c>
      <c r="G116" s="123">
        <f t="shared" si="65"/>
        <v>0</v>
      </c>
      <c r="H116" s="123">
        <f t="shared" si="65"/>
        <v>0</v>
      </c>
      <c r="I116" s="123">
        <f t="shared" si="65"/>
        <v>0</v>
      </c>
      <c r="J116" s="123">
        <f t="shared" si="65"/>
        <v>0</v>
      </c>
      <c r="K116" s="123">
        <f t="shared" si="65"/>
        <v>0</v>
      </c>
      <c r="L116" s="123">
        <f t="shared" si="65"/>
        <v>0</v>
      </c>
      <c r="M116" s="123">
        <f t="shared" si="65"/>
        <v>0</v>
      </c>
      <c r="N116" s="123">
        <f t="shared" si="65"/>
        <v>0</v>
      </c>
      <c r="O116" s="123">
        <f t="shared" si="65"/>
        <v>0</v>
      </c>
      <c r="P116" s="123">
        <f t="shared" si="65"/>
        <v>0</v>
      </c>
      <c r="Q116" s="123">
        <f t="shared" si="65"/>
        <v>0</v>
      </c>
      <c r="R116" s="123">
        <f t="shared" si="65"/>
        <v>0</v>
      </c>
      <c r="S116" s="123">
        <f t="shared" si="65"/>
        <v>0</v>
      </c>
      <c r="T116" s="123">
        <f t="shared" si="65"/>
        <v>0</v>
      </c>
      <c r="U116" s="123">
        <f t="shared" si="65"/>
        <v>0</v>
      </c>
      <c r="V116" s="123">
        <f t="shared" si="65"/>
        <v>0</v>
      </c>
      <c r="W116" s="123">
        <f t="shared" si="65"/>
        <v>0</v>
      </c>
      <c r="X116" s="123">
        <f t="shared" si="65"/>
        <v>0</v>
      </c>
      <c r="Y116" s="123">
        <f t="shared" si="65"/>
        <v>0</v>
      </c>
      <c r="Z116" s="123">
        <f t="shared" si="65"/>
        <v>0</v>
      </c>
      <c r="AA116" s="123">
        <f t="shared" si="65"/>
        <v>0</v>
      </c>
      <c r="AB116" s="123">
        <f t="shared" si="65"/>
        <v>0</v>
      </c>
      <c r="AC116" s="123">
        <f t="shared" si="65"/>
        <v>0</v>
      </c>
      <c r="AD116" s="123">
        <f t="shared" si="65"/>
        <v>0</v>
      </c>
      <c r="AE116" s="123">
        <f t="shared" si="65"/>
        <v>0</v>
      </c>
      <c r="AF116" s="123">
        <f t="shared" si="65"/>
        <v>0</v>
      </c>
      <c r="AG116" s="123">
        <f t="shared" si="65"/>
        <v>0</v>
      </c>
      <c r="AH116" s="123">
        <f t="shared" si="65"/>
        <v>0</v>
      </c>
      <c r="AI116" s="123">
        <f t="shared" si="65"/>
        <v>0</v>
      </c>
      <c r="AJ116" s="44" t="str">
        <f t="shared" si="51"/>
        <v/>
      </c>
      <c r="AK116" s="57"/>
      <c r="AL116" s="57" t="str">
        <f t="shared" si="16"/>
        <v>00</v>
      </c>
      <c r="AM116" s="59" t="str">
        <f t="shared" si="17"/>
        <v>00</v>
      </c>
      <c r="AN116" s="59" t="str">
        <f t="shared" si="18"/>
        <v>00</v>
      </c>
      <c r="AO116" s="59" t="str">
        <f t="shared" si="19"/>
        <v>00</v>
      </c>
      <c r="AQ116" t="str">
        <f t="shared" si="13"/>
        <v/>
      </c>
    </row>
    <row r="117" spans="2:43">
      <c r="B117" s="131"/>
      <c r="C117" s="44">
        <f t="shared" si="52"/>
        <v>46</v>
      </c>
      <c r="D117" s="123">
        <f t="shared" ref="D117:AI117" si="66">IF(D52=1,1,0)</f>
        <v>0</v>
      </c>
      <c r="E117" s="123">
        <f t="shared" si="66"/>
        <v>0</v>
      </c>
      <c r="F117" s="123">
        <f t="shared" si="66"/>
        <v>0</v>
      </c>
      <c r="G117" s="123">
        <f t="shared" si="66"/>
        <v>0</v>
      </c>
      <c r="H117" s="123">
        <f t="shared" si="66"/>
        <v>0</v>
      </c>
      <c r="I117" s="123">
        <f t="shared" si="66"/>
        <v>0</v>
      </c>
      <c r="J117" s="123">
        <f t="shared" si="66"/>
        <v>0</v>
      </c>
      <c r="K117" s="123">
        <f t="shared" si="66"/>
        <v>0</v>
      </c>
      <c r="L117" s="123">
        <f t="shared" si="66"/>
        <v>0</v>
      </c>
      <c r="M117" s="123">
        <f t="shared" si="66"/>
        <v>0</v>
      </c>
      <c r="N117" s="123">
        <f t="shared" si="66"/>
        <v>0</v>
      </c>
      <c r="O117" s="123">
        <f t="shared" si="66"/>
        <v>0</v>
      </c>
      <c r="P117" s="123">
        <f t="shared" si="66"/>
        <v>0</v>
      </c>
      <c r="Q117" s="123">
        <f t="shared" si="66"/>
        <v>0</v>
      </c>
      <c r="R117" s="123">
        <f t="shared" si="66"/>
        <v>0</v>
      </c>
      <c r="S117" s="123">
        <f t="shared" si="66"/>
        <v>0</v>
      </c>
      <c r="T117" s="123">
        <f t="shared" si="66"/>
        <v>0</v>
      </c>
      <c r="U117" s="123">
        <f t="shared" si="66"/>
        <v>0</v>
      </c>
      <c r="V117" s="123">
        <f t="shared" si="66"/>
        <v>0</v>
      </c>
      <c r="W117" s="123">
        <f t="shared" si="66"/>
        <v>0</v>
      </c>
      <c r="X117" s="123">
        <f t="shared" si="66"/>
        <v>0</v>
      </c>
      <c r="Y117" s="123">
        <f t="shared" si="66"/>
        <v>0</v>
      </c>
      <c r="Z117" s="123">
        <f t="shared" si="66"/>
        <v>0</v>
      </c>
      <c r="AA117" s="123">
        <f t="shared" si="66"/>
        <v>0</v>
      </c>
      <c r="AB117" s="123">
        <f t="shared" si="66"/>
        <v>0</v>
      </c>
      <c r="AC117" s="123">
        <f t="shared" si="66"/>
        <v>0</v>
      </c>
      <c r="AD117" s="123">
        <f t="shared" si="66"/>
        <v>0</v>
      </c>
      <c r="AE117" s="123">
        <f t="shared" si="66"/>
        <v>0</v>
      </c>
      <c r="AF117" s="123">
        <f t="shared" si="66"/>
        <v>0</v>
      </c>
      <c r="AG117" s="123">
        <f t="shared" si="66"/>
        <v>0</v>
      </c>
      <c r="AH117" s="123">
        <f t="shared" si="66"/>
        <v>0</v>
      </c>
      <c r="AI117" s="123">
        <f t="shared" si="66"/>
        <v>0</v>
      </c>
      <c r="AJ117" s="44" t="str">
        <f t="shared" si="51"/>
        <v/>
      </c>
      <c r="AK117" s="57"/>
      <c r="AL117" s="57" t="str">
        <f t="shared" si="16"/>
        <v>00</v>
      </c>
      <c r="AM117" s="59" t="str">
        <f t="shared" si="17"/>
        <v>00</v>
      </c>
      <c r="AN117" s="59" t="str">
        <f t="shared" si="18"/>
        <v>00</v>
      </c>
      <c r="AO117" s="59" t="str">
        <f t="shared" si="19"/>
        <v>00</v>
      </c>
      <c r="AQ117" t="str">
        <f t="shared" si="13"/>
        <v/>
      </c>
    </row>
    <row r="118" spans="2:43">
      <c r="B118" s="131"/>
      <c r="C118" s="44">
        <f t="shared" si="52"/>
        <v>47</v>
      </c>
      <c r="D118" s="123">
        <f t="shared" ref="D118:AI118" si="67">IF(D53=1,1,0)</f>
        <v>0</v>
      </c>
      <c r="E118" s="123">
        <f t="shared" si="67"/>
        <v>0</v>
      </c>
      <c r="F118" s="123">
        <f t="shared" si="67"/>
        <v>0</v>
      </c>
      <c r="G118" s="123">
        <f t="shared" si="67"/>
        <v>0</v>
      </c>
      <c r="H118" s="123">
        <f t="shared" si="67"/>
        <v>0</v>
      </c>
      <c r="I118" s="123">
        <f t="shared" si="67"/>
        <v>0</v>
      </c>
      <c r="J118" s="123">
        <f t="shared" si="67"/>
        <v>0</v>
      </c>
      <c r="K118" s="123">
        <f t="shared" si="67"/>
        <v>0</v>
      </c>
      <c r="L118" s="123">
        <f t="shared" si="67"/>
        <v>0</v>
      </c>
      <c r="M118" s="123">
        <f t="shared" si="67"/>
        <v>0</v>
      </c>
      <c r="N118" s="123">
        <f t="shared" si="67"/>
        <v>0</v>
      </c>
      <c r="O118" s="123">
        <f t="shared" si="67"/>
        <v>0</v>
      </c>
      <c r="P118" s="123">
        <f t="shared" si="67"/>
        <v>0</v>
      </c>
      <c r="Q118" s="123">
        <f t="shared" si="67"/>
        <v>0</v>
      </c>
      <c r="R118" s="123">
        <f t="shared" si="67"/>
        <v>0</v>
      </c>
      <c r="S118" s="123">
        <f t="shared" si="67"/>
        <v>0</v>
      </c>
      <c r="T118" s="123">
        <f t="shared" si="67"/>
        <v>0</v>
      </c>
      <c r="U118" s="123">
        <f t="shared" si="67"/>
        <v>0</v>
      </c>
      <c r="V118" s="123">
        <f t="shared" si="67"/>
        <v>0</v>
      </c>
      <c r="W118" s="123">
        <f t="shared" si="67"/>
        <v>0</v>
      </c>
      <c r="X118" s="123">
        <f t="shared" si="67"/>
        <v>0</v>
      </c>
      <c r="Y118" s="123">
        <f t="shared" si="67"/>
        <v>0</v>
      </c>
      <c r="Z118" s="123">
        <f t="shared" si="67"/>
        <v>0</v>
      </c>
      <c r="AA118" s="123">
        <f t="shared" si="67"/>
        <v>0</v>
      </c>
      <c r="AB118" s="123">
        <f t="shared" si="67"/>
        <v>0</v>
      </c>
      <c r="AC118" s="123">
        <f t="shared" si="67"/>
        <v>0</v>
      </c>
      <c r="AD118" s="123">
        <f t="shared" si="67"/>
        <v>0</v>
      </c>
      <c r="AE118" s="123">
        <f t="shared" si="67"/>
        <v>0</v>
      </c>
      <c r="AF118" s="123">
        <f t="shared" si="67"/>
        <v>0</v>
      </c>
      <c r="AG118" s="123">
        <f t="shared" si="67"/>
        <v>0</v>
      </c>
      <c r="AH118" s="123">
        <f t="shared" si="67"/>
        <v>0</v>
      </c>
      <c r="AI118" s="123">
        <f t="shared" si="67"/>
        <v>0</v>
      </c>
      <c r="AJ118" s="44" t="str">
        <f t="shared" si="51"/>
        <v/>
      </c>
      <c r="AK118" s="57"/>
      <c r="AL118" s="57" t="str">
        <f t="shared" si="16"/>
        <v>00</v>
      </c>
      <c r="AM118" s="59" t="str">
        <f t="shared" si="17"/>
        <v>00</v>
      </c>
      <c r="AN118" s="59" t="str">
        <f t="shared" si="18"/>
        <v>00</v>
      </c>
      <c r="AO118" s="59" t="str">
        <f t="shared" si="19"/>
        <v>00</v>
      </c>
      <c r="AQ118" t="str">
        <f t="shared" si="13"/>
        <v/>
      </c>
    </row>
    <row r="119" spans="2:43">
      <c r="B119" s="131"/>
      <c r="C119" s="44">
        <f t="shared" si="52"/>
        <v>48</v>
      </c>
      <c r="D119" s="123">
        <f t="shared" ref="D119:AI119" si="68">IF(D54=1,1,0)</f>
        <v>0</v>
      </c>
      <c r="E119" s="123">
        <f t="shared" si="68"/>
        <v>0</v>
      </c>
      <c r="F119" s="123">
        <f t="shared" si="68"/>
        <v>0</v>
      </c>
      <c r="G119" s="123">
        <f t="shared" si="68"/>
        <v>0</v>
      </c>
      <c r="H119" s="123">
        <f t="shared" si="68"/>
        <v>0</v>
      </c>
      <c r="I119" s="123">
        <f t="shared" si="68"/>
        <v>0</v>
      </c>
      <c r="J119" s="123">
        <f t="shared" si="68"/>
        <v>0</v>
      </c>
      <c r="K119" s="123">
        <f t="shared" si="68"/>
        <v>0</v>
      </c>
      <c r="L119" s="123">
        <f t="shared" si="68"/>
        <v>0</v>
      </c>
      <c r="M119" s="123">
        <f t="shared" si="68"/>
        <v>0</v>
      </c>
      <c r="N119" s="123">
        <f t="shared" si="68"/>
        <v>0</v>
      </c>
      <c r="O119" s="123">
        <f t="shared" si="68"/>
        <v>0</v>
      </c>
      <c r="P119" s="123">
        <f t="shared" si="68"/>
        <v>0</v>
      </c>
      <c r="Q119" s="123">
        <f t="shared" si="68"/>
        <v>0</v>
      </c>
      <c r="R119" s="123">
        <f t="shared" si="68"/>
        <v>0</v>
      </c>
      <c r="S119" s="123">
        <f t="shared" si="68"/>
        <v>0</v>
      </c>
      <c r="T119" s="123">
        <f t="shared" si="68"/>
        <v>0</v>
      </c>
      <c r="U119" s="123">
        <f t="shared" si="68"/>
        <v>0</v>
      </c>
      <c r="V119" s="123">
        <f t="shared" si="68"/>
        <v>0</v>
      </c>
      <c r="W119" s="123">
        <f t="shared" si="68"/>
        <v>0</v>
      </c>
      <c r="X119" s="123">
        <f t="shared" si="68"/>
        <v>0</v>
      </c>
      <c r="Y119" s="123">
        <f t="shared" si="68"/>
        <v>0</v>
      </c>
      <c r="Z119" s="123">
        <f t="shared" si="68"/>
        <v>0</v>
      </c>
      <c r="AA119" s="123">
        <f t="shared" si="68"/>
        <v>0</v>
      </c>
      <c r="AB119" s="123">
        <f t="shared" si="68"/>
        <v>0</v>
      </c>
      <c r="AC119" s="123">
        <f t="shared" si="68"/>
        <v>0</v>
      </c>
      <c r="AD119" s="123">
        <f t="shared" si="68"/>
        <v>0</v>
      </c>
      <c r="AE119" s="123">
        <f t="shared" si="68"/>
        <v>0</v>
      </c>
      <c r="AF119" s="123">
        <f t="shared" si="68"/>
        <v>0</v>
      </c>
      <c r="AG119" s="123">
        <f t="shared" si="68"/>
        <v>0</v>
      </c>
      <c r="AH119" s="123">
        <f t="shared" si="68"/>
        <v>0</v>
      </c>
      <c r="AI119" s="123">
        <f t="shared" si="68"/>
        <v>0</v>
      </c>
      <c r="AJ119" s="44" t="str">
        <f t="shared" si="51"/>
        <v/>
      </c>
      <c r="AK119" s="57"/>
      <c r="AL119" s="57" t="str">
        <f t="shared" si="16"/>
        <v>00</v>
      </c>
      <c r="AM119" s="59" t="str">
        <f t="shared" si="17"/>
        <v>00</v>
      </c>
      <c r="AN119" s="59" t="str">
        <f t="shared" si="18"/>
        <v>00</v>
      </c>
      <c r="AO119" s="59" t="str">
        <f t="shared" si="19"/>
        <v>00</v>
      </c>
      <c r="AQ119" t="str">
        <f t="shared" si="13"/>
        <v/>
      </c>
    </row>
    <row r="120" spans="2:43">
      <c r="B120" s="131"/>
      <c r="C120" s="44">
        <f t="shared" si="52"/>
        <v>49</v>
      </c>
      <c r="D120" s="123">
        <f t="shared" ref="D120:AI120" si="69">IF(D55=1,1,0)</f>
        <v>0</v>
      </c>
      <c r="E120" s="123">
        <f t="shared" si="69"/>
        <v>0</v>
      </c>
      <c r="F120" s="123">
        <f t="shared" si="69"/>
        <v>0</v>
      </c>
      <c r="G120" s="123">
        <f t="shared" si="69"/>
        <v>0</v>
      </c>
      <c r="H120" s="123">
        <f t="shared" si="69"/>
        <v>0</v>
      </c>
      <c r="I120" s="123">
        <f t="shared" si="69"/>
        <v>0</v>
      </c>
      <c r="J120" s="123">
        <f t="shared" si="69"/>
        <v>0</v>
      </c>
      <c r="K120" s="123">
        <f t="shared" si="69"/>
        <v>0</v>
      </c>
      <c r="L120" s="123">
        <f t="shared" si="69"/>
        <v>0</v>
      </c>
      <c r="M120" s="123">
        <f t="shared" si="69"/>
        <v>0</v>
      </c>
      <c r="N120" s="123">
        <f t="shared" si="69"/>
        <v>0</v>
      </c>
      <c r="O120" s="123">
        <f t="shared" si="69"/>
        <v>0</v>
      </c>
      <c r="P120" s="123">
        <f t="shared" si="69"/>
        <v>0</v>
      </c>
      <c r="Q120" s="123">
        <f t="shared" si="69"/>
        <v>0</v>
      </c>
      <c r="R120" s="123">
        <f t="shared" si="69"/>
        <v>0</v>
      </c>
      <c r="S120" s="123">
        <f t="shared" si="69"/>
        <v>0</v>
      </c>
      <c r="T120" s="123">
        <f t="shared" si="69"/>
        <v>0</v>
      </c>
      <c r="U120" s="123">
        <f t="shared" si="69"/>
        <v>0</v>
      </c>
      <c r="V120" s="123">
        <f t="shared" si="69"/>
        <v>0</v>
      </c>
      <c r="W120" s="123">
        <f t="shared" si="69"/>
        <v>0</v>
      </c>
      <c r="X120" s="123">
        <f t="shared" si="69"/>
        <v>0</v>
      </c>
      <c r="Y120" s="123">
        <f t="shared" si="69"/>
        <v>0</v>
      </c>
      <c r="Z120" s="123">
        <f t="shared" si="69"/>
        <v>0</v>
      </c>
      <c r="AA120" s="123">
        <f t="shared" si="69"/>
        <v>0</v>
      </c>
      <c r="AB120" s="123">
        <f t="shared" si="69"/>
        <v>0</v>
      </c>
      <c r="AC120" s="123">
        <f t="shared" si="69"/>
        <v>0</v>
      </c>
      <c r="AD120" s="123">
        <f t="shared" si="69"/>
        <v>0</v>
      </c>
      <c r="AE120" s="123">
        <f t="shared" si="69"/>
        <v>0</v>
      </c>
      <c r="AF120" s="123">
        <f t="shared" si="69"/>
        <v>0</v>
      </c>
      <c r="AG120" s="123">
        <f t="shared" si="69"/>
        <v>0</v>
      </c>
      <c r="AH120" s="123">
        <f t="shared" si="69"/>
        <v>0</v>
      </c>
      <c r="AI120" s="123">
        <f t="shared" si="69"/>
        <v>0</v>
      </c>
      <c r="AJ120" s="44" t="str">
        <f t="shared" si="51"/>
        <v/>
      </c>
      <c r="AK120" s="57"/>
      <c r="AL120" s="57" t="str">
        <f t="shared" si="16"/>
        <v>00</v>
      </c>
      <c r="AM120" s="59" t="str">
        <f t="shared" si="17"/>
        <v>00</v>
      </c>
      <c r="AN120" s="59" t="str">
        <f t="shared" si="18"/>
        <v>00</v>
      </c>
      <c r="AO120" s="59" t="str">
        <f t="shared" si="19"/>
        <v>00</v>
      </c>
      <c r="AQ120" t="str">
        <f t="shared" si="13"/>
        <v/>
      </c>
    </row>
    <row r="121" spans="2:43">
      <c r="B121" s="131"/>
      <c r="C121" s="44">
        <f t="shared" si="52"/>
        <v>50</v>
      </c>
      <c r="D121" s="123">
        <f t="shared" ref="D121:AI121" si="70">IF(D56=1,1,0)</f>
        <v>0</v>
      </c>
      <c r="E121" s="123">
        <f t="shared" si="70"/>
        <v>0</v>
      </c>
      <c r="F121" s="123">
        <f t="shared" si="70"/>
        <v>0</v>
      </c>
      <c r="G121" s="123">
        <f t="shared" si="70"/>
        <v>0</v>
      </c>
      <c r="H121" s="123">
        <f t="shared" si="70"/>
        <v>0</v>
      </c>
      <c r="I121" s="123">
        <f t="shared" si="70"/>
        <v>0</v>
      </c>
      <c r="J121" s="123">
        <f t="shared" si="70"/>
        <v>0</v>
      </c>
      <c r="K121" s="123">
        <f t="shared" si="70"/>
        <v>0</v>
      </c>
      <c r="L121" s="123">
        <f t="shared" si="70"/>
        <v>0</v>
      </c>
      <c r="M121" s="123">
        <f t="shared" si="70"/>
        <v>0</v>
      </c>
      <c r="N121" s="123">
        <f t="shared" si="70"/>
        <v>0</v>
      </c>
      <c r="O121" s="123">
        <f t="shared" si="70"/>
        <v>0</v>
      </c>
      <c r="P121" s="123">
        <f t="shared" si="70"/>
        <v>0</v>
      </c>
      <c r="Q121" s="123">
        <f t="shared" si="70"/>
        <v>0</v>
      </c>
      <c r="R121" s="123">
        <f t="shared" si="70"/>
        <v>0</v>
      </c>
      <c r="S121" s="123">
        <f t="shared" si="70"/>
        <v>0</v>
      </c>
      <c r="T121" s="123">
        <f t="shared" si="70"/>
        <v>0</v>
      </c>
      <c r="U121" s="123">
        <f t="shared" si="70"/>
        <v>0</v>
      </c>
      <c r="V121" s="123">
        <f t="shared" si="70"/>
        <v>0</v>
      </c>
      <c r="W121" s="123">
        <f t="shared" si="70"/>
        <v>0</v>
      </c>
      <c r="X121" s="123">
        <f t="shared" si="70"/>
        <v>0</v>
      </c>
      <c r="Y121" s="123">
        <f t="shared" si="70"/>
        <v>0</v>
      </c>
      <c r="Z121" s="123">
        <f t="shared" si="70"/>
        <v>0</v>
      </c>
      <c r="AA121" s="123">
        <f t="shared" si="70"/>
        <v>0</v>
      </c>
      <c r="AB121" s="123">
        <f t="shared" si="70"/>
        <v>0</v>
      </c>
      <c r="AC121" s="123">
        <f t="shared" si="70"/>
        <v>0</v>
      </c>
      <c r="AD121" s="123">
        <f t="shared" si="70"/>
        <v>0</v>
      </c>
      <c r="AE121" s="123">
        <f t="shared" si="70"/>
        <v>0</v>
      </c>
      <c r="AF121" s="123">
        <f t="shared" si="70"/>
        <v>0</v>
      </c>
      <c r="AG121" s="123">
        <f t="shared" si="70"/>
        <v>0</v>
      </c>
      <c r="AH121" s="123">
        <f t="shared" si="70"/>
        <v>0</v>
      </c>
      <c r="AI121" s="123">
        <f t="shared" si="70"/>
        <v>0</v>
      </c>
      <c r="AJ121" s="44" t="str">
        <f t="shared" si="51"/>
        <v/>
      </c>
      <c r="AK121" s="57"/>
      <c r="AL121" s="57" t="str">
        <f t="shared" si="16"/>
        <v>00</v>
      </c>
      <c r="AM121" s="59" t="str">
        <f t="shared" si="17"/>
        <v>00</v>
      </c>
      <c r="AN121" s="59" t="str">
        <f t="shared" si="18"/>
        <v>00</v>
      </c>
      <c r="AO121" s="59" t="str">
        <f t="shared" si="19"/>
        <v>00</v>
      </c>
      <c r="AQ121" t="str">
        <f t="shared" si="13"/>
        <v/>
      </c>
    </row>
    <row r="122" spans="2:43">
      <c r="B122" s="131"/>
      <c r="C122" s="44">
        <f t="shared" si="52"/>
        <v>51</v>
      </c>
      <c r="D122" s="123">
        <f t="shared" ref="D122:AI122" si="71">IF(D57=1,1,0)</f>
        <v>0</v>
      </c>
      <c r="E122" s="123">
        <f t="shared" si="71"/>
        <v>0</v>
      </c>
      <c r="F122" s="123">
        <f t="shared" si="71"/>
        <v>0</v>
      </c>
      <c r="G122" s="123">
        <f t="shared" si="71"/>
        <v>0</v>
      </c>
      <c r="H122" s="123">
        <f t="shared" si="71"/>
        <v>0</v>
      </c>
      <c r="I122" s="123">
        <f t="shared" si="71"/>
        <v>0</v>
      </c>
      <c r="J122" s="123">
        <f t="shared" si="71"/>
        <v>0</v>
      </c>
      <c r="K122" s="123">
        <f t="shared" si="71"/>
        <v>0</v>
      </c>
      <c r="L122" s="123">
        <f t="shared" si="71"/>
        <v>0</v>
      </c>
      <c r="M122" s="123">
        <f t="shared" si="71"/>
        <v>0</v>
      </c>
      <c r="N122" s="123">
        <f t="shared" si="71"/>
        <v>0</v>
      </c>
      <c r="O122" s="123">
        <f t="shared" si="71"/>
        <v>0</v>
      </c>
      <c r="P122" s="123">
        <f t="shared" si="71"/>
        <v>0</v>
      </c>
      <c r="Q122" s="123">
        <f t="shared" si="71"/>
        <v>0</v>
      </c>
      <c r="R122" s="123">
        <f t="shared" si="71"/>
        <v>0</v>
      </c>
      <c r="S122" s="123">
        <f t="shared" si="71"/>
        <v>0</v>
      </c>
      <c r="T122" s="123">
        <f t="shared" si="71"/>
        <v>0</v>
      </c>
      <c r="U122" s="123">
        <f t="shared" si="71"/>
        <v>0</v>
      </c>
      <c r="V122" s="123">
        <f t="shared" si="71"/>
        <v>0</v>
      </c>
      <c r="W122" s="123">
        <f t="shared" si="71"/>
        <v>0</v>
      </c>
      <c r="X122" s="123">
        <f t="shared" si="71"/>
        <v>0</v>
      </c>
      <c r="Y122" s="123">
        <f t="shared" si="71"/>
        <v>0</v>
      </c>
      <c r="Z122" s="123">
        <f t="shared" si="71"/>
        <v>0</v>
      </c>
      <c r="AA122" s="123">
        <f t="shared" si="71"/>
        <v>0</v>
      </c>
      <c r="AB122" s="123">
        <f t="shared" si="71"/>
        <v>0</v>
      </c>
      <c r="AC122" s="123">
        <f t="shared" si="71"/>
        <v>0</v>
      </c>
      <c r="AD122" s="123">
        <f t="shared" si="71"/>
        <v>0</v>
      </c>
      <c r="AE122" s="123">
        <f t="shared" si="71"/>
        <v>0</v>
      </c>
      <c r="AF122" s="123">
        <f t="shared" si="71"/>
        <v>0</v>
      </c>
      <c r="AG122" s="123">
        <f t="shared" si="71"/>
        <v>0</v>
      </c>
      <c r="AH122" s="123">
        <f t="shared" si="71"/>
        <v>0</v>
      </c>
      <c r="AI122" s="123">
        <f t="shared" si="71"/>
        <v>0</v>
      </c>
      <c r="AJ122" s="44" t="str">
        <f t="shared" si="51"/>
        <v/>
      </c>
      <c r="AK122" s="57"/>
      <c r="AL122" s="57" t="str">
        <f t="shared" si="16"/>
        <v>00</v>
      </c>
      <c r="AM122" s="59" t="str">
        <f t="shared" si="17"/>
        <v>00</v>
      </c>
      <c r="AN122" s="59" t="str">
        <f t="shared" si="18"/>
        <v>00</v>
      </c>
      <c r="AO122" s="59" t="str">
        <f t="shared" si="19"/>
        <v>00</v>
      </c>
      <c r="AQ122" t="str">
        <f t="shared" si="13"/>
        <v/>
      </c>
    </row>
    <row r="123" spans="2:43">
      <c r="B123" s="131"/>
      <c r="C123" s="44">
        <f t="shared" si="52"/>
        <v>52</v>
      </c>
      <c r="D123" s="123">
        <f t="shared" ref="D123:AI123" si="72">IF(D58=1,1,0)</f>
        <v>0</v>
      </c>
      <c r="E123" s="123">
        <f t="shared" si="72"/>
        <v>0</v>
      </c>
      <c r="F123" s="123">
        <f t="shared" si="72"/>
        <v>0</v>
      </c>
      <c r="G123" s="123">
        <f t="shared" si="72"/>
        <v>0</v>
      </c>
      <c r="H123" s="123">
        <f t="shared" si="72"/>
        <v>0</v>
      </c>
      <c r="I123" s="123">
        <f t="shared" si="72"/>
        <v>0</v>
      </c>
      <c r="J123" s="123">
        <f t="shared" si="72"/>
        <v>0</v>
      </c>
      <c r="K123" s="123">
        <f t="shared" si="72"/>
        <v>0</v>
      </c>
      <c r="L123" s="123">
        <f t="shared" si="72"/>
        <v>0</v>
      </c>
      <c r="M123" s="123">
        <f t="shared" si="72"/>
        <v>0</v>
      </c>
      <c r="N123" s="123">
        <f t="shared" si="72"/>
        <v>0</v>
      </c>
      <c r="O123" s="123">
        <f t="shared" si="72"/>
        <v>0</v>
      </c>
      <c r="P123" s="123">
        <f t="shared" si="72"/>
        <v>0</v>
      </c>
      <c r="Q123" s="123">
        <f t="shared" si="72"/>
        <v>0</v>
      </c>
      <c r="R123" s="123">
        <f t="shared" si="72"/>
        <v>0</v>
      </c>
      <c r="S123" s="123">
        <f t="shared" si="72"/>
        <v>0</v>
      </c>
      <c r="T123" s="123">
        <f t="shared" si="72"/>
        <v>0</v>
      </c>
      <c r="U123" s="123">
        <f t="shared" si="72"/>
        <v>0</v>
      </c>
      <c r="V123" s="123">
        <f t="shared" si="72"/>
        <v>0</v>
      </c>
      <c r="W123" s="123">
        <f t="shared" si="72"/>
        <v>0</v>
      </c>
      <c r="X123" s="123">
        <f t="shared" si="72"/>
        <v>0</v>
      </c>
      <c r="Y123" s="123">
        <f t="shared" si="72"/>
        <v>0</v>
      </c>
      <c r="Z123" s="123">
        <f t="shared" si="72"/>
        <v>0</v>
      </c>
      <c r="AA123" s="123">
        <f t="shared" si="72"/>
        <v>0</v>
      </c>
      <c r="AB123" s="123">
        <f t="shared" si="72"/>
        <v>0</v>
      </c>
      <c r="AC123" s="123">
        <f t="shared" si="72"/>
        <v>0</v>
      </c>
      <c r="AD123" s="123">
        <f t="shared" si="72"/>
        <v>0</v>
      </c>
      <c r="AE123" s="123">
        <f t="shared" si="72"/>
        <v>0</v>
      </c>
      <c r="AF123" s="123">
        <f t="shared" si="72"/>
        <v>0</v>
      </c>
      <c r="AG123" s="123">
        <f t="shared" si="72"/>
        <v>0</v>
      </c>
      <c r="AH123" s="123">
        <f t="shared" si="72"/>
        <v>0</v>
      </c>
      <c r="AI123" s="123">
        <f t="shared" si="72"/>
        <v>0</v>
      </c>
      <c r="AJ123" s="44" t="str">
        <f t="shared" si="51"/>
        <v/>
      </c>
      <c r="AK123" s="57"/>
      <c r="AL123" s="57" t="str">
        <f t="shared" si="16"/>
        <v>00</v>
      </c>
      <c r="AM123" s="59" t="str">
        <f t="shared" si="17"/>
        <v>00</v>
      </c>
      <c r="AN123" s="59" t="str">
        <f t="shared" si="18"/>
        <v>00</v>
      </c>
      <c r="AO123" s="59" t="str">
        <f t="shared" si="19"/>
        <v>00</v>
      </c>
      <c r="AQ123" t="str">
        <f t="shared" si="13"/>
        <v/>
      </c>
    </row>
    <row r="124" spans="2:43">
      <c r="B124" s="131"/>
      <c r="C124" s="44">
        <f t="shared" si="52"/>
        <v>53</v>
      </c>
      <c r="D124" s="123">
        <f t="shared" ref="D124:AI124" si="73">IF(D59=1,1,0)</f>
        <v>0</v>
      </c>
      <c r="E124" s="123">
        <f t="shared" si="73"/>
        <v>0</v>
      </c>
      <c r="F124" s="123">
        <f t="shared" si="73"/>
        <v>0</v>
      </c>
      <c r="G124" s="123">
        <f t="shared" si="73"/>
        <v>0</v>
      </c>
      <c r="H124" s="123">
        <f t="shared" si="73"/>
        <v>0</v>
      </c>
      <c r="I124" s="123">
        <f t="shared" si="73"/>
        <v>0</v>
      </c>
      <c r="J124" s="123">
        <f t="shared" si="73"/>
        <v>0</v>
      </c>
      <c r="K124" s="123">
        <f t="shared" si="73"/>
        <v>0</v>
      </c>
      <c r="L124" s="123">
        <f t="shared" si="73"/>
        <v>0</v>
      </c>
      <c r="M124" s="123">
        <f t="shared" si="73"/>
        <v>0</v>
      </c>
      <c r="N124" s="123">
        <f t="shared" si="73"/>
        <v>0</v>
      </c>
      <c r="O124" s="123">
        <f t="shared" si="73"/>
        <v>0</v>
      </c>
      <c r="P124" s="123">
        <f t="shared" si="73"/>
        <v>0</v>
      </c>
      <c r="Q124" s="123">
        <f t="shared" si="73"/>
        <v>0</v>
      </c>
      <c r="R124" s="123">
        <f t="shared" si="73"/>
        <v>0</v>
      </c>
      <c r="S124" s="123">
        <f t="shared" si="73"/>
        <v>0</v>
      </c>
      <c r="T124" s="123">
        <f t="shared" si="73"/>
        <v>0</v>
      </c>
      <c r="U124" s="123">
        <f t="shared" si="73"/>
        <v>0</v>
      </c>
      <c r="V124" s="123">
        <f t="shared" si="73"/>
        <v>0</v>
      </c>
      <c r="W124" s="123">
        <f t="shared" si="73"/>
        <v>0</v>
      </c>
      <c r="X124" s="123">
        <f t="shared" si="73"/>
        <v>0</v>
      </c>
      <c r="Y124" s="123">
        <f t="shared" si="73"/>
        <v>0</v>
      </c>
      <c r="Z124" s="123">
        <f t="shared" si="73"/>
        <v>0</v>
      </c>
      <c r="AA124" s="123">
        <f t="shared" si="73"/>
        <v>0</v>
      </c>
      <c r="AB124" s="123">
        <f t="shared" si="73"/>
        <v>0</v>
      </c>
      <c r="AC124" s="123">
        <f t="shared" si="73"/>
        <v>0</v>
      </c>
      <c r="AD124" s="123">
        <f t="shared" si="73"/>
        <v>0</v>
      </c>
      <c r="AE124" s="123">
        <f t="shared" si="73"/>
        <v>0</v>
      </c>
      <c r="AF124" s="123">
        <f t="shared" si="73"/>
        <v>0</v>
      </c>
      <c r="AG124" s="123">
        <f t="shared" si="73"/>
        <v>0</v>
      </c>
      <c r="AH124" s="123">
        <f t="shared" si="73"/>
        <v>0</v>
      </c>
      <c r="AI124" s="123">
        <f t="shared" si="73"/>
        <v>0</v>
      </c>
      <c r="AJ124" s="44" t="str">
        <f t="shared" si="51"/>
        <v/>
      </c>
      <c r="AK124" s="57"/>
      <c r="AL124" s="57" t="str">
        <f t="shared" si="16"/>
        <v>00</v>
      </c>
      <c r="AM124" s="59" t="str">
        <f t="shared" si="17"/>
        <v>00</v>
      </c>
      <c r="AN124" s="59" t="str">
        <f t="shared" si="18"/>
        <v>00</v>
      </c>
      <c r="AO124" s="59" t="str">
        <f t="shared" si="19"/>
        <v>00</v>
      </c>
      <c r="AQ124" t="str">
        <f t="shared" si="13"/>
        <v/>
      </c>
    </row>
    <row r="125" spans="2:43">
      <c r="B125" s="131"/>
      <c r="C125" s="44">
        <f t="shared" si="52"/>
        <v>54</v>
      </c>
      <c r="D125" s="123">
        <f t="shared" ref="D125:AI125" si="74">IF(D60=1,1,0)</f>
        <v>0</v>
      </c>
      <c r="E125" s="123">
        <f t="shared" si="74"/>
        <v>0</v>
      </c>
      <c r="F125" s="123">
        <f t="shared" si="74"/>
        <v>0</v>
      </c>
      <c r="G125" s="123">
        <f t="shared" si="74"/>
        <v>0</v>
      </c>
      <c r="H125" s="123">
        <f t="shared" si="74"/>
        <v>0</v>
      </c>
      <c r="I125" s="123">
        <f t="shared" si="74"/>
        <v>0</v>
      </c>
      <c r="J125" s="123">
        <f t="shared" si="74"/>
        <v>0</v>
      </c>
      <c r="K125" s="123">
        <f t="shared" si="74"/>
        <v>0</v>
      </c>
      <c r="L125" s="123">
        <f t="shared" si="74"/>
        <v>0</v>
      </c>
      <c r="M125" s="123">
        <f t="shared" si="74"/>
        <v>0</v>
      </c>
      <c r="N125" s="123">
        <f t="shared" si="74"/>
        <v>0</v>
      </c>
      <c r="O125" s="123">
        <f t="shared" si="74"/>
        <v>0</v>
      </c>
      <c r="P125" s="123">
        <f t="shared" si="74"/>
        <v>0</v>
      </c>
      <c r="Q125" s="123">
        <f t="shared" si="74"/>
        <v>0</v>
      </c>
      <c r="R125" s="123">
        <f t="shared" si="74"/>
        <v>0</v>
      </c>
      <c r="S125" s="123">
        <f t="shared" si="74"/>
        <v>0</v>
      </c>
      <c r="T125" s="123">
        <f t="shared" si="74"/>
        <v>0</v>
      </c>
      <c r="U125" s="123">
        <f t="shared" si="74"/>
        <v>0</v>
      </c>
      <c r="V125" s="123">
        <f t="shared" si="74"/>
        <v>0</v>
      </c>
      <c r="W125" s="123">
        <f t="shared" si="74"/>
        <v>0</v>
      </c>
      <c r="X125" s="123">
        <f t="shared" si="74"/>
        <v>0</v>
      </c>
      <c r="Y125" s="123">
        <f t="shared" si="74"/>
        <v>0</v>
      </c>
      <c r="Z125" s="123">
        <f t="shared" si="74"/>
        <v>0</v>
      </c>
      <c r="AA125" s="123">
        <f t="shared" si="74"/>
        <v>0</v>
      </c>
      <c r="AB125" s="123">
        <f t="shared" si="74"/>
        <v>0</v>
      </c>
      <c r="AC125" s="123">
        <f t="shared" si="74"/>
        <v>0</v>
      </c>
      <c r="AD125" s="123">
        <f t="shared" si="74"/>
        <v>0</v>
      </c>
      <c r="AE125" s="123">
        <f t="shared" si="74"/>
        <v>0</v>
      </c>
      <c r="AF125" s="123">
        <f t="shared" si="74"/>
        <v>0</v>
      </c>
      <c r="AG125" s="123">
        <f t="shared" si="74"/>
        <v>0</v>
      </c>
      <c r="AH125" s="123">
        <f t="shared" si="74"/>
        <v>0</v>
      </c>
      <c r="AI125" s="123">
        <f t="shared" si="74"/>
        <v>0</v>
      </c>
      <c r="AJ125" s="44" t="str">
        <f t="shared" si="51"/>
        <v/>
      </c>
      <c r="AK125" s="57"/>
      <c r="AL125" s="57" t="str">
        <f t="shared" si="16"/>
        <v>00</v>
      </c>
      <c r="AM125" s="59" t="str">
        <f t="shared" si="17"/>
        <v>00</v>
      </c>
      <c r="AN125" s="59" t="str">
        <f t="shared" si="18"/>
        <v>00</v>
      </c>
      <c r="AO125" s="59" t="str">
        <f t="shared" si="19"/>
        <v>00</v>
      </c>
      <c r="AQ125" t="str">
        <f t="shared" si="13"/>
        <v/>
      </c>
    </row>
    <row r="126" spans="2:43">
      <c r="B126" s="131"/>
      <c r="C126" s="44">
        <f t="shared" si="52"/>
        <v>55</v>
      </c>
      <c r="D126" s="123">
        <f t="shared" ref="D126:AI126" si="75">IF(D61=1,1,0)</f>
        <v>0</v>
      </c>
      <c r="E126" s="123">
        <f t="shared" si="75"/>
        <v>0</v>
      </c>
      <c r="F126" s="123">
        <f t="shared" si="75"/>
        <v>0</v>
      </c>
      <c r="G126" s="123">
        <f t="shared" si="75"/>
        <v>0</v>
      </c>
      <c r="H126" s="123">
        <f t="shared" si="75"/>
        <v>0</v>
      </c>
      <c r="I126" s="123">
        <f t="shared" si="75"/>
        <v>0</v>
      </c>
      <c r="J126" s="123">
        <f t="shared" si="75"/>
        <v>0</v>
      </c>
      <c r="K126" s="123">
        <f t="shared" si="75"/>
        <v>0</v>
      </c>
      <c r="L126" s="123">
        <f t="shared" si="75"/>
        <v>0</v>
      </c>
      <c r="M126" s="123">
        <f t="shared" si="75"/>
        <v>0</v>
      </c>
      <c r="N126" s="123">
        <f t="shared" si="75"/>
        <v>0</v>
      </c>
      <c r="O126" s="123">
        <f t="shared" si="75"/>
        <v>0</v>
      </c>
      <c r="P126" s="123">
        <f t="shared" si="75"/>
        <v>0</v>
      </c>
      <c r="Q126" s="123">
        <f t="shared" si="75"/>
        <v>0</v>
      </c>
      <c r="R126" s="123">
        <f t="shared" si="75"/>
        <v>0</v>
      </c>
      <c r="S126" s="123">
        <f t="shared" si="75"/>
        <v>0</v>
      </c>
      <c r="T126" s="123">
        <f t="shared" si="75"/>
        <v>0</v>
      </c>
      <c r="U126" s="123">
        <f t="shared" si="75"/>
        <v>0</v>
      </c>
      <c r="V126" s="123">
        <f t="shared" si="75"/>
        <v>0</v>
      </c>
      <c r="W126" s="123">
        <f t="shared" si="75"/>
        <v>0</v>
      </c>
      <c r="X126" s="123">
        <f t="shared" si="75"/>
        <v>0</v>
      </c>
      <c r="Y126" s="123">
        <f t="shared" si="75"/>
        <v>0</v>
      </c>
      <c r="Z126" s="123">
        <f t="shared" si="75"/>
        <v>0</v>
      </c>
      <c r="AA126" s="123">
        <f t="shared" si="75"/>
        <v>0</v>
      </c>
      <c r="AB126" s="123">
        <f t="shared" si="75"/>
        <v>0</v>
      </c>
      <c r="AC126" s="123">
        <f t="shared" si="75"/>
        <v>0</v>
      </c>
      <c r="AD126" s="123">
        <f t="shared" si="75"/>
        <v>0</v>
      </c>
      <c r="AE126" s="123">
        <f t="shared" si="75"/>
        <v>0</v>
      </c>
      <c r="AF126" s="123">
        <f t="shared" si="75"/>
        <v>0</v>
      </c>
      <c r="AG126" s="123">
        <f t="shared" si="75"/>
        <v>0</v>
      </c>
      <c r="AH126" s="123">
        <f t="shared" si="75"/>
        <v>0</v>
      </c>
      <c r="AI126" s="123">
        <f t="shared" si="75"/>
        <v>0</v>
      </c>
      <c r="AJ126" s="44" t="str">
        <f t="shared" si="51"/>
        <v/>
      </c>
      <c r="AK126" s="57"/>
      <c r="AL126" s="57" t="str">
        <f t="shared" si="16"/>
        <v>00</v>
      </c>
      <c r="AM126" s="59" t="str">
        <f t="shared" si="17"/>
        <v>00</v>
      </c>
      <c r="AN126" s="59" t="str">
        <f t="shared" si="18"/>
        <v>00</v>
      </c>
      <c r="AO126" s="59" t="str">
        <f t="shared" si="19"/>
        <v>00</v>
      </c>
      <c r="AQ126" t="str">
        <f t="shared" si="13"/>
        <v/>
      </c>
    </row>
    <row r="127" spans="2:43">
      <c r="B127" s="131"/>
      <c r="C127" s="44">
        <f t="shared" si="52"/>
        <v>56</v>
      </c>
      <c r="D127" s="123">
        <f t="shared" ref="D127:AI127" si="76">IF(D62=1,1,0)</f>
        <v>0</v>
      </c>
      <c r="E127" s="123">
        <f t="shared" si="76"/>
        <v>0</v>
      </c>
      <c r="F127" s="123">
        <f t="shared" si="76"/>
        <v>0</v>
      </c>
      <c r="G127" s="123">
        <f t="shared" si="76"/>
        <v>0</v>
      </c>
      <c r="H127" s="123">
        <f t="shared" si="76"/>
        <v>0</v>
      </c>
      <c r="I127" s="123">
        <f t="shared" si="76"/>
        <v>0</v>
      </c>
      <c r="J127" s="123">
        <f t="shared" si="76"/>
        <v>0</v>
      </c>
      <c r="K127" s="123">
        <f t="shared" si="76"/>
        <v>0</v>
      </c>
      <c r="L127" s="123">
        <f t="shared" si="76"/>
        <v>0</v>
      </c>
      <c r="M127" s="123">
        <f t="shared" si="76"/>
        <v>0</v>
      </c>
      <c r="N127" s="123">
        <f t="shared" si="76"/>
        <v>0</v>
      </c>
      <c r="O127" s="123">
        <f t="shared" si="76"/>
        <v>0</v>
      </c>
      <c r="P127" s="123">
        <f t="shared" si="76"/>
        <v>0</v>
      </c>
      <c r="Q127" s="123">
        <f t="shared" si="76"/>
        <v>0</v>
      </c>
      <c r="R127" s="123">
        <f t="shared" si="76"/>
        <v>0</v>
      </c>
      <c r="S127" s="123">
        <f t="shared" si="76"/>
        <v>0</v>
      </c>
      <c r="T127" s="123">
        <f t="shared" si="76"/>
        <v>0</v>
      </c>
      <c r="U127" s="123">
        <f t="shared" si="76"/>
        <v>0</v>
      </c>
      <c r="V127" s="123">
        <f t="shared" si="76"/>
        <v>0</v>
      </c>
      <c r="W127" s="123">
        <f t="shared" si="76"/>
        <v>0</v>
      </c>
      <c r="X127" s="123">
        <f t="shared" si="76"/>
        <v>0</v>
      </c>
      <c r="Y127" s="123">
        <f t="shared" si="76"/>
        <v>0</v>
      </c>
      <c r="Z127" s="123">
        <f t="shared" si="76"/>
        <v>0</v>
      </c>
      <c r="AA127" s="123">
        <f t="shared" si="76"/>
        <v>0</v>
      </c>
      <c r="AB127" s="123">
        <f t="shared" si="76"/>
        <v>0</v>
      </c>
      <c r="AC127" s="123">
        <f t="shared" si="76"/>
        <v>0</v>
      </c>
      <c r="AD127" s="123">
        <f t="shared" si="76"/>
        <v>0</v>
      </c>
      <c r="AE127" s="123">
        <f t="shared" si="76"/>
        <v>0</v>
      </c>
      <c r="AF127" s="123">
        <f t="shared" si="76"/>
        <v>0</v>
      </c>
      <c r="AG127" s="123">
        <f t="shared" si="76"/>
        <v>0</v>
      </c>
      <c r="AH127" s="123">
        <f t="shared" si="76"/>
        <v>0</v>
      </c>
      <c r="AI127" s="123">
        <f t="shared" si="76"/>
        <v>0</v>
      </c>
      <c r="AJ127" s="44" t="str">
        <f t="shared" si="51"/>
        <v/>
      </c>
      <c r="AK127" s="57"/>
      <c r="AL127" s="57" t="str">
        <f t="shared" si="16"/>
        <v>00</v>
      </c>
      <c r="AM127" s="59" t="str">
        <f t="shared" si="17"/>
        <v>00</v>
      </c>
      <c r="AN127" s="59" t="str">
        <f t="shared" si="18"/>
        <v>00</v>
      </c>
      <c r="AO127" s="59" t="str">
        <f t="shared" si="19"/>
        <v>00</v>
      </c>
      <c r="AQ127" t="str">
        <f t="shared" si="13"/>
        <v/>
      </c>
    </row>
    <row r="128" spans="2:43">
      <c r="B128" s="131"/>
      <c r="C128" s="44">
        <f t="shared" si="52"/>
        <v>57</v>
      </c>
      <c r="D128" s="123">
        <f t="shared" ref="D128:AI128" si="77">IF(D63=1,1,0)</f>
        <v>0</v>
      </c>
      <c r="E128" s="123">
        <f t="shared" si="77"/>
        <v>0</v>
      </c>
      <c r="F128" s="123">
        <f t="shared" si="77"/>
        <v>0</v>
      </c>
      <c r="G128" s="123">
        <f t="shared" si="77"/>
        <v>0</v>
      </c>
      <c r="H128" s="123">
        <f t="shared" si="77"/>
        <v>0</v>
      </c>
      <c r="I128" s="123">
        <f t="shared" si="77"/>
        <v>0</v>
      </c>
      <c r="J128" s="123">
        <f t="shared" si="77"/>
        <v>0</v>
      </c>
      <c r="K128" s="123">
        <f t="shared" si="77"/>
        <v>0</v>
      </c>
      <c r="L128" s="123">
        <f t="shared" si="77"/>
        <v>0</v>
      </c>
      <c r="M128" s="123">
        <f t="shared" si="77"/>
        <v>0</v>
      </c>
      <c r="N128" s="123">
        <f t="shared" si="77"/>
        <v>0</v>
      </c>
      <c r="O128" s="123">
        <f t="shared" si="77"/>
        <v>0</v>
      </c>
      <c r="P128" s="123">
        <f t="shared" si="77"/>
        <v>0</v>
      </c>
      <c r="Q128" s="123">
        <f t="shared" si="77"/>
        <v>0</v>
      </c>
      <c r="R128" s="123">
        <f t="shared" si="77"/>
        <v>0</v>
      </c>
      <c r="S128" s="123">
        <f t="shared" si="77"/>
        <v>0</v>
      </c>
      <c r="T128" s="123">
        <f t="shared" si="77"/>
        <v>0</v>
      </c>
      <c r="U128" s="123">
        <f t="shared" si="77"/>
        <v>0</v>
      </c>
      <c r="V128" s="123">
        <f t="shared" si="77"/>
        <v>0</v>
      </c>
      <c r="W128" s="123">
        <f t="shared" si="77"/>
        <v>0</v>
      </c>
      <c r="X128" s="123">
        <f t="shared" si="77"/>
        <v>0</v>
      </c>
      <c r="Y128" s="123">
        <f t="shared" si="77"/>
        <v>0</v>
      </c>
      <c r="Z128" s="123">
        <f t="shared" si="77"/>
        <v>0</v>
      </c>
      <c r="AA128" s="123">
        <f t="shared" si="77"/>
        <v>0</v>
      </c>
      <c r="AB128" s="123">
        <f t="shared" si="77"/>
        <v>0</v>
      </c>
      <c r="AC128" s="123">
        <f t="shared" si="77"/>
        <v>0</v>
      </c>
      <c r="AD128" s="123">
        <f t="shared" si="77"/>
        <v>0</v>
      </c>
      <c r="AE128" s="123">
        <f t="shared" si="77"/>
        <v>0</v>
      </c>
      <c r="AF128" s="123">
        <f t="shared" si="77"/>
        <v>0</v>
      </c>
      <c r="AG128" s="123">
        <f t="shared" si="77"/>
        <v>0</v>
      </c>
      <c r="AH128" s="123">
        <f t="shared" si="77"/>
        <v>0</v>
      </c>
      <c r="AI128" s="123">
        <f t="shared" si="77"/>
        <v>0</v>
      </c>
      <c r="AJ128" s="44" t="str">
        <f t="shared" si="51"/>
        <v/>
      </c>
      <c r="AK128" s="57"/>
      <c r="AL128" s="57" t="str">
        <f t="shared" si="16"/>
        <v>00</v>
      </c>
      <c r="AM128" s="59" t="str">
        <f t="shared" si="17"/>
        <v>00</v>
      </c>
      <c r="AN128" s="59" t="str">
        <f t="shared" si="18"/>
        <v>00</v>
      </c>
      <c r="AO128" s="59" t="str">
        <f t="shared" si="19"/>
        <v>00</v>
      </c>
      <c r="AQ128" t="str">
        <f t="shared" si="13"/>
        <v/>
      </c>
    </row>
    <row r="129" spans="1:43">
      <c r="B129" s="131"/>
      <c r="C129" s="44">
        <f t="shared" si="52"/>
        <v>58</v>
      </c>
      <c r="D129" s="123">
        <f t="shared" ref="D129:AI129" si="78">IF(D64=1,1,0)</f>
        <v>0</v>
      </c>
      <c r="E129" s="123">
        <f t="shared" si="78"/>
        <v>0</v>
      </c>
      <c r="F129" s="123">
        <f t="shared" si="78"/>
        <v>0</v>
      </c>
      <c r="G129" s="123">
        <f t="shared" si="78"/>
        <v>0</v>
      </c>
      <c r="H129" s="123">
        <f t="shared" si="78"/>
        <v>0</v>
      </c>
      <c r="I129" s="123">
        <f t="shared" si="78"/>
        <v>0</v>
      </c>
      <c r="J129" s="123">
        <f t="shared" si="78"/>
        <v>0</v>
      </c>
      <c r="K129" s="123">
        <f t="shared" si="78"/>
        <v>0</v>
      </c>
      <c r="L129" s="123">
        <f t="shared" si="78"/>
        <v>0</v>
      </c>
      <c r="M129" s="123">
        <f t="shared" si="78"/>
        <v>0</v>
      </c>
      <c r="N129" s="123">
        <f t="shared" si="78"/>
        <v>0</v>
      </c>
      <c r="O129" s="123">
        <f t="shared" si="78"/>
        <v>0</v>
      </c>
      <c r="P129" s="123">
        <f t="shared" si="78"/>
        <v>0</v>
      </c>
      <c r="Q129" s="123">
        <f t="shared" si="78"/>
        <v>0</v>
      </c>
      <c r="R129" s="123">
        <f t="shared" si="78"/>
        <v>0</v>
      </c>
      <c r="S129" s="123">
        <f t="shared" si="78"/>
        <v>0</v>
      </c>
      <c r="T129" s="123">
        <f t="shared" si="78"/>
        <v>0</v>
      </c>
      <c r="U129" s="123">
        <f t="shared" si="78"/>
        <v>0</v>
      </c>
      <c r="V129" s="123">
        <f t="shared" si="78"/>
        <v>0</v>
      </c>
      <c r="W129" s="123">
        <f t="shared" si="78"/>
        <v>0</v>
      </c>
      <c r="X129" s="123">
        <f t="shared" si="78"/>
        <v>0</v>
      </c>
      <c r="Y129" s="123">
        <f t="shared" si="78"/>
        <v>0</v>
      </c>
      <c r="Z129" s="123">
        <f t="shared" si="78"/>
        <v>0</v>
      </c>
      <c r="AA129" s="123">
        <f t="shared" si="78"/>
        <v>0</v>
      </c>
      <c r="AB129" s="123">
        <f t="shared" si="78"/>
        <v>0</v>
      </c>
      <c r="AC129" s="123">
        <f t="shared" si="78"/>
        <v>0</v>
      </c>
      <c r="AD129" s="123">
        <f t="shared" si="78"/>
        <v>0</v>
      </c>
      <c r="AE129" s="123">
        <f t="shared" si="78"/>
        <v>0</v>
      </c>
      <c r="AF129" s="123">
        <f t="shared" si="78"/>
        <v>0</v>
      </c>
      <c r="AG129" s="123">
        <f t="shared" si="78"/>
        <v>0</v>
      </c>
      <c r="AH129" s="123">
        <f t="shared" si="78"/>
        <v>0</v>
      </c>
      <c r="AI129" s="123">
        <f t="shared" si="78"/>
        <v>0</v>
      </c>
      <c r="AJ129" s="44" t="str">
        <f t="shared" si="51"/>
        <v/>
      </c>
      <c r="AK129" s="57"/>
      <c r="AL129" s="57" t="str">
        <f t="shared" si="16"/>
        <v>00</v>
      </c>
      <c r="AM129" s="59" t="str">
        <f t="shared" si="17"/>
        <v>00</v>
      </c>
      <c r="AN129" s="59" t="str">
        <f t="shared" si="18"/>
        <v>00</v>
      </c>
      <c r="AO129" s="59" t="str">
        <f t="shared" si="19"/>
        <v>00</v>
      </c>
      <c r="AQ129" t="str">
        <f t="shared" si="13"/>
        <v/>
      </c>
    </row>
    <row r="130" spans="1:43">
      <c r="B130" s="131"/>
      <c r="C130" s="44">
        <f t="shared" si="52"/>
        <v>59</v>
      </c>
      <c r="D130" s="123">
        <f t="shared" ref="D130:AI130" si="79">IF(D65=1,1,0)</f>
        <v>0</v>
      </c>
      <c r="E130" s="123">
        <f t="shared" si="79"/>
        <v>0</v>
      </c>
      <c r="F130" s="123">
        <f t="shared" si="79"/>
        <v>0</v>
      </c>
      <c r="G130" s="123">
        <f t="shared" si="79"/>
        <v>0</v>
      </c>
      <c r="H130" s="123">
        <f t="shared" si="79"/>
        <v>0</v>
      </c>
      <c r="I130" s="123">
        <f t="shared" si="79"/>
        <v>0</v>
      </c>
      <c r="J130" s="123">
        <f t="shared" si="79"/>
        <v>0</v>
      </c>
      <c r="K130" s="123">
        <f t="shared" si="79"/>
        <v>0</v>
      </c>
      <c r="L130" s="123">
        <f t="shared" si="79"/>
        <v>0</v>
      </c>
      <c r="M130" s="123">
        <f t="shared" si="79"/>
        <v>0</v>
      </c>
      <c r="N130" s="123">
        <f t="shared" si="79"/>
        <v>0</v>
      </c>
      <c r="O130" s="123">
        <f t="shared" si="79"/>
        <v>0</v>
      </c>
      <c r="P130" s="123">
        <f t="shared" si="79"/>
        <v>0</v>
      </c>
      <c r="Q130" s="123">
        <f t="shared" si="79"/>
        <v>0</v>
      </c>
      <c r="R130" s="123">
        <f t="shared" si="79"/>
        <v>0</v>
      </c>
      <c r="S130" s="123">
        <f t="shared" si="79"/>
        <v>0</v>
      </c>
      <c r="T130" s="123">
        <f t="shared" si="79"/>
        <v>0</v>
      </c>
      <c r="U130" s="123">
        <f t="shared" si="79"/>
        <v>0</v>
      </c>
      <c r="V130" s="123">
        <f t="shared" si="79"/>
        <v>0</v>
      </c>
      <c r="W130" s="123">
        <f t="shared" si="79"/>
        <v>0</v>
      </c>
      <c r="X130" s="123">
        <f t="shared" si="79"/>
        <v>0</v>
      </c>
      <c r="Y130" s="123">
        <f t="shared" si="79"/>
        <v>0</v>
      </c>
      <c r="Z130" s="123">
        <f t="shared" si="79"/>
        <v>0</v>
      </c>
      <c r="AA130" s="123">
        <f t="shared" si="79"/>
        <v>0</v>
      </c>
      <c r="AB130" s="123">
        <f t="shared" si="79"/>
        <v>0</v>
      </c>
      <c r="AC130" s="123">
        <f t="shared" si="79"/>
        <v>0</v>
      </c>
      <c r="AD130" s="123">
        <f t="shared" si="79"/>
        <v>0</v>
      </c>
      <c r="AE130" s="123">
        <f t="shared" si="79"/>
        <v>0</v>
      </c>
      <c r="AF130" s="123">
        <f t="shared" si="79"/>
        <v>0</v>
      </c>
      <c r="AG130" s="123">
        <f t="shared" si="79"/>
        <v>0</v>
      </c>
      <c r="AH130" s="123">
        <f t="shared" si="79"/>
        <v>0</v>
      </c>
      <c r="AI130" s="123">
        <f t="shared" si="79"/>
        <v>0</v>
      </c>
      <c r="AJ130" s="44" t="str">
        <f t="shared" si="51"/>
        <v/>
      </c>
      <c r="AK130" s="57"/>
      <c r="AL130" s="57" t="str">
        <f t="shared" si="16"/>
        <v>00</v>
      </c>
      <c r="AM130" s="59" t="str">
        <f t="shared" si="17"/>
        <v>00</v>
      </c>
      <c r="AN130" s="59" t="str">
        <f t="shared" si="18"/>
        <v>00</v>
      </c>
      <c r="AO130" s="59" t="str">
        <f t="shared" si="19"/>
        <v>00</v>
      </c>
      <c r="AQ130" t="str">
        <f t="shared" si="13"/>
        <v/>
      </c>
    </row>
    <row r="131" spans="1:43">
      <c r="B131" s="131"/>
      <c r="C131" s="44">
        <f t="shared" si="52"/>
        <v>60</v>
      </c>
      <c r="D131" s="123">
        <f t="shared" ref="D131:AI131" si="80">IF(D66=1,1,0)</f>
        <v>0</v>
      </c>
      <c r="E131" s="123">
        <f t="shared" si="80"/>
        <v>0</v>
      </c>
      <c r="F131" s="123">
        <f t="shared" si="80"/>
        <v>0</v>
      </c>
      <c r="G131" s="123">
        <f t="shared" si="80"/>
        <v>0</v>
      </c>
      <c r="H131" s="123">
        <f t="shared" si="80"/>
        <v>0</v>
      </c>
      <c r="I131" s="123">
        <f t="shared" si="80"/>
        <v>0</v>
      </c>
      <c r="J131" s="123">
        <f t="shared" si="80"/>
        <v>0</v>
      </c>
      <c r="K131" s="123">
        <f t="shared" si="80"/>
        <v>0</v>
      </c>
      <c r="L131" s="123">
        <f t="shared" si="80"/>
        <v>0</v>
      </c>
      <c r="M131" s="123">
        <f t="shared" si="80"/>
        <v>0</v>
      </c>
      <c r="N131" s="123">
        <f t="shared" si="80"/>
        <v>0</v>
      </c>
      <c r="O131" s="123">
        <f t="shared" si="80"/>
        <v>0</v>
      </c>
      <c r="P131" s="123">
        <f t="shared" si="80"/>
        <v>0</v>
      </c>
      <c r="Q131" s="123">
        <f t="shared" si="80"/>
        <v>0</v>
      </c>
      <c r="R131" s="123">
        <f t="shared" si="80"/>
        <v>0</v>
      </c>
      <c r="S131" s="123">
        <f t="shared" si="80"/>
        <v>0</v>
      </c>
      <c r="T131" s="123">
        <f t="shared" si="80"/>
        <v>0</v>
      </c>
      <c r="U131" s="123">
        <f t="shared" si="80"/>
        <v>0</v>
      </c>
      <c r="V131" s="123">
        <f t="shared" si="80"/>
        <v>0</v>
      </c>
      <c r="W131" s="123">
        <f t="shared" si="80"/>
        <v>0</v>
      </c>
      <c r="X131" s="123">
        <f t="shared" si="80"/>
        <v>0</v>
      </c>
      <c r="Y131" s="123">
        <f t="shared" si="80"/>
        <v>0</v>
      </c>
      <c r="Z131" s="123">
        <f t="shared" si="80"/>
        <v>0</v>
      </c>
      <c r="AA131" s="123">
        <f t="shared" si="80"/>
        <v>0</v>
      </c>
      <c r="AB131" s="123">
        <f t="shared" si="80"/>
        <v>0</v>
      </c>
      <c r="AC131" s="123">
        <f t="shared" si="80"/>
        <v>0</v>
      </c>
      <c r="AD131" s="123">
        <f t="shared" si="80"/>
        <v>0</v>
      </c>
      <c r="AE131" s="123">
        <f t="shared" si="80"/>
        <v>0</v>
      </c>
      <c r="AF131" s="123">
        <f t="shared" si="80"/>
        <v>0</v>
      </c>
      <c r="AG131" s="123">
        <f t="shared" si="80"/>
        <v>0</v>
      </c>
      <c r="AH131" s="123">
        <f t="shared" si="80"/>
        <v>0</v>
      </c>
      <c r="AI131" s="123">
        <f t="shared" si="80"/>
        <v>0</v>
      </c>
      <c r="AJ131" s="44" t="str">
        <f t="shared" si="51"/>
        <v/>
      </c>
      <c r="AK131" s="57"/>
      <c r="AL131" s="57" t="str">
        <f t="shared" si="16"/>
        <v>00</v>
      </c>
      <c r="AM131" s="59" t="str">
        <f t="shared" si="17"/>
        <v>00</v>
      </c>
      <c r="AN131" s="59" t="str">
        <f t="shared" si="18"/>
        <v>00</v>
      </c>
      <c r="AO131" s="59" t="str">
        <f t="shared" si="19"/>
        <v>00</v>
      </c>
      <c r="AQ131" t="str">
        <f t="shared" si="13"/>
        <v/>
      </c>
    </row>
    <row r="132" spans="1:43">
      <c r="B132" s="131"/>
      <c r="C132" s="44">
        <f t="shared" si="52"/>
        <v>61</v>
      </c>
      <c r="D132" s="123">
        <f t="shared" ref="D132:AI132" si="81">IF(D67=1,1,0)</f>
        <v>0</v>
      </c>
      <c r="E132" s="123">
        <f t="shared" si="81"/>
        <v>0</v>
      </c>
      <c r="F132" s="123">
        <f t="shared" si="81"/>
        <v>0</v>
      </c>
      <c r="G132" s="123">
        <f t="shared" si="81"/>
        <v>0</v>
      </c>
      <c r="H132" s="123">
        <f t="shared" si="81"/>
        <v>0</v>
      </c>
      <c r="I132" s="123">
        <f t="shared" si="81"/>
        <v>0</v>
      </c>
      <c r="J132" s="123">
        <f t="shared" si="81"/>
        <v>0</v>
      </c>
      <c r="K132" s="123">
        <f t="shared" si="81"/>
        <v>0</v>
      </c>
      <c r="L132" s="123">
        <f t="shared" si="81"/>
        <v>0</v>
      </c>
      <c r="M132" s="123">
        <f t="shared" si="81"/>
        <v>0</v>
      </c>
      <c r="N132" s="123">
        <f t="shared" si="81"/>
        <v>0</v>
      </c>
      <c r="O132" s="123">
        <f t="shared" si="81"/>
        <v>0</v>
      </c>
      <c r="P132" s="123">
        <f t="shared" si="81"/>
        <v>0</v>
      </c>
      <c r="Q132" s="123">
        <f t="shared" si="81"/>
        <v>0</v>
      </c>
      <c r="R132" s="123">
        <f t="shared" si="81"/>
        <v>0</v>
      </c>
      <c r="S132" s="123">
        <f t="shared" si="81"/>
        <v>0</v>
      </c>
      <c r="T132" s="123">
        <f t="shared" si="81"/>
        <v>0</v>
      </c>
      <c r="U132" s="123">
        <f t="shared" si="81"/>
        <v>0</v>
      </c>
      <c r="V132" s="123">
        <f t="shared" si="81"/>
        <v>0</v>
      </c>
      <c r="W132" s="123">
        <f t="shared" si="81"/>
        <v>0</v>
      </c>
      <c r="X132" s="123">
        <f t="shared" si="81"/>
        <v>0</v>
      </c>
      <c r="Y132" s="123">
        <f t="shared" si="81"/>
        <v>0</v>
      </c>
      <c r="Z132" s="123">
        <f t="shared" si="81"/>
        <v>0</v>
      </c>
      <c r="AA132" s="123">
        <f t="shared" si="81"/>
        <v>0</v>
      </c>
      <c r="AB132" s="123">
        <f t="shared" si="81"/>
        <v>0</v>
      </c>
      <c r="AC132" s="123">
        <f t="shared" si="81"/>
        <v>0</v>
      </c>
      <c r="AD132" s="123">
        <f t="shared" si="81"/>
        <v>0</v>
      </c>
      <c r="AE132" s="123">
        <f t="shared" si="81"/>
        <v>0</v>
      </c>
      <c r="AF132" s="123">
        <f t="shared" si="81"/>
        <v>0</v>
      </c>
      <c r="AG132" s="123">
        <f t="shared" si="81"/>
        <v>0</v>
      </c>
      <c r="AH132" s="123">
        <f t="shared" si="81"/>
        <v>0</v>
      </c>
      <c r="AI132" s="123">
        <f t="shared" si="81"/>
        <v>0</v>
      </c>
      <c r="AJ132" s="44" t="str">
        <f t="shared" si="51"/>
        <v/>
      </c>
      <c r="AK132" s="57"/>
      <c r="AL132" s="57" t="str">
        <f t="shared" si="16"/>
        <v>00</v>
      </c>
      <c r="AM132" s="59" t="str">
        <f t="shared" si="17"/>
        <v>00</v>
      </c>
      <c r="AN132" s="59" t="str">
        <f t="shared" si="18"/>
        <v>00</v>
      </c>
      <c r="AO132" s="59" t="str">
        <f t="shared" si="19"/>
        <v>00</v>
      </c>
      <c r="AQ132" t="str">
        <f t="shared" si="13"/>
        <v/>
      </c>
    </row>
    <row r="133" spans="1:43">
      <c r="B133" s="131"/>
      <c r="C133" s="44">
        <f t="shared" si="52"/>
        <v>62</v>
      </c>
      <c r="D133" s="123">
        <f t="shared" ref="D133:AI133" si="82">IF(D68=1,1,0)</f>
        <v>0</v>
      </c>
      <c r="E133" s="123">
        <f t="shared" si="82"/>
        <v>0</v>
      </c>
      <c r="F133" s="123">
        <f t="shared" si="82"/>
        <v>0</v>
      </c>
      <c r="G133" s="123">
        <f t="shared" si="82"/>
        <v>0</v>
      </c>
      <c r="H133" s="123">
        <f t="shared" si="82"/>
        <v>0</v>
      </c>
      <c r="I133" s="123">
        <f t="shared" si="82"/>
        <v>0</v>
      </c>
      <c r="J133" s="123">
        <f t="shared" si="82"/>
        <v>0</v>
      </c>
      <c r="K133" s="123">
        <f t="shared" si="82"/>
        <v>0</v>
      </c>
      <c r="L133" s="123">
        <f t="shared" si="82"/>
        <v>0</v>
      </c>
      <c r="M133" s="123">
        <f t="shared" si="82"/>
        <v>0</v>
      </c>
      <c r="N133" s="123">
        <f t="shared" si="82"/>
        <v>0</v>
      </c>
      <c r="O133" s="123">
        <f t="shared" si="82"/>
        <v>0</v>
      </c>
      <c r="P133" s="123">
        <f t="shared" si="82"/>
        <v>0</v>
      </c>
      <c r="Q133" s="123">
        <f t="shared" si="82"/>
        <v>0</v>
      </c>
      <c r="R133" s="123">
        <f t="shared" si="82"/>
        <v>0</v>
      </c>
      <c r="S133" s="123">
        <f t="shared" si="82"/>
        <v>0</v>
      </c>
      <c r="T133" s="123">
        <f t="shared" si="82"/>
        <v>0</v>
      </c>
      <c r="U133" s="123">
        <f t="shared" si="82"/>
        <v>0</v>
      </c>
      <c r="V133" s="123">
        <f t="shared" si="82"/>
        <v>0</v>
      </c>
      <c r="W133" s="123">
        <f t="shared" si="82"/>
        <v>0</v>
      </c>
      <c r="X133" s="123">
        <f t="shared" si="82"/>
        <v>0</v>
      </c>
      <c r="Y133" s="123">
        <f t="shared" si="82"/>
        <v>0</v>
      </c>
      <c r="Z133" s="123">
        <f t="shared" si="82"/>
        <v>0</v>
      </c>
      <c r="AA133" s="123">
        <f t="shared" si="82"/>
        <v>0</v>
      </c>
      <c r="AB133" s="123">
        <f t="shared" si="82"/>
        <v>0</v>
      </c>
      <c r="AC133" s="123">
        <f t="shared" si="82"/>
        <v>0</v>
      </c>
      <c r="AD133" s="123">
        <f t="shared" si="82"/>
        <v>0</v>
      </c>
      <c r="AE133" s="123">
        <f t="shared" si="82"/>
        <v>0</v>
      </c>
      <c r="AF133" s="123">
        <f t="shared" si="82"/>
        <v>0</v>
      </c>
      <c r="AG133" s="123">
        <f t="shared" si="82"/>
        <v>0</v>
      </c>
      <c r="AH133" s="123">
        <f t="shared" si="82"/>
        <v>0</v>
      </c>
      <c r="AI133" s="123">
        <f t="shared" si="82"/>
        <v>0</v>
      </c>
      <c r="AJ133" s="44" t="str">
        <f t="shared" si="51"/>
        <v/>
      </c>
      <c r="AK133" s="57"/>
      <c r="AL133" s="57" t="str">
        <f t="shared" si="16"/>
        <v>00</v>
      </c>
      <c r="AM133" s="59" t="str">
        <f t="shared" si="17"/>
        <v>00</v>
      </c>
      <c r="AN133" s="59" t="str">
        <f t="shared" si="18"/>
        <v>00</v>
      </c>
      <c r="AO133" s="59" t="str">
        <f t="shared" si="19"/>
        <v>00</v>
      </c>
      <c r="AQ133" t="str">
        <f t="shared" si="13"/>
        <v/>
      </c>
    </row>
    <row r="134" spans="1:43">
      <c r="B134" s="132"/>
      <c r="C134" s="44">
        <f t="shared" ref="C134" si="83">IF(C69&lt;&gt;"",C69,"")</f>
        <v>63</v>
      </c>
      <c r="D134" s="123">
        <f t="shared" ref="D134:AH134" si="84">IF(D69=1,1,0)</f>
        <v>0</v>
      </c>
      <c r="E134" s="123">
        <f t="shared" si="84"/>
        <v>0</v>
      </c>
      <c r="F134" s="123">
        <f t="shared" si="84"/>
        <v>0</v>
      </c>
      <c r="G134" s="123">
        <f t="shared" si="84"/>
        <v>0</v>
      </c>
      <c r="H134" s="123">
        <f t="shared" si="84"/>
        <v>0</v>
      </c>
      <c r="I134" s="123">
        <f t="shared" si="84"/>
        <v>0</v>
      </c>
      <c r="J134" s="123">
        <f t="shared" si="84"/>
        <v>0</v>
      </c>
      <c r="K134" s="123">
        <f t="shared" si="84"/>
        <v>0</v>
      </c>
      <c r="L134" s="123">
        <f t="shared" si="84"/>
        <v>0</v>
      </c>
      <c r="M134" s="123">
        <f t="shared" si="84"/>
        <v>0</v>
      </c>
      <c r="N134" s="123">
        <f t="shared" si="84"/>
        <v>0</v>
      </c>
      <c r="O134" s="123">
        <f t="shared" si="84"/>
        <v>0</v>
      </c>
      <c r="P134" s="123">
        <f t="shared" si="84"/>
        <v>0</v>
      </c>
      <c r="Q134" s="123">
        <f t="shared" si="84"/>
        <v>0</v>
      </c>
      <c r="R134" s="123">
        <f t="shared" si="84"/>
        <v>0</v>
      </c>
      <c r="S134" s="123">
        <f t="shared" si="84"/>
        <v>0</v>
      </c>
      <c r="T134" s="123">
        <f t="shared" si="84"/>
        <v>0</v>
      </c>
      <c r="U134" s="123">
        <f t="shared" si="84"/>
        <v>0</v>
      </c>
      <c r="V134" s="123">
        <f t="shared" si="84"/>
        <v>0</v>
      </c>
      <c r="W134" s="123">
        <f t="shared" si="84"/>
        <v>0</v>
      </c>
      <c r="X134" s="123">
        <f t="shared" si="84"/>
        <v>0</v>
      </c>
      <c r="Y134" s="123">
        <f t="shared" si="84"/>
        <v>0</v>
      </c>
      <c r="Z134" s="123">
        <f t="shared" si="84"/>
        <v>0</v>
      </c>
      <c r="AA134" s="123">
        <f t="shared" si="84"/>
        <v>0</v>
      </c>
      <c r="AB134" s="123">
        <f t="shared" si="84"/>
        <v>0</v>
      </c>
      <c r="AC134" s="123">
        <f t="shared" si="84"/>
        <v>0</v>
      </c>
      <c r="AD134" s="123">
        <f t="shared" si="84"/>
        <v>0</v>
      </c>
      <c r="AE134" s="123">
        <f t="shared" si="84"/>
        <v>0</v>
      </c>
      <c r="AF134" s="123">
        <f t="shared" si="84"/>
        <v>0</v>
      </c>
      <c r="AG134" s="123">
        <f t="shared" si="84"/>
        <v>0</v>
      </c>
      <c r="AH134" s="123">
        <f t="shared" si="84"/>
        <v>0</v>
      </c>
      <c r="AI134" s="123">
        <f t="shared" ref="AI134" si="85">IF(AI69=1,1,0)</f>
        <v>0</v>
      </c>
      <c r="AJ134" s="44" t="str">
        <f t="shared" ref="AJ134" si="86">IF(AJ69&lt;&gt;"",AJ69,"")</f>
        <v/>
      </c>
      <c r="AK134" s="57"/>
      <c r="AL134" s="57" t="str">
        <f t="shared" si="16"/>
        <v>00</v>
      </c>
      <c r="AM134" s="59" t="str">
        <f t="shared" si="17"/>
        <v>00</v>
      </c>
      <c r="AN134" s="59" t="str">
        <f t="shared" si="18"/>
        <v>00</v>
      </c>
      <c r="AO134" s="59" t="str">
        <f t="shared" si="19"/>
        <v>00</v>
      </c>
      <c r="AQ134" t="str">
        <f t="shared" si="13"/>
        <v/>
      </c>
    </row>
    <row r="135" spans="1:43">
      <c r="A135" s="53" t="s">
        <v>70</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3" t="str">
        <f ca="1">IF(B6&lt;&gt;"",B6,"")</f>
        <v>Table BC_AD</v>
      </c>
      <c r="C136" s="44">
        <f>IF(C6&lt;&gt;"",C6,"")</f>
        <v>0</v>
      </c>
      <c r="D136" s="123">
        <f t="shared" ref="D136:AI136" si="87">IF(OR(D6=0,D6=1),1,0)</f>
        <v>0</v>
      </c>
      <c r="E136" s="123">
        <f t="shared" si="87"/>
        <v>0</v>
      </c>
      <c r="F136" s="123">
        <f t="shared" si="87"/>
        <v>0</v>
      </c>
      <c r="G136" s="123">
        <f t="shared" si="87"/>
        <v>0</v>
      </c>
      <c r="H136" s="123">
        <f t="shared" si="87"/>
        <v>0</v>
      </c>
      <c r="I136" s="123">
        <f t="shared" si="87"/>
        <v>0</v>
      </c>
      <c r="J136" s="123">
        <f t="shared" si="87"/>
        <v>0</v>
      </c>
      <c r="K136" s="123">
        <f t="shared" si="87"/>
        <v>0</v>
      </c>
      <c r="L136" s="123">
        <f t="shared" si="87"/>
        <v>0</v>
      </c>
      <c r="M136" s="123">
        <f t="shared" si="87"/>
        <v>0</v>
      </c>
      <c r="N136" s="123">
        <f t="shared" si="87"/>
        <v>0</v>
      </c>
      <c r="O136" s="123">
        <f t="shared" si="87"/>
        <v>0</v>
      </c>
      <c r="P136" s="123">
        <f t="shared" si="87"/>
        <v>0</v>
      </c>
      <c r="Q136" s="123">
        <f t="shared" si="87"/>
        <v>0</v>
      </c>
      <c r="R136" s="123">
        <f t="shared" si="87"/>
        <v>0</v>
      </c>
      <c r="S136" s="123">
        <f t="shared" si="87"/>
        <v>0</v>
      </c>
      <c r="T136" s="123">
        <f t="shared" si="87"/>
        <v>0</v>
      </c>
      <c r="U136" s="123">
        <f t="shared" si="87"/>
        <v>0</v>
      </c>
      <c r="V136" s="123">
        <f t="shared" si="87"/>
        <v>0</v>
      </c>
      <c r="W136" s="123">
        <f t="shared" si="87"/>
        <v>0</v>
      </c>
      <c r="X136" s="123">
        <f t="shared" si="87"/>
        <v>0</v>
      </c>
      <c r="Y136" s="123">
        <f t="shared" si="87"/>
        <v>0</v>
      </c>
      <c r="Z136" s="123">
        <f t="shared" si="87"/>
        <v>1</v>
      </c>
      <c r="AA136" s="123">
        <f t="shared" si="87"/>
        <v>0</v>
      </c>
      <c r="AB136" s="123">
        <f t="shared" si="87"/>
        <v>0</v>
      </c>
      <c r="AC136" s="123">
        <f t="shared" si="87"/>
        <v>0</v>
      </c>
      <c r="AD136" s="123">
        <f t="shared" si="87"/>
        <v>0</v>
      </c>
      <c r="AE136" s="123">
        <f t="shared" si="87"/>
        <v>0</v>
      </c>
      <c r="AF136" s="123">
        <f t="shared" si="87"/>
        <v>0</v>
      </c>
      <c r="AG136" s="123">
        <f t="shared" si="87"/>
        <v>0</v>
      </c>
      <c r="AH136" s="123">
        <f t="shared" si="87"/>
        <v>0</v>
      </c>
      <c r="AI136" s="123">
        <f t="shared" si="87"/>
        <v>0</v>
      </c>
      <c r="AJ136" s="44" t="str">
        <f t="shared" ref="AJ136:AJ167" si="88">IF(AJ6&lt;&gt;"",AJ6,"")</f>
        <v>UNKNOWN</v>
      </c>
      <c r="AK136" s="57"/>
      <c r="AL136" s="57" t="str">
        <f>BIN2HEX(AB136&amp;AC136&amp;AD136&amp;AE136&amp;AF136&amp;AG136&amp;AH136&amp;AI136,2)</f>
        <v>00</v>
      </c>
      <c r="AM136" s="59" t="str">
        <f>BIN2HEX(T136&amp;U136&amp;V136&amp;W136&amp;X136&amp;Y136&amp;Z136&amp;AA136,2)</f>
        <v>02</v>
      </c>
      <c r="AN136" s="59" t="str">
        <f>BIN2HEX(L136&amp;M136&amp;N136&amp;O136&amp;P136&amp;Q136&amp;R136&amp;S136,2)</f>
        <v>00</v>
      </c>
      <c r="AO136" s="59" t="str">
        <f>BIN2HEX(D136&amp;E136&amp;F136&amp;G136&amp;H136&amp;I136&amp;J136&amp;K136,2)</f>
        <v>00</v>
      </c>
      <c r="AQ136" t="str">
        <f t="shared" ref="AQ136:AQ199" si="89">IF(AJ136="","","    (U4)0x"&amp;AO136&amp;AN136&amp;AM136&amp;AL136&amp;"U"&amp;IF(AJ137=""," ",",")&amp;REPT(" ",59)&amp;"/* "&amp;IF(C136&lt;10,"0"&amp;C136,C136)&amp;" "&amp;AJ136&amp;REPT(" ",47-LEN(AJ136))&amp;" */")</f>
        <v xml:space="preserve">    (U4)0x00000200U,                                                           /* 00 UNKNOWN                                         */</v>
      </c>
    </row>
    <row r="137" spans="1:43">
      <c r="B137" s="131"/>
      <c r="C137" s="44">
        <f t="shared" ref="C137:C168" si="90">IF(C7&lt;&gt;"",C7,"")</f>
        <v>1</v>
      </c>
      <c r="D137" s="123">
        <f t="shared" ref="D137:AI137" si="91">IF(OR(D7=0,D7=1),1,0)</f>
        <v>0</v>
      </c>
      <c r="E137" s="123">
        <f t="shared" si="91"/>
        <v>0</v>
      </c>
      <c r="F137" s="123">
        <f t="shared" si="91"/>
        <v>0</v>
      </c>
      <c r="G137" s="123">
        <f t="shared" si="91"/>
        <v>0</v>
      </c>
      <c r="H137" s="123">
        <f t="shared" si="91"/>
        <v>0</v>
      </c>
      <c r="I137" s="123">
        <f t="shared" si="91"/>
        <v>0</v>
      </c>
      <c r="J137" s="123">
        <f t="shared" si="91"/>
        <v>0</v>
      </c>
      <c r="K137" s="123">
        <f t="shared" si="91"/>
        <v>0</v>
      </c>
      <c r="L137" s="123">
        <f t="shared" si="91"/>
        <v>0</v>
      </c>
      <c r="M137" s="123">
        <f t="shared" si="91"/>
        <v>0</v>
      </c>
      <c r="N137" s="123">
        <f t="shared" si="91"/>
        <v>0</v>
      </c>
      <c r="O137" s="123">
        <f t="shared" si="91"/>
        <v>0</v>
      </c>
      <c r="P137" s="123">
        <f t="shared" si="91"/>
        <v>0</v>
      </c>
      <c r="Q137" s="123">
        <f t="shared" si="91"/>
        <v>0</v>
      </c>
      <c r="R137" s="123">
        <f t="shared" si="91"/>
        <v>0</v>
      </c>
      <c r="S137" s="123">
        <f t="shared" si="91"/>
        <v>0</v>
      </c>
      <c r="T137" s="123">
        <f t="shared" si="91"/>
        <v>0</v>
      </c>
      <c r="U137" s="123">
        <f t="shared" si="91"/>
        <v>0</v>
      </c>
      <c r="V137" s="123">
        <f t="shared" si="91"/>
        <v>0</v>
      </c>
      <c r="W137" s="123">
        <f t="shared" si="91"/>
        <v>0</v>
      </c>
      <c r="X137" s="123">
        <f t="shared" si="91"/>
        <v>0</v>
      </c>
      <c r="Y137" s="123">
        <f t="shared" si="91"/>
        <v>0</v>
      </c>
      <c r="Z137" s="123">
        <f t="shared" si="91"/>
        <v>1</v>
      </c>
      <c r="AA137" s="123">
        <f t="shared" si="91"/>
        <v>1</v>
      </c>
      <c r="AB137" s="123">
        <f t="shared" si="91"/>
        <v>0</v>
      </c>
      <c r="AC137" s="123">
        <f t="shared" si="91"/>
        <v>0</v>
      </c>
      <c r="AD137" s="123">
        <f t="shared" si="91"/>
        <v>0</v>
      </c>
      <c r="AE137" s="123">
        <f t="shared" si="91"/>
        <v>0</v>
      </c>
      <c r="AF137" s="123">
        <f t="shared" si="91"/>
        <v>0</v>
      </c>
      <c r="AG137" s="123">
        <f t="shared" si="91"/>
        <v>0</v>
      </c>
      <c r="AH137" s="123">
        <f t="shared" si="91"/>
        <v>0</v>
      </c>
      <c r="AI137" s="123">
        <f t="shared" si="91"/>
        <v>0</v>
      </c>
      <c r="AJ137" s="44" t="str">
        <f t="shared" si="88"/>
        <v>UNKNOWN</v>
      </c>
      <c r="AK137" s="57"/>
      <c r="AL137" s="57" t="str">
        <f t="shared" ref="AL137:AL199" si="92">BIN2HEX(AB137&amp;AC137&amp;AD137&amp;AE137&amp;AF137&amp;AG137&amp;AH137&amp;AI137,2)</f>
        <v>00</v>
      </c>
      <c r="AM137" s="59" t="str">
        <f t="shared" ref="AM137:AM199" si="93">BIN2HEX(T137&amp;U137&amp;V137&amp;W137&amp;X137&amp;Y137&amp;Z137&amp;AA137,2)</f>
        <v>03</v>
      </c>
      <c r="AN137" s="59" t="str">
        <f t="shared" ref="AN137:AN199" si="94">BIN2HEX(L137&amp;M137&amp;N137&amp;O137&amp;P137&amp;Q137&amp;R137&amp;S137,2)</f>
        <v>00</v>
      </c>
      <c r="AO137" s="59" t="str">
        <f t="shared" ref="AO137:AO199" si="95">BIN2HEX(D137&amp;E137&amp;F137&amp;G137&amp;H137&amp;I137&amp;J137&amp;K137,2)</f>
        <v>00</v>
      </c>
      <c r="AQ137" t="str">
        <f t="shared" si="89"/>
        <v xml:space="preserve">    (U4)0x00000300U,                                                           /* 01 UNKNOWN                                         */</v>
      </c>
    </row>
    <row r="138" spans="1:43">
      <c r="B138" s="131"/>
      <c r="C138" s="44">
        <f t="shared" si="90"/>
        <v>2</v>
      </c>
      <c r="D138" s="123">
        <f t="shared" ref="D138:AI138" si="96">IF(OR(D8=0,D8=1),1,0)</f>
        <v>0</v>
      </c>
      <c r="E138" s="123">
        <f t="shared" si="96"/>
        <v>0</v>
      </c>
      <c r="F138" s="123">
        <f t="shared" si="96"/>
        <v>0</v>
      </c>
      <c r="G138" s="123">
        <f t="shared" si="96"/>
        <v>0</v>
      </c>
      <c r="H138" s="123">
        <f t="shared" si="96"/>
        <v>0</v>
      </c>
      <c r="I138" s="123">
        <f t="shared" si="96"/>
        <v>0</v>
      </c>
      <c r="J138" s="123">
        <f t="shared" si="96"/>
        <v>0</v>
      </c>
      <c r="K138" s="123">
        <f t="shared" si="96"/>
        <v>0</v>
      </c>
      <c r="L138" s="123">
        <f t="shared" si="96"/>
        <v>0</v>
      </c>
      <c r="M138" s="123">
        <f t="shared" si="96"/>
        <v>0</v>
      </c>
      <c r="N138" s="123">
        <f t="shared" si="96"/>
        <v>0</v>
      </c>
      <c r="O138" s="123">
        <f t="shared" si="96"/>
        <v>0</v>
      </c>
      <c r="P138" s="123">
        <f t="shared" si="96"/>
        <v>0</v>
      </c>
      <c r="Q138" s="123">
        <f t="shared" si="96"/>
        <v>0</v>
      </c>
      <c r="R138" s="123">
        <f t="shared" si="96"/>
        <v>0</v>
      </c>
      <c r="S138" s="123">
        <f t="shared" si="96"/>
        <v>0</v>
      </c>
      <c r="T138" s="123">
        <f t="shared" si="96"/>
        <v>0</v>
      </c>
      <c r="U138" s="123">
        <f t="shared" si="96"/>
        <v>0</v>
      </c>
      <c r="V138" s="123">
        <f t="shared" si="96"/>
        <v>0</v>
      </c>
      <c r="W138" s="123">
        <f t="shared" si="96"/>
        <v>0</v>
      </c>
      <c r="X138" s="123">
        <f t="shared" si="96"/>
        <v>0</v>
      </c>
      <c r="Y138" s="123">
        <f t="shared" si="96"/>
        <v>0</v>
      </c>
      <c r="Z138" s="123">
        <f t="shared" si="96"/>
        <v>1</v>
      </c>
      <c r="AA138" s="123">
        <f t="shared" si="96"/>
        <v>1</v>
      </c>
      <c r="AB138" s="123">
        <f t="shared" si="96"/>
        <v>1</v>
      </c>
      <c r="AC138" s="123">
        <f t="shared" si="96"/>
        <v>1</v>
      </c>
      <c r="AD138" s="123">
        <f t="shared" si="96"/>
        <v>1</v>
      </c>
      <c r="AE138" s="123">
        <f t="shared" si="96"/>
        <v>1</v>
      </c>
      <c r="AF138" s="123">
        <f t="shared" si="96"/>
        <v>1</v>
      </c>
      <c r="AG138" s="123">
        <f t="shared" si="96"/>
        <v>1</v>
      </c>
      <c r="AH138" s="123">
        <f t="shared" si="96"/>
        <v>1</v>
      </c>
      <c r="AI138" s="123">
        <f t="shared" si="96"/>
        <v>1</v>
      </c>
      <c r="AJ138" s="44" t="str">
        <f t="shared" si="88"/>
        <v>CONT_0</v>
      </c>
      <c r="AK138" s="57"/>
      <c r="AL138" s="57" t="str">
        <f t="shared" si="92"/>
        <v>FF</v>
      </c>
      <c r="AM138" s="59" t="str">
        <f t="shared" si="93"/>
        <v>03</v>
      </c>
      <c r="AN138" s="59" t="str">
        <f t="shared" si="94"/>
        <v>00</v>
      </c>
      <c r="AO138" s="59" t="str">
        <f t="shared" si="95"/>
        <v>00</v>
      </c>
      <c r="AQ138" t="str">
        <f t="shared" si="89"/>
        <v xml:space="preserve">    (U4)0x000003FFU,                                                           /* 02 CONT_0                                          */</v>
      </c>
    </row>
    <row r="139" spans="1:43">
      <c r="B139" s="131"/>
      <c r="C139" s="44">
        <f t="shared" si="90"/>
        <v>3</v>
      </c>
      <c r="D139" s="123">
        <f t="shared" ref="D139:AI139" si="97">IF(OR(D9=0,D9=1),1,0)</f>
        <v>0</v>
      </c>
      <c r="E139" s="123">
        <f t="shared" si="97"/>
        <v>0</v>
      </c>
      <c r="F139" s="123">
        <f t="shared" si="97"/>
        <v>0</v>
      </c>
      <c r="G139" s="123">
        <f t="shared" si="97"/>
        <v>0</v>
      </c>
      <c r="H139" s="123">
        <f t="shared" si="97"/>
        <v>0</v>
      </c>
      <c r="I139" s="123">
        <f t="shared" si="97"/>
        <v>0</v>
      </c>
      <c r="J139" s="123">
        <f t="shared" si="97"/>
        <v>0</v>
      </c>
      <c r="K139" s="123">
        <f t="shared" si="97"/>
        <v>0</v>
      </c>
      <c r="L139" s="123">
        <f t="shared" si="97"/>
        <v>0</v>
      </c>
      <c r="M139" s="123">
        <f t="shared" si="97"/>
        <v>0</v>
      </c>
      <c r="N139" s="123">
        <f t="shared" si="97"/>
        <v>0</v>
      </c>
      <c r="O139" s="123">
        <f t="shared" si="97"/>
        <v>0</v>
      </c>
      <c r="P139" s="123">
        <f t="shared" si="97"/>
        <v>0</v>
      </c>
      <c r="Q139" s="123">
        <f t="shared" si="97"/>
        <v>0</v>
      </c>
      <c r="R139" s="123">
        <f t="shared" si="97"/>
        <v>0</v>
      </c>
      <c r="S139" s="123">
        <f t="shared" si="97"/>
        <v>0</v>
      </c>
      <c r="T139" s="123">
        <f t="shared" si="97"/>
        <v>0</v>
      </c>
      <c r="U139" s="123">
        <f t="shared" si="97"/>
        <v>0</v>
      </c>
      <c r="V139" s="123">
        <f t="shared" si="97"/>
        <v>0</v>
      </c>
      <c r="W139" s="123">
        <f t="shared" si="97"/>
        <v>0</v>
      </c>
      <c r="X139" s="123">
        <f t="shared" si="97"/>
        <v>0</v>
      </c>
      <c r="Y139" s="123">
        <f t="shared" si="97"/>
        <v>0</v>
      </c>
      <c r="Z139" s="123">
        <f t="shared" si="97"/>
        <v>1</v>
      </c>
      <c r="AA139" s="123">
        <f t="shared" si="97"/>
        <v>1</v>
      </c>
      <c r="AB139" s="123">
        <f t="shared" si="97"/>
        <v>1</v>
      </c>
      <c r="AC139" s="123">
        <f t="shared" si="97"/>
        <v>1</v>
      </c>
      <c r="AD139" s="123">
        <f t="shared" si="97"/>
        <v>1</v>
      </c>
      <c r="AE139" s="123">
        <f t="shared" si="97"/>
        <v>1</v>
      </c>
      <c r="AF139" s="123">
        <f t="shared" si="97"/>
        <v>1</v>
      </c>
      <c r="AG139" s="123">
        <f t="shared" si="97"/>
        <v>1</v>
      </c>
      <c r="AH139" s="123">
        <f t="shared" si="97"/>
        <v>1</v>
      </c>
      <c r="AI139" s="123">
        <f t="shared" si="97"/>
        <v>1</v>
      </c>
      <c r="AJ139" s="44" t="str">
        <f t="shared" si="88"/>
        <v>TEN_0</v>
      </c>
      <c r="AK139" s="57"/>
      <c r="AL139" s="57" t="str">
        <f t="shared" si="92"/>
        <v>FF</v>
      </c>
      <c r="AM139" s="59" t="str">
        <f t="shared" si="93"/>
        <v>03</v>
      </c>
      <c r="AN139" s="59" t="str">
        <f t="shared" si="94"/>
        <v>00</v>
      </c>
      <c r="AO139" s="59" t="str">
        <f t="shared" si="95"/>
        <v>00</v>
      </c>
      <c r="AQ139" t="str">
        <f t="shared" si="89"/>
        <v xml:space="preserve">    (U4)0x000003FFU,                                                           /* 03 TEN_0                                           */</v>
      </c>
    </row>
    <row r="140" spans="1:43">
      <c r="B140" s="131"/>
      <c r="C140" s="44">
        <f t="shared" si="90"/>
        <v>4</v>
      </c>
      <c r="D140" s="123">
        <f t="shared" ref="D140:AI140" si="98">IF(OR(D10=0,D10=1),1,0)</f>
        <v>0</v>
      </c>
      <c r="E140" s="123">
        <f t="shared" si="98"/>
        <v>0</v>
      </c>
      <c r="F140" s="123">
        <f t="shared" si="98"/>
        <v>0</v>
      </c>
      <c r="G140" s="123">
        <f t="shared" si="98"/>
        <v>0</v>
      </c>
      <c r="H140" s="123">
        <f t="shared" si="98"/>
        <v>0</v>
      </c>
      <c r="I140" s="123">
        <f t="shared" si="98"/>
        <v>0</v>
      </c>
      <c r="J140" s="123">
        <f t="shared" si="98"/>
        <v>0</v>
      </c>
      <c r="K140" s="123">
        <f t="shared" si="98"/>
        <v>0</v>
      </c>
      <c r="L140" s="123">
        <f t="shared" si="98"/>
        <v>0</v>
      </c>
      <c r="M140" s="123">
        <f t="shared" si="98"/>
        <v>0</v>
      </c>
      <c r="N140" s="123">
        <f t="shared" si="98"/>
        <v>0</v>
      </c>
      <c r="O140" s="123">
        <f t="shared" si="98"/>
        <v>0</v>
      </c>
      <c r="P140" s="123">
        <f t="shared" si="98"/>
        <v>0</v>
      </c>
      <c r="Q140" s="123">
        <f t="shared" si="98"/>
        <v>0</v>
      </c>
      <c r="R140" s="123">
        <f t="shared" si="98"/>
        <v>0</v>
      </c>
      <c r="S140" s="123">
        <f t="shared" si="98"/>
        <v>0</v>
      </c>
      <c r="T140" s="123">
        <f t="shared" si="98"/>
        <v>0</v>
      </c>
      <c r="U140" s="123">
        <f t="shared" si="98"/>
        <v>0</v>
      </c>
      <c r="V140" s="123">
        <f t="shared" si="98"/>
        <v>0</v>
      </c>
      <c r="W140" s="123">
        <f t="shared" si="98"/>
        <v>0</v>
      </c>
      <c r="X140" s="123">
        <f t="shared" si="98"/>
        <v>0</v>
      </c>
      <c r="Y140" s="123">
        <f t="shared" si="98"/>
        <v>0</v>
      </c>
      <c r="Z140" s="123">
        <f t="shared" si="98"/>
        <v>1</v>
      </c>
      <c r="AA140" s="123">
        <f t="shared" si="98"/>
        <v>1</v>
      </c>
      <c r="AB140" s="123">
        <f t="shared" si="98"/>
        <v>1</v>
      </c>
      <c r="AC140" s="123">
        <f t="shared" si="98"/>
        <v>1</v>
      </c>
      <c r="AD140" s="123">
        <f t="shared" si="98"/>
        <v>1</v>
      </c>
      <c r="AE140" s="123">
        <f t="shared" si="98"/>
        <v>1</v>
      </c>
      <c r="AF140" s="123">
        <f t="shared" si="98"/>
        <v>1</v>
      </c>
      <c r="AG140" s="123">
        <f t="shared" si="98"/>
        <v>1</v>
      </c>
      <c r="AH140" s="123">
        <f t="shared" si="98"/>
        <v>1</v>
      </c>
      <c r="AI140" s="123">
        <f t="shared" si="98"/>
        <v>1</v>
      </c>
      <c r="AJ140" s="44" t="str">
        <f t="shared" si="88"/>
        <v>RJT_0</v>
      </c>
      <c r="AK140" s="57"/>
      <c r="AL140" s="57" t="str">
        <f t="shared" si="92"/>
        <v>FF</v>
      </c>
      <c r="AM140" s="59" t="str">
        <f t="shared" si="93"/>
        <v>03</v>
      </c>
      <c r="AN140" s="59" t="str">
        <f t="shared" si="94"/>
        <v>00</v>
      </c>
      <c r="AO140" s="59" t="str">
        <f t="shared" si="95"/>
        <v>00</v>
      </c>
      <c r="AQ140" t="str">
        <f t="shared" si="89"/>
        <v xml:space="preserve">    (U4)0x000003FFU,                                                           /* 04 RJT_0                                           */</v>
      </c>
    </row>
    <row r="141" spans="1:43">
      <c r="B141" s="131"/>
      <c r="C141" s="44">
        <f t="shared" si="90"/>
        <v>5</v>
      </c>
      <c r="D141" s="123">
        <f t="shared" ref="D141:AI141" si="99">IF(OR(D11=0,D11=1),1,0)</f>
        <v>0</v>
      </c>
      <c r="E141" s="123">
        <f t="shared" si="99"/>
        <v>0</v>
      </c>
      <c r="F141" s="123">
        <f t="shared" si="99"/>
        <v>0</v>
      </c>
      <c r="G141" s="123">
        <f t="shared" si="99"/>
        <v>0</v>
      </c>
      <c r="H141" s="123">
        <f t="shared" si="99"/>
        <v>0</v>
      </c>
      <c r="I141" s="123">
        <f t="shared" si="99"/>
        <v>0</v>
      </c>
      <c r="J141" s="123">
        <f t="shared" si="99"/>
        <v>0</v>
      </c>
      <c r="K141" s="123">
        <f t="shared" si="99"/>
        <v>0</v>
      </c>
      <c r="L141" s="123">
        <f t="shared" si="99"/>
        <v>0</v>
      </c>
      <c r="M141" s="123">
        <f t="shared" si="99"/>
        <v>0</v>
      </c>
      <c r="N141" s="123">
        <f t="shared" si="99"/>
        <v>0</v>
      </c>
      <c r="O141" s="123">
        <f t="shared" si="99"/>
        <v>0</v>
      </c>
      <c r="P141" s="123">
        <f t="shared" si="99"/>
        <v>0</v>
      </c>
      <c r="Q141" s="123">
        <f t="shared" si="99"/>
        <v>0</v>
      </c>
      <c r="R141" s="123">
        <f t="shared" si="99"/>
        <v>0</v>
      </c>
      <c r="S141" s="123">
        <f t="shared" si="99"/>
        <v>0</v>
      </c>
      <c r="T141" s="123">
        <f t="shared" si="99"/>
        <v>0</v>
      </c>
      <c r="U141" s="123">
        <f t="shared" si="99"/>
        <v>0</v>
      </c>
      <c r="V141" s="123">
        <f t="shared" si="99"/>
        <v>0</v>
      </c>
      <c r="W141" s="123">
        <f t="shared" si="99"/>
        <v>0</v>
      </c>
      <c r="X141" s="123">
        <f t="shared" si="99"/>
        <v>0</v>
      </c>
      <c r="Y141" s="123">
        <f t="shared" si="99"/>
        <v>0</v>
      </c>
      <c r="Z141" s="123">
        <f t="shared" si="99"/>
        <v>1</v>
      </c>
      <c r="AA141" s="123">
        <f t="shared" si="99"/>
        <v>1</v>
      </c>
      <c r="AB141" s="123">
        <f t="shared" si="99"/>
        <v>1</v>
      </c>
      <c r="AC141" s="123">
        <f t="shared" si="99"/>
        <v>1</v>
      </c>
      <c r="AD141" s="123">
        <f t="shared" si="99"/>
        <v>1</v>
      </c>
      <c r="AE141" s="123">
        <f t="shared" si="99"/>
        <v>1</v>
      </c>
      <c r="AF141" s="123">
        <f t="shared" si="99"/>
        <v>1</v>
      </c>
      <c r="AG141" s="123">
        <f t="shared" si="99"/>
        <v>1</v>
      </c>
      <c r="AH141" s="123">
        <f t="shared" si="99"/>
        <v>1</v>
      </c>
      <c r="AI141" s="123">
        <f t="shared" si="99"/>
        <v>1</v>
      </c>
      <c r="AJ141" s="44" t="str">
        <f t="shared" si="88"/>
        <v>RCV_0</v>
      </c>
      <c r="AK141" s="57"/>
      <c r="AL141" s="57" t="str">
        <f t="shared" si="92"/>
        <v>FF</v>
      </c>
      <c r="AM141" s="59" t="str">
        <f t="shared" si="93"/>
        <v>03</v>
      </c>
      <c r="AN141" s="59" t="str">
        <f t="shared" si="94"/>
        <v>00</v>
      </c>
      <c r="AO141" s="59" t="str">
        <f t="shared" si="95"/>
        <v>00</v>
      </c>
      <c r="AQ141" t="str">
        <f t="shared" si="89"/>
        <v xml:space="preserve">    (U4)0x000003FFU,                                                           /* 05 RCV_0                                           */</v>
      </c>
    </row>
    <row r="142" spans="1:43">
      <c r="B142" s="131"/>
      <c r="C142" s="44">
        <f t="shared" si="90"/>
        <v>6</v>
      </c>
      <c r="D142" s="123">
        <f t="shared" ref="D142:AI142" si="100">IF(OR(D12=0,D12=1),1,0)</f>
        <v>0</v>
      </c>
      <c r="E142" s="123">
        <f t="shared" si="100"/>
        <v>0</v>
      </c>
      <c r="F142" s="123">
        <f t="shared" si="100"/>
        <v>0</v>
      </c>
      <c r="G142" s="123">
        <f t="shared" si="100"/>
        <v>0</v>
      </c>
      <c r="H142" s="123">
        <f t="shared" si="100"/>
        <v>0</v>
      </c>
      <c r="I142" s="123">
        <f t="shared" si="100"/>
        <v>0</v>
      </c>
      <c r="J142" s="123">
        <f t="shared" si="100"/>
        <v>0</v>
      </c>
      <c r="K142" s="123">
        <f t="shared" si="100"/>
        <v>0</v>
      </c>
      <c r="L142" s="123">
        <f t="shared" si="100"/>
        <v>0</v>
      </c>
      <c r="M142" s="123">
        <f t="shared" si="100"/>
        <v>0</v>
      </c>
      <c r="N142" s="123">
        <f t="shared" si="100"/>
        <v>0</v>
      </c>
      <c r="O142" s="123">
        <f t="shared" si="100"/>
        <v>0</v>
      </c>
      <c r="P142" s="123">
        <f t="shared" si="100"/>
        <v>0</v>
      </c>
      <c r="Q142" s="123">
        <f t="shared" si="100"/>
        <v>0</v>
      </c>
      <c r="R142" s="123">
        <f t="shared" si="100"/>
        <v>0</v>
      </c>
      <c r="S142" s="123">
        <f t="shared" si="100"/>
        <v>0</v>
      </c>
      <c r="T142" s="123">
        <f t="shared" si="100"/>
        <v>0</v>
      </c>
      <c r="U142" s="123">
        <f t="shared" si="100"/>
        <v>0</v>
      </c>
      <c r="V142" s="123">
        <f t="shared" si="100"/>
        <v>0</v>
      </c>
      <c r="W142" s="123">
        <f t="shared" si="100"/>
        <v>0</v>
      </c>
      <c r="X142" s="123">
        <f t="shared" si="100"/>
        <v>0</v>
      </c>
      <c r="Y142" s="123">
        <f t="shared" si="100"/>
        <v>0</v>
      </c>
      <c r="Z142" s="123">
        <f t="shared" si="100"/>
        <v>1</v>
      </c>
      <c r="AA142" s="123">
        <f t="shared" si="100"/>
        <v>1</v>
      </c>
      <c r="AB142" s="123">
        <f t="shared" si="100"/>
        <v>1</v>
      </c>
      <c r="AC142" s="123">
        <f t="shared" si="100"/>
        <v>1</v>
      </c>
      <c r="AD142" s="123">
        <f t="shared" si="100"/>
        <v>1</v>
      </c>
      <c r="AE142" s="123">
        <f t="shared" si="100"/>
        <v>1</v>
      </c>
      <c r="AF142" s="123">
        <f t="shared" si="100"/>
        <v>1</v>
      </c>
      <c r="AG142" s="123">
        <f t="shared" si="100"/>
        <v>1</v>
      </c>
      <c r="AH142" s="123">
        <f t="shared" si="100"/>
        <v>1</v>
      </c>
      <c r="AI142" s="123">
        <f t="shared" si="100"/>
        <v>1</v>
      </c>
      <c r="AJ142" s="44" t="str">
        <f t="shared" si="88"/>
        <v>ANN_0</v>
      </c>
      <c r="AK142" s="57"/>
      <c r="AL142" s="57" t="str">
        <f t="shared" si="92"/>
        <v>FF</v>
      </c>
      <c r="AM142" s="59" t="str">
        <f t="shared" si="93"/>
        <v>03</v>
      </c>
      <c r="AN142" s="59" t="str">
        <f t="shared" si="94"/>
        <v>00</v>
      </c>
      <c r="AO142" s="59" t="str">
        <f t="shared" si="95"/>
        <v>00</v>
      </c>
      <c r="AQ142" t="str">
        <f t="shared" si="89"/>
        <v xml:space="preserve">    (U4)0x000003FFU,                                                           /* 06 ANN_0                                           */</v>
      </c>
    </row>
    <row r="143" spans="1:43">
      <c r="B143" s="131"/>
      <c r="C143" s="44">
        <f t="shared" si="90"/>
        <v>7</v>
      </c>
      <c r="D143" s="123">
        <f t="shared" ref="D143:AI143" si="101">IF(OR(D13=0,D13=1),1,0)</f>
        <v>0</v>
      </c>
      <c r="E143" s="123">
        <f t="shared" si="101"/>
        <v>0</v>
      </c>
      <c r="F143" s="123">
        <f t="shared" si="101"/>
        <v>0</v>
      </c>
      <c r="G143" s="123">
        <f t="shared" si="101"/>
        <v>0</v>
      </c>
      <c r="H143" s="123">
        <f t="shared" si="101"/>
        <v>0</v>
      </c>
      <c r="I143" s="123">
        <f t="shared" si="101"/>
        <v>0</v>
      </c>
      <c r="J143" s="123">
        <f t="shared" si="101"/>
        <v>0</v>
      </c>
      <c r="K143" s="123">
        <f t="shared" si="101"/>
        <v>0</v>
      </c>
      <c r="L143" s="123">
        <f t="shared" si="101"/>
        <v>0</v>
      </c>
      <c r="M143" s="123">
        <f t="shared" si="101"/>
        <v>0</v>
      </c>
      <c r="N143" s="123">
        <f t="shared" si="101"/>
        <v>0</v>
      </c>
      <c r="O143" s="123">
        <f t="shared" si="101"/>
        <v>0</v>
      </c>
      <c r="P143" s="123">
        <f t="shared" si="101"/>
        <v>0</v>
      </c>
      <c r="Q143" s="123">
        <f t="shared" si="101"/>
        <v>0</v>
      </c>
      <c r="R143" s="123">
        <f t="shared" si="101"/>
        <v>0</v>
      </c>
      <c r="S143" s="123">
        <f t="shared" si="101"/>
        <v>0</v>
      </c>
      <c r="T143" s="123">
        <f t="shared" si="101"/>
        <v>0</v>
      </c>
      <c r="U143" s="123">
        <f t="shared" si="101"/>
        <v>0</v>
      </c>
      <c r="V143" s="123">
        <f t="shared" si="101"/>
        <v>0</v>
      </c>
      <c r="W143" s="123">
        <f t="shared" si="101"/>
        <v>0</v>
      </c>
      <c r="X143" s="123">
        <f t="shared" si="101"/>
        <v>0</v>
      </c>
      <c r="Y143" s="123">
        <f t="shared" si="101"/>
        <v>0</v>
      </c>
      <c r="Z143" s="123">
        <f t="shared" si="101"/>
        <v>1</v>
      </c>
      <c r="AA143" s="123">
        <f t="shared" si="101"/>
        <v>1</v>
      </c>
      <c r="AB143" s="123">
        <f t="shared" si="101"/>
        <v>1</v>
      </c>
      <c r="AC143" s="123">
        <f t="shared" si="101"/>
        <v>1</v>
      </c>
      <c r="AD143" s="123">
        <f t="shared" si="101"/>
        <v>1</v>
      </c>
      <c r="AE143" s="123">
        <f t="shared" si="101"/>
        <v>1</v>
      </c>
      <c r="AF143" s="123">
        <f t="shared" si="101"/>
        <v>1</v>
      </c>
      <c r="AG143" s="123">
        <f t="shared" si="101"/>
        <v>1</v>
      </c>
      <c r="AH143" s="123">
        <f t="shared" si="101"/>
        <v>1</v>
      </c>
      <c r="AI143" s="123">
        <f t="shared" si="101"/>
        <v>1</v>
      </c>
      <c r="AJ143" s="44" t="str">
        <f t="shared" si="88"/>
        <v>CONT_1</v>
      </c>
      <c r="AK143" s="57"/>
      <c r="AL143" s="57" t="str">
        <f t="shared" si="92"/>
        <v>FF</v>
      </c>
      <c r="AM143" s="59" t="str">
        <f t="shared" si="93"/>
        <v>03</v>
      </c>
      <c r="AN143" s="59" t="str">
        <f t="shared" si="94"/>
        <v>00</v>
      </c>
      <c r="AO143" s="59" t="str">
        <f t="shared" si="95"/>
        <v>00</v>
      </c>
      <c r="AQ143" t="str">
        <f t="shared" si="89"/>
        <v xml:space="preserve">    (U4)0x000003FFU,                                                           /* 07 CONT_1                                          */</v>
      </c>
    </row>
    <row r="144" spans="1:43">
      <c r="B144" s="131"/>
      <c r="C144" s="44">
        <f t="shared" si="90"/>
        <v>8</v>
      </c>
      <c r="D144" s="123">
        <f t="shared" ref="D144:AI144" si="102">IF(OR(D14=0,D14=1),1,0)</f>
        <v>0</v>
      </c>
      <c r="E144" s="123">
        <f t="shared" si="102"/>
        <v>0</v>
      </c>
      <c r="F144" s="123">
        <f t="shared" si="102"/>
        <v>0</v>
      </c>
      <c r="G144" s="123">
        <f t="shared" si="102"/>
        <v>0</v>
      </c>
      <c r="H144" s="123">
        <f t="shared" si="102"/>
        <v>0</v>
      </c>
      <c r="I144" s="123">
        <f t="shared" si="102"/>
        <v>0</v>
      </c>
      <c r="J144" s="123">
        <f t="shared" si="102"/>
        <v>0</v>
      </c>
      <c r="K144" s="123">
        <f t="shared" si="102"/>
        <v>0</v>
      </c>
      <c r="L144" s="123">
        <f t="shared" si="102"/>
        <v>0</v>
      </c>
      <c r="M144" s="123">
        <f t="shared" si="102"/>
        <v>0</v>
      </c>
      <c r="N144" s="123">
        <f t="shared" si="102"/>
        <v>0</v>
      </c>
      <c r="O144" s="123">
        <f t="shared" si="102"/>
        <v>0</v>
      </c>
      <c r="P144" s="123">
        <f t="shared" si="102"/>
        <v>0</v>
      </c>
      <c r="Q144" s="123">
        <f t="shared" si="102"/>
        <v>0</v>
      </c>
      <c r="R144" s="123">
        <f t="shared" si="102"/>
        <v>0</v>
      </c>
      <c r="S144" s="123">
        <f t="shared" si="102"/>
        <v>0</v>
      </c>
      <c r="T144" s="123">
        <f t="shared" si="102"/>
        <v>0</v>
      </c>
      <c r="U144" s="123">
        <f t="shared" si="102"/>
        <v>0</v>
      </c>
      <c r="V144" s="123">
        <f t="shared" si="102"/>
        <v>0</v>
      </c>
      <c r="W144" s="123">
        <f t="shared" si="102"/>
        <v>0</v>
      </c>
      <c r="X144" s="123">
        <f t="shared" si="102"/>
        <v>0</v>
      </c>
      <c r="Y144" s="123">
        <f t="shared" si="102"/>
        <v>0</v>
      </c>
      <c r="Z144" s="123">
        <f t="shared" si="102"/>
        <v>1</v>
      </c>
      <c r="AA144" s="123">
        <f t="shared" si="102"/>
        <v>1</v>
      </c>
      <c r="AB144" s="123">
        <f t="shared" si="102"/>
        <v>1</v>
      </c>
      <c r="AC144" s="123">
        <f t="shared" si="102"/>
        <v>1</v>
      </c>
      <c r="AD144" s="123">
        <f t="shared" si="102"/>
        <v>1</v>
      </c>
      <c r="AE144" s="123">
        <f t="shared" si="102"/>
        <v>1</v>
      </c>
      <c r="AF144" s="123">
        <f t="shared" si="102"/>
        <v>1</v>
      </c>
      <c r="AG144" s="123">
        <f t="shared" si="102"/>
        <v>1</v>
      </c>
      <c r="AH144" s="123">
        <f t="shared" si="102"/>
        <v>1</v>
      </c>
      <c r="AI144" s="123">
        <f t="shared" si="102"/>
        <v>1</v>
      </c>
      <c r="AJ144" s="44" t="str">
        <f t="shared" si="88"/>
        <v>TEN_1</v>
      </c>
      <c r="AK144" s="57"/>
      <c r="AL144" s="57" t="str">
        <f t="shared" si="92"/>
        <v>FF</v>
      </c>
      <c r="AM144" s="59" t="str">
        <f t="shared" si="93"/>
        <v>03</v>
      </c>
      <c r="AN144" s="59" t="str">
        <f t="shared" si="94"/>
        <v>00</v>
      </c>
      <c r="AO144" s="59" t="str">
        <f t="shared" si="95"/>
        <v>00</v>
      </c>
      <c r="AQ144" t="str">
        <f t="shared" si="89"/>
        <v xml:space="preserve">    (U4)0x000003FFU,                                                           /* 08 TEN_1                                           */</v>
      </c>
    </row>
    <row r="145" spans="2:43">
      <c r="B145" s="131"/>
      <c r="C145" s="44">
        <f t="shared" si="90"/>
        <v>9</v>
      </c>
      <c r="D145" s="123">
        <f t="shared" ref="D145:AI145" si="103">IF(OR(D15=0,D15=1),1,0)</f>
        <v>0</v>
      </c>
      <c r="E145" s="123">
        <f t="shared" si="103"/>
        <v>0</v>
      </c>
      <c r="F145" s="123">
        <f t="shared" si="103"/>
        <v>0</v>
      </c>
      <c r="G145" s="123">
        <f t="shared" si="103"/>
        <v>0</v>
      </c>
      <c r="H145" s="123">
        <f t="shared" si="103"/>
        <v>0</v>
      </c>
      <c r="I145" s="123">
        <f t="shared" si="103"/>
        <v>0</v>
      </c>
      <c r="J145" s="123">
        <f t="shared" si="103"/>
        <v>0</v>
      </c>
      <c r="K145" s="123">
        <f t="shared" si="103"/>
        <v>0</v>
      </c>
      <c r="L145" s="123">
        <f t="shared" si="103"/>
        <v>0</v>
      </c>
      <c r="M145" s="123">
        <f t="shared" si="103"/>
        <v>0</v>
      </c>
      <c r="N145" s="123">
        <f t="shared" si="103"/>
        <v>0</v>
      </c>
      <c r="O145" s="123">
        <f t="shared" si="103"/>
        <v>0</v>
      </c>
      <c r="P145" s="123">
        <f t="shared" si="103"/>
        <v>0</v>
      </c>
      <c r="Q145" s="123">
        <f t="shared" si="103"/>
        <v>0</v>
      </c>
      <c r="R145" s="123">
        <f t="shared" si="103"/>
        <v>0</v>
      </c>
      <c r="S145" s="123">
        <f t="shared" si="103"/>
        <v>0</v>
      </c>
      <c r="T145" s="123">
        <f t="shared" si="103"/>
        <v>0</v>
      </c>
      <c r="U145" s="123">
        <f t="shared" si="103"/>
        <v>0</v>
      </c>
      <c r="V145" s="123">
        <f t="shared" si="103"/>
        <v>0</v>
      </c>
      <c r="W145" s="123">
        <f t="shared" si="103"/>
        <v>0</v>
      </c>
      <c r="X145" s="123">
        <f t="shared" si="103"/>
        <v>0</v>
      </c>
      <c r="Y145" s="123">
        <f t="shared" si="103"/>
        <v>0</v>
      </c>
      <c r="Z145" s="123">
        <f t="shared" si="103"/>
        <v>1</v>
      </c>
      <c r="AA145" s="123">
        <f t="shared" si="103"/>
        <v>1</v>
      </c>
      <c r="AB145" s="123">
        <f t="shared" si="103"/>
        <v>1</v>
      </c>
      <c r="AC145" s="123">
        <f t="shared" si="103"/>
        <v>1</v>
      </c>
      <c r="AD145" s="123">
        <f t="shared" si="103"/>
        <v>1</v>
      </c>
      <c r="AE145" s="123">
        <f t="shared" si="103"/>
        <v>1</v>
      </c>
      <c r="AF145" s="123">
        <f t="shared" si="103"/>
        <v>1</v>
      </c>
      <c r="AG145" s="123">
        <f t="shared" si="103"/>
        <v>1</v>
      </c>
      <c r="AH145" s="123">
        <f t="shared" si="103"/>
        <v>1</v>
      </c>
      <c r="AI145" s="123">
        <f t="shared" si="103"/>
        <v>1</v>
      </c>
      <c r="AJ145" s="44" t="str">
        <f t="shared" si="88"/>
        <v>RJT_1</v>
      </c>
      <c r="AK145" s="57"/>
      <c r="AL145" s="57" t="str">
        <f t="shared" si="92"/>
        <v>FF</v>
      </c>
      <c r="AM145" s="59" t="str">
        <f t="shared" si="93"/>
        <v>03</v>
      </c>
      <c r="AN145" s="59" t="str">
        <f t="shared" si="94"/>
        <v>00</v>
      </c>
      <c r="AO145" s="59" t="str">
        <f t="shared" si="95"/>
        <v>00</v>
      </c>
      <c r="AQ145" t="str">
        <f t="shared" si="89"/>
        <v xml:space="preserve">    (U4)0x000003FFU,                                                           /* 09 RJT_1                                           */</v>
      </c>
    </row>
    <row r="146" spans="2:43">
      <c r="B146" s="131"/>
      <c r="C146" s="44">
        <f t="shared" si="90"/>
        <v>10</v>
      </c>
      <c r="D146" s="123">
        <f t="shared" ref="D146:AI146" si="104">IF(OR(D16=0,D16=1),1,0)</f>
        <v>0</v>
      </c>
      <c r="E146" s="123">
        <f t="shared" si="104"/>
        <v>0</v>
      </c>
      <c r="F146" s="123">
        <f t="shared" si="104"/>
        <v>0</v>
      </c>
      <c r="G146" s="123">
        <f t="shared" si="104"/>
        <v>0</v>
      </c>
      <c r="H146" s="123">
        <f t="shared" si="104"/>
        <v>0</v>
      </c>
      <c r="I146" s="123">
        <f t="shared" si="104"/>
        <v>0</v>
      </c>
      <c r="J146" s="123">
        <f t="shared" si="104"/>
        <v>0</v>
      </c>
      <c r="K146" s="123">
        <f t="shared" si="104"/>
        <v>0</v>
      </c>
      <c r="L146" s="123">
        <f t="shared" si="104"/>
        <v>0</v>
      </c>
      <c r="M146" s="123">
        <f t="shared" si="104"/>
        <v>0</v>
      </c>
      <c r="N146" s="123">
        <f t="shared" si="104"/>
        <v>0</v>
      </c>
      <c r="O146" s="123">
        <f t="shared" si="104"/>
        <v>0</v>
      </c>
      <c r="P146" s="123">
        <f t="shared" si="104"/>
        <v>0</v>
      </c>
      <c r="Q146" s="123">
        <f t="shared" si="104"/>
        <v>0</v>
      </c>
      <c r="R146" s="123">
        <f t="shared" si="104"/>
        <v>0</v>
      </c>
      <c r="S146" s="123">
        <f t="shared" si="104"/>
        <v>0</v>
      </c>
      <c r="T146" s="123">
        <f t="shared" si="104"/>
        <v>0</v>
      </c>
      <c r="U146" s="123">
        <f t="shared" si="104"/>
        <v>0</v>
      </c>
      <c r="V146" s="123">
        <f t="shared" si="104"/>
        <v>0</v>
      </c>
      <c r="W146" s="123">
        <f t="shared" si="104"/>
        <v>0</v>
      </c>
      <c r="X146" s="123">
        <f t="shared" si="104"/>
        <v>0</v>
      </c>
      <c r="Y146" s="123">
        <f t="shared" si="104"/>
        <v>0</v>
      </c>
      <c r="Z146" s="123">
        <f t="shared" si="104"/>
        <v>1</v>
      </c>
      <c r="AA146" s="123">
        <f t="shared" si="104"/>
        <v>1</v>
      </c>
      <c r="AB146" s="123">
        <f t="shared" si="104"/>
        <v>1</v>
      </c>
      <c r="AC146" s="123">
        <f t="shared" si="104"/>
        <v>1</v>
      </c>
      <c r="AD146" s="123">
        <f t="shared" si="104"/>
        <v>1</v>
      </c>
      <c r="AE146" s="123">
        <f t="shared" si="104"/>
        <v>1</v>
      </c>
      <c r="AF146" s="123">
        <f t="shared" si="104"/>
        <v>1</v>
      </c>
      <c r="AG146" s="123">
        <f t="shared" si="104"/>
        <v>1</v>
      </c>
      <c r="AH146" s="123">
        <f t="shared" si="104"/>
        <v>1</v>
      </c>
      <c r="AI146" s="123">
        <f t="shared" si="104"/>
        <v>1</v>
      </c>
      <c r="AJ146" s="44" t="str">
        <f t="shared" si="88"/>
        <v>RCV_1</v>
      </c>
      <c r="AK146" s="57"/>
      <c r="AL146" s="57" t="str">
        <f t="shared" si="92"/>
        <v>FF</v>
      </c>
      <c r="AM146" s="59" t="str">
        <f t="shared" si="93"/>
        <v>03</v>
      </c>
      <c r="AN146" s="59" t="str">
        <f t="shared" si="94"/>
        <v>00</v>
      </c>
      <c r="AO146" s="59" t="str">
        <f t="shared" si="95"/>
        <v>00</v>
      </c>
      <c r="AQ146" t="str">
        <f t="shared" si="89"/>
        <v xml:space="preserve">    (U4)0x000003FFU,                                                           /* 10 RCV_1                                           */</v>
      </c>
    </row>
    <row r="147" spans="2:43">
      <c r="B147" s="131"/>
      <c r="C147" s="44">
        <f t="shared" si="90"/>
        <v>11</v>
      </c>
      <c r="D147" s="123">
        <f t="shared" ref="D147:AI147" si="105">IF(OR(D17=0,D17=1),1,0)</f>
        <v>0</v>
      </c>
      <c r="E147" s="123">
        <f t="shared" si="105"/>
        <v>0</v>
      </c>
      <c r="F147" s="123">
        <f t="shared" si="105"/>
        <v>0</v>
      </c>
      <c r="G147" s="123">
        <f t="shared" si="105"/>
        <v>0</v>
      </c>
      <c r="H147" s="123">
        <f t="shared" si="105"/>
        <v>0</v>
      </c>
      <c r="I147" s="123">
        <f t="shared" si="105"/>
        <v>0</v>
      </c>
      <c r="J147" s="123">
        <f t="shared" si="105"/>
        <v>0</v>
      </c>
      <c r="K147" s="123">
        <f t="shared" si="105"/>
        <v>0</v>
      </c>
      <c r="L147" s="123">
        <f t="shared" si="105"/>
        <v>0</v>
      </c>
      <c r="M147" s="123">
        <f t="shared" si="105"/>
        <v>0</v>
      </c>
      <c r="N147" s="123">
        <f t="shared" si="105"/>
        <v>0</v>
      </c>
      <c r="O147" s="123">
        <f t="shared" si="105"/>
        <v>0</v>
      </c>
      <c r="P147" s="123">
        <f t="shared" si="105"/>
        <v>0</v>
      </c>
      <c r="Q147" s="123">
        <f t="shared" si="105"/>
        <v>0</v>
      </c>
      <c r="R147" s="123">
        <f t="shared" si="105"/>
        <v>0</v>
      </c>
      <c r="S147" s="123">
        <f t="shared" si="105"/>
        <v>0</v>
      </c>
      <c r="T147" s="123">
        <f t="shared" si="105"/>
        <v>0</v>
      </c>
      <c r="U147" s="123">
        <f t="shared" si="105"/>
        <v>0</v>
      </c>
      <c r="V147" s="123">
        <f t="shared" si="105"/>
        <v>0</v>
      </c>
      <c r="W147" s="123">
        <f t="shared" si="105"/>
        <v>0</v>
      </c>
      <c r="X147" s="123">
        <f t="shared" si="105"/>
        <v>0</v>
      </c>
      <c r="Y147" s="123">
        <f t="shared" si="105"/>
        <v>0</v>
      </c>
      <c r="Z147" s="123">
        <f t="shared" si="105"/>
        <v>1</v>
      </c>
      <c r="AA147" s="123">
        <f t="shared" si="105"/>
        <v>1</v>
      </c>
      <c r="AB147" s="123">
        <f t="shared" si="105"/>
        <v>1</v>
      </c>
      <c r="AC147" s="123">
        <f t="shared" si="105"/>
        <v>1</v>
      </c>
      <c r="AD147" s="123">
        <f t="shared" si="105"/>
        <v>1</v>
      </c>
      <c r="AE147" s="123">
        <f t="shared" si="105"/>
        <v>1</v>
      </c>
      <c r="AF147" s="123">
        <f t="shared" si="105"/>
        <v>1</v>
      </c>
      <c r="AG147" s="123">
        <f t="shared" si="105"/>
        <v>1</v>
      </c>
      <c r="AH147" s="123">
        <f t="shared" si="105"/>
        <v>1</v>
      </c>
      <c r="AI147" s="123">
        <f t="shared" si="105"/>
        <v>1</v>
      </c>
      <c r="AJ147" s="44" t="str">
        <f t="shared" si="88"/>
        <v>ANN_1</v>
      </c>
      <c r="AK147" s="57"/>
      <c r="AL147" s="57" t="str">
        <f t="shared" si="92"/>
        <v>FF</v>
      </c>
      <c r="AM147" s="59" t="str">
        <f t="shared" si="93"/>
        <v>03</v>
      </c>
      <c r="AN147" s="59" t="str">
        <f t="shared" si="94"/>
        <v>00</v>
      </c>
      <c r="AO147" s="59" t="str">
        <f t="shared" si="95"/>
        <v>00</v>
      </c>
      <c r="AQ147" t="str">
        <f t="shared" si="89"/>
        <v xml:space="preserve">    (U4)0x000003FFU,                                                           /* 11 ANN_1                                           */</v>
      </c>
    </row>
    <row r="148" spans="2:43">
      <c r="B148" s="131"/>
      <c r="C148" s="44">
        <f t="shared" si="90"/>
        <v>12</v>
      </c>
      <c r="D148" s="123">
        <f t="shared" ref="D148:AI148" si="106">IF(OR(D18=0,D18=1),1,0)</f>
        <v>0</v>
      </c>
      <c r="E148" s="123">
        <f t="shared" si="106"/>
        <v>0</v>
      </c>
      <c r="F148" s="123">
        <f t="shared" si="106"/>
        <v>0</v>
      </c>
      <c r="G148" s="123">
        <f t="shared" si="106"/>
        <v>0</v>
      </c>
      <c r="H148" s="123">
        <f t="shared" si="106"/>
        <v>0</v>
      </c>
      <c r="I148" s="123">
        <f t="shared" si="106"/>
        <v>0</v>
      </c>
      <c r="J148" s="123">
        <f t="shared" si="106"/>
        <v>0</v>
      </c>
      <c r="K148" s="123">
        <f t="shared" si="106"/>
        <v>0</v>
      </c>
      <c r="L148" s="123">
        <f t="shared" si="106"/>
        <v>0</v>
      </c>
      <c r="M148" s="123">
        <f t="shared" si="106"/>
        <v>0</v>
      </c>
      <c r="N148" s="123">
        <f t="shared" si="106"/>
        <v>0</v>
      </c>
      <c r="O148" s="123">
        <f t="shared" si="106"/>
        <v>0</v>
      </c>
      <c r="P148" s="123">
        <f t="shared" si="106"/>
        <v>0</v>
      </c>
      <c r="Q148" s="123">
        <f t="shared" si="106"/>
        <v>0</v>
      </c>
      <c r="R148" s="123">
        <f t="shared" si="106"/>
        <v>0</v>
      </c>
      <c r="S148" s="123">
        <f t="shared" si="106"/>
        <v>0</v>
      </c>
      <c r="T148" s="123">
        <f t="shared" si="106"/>
        <v>0</v>
      </c>
      <c r="U148" s="123">
        <f t="shared" si="106"/>
        <v>0</v>
      </c>
      <c r="V148" s="123">
        <f t="shared" si="106"/>
        <v>0</v>
      </c>
      <c r="W148" s="123">
        <f t="shared" si="106"/>
        <v>0</v>
      </c>
      <c r="X148" s="123">
        <f t="shared" si="106"/>
        <v>0</v>
      </c>
      <c r="Y148" s="123">
        <f t="shared" si="106"/>
        <v>0</v>
      </c>
      <c r="Z148" s="123">
        <f t="shared" si="106"/>
        <v>1</v>
      </c>
      <c r="AA148" s="123">
        <f t="shared" si="106"/>
        <v>1</v>
      </c>
      <c r="AB148" s="123">
        <f t="shared" si="106"/>
        <v>1</v>
      </c>
      <c r="AC148" s="123">
        <f t="shared" si="106"/>
        <v>1</v>
      </c>
      <c r="AD148" s="123">
        <f t="shared" si="106"/>
        <v>1</v>
      </c>
      <c r="AE148" s="123">
        <f t="shared" si="106"/>
        <v>1</v>
      </c>
      <c r="AF148" s="123">
        <f t="shared" si="106"/>
        <v>1</v>
      </c>
      <c r="AG148" s="123">
        <f t="shared" si="106"/>
        <v>1</v>
      </c>
      <c r="AH148" s="123">
        <f t="shared" si="106"/>
        <v>1</v>
      </c>
      <c r="AI148" s="123">
        <f t="shared" si="106"/>
        <v>1</v>
      </c>
      <c r="AJ148" s="44" t="str">
        <f t="shared" si="88"/>
        <v>CONT_2</v>
      </c>
      <c r="AK148" s="57"/>
      <c r="AL148" s="57" t="str">
        <f t="shared" si="92"/>
        <v>FF</v>
      </c>
      <c r="AM148" s="59" t="str">
        <f t="shared" si="93"/>
        <v>03</v>
      </c>
      <c r="AN148" s="59" t="str">
        <f t="shared" si="94"/>
        <v>00</v>
      </c>
      <c r="AO148" s="59" t="str">
        <f t="shared" si="95"/>
        <v>00</v>
      </c>
      <c r="AQ148" t="str">
        <f t="shared" si="89"/>
        <v xml:space="preserve">    (U4)0x000003FFU,                                                           /* 12 CONT_2                                          */</v>
      </c>
    </row>
    <row r="149" spans="2:43">
      <c r="B149" s="131"/>
      <c r="C149" s="44">
        <f t="shared" si="90"/>
        <v>13</v>
      </c>
      <c r="D149" s="123">
        <f t="shared" ref="D149:AI149" si="107">IF(OR(D19=0,D19=1),1,0)</f>
        <v>0</v>
      </c>
      <c r="E149" s="123">
        <f t="shared" si="107"/>
        <v>0</v>
      </c>
      <c r="F149" s="123">
        <f t="shared" si="107"/>
        <v>0</v>
      </c>
      <c r="G149" s="123">
        <f t="shared" si="107"/>
        <v>0</v>
      </c>
      <c r="H149" s="123">
        <f t="shared" si="107"/>
        <v>0</v>
      </c>
      <c r="I149" s="123">
        <f t="shared" si="107"/>
        <v>0</v>
      </c>
      <c r="J149" s="123">
        <f t="shared" si="107"/>
        <v>0</v>
      </c>
      <c r="K149" s="123">
        <f t="shared" si="107"/>
        <v>0</v>
      </c>
      <c r="L149" s="123">
        <f t="shared" si="107"/>
        <v>0</v>
      </c>
      <c r="M149" s="123">
        <f t="shared" si="107"/>
        <v>0</v>
      </c>
      <c r="N149" s="123">
        <f t="shared" si="107"/>
        <v>0</v>
      </c>
      <c r="O149" s="123">
        <f t="shared" si="107"/>
        <v>0</v>
      </c>
      <c r="P149" s="123">
        <f t="shared" si="107"/>
        <v>0</v>
      </c>
      <c r="Q149" s="123">
        <f t="shared" si="107"/>
        <v>0</v>
      </c>
      <c r="R149" s="123">
        <f t="shared" si="107"/>
        <v>0</v>
      </c>
      <c r="S149" s="123">
        <f t="shared" si="107"/>
        <v>0</v>
      </c>
      <c r="T149" s="123">
        <f t="shared" si="107"/>
        <v>0</v>
      </c>
      <c r="U149" s="123">
        <f t="shared" si="107"/>
        <v>0</v>
      </c>
      <c r="V149" s="123">
        <f t="shared" si="107"/>
        <v>0</v>
      </c>
      <c r="W149" s="123">
        <f t="shared" si="107"/>
        <v>0</v>
      </c>
      <c r="X149" s="123">
        <f t="shared" si="107"/>
        <v>0</v>
      </c>
      <c r="Y149" s="123">
        <f t="shared" si="107"/>
        <v>0</v>
      </c>
      <c r="Z149" s="123">
        <f t="shared" si="107"/>
        <v>1</v>
      </c>
      <c r="AA149" s="123">
        <f t="shared" si="107"/>
        <v>1</v>
      </c>
      <c r="AB149" s="123">
        <f t="shared" si="107"/>
        <v>1</v>
      </c>
      <c r="AC149" s="123">
        <f t="shared" si="107"/>
        <v>1</v>
      </c>
      <c r="AD149" s="123">
        <f t="shared" si="107"/>
        <v>1</v>
      </c>
      <c r="AE149" s="123">
        <f t="shared" si="107"/>
        <v>1</v>
      </c>
      <c r="AF149" s="123">
        <f t="shared" si="107"/>
        <v>1</v>
      </c>
      <c r="AG149" s="123">
        <f t="shared" si="107"/>
        <v>1</v>
      </c>
      <c r="AH149" s="123">
        <f t="shared" si="107"/>
        <v>1</v>
      </c>
      <c r="AI149" s="123">
        <f t="shared" si="107"/>
        <v>1</v>
      </c>
      <c r="AJ149" s="44" t="str">
        <f t="shared" si="88"/>
        <v>TEN_2</v>
      </c>
      <c r="AK149" s="57"/>
      <c r="AL149" s="57" t="str">
        <f t="shared" si="92"/>
        <v>FF</v>
      </c>
      <c r="AM149" s="59" t="str">
        <f t="shared" si="93"/>
        <v>03</v>
      </c>
      <c r="AN149" s="59" t="str">
        <f t="shared" si="94"/>
        <v>00</v>
      </c>
      <c r="AO149" s="59" t="str">
        <f t="shared" si="95"/>
        <v>00</v>
      </c>
      <c r="AQ149" t="str">
        <f t="shared" si="89"/>
        <v xml:space="preserve">    (U4)0x000003FFU,                                                           /* 13 TEN_2                                           */</v>
      </c>
    </row>
    <row r="150" spans="2:43">
      <c r="B150" s="131"/>
      <c r="C150" s="44">
        <f t="shared" si="90"/>
        <v>14</v>
      </c>
      <c r="D150" s="123">
        <f t="shared" ref="D150:AI150" si="108">IF(OR(D20=0,D20=1),1,0)</f>
        <v>0</v>
      </c>
      <c r="E150" s="123">
        <f t="shared" si="108"/>
        <v>0</v>
      </c>
      <c r="F150" s="123">
        <f t="shared" si="108"/>
        <v>0</v>
      </c>
      <c r="G150" s="123">
        <f t="shared" si="108"/>
        <v>0</v>
      </c>
      <c r="H150" s="123">
        <f t="shared" si="108"/>
        <v>0</v>
      </c>
      <c r="I150" s="123">
        <f t="shared" si="108"/>
        <v>0</v>
      </c>
      <c r="J150" s="123">
        <f t="shared" si="108"/>
        <v>0</v>
      </c>
      <c r="K150" s="123">
        <f t="shared" si="108"/>
        <v>0</v>
      </c>
      <c r="L150" s="123">
        <f t="shared" si="108"/>
        <v>0</v>
      </c>
      <c r="M150" s="123">
        <f t="shared" si="108"/>
        <v>0</v>
      </c>
      <c r="N150" s="123">
        <f t="shared" si="108"/>
        <v>0</v>
      </c>
      <c r="O150" s="123">
        <f t="shared" si="108"/>
        <v>0</v>
      </c>
      <c r="P150" s="123">
        <f t="shared" si="108"/>
        <v>0</v>
      </c>
      <c r="Q150" s="123">
        <f t="shared" si="108"/>
        <v>0</v>
      </c>
      <c r="R150" s="123">
        <f t="shared" si="108"/>
        <v>0</v>
      </c>
      <c r="S150" s="123">
        <f t="shared" si="108"/>
        <v>0</v>
      </c>
      <c r="T150" s="123">
        <f t="shared" si="108"/>
        <v>0</v>
      </c>
      <c r="U150" s="123">
        <f t="shared" si="108"/>
        <v>0</v>
      </c>
      <c r="V150" s="123">
        <f t="shared" si="108"/>
        <v>0</v>
      </c>
      <c r="W150" s="123">
        <f t="shared" si="108"/>
        <v>0</v>
      </c>
      <c r="X150" s="123">
        <f t="shared" si="108"/>
        <v>0</v>
      </c>
      <c r="Y150" s="123">
        <f t="shared" si="108"/>
        <v>0</v>
      </c>
      <c r="Z150" s="123">
        <f t="shared" si="108"/>
        <v>1</v>
      </c>
      <c r="AA150" s="123">
        <f t="shared" si="108"/>
        <v>1</v>
      </c>
      <c r="AB150" s="123">
        <f t="shared" si="108"/>
        <v>1</v>
      </c>
      <c r="AC150" s="123">
        <f t="shared" si="108"/>
        <v>1</v>
      </c>
      <c r="AD150" s="123">
        <f t="shared" si="108"/>
        <v>1</v>
      </c>
      <c r="AE150" s="123">
        <f t="shared" si="108"/>
        <v>1</v>
      </c>
      <c r="AF150" s="123">
        <f t="shared" si="108"/>
        <v>1</v>
      </c>
      <c r="AG150" s="123">
        <f t="shared" si="108"/>
        <v>1</v>
      </c>
      <c r="AH150" s="123">
        <f t="shared" si="108"/>
        <v>1</v>
      </c>
      <c r="AI150" s="123">
        <f t="shared" si="108"/>
        <v>1</v>
      </c>
      <c r="AJ150" s="44" t="str">
        <f t="shared" si="88"/>
        <v>RJT_2</v>
      </c>
      <c r="AK150" s="57"/>
      <c r="AL150" s="57" t="str">
        <f t="shared" si="92"/>
        <v>FF</v>
      </c>
      <c r="AM150" s="59" t="str">
        <f t="shared" si="93"/>
        <v>03</v>
      </c>
      <c r="AN150" s="59" t="str">
        <f t="shared" si="94"/>
        <v>00</v>
      </c>
      <c r="AO150" s="59" t="str">
        <f t="shared" si="95"/>
        <v>00</v>
      </c>
      <c r="AQ150" t="str">
        <f t="shared" si="89"/>
        <v xml:space="preserve">    (U4)0x000003FFU,                                                           /* 14 RJT_2                                           */</v>
      </c>
    </row>
    <row r="151" spans="2:43">
      <c r="B151" s="131"/>
      <c r="C151" s="44">
        <f t="shared" si="90"/>
        <v>15</v>
      </c>
      <c r="D151" s="123">
        <f t="shared" ref="D151:AI151" si="109">IF(OR(D21=0,D21=1),1,0)</f>
        <v>0</v>
      </c>
      <c r="E151" s="123">
        <f t="shared" si="109"/>
        <v>0</v>
      </c>
      <c r="F151" s="123">
        <f t="shared" si="109"/>
        <v>0</v>
      </c>
      <c r="G151" s="123">
        <f t="shared" si="109"/>
        <v>0</v>
      </c>
      <c r="H151" s="123">
        <f t="shared" si="109"/>
        <v>0</v>
      </c>
      <c r="I151" s="123">
        <f t="shared" si="109"/>
        <v>0</v>
      </c>
      <c r="J151" s="123">
        <f t="shared" si="109"/>
        <v>0</v>
      </c>
      <c r="K151" s="123">
        <f t="shared" si="109"/>
        <v>0</v>
      </c>
      <c r="L151" s="123">
        <f t="shared" si="109"/>
        <v>0</v>
      </c>
      <c r="M151" s="123">
        <f t="shared" si="109"/>
        <v>0</v>
      </c>
      <c r="N151" s="123">
        <f t="shared" si="109"/>
        <v>0</v>
      </c>
      <c r="O151" s="123">
        <f t="shared" si="109"/>
        <v>0</v>
      </c>
      <c r="P151" s="123">
        <f t="shared" si="109"/>
        <v>0</v>
      </c>
      <c r="Q151" s="123">
        <f t="shared" si="109"/>
        <v>0</v>
      </c>
      <c r="R151" s="123">
        <f t="shared" si="109"/>
        <v>0</v>
      </c>
      <c r="S151" s="123">
        <f t="shared" si="109"/>
        <v>0</v>
      </c>
      <c r="T151" s="123">
        <f t="shared" si="109"/>
        <v>0</v>
      </c>
      <c r="U151" s="123">
        <f t="shared" si="109"/>
        <v>0</v>
      </c>
      <c r="V151" s="123">
        <f t="shared" si="109"/>
        <v>0</v>
      </c>
      <c r="W151" s="123">
        <f t="shared" si="109"/>
        <v>0</v>
      </c>
      <c r="X151" s="123">
        <f t="shared" si="109"/>
        <v>0</v>
      </c>
      <c r="Y151" s="123">
        <f t="shared" si="109"/>
        <v>0</v>
      </c>
      <c r="Z151" s="123">
        <f t="shared" si="109"/>
        <v>1</v>
      </c>
      <c r="AA151" s="123">
        <f t="shared" si="109"/>
        <v>1</v>
      </c>
      <c r="AB151" s="123">
        <f t="shared" si="109"/>
        <v>1</v>
      </c>
      <c r="AC151" s="123">
        <f t="shared" si="109"/>
        <v>1</v>
      </c>
      <c r="AD151" s="123">
        <f t="shared" si="109"/>
        <v>1</v>
      </c>
      <c r="AE151" s="123">
        <f t="shared" si="109"/>
        <v>1</v>
      </c>
      <c r="AF151" s="123">
        <f t="shared" si="109"/>
        <v>1</v>
      </c>
      <c r="AG151" s="123">
        <f t="shared" si="109"/>
        <v>1</v>
      </c>
      <c r="AH151" s="123">
        <f t="shared" si="109"/>
        <v>1</v>
      </c>
      <c r="AI151" s="123">
        <f t="shared" si="109"/>
        <v>1</v>
      </c>
      <c r="AJ151" s="44" t="str">
        <f t="shared" si="88"/>
        <v>RCV_2</v>
      </c>
      <c r="AK151" s="57"/>
      <c r="AL151" s="57" t="str">
        <f t="shared" si="92"/>
        <v>FF</v>
      </c>
      <c r="AM151" s="59" t="str">
        <f t="shared" si="93"/>
        <v>03</v>
      </c>
      <c r="AN151" s="59" t="str">
        <f t="shared" si="94"/>
        <v>00</v>
      </c>
      <c r="AO151" s="59" t="str">
        <f t="shared" si="95"/>
        <v>00</v>
      </c>
      <c r="AQ151" t="str">
        <f t="shared" si="89"/>
        <v xml:space="preserve">    (U4)0x000003FFU,                                                           /* 15 RCV_2                                           */</v>
      </c>
    </row>
    <row r="152" spans="2:43">
      <c r="B152" s="131"/>
      <c r="C152" s="44">
        <f t="shared" si="90"/>
        <v>16</v>
      </c>
      <c r="D152" s="123">
        <f t="shared" ref="D152:AI152" si="110">IF(OR(D22=0,D22=1),1,0)</f>
        <v>0</v>
      </c>
      <c r="E152" s="123">
        <f t="shared" si="110"/>
        <v>0</v>
      </c>
      <c r="F152" s="123">
        <f t="shared" si="110"/>
        <v>0</v>
      </c>
      <c r="G152" s="123">
        <f t="shared" si="110"/>
        <v>0</v>
      </c>
      <c r="H152" s="123">
        <f t="shared" si="110"/>
        <v>0</v>
      </c>
      <c r="I152" s="123">
        <f t="shared" si="110"/>
        <v>0</v>
      </c>
      <c r="J152" s="123">
        <f t="shared" si="110"/>
        <v>0</v>
      </c>
      <c r="K152" s="123">
        <f t="shared" si="110"/>
        <v>0</v>
      </c>
      <c r="L152" s="123">
        <f t="shared" si="110"/>
        <v>0</v>
      </c>
      <c r="M152" s="123">
        <f t="shared" si="110"/>
        <v>0</v>
      </c>
      <c r="N152" s="123">
        <f t="shared" si="110"/>
        <v>0</v>
      </c>
      <c r="O152" s="123">
        <f t="shared" si="110"/>
        <v>0</v>
      </c>
      <c r="P152" s="123">
        <f t="shared" si="110"/>
        <v>0</v>
      </c>
      <c r="Q152" s="123">
        <f t="shared" si="110"/>
        <v>0</v>
      </c>
      <c r="R152" s="123">
        <f t="shared" si="110"/>
        <v>0</v>
      </c>
      <c r="S152" s="123">
        <f t="shared" si="110"/>
        <v>0</v>
      </c>
      <c r="T152" s="123">
        <f t="shared" si="110"/>
        <v>0</v>
      </c>
      <c r="U152" s="123">
        <f t="shared" si="110"/>
        <v>0</v>
      </c>
      <c r="V152" s="123">
        <f t="shared" si="110"/>
        <v>0</v>
      </c>
      <c r="W152" s="123">
        <f t="shared" si="110"/>
        <v>0</v>
      </c>
      <c r="X152" s="123">
        <f t="shared" si="110"/>
        <v>0</v>
      </c>
      <c r="Y152" s="123">
        <f t="shared" si="110"/>
        <v>0</v>
      </c>
      <c r="Z152" s="123">
        <f t="shared" si="110"/>
        <v>1</v>
      </c>
      <c r="AA152" s="123">
        <f t="shared" si="110"/>
        <v>1</v>
      </c>
      <c r="AB152" s="123">
        <f t="shared" si="110"/>
        <v>1</v>
      </c>
      <c r="AC152" s="123">
        <f t="shared" si="110"/>
        <v>1</v>
      </c>
      <c r="AD152" s="123">
        <f t="shared" si="110"/>
        <v>1</v>
      </c>
      <c r="AE152" s="123">
        <f t="shared" si="110"/>
        <v>1</v>
      </c>
      <c r="AF152" s="123">
        <f t="shared" si="110"/>
        <v>1</v>
      </c>
      <c r="AG152" s="123">
        <f t="shared" si="110"/>
        <v>1</v>
      </c>
      <c r="AH152" s="123">
        <f t="shared" si="110"/>
        <v>1</v>
      </c>
      <c r="AI152" s="123">
        <f t="shared" si="110"/>
        <v>1</v>
      </c>
      <c r="AJ152" s="44" t="str">
        <f t="shared" si="88"/>
        <v>ANN_2</v>
      </c>
      <c r="AK152" s="57"/>
      <c r="AL152" s="57" t="str">
        <f t="shared" si="92"/>
        <v>FF</v>
      </c>
      <c r="AM152" s="59" t="str">
        <f t="shared" si="93"/>
        <v>03</v>
      </c>
      <c r="AN152" s="59" t="str">
        <f t="shared" si="94"/>
        <v>00</v>
      </c>
      <c r="AO152" s="59" t="str">
        <f t="shared" si="95"/>
        <v>00</v>
      </c>
      <c r="AQ152" t="str">
        <f t="shared" si="89"/>
        <v xml:space="preserve">    (U4)0x000003FFU,                                                           /* 16 ANN_2                                           */</v>
      </c>
    </row>
    <row r="153" spans="2:43">
      <c r="B153" s="131"/>
      <c r="C153" s="44">
        <f t="shared" si="90"/>
        <v>17</v>
      </c>
      <c r="D153" s="123">
        <f t="shared" ref="D153:AI153" si="111">IF(OR(D23=0,D23=1),1,0)</f>
        <v>0</v>
      </c>
      <c r="E153" s="123">
        <f t="shared" si="111"/>
        <v>0</v>
      </c>
      <c r="F153" s="123">
        <f t="shared" si="111"/>
        <v>0</v>
      </c>
      <c r="G153" s="123">
        <f t="shared" si="111"/>
        <v>0</v>
      </c>
      <c r="H153" s="123">
        <f t="shared" si="111"/>
        <v>0</v>
      </c>
      <c r="I153" s="123">
        <f t="shared" si="111"/>
        <v>0</v>
      </c>
      <c r="J153" s="123">
        <f t="shared" si="111"/>
        <v>0</v>
      </c>
      <c r="K153" s="123">
        <f t="shared" si="111"/>
        <v>0</v>
      </c>
      <c r="L153" s="123">
        <f t="shared" si="111"/>
        <v>0</v>
      </c>
      <c r="M153" s="123">
        <f t="shared" si="111"/>
        <v>0</v>
      </c>
      <c r="N153" s="123">
        <f t="shared" si="111"/>
        <v>0</v>
      </c>
      <c r="O153" s="123">
        <f t="shared" si="111"/>
        <v>0</v>
      </c>
      <c r="P153" s="123">
        <f t="shared" si="111"/>
        <v>0</v>
      </c>
      <c r="Q153" s="123">
        <f t="shared" si="111"/>
        <v>0</v>
      </c>
      <c r="R153" s="123">
        <f t="shared" si="111"/>
        <v>0</v>
      </c>
      <c r="S153" s="123">
        <f t="shared" si="111"/>
        <v>0</v>
      </c>
      <c r="T153" s="123">
        <f t="shared" si="111"/>
        <v>0</v>
      </c>
      <c r="U153" s="123">
        <f t="shared" si="111"/>
        <v>0</v>
      </c>
      <c r="V153" s="123">
        <f t="shared" si="111"/>
        <v>0</v>
      </c>
      <c r="W153" s="123">
        <f t="shared" si="111"/>
        <v>0</v>
      </c>
      <c r="X153" s="123">
        <f t="shared" si="111"/>
        <v>0</v>
      </c>
      <c r="Y153" s="123">
        <f t="shared" si="111"/>
        <v>0</v>
      </c>
      <c r="Z153" s="123">
        <f t="shared" si="111"/>
        <v>1</v>
      </c>
      <c r="AA153" s="123">
        <f t="shared" si="111"/>
        <v>1</v>
      </c>
      <c r="AB153" s="123">
        <f t="shared" si="111"/>
        <v>1</v>
      </c>
      <c r="AC153" s="123">
        <f t="shared" si="111"/>
        <v>1</v>
      </c>
      <c r="AD153" s="123">
        <f t="shared" si="111"/>
        <v>1</v>
      </c>
      <c r="AE153" s="123">
        <f t="shared" si="111"/>
        <v>1</v>
      </c>
      <c r="AF153" s="123">
        <f t="shared" si="111"/>
        <v>1</v>
      </c>
      <c r="AG153" s="123">
        <f t="shared" si="111"/>
        <v>1</v>
      </c>
      <c r="AH153" s="123">
        <f t="shared" si="111"/>
        <v>1</v>
      </c>
      <c r="AI153" s="123">
        <f t="shared" si="111"/>
        <v>1</v>
      </c>
      <c r="AJ153" s="44" t="str">
        <f t="shared" si="88"/>
        <v>CONT_3</v>
      </c>
      <c r="AK153" s="57"/>
      <c r="AL153" s="57" t="str">
        <f t="shared" si="92"/>
        <v>FF</v>
      </c>
      <c r="AM153" s="59" t="str">
        <f t="shared" si="93"/>
        <v>03</v>
      </c>
      <c r="AN153" s="59" t="str">
        <f t="shared" si="94"/>
        <v>00</v>
      </c>
      <c r="AO153" s="59" t="str">
        <f t="shared" si="95"/>
        <v>00</v>
      </c>
      <c r="AQ153" t="str">
        <f t="shared" si="89"/>
        <v xml:space="preserve">    (U4)0x000003FFU,                                                           /* 17 CONT_3                                          */</v>
      </c>
    </row>
    <row r="154" spans="2:43">
      <c r="B154" s="131"/>
      <c r="C154" s="44">
        <f t="shared" si="90"/>
        <v>18</v>
      </c>
      <c r="D154" s="123">
        <f t="shared" ref="D154:AI154" si="112">IF(OR(D24=0,D24=1),1,0)</f>
        <v>0</v>
      </c>
      <c r="E154" s="123">
        <f t="shared" si="112"/>
        <v>0</v>
      </c>
      <c r="F154" s="123">
        <f t="shared" si="112"/>
        <v>0</v>
      </c>
      <c r="G154" s="123">
        <f t="shared" si="112"/>
        <v>0</v>
      </c>
      <c r="H154" s="123">
        <f t="shared" si="112"/>
        <v>0</v>
      </c>
      <c r="I154" s="123">
        <f t="shared" si="112"/>
        <v>0</v>
      </c>
      <c r="J154" s="123">
        <f t="shared" si="112"/>
        <v>0</v>
      </c>
      <c r="K154" s="123">
        <f t="shared" si="112"/>
        <v>0</v>
      </c>
      <c r="L154" s="123">
        <f t="shared" si="112"/>
        <v>0</v>
      </c>
      <c r="M154" s="123">
        <f t="shared" si="112"/>
        <v>0</v>
      </c>
      <c r="N154" s="123">
        <f t="shared" si="112"/>
        <v>0</v>
      </c>
      <c r="O154" s="123">
        <f t="shared" si="112"/>
        <v>0</v>
      </c>
      <c r="P154" s="123">
        <f t="shared" si="112"/>
        <v>0</v>
      </c>
      <c r="Q154" s="123">
        <f t="shared" si="112"/>
        <v>0</v>
      </c>
      <c r="R154" s="123">
        <f t="shared" si="112"/>
        <v>0</v>
      </c>
      <c r="S154" s="123">
        <f t="shared" si="112"/>
        <v>0</v>
      </c>
      <c r="T154" s="123">
        <f t="shared" si="112"/>
        <v>0</v>
      </c>
      <c r="U154" s="123">
        <f t="shared" si="112"/>
        <v>0</v>
      </c>
      <c r="V154" s="123">
        <f t="shared" si="112"/>
        <v>0</v>
      </c>
      <c r="W154" s="123">
        <f t="shared" si="112"/>
        <v>0</v>
      </c>
      <c r="X154" s="123">
        <f t="shared" si="112"/>
        <v>0</v>
      </c>
      <c r="Y154" s="123">
        <f t="shared" si="112"/>
        <v>0</v>
      </c>
      <c r="Z154" s="123">
        <f t="shared" si="112"/>
        <v>1</v>
      </c>
      <c r="AA154" s="123">
        <f t="shared" si="112"/>
        <v>1</v>
      </c>
      <c r="AB154" s="123">
        <f t="shared" si="112"/>
        <v>1</v>
      </c>
      <c r="AC154" s="123">
        <f t="shared" si="112"/>
        <v>1</v>
      </c>
      <c r="AD154" s="123">
        <f t="shared" si="112"/>
        <v>1</v>
      </c>
      <c r="AE154" s="123">
        <f t="shared" si="112"/>
        <v>1</v>
      </c>
      <c r="AF154" s="123">
        <f t="shared" si="112"/>
        <v>1</v>
      </c>
      <c r="AG154" s="123">
        <f t="shared" si="112"/>
        <v>1</v>
      </c>
      <c r="AH154" s="123">
        <f t="shared" si="112"/>
        <v>1</v>
      </c>
      <c r="AI154" s="123">
        <f t="shared" si="112"/>
        <v>1</v>
      </c>
      <c r="AJ154" s="44" t="str">
        <f t="shared" si="88"/>
        <v>TEN_3</v>
      </c>
      <c r="AK154" s="57"/>
      <c r="AL154" s="57" t="str">
        <f t="shared" si="92"/>
        <v>FF</v>
      </c>
      <c r="AM154" s="59" t="str">
        <f t="shared" si="93"/>
        <v>03</v>
      </c>
      <c r="AN154" s="59" t="str">
        <f t="shared" si="94"/>
        <v>00</v>
      </c>
      <c r="AO154" s="59" t="str">
        <f t="shared" si="95"/>
        <v>00</v>
      </c>
      <c r="AQ154" t="str">
        <f t="shared" si="89"/>
        <v xml:space="preserve">    (U4)0x000003FFU,                                                           /* 18 TEN_3                                           */</v>
      </c>
    </row>
    <row r="155" spans="2:43">
      <c r="B155" s="131"/>
      <c r="C155" s="44">
        <f t="shared" si="90"/>
        <v>19</v>
      </c>
      <c r="D155" s="123">
        <f t="shared" ref="D155:AI155" si="113">IF(OR(D25=0,D25=1),1,0)</f>
        <v>0</v>
      </c>
      <c r="E155" s="123">
        <f t="shared" si="113"/>
        <v>0</v>
      </c>
      <c r="F155" s="123">
        <f t="shared" si="113"/>
        <v>0</v>
      </c>
      <c r="G155" s="123">
        <f t="shared" si="113"/>
        <v>0</v>
      </c>
      <c r="H155" s="123">
        <f t="shared" si="113"/>
        <v>0</v>
      </c>
      <c r="I155" s="123">
        <f t="shared" si="113"/>
        <v>0</v>
      </c>
      <c r="J155" s="123">
        <f t="shared" si="113"/>
        <v>0</v>
      </c>
      <c r="K155" s="123">
        <f t="shared" si="113"/>
        <v>0</v>
      </c>
      <c r="L155" s="123">
        <f t="shared" si="113"/>
        <v>0</v>
      </c>
      <c r="M155" s="123">
        <f t="shared" si="113"/>
        <v>0</v>
      </c>
      <c r="N155" s="123">
        <f t="shared" si="113"/>
        <v>0</v>
      </c>
      <c r="O155" s="123">
        <f t="shared" si="113"/>
        <v>0</v>
      </c>
      <c r="P155" s="123">
        <f t="shared" si="113"/>
        <v>0</v>
      </c>
      <c r="Q155" s="123">
        <f t="shared" si="113"/>
        <v>0</v>
      </c>
      <c r="R155" s="123">
        <f t="shared" si="113"/>
        <v>0</v>
      </c>
      <c r="S155" s="123">
        <f t="shared" si="113"/>
        <v>0</v>
      </c>
      <c r="T155" s="123">
        <f t="shared" si="113"/>
        <v>0</v>
      </c>
      <c r="U155" s="123">
        <f t="shared" si="113"/>
        <v>0</v>
      </c>
      <c r="V155" s="123">
        <f t="shared" si="113"/>
        <v>0</v>
      </c>
      <c r="W155" s="123">
        <f t="shared" si="113"/>
        <v>0</v>
      </c>
      <c r="X155" s="123">
        <f t="shared" si="113"/>
        <v>0</v>
      </c>
      <c r="Y155" s="123">
        <f t="shared" si="113"/>
        <v>0</v>
      </c>
      <c r="Z155" s="123">
        <f t="shared" si="113"/>
        <v>1</v>
      </c>
      <c r="AA155" s="123">
        <f t="shared" si="113"/>
        <v>1</v>
      </c>
      <c r="AB155" s="123">
        <f t="shared" si="113"/>
        <v>1</v>
      </c>
      <c r="AC155" s="123">
        <f t="shared" si="113"/>
        <v>1</v>
      </c>
      <c r="AD155" s="123">
        <f t="shared" si="113"/>
        <v>1</v>
      </c>
      <c r="AE155" s="123">
        <f t="shared" si="113"/>
        <v>1</v>
      </c>
      <c r="AF155" s="123">
        <f t="shared" si="113"/>
        <v>1</v>
      </c>
      <c r="AG155" s="123">
        <f t="shared" si="113"/>
        <v>1</v>
      </c>
      <c r="AH155" s="123">
        <f t="shared" si="113"/>
        <v>1</v>
      </c>
      <c r="AI155" s="123">
        <f t="shared" si="113"/>
        <v>1</v>
      </c>
      <c r="AJ155" s="44" t="str">
        <f t="shared" si="88"/>
        <v>RJT_3</v>
      </c>
      <c r="AK155" s="57"/>
      <c r="AL155" s="57" t="str">
        <f t="shared" si="92"/>
        <v>FF</v>
      </c>
      <c r="AM155" s="59" t="str">
        <f t="shared" si="93"/>
        <v>03</v>
      </c>
      <c r="AN155" s="59" t="str">
        <f t="shared" si="94"/>
        <v>00</v>
      </c>
      <c r="AO155" s="59" t="str">
        <f t="shared" si="95"/>
        <v>00</v>
      </c>
      <c r="AQ155" t="str">
        <f t="shared" si="89"/>
        <v xml:space="preserve">    (U4)0x000003FFU,                                                           /* 19 RJT_3                                           */</v>
      </c>
    </row>
    <row r="156" spans="2:43">
      <c r="B156" s="131"/>
      <c r="C156" s="44">
        <f t="shared" si="90"/>
        <v>20</v>
      </c>
      <c r="D156" s="123">
        <f t="shared" ref="D156:AI156" si="114">IF(OR(D26=0,D26=1),1,0)</f>
        <v>0</v>
      </c>
      <c r="E156" s="123">
        <f t="shared" si="114"/>
        <v>0</v>
      </c>
      <c r="F156" s="123">
        <f t="shared" si="114"/>
        <v>0</v>
      </c>
      <c r="G156" s="123">
        <f t="shared" si="114"/>
        <v>0</v>
      </c>
      <c r="H156" s="123">
        <f t="shared" si="114"/>
        <v>0</v>
      </c>
      <c r="I156" s="123">
        <f t="shared" si="114"/>
        <v>0</v>
      </c>
      <c r="J156" s="123">
        <f t="shared" si="114"/>
        <v>0</v>
      </c>
      <c r="K156" s="123">
        <f t="shared" si="114"/>
        <v>0</v>
      </c>
      <c r="L156" s="123">
        <f t="shared" si="114"/>
        <v>0</v>
      </c>
      <c r="M156" s="123">
        <f t="shared" si="114"/>
        <v>0</v>
      </c>
      <c r="N156" s="123">
        <f t="shared" si="114"/>
        <v>0</v>
      </c>
      <c r="O156" s="123">
        <f t="shared" si="114"/>
        <v>0</v>
      </c>
      <c r="P156" s="123">
        <f t="shared" si="114"/>
        <v>0</v>
      </c>
      <c r="Q156" s="123">
        <f t="shared" si="114"/>
        <v>0</v>
      </c>
      <c r="R156" s="123">
        <f t="shared" si="114"/>
        <v>0</v>
      </c>
      <c r="S156" s="123">
        <f t="shared" si="114"/>
        <v>0</v>
      </c>
      <c r="T156" s="123">
        <f t="shared" si="114"/>
        <v>0</v>
      </c>
      <c r="U156" s="123">
        <f t="shared" si="114"/>
        <v>0</v>
      </c>
      <c r="V156" s="123">
        <f t="shared" si="114"/>
        <v>0</v>
      </c>
      <c r="W156" s="123">
        <f t="shared" si="114"/>
        <v>0</v>
      </c>
      <c r="X156" s="123">
        <f t="shared" si="114"/>
        <v>0</v>
      </c>
      <c r="Y156" s="123">
        <f t="shared" si="114"/>
        <v>0</v>
      </c>
      <c r="Z156" s="123">
        <f t="shared" si="114"/>
        <v>1</v>
      </c>
      <c r="AA156" s="123">
        <f t="shared" si="114"/>
        <v>1</v>
      </c>
      <c r="AB156" s="123">
        <f t="shared" si="114"/>
        <v>1</v>
      </c>
      <c r="AC156" s="123">
        <f t="shared" si="114"/>
        <v>1</v>
      </c>
      <c r="AD156" s="123">
        <f t="shared" si="114"/>
        <v>1</v>
      </c>
      <c r="AE156" s="123">
        <f t="shared" si="114"/>
        <v>1</v>
      </c>
      <c r="AF156" s="123">
        <f t="shared" si="114"/>
        <v>1</v>
      </c>
      <c r="AG156" s="123">
        <f t="shared" si="114"/>
        <v>1</v>
      </c>
      <c r="AH156" s="123">
        <f t="shared" si="114"/>
        <v>1</v>
      </c>
      <c r="AI156" s="123">
        <f t="shared" si="114"/>
        <v>1</v>
      </c>
      <c r="AJ156" s="44" t="str">
        <f t="shared" si="88"/>
        <v>RCV_3</v>
      </c>
      <c r="AK156" s="57"/>
      <c r="AL156" s="57" t="str">
        <f t="shared" si="92"/>
        <v>FF</v>
      </c>
      <c r="AM156" s="59" t="str">
        <f t="shared" si="93"/>
        <v>03</v>
      </c>
      <c r="AN156" s="59" t="str">
        <f t="shared" si="94"/>
        <v>00</v>
      </c>
      <c r="AO156" s="59" t="str">
        <f t="shared" si="95"/>
        <v>00</v>
      </c>
      <c r="AQ156" t="str">
        <f t="shared" si="89"/>
        <v xml:space="preserve">    (U4)0x000003FFU,                                                           /* 20 RCV_3                                           */</v>
      </c>
    </row>
    <row r="157" spans="2:43">
      <c r="B157" s="131"/>
      <c r="C157" s="44">
        <f t="shared" si="90"/>
        <v>21</v>
      </c>
      <c r="D157" s="123">
        <f t="shared" ref="D157:AI157" si="115">IF(OR(D27=0,D27=1),1,0)</f>
        <v>0</v>
      </c>
      <c r="E157" s="123">
        <f t="shared" si="115"/>
        <v>0</v>
      </c>
      <c r="F157" s="123">
        <f t="shared" si="115"/>
        <v>0</v>
      </c>
      <c r="G157" s="123">
        <f t="shared" si="115"/>
        <v>0</v>
      </c>
      <c r="H157" s="123">
        <f t="shared" si="115"/>
        <v>0</v>
      </c>
      <c r="I157" s="123">
        <f t="shared" si="115"/>
        <v>0</v>
      </c>
      <c r="J157" s="123">
        <f t="shared" si="115"/>
        <v>0</v>
      </c>
      <c r="K157" s="123">
        <f t="shared" si="115"/>
        <v>0</v>
      </c>
      <c r="L157" s="123">
        <f t="shared" si="115"/>
        <v>0</v>
      </c>
      <c r="M157" s="123">
        <f t="shared" si="115"/>
        <v>0</v>
      </c>
      <c r="N157" s="123">
        <f t="shared" si="115"/>
        <v>0</v>
      </c>
      <c r="O157" s="123">
        <f t="shared" si="115"/>
        <v>0</v>
      </c>
      <c r="P157" s="123">
        <f t="shared" si="115"/>
        <v>0</v>
      </c>
      <c r="Q157" s="123">
        <f t="shared" si="115"/>
        <v>0</v>
      </c>
      <c r="R157" s="123">
        <f t="shared" si="115"/>
        <v>0</v>
      </c>
      <c r="S157" s="123">
        <f t="shared" si="115"/>
        <v>0</v>
      </c>
      <c r="T157" s="123">
        <f t="shared" si="115"/>
        <v>0</v>
      </c>
      <c r="U157" s="123">
        <f t="shared" si="115"/>
        <v>0</v>
      </c>
      <c r="V157" s="123">
        <f t="shared" si="115"/>
        <v>0</v>
      </c>
      <c r="W157" s="123">
        <f t="shared" si="115"/>
        <v>0</v>
      </c>
      <c r="X157" s="123">
        <f t="shared" si="115"/>
        <v>0</v>
      </c>
      <c r="Y157" s="123">
        <f t="shared" si="115"/>
        <v>0</v>
      </c>
      <c r="Z157" s="123">
        <f t="shared" si="115"/>
        <v>1</v>
      </c>
      <c r="AA157" s="123">
        <f t="shared" si="115"/>
        <v>1</v>
      </c>
      <c r="AB157" s="123">
        <f t="shared" si="115"/>
        <v>1</v>
      </c>
      <c r="AC157" s="123">
        <f t="shared" si="115"/>
        <v>1</v>
      </c>
      <c r="AD157" s="123">
        <f t="shared" si="115"/>
        <v>1</v>
      </c>
      <c r="AE157" s="123">
        <f t="shared" si="115"/>
        <v>1</v>
      </c>
      <c r="AF157" s="123">
        <f t="shared" si="115"/>
        <v>1</v>
      </c>
      <c r="AG157" s="123">
        <f t="shared" si="115"/>
        <v>1</v>
      </c>
      <c r="AH157" s="123">
        <f t="shared" si="115"/>
        <v>1</v>
      </c>
      <c r="AI157" s="123">
        <f t="shared" si="115"/>
        <v>1</v>
      </c>
      <c r="AJ157" s="44" t="str">
        <f t="shared" si="88"/>
        <v>ANN_3</v>
      </c>
      <c r="AK157" s="57"/>
      <c r="AL157" s="57" t="str">
        <f t="shared" si="92"/>
        <v>FF</v>
      </c>
      <c r="AM157" s="59" t="str">
        <f t="shared" si="93"/>
        <v>03</v>
      </c>
      <c r="AN157" s="59" t="str">
        <f t="shared" si="94"/>
        <v>00</v>
      </c>
      <c r="AO157" s="59" t="str">
        <f t="shared" si="95"/>
        <v>00</v>
      </c>
      <c r="AQ157" t="str">
        <f t="shared" si="89"/>
        <v xml:space="preserve">    (U4)0x000003FFU,                                                           /* 21 ANN_3                                           */</v>
      </c>
    </row>
    <row r="158" spans="2:43">
      <c r="B158" s="131"/>
      <c r="C158" s="44">
        <f t="shared" si="90"/>
        <v>22</v>
      </c>
      <c r="D158" s="123">
        <f t="shared" ref="D158:AI158" si="116">IF(OR(D28=0,D28=1),1,0)</f>
        <v>0</v>
      </c>
      <c r="E158" s="123">
        <f t="shared" si="116"/>
        <v>0</v>
      </c>
      <c r="F158" s="123">
        <f t="shared" si="116"/>
        <v>0</v>
      </c>
      <c r="G158" s="123">
        <f t="shared" si="116"/>
        <v>0</v>
      </c>
      <c r="H158" s="123">
        <f t="shared" si="116"/>
        <v>0</v>
      </c>
      <c r="I158" s="123">
        <f t="shared" si="116"/>
        <v>0</v>
      </c>
      <c r="J158" s="123">
        <f t="shared" si="116"/>
        <v>0</v>
      </c>
      <c r="K158" s="123">
        <f t="shared" si="116"/>
        <v>0</v>
      </c>
      <c r="L158" s="123">
        <f t="shared" si="116"/>
        <v>0</v>
      </c>
      <c r="M158" s="123">
        <f t="shared" si="116"/>
        <v>0</v>
      </c>
      <c r="N158" s="123">
        <f t="shared" si="116"/>
        <v>0</v>
      </c>
      <c r="O158" s="123">
        <f t="shared" si="116"/>
        <v>0</v>
      </c>
      <c r="P158" s="123">
        <f t="shared" si="116"/>
        <v>0</v>
      </c>
      <c r="Q158" s="123">
        <f t="shared" si="116"/>
        <v>0</v>
      </c>
      <c r="R158" s="123">
        <f t="shared" si="116"/>
        <v>0</v>
      </c>
      <c r="S158" s="123">
        <f t="shared" si="116"/>
        <v>0</v>
      </c>
      <c r="T158" s="123">
        <f t="shared" si="116"/>
        <v>0</v>
      </c>
      <c r="U158" s="123">
        <f t="shared" si="116"/>
        <v>0</v>
      </c>
      <c r="V158" s="123">
        <f t="shared" si="116"/>
        <v>0</v>
      </c>
      <c r="W158" s="123">
        <f t="shared" si="116"/>
        <v>0</v>
      </c>
      <c r="X158" s="123">
        <f t="shared" si="116"/>
        <v>0</v>
      </c>
      <c r="Y158" s="123">
        <f t="shared" si="116"/>
        <v>0</v>
      </c>
      <c r="Z158" s="123">
        <f t="shared" si="116"/>
        <v>1</v>
      </c>
      <c r="AA158" s="123">
        <f t="shared" si="116"/>
        <v>1</v>
      </c>
      <c r="AB158" s="123">
        <f t="shared" si="116"/>
        <v>1</v>
      </c>
      <c r="AC158" s="123">
        <f t="shared" si="116"/>
        <v>1</v>
      </c>
      <c r="AD158" s="123">
        <f t="shared" si="116"/>
        <v>1</v>
      </c>
      <c r="AE158" s="123">
        <f t="shared" si="116"/>
        <v>1</v>
      </c>
      <c r="AF158" s="123">
        <f t="shared" si="116"/>
        <v>1</v>
      </c>
      <c r="AG158" s="123">
        <f t="shared" si="116"/>
        <v>1</v>
      </c>
      <c r="AH158" s="123">
        <f t="shared" si="116"/>
        <v>1</v>
      </c>
      <c r="AI158" s="123">
        <f t="shared" si="116"/>
        <v>1</v>
      </c>
      <c r="AJ158" s="44" t="str">
        <f t="shared" si="88"/>
        <v>CONT_4</v>
      </c>
      <c r="AK158" s="57"/>
      <c r="AL158" s="57" t="str">
        <f t="shared" si="92"/>
        <v>FF</v>
      </c>
      <c r="AM158" s="59" t="str">
        <f t="shared" si="93"/>
        <v>03</v>
      </c>
      <c r="AN158" s="59" t="str">
        <f t="shared" si="94"/>
        <v>00</v>
      </c>
      <c r="AO158" s="59" t="str">
        <f t="shared" si="95"/>
        <v>00</v>
      </c>
      <c r="AQ158" t="str">
        <f t="shared" si="89"/>
        <v xml:space="preserve">    (U4)0x000003FFU,                                                           /* 22 CONT_4                                          */</v>
      </c>
    </row>
    <row r="159" spans="2:43">
      <c r="B159" s="131"/>
      <c r="C159" s="44">
        <f t="shared" si="90"/>
        <v>23</v>
      </c>
      <c r="D159" s="123">
        <f t="shared" ref="D159:AI159" si="117">IF(OR(D29=0,D29=1),1,0)</f>
        <v>0</v>
      </c>
      <c r="E159" s="123">
        <f t="shared" si="117"/>
        <v>0</v>
      </c>
      <c r="F159" s="123">
        <f t="shared" si="117"/>
        <v>0</v>
      </c>
      <c r="G159" s="123">
        <f t="shared" si="117"/>
        <v>0</v>
      </c>
      <c r="H159" s="123">
        <f t="shared" si="117"/>
        <v>0</v>
      </c>
      <c r="I159" s="123">
        <f t="shared" si="117"/>
        <v>0</v>
      </c>
      <c r="J159" s="123">
        <f t="shared" si="117"/>
        <v>0</v>
      </c>
      <c r="K159" s="123">
        <f t="shared" si="117"/>
        <v>0</v>
      </c>
      <c r="L159" s="123">
        <f t="shared" si="117"/>
        <v>0</v>
      </c>
      <c r="M159" s="123">
        <f t="shared" si="117"/>
        <v>0</v>
      </c>
      <c r="N159" s="123">
        <f t="shared" si="117"/>
        <v>0</v>
      </c>
      <c r="O159" s="123">
        <f t="shared" si="117"/>
        <v>0</v>
      </c>
      <c r="P159" s="123">
        <f t="shared" si="117"/>
        <v>0</v>
      </c>
      <c r="Q159" s="123">
        <f t="shared" si="117"/>
        <v>0</v>
      </c>
      <c r="R159" s="123">
        <f t="shared" si="117"/>
        <v>0</v>
      </c>
      <c r="S159" s="123">
        <f t="shared" si="117"/>
        <v>0</v>
      </c>
      <c r="T159" s="123">
        <f t="shared" si="117"/>
        <v>0</v>
      </c>
      <c r="U159" s="123">
        <f t="shared" si="117"/>
        <v>0</v>
      </c>
      <c r="V159" s="123">
        <f t="shared" si="117"/>
        <v>0</v>
      </c>
      <c r="W159" s="123">
        <f t="shared" si="117"/>
        <v>0</v>
      </c>
      <c r="X159" s="123">
        <f t="shared" si="117"/>
        <v>0</v>
      </c>
      <c r="Y159" s="123">
        <f t="shared" si="117"/>
        <v>0</v>
      </c>
      <c r="Z159" s="123">
        <f t="shared" si="117"/>
        <v>1</v>
      </c>
      <c r="AA159" s="123">
        <f t="shared" si="117"/>
        <v>1</v>
      </c>
      <c r="AB159" s="123">
        <f t="shared" si="117"/>
        <v>1</v>
      </c>
      <c r="AC159" s="123">
        <f t="shared" si="117"/>
        <v>1</v>
      </c>
      <c r="AD159" s="123">
        <f t="shared" si="117"/>
        <v>1</v>
      </c>
      <c r="AE159" s="123">
        <f t="shared" si="117"/>
        <v>1</v>
      </c>
      <c r="AF159" s="123">
        <f t="shared" si="117"/>
        <v>1</v>
      </c>
      <c r="AG159" s="123">
        <f t="shared" si="117"/>
        <v>1</v>
      </c>
      <c r="AH159" s="123">
        <f t="shared" si="117"/>
        <v>1</v>
      </c>
      <c r="AI159" s="123">
        <f t="shared" si="117"/>
        <v>1</v>
      </c>
      <c r="AJ159" s="44" t="str">
        <f t="shared" si="88"/>
        <v>TEN_4</v>
      </c>
      <c r="AK159" s="57"/>
      <c r="AL159" s="57" t="str">
        <f t="shared" si="92"/>
        <v>FF</v>
      </c>
      <c r="AM159" s="59" t="str">
        <f t="shared" si="93"/>
        <v>03</v>
      </c>
      <c r="AN159" s="59" t="str">
        <f t="shared" si="94"/>
        <v>00</v>
      </c>
      <c r="AO159" s="59" t="str">
        <f t="shared" si="95"/>
        <v>00</v>
      </c>
      <c r="AQ159" t="str">
        <f t="shared" si="89"/>
        <v xml:space="preserve">    (U4)0x000003FFU,                                                           /* 23 TEN_4                                           */</v>
      </c>
    </row>
    <row r="160" spans="2:43">
      <c r="B160" s="131"/>
      <c r="C160" s="44">
        <f t="shared" si="90"/>
        <v>24</v>
      </c>
      <c r="D160" s="123">
        <f t="shared" ref="D160:AI160" si="118">IF(OR(D30=0,D30=1),1,0)</f>
        <v>0</v>
      </c>
      <c r="E160" s="123">
        <f t="shared" si="118"/>
        <v>0</v>
      </c>
      <c r="F160" s="123">
        <f t="shared" si="118"/>
        <v>0</v>
      </c>
      <c r="G160" s="123">
        <f t="shared" si="118"/>
        <v>0</v>
      </c>
      <c r="H160" s="123">
        <f t="shared" si="118"/>
        <v>0</v>
      </c>
      <c r="I160" s="123">
        <f t="shared" si="118"/>
        <v>0</v>
      </c>
      <c r="J160" s="123">
        <f t="shared" si="118"/>
        <v>0</v>
      </c>
      <c r="K160" s="123">
        <f t="shared" si="118"/>
        <v>0</v>
      </c>
      <c r="L160" s="123">
        <f t="shared" si="118"/>
        <v>0</v>
      </c>
      <c r="M160" s="123">
        <f t="shared" si="118"/>
        <v>0</v>
      </c>
      <c r="N160" s="123">
        <f t="shared" si="118"/>
        <v>0</v>
      </c>
      <c r="O160" s="123">
        <f t="shared" si="118"/>
        <v>0</v>
      </c>
      <c r="P160" s="123">
        <f t="shared" si="118"/>
        <v>0</v>
      </c>
      <c r="Q160" s="123">
        <f t="shared" si="118"/>
        <v>0</v>
      </c>
      <c r="R160" s="123">
        <f t="shared" si="118"/>
        <v>0</v>
      </c>
      <c r="S160" s="123">
        <f t="shared" si="118"/>
        <v>0</v>
      </c>
      <c r="T160" s="123">
        <f t="shared" si="118"/>
        <v>0</v>
      </c>
      <c r="U160" s="123">
        <f t="shared" si="118"/>
        <v>0</v>
      </c>
      <c r="V160" s="123">
        <f t="shared" si="118"/>
        <v>0</v>
      </c>
      <c r="W160" s="123">
        <f t="shared" si="118"/>
        <v>0</v>
      </c>
      <c r="X160" s="123">
        <f t="shared" si="118"/>
        <v>0</v>
      </c>
      <c r="Y160" s="123">
        <f t="shared" si="118"/>
        <v>0</v>
      </c>
      <c r="Z160" s="123">
        <f t="shared" si="118"/>
        <v>1</v>
      </c>
      <c r="AA160" s="123">
        <f t="shared" si="118"/>
        <v>1</v>
      </c>
      <c r="AB160" s="123">
        <f t="shared" si="118"/>
        <v>1</v>
      </c>
      <c r="AC160" s="123">
        <f t="shared" si="118"/>
        <v>1</v>
      </c>
      <c r="AD160" s="123">
        <f t="shared" si="118"/>
        <v>1</v>
      </c>
      <c r="AE160" s="123">
        <f t="shared" si="118"/>
        <v>1</v>
      </c>
      <c r="AF160" s="123">
        <f t="shared" si="118"/>
        <v>1</v>
      </c>
      <c r="AG160" s="123">
        <f t="shared" si="118"/>
        <v>1</v>
      </c>
      <c r="AH160" s="123">
        <f t="shared" si="118"/>
        <v>1</v>
      </c>
      <c r="AI160" s="123">
        <f t="shared" si="118"/>
        <v>1</v>
      </c>
      <c r="AJ160" s="44" t="str">
        <f t="shared" si="88"/>
        <v>RJT_4</v>
      </c>
      <c r="AK160" s="57"/>
      <c r="AL160" s="57" t="str">
        <f t="shared" si="92"/>
        <v>FF</v>
      </c>
      <c r="AM160" s="59" t="str">
        <f t="shared" si="93"/>
        <v>03</v>
      </c>
      <c r="AN160" s="59" t="str">
        <f t="shared" si="94"/>
        <v>00</v>
      </c>
      <c r="AO160" s="59" t="str">
        <f t="shared" si="95"/>
        <v>00</v>
      </c>
      <c r="AQ160" t="str">
        <f t="shared" si="89"/>
        <v xml:space="preserve">    (U4)0x000003FFU,                                                           /* 24 RJT_4                                           */</v>
      </c>
    </row>
    <row r="161" spans="2:43">
      <c r="B161" s="131"/>
      <c r="C161" s="44">
        <f t="shared" si="90"/>
        <v>25</v>
      </c>
      <c r="D161" s="123">
        <f t="shared" ref="D161:AI161" si="119">IF(OR(D31=0,D31=1),1,0)</f>
        <v>0</v>
      </c>
      <c r="E161" s="123">
        <f t="shared" si="119"/>
        <v>0</v>
      </c>
      <c r="F161" s="123">
        <f t="shared" si="119"/>
        <v>0</v>
      </c>
      <c r="G161" s="123">
        <f t="shared" si="119"/>
        <v>0</v>
      </c>
      <c r="H161" s="123">
        <f t="shared" si="119"/>
        <v>0</v>
      </c>
      <c r="I161" s="123">
        <f t="shared" si="119"/>
        <v>0</v>
      </c>
      <c r="J161" s="123">
        <f t="shared" si="119"/>
        <v>0</v>
      </c>
      <c r="K161" s="123">
        <f t="shared" si="119"/>
        <v>0</v>
      </c>
      <c r="L161" s="123">
        <f t="shared" si="119"/>
        <v>0</v>
      </c>
      <c r="M161" s="123">
        <f t="shared" si="119"/>
        <v>0</v>
      </c>
      <c r="N161" s="123">
        <f t="shared" si="119"/>
        <v>0</v>
      </c>
      <c r="O161" s="123">
        <f t="shared" si="119"/>
        <v>0</v>
      </c>
      <c r="P161" s="123">
        <f t="shared" si="119"/>
        <v>0</v>
      </c>
      <c r="Q161" s="123">
        <f t="shared" si="119"/>
        <v>0</v>
      </c>
      <c r="R161" s="123">
        <f t="shared" si="119"/>
        <v>0</v>
      </c>
      <c r="S161" s="123">
        <f t="shared" si="119"/>
        <v>0</v>
      </c>
      <c r="T161" s="123">
        <f t="shared" si="119"/>
        <v>0</v>
      </c>
      <c r="U161" s="123">
        <f t="shared" si="119"/>
        <v>0</v>
      </c>
      <c r="V161" s="123">
        <f t="shared" si="119"/>
        <v>0</v>
      </c>
      <c r="W161" s="123">
        <f t="shared" si="119"/>
        <v>0</v>
      </c>
      <c r="X161" s="123">
        <f t="shared" si="119"/>
        <v>0</v>
      </c>
      <c r="Y161" s="123">
        <f t="shared" si="119"/>
        <v>0</v>
      </c>
      <c r="Z161" s="123">
        <f t="shared" si="119"/>
        <v>1</v>
      </c>
      <c r="AA161" s="123">
        <f t="shared" si="119"/>
        <v>1</v>
      </c>
      <c r="AB161" s="123">
        <f t="shared" si="119"/>
        <v>1</v>
      </c>
      <c r="AC161" s="123">
        <f t="shared" si="119"/>
        <v>1</v>
      </c>
      <c r="AD161" s="123">
        <f t="shared" si="119"/>
        <v>1</v>
      </c>
      <c r="AE161" s="123">
        <f t="shared" si="119"/>
        <v>1</v>
      </c>
      <c r="AF161" s="123">
        <f t="shared" si="119"/>
        <v>1</v>
      </c>
      <c r="AG161" s="123">
        <f t="shared" si="119"/>
        <v>1</v>
      </c>
      <c r="AH161" s="123">
        <f t="shared" si="119"/>
        <v>1</v>
      </c>
      <c r="AI161" s="123">
        <f t="shared" si="119"/>
        <v>1</v>
      </c>
      <c r="AJ161" s="44" t="str">
        <f t="shared" si="88"/>
        <v>RCV_4</v>
      </c>
      <c r="AK161" s="57"/>
      <c r="AL161" s="57" t="str">
        <f t="shared" si="92"/>
        <v>FF</v>
      </c>
      <c r="AM161" s="59" t="str">
        <f t="shared" si="93"/>
        <v>03</v>
      </c>
      <c r="AN161" s="59" t="str">
        <f t="shared" si="94"/>
        <v>00</v>
      </c>
      <c r="AO161" s="59" t="str">
        <f t="shared" si="95"/>
        <v>00</v>
      </c>
      <c r="AQ161" t="str">
        <f t="shared" si="89"/>
        <v xml:space="preserve">    (U4)0x000003FFU,                                                           /* 25 RCV_4                                           */</v>
      </c>
    </row>
    <row r="162" spans="2:43">
      <c r="B162" s="131"/>
      <c r="C162" s="44">
        <f t="shared" si="90"/>
        <v>26</v>
      </c>
      <c r="D162" s="123">
        <f t="shared" ref="D162:AI162" si="120">IF(OR(D32=0,D32=1),1,0)</f>
        <v>0</v>
      </c>
      <c r="E162" s="123">
        <f t="shared" si="120"/>
        <v>0</v>
      </c>
      <c r="F162" s="123">
        <f t="shared" si="120"/>
        <v>0</v>
      </c>
      <c r="G162" s="123">
        <f t="shared" si="120"/>
        <v>0</v>
      </c>
      <c r="H162" s="123">
        <f t="shared" si="120"/>
        <v>0</v>
      </c>
      <c r="I162" s="123">
        <f t="shared" si="120"/>
        <v>0</v>
      </c>
      <c r="J162" s="123">
        <f t="shared" si="120"/>
        <v>0</v>
      </c>
      <c r="K162" s="123">
        <f t="shared" si="120"/>
        <v>0</v>
      </c>
      <c r="L162" s="123">
        <f t="shared" si="120"/>
        <v>0</v>
      </c>
      <c r="M162" s="123">
        <f t="shared" si="120"/>
        <v>0</v>
      </c>
      <c r="N162" s="123">
        <f t="shared" si="120"/>
        <v>0</v>
      </c>
      <c r="O162" s="123">
        <f t="shared" si="120"/>
        <v>0</v>
      </c>
      <c r="P162" s="123">
        <f t="shared" si="120"/>
        <v>0</v>
      </c>
      <c r="Q162" s="123">
        <f t="shared" si="120"/>
        <v>0</v>
      </c>
      <c r="R162" s="123">
        <f t="shared" si="120"/>
        <v>0</v>
      </c>
      <c r="S162" s="123">
        <f t="shared" si="120"/>
        <v>0</v>
      </c>
      <c r="T162" s="123">
        <f t="shared" si="120"/>
        <v>0</v>
      </c>
      <c r="U162" s="123">
        <f t="shared" si="120"/>
        <v>0</v>
      </c>
      <c r="V162" s="123">
        <f t="shared" si="120"/>
        <v>0</v>
      </c>
      <c r="W162" s="123">
        <f t="shared" si="120"/>
        <v>0</v>
      </c>
      <c r="X162" s="123">
        <f t="shared" si="120"/>
        <v>0</v>
      </c>
      <c r="Y162" s="123">
        <f t="shared" si="120"/>
        <v>0</v>
      </c>
      <c r="Z162" s="123">
        <f t="shared" si="120"/>
        <v>1</v>
      </c>
      <c r="AA162" s="123">
        <f t="shared" si="120"/>
        <v>1</v>
      </c>
      <c r="AB162" s="123">
        <f t="shared" si="120"/>
        <v>1</v>
      </c>
      <c r="AC162" s="123">
        <f t="shared" si="120"/>
        <v>1</v>
      </c>
      <c r="AD162" s="123">
        <f t="shared" si="120"/>
        <v>1</v>
      </c>
      <c r="AE162" s="123">
        <f t="shared" si="120"/>
        <v>1</v>
      </c>
      <c r="AF162" s="123">
        <f t="shared" si="120"/>
        <v>1</v>
      </c>
      <c r="AG162" s="123">
        <f t="shared" si="120"/>
        <v>1</v>
      </c>
      <c r="AH162" s="123">
        <f t="shared" si="120"/>
        <v>1</v>
      </c>
      <c r="AI162" s="123">
        <f t="shared" si="120"/>
        <v>1</v>
      </c>
      <c r="AJ162" s="44" t="str">
        <f t="shared" si="88"/>
        <v>ANN_4</v>
      </c>
      <c r="AK162" s="57"/>
      <c r="AL162" s="57" t="str">
        <f t="shared" si="92"/>
        <v>FF</v>
      </c>
      <c r="AM162" s="59" t="str">
        <f t="shared" si="93"/>
        <v>03</v>
      </c>
      <c r="AN162" s="59" t="str">
        <f t="shared" si="94"/>
        <v>00</v>
      </c>
      <c r="AO162" s="59" t="str">
        <f t="shared" si="95"/>
        <v>00</v>
      </c>
      <c r="AQ162" t="str">
        <f t="shared" si="89"/>
        <v xml:space="preserve">    (U4)0x000003FFU,                                                           /* 26 ANN_4                                           */</v>
      </c>
    </row>
    <row r="163" spans="2:43">
      <c r="B163" s="131"/>
      <c r="C163" s="44">
        <f t="shared" si="90"/>
        <v>27</v>
      </c>
      <c r="D163" s="123">
        <f t="shared" ref="D163:AI163" si="121">IF(OR(D33=0,D33=1),1,0)</f>
        <v>0</v>
      </c>
      <c r="E163" s="123">
        <f t="shared" si="121"/>
        <v>0</v>
      </c>
      <c r="F163" s="123">
        <f t="shared" si="121"/>
        <v>0</v>
      </c>
      <c r="G163" s="123">
        <f t="shared" si="121"/>
        <v>0</v>
      </c>
      <c r="H163" s="123">
        <f t="shared" si="121"/>
        <v>0</v>
      </c>
      <c r="I163" s="123">
        <f t="shared" si="121"/>
        <v>0</v>
      </c>
      <c r="J163" s="123">
        <f t="shared" si="121"/>
        <v>0</v>
      </c>
      <c r="K163" s="123">
        <f t="shared" si="121"/>
        <v>0</v>
      </c>
      <c r="L163" s="123">
        <f t="shared" si="121"/>
        <v>0</v>
      </c>
      <c r="M163" s="123">
        <f t="shared" si="121"/>
        <v>0</v>
      </c>
      <c r="N163" s="123">
        <f t="shared" si="121"/>
        <v>0</v>
      </c>
      <c r="O163" s="123">
        <f t="shared" si="121"/>
        <v>0</v>
      </c>
      <c r="P163" s="123">
        <f t="shared" si="121"/>
        <v>0</v>
      </c>
      <c r="Q163" s="123">
        <f t="shared" si="121"/>
        <v>0</v>
      </c>
      <c r="R163" s="123">
        <f t="shared" si="121"/>
        <v>0</v>
      </c>
      <c r="S163" s="123">
        <f t="shared" si="121"/>
        <v>0</v>
      </c>
      <c r="T163" s="123">
        <f t="shared" si="121"/>
        <v>0</v>
      </c>
      <c r="U163" s="123">
        <f t="shared" si="121"/>
        <v>0</v>
      </c>
      <c r="V163" s="123">
        <f t="shared" si="121"/>
        <v>0</v>
      </c>
      <c r="W163" s="123">
        <f t="shared" si="121"/>
        <v>0</v>
      </c>
      <c r="X163" s="123">
        <f t="shared" si="121"/>
        <v>0</v>
      </c>
      <c r="Y163" s="123">
        <f t="shared" si="121"/>
        <v>0</v>
      </c>
      <c r="Z163" s="123">
        <f t="shared" si="121"/>
        <v>1</v>
      </c>
      <c r="AA163" s="123">
        <f t="shared" si="121"/>
        <v>1</v>
      </c>
      <c r="AB163" s="123">
        <f t="shared" si="121"/>
        <v>1</v>
      </c>
      <c r="AC163" s="123">
        <f t="shared" si="121"/>
        <v>1</v>
      </c>
      <c r="AD163" s="123">
        <f t="shared" si="121"/>
        <v>1</v>
      </c>
      <c r="AE163" s="123">
        <f t="shared" si="121"/>
        <v>1</v>
      </c>
      <c r="AF163" s="123">
        <f t="shared" si="121"/>
        <v>1</v>
      </c>
      <c r="AG163" s="123">
        <f t="shared" si="121"/>
        <v>1</v>
      </c>
      <c r="AH163" s="123">
        <f t="shared" si="121"/>
        <v>1</v>
      </c>
      <c r="AI163" s="123">
        <f t="shared" si="121"/>
        <v>1</v>
      </c>
      <c r="AJ163" s="44" t="str">
        <f t="shared" si="88"/>
        <v>RJT_4P5</v>
      </c>
      <c r="AK163" s="57"/>
      <c r="AL163" s="57" t="str">
        <f t="shared" si="92"/>
        <v>FF</v>
      </c>
      <c r="AM163" s="59" t="str">
        <f t="shared" si="93"/>
        <v>03</v>
      </c>
      <c r="AN163" s="59" t="str">
        <f t="shared" si="94"/>
        <v>00</v>
      </c>
      <c r="AO163" s="59" t="str">
        <f t="shared" si="95"/>
        <v>00</v>
      </c>
      <c r="AQ163" t="str">
        <f t="shared" si="89"/>
        <v xml:space="preserve">    (U4)0x000003FFU,                                                           /* 27 RJT_4P5                                         */</v>
      </c>
    </row>
    <row r="164" spans="2:43">
      <c r="B164" s="131"/>
      <c r="C164" s="44">
        <f t="shared" si="90"/>
        <v>28</v>
      </c>
      <c r="D164" s="123">
        <f t="shared" ref="D164:AI164" si="122">IF(OR(D34=0,D34=1),1,0)</f>
        <v>0</v>
      </c>
      <c r="E164" s="123">
        <f t="shared" si="122"/>
        <v>0</v>
      </c>
      <c r="F164" s="123">
        <f t="shared" si="122"/>
        <v>0</v>
      </c>
      <c r="G164" s="123">
        <f t="shared" si="122"/>
        <v>0</v>
      </c>
      <c r="H164" s="123">
        <f t="shared" si="122"/>
        <v>0</v>
      </c>
      <c r="I164" s="123">
        <f t="shared" si="122"/>
        <v>0</v>
      </c>
      <c r="J164" s="123">
        <f t="shared" si="122"/>
        <v>0</v>
      </c>
      <c r="K164" s="123">
        <f t="shared" si="122"/>
        <v>0</v>
      </c>
      <c r="L164" s="123">
        <f t="shared" si="122"/>
        <v>0</v>
      </c>
      <c r="M164" s="123">
        <f t="shared" si="122"/>
        <v>0</v>
      </c>
      <c r="N164" s="123">
        <f t="shared" si="122"/>
        <v>0</v>
      </c>
      <c r="O164" s="123">
        <f t="shared" si="122"/>
        <v>0</v>
      </c>
      <c r="P164" s="123">
        <f t="shared" si="122"/>
        <v>0</v>
      </c>
      <c r="Q164" s="123">
        <f t="shared" si="122"/>
        <v>0</v>
      </c>
      <c r="R164" s="123">
        <f t="shared" si="122"/>
        <v>0</v>
      </c>
      <c r="S164" s="123">
        <f t="shared" si="122"/>
        <v>0</v>
      </c>
      <c r="T164" s="123">
        <f t="shared" si="122"/>
        <v>0</v>
      </c>
      <c r="U164" s="123">
        <f t="shared" si="122"/>
        <v>0</v>
      </c>
      <c r="V164" s="123">
        <f t="shared" si="122"/>
        <v>0</v>
      </c>
      <c r="W164" s="123">
        <f t="shared" si="122"/>
        <v>0</v>
      </c>
      <c r="X164" s="123">
        <f t="shared" si="122"/>
        <v>0</v>
      </c>
      <c r="Y164" s="123">
        <f t="shared" si="122"/>
        <v>0</v>
      </c>
      <c r="Z164" s="123">
        <f t="shared" si="122"/>
        <v>1</v>
      </c>
      <c r="AA164" s="123">
        <f t="shared" si="122"/>
        <v>1</v>
      </c>
      <c r="AB164" s="123">
        <f t="shared" si="122"/>
        <v>1</v>
      </c>
      <c r="AC164" s="123">
        <f t="shared" si="122"/>
        <v>1</v>
      </c>
      <c r="AD164" s="123">
        <f t="shared" si="122"/>
        <v>1</v>
      </c>
      <c r="AE164" s="123">
        <f t="shared" si="122"/>
        <v>1</v>
      </c>
      <c r="AF164" s="123">
        <f t="shared" si="122"/>
        <v>1</v>
      </c>
      <c r="AG164" s="123">
        <f t="shared" si="122"/>
        <v>1</v>
      </c>
      <c r="AH164" s="123">
        <f t="shared" si="122"/>
        <v>1</v>
      </c>
      <c r="AI164" s="123">
        <f t="shared" si="122"/>
        <v>1</v>
      </c>
      <c r="AJ164" s="44" t="str">
        <f t="shared" si="88"/>
        <v>RCV_4P5</v>
      </c>
      <c r="AK164" s="57"/>
      <c r="AL164" s="57" t="str">
        <f t="shared" si="92"/>
        <v>FF</v>
      </c>
      <c r="AM164" s="59" t="str">
        <f t="shared" si="93"/>
        <v>03</v>
      </c>
      <c r="AN164" s="59" t="str">
        <f t="shared" si="94"/>
        <v>00</v>
      </c>
      <c r="AO164" s="59" t="str">
        <f t="shared" si="95"/>
        <v>00</v>
      </c>
      <c r="AQ164" t="str">
        <f t="shared" si="89"/>
        <v xml:space="preserve">    (U4)0x000003FFU,                                                           /* 28 RCV_4P5                                         */</v>
      </c>
    </row>
    <row r="165" spans="2:43">
      <c r="B165" s="131"/>
      <c r="C165" s="44">
        <f t="shared" si="90"/>
        <v>29</v>
      </c>
      <c r="D165" s="123">
        <f t="shared" ref="D165:AI165" si="123">IF(OR(D35=0,D35=1),1,0)</f>
        <v>0</v>
      </c>
      <c r="E165" s="123">
        <f t="shared" si="123"/>
        <v>0</v>
      </c>
      <c r="F165" s="123">
        <f t="shared" si="123"/>
        <v>0</v>
      </c>
      <c r="G165" s="123">
        <f t="shared" si="123"/>
        <v>0</v>
      </c>
      <c r="H165" s="123">
        <f t="shared" si="123"/>
        <v>0</v>
      </c>
      <c r="I165" s="123">
        <f t="shared" si="123"/>
        <v>0</v>
      </c>
      <c r="J165" s="123">
        <f t="shared" si="123"/>
        <v>0</v>
      </c>
      <c r="K165" s="123">
        <f t="shared" si="123"/>
        <v>0</v>
      </c>
      <c r="L165" s="123">
        <f t="shared" si="123"/>
        <v>0</v>
      </c>
      <c r="M165" s="123">
        <f t="shared" si="123"/>
        <v>0</v>
      </c>
      <c r="N165" s="123">
        <f t="shared" si="123"/>
        <v>0</v>
      </c>
      <c r="O165" s="123">
        <f t="shared" si="123"/>
        <v>0</v>
      </c>
      <c r="P165" s="123">
        <f t="shared" si="123"/>
        <v>0</v>
      </c>
      <c r="Q165" s="123">
        <f t="shared" si="123"/>
        <v>0</v>
      </c>
      <c r="R165" s="123">
        <f t="shared" si="123"/>
        <v>0</v>
      </c>
      <c r="S165" s="123">
        <f t="shared" si="123"/>
        <v>0</v>
      </c>
      <c r="T165" s="123">
        <f t="shared" si="123"/>
        <v>0</v>
      </c>
      <c r="U165" s="123">
        <f t="shared" si="123"/>
        <v>0</v>
      </c>
      <c r="V165" s="123">
        <f t="shared" si="123"/>
        <v>0</v>
      </c>
      <c r="W165" s="123">
        <f t="shared" si="123"/>
        <v>0</v>
      </c>
      <c r="X165" s="123">
        <f t="shared" si="123"/>
        <v>0</v>
      </c>
      <c r="Y165" s="123">
        <f t="shared" si="123"/>
        <v>0</v>
      </c>
      <c r="Z165" s="123">
        <f t="shared" si="123"/>
        <v>1</v>
      </c>
      <c r="AA165" s="123">
        <f t="shared" si="123"/>
        <v>1</v>
      </c>
      <c r="AB165" s="123">
        <f t="shared" si="123"/>
        <v>1</v>
      </c>
      <c r="AC165" s="123">
        <f t="shared" si="123"/>
        <v>1</v>
      </c>
      <c r="AD165" s="123">
        <f t="shared" si="123"/>
        <v>1</v>
      </c>
      <c r="AE165" s="123">
        <f t="shared" si="123"/>
        <v>1</v>
      </c>
      <c r="AF165" s="123">
        <f t="shared" si="123"/>
        <v>1</v>
      </c>
      <c r="AG165" s="123">
        <f t="shared" si="123"/>
        <v>1</v>
      </c>
      <c r="AH165" s="123">
        <f t="shared" si="123"/>
        <v>1</v>
      </c>
      <c r="AI165" s="123">
        <f t="shared" si="123"/>
        <v>1</v>
      </c>
      <c r="AJ165" s="44" t="str">
        <f t="shared" si="88"/>
        <v>ANN_4P5</v>
      </c>
      <c r="AK165" s="57"/>
      <c r="AL165" s="57" t="str">
        <f t="shared" si="92"/>
        <v>FF</v>
      </c>
      <c r="AM165" s="59" t="str">
        <f t="shared" si="93"/>
        <v>03</v>
      </c>
      <c r="AN165" s="59" t="str">
        <f t="shared" si="94"/>
        <v>00</v>
      </c>
      <c r="AO165" s="59" t="str">
        <f t="shared" si="95"/>
        <v>00</v>
      </c>
      <c r="AQ165" t="str">
        <f t="shared" si="89"/>
        <v xml:space="preserve">    (U4)0x000003FFU,                                                           /* 29 ANN_4P5                                         */</v>
      </c>
    </row>
    <row r="166" spans="2:43">
      <c r="B166" s="131"/>
      <c r="C166" s="44">
        <f t="shared" si="90"/>
        <v>30</v>
      </c>
      <c r="D166" s="123">
        <f t="shared" ref="D166:AI166" si="124">IF(OR(D36=0,D36=1),1,0)</f>
        <v>0</v>
      </c>
      <c r="E166" s="123">
        <f t="shared" si="124"/>
        <v>0</v>
      </c>
      <c r="F166" s="123">
        <f t="shared" si="124"/>
        <v>0</v>
      </c>
      <c r="G166" s="123">
        <f t="shared" si="124"/>
        <v>0</v>
      </c>
      <c r="H166" s="123">
        <f t="shared" si="124"/>
        <v>0</v>
      </c>
      <c r="I166" s="123">
        <f t="shared" si="124"/>
        <v>0</v>
      </c>
      <c r="J166" s="123">
        <f t="shared" si="124"/>
        <v>0</v>
      </c>
      <c r="K166" s="123">
        <f t="shared" si="124"/>
        <v>0</v>
      </c>
      <c r="L166" s="123">
        <f t="shared" si="124"/>
        <v>0</v>
      </c>
      <c r="M166" s="123">
        <f t="shared" si="124"/>
        <v>0</v>
      </c>
      <c r="N166" s="123">
        <f t="shared" si="124"/>
        <v>0</v>
      </c>
      <c r="O166" s="123">
        <f t="shared" si="124"/>
        <v>0</v>
      </c>
      <c r="P166" s="123">
        <f t="shared" si="124"/>
        <v>0</v>
      </c>
      <c r="Q166" s="123">
        <f t="shared" si="124"/>
        <v>0</v>
      </c>
      <c r="R166" s="123">
        <f t="shared" si="124"/>
        <v>0</v>
      </c>
      <c r="S166" s="123">
        <f t="shared" si="124"/>
        <v>0</v>
      </c>
      <c r="T166" s="123">
        <f t="shared" si="124"/>
        <v>0</v>
      </c>
      <c r="U166" s="123">
        <f t="shared" si="124"/>
        <v>0</v>
      </c>
      <c r="V166" s="123">
        <f t="shared" si="124"/>
        <v>0</v>
      </c>
      <c r="W166" s="123">
        <f t="shared" si="124"/>
        <v>0</v>
      </c>
      <c r="X166" s="123">
        <f t="shared" si="124"/>
        <v>0</v>
      </c>
      <c r="Y166" s="123">
        <f t="shared" si="124"/>
        <v>0</v>
      </c>
      <c r="Z166" s="123">
        <f t="shared" si="124"/>
        <v>1</v>
      </c>
      <c r="AA166" s="123">
        <f t="shared" si="124"/>
        <v>1</v>
      </c>
      <c r="AB166" s="123">
        <f t="shared" si="124"/>
        <v>1</v>
      </c>
      <c r="AC166" s="123">
        <f t="shared" si="124"/>
        <v>1</v>
      </c>
      <c r="AD166" s="123">
        <f t="shared" si="124"/>
        <v>1</v>
      </c>
      <c r="AE166" s="123">
        <f t="shared" si="124"/>
        <v>1</v>
      </c>
      <c r="AF166" s="123">
        <f t="shared" si="124"/>
        <v>1</v>
      </c>
      <c r="AG166" s="123">
        <f t="shared" si="124"/>
        <v>1</v>
      </c>
      <c r="AH166" s="123">
        <f t="shared" si="124"/>
        <v>1</v>
      </c>
      <c r="AI166" s="123">
        <f t="shared" si="124"/>
        <v>1</v>
      </c>
      <c r="AJ166" s="44" t="str">
        <f t="shared" si="88"/>
        <v>CONT_5</v>
      </c>
      <c r="AK166" s="57"/>
      <c r="AL166" s="57" t="str">
        <f t="shared" si="92"/>
        <v>FF</v>
      </c>
      <c r="AM166" s="59" t="str">
        <f t="shared" si="93"/>
        <v>03</v>
      </c>
      <c r="AN166" s="59" t="str">
        <f t="shared" si="94"/>
        <v>00</v>
      </c>
      <c r="AO166" s="59" t="str">
        <f t="shared" si="95"/>
        <v>00</v>
      </c>
      <c r="AQ166" t="str">
        <f t="shared" si="89"/>
        <v xml:space="preserve">    (U4)0x000003FFU,                                                           /* 30 CONT_5                                          */</v>
      </c>
    </row>
    <row r="167" spans="2:43">
      <c r="B167" s="131"/>
      <c r="C167" s="44">
        <f t="shared" si="90"/>
        <v>31</v>
      </c>
      <c r="D167" s="123">
        <f t="shared" ref="D167:AI167" si="125">IF(OR(D37=0,D37=1),1,0)</f>
        <v>0</v>
      </c>
      <c r="E167" s="123">
        <f t="shared" si="125"/>
        <v>0</v>
      </c>
      <c r="F167" s="123">
        <f t="shared" si="125"/>
        <v>0</v>
      </c>
      <c r="G167" s="123">
        <f t="shared" si="125"/>
        <v>0</v>
      </c>
      <c r="H167" s="123">
        <f t="shared" si="125"/>
        <v>0</v>
      </c>
      <c r="I167" s="123">
        <f t="shared" si="125"/>
        <v>0</v>
      </c>
      <c r="J167" s="123">
        <f t="shared" si="125"/>
        <v>0</v>
      </c>
      <c r="K167" s="123">
        <f t="shared" si="125"/>
        <v>0</v>
      </c>
      <c r="L167" s="123">
        <f t="shared" si="125"/>
        <v>0</v>
      </c>
      <c r="M167" s="123">
        <f t="shared" si="125"/>
        <v>0</v>
      </c>
      <c r="N167" s="123">
        <f t="shared" si="125"/>
        <v>0</v>
      </c>
      <c r="O167" s="123">
        <f t="shared" si="125"/>
        <v>0</v>
      </c>
      <c r="P167" s="123">
        <f t="shared" si="125"/>
        <v>0</v>
      </c>
      <c r="Q167" s="123">
        <f t="shared" si="125"/>
        <v>0</v>
      </c>
      <c r="R167" s="123">
        <f t="shared" si="125"/>
        <v>0</v>
      </c>
      <c r="S167" s="123">
        <f t="shared" si="125"/>
        <v>0</v>
      </c>
      <c r="T167" s="123">
        <f t="shared" si="125"/>
        <v>0</v>
      </c>
      <c r="U167" s="123">
        <f t="shared" si="125"/>
        <v>0</v>
      </c>
      <c r="V167" s="123">
        <f t="shared" si="125"/>
        <v>0</v>
      </c>
      <c r="W167" s="123">
        <f t="shared" si="125"/>
        <v>0</v>
      </c>
      <c r="X167" s="123">
        <f t="shared" si="125"/>
        <v>0</v>
      </c>
      <c r="Y167" s="123">
        <f t="shared" si="125"/>
        <v>0</v>
      </c>
      <c r="Z167" s="123">
        <f t="shared" si="125"/>
        <v>1</v>
      </c>
      <c r="AA167" s="123">
        <f t="shared" si="125"/>
        <v>1</v>
      </c>
      <c r="AB167" s="123">
        <f t="shared" si="125"/>
        <v>1</v>
      </c>
      <c r="AC167" s="123">
        <f t="shared" si="125"/>
        <v>1</v>
      </c>
      <c r="AD167" s="123">
        <f t="shared" si="125"/>
        <v>1</v>
      </c>
      <c r="AE167" s="123">
        <f t="shared" si="125"/>
        <v>1</v>
      </c>
      <c r="AF167" s="123">
        <f t="shared" si="125"/>
        <v>1</v>
      </c>
      <c r="AG167" s="123">
        <f t="shared" si="125"/>
        <v>1</v>
      </c>
      <c r="AH167" s="123">
        <f t="shared" si="125"/>
        <v>1</v>
      </c>
      <c r="AI167" s="123">
        <f t="shared" si="125"/>
        <v>1</v>
      </c>
      <c r="AJ167" s="44" t="str">
        <f t="shared" si="88"/>
        <v>TEN_5</v>
      </c>
      <c r="AK167" s="57"/>
      <c r="AL167" s="57" t="str">
        <f t="shared" si="92"/>
        <v>FF</v>
      </c>
      <c r="AM167" s="59" t="str">
        <f t="shared" si="93"/>
        <v>03</v>
      </c>
      <c r="AN167" s="59" t="str">
        <f t="shared" si="94"/>
        <v>00</v>
      </c>
      <c r="AO167" s="59" t="str">
        <f t="shared" si="95"/>
        <v>00</v>
      </c>
      <c r="AQ167" t="str">
        <f t="shared" si="89"/>
        <v xml:space="preserve">    (U4)0x000003FFU,                                                           /* 31 TEN_5                                           */</v>
      </c>
    </row>
    <row r="168" spans="2:43">
      <c r="B168" s="131"/>
      <c r="C168" s="44">
        <f t="shared" si="90"/>
        <v>32</v>
      </c>
      <c r="D168" s="123">
        <f t="shared" ref="D168:AI168" si="126">IF(OR(D38=0,D38=1),1,0)</f>
        <v>0</v>
      </c>
      <c r="E168" s="123">
        <f t="shared" si="126"/>
        <v>0</v>
      </c>
      <c r="F168" s="123">
        <f t="shared" si="126"/>
        <v>0</v>
      </c>
      <c r="G168" s="123">
        <f t="shared" si="126"/>
        <v>0</v>
      </c>
      <c r="H168" s="123">
        <f t="shared" si="126"/>
        <v>0</v>
      </c>
      <c r="I168" s="123">
        <f t="shared" si="126"/>
        <v>0</v>
      </c>
      <c r="J168" s="123">
        <f t="shared" si="126"/>
        <v>0</v>
      </c>
      <c r="K168" s="123">
        <f t="shared" si="126"/>
        <v>0</v>
      </c>
      <c r="L168" s="123">
        <f t="shared" si="126"/>
        <v>0</v>
      </c>
      <c r="M168" s="123">
        <f t="shared" si="126"/>
        <v>0</v>
      </c>
      <c r="N168" s="123">
        <f t="shared" si="126"/>
        <v>0</v>
      </c>
      <c r="O168" s="123">
        <f t="shared" si="126"/>
        <v>0</v>
      </c>
      <c r="P168" s="123">
        <f t="shared" si="126"/>
        <v>0</v>
      </c>
      <c r="Q168" s="123">
        <f t="shared" si="126"/>
        <v>0</v>
      </c>
      <c r="R168" s="123">
        <f t="shared" si="126"/>
        <v>0</v>
      </c>
      <c r="S168" s="123">
        <f t="shared" si="126"/>
        <v>0</v>
      </c>
      <c r="T168" s="123">
        <f t="shared" si="126"/>
        <v>0</v>
      </c>
      <c r="U168" s="123">
        <f t="shared" si="126"/>
        <v>0</v>
      </c>
      <c r="V168" s="123">
        <f t="shared" si="126"/>
        <v>0</v>
      </c>
      <c r="W168" s="123">
        <f t="shared" si="126"/>
        <v>0</v>
      </c>
      <c r="X168" s="123">
        <f t="shared" si="126"/>
        <v>0</v>
      </c>
      <c r="Y168" s="123">
        <f t="shared" si="126"/>
        <v>0</v>
      </c>
      <c r="Z168" s="123">
        <f t="shared" si="126"/>
        <v>1</v>
      </c>
      <c r="AA168" s="123">
        <f t="shared" si="126"/>
        <v>1</v>
      </c>
      <c r="AB168" s="123">
        <f t="shared" si="126"/>
        <v>1</v>
      </c>
      <c r="AC168" s="123">
        <f t="shared" si="126"/>
        <v>1</v>
      </c>
      <c r="AD168" s="123">
        <f t="shared" si="126"/>
        <v>1</v>
      </c>
      <c r="AE168" s="123">
        <f t="shared" si="126"/>
        <v>1</v>
      </c>
      <c r="AF168" s="123">
        <f t="shared" si="126"/>
        <v>1</v>
      </c>
      <c r="AG168" s="123">
        <f t="shared" si="126"/>
        <v>1</v>
      </c>
      <c r="AH168" s="123">
        <f t="shared" si="126"/>
        <v>1</v>
      </c>
      <c r="AI168" s="123">
        <f t="shared" si="126"/>
        <v>1</v>
      </c>
      <c r="AJ168" s="44" t="str">
        <f t="shared" ref="AJ168:AJ198" si="127">IF(AJ38&lt;&gt;"",AJ38,"")</f>
        <v>TEN_6</v>
      </c>
      <c r="AK168" s="57"/>
      <c r="AL168" s="57" t="str">
        <f t="shared" si="92"/>
        <v>FF</v>
      </c>
      <c r="AM168" s="59" t="str">
        <f t="shared" si="93"/>
        <v>03</v>
      </c>
      <c r="AN168" s="59" t="str">
        <f t="shared" si="94"/>
        <v>00</v>
      </c>
      <c r="AO168" s="59" t="str">
        <f t="shared" si="95"/>
        <v>00</v>
      </c>
      <c r="AQ168" t="str">
        <f t="shared" si="89"/>
        <v xml:space="preserve">    (U4)0x000003FFU,                                                           /* 32 TEN_6                                           */</v>
      </c>
    </row>
    <row r="169" spans="2:43">
      <c r="B169" s="131"/>
      <c r="C169" s="44">
        <f t="shared" ref="C169:C198" si="128">IF(C39&lt;&gt;"",C39,"")</f>
        <v>33</v>
      </c>
      <c r="D169" s="123">
        <f t="shared" ref="D169:AI169" si="129">IF(OR(D39=0,D39=1),1,0)</f>
        <v>0</v>
      </c>
      <c r="E169" s="123">
        <f t="shared" si="129"/>
        <v>0</v>
      </c>
      <c r="F169" s="123">
        <f t="shared" si="129"/>
        <v>0</v>
      </c>
      <c r="G169" s="123">
        <f t="shared" si="129"/>
        <v>0</v>
      </c>
      <c r="H169" s="123">
        <f t="shared" si="129"/>
        <v>0</v>
      </c>
      <c r="I169" s="123">
        <f t="shared" si="129"/>
        <v>0</v>
      </c>
      <c r="J169" s="123">
        <f t="shared" si="129"/>
        <v>0</v>
      </c>
      <c r="K169" s="123">
        <f t="shared" si="129"/>
        <v>0</v>
      </c>
      <c r="L169" s="123">
        <f t="shared" si="129"/>
        <v>0</v>
      </c>
      <c r="M169" s="123">
        <f t="shared" si="129"/>
        <v>0</v>
      </c>
      <c r="N169" s="123">
        <f t="shared" si="129"/>
        <v>0</v>
      </c>
      <c r="O169" s="123">
        <f t="shared" si="129"/>
        <v>0</v>
      </c>
      <c r="P169" s="123">
        <f t="shared" si="129"/>
        <v>0</v>
      </c>
      <c r="Q169" s="123">
        <f t="shared" si="129"/>
        <v>0</v>
      </c>
      <c r="R169" s="123">
        <f t="shared" si="129"/>
        <v>0</v>
      </c>
      <c r="S169" s="123">
        <f t="shared" si="129"/>
        <v>0</v>
      </c>
      <c r="T169" s="123">
        <f t="shared" si="129"/>
        <v>0</v>
      </c>
      <c r="U169" s="123">
        <f t="shared" si="129"/>
        <v>0</v>
      </c>
      <c r="V169" s="123">
        <f t="shared" si="129"/>
        <v>0</v>
      </c>
      <c r="W169" s="123">
        <f t="shared" si="129"/>
        <v>0</v>
      </c>
      <c r="X169" s="123">
        <f t="shared" si="129"/>
        <v>0</v>
      </c>
      <c r="Y169" s="123">
        <f t="shared" si="129"/>
        <v>0</v>
      </c>
      <c r="Z169" s="123">
        <f t="shared" si="129"/>
        <v>1</v>
      </c>
      <c r="AA169" s="123">
        <f t="shared" si="129"/>
        <v>1</v>
      </c>
      <c r="AB169" s="123">
        <f t="shared" si="129"/>
        <v>1</v>
      </c>
      <c r="AC169" s="123">
        <f t="shared" si="129"/>
        <v>1</v>
      </c>
      <c r="AD169" s="123">
        <f t="shared" si="129"/>
        <v>1</v>
      </c>
      <c r="AE169" s="123">
        <f t="shared" si="129"/>
        <v>1</v>
      </c>
      <c r="AF169" s="123">
        <f t="shared" si="129"/>
        <v>1</v>
      </c>
      <c r="AG169" s="123">
        <f t="shared" si="129"/>
        <v>1</v>
      </c>
      <c r="AH169" s="123">
        <f t="shared" si="129"/>
        <v>1</v>
      </c>
      <c r="AI169" s="123">
        <f t="shared" si="129"/>
        <v>1</v>
      </c>
      <c r="AJ169" s="44" t="str">
        <f t="shared" si="127"/>
        <v>TEN_6P5</v>
      </c>
      <c r="AK169" s="57"/>
      <c r="AL169" s="57" t="str">
        <f t="shared" si="92"/>
        <v>FF</v>
      </c>
      <c r="AM169" s="59" t="str">
        <f t="shared" si="93"/>
        <v>03</v>
      </c>
      <c r="AN169" s="59" t="str">
        <f t="shared" si="94"/>
        <v>00</v>
      </c>
      <c r="AO169" s="59" t="str">
        <f t="shared" si="95"/>
        <v>00</v>
      </c>
      <c r="AQ169" t="str">
        <f t="shared" si="89"/>
        <v xml:space="preserve">    (U4)0x000003FFU,                                                           /* 33 TEN_6P5                                         */</v>
      </c>
    </row>
    <row r="170" spans="2:43">
      <c r="B170" s="131"/>
      <c r="C170" s="44">
        <f t="shared" si="128"/>
        <v>34</v>
      </c>
      <c r="D170" s="123">
        <f t="shared" ref="D170:AI170" si="130">IF(OR(D40=0,D40=1),1,0)</f>
        <v>0</v>
      </c>
      <c r="E170" s="123">
        <f t="shared" si="130"/>
        <v>0</v>
      </c>
      <c r="F170" s="123">
        <f t="shared" si="130"/>
        <v>0</v>
      </c>
      <c r="G170" s="123">
        <f t="shared" si="130"/>
        <v>0</v>
      </c>
      <c r="H170" s="123">
        <f t="shared" si="130"/>
        <v>0</v>
      </c>
      <c r="I170" s="123">
        <f t="shared" si="130"/>
        <v>0</v>
      </c>
      <c r="J170" s="123">
        <f t="shared" si="130"/>
        <v>0</v>
      </c>
      <c r="K170" s="123">
        <f t="shared" si="130"/>
        <v>0</v>
      </c>
      <c r="L170" s="123">
        <f t="shared" si="130"/>
        <v>0</v>
      </c>
      <c r="M170" s="123">
        <f t="shared" si="130"/>
        <v>0</v>
      </c>
      <c r="N170" s="123">
        <f t="shared" si="130"/>
        <v>0</v>
      </c>
      <c r="O170" s="123">
        <f t="shared" si="130"/>
        <v>0</v>
      </c>
      <c r="P170" s="123">
        <f t="shared" si="130"/>
        <v>0</v>
      </c>
      <c r="Q170" s="123">
        <f t="shared" si="130"/>
        <v>0</v>
      </c>
      <c r="R170" s="123">
        <f t="shared" si="130"/>
        <v>0</v>
      </c>
      <c r="S170" s="123">
        <f t="shared" si="130"/>
        <v>0</v>
      </c>
      <c r="T170" s="123">
        <f t="shared" si="130"/>
        <v>0</v>
      </c>
      <c r="U170" s="123">
        <f t="shared" si="130"/>
        <v>0</v>
      </c>
      <c r="V170" s="123">
        <f t="shared" si="130"/>
        <v>0</v>
      </c>
      <c r="W170" s="123">
        <f t="shared" si="130"/>
        <v>0</v>
      </c>
      <c r="X170" s="123">
        <f t="shared" si="130"/>
        <v>0</v>
      </c>
      <c r="Y170" s="123">
        <f t="shared" si="130"/>
        <v>0</v>
      </c>
      <c r="Z170" s="123">
        <f t="shared" si="130"/>
        <v>1</v>
      </c>
      <c r="AA170" s="123">
        <f t="shared" si="130"/>
        <v>1</v>
      </c>
      <c r="AB170" s="123">
        <f t="shared" si="130"/>
        <v>1</v>
      </c>
      <c r="AC170" s="123">
        <f t="shared" si="130"/>
        <v>1</v>
      </c>
      <c r="AD170" s="123">
        <f t="shared" si="130"/>
        <v>1</v>
      </c>
      <c r="AE170" s="123">
        <f t="shared" si="130"/>
        <v>1</v>
      </c>
      <c r="AF170" s="123">
        <f t="shared" si="130"/>
        <v>1</v>
      </c>
      <c r="AG170" s="123">
        <f t="shared" si="130"/>
        <v>1</v>
      </c>
      <c r="AH170" s="123">
        <f t="shared" si="130"/>
        <v>1</v>
      </c>
      <c r="AI170" s="123">
        <f t="shared" si="130"/>
        <v>1</v>
      </c>
      <c r="AJ170" s="44" t="str">
        <f t="shared" si="127"/>
        <v>TEN_7</v>
      </c>
      <c r="AK170" s="57"/>
      <c r="AL170" s="57" t="str">
        <f t="shared" si="92"/>
        <v>FF</v>
      </c>
      <c r="AM170" s="59" t="str">
        <f t="shared" si="93"/>
        <v>03</v>
      </c>
      <c r="AN170" s="59" t="str">
        <f t="shared" si="94"/>
        <v>00</v>
      </c>
      <c r="AO170" s="59" t="str">
        <f t="shared" si="95"/>
        <v>00</v>
      </c>
      <c r="AQ170" t="str">
        <f t="shared" si="89"/>
        <v xml:space="preserve">    (U4)0x000003FFU,                                                           /* 34 TEN_7                                           */</v>
      </c>
    </row>
    <row r="171" spans="2:43">
      <c r="B171" s="131"/>
      <c r="C171" s="44">
        <f t="shared" si="128"/>
        <v>35</v>
      </c>
      <c r="D171" s="123">
        <f t="shared" ref="D171:AI171" si="131">IF(OR(D41=0,D41=1),1,0)</f>
        <v>0</v>
      </c>
      <c r="E171" s="123">
        <f t="shared" si="131"/>
        <v>0</v>
      </c>
      <c r="F171" s="123">
        <f t="shared" si="131"/>
        <v>0</v>
      </c>
      <c r="G171" s="123">
        <f t="shared" si="131"/>
        <v>0</v>
      </c>
      <c r="H171" s="123">
        <f t="shared" si="131"/>
        <v>0</v>
      </c>
      <c r="I171" s="123">
        <f t="shared" si="131"/>
        <v>0</v>
      </c>
      <c r="J171" s="123">
        <f t="shared" si="131"/>
        <v>0</v>
      </c>
      <c r="K171" s="123">
        <f t="shared" si="131"/>
        <v>0</v>
      </c>
      <c r="L171" s="123">
        <f t="shared" si="131"/>
        <v>0</v>
      </c>
      <c r="M171" s="123">
        <f t="shared" si="131"/>
        <v>0</v>
      </c>
      <c r="N171" s="123">
        <f t="shared" si="131"/>
        <v>0</v>
      </c>
      <c r="O171" s="123">
        <f t="shared" si="131"/>
        <v>0</v>
      </c>
      <c r="P171" s="123">
        <f t="shared" si="131"/>
        <v>0</v>
      </c>
      <c r="Q171" s="123">
        <f t="shared" si="131"/>
        <v>0</v>
      </c>
      <c r="R171" s="123">
        <f t="shared" si="131"/>
        <v>0</v>
      </c>
      <c r="S171" s="123">
        <f t="shared" si="131"/>
        <v>0</v>
      </c>
      <c r="T171" s="123">
        <f t="shared" si="131"/>
        <v>0</v>
      </c>
      <c r="U171" s="123">
        <f t="shared" si="131"/>
        <v>0</v>
      </c>
      <c r="V171" s="123">
        <f t="shared" si="131"/>
        <v>0</v>
      </c>
      <c r="W171" s="123">
        <f t="shared" si="131"/>
        <v>0</v>
      </c>
      <c r="X171" s="123">
        <f t="shared" si="131"/>
        <v>0</v>
      </c>
      <c r="Y171" s="123">
        <f t="shared" si="131"/>
        <v>0</v>
      </c>
      <c r="Z171" s="123">
        <f t="shared" si="131"/>
        <v>1</v>
      </c>
      <c r="AA171" s="123">
        <f t="shared" si="131"/>
        <v>1</v>
      </c>
      <c r="AB171" s="123">
        <f t="shared" si="131"/>
        <v>1</v>
      </c>
      <c r="AC171" s="123">
        <f t="shared" si="131"/>
        <v>1</v>
      </c>
      <c r="AD171" s="123">
        <f t="shared" si="131"/>
        <v>1</v>
      </c>
      <c r="AE171" s="123">
        <f t="shared" si="131"/>
        <v>1</v>
      </c>
      <c r="AF171" s="123">
        <f t="shared" si="131"/>
        <v>1</v>
      </c>
      <c r="AG171" s="123">
        <f t="shared" si="131"/>
        <v>1</v>
      </c>
      <c r="AH171" s="123">
        <f t="shared" si="131"/>
        <v>1</v>
      </c>
      <c r="AI171" s="123">
        <f t="shared" si="131"/>
        <v>1</v>
      </c>
      <c r="AJ171" s="44" t="str">
        <f t="shared" si="127"/>
        <v>TEN_8</v>
      </c>
      <c r="AK171" s="57"/>
      <c r="AL171" s="57" t="str">
        <f t="shared" si="92"/>
        <v>FF</v>
      </c>
      <c r="AM171" s="59" t="str">
        <f t="shared" si="93"/>
        <v>03</v>
      </c>
      <c r="AN171" s="59" t="str">
        <f t="shared" si="94"/>
        <v>00</v>
      </c>
      <c r="AO171" s="59" t="str">
        <f t="shared" si="95"/>
        <v>00</v>
      </c>
      <c r="AQ171" t="str">
        <f t="shared" si="89"/>
        <v xml:space="preserve">    (U4)0x000003FFU                                                            /* 35 TEN_8                                           */</v>
      </c>
    </row>
    <row r="172" spans="2:43">
      <c r="B172" s="131"/>
      <c r="C172" s="44">
        <f t="shared" si="128"/>
        <v>36</v>
      </c>
      <c r="D172" s="123">
        <f t="shared" ref="D172:AI172" si="132">IF(OR(D42=0,D42=1),1,0)</f>
        <v>0</v>
      </c>
      <c r="E172" s="123">
        <f t="shared" si="132"/>
        <v>0</v>
      </c>
      <c r="F172" s="123">
        <f t="shared" si="132"/>
        <v>0</v>
      </c>
      <c r="G172" s="123">
        <f t="shared" si="132"/>
        <v>0</v>
      </c>
      <c r="H172" s="123">
        <f t="shared" si="132"/>
        <v>0</v>
      </c>
      <c r="I172" s="123">
        <f t="shared" si="132"/>
        <v>0</v>
      </c>
      <c r="J172" s="123">
        <f t="shared" si="132"/>
        <v>0</v>
      </c>
      <c r="K172" s="123">
        <f t="shared" si="132"/>
        <v>0</v>
      </c>
      <c r="L172" s="123">
        <f t="shared" si="132"/>
        <v>0</v>
      </c>
      <c r="M172" s="123">
        <f t="shared" si="132"/>
        <v>0</v>
      </c>
      <c r="N172" s="123">
        <f t="shared" si="132"/>
        <v>0</v>
      </c>
      <c r="O172" s="123">
        <f t="shared" si="132"/>
        <v>0</v>
      </c>
      <c r="P172" s="123">
        <f t="shared" si="132"/>
        <v>0</v>
      </c>
      <c r="Q172" s="123">
        <f t="shared" si="132"/>
        <v>0</v>
      </c>
      <c r="R172" s="123">
        <f t="shared" si="132"/>
        <v>0</v>
      </c>
      <c r="S172" s="123">
        <f t="shared" si="132"/>
        <v>0</v>
      </c>
      <c r="T172" s="123">
        <f t="shared" si="132"/>
        <v>0</v>
      </c>
      <c r="U172" s="123">
        <f t="shared" si="132"/>
        <v>0</v>
      </c>
      <c r="V172" s="123">
        <f t="shared" si="132"/>
        <v>0</v>
      </c>
      <c r="W172" s="123">
        <f t="shared" si="132"/>
        <v>0</v>
      </c>
      <c r="X172" s="123">
        <f t="shared" si="132"/>
        <v>0</v>
      </c>
      <c r="Y172" s="123">
        <f t="shared" si="132"/>
        <v>0</v>
      </c>
      <c r="Z172" s="123">
        <f t="shared" si="132"/>
        <v>0</v>
      </c>
      <c r="AA172" s="123">
        <f t="shared" si="132"/>
        <v>0</v>
      </c>
      <c r="AB172" s="123">
        <f t="shared" si="132"/>
        <v>0</v>
      </c>
      <c r="AC172" s="123">
        <f t="shared" si="132"/>
        <v>0</v>
      </c>
      <c r="AD172" s="123">
        <f t="shared" si="132"/>
        <v>0</v>
      </c>
      <c r="AE172" s="123">
        <f t="shared" si="132"/>
        <v>0</v>
      </c>
      <c r="AF172" s="123">
        <f t="shared" si="132"/>
        <v>0</v>
      </c>
      <c r="AG172" s="123">
        <f t="shared" si="132"/>
        <v>0</v>
      </c>
      <c r="AH172" s="123">
        <f t="shared" si="132"/>
        <v>0</v>
      </c>
      <c r="AI172" s="123">
        <f t="shared" si="132"/>
        <v>0</v>
      </c>
      <c r="AJ172" s="44" t="str">
        <f t="shared" si="127"/>
        <v/>
      </c>
      <c r="AK172" s="57"/>
      <c r="AL172" s="57" t="str">
        <f t="shared" si="92"/>
        <v>00</v>
      </c>
      <c r="AM172" s="59" t="str">
        <f t="shared" si="93"/>
        <v>00</v>
      </c>
      <c r="AN172" s="59" t="str">
        <f t="shared" si="94"/>
        <v>00</v>
      </c>
      <c r="AO172" s="59" t="str">
        <f t="shared" si="95"/>
        <v>00</v>
      </c>
      <c r="AQ172" t="str">
        <f t="shared" si="89"/>
        <v/>
      </c>
    </row>
    <row r="173" spans="2:43">
      <c r="B173" s="131"/>
      <c r="C173" s="44">
        <f t="shared" si="128"/>
        <v>37</v>
      </c>
      <c r="D173" s="123">
        <f t="shared" ref="D173:AI173" si="133">IF(OR(D43=0,D43=1),1,0)</f>
        <v>0</v>
      </c>
      <c r="E173" s="123">
        <f t="shared" si="133"/>
        <v>0</v>
      </c>
      <c r="F173" s="123">
        <f t="shared" si="133"/>
        <v>0</v>
      </c>
      <c r="G173" s="123">
        <f t="shared" si="133"/>
        <v>0</v>
      </c>
      <c r="H173" s="123">
        <f t="shared" si="133"/>
        <v>0</v>
      </c>
      <c r="I173" s="123">
        <f t="shared" si="133"/>
        <v>0</v>
      </c>
      <c r="J173" s="123">
        <f t="shared" si="133"/>
        <v>0</v>
      </c>
      <c r="K173" s="123">
        <f t="shared" si="133"/>
        <v>0</v>
      </c>
      <c r="L173" s="123">
        <f t="shared" si="133"/>
        <v>0</v>
      </c>
      <c r="M173" s="123">
        <f t="shared" si="133"/>
        <v>0</v>
      </c>
      <c r="N173" s="123">
        <f t="shared" si="133"/>
        <v>0</v>
      </c>
      <c r="O173" s="123">
        <f t="shared" si="133"/>
        <v>0</v>
      </c>
      <c r="P173" s="123">
        <f t="shared" si="133"/>
        <v>0</v>
      </c>
      <c r="Q173" s="123">
        <f t="shared" si="133"/>
        <v>0</v>
      </c>
      <c r="R173" s="123">
        <f t="shared" si="133"/>
        <v>0</v>
      </c>
      <c r="S173" s="123">
        <f t="shared" si="133"/>
        <v>0</v>
      </c>
      <c r="T173" s="123">
        <f t="shared" si="133"/>
        <v>0</v>
      </c>
      <c r="U173" s="123">
        <f t="shared" si="133"/>
        <v>0</v>
      </c>
      <c r="V173" s="123">
        <f t="shared" si="133"/>
        <v>0</v>
      </c>
      <c r="W173" s="123">
        <f t="shared" si="133"/>
        <v>0</v>
      </c>
      <c r="X173" s="123">
        <f t="shared" si="133"/>
        <v>0</v>
      </c>
      <c r="Y173" s="123">
        <f t="shared" si="133"/>
        <v>0</v>
      </c>
      <c r="Z173" s="123">
        <f t="shared" si="133"/>
        <v>0</v>
      </c>
      <c r="AA173" s="123">
        <f t="shared" si="133"/>
        <v>0</v>
      </c>
      <c r="AB173" s="123">
        <f t="shared" si="133"/>
        <v>0</v>
      </c>
      <c r="AC173" s="123">
        <f t="shared" si="133"/>
        <v>0</v>
      </c>
      <c r="AD173" s="123">
        <f t="shared" si="133"/>
        <v>0</v>
      </c>
      <c r="AE173" s="123">
        <f t="shared" si="133"/>
        <v>0</v>
      </c>
      <c r="AF173" s="123">
        <f t="shared" si="133"/>
        <v>0</v>
      </c>
      <c r="AG173" s="123">
        <f t="shared" si="133"/>
        <v>0</v>
      </c>
      <c r="AH173" s="123">
        <f t="shared" si="133"/>
        <v>0</v>
      </c>
      <c r="AI173" s="123">
        <f t="shared" si="133"/>
        <v>0</v>
      </c>
      <c r="AJ173" s="44" t="str">
        <f t="shared" si="127"/>
        <v/>
      </c>
      <c r="AK173" s="57"/>
      <c r="AL173" s="57" t="str">
        <f t="shared" si="92"/>
        <v>00</v>
      </c>
      <c r="AM173" s="59" t="str">
        <f t="shared" si="93"/>
        <v>00</v>
      </c>
      <c r="AN173" s="59" t="str">
        <f t="shared" si="94"/>
        <v>00</v>
      </c>
      <c r="AO173" s="59" t="str">
        <f t="shared" si="95"/>
        <v>00</v>
      </c>
      <c r="AQ173" t="str">
        <f t="shared" si="89"/>
        <v/>
      </c>
    </row>
    <row r="174" spans="2:43">
      <c r="B174" s="131"/>
      <c r="C174" s="44">
        <f t="shared" si="128"/>
        <v>38</v>
      </c>
      <c r="D174" s="123">
        <f t="shared" ref="D174:AI174" si="134">IF(OR(D44=0,D44=1),1,0)</f>
        <v>0</v>
      </c>
      <c r="E174" s="123">
        <f t="shared" si="134"/>
        <v>0</v>
      </c>
      <c r="F174" s="123">
        <f t="shared" si="134"/>
        <v>0</v>
      </c>
      <c r="G174" s="123">
        <f t="shared" si="134"/>
        <v>0</v>
      </c>
      <c r="H174" s="123">
        <f t="shared" si="134"/>
        <v>0</v>
      </c>
      <c r="I174" s="123">
        <f t="shared" si="134"/>
        <v>0</v>
      </c>
      <c r="J174" s="123">
        <f t="shared" si="134"/>
        <v>0</v>
      </c>
      <c r="K174" s="123">
        <f t="shared" si="134"/>
        <v>0</v>
      </c>
      <c r="L174" s="123">
        <f t="shared" si="134"/>
        <v>0</v>
      </c>
      <c r="M174" s="123">
        <f t="shared" si="134"/>
        <v>0</v>
      </c>
      <c r="N174" s="123">
        <f t="shared" si="134"/>
        <v>0</v>
      </c>
      <c r="O174" s="123">
        <f t="shared" si="134"/>
        <v>0</v>
      </c>
      <c r="P174" s="123">
        <f t="shared" si="134"/>
        <v>0</v>
      </c>
      <c r="Q174" s="123">
        <f t="shared" si="134"/>
        <v>0</v>
      </c>
      <c r="R174" s="123">
        <f t="shared" si="134"/>
        <v>0</v>
      </c>
      <c r="S174" s="123">
        <f t="shared" si="134"/>
        <v>0</v>
      </c>
      <c r="T174" s="123">
        <f t="shared" si="134"/>
        <v>0</v>
      </c>
      <c r="U174" s="123">
        <f t="shared" si="134"/>
        <v>0</v>
      </c>
      <c r="V174" s="123">
        <f t="shared" si="134"/>
        <v>0</v>
      </c>
      <c r="W174" s="123">
        <f t="shared" si="134"/>
        <v>0</v>
      </c>
      <c r="X174" s="123">
        <f t="shared" si="134"/>
        <v>0</v>
      </c>
      <c r="Y174" s="123">
        <f t="shared" si="134"/>
        <v>0</v>
      </c>
      <c r="Z174" s="123">
        <f t="shared" si="134"/>
        <v>0</v>
      </c>
      <c r="AA174" s="123">
        <f t="shared" si="134"/>
        <v>0</v>
      </c>
      <c r="AB174" s="123">
        <f t="shared" si="134"/>
        <v>0</v>
      </c>
      <c r="AC174" s="123">
        <f t="shared" si="134"/>
        <v>0</v>
      </c>
      <c r="AD174" s="123">
        <f t="shared" si="134"/>
        <v>0</v>
      </c>
      <c r="AE174" s="123">
        <f t="shared" si="134"/>
        <v>0</v>
      </c>
      <c r="AF174" s="123">
        <f t="shared" si="134"/>
        <v>0</v>
      </c>
      <c r="AG174" s="123">
        <f t="shared" si="134"/>
        <v>0</v>
      </c>
      <c r="AH174" s="123">
        <f t="shared" si="134"/>
        <v>0</v>
      </c>
      <c r="AI174" s="123">
        <f t="shared" si="134"/>
        <v>0</v>
      </c>
      <c r="AJ174" s="44" t="str">
        <f t="shared" si="127"/>
        <v/>
      </c>
      <c r="AK174" s="57"/>
      <c r="AL174" s="57" t="str">
        <f t="shared" si="92"/>
        <v>00</v>
      </c>
      <c r="AM174" s="59" t="str">
        <f t="shared" si="93"/>
        <v>00</v>
      </c>
      <c r="AN174" s="59" t="str">
        <f t="shared" si="94"/>
        <v>00</v>
      </c>
      <c r="AO174" s="59" t="str">
        <f t="shared" si="95"/>
        <v>00</v>
      </c>
      <c r="AQ174" t="str">
        <f t="shared" si="89"/>
        <v/>
      </c>
    </row>
    <row r="175" spans="2:43">
      <c r="B175" s="131"/>
      <c r="C175" s="44">
        <f t="shared" si="128"/>
        <v>39</v>
      </c>
      <c r="D175" s="123">
        <f t="shared" ref="D175:AI175" si="135">IF(OR(D45=0,D45=1),1,0)</f>
        <v>0</v>
      </c>
      <c r="E175" s="123">
        <f t="shared" si="135"/>
        <v>0</v>
      </c>
      <c r="F175" s="123">
        <f t="shared" si="135"/>
        <v>0</v>
      </c>
      <c r="G175" s="123">
        <f t="shared" si="135"/>
        <v>0</v>
      </c>
      <c r="H175" s="123">
        <f t="shared" si="135"/>
        <v>0</v>
      </c>
      <c r="I175" s="123">
        <f t="shared" si="135"/>
        <v>0</v>
      </c>
      <c r="J175" s="123">
        <f t="shared" si="135"/>
        <v>0</v>
      </c>
      <c r="K175" s="123">
        <f t="shared" si="135"/>
        <v>0</v>
      </c>
      <c r="L175" s="123">
        <f t="shared" si="135"/>
        <v>0</v>
      </c>
      <c r="M175" s="123">
        <f t="shared" si="135"/>
        <v>0</v>
      </c>
      <c r="N175" s="123">
        <f t="shared" si="135"/>
        <v>0</v>
      </c>
      <c r="O175" s="123">
        <f t="shared" si="135"/>
        <v>0</v>
      </c>
      <c r="P175" s="123">
        <f t="shared" si="135"/>
        <v>0</v>
      </c>
      <c r="Q175" s="123">
        <f t="shared" si="135"/>
        <v>0</v>
      </c>
      <c r="R175" s="123">
        <f t="shared" si="135"/>
        <v>0</v>
      </c>
      <c r="S175" s="123">
        <f t="shared" si="135"/>
        <v>0</v>
      </c>
      <c r="T175" s="123">
        <f t="shared" si="135"/>
        <v>0</v>
      </c>
      <c r="U175" s="123">
        <f t="shared" si="135"/>
        <v>0</v>
      </c>
      <c r="V175" s="123">
        <f t="shared" si="135"/>
        <v>0</v>
      </c>
      <c r="W175" s="123">
        <f t="shared" si="135"/>
        <v>0</v>
      </c>
      <c r="X175" s="123">
        <f t="shared" si="135"/>
        <v>0</v>
      </c>
      <c r="Y175" s="123">
        <f t="shared" si="135"/>
        <v>0</v>
      </c>
      <c r="Z175" s="123">
        <f t="shared" si="135"/>
        <v>0</v>
      </c>
      <c r="AA175" s="123">
        <f t="shared" si="135"/>
        <v>0</v>
      </c>
      <c r="AB175" s="123">
        <f t="shared" si="135"/>
        <v>0</v>
      </c>
      <c r="AC175" s="123">
        <f t="shared" si="135"/>
        <v>0</v>
      </c>
      <c r="AD175" s="123">
        <f t="shared" si="135"/>
        <v>0</v>
      </c>
      <c r="AE175" s="123">
        <f t="shared" si="135"/>
        <v>0</v>
      </c>
      <c r="AF175" s="123">
        <f t="shared" si="135"/>
        <v>0</v>
      </c>
      <c r="AG175" s="123">
        <f t="shared" si="135"/>
        <v>0</v>
      </c>
      <c r="AH175" s="123">
        <f t="shared" si="135"/>
        <v>0</v>
      </c>
      <c r="AI175" s="123">
        <f t="shared" si="135"/>
        <v>0</v>
      </c>
      <c r="AJ175" s="44" t="str">
        <f t="shared" si="127"/>
        <v/>
      </c>
      <c r="AK175" s="57"/>
      <c r="AL175" s="57" t="str">
        <f t="shared" si="92"/>
        <v>00</v>
      </c>
      <c r="AM175" s="59" t="str">
        <f t="shared" si="93"/>
        <v>00</v>
      </c>
      <c r="AN175" s="59" t="str">
        <f t="shared" si="94"/>
        <v>00</v>
      </c>
      <c r="AO175" s="59" t="str">
        <f t="shared" si="95"/>
        <v>00</v>
      </c>
      <c r="AQ175" t="str">
        <f t="shared" si="89"/>
        <v/>
      </c>
    </row>
    <row r="176" spans="2:43">
      <c r="B176" s="131"/>
      <c r="C176" s="44">
        <f t="shared" si="128"/>
        <v>40</v>
      </c>
      <c r="D176" s="123">
        <f t="shared" ref="D176:AI176" si="136">IF(OR(D46=0,D46=1),1,0)</f>
        <v>0</v>
      </c>
      <c r="E176" s="123">
        <f t="shared" si="136"/>
        <v>0</v>
      </c>
      <c r="F176" s="123">
        <f t="shared" si="136"/>
        <v>0</v>
      </c>
      <c r="G176" s="123">
        <f t="shared" si="136"/>
        <v>0</v>
      </c>
      <c r="H176" s="123">
        <f t="shared" si="136"/>
        <v>0</v>
      </c>
      <c r="I176" s="123">
        <f t="shared" si="136"/>
        <v>0</v>
      </c>
      <c r="J176" s="123">
        <f t="shared" si="136"/>
        <v>0</v>
      </c>
      <c r="K176" s="123">
        <f t="shared" si="136"/>
        <v>0</v>
      </c>
      <c r="L176" s="123">
        <f t="shared" si="136"/>
        <v>0</v>
      </c>
      <c r="M176" s="123">
        <f t="shared" si="136"/>
        <v>0</v>
      </c>
      <c r="N176" s="123">
        <f t="shared" si="136"/>
        <v>0</v>
      </c>
      <c r="O176" s="123">
        <f t="shared" si="136"/>
        <v>0</v>
      </c>
      <c r="P176" s="123">
        <f t="shared" si="136"/>
        <v>0</v>
      </c>
      <c r="Q176" s="123">
        <f t="shared" si="136"/>
        <v>0</v>
      </c>
      <c r="R176" s="123">
        <f t="shared" si="136"/>
        <v>0</v>
      </c>
      <c r="S176" s="123">
        <f t="shared" si="136"/>
        <v>0</v>
      </c>
      <c r="T176" s="123">
        <f t="shared" si="136"/>
        <v>0</v>
      </c>
      <c r="U176" s="123">
        <f t="shared" si="136"/>
        <v>0</v>
      </c>
      <c r="V176" s="123">
        <f t="shared" si="136"/>
        <v>0</v>
      </c>
      <c r="W176" s="123">
        <f t="shared" si="136"/>
        <v>0</v>
      </c>
      <c r="X176" s="123">
        <f t="shared" si="136"/>
        <v>0</v>
      </c>
      <c r="Y176" s="123">
        <f t="shared" si="136"/>
        <v>0</v>
      </c>
      <c r="Z176" s="123">
        <f t="shared" si="136"/>
        <v>0</v>
      </c>
      <c r="AA176" s="123">
        <f t="shared" si="136"/>
        <v>0</v>
      </c>
      <c r="AB176" s="123">
        <f t="shared" si="136"/>
        <v>0</v>
      </c>
      <c r="AC176" s="123">
        <f t="shared" si="136"/>
        <v>0</v>
      </c>
      <c r="AD176" s="123">
        <f t="shared" si="136"/>
        <v>0</v>
      </c>
      <c r="AE176" s="123">
        <f t="shared" si="136"/>
        <v>0</v>
      </c>
      <c r="AF176" s="123">
        <f t="shared" si="136"/>
        <v>0</v>
      </c>
      <c r="AG176" s="123">
        <f t="shared" si="136"/>
        <v>0</v>
      </c>
      <c r="AH176" s="123">
        <f t="shared" si="136"/>
        <v>0</v>
      </c>
      <c r="AI176" s="123">
        <f t="shared" si="136"/>
        <v>0</v>
      </c>
      <c r="AJ176" s="44" t="str">
        <f t="shared" si="127"/>
        <v/>
      </c>
      <c r="AK176" s="57"/>
      <c r="AL176" s="57" t="str">
        <f t="shared" si="92"/>
        <v>00</v>
      </c>
      <c r="AM176" s="59" t="str">
        <f t="shared" si="93"/>
        <v>00</v>
      </c>
      <c r="AN176" s="59" t="str">
        <f t="shared" si="94"/>
        <v>00</v>
      </c>
      <c r="AO176" s="59" t="str">
        <f t="shared" si="95"/>
        <v>00</v>
      </c>
      <c r="AQ176" t="str">
        <f t="shared" si="89"/>
        <v/>
      </c>
    </row>
    <row r="177" spans="2:43">
      <c r="B177" s="131"/>
      <c r="C177" s="44">
        <f t="shared" si="128"/>
        <v>41</v>
      </c>
      <c r="D177" s="123">
        <f t="shared" ref="D177:AI177" si="137">IF(OR(D47=0,D47=1),1,0)</f>
        <v>0</v>
      </c>
      <c r="E177" s="123">
        <f t="shared" si="137"/>
        <v>0</v>
      </c>
      <c r="F177" s="123">
        <f t="shared" si="137"/>
        <v>0</v>
      </c>
      <c r="G177" s="123">
        <f t="shared" si="137"/>
        <v>0</v>
      </c>
      <c r="H177" s="123">
        <f t="shared" si="137"/>
        <v>0</v>
      </c>
      <c r="I177" s="123">
        <f t="shared" si="137"/>
        <v>0</v>
      </c>
      <c r="J177" s="123">
        <f t="shared" si="137"/>
        <v>0</v>
      </c>
      <c r="K177" s="123">
        <f t="shared" si="137"/>
        <v>0</v>
      </c>
      <c r="L177" s="123">
        <f t="shared" si="137"/>
        <v>0</v>
      </c>
      <c r="M177" s="123">
        <f t="shared" si="137"/>
        <v>0</v>
      </c>
      <c r="N177" s="123">
        <f t="shared" si="137"/>
        <v>0</v>
      </c>
      <c r="O177" s="123">
        <f t="shared" si="137"/>
        <v>0</v>
      </c>
      <c r="P177" s="123">
        <f t="shared" si="137"/>
        <v>0</v>
      </c>
      <c r="Q177" s="123">
        <f t="shared" si="137"/>
        <v>0</v>
      </c>
      <c r="R177" s="123">
        <f t="shared" si="137"/>
        <v>0</v>
      </c>
      <c r="S177" s="123">
        <f t="shared" si="137"/>
        <v>0</v>
      </c>
      <c r="T177" s="123">
        <f t="shared" si="137"/>
        <v>0</v>
      </c>
      <c r="U177" s="123">
        <f t="shared" si="137"/>
        <v>0</v>
      </c>
      <c r="V177" s="123">
        <f t="shared" si="137"/>
        <v>0</v>
      </c>
      <c r="W177" s="123">
        <f t="shared" si="137"/>
        <v>0</v>
      </c>
      <c r="X177" s="123">
        <f t="shared" si="137"/>
        <v>0</v>
      </c>
      <c r="Y177" s="123">
        <f t="shared" si="137"/>
        <v>0</v>
      </c>
      <c r="Z177" s="123">
        <f t="shared" si="137"/>
        <v>0</v>
      </c>
      <c r="AA177" s="123">
        <f t="shared" si="137"/>
        <v>0</v>
      </c>
      <c r="AB177" s="123">
        <f t="shared" si="137"/>
        <v>0</v>
      </c>
      <c r="AC177" s="123">
        <f t="shared" si="137"/>
        <v>0</v>
      </c>
      <c r="AD177" s="123">
        <f t="shared" si="137"/>
        <v>0</v>
      </c>
      <c r="AE177" s="123">
        <f t="shared" si="137"/>
        <v>0</v>
      </c>
      <c r="AF177" s="123">
        <f t="shared" si="137"/>
        <v>0</v>
      </c>
      <c r="AG177" s="123">
        <f t="shared" si="137"/>
        <v>0</v>
      </c>
      <c r="AH177" s="123">
        <f t="shared" si="137"/>
        <v>0</v>
      </c>
      <c r="AI177" s="123">
        <f t="shared" si="137"/>
        <v>0</v>
      </c>
      <c r="AJ177" s="44" t="str">
        <f t="shared" si="127"/>
        <v/>
      </c>
      <c r="AK177" s="57"/>
      <c r="AL177" s="57" t="str">
        <f t="shared" si="92"/>
        <v>00</v>
      </c>
      <c r="AM177" s="59" t="str">
        <f t="shared" si="93"/>
        <v>00</v>
      </c>
      <c r="AN177" s="59" t="str">
        <f t="shared" si="94"/>
        <v>00</v>
      </c>
      <c r="AO177" s="59" t="str">
        <f t="shared" si="95"/>
        <v>00</v>
      </c>
      <c r="AQ177" t="str">
        <f t="shared" si="89"/>
        <v/>
      </c>
    </row>
    <row r="178" spans="2:43">
      <c r="B178" s="131"/>
      <c r="C178" s="44">
        <f t="shared" si="128"/>
        <v>42</v>
      </c>
      <c r="D178" s="123">
        <f t="shared" ref="D178:AI178" si="138">IF(OR(D48=0,D48=1),1,0)</f>
        <v>0</v>
      </c>
      <c r="E178" s="123">
        <f t="shared" si="138"/>
        <v>0</v>
      </c>
      <c r="F178" s="123">
        <f t="shared" si="138"/>
        <v>0</v>
      </c>
      <c r="G178" s="123">
        <f t="shared" si="138"/>
        <v>0</v>
      </c>
      <c r="H178" s="123">
        <f t="shared" si="138"/>
        <v>0</v>
      </c>
      <c r="I178" s="123">
        <f t="shared" si="138"/>
        <v>0</v>
      </c>
      <c r="J178" s="123">
        <f t="shared" si="138"/>
        <v>0</v>
      </c>
      <c r="K178" s="123">
        <f t="shared" si="138"/>
        <v>0</v>
      </c>
      <c r="L178" s="123">
        <f t="shared" si="138"/>
        <v>0</v>
      </c>
      <c r="M178" s="123">
        <f t="shared" si="138"/>
        <v>0</v>
      </c>
      <c r="N178" s="123">
        <f t="shared" si="138"/>
        <v>0</v>
      </c>
      <c r="O178" s="123">
        <f t="shared" si="138"/>
        <v>0</v>
      </c>
      <c r="P178" s="123">
        <f t="shared" si="138"/>
        <v>0</v>
      </c>
      <c r="Q178" s="123">
        <f t="shared" si="138"/>
        <v>0</v>
      </c>
      <c r="R178" s="123">
        <f t="shared" si="138"/>
        <v>0</v>
      </c>
      <c r="S178" s="123">
        <f t="shared" si="138"/>
        <v>0</v>
      </c>
      <c r="T178" s="123">
        <f t="shared" si="138"/>
        <v>0</v>
      </c>
      <c r="U178" s="123">
        <f t="shared" si="138"/>
        <v>0</v>
      </c>
      <c r="V178" s="123">
        <f t="shared" si="138"/>
        <v>0</v>
      </c>
      <c r="W178" s="123">
        <f t="shared" si="138"/>
        <v>0</v>
      </c>
      <c r="X178" s="123">
        <f t="shared" si="138"/>
        <v>0</v>
      </c>
      <c r="Y178" s="123">
        <f t="shared" si="138"/>
        <v>0</v>
      </c>
      <c r="Z178" s="123">
        <f t="shared" si="138"/>
        <v>0</v>
      </c>
      <c r="AA178" s="123">
        <f t="shared" si="138"/>
        <v>0</v>
      </c>
      <c r="AB178" s="123">
        <f t="shared" si="138"/>
        <v>0</v>
      </c>
      <c r="AC178" s="123">
        <f t="shared" si="138"/>
        <v>0</v>
      </c>
      <c r="AD178" s="123">
        <f t="shared" si="138"/>
        <v>0</v>
      </c>
      <c r="AE178" s="123">
        <f t="shared" si="138"/>
        <v>0</v>
      </c>
      <c r="AF178" s="123">
        <f t="shared" si="138"/>
        <v>0</v>
      </c>
      <c r="AG178" s="123">
        <f t="shared" si="138"/>
        <v>0</v>
      </c>
      <c r="AH178" s="123">
        <f t="shared" si="138"/>
        <v>0</v>
      </c>
      <c r="AI178" s="123">
        <f t="shared" si="138"/>
        <v>0</v>
      </c>
      <c r="AJ178" s="44" t="str">
        <f t="shared" si="127"/>
        <v/>
      </c>
      <c r="AK178" s="57"/>
      <c r="AL178" s="57" t="str">
        <f t="shared" si="92"/>
        <v>00</v>
      </c>
      <c r="AM178" s="59" t="str">
        <f t="shared" si="93"/>
        <v>00</v>
      </c>
      <c r="AN178" s="59" t="str">
        <f t="shared" si="94"/>
        <v>00</v>
      </c>
      <c r="AO178" s="59" t="str">
        <f t="shared" si="95"/>
        <v>00</v>
      </c>
      <c r="AQ178" t="str">
        <f t="shared" si="89"/>
        <v/>
      </c>
    </row>
    <row r="179" spans="2:43">
      <c r="B179" s="131"/>
      <c r="C179" s="44">
        <f t="shared" si="128"/>
        <v>43</v>
      </c>
      <c r="D179" s="123">
        <f t="shared" ref="D179:AI179" si="139">IF(OR(D49=0,D49=1),1,0)</f>
        <v>0</v>
      </c>
      <c r="E179" s="123">
        <f t="shared" si="139"/>
        <v>0</v>
      </c>
      <c r="F179" s="123">
        <f t="shared" si="139"/>
        <v>0</v>
      </c>
      <c r="G179" s="123">
        <f t="shared" si="139"/>
        <v>0</v>
      </c>
      <c r="H179" s="123">
        <f t="shared" si="139"/>
        <v>0</v>
      </c>
      <c r="I179" s="123">
        <f t="shared" si="139"/>
        <v>0</v>
      </c>
      <c r="J179" s="123">
        <f t="shared" si="139"/>
        <v>0</v>
      </c>
      <c r="K179" s="123">
        <f t="shared" si="139"/>
        <v>0</v>
      </c>
      <c r="L179" s="123">
        <f t="shared" si="139"/>
        <v>0</v>
      </c>
      <c r="M179" s="123">
        <f t="shared" si="139"/>
        <v>0</v>
      </c>
      <c r="N179" s="123">
        <f t="shared" si="139"/>
        <v>0</v>
      </c>
      <c r="O179" s="123">
        <f t="shared" si="139"/>
        <v>0</v>
      </c>
      <c r="P179" s="123">
        <f t="shared" si="139"/>
        <v>0</v>
      </c>
      <c r="Q179" s="123">
        <f t="shared" si="139"/>
        <v>0</v>
      </c>
      <c r="R179" s="123">
        <f t="shared" si="139"/>
        <v>0</v>
      </c>
      <c r="S179" s="123">
        <f t="shared" si="139"/>
        <v>0</v>
      </c>
      <c r="T179" s="123">
        <f t="shared" si="139"/>
        <v>0</v>
      </c>
      <c r="U179" s="123">
        <f t="shared" si="139"/>
        <v>0</v>
      </c>
      <c r="V179" s="123">
        <f t="shared" si="139"/>
        <v>0</v>
      </c>
      <c r="W179" s="123">
        <f t="shared" si="139"/>
        <v>0</v>
      </c>
      <c r="X179" s="123">
        <f t="shared" si="139"/>
        <v>0</v>
      </c>
      <c r="Y179" s="123">
        <f t="shared" si="139"/>
        <v>0</v>
      </c>
      <c r="Z179" s="123">
        <f t="shared" si="139"/>
        <v>0</v>
      </c>
      <c r="AA179" s="123">
        <f t="shared" si="139"/>
        <v>0</v>
      </c>
      <c r="AB179" s="123">
        <f t="shared" si="139"/>
        <v>0</v>
      </c>
      <c r="AC179" s="123">
        <f t="shared" si="139"/>
        <v>0</v>
      </c>
      <c r="AD179" s="123">
        <f t="shared" si="139"/>
        <v>0</v>
      </c>
      <c r="AE179" s="123">
        <f t="shared" si="139"/>
        <v>0</v>
      </c>
      <c r="AF179" s="123">
        <f t="shared" si="139"/>
        <v>0</v>
      </c>
      <c r="AG179" s="123">
        <f t="shared" si="139"/>
        <v>0</v>
      </c>
      <c r="AH179" s="123">
        <f t="shared" si="139"/>
        <v>0</v>
      </c>
      <c r="AI179" s="123">
        <f t="shared" si="139"/>
        <v>0</v>
      </c>
      <c r="AJ179" s="44" t="str">
        <f t="shared" si="127"/>
        <v/>
      </c>
      <c r="AK179" s="57"/>
      <c r="AL179" s="57" t="str">
        <f t="shared" si="92"/>
        <v>00</v>
      </c>
      <c r="AM179" s="59" t="str">
        <f t="shared" si="93"/>
        <v>00</v>
      </c>
      <c r="AN179" s="59" t="str">
        <f t="shared" si="94"/>
        <v>00</v>
      </c>
      <c r="AO179" s="59" t="str">
        <f t="shared" si="95"/>
        <v>00</v>
      </c>
      <c r="AQ179" t="str">
        <f t="shared" si="89"/>
        <v/>
      </c>
    </row>
    <row r="180" spans="2:43">
      <c r="B180" s="131"/>
      <c r="C180" s="44">
        <f t="shared" si="128"/>
        <v>44</v>
      </c>
      <c r="D180" s="123">
        <f t="shared" ref="D180:AI180" si="140">IF(OR(D50=0,D50=1),1,0)</f>
        <v>0</v>
      </c>
      <c r="E180" s="123">
        <f t="shared" si="140"/>
        <v>0</v>
      </c>
      <c r="F180" s="123">
        <f t="shared" si="140"/>
        <v>0</v>
      </c>
      <c r="G180" s="123">
        <f t="shared" si="140"/>
        <v>0</v>
      </c>
      <c r="H180" s="123">
        <f t="shared" si="140"/>
        <v>0</v>
      </c>
      <c r="I180" s="123">
        <f t="shared" si="140"/>
        <v>0</v>
      </c>
      <c r="J180" s="123">
        <f t="shared" si="140"/>
        <v>0</v>
      </c>
      <c r="K180" s="123">
        <f t="shared" si="140"/>
        <v>0</v>
      </c>
      <c r="L180" s="123">
        <f t="shared" si="140"/>
        <v>0</v>
      </c>
      <c r="M180" s="123">
        <f t="shared" si="140"/>
        <v>0</v>
      </c>
      <c r="N180" s="123">
        <f t="shared" si="140"/>
        <v>0</v>
      </c>
      <c r="O180" s="123">
        <f t="shared" si="140"/>
        <v>0</v>
      </c>
      <c r="P180" s="123">
        <f t="shared" si="140"/>
        <v>0</v>
      </c>
      <c r="Q180" s="123">
        <f t="shared" si="140"/>
        <v>0</v>
      </c>
      <c r="R180" s="123">
        <f t="shared" si="140"/>
        <v>0</v>
      </c>
      <c r="S180" s="123">
        <f t="shared" si="140"/>
        <v>0</v>
      </c>
      <c r="T180" s="123">
        <f t="shared" si="140"/>
        <v>0</v>
      </c>
      <c r="U180" s="123">
        <f t="shared" si="140"/>
        <v>0</v>
      </c>
      <c r="V180" s="123">
        <f t="shared" si="140"/>
        <v>0</v>
      </c>
      <c r="W180" s="123">
        <f t="shared" si="140"/>
        <v>0</v>
      </c>
      <c r="X180" s="123">
        <f t="shared" si="140"/>
        <v>0</v>
      </c>
      <c r="Y180" s="123">
        <f t="shared" si="140"/>
        <v>0</v>
      </c>
      <c r="Z180" s="123">
        <f t="shared" si="140"/>
        <v>0</v>
      </c>
      <c r="AA180" s="123">
        <f t="shared" si="140"/>
        <v>0</v>
      </c>
      <c r="AB180" s="123">
        <f t="shared" si="140"/>
        <v>0</v>
      </c>
      <c r="AC180" s="123">
        <f t="shared" si="140"/>
        <v>0</v>
      </c>
      <c r="AD180" s="123">
        <f t="shared" si="140"/>
        <v>0</v>
      </c>
      <c r="AE180" s="123">
        <f t="shared" si="140"/>
        <v>0</v>
      </c>
      <c r="AF180" s="123">
        <f t="shared" si="140"/>
        <v>0</v>
      </c>
      <c r="AG180" s="123">
        <f t="shared" si="140"/>
        <v>0</v>
      </c>
      <c r="AH180" s="123">
        <f t="shared" si="140"/>
        <v>0</v>
      </c>
      <c r="AI180" s="123">
        <f t="shared" si="140"/>
        <v>0</v>
      </c>
      <c r="AJ180" s="44" t="str">
        <f t="shared" si="127"/>
        <v/>
      </c>
      <c r="AK180" s="57"/>
      <c r="AL180" s="57" t="str">
        <f t="shared" si="92"/>
        <v>00</v>
      </c>
      <c r="AM180" s="59" t="str">
        <f t="shared" si="93"/>
        <v>00</v>
      </c>
      <c r="AN180" s="59" t="str">
        <f t="shared" si="94"/>
        <v>00</v>
      </c>
      <c r="AO180" s="59" t="str">
        <f t="shared" si="95"/>
        <v>00</v>
      </c>
      <c r="AQ180" t="str">
        <f t="shared" si="89"/>
        <v/>
      </c>
    </row>
    <row r="181" spans="2:43">
      <c r="B181" s="131"/>
      <c r="C181" s="44">
        <f t="shared" si="128"/>
        <v>45</v>
      </c>
      <c r="D181" s="123">
        <f t="shared" ref="D181:AI181" si="141">IF(OR(D51=0,D51=1),1,0)</f>
        <v>0</v>
      </c>
      <c r="E181" s="123">
        <f t="shared" si="141"/>
        <v>0</v>
      </c>
      <c r="F181" s="123">
        <f t="shared" si="141"/>
        <v>0</v>
      </c>
      <c r="G181" s="123">
        <f t="shared" si="141"/>
        <v>0</v>
      </c>
      <c r="H181" s="123">
        <f t="shared" si="141"/>
        <v>0</v>
      </c>
      <c r="I181" s="123">
        <f t="shared" si="141"/>
        <v>0</v>
      </c>
      <c r="J181" s="123">
        <f t="shared" si="141"/>
        <v>0</v>
      </c>
      <c r="K181" s="123">
        <f t="shared" si="141"/>
        <v>0</v>
      </c>
      <c r="L181" s="123">
        <f t="shared" si="141"/>
        <v>0</v>
      </c>
      <c r="M181" s="123">
        <f t="shared" si="141"/>
        <v>0</v>
      </c>
      <c r="N181" s="123">
        <f t="shared" si="141"/>
        <v>0</v>
      </c>
      <c r="O181" s="123">
        <f t="shared" si="141"/>
        <v>0</v>
      </c>
      <c r="P181" s="123">
        <f t="shared" si="141"/>
        <v>0</v>
      </c>
      <c r="Q181" s="123">
        <f t="shared" si="141"/>
        <v>0</v>
      </c>
      <c r="R181" s="123">
        <f t="shared" si="141"/>
        <v>0</v>
      </c>
      <c r="S181" s="123">
        <f t="shared" si="141"/>
        <v>0</v>
      </c>
      <c r="T181" s="123">
        <f t="shared" si="141"/>
        <v>0</v>
      </c>
      <c r="U181" s="123">
        <f t="shared" si="141"/>
        <v>0</v>
      </c>
      <c r="V181" s="123">
        <f t="shared" si="141"/>
        <v>0</v>
      </c>
      <c r="W181" s="123">
        <f t="shared" si="141"/>
        <v>0</v>
      </c>
      <c r="X181" s="123">
        <f t="shared" si="141"/>
        <v>0</v>
      </c>
      <c r="Y181" s="123">
        <f t="shared" si="141"/>
        <v>0</v>
      </c>
      <c r="Z181" s="123">
        <f t="shared" si="141"/>
        <v>0</v>
      </c>
      <c r="AA181" s="123">
        <f t="shared" si="141"/>
        <v>0</v>
      </c>
      <c r="AB181" s="123">
        <f t="shared" si="141"/>
        <v>0</v>
      </c>
      <c r="AC181" s="123">
        <f t="shared" si="141"/>
        <v>0</v>
      </c>
      <c r="AD181" s="123">
        <f t="shared" si="141"/>
        <v>0</v>
      </c>
      <c r="AE181" s="123">
        <f t="shared" si="141"/>
        <v>0</v>
      </c>
      <c r="AF181" s="123">
        <f t="shared" si="141"/>
        <v>0</v>
      </c>
      <c r="AG181" s="123">
        <f t="shared" si="141"/>
        <v>0</v>
      </c>
      <c r="AH181" s="123">
        <f t="shared" si="141"/>
        <v>0</v>
      </c>
      <c r="AI181" s="123">
        <f t="shared" si="141"/>
        <v>0</v>
      </c>
      <c r="AJ181" s="44" t="str">
        <f t="shared" si="127"/>
        <v/>
      </c>
      <c r="AK181" s="57"/>
      <c r="AL181" s="57" t="str">
        <f t="shared" si="92"/>
        <v>00</v>
      </c>
      <c r="AM181" s="59" t="str">
        <f t="shared" si="93"/>
        <v>00</v>
      </c>
      <c r="AN181" s="59" t="str">
        <f t="shared" si="94"/>
        <v>00</v>
      </c>
      <c r="AO181" s="59" t="str">
        <f t="shared" si="95"/>
        <v>00</v>
      </c>
      <c r="AQ181" t="str">
        <f t="shared" si="89"/>
        <v/>
      </c>
    </row>
    <row r="182" spans="2:43">
      <c r="B182" s="131"/>
      <c r="C182" s="44">
        <f t="shared" si="128"/>
        <v>46</v>
      </c>
      <c r="D182" s="123">
        <f t="shared" ref="D182:AI182" si="142">IF(OR(D52=0,D52=1),1,0)</f>
        <v>0</v>
      </c>
      <c r="E182" s="123">
        <f t="shared" si="142"/>
        <v>0</v>
      </c>
      <c r="F182" s="123">
        <f t="shared" si="142"/>
        <v>0</v>
      </c>
      <c r="G182" s="123">
        <f t="shared" si="142"/>
        <v>0</v>
      </c>
      <c r="H182" s="123">
        <f t="shared" si="142"/>
        <v>0</v>
      </c>
      <c r="I182" s="123">
        <f t="shared" si="142"/>
        <v>0</v>
      </c>
      <c r="J182" s="123">
        <f t="shared" si="142"/>
        <v>0</v>
      </c>
      <c r="K182" s="123">
        <f t="shared" si="142"/>
        <v>0</v>
      </c>
      <c r="L182" s="123">
        <f t="shared" si="142"/>
        <v>0</v>
      </c>
      <c r="M182" s="123">
        <f t="shared" si="142"/>
        <v>0</v>
      </c>
      <c r="N182" s="123">
        <f t="shared" si="142"/>
        <v>0</v>
      </c>
      <c r="O182" s="123">
        <f t="shared" si="142"/>
        <v>0</v>
      </c>
      <c r="P182" s="123">
        <f t="shared" si="142"/>
        <v>0</v>
      </c>
      <c r="Q182" s="123">
        <f t="shared" si="142"/>
        <v>0</v>
      </c>
      <c r="R182" s="123">
        <f t="shared" si="142"/>
        <v>0</v>
      </c>
      <c r="S182" s="123">
        <f t="shared" si="142"/>
        <v>0</v>
      </c>
      <c r="T182" s="123">
        <f t="shared" si="142"/>
        <v>0</v>
      </c>
      <c r="U182" s="123">
        <f t="shared" si="142"/>
        <v>0</v>
      </c>
      <c r="V182" s="123">
        <f t="shared" si="142"/>
        <v>0</v>
      </c>
      <c r="W182" s="123">
        <f t="shared" si="142"/>
        <v>0</v>
      </c>
      <c r="X182" s="123">
        <f t="shared" si="142"/>
        <v>0</v>
      </c>
      <c r="Y182" s="123">
        <f t="shared" si="142"/>
        <v>0</v>
      </c>
      <c r="Z182" s="123">
        <f t="shared" si="142"/>
        <v>0</v>
      </c>
      <c r="AA182" s="123">
        <f t="shared" si="142"/>
        <v>0</v>
      </c>
      <c r="AB182" s="123">
        <f t="shared" si="142"/>
        <v>0</v>
      </c>
      <c r="AC182" s="123">
        <f t="shared" si="142"/>
        <v>0</v>
      </c>
      <c r="AD182" s="123">
        <f t="shared" si="142"/>
        <v>0</v>
      </c>
      <c r="AE182" s="123">
        <f t="shared" si="142"/>
        <v>0</v>
      </c>
      <c r="AF182" s="123">
        <f t="shared" si="142"/>
        <v>0</v>
      </c>
      <c r="AG182" s="123">
        <f t="shared" si="142"/>
        <v>0</v>
      </c>
      <c r="AH182" s="123">
        <f t="shared" si="142"/>
        <v>0</v>
      </c>
      <c r="AI182" s="123">
        <f t="shared" si="142"/>
        <v>0</v>
      </c>
      <c r="AJ182" s="44" t="str">
        <f t="shared" si="127"/>
        <v/>
      </c>
      <c r="AK182" s="57"/>
      <c r="AL182" s="57" t="str">
        <f t="shared" si="92"/>
        <v>00</v>
      </c>
      <c r="AM182" s="59" t="str">
        <f t="shared" si="93"/>
        <v>00</v>
      </c>
      <c r="AN182" s="59" t="str">
        <f t="shared" si="94"/>
        <v>00</v>
      </c>
      <c r="AO182" s="59" t="str">
        <f t="shared" si="95"/>
        <v>00</v>
      </c>
      <c r="AQ182" t="str">
        <f t="shared" si="89"/>
        <v/>
      </c>
    </row>
    <row r="183" spans="2:43">
      <c r="B183" s="131"/>
      <c r="C183" s="44">
        <f t="shared" si="128"/>
        <v>47</v>
      </c>
      <c r="D183" s="123">
        <f t="shared" ref="D183:AI183" si="143">IF(OR(D53=0,D53=1),1,0)</f>
        <v>0</v>
      </c>
      <c r="E183" s="123">
        <f t="shared" si="143"/>
        <v>0</v>
      </c>
      <c r="F183" s="123">
        <f t="shared" si="143"/>
        <v>0</v>
      </c>
      <c r="G183" s="123">
        <f t="shared" si="143"/>
        <v>0</v>
      </c>
      <c r="H183" s="123">
        <f t="shared" si="143"/>
        <v>0</v>
      </c>
      <c r="I183" s="123">
        <f t="shared" si="143"/>
        <v>0</v>
      </c>
      <c r="J183" s="123">
        <f t="shared" si="143"/>
        <v>0</v>
      </c>
      <c r="K183" s="123">
        <f t="shared" si="143"/>
        <v>0</v>
      </c>
      <c r="L183" s="123">
        <f t="shared" si="143"/>
        <v>0</v>
      </c>
      <c r="M183" s="123">
        <f t="shared" si="143"/>
        <v>0</v>
      </c>
      <c r="N183" s="123">
        <f t="shared" si="143"/>
        <v>0</v>
      </c>
      <c r="O183" s="123">
        <f t="shared" si="143"/>
        <v>0</v>
      </c>
      <c r="P183" s="123">
        <f t="shared" si="143"/>
        <v>0</v>
      </c>
      <c r="Q183" s="123">
        <f t="shared" si="143"/>
        <v>0</v>
      </c>
      <c r="R183" s="123">
        <f t="shared" si="143"/>
        <v>0</v>
      </c>
      <c r="S183" s="123">
        <f t="shared" si="143"/>
        <v>0</v>
      </c>
      <c r="T183" s="123">
        <f t="shared" si="143"/>
        <v>0</v>
      </c>
      <c r="U183" s="123">
        <f t="shared" si="143"/>
        <v>0</v>
      </c>
      <c r="V183" s="123">
        <f t="shared" si="143"/>
        <v>0</v>
      </c>
      <c r="W183" s="123">
        <f t="shared" si="143"/>
        <v>0</v>
      </c>
      <c r="X183" s="123">
        <f t="shared" si="143"/>
        <v>0</v>
      </c>
      <c r="Y183" s="123">
        <f t="shared" si="143"/>
        <v>0</v>
      </c>
      <c r="Z183" s="123">
        <f t="shared" si="143"/>
        <v>0</v>
      </c>
      <c r="AA183" s="123">
        <f t="shared" si="143"/>
        <v>0</v>
      </c>
      <c r="AB183" s="123">
        <f t="shared" si="143"/>
        <v>0</v>
      </c>
      <c r="AC183" s="123">
        <f t="shared" si="143"/>
        <v>0</v>
      </c>
      <c r="AD183" s="123">
        <f t="shared" si="143"/>
        <v>0</v>
      </c>
      <c r="AE183" s="123">
        <f t="shared" si="143"/>
        <v>0</v>
      </c>
      <c r="AF183" s="123">
        <f t="shared" si="143"/>
        <v>0</v>
      </c>
      <c r="AG183" s="123">
        <f t="shared" si="143"/>
        <v>0</v>
      </c>
      <c r="AH183" s="123">
        <f t="shared" si="143"/>
        <v>0</v>
      </c>
      <c r="AI183" s="123">
        <f t="shared" si="143"/>
        <v>0</v>
      </c>
      <c r="AJ183" s="44" t="str">
        <f t="shared" si="127"/>
        <v/>
      </c>
      <c r="AK183" s="57"/>
      <c r="AL183" s="57" t="str">
        <f t="shared" si="92"/>
        <v>00</v>
      </c>
      <c r="AM183" s="59" t="str">
        <f t="shared" si="93"/>
        <v>00</v>
      </c>
      <c r="AN183" s="59" t="str">
        <f t="shared" si="94"/>
        <v>00</v>
      </c>
      <c r="AO183" s="59" t="str">
        <f t="shared" si="95"/>
        <v>00</v>
      </c>
      <c r="AQ183" t="str">
        <f t="shared" si="89"/>
        <v/>
      </c>
    </row>
    <row r="184" spans="2:43">
      <c r="B184" s="131"/>
      <c r="C184" s="44">
        <f t="shared" si="128"/>
        <v>48</v>
      </c>
      <c r="D184" s="123">
        <f t="shared" ref="D184:AI184" si="144">IF(OR(D54=0,D54=1),1,0)</f>
        <v>0</v>
      </c>
      <c r="E184" s="123">
        <f t="shared" si="144"/>
        <v>0</v>
      </c>
      <c r="F184" s="123">
        <f t="shared" si="144"/>
        <v>0</v>
      </c>
      <c r="G184" s="123">
        <f t="shared" si="144"/>
        <v>0</v>
      </c>
      <c r="H184" s="123">
        <f t="shared" si="144"/>
        <v>0</v>
      </c>
      <c r="I184" s="123">
        <f t="shared" si="144"/>
        <v>0</v>
      </c>
      <c r="J184" s="123">
        <f t="shared" si="144"/>
        <v>0</v>
      </c>
      <c r="K184" s="123">
        <f t="shared" si="144"/>
        <v>0</v>
      </c>
      <c r="L184" s="123">
        <f t="shared" si="144"/>
        <v>0</v>
      </c>
      <c r="M184" s="123">
        <f t="shared" si="144"/>
        <v>0</v>
      </c>
      <c r="N184" s="123">
        <f t="shared" si="144"/>
        <v>0</v>
      </c>
      <c r="O184" s="123">
        <f t="shared" si="144"/>
        <v>0</v>
      </c>
      <c r="P184" s="123">
        <f t="shared" si="144"/>
        <v>0</v>
      </c>
      <c r="Q184" s="123">
        <f t="shared" si="144"/>
        <v>0</v>
      </c>
      <c r="R184" s="123">
        <f t="shared" si="144"/>
        <v>0</v>
      </c>
      <c r="S184" s="123">
        <f t="shared" si="144"/>
        <v>0</v>
      </c>
      <c r="T184" s="123">
        <f t="shared" si="144"/>
        <v>0</v>
      </c>
      <c r="U184" s="123">
        <f t="shared" si="144"/>
        <v>0</v>
      </c>
      <c r="V184" s="123">
        <f t="shared" si="144"/>
        <v>0</v>
      </c>
      <c r="W184" s="123">
        <f t="shared" si="144"/>
        <v>0</v>
      </c>
      <c r="X184" s="123">
        <f t="shared" si="144"/>
        <v>0</v>
      </c>
      <c r="Y184" s="123">
        <f t="shared" si="144"/>
        <v>0</v>
      </c>
      <c r="Z184" s="123">
        <f t="shared" si="144"/>
        <v>0</v>
      </c>
      <c r="AA184" s="123">
        <f t="shared" si="144"/>
        <v>0</v>
      </c>
      <c r="AB184" s="123">
        <f t="shared" si="144"/>
        <v>0</v>
      </c>
      <c r="AC184" s="123">
        <f t="shared" si="144"/>
        <v>0</v>
      </c>
      <c r="AD184" s="123">
        <f t="shared" si="144"/>
        <v>0</v>
      </c>
      <c r="AE184" s="123">
        <f t="shared" si="144"/>
        <v>0</v>
      </c>
      <c r="AF184" s="123">
        <f t="shared" si="144"/>
        <v>0</v>
      </c>
      <c r="AG184" s="123">
        <f t="shared" si="144"/>
        <v>0</v>
      </c>
      <c r="AH184" s="123">
        <f t="shared" si="144"/>
        <v>0</v>
      </c>
      <c r="AI184" s="123">
        <f t="shared" si="144"/>
        <v>0</v>
      </c>
      <c r="AJ184" s="44" t="str">
        <f t="shared" si="127"/>
        <v/>
      </c>
      <c r="AK184" s="57"/>
      <c r="AL184" s="57" t="str">
        <f t="shared" si="92"/>
        <v>00</v>
      </c>
      <c r="AM184" s="59" t="str">
        <f t="shared" si="93"/>
        <v>00</v>
      </c>
      <c r="AN184" s="59" t="str">
        <f t="shared" si="94"/>
        <v>00</v>
      </c>
      <c r="AO184" s="59" t="str">
        <f t="shared" si="95"/>
        <v>00</v>
      </c>
      <c r="AQ184" t="str">
        <f t="shared" si="89"/>
        <v/>
      </c>
    </row>
    <row r="185" spans="2:43">
      <c r="B185" s="131"/>
      <c r="C185" s="44">
        <f t="shared" si="128"/>
        <v>49</v>
      </c>
      <c r="D185" s="123">
        <f t="shared" ref="D185:AI185" si="145">IF(OR(D55=0,D55=1),1,0)</f>
        <v>0</v>
      </c>
      <c r="E185" s="123">
        <f t="shared" si="145"/>
        <v>0</v>
      </c>
      <c r="F185" s="123">
        <f t="shared" si="145"/>
        <v>0</v>
      </c>
      <c r="G185" s="123">
        <f t="shared" si="145"/>
        <v>0</v>
      </c>
      <c r="H185" s="123">
        <f t="shared" si="145"/>
        <v>0</v>
      </c>
      <c r="I185" s="123">
        <f t="shared" si="145"/>
        <v>0</v>
      </c>
      <c r="J185" s="123">
        <f t="shared" si="145"/>
        <v>0</v>
      </c>
      <c r="K185" s="123">
        <f t="shared" si="145"/>
        <v>0</v>
      </c>
      <c r="L185" s="123">
        <f t="shared" si="145"/>
        <v>0</v>
      </c>
      <c r="M185" s="123">
        <f t="shared" si="145"/>
        <v>0</v>
      </c>
      <c r="N185" s="123">
        <f t="shared" si="145"/>
        <v>0</v>
      </c>
      <c r="O185" s="123">
        <f t="shared" si="145"/>
        <v>0</v>
      </c>
      <c r="P185" s="123">
        <f t="shared" si="145"/>
        <v>0</v>
      </c>
      <c r="Q185" s="123">
        <f t="shared" si="145"/>
        <v>0</v>
      </c>
      <c r="R185" s="123">
        <f t="shared" si="145"/>
        <v>0</v>
      </c>
      <c r="S185" s="123">
        <f t="shared" si="145"/>
        <v>0</v>
      </c>
      <c r="T185" s="123">
        <f t="shared" si="145"/>
        <v>0</v>
      </c>
      <c r="U185" s="123">
        <f t="shared" si="145"/>
        <v>0</v>
      </c>
      <c r="V185" s="123">
        <f t="shared" si="145"/>
        <v>0</v>
      </c>
      <c r="W185" s="123">
        <f t="shared" si="145"/>
        <v>0</v>
      </c>
      <c r="X185" s="123">
        <f t="shared" si="145"/>
        <v>0</v>
      </c>
      <c r="Y185" s="123">
        <f t="shared" si="145"/>
        <v>0</v>
      </c>
      <c r="Z185" s="123">
        <f t="shared" si="145"/>
        <v>0</v>
      </c>
      <c r="AA185" s="123">
        <f t="shared" si="145"/>
        <v>0</v>
      </c>
      <c r="AB185" s="123">
        <f t="shared" si="145"/>
        <v>0</v>
      </c>
      <c r="AC185" s="123">
        <f t="shared" si="145"/>
        <v>0</v>
      </c>
      <c r="AD185" s="123">
        <f t="shared" si="145"/>
        <v>0</v>
      </c>
      <c r="AE185" s="123">
        <f t="shared" si="145"/>
        <v>0</v>
      </c>
      <c r="AF185" s="123">
        <f t="shared" si="145"/>
        <v>0</v>
      </c>
      <c r="AG185" s="123">
        <f t="shared" si="145"/>
        <v>0</v>
      </c>
      <c r="AH185" s="123">
        <f t="shared" si="145"/>
        <v>0</v>
      </c>
      <c r="AI185" s="123">
        <f t="shared" si="145"/>
        <v>0</v>
      </c>
      <c r="AJ185" s="44" t="str">
        <f t="shared" si="127"/>
        <v/>
      </c>
      <c r="AK185" s="57"/>
      <c r="AL185" s="57" t="str">
        <f t="shared" si="92"/>
        <v>00</v>
      </c>
      <c r="AM185" s="59" t="str">
        <f t="shared" si="93"/>
        <v>00</v>
      </c>
      <c r="AN185" s="59" t="str">
        <f t="shared" si="94"/>
        <v>00</v>
      </c>
      <c r="AO185" s="59" t="str">
        <f t="shared" si="95"/>
        <v>00</v>
      </c>
      <c r="AQ185" t="str">
        <f t="shared" si="89"/>
        <v/>
      </c>
    </row>
    <row r="186" spans="2:43">
      <c r="B186" s="131"/>
      <c r="C186" s="44">
        <f t="shared" si="128"/>
        <v>50</v>
      </c>
      <c r="D186" s="123">
        <f t="shared" ref="D186:AI186" si="146">IF(OR(D56=0,D56=1),1,0)</f>
        <v>0</v>
      </c>
      <c r="E186" s="123">
        <f t="shared" si="146"/>
        <v>0</v>
      </c>
      <c r="F186" s="123">
        <f t="shared" si="146"/>
        <v>0</v>
      </c>
      <c r="G186" s="123">
        <f t="shared" si="146"/>
        <v>0</v>
      </c>
      <c r="H186" s="123">
        <f t="shared" si="146"/>
        <v>0</v>
      </c>
      <c r="I186" s="123">
        <f t="shared" si="146"/>
        <v>0</v>
      </c>
      <c r="J186" s="123">
        <f t="shared" si="146"/>
        <v>0</v>
      </c>
      <c r="K186" s="123">
        <f t="shared" si="146"/>
        <v>0</v>
      </c>
      <c r="L186" s="123">
        <f t="shared" si="146"/>
        <v>0</v>
      </c>
      <c r="M186" s="123">
        <f t="shared" si="146"/>
        <v>0</v>
      </c>
      <c r="N186" s="123">
        <f t="shared" si="146"/>
        <v>0</v>
      </c>
      <c r="O186" s="123">
        <f t="shared" si="146"/>
        <v>0</v>
      </c>
      <c r="P186" s="123">
        <f t="shared" si="146"/>
        <v>0</v>
      </c>
      <c r="Q186" s="123">
        <f t="shared" si="146"/>
        <v>0</v>
      </c>
      <c r="R186" s="123">
        <f t="shared" si="146"/>
        <v>0</v>
      </c>
      <c r="S186" s="123">
        <f t="shared" si="146"/>
        <v>0</v>
      </c>
      <c r="T186" s="123">
        <f t="shared" si="146"/>
        <v>0</v>
      </c>
      <c r="U186" s="123">
        <f t="shared" si="146"/>
        <v>0</v>
      </c>
      <c r="V186" s="123">
        <f t="shared" si="146"/>
        <v>0</v>
      </c>
      <c r="W186" s="123">
        <f t="shared" si="146"/>
        <v>0</v>
      </c>
      <c r="X186" s="123">
        <f t="shared" si="146"/>
        <v>0</v>
      </c>
      <c r="Y186" s="123">
        <f t="shared" si="146"/>
        <v>0</v>
      </c>
      <c r="Z186" s="123">
        <f t="shared" si="146"/>
        <v>0</v>
      </c>
      <c r="AA186" s="123">
        <f t="shared" si="146"/>
        <v>0</v>
      </c>
      <c r="AB186" s="123">
        <f t="shared" si="146"/>
        <v>0</v>
      </c>
      <c r="AC186" s="123">
        <f t="shared" si="146"/>
        <v>0</v>
      </c>
      <c r="AD186" s="123">
        <f t="shared" si="146"/>
        <v>0</v>
      </c>
      <c r="AE186" s="123">
        <f t="shared" si="146"/>
        <v>0</v>
      </c>
      <c r="AF186" s="123">
        <f t="shared" si="146"/>
        <v>0</v>
      </c>
      <c r="AG186" s="123">
        <f t="shared" si="146"/>
        <v>0</v>
      </c>
      <c r="AH186" s="123">
        <f t="shared" si="146"/>
        <v>0</v>
      </c>
      <c r="AI186" s="123">
        <f t="shared" si="146"/>
        <v>0</v>
      </c>
      <c r="AJ186" s="44" t="str">
        <f t="shared" si="127"/>
        <v/>
      </c>
      <c r="AK186" s="57"/>
      <c r="AL186" s="57" t="str">
        <f t="shared" si="92"/>
        <v>00</v>
      </c>
      <c r="AM186" s="59" t="str">
        <f t="shared" si="93"/>
        <v>00</v>
      </c>
      <c r="AN186" s="59" t="str">
        <f t="shared" si="94"/>
        <v>00</v>
      </c>
      <c r="AO186" s="59" t="str">
        <f t="shared" si="95"/>
        <v>00</v>
      </c>
      <c r="AQ186" t="str">
        <f t="shared" si="89"/>
        <v/>
      </c>
    </row>
    <row r="187" spans="2:43">
      <c r="B187" s="131"/>
      <c r="C187" s="44">
        <f t="shared" si="128"/>
        <v>51</v>
      </c>
      <c r="D187" s="123">
        <f t="shared" ref="D187:AI187" si="147">IF(OR(D57=0,D57=1),1,0)</f>
        <v>0</v>
      </c>
      <c r="E187" s="123">
        <f t="shared" si="147"/>
        <v>0</v>
      </c>
      <c r="F187" s="123">
        <f t="shared" si="147"/>
        <v>0</v>
      </c>
      <c r="G187" s="123">
        <f t="shared" si="147"/>
        <v>0</v>
      </c>
      <c r="H187" s="123">
        <f t="shared" si="147"/>
        <v>0</v>
      </c>
      <c r="I187" s="123">
        <f t="shared" si="147"/>
        <v>0</v>
      </c>
      <c r="J187" s="123">
        <f t="shared" si="147"/>
        <v>0</v>
      </c>
      <c r="K187" s="123">
        <f t="shared" si="147"/>
        <v>0</v>
      </c>
      <c r="L187" s="123">
        <f t="shared" si="147"/>
        <v>0</v>
      </c>
      <c r="M187" s="123">
        <f t="shared" si="147"/>
        <v>0</v>
      </c>
      <c r="N187" s="123">
        <f t="shared" si="147"/>
        <v>0</v>
      </c>
      <c r="O187" s="123">
        <f t="shared" si="147"/>
        <v>0</v>
      </c>
      <c r="P187" s="123">
        <f t="shared" si="147"/>
        <v>0</v>
      </c>
      <c r="Q187" s="123">
        <f t="shared" si="147"/>
        <v>0</v>
      </c>
      <c r="R187" s="123">
        <f t="shared" si="147"/>
        <v>0</v>
      </c>
      <c r="S187" s="123">
        <f t="shared" si="147"/>
        <v>0</v>
      </c>
      <c r="T187" s="123">
        <f t="shared" si="147"/>
        <v>0</v>
      </c>
      <c r="U187" s="123">
        <f t="shared" si="147"/>
        <v>0</v>
      </c>
      <c r="V187" s="123">
        <f t="shared" si="147"/>
        <v>0</v>
      </c>
      <c r="W187" s="123">
        <f t="shared" si="147"/>
        <v>0</v>
      </c>
      <c r="X187" s="123">
        <f t="shared" si="147"/>
        <v>0</v>
      </c>
      <c r="Y187" s="123">
        <f t="shared" si="147"/>
        <v>0</v>
      </c>
      <c r="Z187" s="123">
        <f t="shared" si="147"/>
        <v>0</v>
      </c>
      <c r="AA187" s="123">
        <f t="shared" si="147"/>
        <v>0</v>
      </c>
      <c r="AB187" s="123">
        <f t="shared" si="147"/>
        <v>0</v>
      </c>
      <c r="AC187" s="123">
        <f t="shared" si="147"/>
        <v>0</v>
      </c>
      <c r="AD187" s="123">
        <f t="shared" si="147"/>
        <v>0</v>
      </c>
      <c r="AE187" s="123">
        <f t="shared" si="147"/>
        <v>0</v>
      </c>
      <c r="AF187" s="123">
        <f t="shared" si="147"/>
        <v>0</v>
      </c>
      <c r="AG187" s="123">
        <f t="shared" si="147"/>
        <v>0</v>
      </c>
      <c r="AH187" s="123">
        <f t="shared" si="147"/>
        <v>0</v>
      </c>
      <c r="AI187" s="123">
        <f t="shared" si="147"/>
        <v>0</v>
      </c>
      <c r="AJ187" s="44" t="str">
        <f t="shared" si="127"/>
        <v/>
      </c>
      <c r="AK187" s="57"/>
      <c r="AL187" s="57" t="str">
        <f t="shared" si="92"/>
        <v>00</v>
      </c>
      <c r="AM187" s="59" t="str">
        <f t="shared" si="93"/>
        <v>00</v>
      </c>
      <c r="AN187" s="59" t="str">
        <f t="shared" si="94"/>
        <v>00</v>
      </c>
      <c r="AO187" s="59" t="str">
        <f t="shared" si="95"/>
        <v>00</v>
      </c>
      <c r="AQ187" t="str">
        <f t="shared" si="89"/>
        <v/>
      </c>
    </row>
    <row r="188" spans="2:43">
      <c r="B188" s="131"/>
      <c r="C188" s="44">
        <f t="shared" si="128"/>
        <v>52</v>
      </c>
      <c r="D188" s="123">
        <f t="shared" ref="D188:AI188" si="148">IF(OR(D58=0,D58=1),1,0)</f>
        <v>0</v>
      </c>
      <c r="E188" s="123">
        <f t="shared" si="148"/>
        <v>0</v>
      </c>
      <c r="F188" s="123">
        <f t="shared" si="148"/>
        <v>0</v>
      </c>
      <c r="G188" s="123">
        <f t="shared" si="148"/>
        <v>0</v>
      </c>
      <c r="H188" s="123">
        <f t="shared" si="148"/>
        <v>0</v>
      </c>
      <c r="I188" s="123">
        <f t="shared" si="148"/>
        <v>0</v>
      </c>
      <c r="J188" s="123">
        <f t="shared" si="148"/>
        <v>0</v>
      </c>
      <c r="K188" s="123">
        <f t="shared" si="148"/>
        <v>0</v>
      </c>
      <c r="L188" s="123">
        <f t="shared" si="148"/>
        <v>0</v>
      </c>
      <c r="M188" s="123">
        <f t="shared" si="148"/>
        <v>0</v>
      </c>
      <c r="N188" s="123">
        <f t="shared" si="148"/>
        <v>0</v>
      </c>
      <c r="O188" s="123">
        <f t="shared" si="148"/>
        <v>0</v>
      </c>
      <c r="P188" s="123">
        <f t="shared" si="148"/>
        <v>0</v>
      </c>
      <c r="Q188" s="123">
        <f t="shared" si="148"/>
        <v>0</v>
      </c>
      <c r="R188" s="123">
        <f t="shared" si="148"/>
        <v>0</v>
      </c>
      <c r="S188" s="123">
        <f t="shared" si="148"/>
        <v>0</v>
      </c>
      <c r="T188" s="123">
        <f t="shared" si="148"/>
        <v>0</v>
      </c>
      <c r="U188" s="123">
        <f t="shared" si="148"/>
        <v>0</v>
      </c>
      <c r="V188" s="123">
        <f t="shared" si="148"/>
        <v>0</v>
      </c>
      <c r="W188" s="123">
        <f t="shared" si="148"/>
        <v>0</v>
      </c>
      <c r="X188" s="123">
        <f t="shared" si="148"/>
        <v>0</v>
      </c>
      <c r="Y188" s="123">
        <f t="shared" si="148"/>
        <v>0</v>
      </c>
      <c r="Z188" s="123">
        <f t="shared" si="148"/>
        <v>0</v>
      </c>
      <c r="AA188" s="123">
        <f t="shared" si="148"/>
        <v>0</v>
      </c>
      <c r="AB188" s="123">
        <f t="shared" si="148"/>
        <v>0</v>
      </c>
      <c r="AC188" s="123">
        <f t="shared" si="148"/>
        <v>0</v>
      </c>
      <c r="AD188" s="123">
        <f t="shared" si="148"/>
        <v>0</v>
      </c>
      <c r="AE188" s="123">
        <f t="shared" si="148"/>
        <v>0</v>
      </c>
      <c r="AF188" s="123">
        <f t="shared" si="148"/>
        <v>0</v>
      </c>
      <c r="AG188" s="123">
        <f t="shared" si="148"/>
        <v>0</v>
      </c>
      <c r="AH188" s="123">
        <f t="shared" si="148"/>
        <v>0</v>
      </c>
      <c r="AI188" s="123">
        <f t="shared" si="148"/>
        <v>0</v>
      </c>
      <c r="AJ188" s="44" t="str">
        <f t="shared" si="127"/>
        <v/>
      </c>
      <c r="AK188" s="57"/>
      <c r="AL188" s="57" t="str">
        <f t="shared" si="92"/>
        <v>00</v>
      </c>
      <c r="AM188" s="59" t="str">
        <f t="shared" si="93"/>
        <v>00</v>
      </c>
      <c r="AN188" s="59" t="str">
        <f t="shared" si="94"/>
        <v>00</v>
      </c>
      <c r="AO188" s="59" t="str">
        <f t="shared" si="95"/>
        <v>00</v>
      </c>
      <c r="AQ188" t="str">
        <f t="shared" si="89"/>
        <v/>
      </c>
    </row>
    <row r="189" spans="2:43">
      <c r="B189" s="131"/>
      <c r="C189" s="44">
        <f t="shared" si="128"/>
        <v>53</v>
      </c>
      <c r="D189" s="123">
        <f t="shared" ref="D189:AI189" si="149">IF(OR(D59=0,D59=1),1,0)</f>
        <v>0</v>
      </c>
      <c r="E189" s="123">
        <f t="shared" si="149"/>
        <v>0</v>
      </c>
      <c r="F189" s="123">
        <f t="shared" si="149"/>
        <v>0</v>
      </c>
      <c r="G189" s="123">
        <f t="shared" si="149"/>
        <v>0</v>
      </c>
      <c r="H189" s="123">
        <f t="shared" si="149"/>
        <v>0</v>
      </c>
      <c r="I189" s="123">
        <f t="shared" si="149"/>
        <v>0</v>
      </c>
      <c r="J189" s="123">
        <f t="shared" si="149"/>
        <v>0</v>
      </c>
      <c r="K189" s="123">
        <f t="shared" si="149"/>
        <v>0</v>
      </c>
      <c r="L189" s="123">
        <f t="shared" si="149"/>
        <v>0</v>
      </c>
      <c r="M189" s="123">
        <f t="shared" si="149"/>
        <v>0</v>
      </c>
      <c r="N189" s="123">
        <f t="shared" si="149"/>
        <v>0</v>
      </c>
      <c r="O189" s="123">
        <f t="shared" si="149"/>
        <v>0</v>
      </c>
      <c r="P189" s="123">
        <f t="shared" si="149"/>
        <v>0</v>
      </c>
      <c r="Q189" s="123">
        <f t="shared" si="149"/>
        <v>0</v>
      </c>
      <c r="R189" s="123">
        <f t="shared" si="149"/>
        <v>0</v>
      </c>
      <c r="S189" s="123">
        <f t="shared" si="149"/>
        <v>0</v>
      </c>
      <c r="T189" s="123">
        <f t="shared" si="149"/>
        <v>0</v>
      </c>
      <c r="U189" s="123">
        <f t="shared" si="149"/>
        <v>0</v>
      </c>
      <c r="V189" s="123">
        <f t="shared" si="149"/>
        <v>0</v>
      </c>
      <c r="W189" s="123">
        <f t="shared" si="149"/>
        <v>0</v>
      </c>
      <c r="X189" s="123">
        <f t="shared" si="149"/>
        <v>0</v>
      </c>
      <c r="Y189" s="123">
        <f t="shared" si="149"/>
        <v>0</v>
      </c>
      <c r="Z189" s="123">
        <f t="shared" si="149"/>
        <v>0</v>
      </c>
      <c r="AA189" s="123">
        <f t="shared" si="149"/>
        <v>0</v>
      </c>
      <c r="AB189" s="123">
        <f t="shared" si="149"/>
        <v>0</v>
      </c>
      <c r="AC189" s="123">
        <f t="shared" si="149"/>
        <v>0</v>
      </c>
      <c r="AD189" s="123">
        <f t="shared" si="149"/>
        <v>0</v>
      </c>
      <c r="AE189" s="123">
        <f t="shared" si="149"/>
        <v>0</v>
      </c>
      <c r="AF189" s="123">
        <f t="shared" si="149"/>
        <v>0</v>
      </c>
      <c r="AG189" s="123">
        <f t="shared" si="149"/>
        <v>0</v>
      </c>
      <c r="AH189" s="123">
        <f t="shared" si="149"/>
        <v>0</v>
      </c>
      <c r="AI189" s="123">
        <f t="shared" si="149"/>
        <v>0</v>
      </c>
      <c r="AJ189" s="44" t="str">
        <f t="shared" si="127"/>
        <v/>
      </c>
      <c r="AK189" s="57"/>
      <c r="AL189" s="57" t="str">
        <f t="shared" si="92"/>
        <v>00</v>
      </c>
      <c r="AM189" s="59" t="str">
        <f t="shared" si="93"/>
        <v>00</v>
      </c>
      <c r="AN189" s="59" t="str">
        <f t="shared" si="94"/>
        <v>00</v>
      </c>
      <c r="AO189" s="59" t="str">
        <f t="shared" si="95"/>
        <v>00</v>
      </c>
      <c r="AQ189" t="str">
        <f t="shared" si="89"/>
        <v/>
      </c>
    </row>
    <row r="190" spans="2:43">
      <c r="B190" s="131"/>
      <c r="C190" s="44">
        <f t="shared" si="128"/>
        <v>54</v>
      </c>
      <c r="D190" s="123">
        <f t="shared" ref="D190:AI190" si="150">IF(OR(D60=0,D60=1),1,0)</f>
        <v>0</v>
      </c>
      <c r="E190" s="123">
        <f t="shared" si="150"/>
        <v>0</v>
      </c>
      <c r="F190" s="123">
        <f t="shared" si="150"/>
        <v>0</v>
      </c>
      <c r="G190" s="123">
        <f t="shared" si="150"/>
        <v>0</v>
      </c>
      <c r="H190" s="123">
        <f t="shared" si="150"/>
        <v>0</v>
      </c>
      <c r="I190" s="123">
        <f t="shared" si="150"/>
        <v>0</v>
      </c>
      <c r="J190" s="123">
        <f t="shared" si="150"/>
        <v>0</v>
      </c>
      <c r="K190" s="123">
        <f t="shared" si="150"/>
        <v>0</v>
      </c>
      <c r="L190" s="123">
        <f t="shared" si="150"/>
        <v>0</v>
      </c>
      <c r="M190" s="123">
        <f t="shared" si="150"/>
        <v>0</v>
      </c>
      <c r="N190" s="123">
        <f t="shared" si="150"/>
        <v>0</v>
      </c>
      <c r="O190" s="123">
        <f t="shared" si="150"/>
        <v>0</v>
      </c>
      <c r="P190" s="123">
        <f t="shared" si="150"/>
        <v>0</v>
      </c>
      <c r="Q190" s="123">
        <f t="shared" si="150"/>
        <v>0</v>
      </c>
      <c r="R190" s="123">
        <f t="shared" si="150"/>
        <v>0</v>
      </c>
      <c r="S190" s="123">
        <f t="shared" si="150"/>
        <v>0</v>
      </c>
      <c r="T190" s="123">
        <f t="shared" si="150"/>
        <v>0</v>
      </c>
      <c r="U190" s="123">
        <f t="shared" si="150"/>
        <v>0</v>
      </c>
      <c r="V190" s="123">
        <f t="shared" si="150"/>
        <v>0</v>
      </c>
      <c r="W190" s="123">
        <f t="shared" si="150"/>
        <v>0</v>
      </c>
      <c r="X190" s="123">
        <f t="shared" si="150"/>
        <v>0</v>
      </c>
      <c r="Y190" s="123">
        <f t="shared" si="150"/>
        <v>0</v>
      </c>
      <c r="Z190" s="123">
        <f t="shared" si="150"/>
        <v>0</v>
      </c>
      <c r="AA190" s="123">
        <f t="shared" si="150"/>
        <v>0</v>
      </c>
      <c r="AB190" s="123">
        <f t="shared" si="150"/>
        <v>0</v>
      </c>
      <c r="AC190" s="123">
        <f t="shared" si="150"/>
        <v>0</v>
      </c>
      <c r="AD190" s="123">
        <f t="shared" si="150"/>
        <v>0</v>
      </c>
      <c r="AE190" s="123">
        <f t="shared" si="150"/>
        <v>0</v>
      </c>
      <c r="AF190" s="123">
        <f t="shared" si="150"/>
        <v>0</v>
      </c>
      <c r="AG190" s="123">
        <f t="shared" si="150"/>
        <v>0</v>
      </c>
      <c r="AH190" s="123">
        <f t="shared" si="150"/>
        <v>0</v>
      </c>
      <c r="AI190" s="123">
        <f t="shared" si="150"/>
        <v>0</v>
      </c>
      <c r="AJ190" s="44" t="str">
        <f t="shared" si="127"/>
        <v/>
      </c>
      <c r="AK190" s="57"/>
      <c r="AL190" s="57" t="str">
        <f t="shared" si="92"/>
        <v>00</v>
      </c>
      <c r="AM190" s="59" t="str">
        <f t="shared" si="93"/>
        <v>00</v>
      </c>
      <c r="AN190" s="59" t="str">
        <f t="shared" si="94"/>
        <v>00</v>
      </c>
      <c r="AO190" s="59" t="str">
        <f t="shared" si="95"/>
        <v>00</v>
      </c>
      <c r="AQ190" t="str">
        <f t="shared" si="89"/>
        <v/>
      </c>
    </row>
    <row r="191" spans="2:43">
      <c r="B191" s="131"/>
      <c r="C191" s="44">
        <f t="shared" si="128"/>
        <v>55</v>
      </c>
      <c r="D191" s="123">
        <f t="shared" ref="D191:AI191" si="151">IF(OR(D61=0,D61=1),1,0)</f>
        <v>0</v>
      </c>
      <c r="E191" s="123">
        <f t="shared" si="151"/>
        <v>0</v>
      </c>
      <c r="F191" s="123">
        <f t="shared" si="151"/>
        <v>0</v>
      </c>
      <c r="G191" s="123">
        <f t="shared" si="151"/>
        <v>0</v>
      </c>
      <c r="H191" s="123">
        <f t="shared" si="151"/>
        <v>0</v>
      </c>
      <c r="I191" s="123">
        <f t="shared" si="151"/>
        <v>0</v>
      </c>
      <c r="J191" s="123">
        <f t="shared" si="151"/>
        <v>0</v>
      </c>
      <c r="K191" s="123">
        <f t="shared" si="151"/>
        <v>0</v>
      </c>
      <c r="L191" s="123">
        <f t="shared" si="151"/>
        <v>0</v>
      </c>
      <c r="M191" s="123">
        <f t="shared" si="151"/>
        <v>0</v>
      </c>
      <c r="N191" s="123">
        <f t="shared" si="151"/>
        <v>0</v>
      </c>
      <c r="O191" s="123">
        <f t="shared" si="151"/>
        <v>0</v>
      </c>
      <c r="P191" s="123">
        <f t="shared" si="151"/>
        <v>0</v>
      </c>
      <c r="Q191" s="123">
        <f t="shared" si="151"/>
        <v>0</v>
      </c>
      <c r="R191" s="123">
        <f t="shared" si="151"/>
        <v>0</v>
      </c>
      <c r="S191" s="123">
        <f t="shared" si="151"/>
        <v>0</v>
      </c>
      <c r="T191" s="123">
        <f t="shared" si="151"/>
        <v>0</v>
      </c>
      <c r="U191" s="123">
        <f t="shared" si="151"/>
        <v>0</v>
      </c>
      <c r="V191" s="123">
        <f t="shared" si="151"/>
        <v>0</v>
      </c>
      <c r="W191" s="123">
        <f t="shared" si="151"/>
        <v>0</v>
      </c>
      <c r="X191" s="123">
        <f t="shared" si="151"/>
        <v>0</v>
      </c>
      <c r="Y191" s="123">
        <f t="shared" si="151"/>
        <v>0</v>
      </c>
      <c r="Z191" s="123">
        <f t="shared" si="151"/>
        <v>0</v>
      </c>
      <c r="AA191" s="123">
        <f t="shared" si="151"/>
        <v>0</v>
      </c>
      <c r="AB191" s="123">
        <f t="shared" si="151"/>
        <v>0</v>
      </c>
      <c r="AC191" s="123">
        <f t="shared" si="151"/>
        <v>0</v>
      </c>
      <c r="AD191" s="123">
        <f t="shared" si="151"/>
        <v>0</v>
      </c>
      <c r="AE191" s="123">
        <f t="shared" si="151"/>
        <v>0</v>
      </c>
      <c r="AF191" s="123">
        <f t="shared" si="151"/>
        <v>0</v>
      </c>
      <c r="AG191" s="123">
        <f t="shared" si="151"/>
        <v>0</v>
      </c>
      <c r="AH191" s="123">
        <f t="shared" si="151"/>
        <v>0</v>
      </c>
      <c r="AI191" s="123">
        <f t="shared" si="151"/>
        <v>0</v>
      </c>
      <c r="AJ191" s="44" t="str">
        <f t="shared" si="127"/>
        <v/>
      </c>
      <c r="AK191" s="57"/>
      <c r="AL191" s="57" t="str">
        <f t="shared" si="92"/>
        <v>00</v>
      </c>
      <c r="AM191" s="59" t="str">
        <f t="shared" si="93"/>
        <v>00</v>
      </c>
      <c r="AN191" s="59" t="str">
        <f t="shared" si="94"/>
        <v>00</v>
      </c>
      <c r="AO191" s="59" t="str">
        <f t="shared" si="95"/>
        <v>00</v>
      </c>
      <c r="AQ191" t="str">
        <f t="shared" si="89"/>
        <v/>
      </c>
    </row>
    <row r="192" spans="2:43">
      <c r="B192" s="131"/>
      <c r="C192" s="44">
        <f t="shared" si="128"/>
        <v>56</v>
      </c>
      <c r="D192" s="123">
        <f t="shared" ref="D192:AI192" si="152">IF(OR(D62=0,D62=1),1,0)</f>
        <v>0</v>
      </c>
      <c r="E192" s="123">
        <f t="shared" si="152"/>
        <v>0</v>
      </c>
      <c r="F192" s="123">
        <f t="shared" si="152"/>
        <v>0</v>
      </c>
      <c r="G192" s="123">
        <f t="shared" si="152"/>
        <v>0</v>
      </c>
      <c r="H192" s="123">
        <f t="shared" si="152"/>
        <v>0</v>
      </c>
      <c r="I192" s="123">
        <f t="shared" si="152"/>
        <v>0</v>
      </c>
      <c r="J192" s="123">
        <f t="shared" si="152"/>
        <v>0</v>
      </c>
      <c r="K192" s="123">
        <f t="shared" si="152"/>
        <v>0</v>
      </c>
      <c r="L192" s="123">
        <f t="shared" si="152"/>
        <v>0</v>
      </c>
      <c r="M192" s="123">
        <f t="shared" si="152"/>
        <v>0</v>
      </c>
      <c r="N192" s="123">
        <f t="shared" si="152"/>
        <v>0</v>
      </c>
      <c r="O192" s="123">
        <f t="shared" si="152"/>
        <v>0</v>
      </c>
      <c r="P192" s="123">
        <f t="shared" si="152"/>
        <v>0</v>
      </c>
      <c r="Q192" s="123">
        <f t="shared" si="152"/>
        <v>0</v>
      </c>
      <c r="R192" s="123">
        <f t="shared" si="152"/>
        <v>0</v>
      </c>
      <c r="S192" s="123">
        <f t="shared" si="152"/>
        <v>0</v>
      </c>
      <c r="T192" s="123">
        <f t="shared" si="152"/>
        <v>0</v>
      </c>
      <c r="U192" s="123">
        <f t="shared" si="152"/>
        <v>0</v>
      </c>
      <c r="V192" s="123">
        <f t="shared" si="152"/>
        <v>0</v>
      </c>
      <c r="W192" s="123">
        <f t="shared" si="152"/>
        <v>0</v>
      </c>
      <c r="X192" s="123">
        <f t="shared" si="152"/>
        <v>0</v>
      </c>
      <c r="Y192" s="123">
        <f t="shared" si="152"/>
        <v>0</v>
      </c>
      <c r="Z192" s="123">
        <f t="shared" si="152"/>
        <v>0</v>
      </c>
      <c r="AA192" s="123">
        <f t="shared" si="152"/>
        <v>0</v>
      </c>
      <c r="AB192" s="123">
        <f t="shared" si="152"/>
        <v>0</v>
      </c>
      <c r="AC192" s="123">
        <f t="shared" si="152"/>
        <v>0</v>
      </c>
      <c r="AD192" s="123">
        <f t="shared" si="152"/>
        <v>0</v>
      </c>
      <c r="AE192" s="123">
        <f t="shared" si="152"/>
        <v>0</v>
      </c>
      <c r="AF192" s="123">
        <f t="shared" si="152"/>
        <v>0</v>
      </c>
      <c r="AG192" s="123">
        <f t="shared" si="152"/>
        <v>0</v>
      </c>
      <c r="AH192" s="123">
        <f t="shared" si="152"/>
        <v>0</v>
      </c>
      <c r="AI192" s="123">
        <f t="shared" si="152"/>
        <v>0</v>
      </c>
      <c r="AJ192" s="44" t="str">
        <f t="shared" si="127"/>
        <v/>
      </c>
      <c r="AK192" s="57"/>
      <c r="AL192" s="57" t="str">
        <f t="shared" si="92"/>
        <v>00</v>
      </c>
      <c r="AM192" s="59" t="str">
        <f t="shared" si="93"/>
        <v>00</v>
      </c>
      <c r="AN192" s="59" t="str">
        <f t="shared" si="94"/>
        <v>00</v>
      </c>
      <c r="AO192" s="59" t="str">
        <f t="shared" si="95"/>
        <v>00</v>
      </c>
      <c r="AQ192" t="str">
        <f t="shared" si="89"/>
        <v/>
      </c>
    </row>
    <row r="193" spans="2:43">
      <c r="B193" s="131"/>
      <c r="C193" s="44">
        <f t="shared" si="128"/>
        <v>57</v>
      </c>
      <c r="D193" s="123">
        <f t="shared" ref="D193:AI193" si="153">IF(OR(D63=0,D63=1),1,0)</f>
        <v>0</v>
      </c>
      <c r="E193" s="123">
        <f t="shared" si="153"/>
        <v>0</v>
      </c>
      <c r="F193" s="123">
        <f t="shared" si="153"/>
        <v>0</v>
      </c>
      <c r="G193" s="123">
        <f t="shared" si="153"/>
        <v>0</v>
      </c>
      <c r="H193" s="123">
        <f t="shared" si="153"/>
        <v>0</v>
      </c>
      <c r="I193" s="123">
        <f t="shared" si="153"/>
        <v>0</v>
      </c>
      <c r="J193" s="123">
        <f t="shared" si="153"/>
        <v>0</v>
      </c>
      <c r="K193" s="123">
        <f t="shared" si="153"/>
        <v>0</v>
      </c>
      <c r="L193" s="123">
        <f t="shared" si="153"/>
        <v>0</v>
      </c>
      <c r="M193" s="123">
        <f t="shared" si="153"/>
        <v>0</v>
      </c>
      <c r="N193" s="123">
        <f t="shared" si="153"/>
        <v>0</v>
      </c>
      <c r="O193" s="123">
        <f t="shared" si="153"/>
        <v>0</v>
      </c>
      <c r="P193" s="123">
        <f t="shared" si="153"/>
        <v>0</v>
      </c>
      <c r="Q193" s="123">
        <f t="shared" si="153"/>
        <v>0</v>
      </c>
      <c r="R193" s="123">
        <f t="shared" si="153"/>
        <v>0</v>
      </c>
      <c r="S193" s="123">
        <f t="shared" si="153"/>
        <v>0</v>
      </c>
      <c r="T193" s="123">
        <f t="shared" si="153"/>
        <v>0</v>
      </c>
      <c r="U193" s="123">
        <f t="shared" si="153"/>
        <v>0</v>
      </c>
      <c r="V193" s="123">
        <f t="shared" si="153"/>
        <v>0</v>
      </c>
      <c r="W193" s="123">
        <f t="shared" si="153"/>
        <v>0</v>
      </c>
      <c r="X193" s="123">
        <f t="shared" si="153"/>
        <v>0</v>
      </c>
      <c r="Y193" s="123">
        <f t="shared" si="153"/>
        <v>0</v>
      </c>
      <c r="Z193" s="123">
        <f t="shared" si="153"/>
        <v>0</v>
      </c>
      <c r="AA193" s="123">
        <f t="shared" si="153"/>
        <v>0</v>
      </c>
      <c r="AB193" s="123">
        <f t="shared" si="153"/>
        <v>0</v>
      </c>
      <c r="AC193" s="123">
        <f t="shared" si="153"/>
        <v>0</v>
      </c>
      <c r="AD193" s="123">
        <f t="shared" si="153"/>
        <v>0</v>
      </c>
      <c r="AE193" s="123">
        <f t="shared" si="153"/>
        <v>0</v>
      </c>
      <c r="AF193" s="123">
        <f t="shared" si="153"/>
        <v>0</v>
      </c>
      <c r="AG193" s="123">
        <f t="shared" si="153"/>
        <v>0</v>
      </c>
      <c r="AH193" s="123">
        <f t="shared" si="153"/>
        <v>0</v>
      </c>
      <c r="AI193" s="123">
        <f t="shared" si="153"/>
        <v>0</v>
      </c>
      <c r="AJ193" s="44" t="str">
        <f t="shared" si="127"/>
        <v/>
      </c>
      <c r="AK193" s="57"/>
      <c r="AL193" s="57" t="str">
        <f t="shared" si="92"/>
        <v>00</v>
      </c>
      <c r="AM193" s="59" t="str">
        <f t="shared" si="93"/>
        <v>00</v>
      </c>
      <c r="AN193" s="59" t="str">
        <f t="shared" si="94"/>
        <v>00</v>
      </c>
      <c r="AO193" s="59" t="str">
        <f t="shared" si="95"/>
        <v>00</v>
      </c>
      <c r="AQ193" t="str">
        <f t="shared" si="89"/>
        <v/>
      </c>
    </row>
    <row r="194" spans="2:43">
      <c r="B194" s="131"/>
      <c r="C194" s="44">
        <f t="shared" si="128"/>
        <v>58</v>
      </c>
      <c r="D194" s="123">
        <f t="shared" ref="D194:AI194" si="154">IF(OR(D64=0,D64=1),1,0)</f>
        <v>0</v>
      </c>
      <c r="E194" s="123">
        <f t="shared" si="154"/>
        <v>0</v>
      </c>
      <c r="F194" s="123">
        <f t="shared" si="154"/>
        <v>0</v>
      </c>
      <c r="G194" s="123">
        <f t="shared" si="154"/>
        <v>0</v>
      </c>
      <c r="H194" s="123">
        <f t="shared" si="154"/>
        <v>0</v>
      </c>
      <c r="I194" s="123">
        <f t="shared" si="154"/>
        <v>0</v>
      </c>
      <c r="J194" s="123">
        <f t="shared" si="154"/>
        <v>0</v>
      </c>
      <c r="K194" s="123">
        <f t="shared" si="154"/>
        <v>0</v>
      </c>
      <c r="L194" s="123">
        <f t="shared" si="154"/>
        <v>0</v>
      </c>
      <c r="M194" s="123">
        <f t="shared" si="154"/>
        <v>0</v>
      </c>
      <c r="N194" s="123">
        <f t="shared" si="154"/>
        <v>0</v>
      </c>
      <c r="O194" s="123">
        <f t="shared" si="154"/>
        <v>0</v>
      </c>
      <c r="P194" s="123">
        <f t="shared" si="154"/>
        <v>0</v>
      </c>
      <c r="Q194" s="123">
        <f t="shared" si="154"/>
        <v>0</v>
      </c>
      <c r="R194" s="123">
        <f t="shared" si="154"/>
        <v>0</v>
      </c>
      <c r="S194" s="123">
        <f t="shared" si="154"/>
        <v>0</v>
      </c>
      <c r="T194" s="123">
        <f t="shared" si="154"/>
        <v>0</v>
      </c>
      <c r="U194" s="123">
        <f t="shared" si="154"/>
        <v>0</v>
      </c>
      <c r="V194" s="123">
        <f t="shared" si="154"/>
        <v>0</v>
      </c>
      <c r="W194" s="123">
        <f t="shared" si="154"/>
        <v>0</v>
      </c>
      <c r="X194" s="123">
        <f t="shared" si="154"/>
        <v>0</v>
      </c>
      <c r="Y194" s="123">
        <f t="shared" si="154"/>
        <v>0</v>
      </c>
      <c r="Z194" s="123">
        <f t="shared" si="154"/>
        <v>0</v>
      </c>
      <c r="AA194" s="123">
        <f t="shared" si="154"/>
        <v>0</v>
      </c>
      <c r="AB194" s="123">
        <f t="shared" si="154"/>
        <v>0</v>
      </c>
      <c r="AC194" s="123">
        <f t="shared" si="154"/>
        <v>0</v>
      </c>
      <c r="AD194" s="123">
        <f t="shared" si="154"/>
        <v>0</v>
      </c>
      <c r="AE194" s="123">
        <f t="shared" si="154"/>
        <v>0</v>
      </c>
      <c r="AF194" s="123">
        <f t="shared" si="154"/>
        <v>0</v>
      </c>
      <c r="AG194" s="123">
        <f t="shared" si="154"/>
        <v>0</v>
      </c>
      <c r="AH194" s="123">
        <f t="shared" si="154"/>
        <v>0</v>
      </c>
      <c r="AI194" s="123">
        <f t="shared" si="154"/>
        <v>0</v>
      </c>
      <c r="AJ194" s="44" t="str">
        <f t="shared" si="127"/>
        <v/>
      </c>
      <c r="AK194" s="57"/>
      <c r="AL194" s="57" t="str">
        <f t="shared" si="92"/>
        <v>00</v>
      </c>
      <c r="AM194" s="59" t="str">
        <f t="shared" si="93"/>
        <v>00</v>
      </c>
      <c r="AN194" s="59" t="str">
        <f t="shared" si="94"/>
        <v>00</v>
      </c>
      <c r="AO194" s="59" t="str">
        <f t="shared" si="95"/>
        <v>00</v>
      </c>
      <c r="AQ194" t="str">
        <f t="shared" si="89"/>
        <v/>
      </c>
    </row>
    <row r="195" spans="2:43">
      <c r="B195" s="131"/>
      <c r="C195" s="44">
        <f t="shared" si="128"/>
        <v>59</v>
      </c>
      <c r="D195" s="123">
        <f t="shared" ref="D195:AI195" si="155">IF(OR(D65=0,D65=1),1,0)</f>
        <v>0</v>
      </c>
      <c r="E195" s="123">
        <f t="shared" si="155"/>
        <v>0</v>
      </c>
      <c r="F195" s="123">
        <f t="shared" si="155"/>
        <v>0</v>
      </c>
      <c r="G195" s="123">
        <f t="shared" si="155"/>
        <v>0</v>
      </c>
      <c r="H195" s="123">
        <f t="shared" si="155"/>
        <v>0</v>
      </c>
      <c r="I195" s="123">
        <f t="shared" si="155"/>
        <v>0</v>
      </c>
      <c r="J195" s="123">
        <f t="shared" si="155"/>
        <v>0</v>
      </c>
      <c r="K195" s="123">
        <f t="shared" si="155"/>
        <v>0</v>
      </c>
      <c r="L195" s="123">
        <f t="shared" si="155"/>
        <v>0</v>
      </c>
      <c r="M195" s="123">
        <f t="shared" si="155"/>
        <v>0</v>
      </c>
      <c r="N195" s="123">
        <f t="shared" si="155"/>
        <v>0</v>
      </c>
      <c r="O195" s="123">
        <f t="shared" si="155"/>
        <v>0</v>
      </c>
      <c r="P195" s="123">
        <f t="shared" si="155"/>
        <v>0</v>
      </c>
      <c r="Q195" s="123">
        <f t="shared" si="155"/>
        <v>0</v>
      </c>
      <c r="R195" s="123">
        <f t="shared" si="155"/>
        <v>0</v>
      </c>
      <c r="S195" s="123">
        <f t="shared" si="155"/>
        <v>0</v>
      </c>
      <c r="T195" s="123">
        <f t="shared" si="155"/>
        <v>0</v>
      </c>
      <c r="U195" s="123">
        <f t="shared" si="155"/>
        <v>0</v>
      </c>
      <c r="V195" s="123">
        <f t="shared" si="155"/>
        <v>0</v>
      </c>
      <c r="W195" s="123">
        <f t="shared" si="155"/>
        <v>0</v>
      </c>
      <c r="X195" s="123">
        <f t="shared" si="155"/>
        <v>0</v>
      </c>
      <c r="Y195" s="123">
        <f t="shared" si="155"/>
        <v>0</v>
      </c>
      <c r="Z195" s="123">
        <f t="shared" si="155"/>
        <v>0</v>
      </c>
      <c r="AA195" s="123">
        <f t="shared" si="155"/>
        <v>0</v>
      </c>
      <c r="AB195" s="123">
        <f t="shared" si="155"/>
        <v>0</v>
      </c>
      <c r="AC195" s="123">
        <f t="shared" si="155"/>
        <v>0</v>
      </c>
      <c r="AD195" s="123">
        <f t="shared" si="155"/>
        <v>0</v>
      </c>
      <c r="AE195" s="123">
        <f t="shared" si="155"/>
        <v>0</v>
      </c>
      <c r="AF195" s="123">
        <f t="shared" si="155"/>
        <v>0</v>
      </c>
      <c r="AG195" s="123">
        <f t="shared" si="155"/>
        <v>0</v>
      </c>
      <c r="AH195" s="123">
        <f t="shared" si="155"/>
        <v>0</v>
      </c>
      <c r="AI195" s="123">
        <f t="shared" si="155"/>
        <v>0</v>
      </c>
      <c r="AJ195" s="44" t="str">
        <f t="shared" si="127"/>
        <v/>
      </c>
      <c r="AK195" s="57"/>
      <c r="AL195" s="57" t="str">
        <f t="shared" si="92"/>
        <v>00</v>
      </c>
      <c r="AM195" s="59" t="str">
        <f t="shared" si="93"/>
        <v>00</v>
      </c>
      <c r="AN195" s="59" t="str">
        <f t="shared" si="94"/>
        <v>00</v>
      </c>
      <c r="AO195" s="59" t="str">
        <f t="shared" si="95"/>
        <v>00</v>
      </c>
      <c r="AQ195" t="str">
        <f t="shared" si="89"/>
        <v/>
      </c>
    </row>
    <row r="196" spans="2:43">
      <c r="B196" s="131"/>
      <c r="C196" s="44">
        <f t="shared" si="128"/>
        <v>60</v>
      </c>
      <c r="D196" s="123">
        <f t="shared" ref="D196:AI196" si="156">IF(OR(D66=0,D66=1),1,0)</f>
        <v>0</v>
      </c>
      <c r="E196" s="123">
        <f t="shared" si="156"/>
        <v>0</v>
      </c>
      <c r="F196" s="123">
        <f t="shared" si="156"/>
        <v>0</v>
      </c>
      <c r="G196" s="123">
        <f t="shared" si="156"/>
        <v>0</v>
      </c>
      <c r="H196" s="123">
        <f t="shared" si="156"/>
        <v>0</v>
      </c>
      <c r="I196" s="123">
        <f t="shared" si="156"/>
        <v>0</v>
      </c>
      <c r="J196" s="123">
        <f t="shared" si="156"/>
        <v>0</v>
      </c>
      <c r="K196" s="123">
        <f t="shared" si="156"/>
        <v>0</v>
      </c>
      <c r="L196" s="123">
        <f t="shared" si="156"/>
        <v>0</v>
      </c>
      <c r="M196" s="123">
        <f t="shared" si="156"/>
        <v>0</v>
      </c>
      <c r="N196" s="123">
        <f t="shared" si="156"/>
        <v>0</v>
      </c>
      <c r="O196" s="123">
        <f t="shared" si="156"/>
        <v>0</v>
      </c>
      <c r="P196" s="123">
        <f t="shared" si="156"/>
        <v>0</v>
      </c>
      <c r="Q196" s="123">
        <f t="shared" si="156"/>
        <v>0</v>
      </c>
      <c r="R196" s="123">
        <f t="shared" si="156"/>
        <v>0</v>
      </c>
      <c r="S196" s="123">
        <f t="shared" si="156"/>
        <v>0</v>
      </c>
      <c r="T196" s="123">
        <f t="shared" si="156"/>
        <v>0</v>
      </c>
      <c r="U196" s="123">
        <f t="shared" si="156"/>
        <v>0</v>
      </c>
      <c r="V196" s="123">
        <f t="shared" si="156"/>
        <v>0</v>
      </c>
      <c r="W196" s="123">
        <f t="shared" si="156"/>
        <v>0</v>
      </c>
      <c r="X196" s="123">
        <f t="shared" si="156"/>
        <v>0</v>
      </c>
      <c r="Y196" s="123">
        <f t="shared" si="156"/>
        <v>0</v>
      </c>
      <c r="Z196" s="123">
        <f t="shared" si="156"/>
        <v>0</v>
      </c>
      <c r="AA196" s="123">
        <f t="shared" si="156"/>
        <v>0</v>
      </c>
      <c r="AB196" s="123">
        <f t="shared" si="156"/>
        <v>0</v>
      </c>
      <c r="AC196" s="123">
        <f t="shared" si="156"/>
        <v>0</v>
      </c>
      <c r="AD196" s="123">
        <f t="shared" si="156"/>
        <v>0</v>
      </c>
      <c r="AE196" s="123">
        <f t="shared" si="156"/>
        <v>0</v>
      </c>
      <c r="AF196" s="123">
        <f t="shared" si="156"/>
        <v>0</v>
      </c>
      <c r="AG196" s="123">
        <f t="shared" si="156"/>
        <v>0</v>
      </c>
      <c r="AH196" s="123">
        <f t="shared" si="156"/>
        <v>0</v>
      </c>
      <c r="AI196" s="123">
        <f t="shared" si="156"/>
        <v>0</v>
      </c>
      <c r="AJ196" s="44" t="str">
        <f t="shared" si="127"/>
        <v/>
      </c>
      <c r="AK196" s="57"/>
      <c r="AL196" s="57" t="str">
        <f t="shared" si="92"/>
        <v>00</v>
      </c>
      <c r="AM196" s="59" t="str">
        <f t="shared" si="93"/>
        <v>00</v>
      </c>
      <c r="AN196" s="59" t="str">
        <f t="shared" si="94"/>
        <v>00</v>
      </c>
      <c r="AO196" s="59" t="str">
        <f t="shared" si="95"/>
        <v>00</v>
      </c>
      <c r="AQ196" t="str">
        <f t="shared" si="89"/>
        <v/>
      </c>
    </row>
    <row r="197" spans="2:43">
      <c r="B197" s="131"/>
      <c r="C197" s="44">
        <f t="shared" si="128"/>
        <v>61</v>
      </c>
      <c r="D197" s="123">
        <f t="shared" ref="D197:AI197" si="157">IF(OR(D67=0,D67=1),1,0)</f>
        <v>0</v>
      </c>
      <c r="E197" s="123">
        <f t="shared" si="157"/>
        <v>0</v>
      </c>
      <c r="F197" s="123">
        <f t="shared" si="157"/>
        <v>0</v>
      </c>
      <c r="G197" s="123">
        <f t="shared" si="157"/>
        <v>0</v>
      </c>
      <c r="H197" s="123">
        <f t="shared" si="157"/>
        <v>0</v>
      </c>
      <c r="I197" s="123">
        <f t="shared" si="157"/>
        <v>0</v>
      </c>
      <c r="J197" s="123">
        <f t="shared" si="157"/>
        <v>0</v>
      </c>
      <c r="K197" s="123">
        <f t="shared" si="157"/>
        <v>0</v>
      </c>
      <c r="L197" s="123">
        <f t="shared" si="157"/>
        <v>0</v>
      </c>
      <c r="M197" s="123">
        <f t="shared" si="157"/>
        <v>0</v>
      </c>
      <c r="N197" s="123">
        <f t="shared" si="157"/>
        <v>0</v>
      </c>
      <c r="O197" s="123">
        <f t="shared" si="157"/>
        <v>0</v>
      </c>
      <c r="P197" s="123">
        <f t="shared" si="157"/>
        <v>0</v>
      </c>
      <c r="Q197" s="123">
        <f t="shared" si="157"/>
        <v>0</v>
      </c>
      <c r="R197" s="123">
        <f t="shared" si="157"/>
        <v>0</v>
      </c>
      <c r="S197" s="123">
        <f t="shared" si="157"/>
        <v>0</v>
      </c>
      <c r="T197" s="123">
        <f t="shared" si="157"/>
        <v>0</v>
      </c>
      <c r="U197" s="123">
        <f t="shared" si="157"/>
        <v>0</v>
      </c>
      <c r="V197" s="123">
        <f t="shared" si="157"/>
        <v>0</v>
      </c>
      <c r="W197" s="123">
        <f t="shared" si="157"/>
        <v>0</v>
      </c>
      <c r="X197" s="123">
        <f t="shared" si="157"/>
        <v>0</v>
      </c>
      <c r="Y197" s="123">
        <f t="shared" si="157"/>
        <v>0</v>
      </c>
      <c r="Z197" s="123">
        <f t="shared" si="157"/>
        <v>0</v>
      </c>
      <c r="AA197" s="123">
        <f t="shared" si="157"/>
        <v>0</v>
      </c>
      <c r="AB197" s="123">
        <f t="shared" si="157"/>
        <v>0</v>
      </c>
      <c r="AC197" s="123">
        <f t="shared" si="157"/>
        <v>0</v>
      </c>
      <c r="AD197" s="123">
        <f t="shared" si="157"/>
        <v>0</v>
      </c>
      <c r="AE197" s="123">
        <f t="shared" si="157"/>
        <v>0</v>
      </c>
      <c r="AF197" s="123">
        <f t="shared" si="157"/>
        <v>0</v>
      </c>
      <c r="AG197" s="123">
        <f t="shared" si="157"/>
        <v>0</v>
      </c>
      <c r="AH197" s="123">
        <f t="shared" si="157"/>
        <v>0</v>
      </c>
      <c r="AI197" s="123">
        <f t="shared" si="157"/>
        <v>0</v>
      </c>
      <c r="AJ197" s="44" t="str">
        <f t="shared" si="127"/>
        <v/>
      </c>
      <c r="AK197" s="57"/>
      <c r="AL197" s="57" t="str">
        <f t="shared" si="92"/>
        <v>00</v>
      </c>
      <c r="AM197" s="59" t="str">
        <f t="shared" si="93"/>
        <v>00</v>
      </c>
      <c r="AN197" s="59" t="str">
        <f t="shared" si="94"/>
        <v>00</v>
      </c>
      <c r="AO197" s="59" t="str">
        <f t="shared" si="95"/>
        <v>00</v>
      </c>
      <c r="AQ197" t="str">
        <f t="shared" si="89"/>
        <v/>
      </c>
    </row>
    <row r="198" spans="2:43">
      <c r="B198" s="131"/>
      <c r="C198" s="44">
        <f t="shared" si="128"/>
        <v>62</v>
      </c>
      <c r="D198" s="123">
        <f t="shared" ref="D198:AI198" si="158">IF(OR(D68=0,D68=1),1,0)</f>
        <v>0</v>
      </c>
      <c r="E198" s="123">
        <f t="shared" si="158"/>
        <v>0</v>
      </c>
      <c r="F198" s="123">
        <f t="shared" si="158"/>
        <v>0</v>
      </c>
      <c r="G198" s="123">
        <f t="shared" si="158"/>
        <v>0</v>
      </c>
      <c r="H198" s="123">
        <f t="shared" si="158"/>
        <v>0</v>
      </c>
      <c r="I198" s="123">
        <f t="shared" si="158"/>
        <v>0</v>
      </c>
      <c r="J198" s="123">
        <f t="shared" si="158"/>
        <v>0</v>
      </c>
      <c r="K198" s="123">
        <f t="shared" si="158"/>
        <v>0</v>
      </c>
      <c r="L198" s="123">
        <f t="shared" si="158"/>
        <v>0</v>
      </c>
      <c r="M198" s="123">
        <f t="shared" si="158"/>
        <v>0</v>
      </c>
      <c r="N198" s="123">
        <f t="shared" si="158"/>
        <v>0</v>
      </c>
      <c r="O198" s="123">
        <f t="shared" si="158"/>
        <v>0</v>
      </c>
      <c r="P198" s="123">
        <f t="shared" si="158"/>
        <v>0</v>
      </c>
      <c r="Q198" s="123">
        <f t="shared" si="158"/>
        <v>0</v>
      </c>
      <c r="R198" s="123">
        <f t="shared" si="158"/>
        <v>0</v>
      </c>
      <c r="S198" s="123">
        <f t="shared" si="158"/>
        <v>0</v>
      </c>
      <c r="T198" s="123">
        <f t="shared" si="158"/>
        <v>0</v>
      </c>
      <c r="U198" s="123">
        <f t="shared" si="158"/>
        <v>0</v>
      </c>
      <c r="V198" s="123">
        <f t="shared" si="158"/>
        <v>0</v>
      </c>
      <c r="W198" s="123">
        <f t="shared" si="158"/>
        <v>0</v>
      </c>
      <c r="X198" s="123">
        <f t="shared" si="158"/>
        <v>0</v>
      </c>
      <c r="Y198" s="123">
        <f t="shared" si="158"/>
        <v>0</v>
      </c>
      <c r="Z198" s="123">
        <f t="shared" si="158"/>
        <v>0</v>
      </c>
      <c r="AA198" s="123">
        <f t="shared" si="158"/>
        <v>0</v>
      </c>
      <c r="AB198" s="123">
        <f t="shared" si="158"/>
        <v>0</v>
      </c>
      <c r="AC198" s="123">
        <f t="shared" si="158"/>
        <v>0</v>
      </c>
      <c r="AD198" s="123">
        <f t="shared" si="158"/>
        <v>0</v>
      </c>
      <c r="AE198" s="123">
        <f t="shared" si="158"/>
        <v>0</v>
      </c>
      <c r="AF198" s="123">
        <f t="shared" si="158"/>
        <v>0</v>
      </c>
      <c r="AG198" s="123">
        <f t="shared" si="158"/>
        <v>0</v>
      </c>
      <c r="AH198" s="123">
        <f t="shared" si="158"/>
        <v>0</v>
      </c>
      <c r="AI198" s="123">
        <f t="shared" si="158"/>
        <v>0</v>
      </c>
      <c r="AJ198" s="44" t="str">
        <f t="shared" si="127"/>
        <v/>
      </c>
      <c r="AK198" s="57"/>
      <c r="AL198" s="57" t="str">
        <f t="shared" si="92"/>
        <v>00</v>
      </c>
      <c r="AM198" s="59" t="str">
        <f t="shared" si="93"/>
        <v>00</v>
      </c>
      <c r="AN198" s="59" t="str">
        <f t="shared" si="94"/>
        <v>00</v>
      </c>
      <c r="AO198" s="59" t="str">
        <f t="shared" si="95"/>
        <v>00</v>
      </c>
      <c r="AQ198" t="str">
        <f t="shared" si="89"/>
        <v/>
      </c>
    </row>
    <row r="199" spans="2:43">
      <c r="B199" s="132"/>
      <c r="C199" s="44">
        <f t="shared" ref="C199" si="159">IF(C69&lt;&gt;"",C69,"")</f>
        <v>63</v>
      </c>
      <c r="D199" s="123">
        <f t="shared" ref="D199:AH199" si="160">IF(OR(D69=0,D69=1),1,0)</f>
        <v>0</v>
      </c>
      <c r="E199" s="123">
        <f t="shared" si="160"/>
        <v>0</v>
      </c>
      <c r="F199" s="123">
        <f t="shared" si="160"/>
        <v>0</v>
      </c>
      <c r="G199" s="123">
        <f t="shared" si="160"/>
        <v>0</v>
      </c>
      <c r="H199" s="123">
        <f t="shared" si="160"/>
        <v>0</v>
      </c>
      <c r="I199" s="123">
        <f t="shared" si="160"/>
        <v>0</v>
      </c>
      <c r="J199" s="123">
        <f t="shared" si="160"/>
        <v>0</v>
      </c>
      <c r="K199" s="123">
        <f t="shared" si="160"/>
        <v>0</v>
      </c>
      <c r="L199" s="123">
        <f t="shared" si="160"/>
        <v>0</v>
      </c>
      <c r="M199" s="123">
        <f t="shared" si="160"/>
        <v>0</v>
      </c>
      <c r="N199" s="123">
        <f t="shared" si="160"/>
        <v>0</v>
      </c>
      <c r="O199" s="123">
        <f t="shared" si="160"/>
        <v>0</v>
      </c>
      <c r="P199" s="123">
        <f t="shared" si="160"/>
        <v>0</v>
      </c>
      <c r="Q199" s="123">
        <f t="shared" si="160"/>
        <v>0</v>
      </c>
      <c r="R199" s="123">
        <f t="shared" si="160"/>
        <v>0</v>
      </c>
      <c r="S199" s="123">
        <f t="shared" si="160"/>
        <v>0</v>
      </c>
      <c r="T199" s="123">
        <f t="shared" si="160"/>
        <v>0</v>
      </c>
      <c r="U199" s="123">
        <f t="shared" si="160"/>
        <v>0</v>
      </c>
      <c r="V199" s="123">
        <f t="shared" si="160"/>
        <v>0</v>
      </c>
      <c r="W199" s="123">
        <f t="shared" si="160"/>
        <v>0</v>
      </c>
      <c r="X199" s="123">
        <f t="shared" si="160"/>
        <v>0</v>
      </c>
      <c r="Y199" s="123">
        <f t="shared" si="160"/>
        <v>0</v>
      </c>
      <c r="Z199" s="123">
        <f t="shared" si="160"/>
        <v>0</v>
      </c>
      <c r="AA199" s="123">
        <f t="shared" si="160"/>
        <v>0</v>
      </c>
      <c r="AB199" s="123">
        <f t="shared" si="160"/>
        <v>0</v>
      </c>
      <c r="AC199" s="123">
        <f t="shared" si="160"/>
        <v>0</v>
      </c>
      <c r="AD199" s="123">
        <f t="shared" si="160"/>
        <v>0</v>
      </c>
      <c r="AE199" s="123">
        <f t="shared" si="160"/>
        <v>0</v>
      </c>
      <c r="AF199" s="123">
        <f t="shared" si="160"/>
        <v>0</v>
      </c>
      <c r="AG199" s="123">
        <f t="shared" si="160"/>
        <v>0</v>
      </c>
      <c r="AH199" s="123">
        <f t="shared" si="160"/>
        <v>0</v>
      </c>
      <c r="AI199" s="123">
        <f t="shared" ref="AI199" si="161">IF(OR(AI69=0,AI69=1),1,0)</f>
        <v>0</v>
      </c>
      <c r="AJ199" s="44" t="str">
        <f t="shared" ref="AJ199" si="162">IF(AJ69&lt;&gt;"",AJ69,"")</f>
        <v/>
      </c>
      <c r="AK199" s="57"/>
      <c r="AL199" s="57" t="str">
        <f t="shared" si="92"/>
        <v>00</v>
      </c>
      <c r="AM199" s="59" t="str">
        <f t="shared" si="93"/>
        <v>00</v>
      </c>
      <c r="AN199" s="59" t="str">
        <f t="shared" si="94"/>
        <v>00</v>
      </c>
      <c r="AO199" s="59" t="str">
        <f t="shared" si="95"/>
        <v>00</v>
      </c>
      <c r="AQ199" t="str">
        <f t="shared" si="89"/>
        <v/>
      </c>
    </row>
  </sheetData>
  <protectedRanges>
    <protectedRange sqref="B3 L3:AF3 AI3 D6:AJ69" name="Table作成編集範囲"/>
  </protectedRanges>
  <mergeCells count="5">
    <mergeCell ref="C2:C3"/>
    <mergeCell ref="AJ2:AJ3"/>
    <mergeCell ref="A4:B5"/>
    <mergeCell ref="Z3:AA3"/>
    <mergeCell ref="AB3:AI3"/>
  </mergeCells>
  <phoneticPr fontId="2"/>
  <conditionalFormatting sqref="D6:AI69">
    <cfRule type="cellIs" dxfId="7" priority="4" operator="equal">
      <formula>1</formula>
    </cfRule>
    <cfRule type="cellIs" dxfId="6" priority="5" operator="equal">
      <formula>"×"</formula>
    </cfRule>
  </conditionalFormatting>
  <conditionalFormatting sqref="AA8">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64</v>
      </c>
      <c r="AI1" t="s">
        <v>65</v>
      </c>
    </row>
    <row r="2" spans="1:49">
      <c r="B2" s="122" t="s">
        <v>135</v>
      </c>
      <c r="C2" s="285" t="s">
        <v>90</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7" t="s">
        <v>169</v>
      </c>
    </row>
    <row r="3" spans="1:49" ht="213" customHeight="1" thickBot="1">
      <c r="B3" s="191" t="str">
        <f>IF(OR(IF(COUNTIF(D6:AC69,"0")&lt;&gt;0,TRUE,FALSE),IF(COUNTIF(D6:AC69,"1")&lt;&gt;0,TRUE,FALSE)),"Search Table","Index Table")</f>
        <v>Index Table</v>
      </c>
      <c r="C3" s="286"/>
      <c r="D3" s="124" t="s">
        <v>66</v>
      </c>
      <c r="E3" s="124" t="s">
        <v>71</v>
      </c>
      <c r="F3" s="124" t="s">
        <v>54</v>
      </c>
      <c r="G3" s="124" t="s">
        <v>53</v>
      </c>
      <c r="H3" s="124" t="s">
        <v>133</v>
      </c>
      <c r="I3" s="124" t="s">
        <v>132</v>
      </c>
      <c r="J3" s="124" t="s">
        <v>137</v>
      </c>
      <c r="K3" s="124" t="s">
        <v>136</v>
      </c>
      <c r="L3" s="125" t="s">
        <v>71</v>
      </c>
      <c r="M3" s="125" t="s">
        <v>67</v>
      </c>
      <c r="N3" s="125" t="s">
        <v>67</v>
      </c>
      <c r="O3" s="125" t="s">
        <v>67</v>
      </c>
      <c r="P3" s="125" t="s">
        <v>67</v>
      </c>
      <c r="Q3" s="125" t="s">
        <v>67</v>
      </c>
      <c r="R3" s="125" t="s">
        <v>67</v>
      </c>
      <c r="S3" s="125" t="s">
        <v>67</v>
      </c>
      <c r="T3" s="125" t="s">
        <v>67</v>
      </c>
      <c r="U3" s="125" t="s">
        <v>67</v>
      </c>
      <c r="V3" s="125" t="s">
        <v>67</v>
      </c>
      <c r="W3" s="125" t="s">
        <v>67</v>
      </c>
      <c r="X3" s="125" t="s">
        <v>67</v>
      </c>
      <c r="Y3" s="125" t="s">
        <v>67</v>
      </c>
      <c r="Z3" s="125" t="s">
        <v>67</v>
      </c>
      <c r="AA3" s="125" t="s">
        <v>67</v>
      </c>
      <c r="AB3" s="125" t="s">
        <v>67</v>
      </c>
      <c r="AC3" s="125" t="s">
        <v>67</v>
      </c>
      <c r="AD3" s="125" t="s">
        <v>67</v>
      </c>
      <c r="AE3" s="125" t="s">
        <v>67</v>
      </c>
      <c r="AF3" s="125" t="s">
        <v>67</v>
      </c>
      <c r="AG3" s="293" t="s">
        <v>255</v>
      </c>
      <c r="AH3" s="296"/>
      <c r="AI3" s="136" t="s">
        <v>561</v>
      </c>
      <c r="AJ3" s="288"/>
      <c r="AR3" s="86" t="s">
        <v>104</v>
      </c>
    </row>
    <row r="4" spans="1:49" ht="14.25" thickBot="1">
      <c r="A4" s="289" t="s">
        <v>68</v>
      </c>
      <c r="B4" s="290"/>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7"/>
      <c r="AR4" s="74" t="s">
        <v>87</v>
      </c>
      <c r="AS4" s="75"/>
      <c r="AT4" s="75"/>
      <c r="AU4" s="75"/>
      <c r="AV4" s="75"/>
      <c r="AW4" s="76"/>
    </row>
    <row r="5" spans="1:49" ht="14.25" thickBot="1">
      <c r="A5" s="291"/>
      <c r="B5" s="292"/>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8"/>
      <c r="AR5" s="77" t="str">
        <f ca="1">"static const U4  "&amp;AW8&amp;"["&amp;AW10&amp;"]"&amp;" = {"</f>
        <v>static const U4  u4_sp_ALERT_S_TMBZR_BC_DOT_CRIT[ALERT_S_TMBZR_BC_DOT_NUM_DST] = {</v>
      </c>
      <c r="AS5" s="77" t="str">
        <f ca="1">"static const U4  "&amp;$AW$9&amp;"["&amp;$AW$10&amp;"] = {"</f>
        <v>static const U4  u4_sp_ALERT_S_TMBZR_BC_DOT_MASK[ALERT_S_TMBZR_BC_DOT_NUM_DST] = {</v>
      </c>
      <c r="AT5" s="77" t="str">
        <f ca="1">"static const U1  "&amp;$AW$11&amp;"["&amp;$AW$10&amp;"] = {"</f>
        <v>static const U1  u1_sp_ALERT_S_TMBZR_BC_DOT_DST[ALERT_S_TMBZR_BC_DOT_NUM_DST] = {</v>
      </c>
      <c r="AU5" s="77" t="str">
        <f ca="1">"const ST_ALERT_MTRX "&amp;$AW$12&amp;" = {"</f>
        <v>const ST_ALERT_MTRX st_gp_ALERT_S_TMBZR_MTRX[2] = {</v>
      </c>
      <c r="AV5" s="62" t="str">
        <f ca="1">"#define "&amp;AW10&amp;REPT(" ",41-LEN(AW10))&amp;"("&amp;AW13&amp;"U)"</f>
        <v>#define ALERT_S_TMBZR_BC_DOT_NUM_DST             (8U)</v>
      </c>
      <c r="AW5" s="63"/>
    </row>
    <row r="6" spans="1:49">
      <c r="B6" s="131" t="str">
        <f ca="1">"Table "&amp;$AW$6</f>
        <v>Table BC_DOT</v>
      </c>
      <c r="C6" s="49">
        <f>ROW()-ROW($C$6)</f>
        <v>0</v>
      </c>
      <c r="D6" s="126" t="s">
        <v>72</v>
      </c>
      <c r="E6" s="126" t="s">
        <v>72</v>
      </c>
      <c r="F6" s="126" t="s">
        <v>72</v>
      </c>
      <c r="G6" s="126" t="s">
        <v>72</v>
      </c>
      <c r="H6" s="126" t="s">
        <v>72</v>
      </c>
      <c r="I6" s="126" t="s">
        <v>72</v>
      </c>
      <c r="J6" s="126" t="s">
        <v>72</v>
      </c>
      <c r="K6" s="126" t="s">
        <v>72</v>
      </c>
      <c r="L6" s="126" t="s">
        <v>72</v>
      </c>
      <c r="M6" s="126" t="s">
        <v>72</v>
      </c>
      <c r="N6" s="126" t="s">
        <v>72</v>
      </c>
      <c r="O6" s="126" t="s">
        <v>72</v>
      </c>
      <c r="P6" s="126" t="s">
        <v>72</v>
      </c>
      <c r="Q6" s="126" t="s">
        <v>72</v>
      </c>
      <c r="R6" s="126" t="s">
        <v>72</v>
      </c>
      <c r="S6" s="126" t="s">
        <v>72</v>
      </c>
      <c r="T6" s="126" t="s">
        <v>72</v>
      </c>
      <c r="U6" s="126" t="s">
        <v>72</v>
      </c>
      <c r="V6" s="126" t="s">
        <v>72</v>
      </c>
      <c r="W6" s="126" t="s">
        <v>72</v>
      </c>
      <c r="X6" s="126" t="s">
        <v>72</v>
      </c>
      <c r="Y6" s="126" t="s">
        <v>72</v>
      </c>
      <c r="Z6" s="126" t="s">
        <v>72</v>
      </c>
      <c r="AA6" s="126" t="s">
        <v>72</v>
      </c>
      <c r="AB6" s="126" t="s">
        <v>72</v>
      </c>
      <c r="AC6" s="126" t="s">
        <v>72</v>
      </c>
      <c r="AD6" s="126" t="s">
        <v>72</v>
      </c>
      <c r="AE6" s="126" t="s">
        <v>72</v>
      </c>
      <c r="AF6" s="129" t="s">
        <v>72</v>
      </c>
      <c r="AG6" s="236">
        <v>0</v>
      </c>
      <c r="AH6" s="236">
        <v>0</v>
      </c>
      <c r="AI6" s="236">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(U4)0x00000007U,                                                           /* 00 UNKNOWN                                         */</v>
      </c>
      <c r="AT6" s="60" t="str">
        <f t="shared" ref="AT6:AT69" si="1">IF(AJ6&lt;&gt;"",AL6&amp;IF(AJ7&lt;&gt;"",","," ")&amp;REPT(" ",78-LEN(AL6))&amp;"/* "&amp;IF(C6&lt;10,"0"&amp;C6,C6)&amp;" "&amp;AJ6&amp;REPT(" ",48-LEN(AJ6))&amp;"*/",IF(AJ5&lt;&gt;"","};",""))</f>
        <v xml:space="preserve">    (U1)ALERT_REQ_UNKNOWN,                                                     /* 00 UNKNOWN                                         */</v>
      </c>
      <c r="AU6" s="60" t="s">
        <v>73</v>
      </c>
      <c r="AV6" s="45" t="s">
        <v>75</v>
      </c>
      <c r="AW6" s="64" t="str">
        <f ca="1">UPPER(RIGHT(CELL("filename",A1),LEN(CELL("filename",A1))-FIND("]",CELL("filename",A1))))</f>
        <v>BC_DOT</v>
      </c>
    </row>
    <row r="7" spans="1:49">
      <c r="B7" s="131"/>
      <c r="C7" s="44">
        <f t="shared" ref="C7:C69" si="2">ROW()-ROW($C$6)</f>
        <v>1</v>
      </c>
      <c r="D7" s="58" t="s">
        <v>72</v>
      </c>
      <c r="E7" s="58" t="s">
        <v>72</v>
      </c>
      <c r="F7" s="58" t="s">
        <v>72</v>
      </c>
      <c r="G7" s="58" t="s">
        <v>72</v>
      </c>
      <c r="H7" s="58" t="s">
        <v>72</v>
      </c>
      <c r="I7" s="58" t="s">
        <v>72</v>
      </c>
      <c r="J7" s="58" t="s">
        <v>72</v>
      </c>
      <c r="K7" s="58" t="s">
        <v>72</v>
      </c>
      <c r="L7" s="58" t="s">
        <v>72</v>
      </c>
      <c r="M7" s="58" t="s">
        <v>72</v>
      </c>
      <c r="N7" s="58" t="s">
        <v>72</v>
      </c>
      <c r="O7" s="58" t="s">
        <v>72</v>
      </c>
      <c r="P7" s="58" t="s">
        <v>72</v>
      </c>
      <c r="Q7" s="58" t="s">
        <v>72</v>
      </c>
      <c r="R7" s="58" t="s">
        <v>72</v>
      </c>
      <c r="S7" s="58" t="s">
        <v>72</v>
      </c>
      <c r="T7" s="58" t="s">
        <v>72</v>
      </c>
      <c r="U7" s="58" t="s">
        <v>72</v>
      </c>
      <c r="V7" s="58" t="s">
        <v>72</v>
      </c>
      <c r="W7" s="58" t="s">
        <v>72</v>
      </c>
      <c r="X7" s="58" t="s">
        <v>72</v>
      </c>
      <c r="Y7" s="58" t="s">
        <v>72</v>
      </c>
      <c r="Z7" s="58" t="s">
        <v>72</v>
      </c>
      <c r="AA7" s="58" t="s">
        <v>72</v>
      </c>
      <c r="AB7" s="58" t="s">
        <v>72</v>
      </c>
      <c r="AC7" s="58" t="s">
        <v>72</v>
      </c>
      <c r="AD7" s="58" t="s">
        <v>72</v>
      </c>
      <c r="AE7" s="58" t="s">
        <v>72</v>
      </c>
      <c r="AF7" s="129" t="s">
        <v>72</v>
      </c>
      <c r="AG7" s="236">
        <v>0</v>
      </c>
      <c r="AH7" s="236">
        <v>0</v>
      </c>
      <c r="AI7" s="236">
        <v>1</v>
      </c>
      <c r="AJ7" s="26" t="s">
        <v>604</v>
      </c>
      <c r="AL7" t="str">
        <f t="shared" ca="1" si="0"/>
        <v xml:space="preserve">    (U1)ALERT_REQ_S_TMBZR_BC_DOT_DOHREQ</v>
      </c>
      <c r="AR7" s="60" t="str">
        <f t="shared" ref="AR7:AR70" si="3">IF(AQ72&lt;&gt;"",AQ72,IF(AQ71&lt;&gt;"","};",""))</f>
        <v xml:space="preserve">    (U4)0x00000001U,                                                           /* 01 DOHREQ                                          */</v>
      </c>
      <c r="AS7" s="60" t="str">
        <f t="shared" ref="AS7:AS70" si="4">IF(AQ137&lt;&gt;"",AQ137,IF(AQ136&lt;&gt;"","};",""))</f>
        <v xml:space="preserve">    (U4)0x00000007U,                                                           /* 01 DOHREQ                                          */</v>
      </c>
      <c r="AT7" s="60" t="str">
        <f t="shared" ca="1" si="1"/>
        <v xml:space="preserve">    (U1)ALERT_REQ_S_TMBZR_BC_DOT_DOHREQ,                                       /* 01 DOHREQ                                          */</v>
      </c>
      <c r="AU7" s="60" t="str">
        <f ca="1">"        &amp;"&amp;$AW$14&amp;","&amp;REPT(" ",69-LEN($AW$14))&amp;"/* fp_u4_SRC_CHK                                      */"</f>
        <v xml:space="preserve">        &amp;u4_s_AlertS_tmbzrBcDotSrcchk,                                         /* fp_u4_SRC_CHK                                      */</v>
      </c>
      <c r="AV7" s="46" t="s">
        <v>76</v>
      </c>
      <c r="AW7" s="130">
        <f>IF(B3="Search Table",1,0)</f>
        <v>0</v>
      </c>
    </row>
    <row r="8" spans="1:49">
      <c r="B8" s="131"/>
      <c r="C8" s="44">
        <f t="shared" si="2"/>
        <v>2</v>
      </c>
      <c r="D8" s="58" t="s">
        <v>72</v>
      </c>
      <c r="E8" s="58" t="s">
        <v>72</v>
      </c>
      <c r="F8" s="58" t="s">
        <v>72</v>
      </c>
      <c r="G8" s="58" t="s">
        <v>72</v>
      </c>
      <c r="H8" s="58" t="s">
        <v>72</v>
      </c>
      <c r="I8" s="58" t="s">
        <v>72</v>
      </c>
      <c r="J8" s="58" t="s">
        <v>72</v>
      </c>
      <c r="K8" s="58" t="s">
        <v>72</v>
      </c>
      <c r="L8" s="58" t="s">
        <v>72</v>
      </c>
      <c r="M8" s="58" t="s">
        <v>72</v>
      </c>
      <c r="N8" s="58" t="s">
        <v>72</v>
      </c>
      <c r="O8" s="58" t="s">
        <v>72</v>
      </c>
      <c r="P8" s="58" t="s">
        <v>72</v>
      </c>
      <c r="Q8" s="58" t="s">
        <v>72</v>
      </c>
      <c r="R8" s="58" t="s">
        <v>72</v>
      </c>
      <c r="S8" s="58" t="s">
        <v>72</v>
      </c>
      <c r="T8" s="58" t="s">
        <v>72</v>
      </c>
      <c r="U8" s="58" t="s">
        <v>72</v>
      </c>
      <c r="V8" s="58" t="s">
        <v>72</v>
      </c>
      <c r="W8" s="58" t="s">
        <v>72</v>
      </c>
      <c r="X8" s="58" t="s">
        <v>72</v>
      </c>
      <c r="Y8" s="58" t="s">
        <v>72</v>
      </c>
      <c r="Z8" s="58" t="s">
        <v>72</v>
      </c>
      <c r="AA8" s="58" t="s">
        <v>72</v>
      </c>
      <c r="AB8" s="58" t="s">
        <v>72</v>
      </c>
      <c r="AC8" s="58" t="s">
        <v>72</v>
      </c>
      <c r="AD8" s="58" t="s">
        <v>72</v>
      </c>
      <c r="AE8" s="58" t="s">
        <v>72</v>
      </c>
      <c r="AF8" s="129" t="s">
        <v>72</v>
      </c>
      <c r="AG8" s="236">
        <v>0</v>
      </c>
      <c r="AH8" s="236">
        <v>1</v>
      </c>
      <c r="AI8" s="236">
        <v>0</v>
      </c>
      <c r="AJ8" s="26" t="s">
        <v>33</v>
      </c>
      <c r="AL8" t="str">
        <f t="shared" si="0"/>
        <v xml:space="preserve">    (U1)ALERT_REQ_UNKNOWN</v>
      </c>
      <c r="AR8" s="60" t="str">
        <f t="shared" si="3"/>
        <v xml:space="preserve">    (U4)0x00000002U,                                                           /* 02 UNKNOWN                                         */</v>
      </c>
      <c r="AS8" s="60" t="str">
        <f t="shared" si="4"/>
        <v xml:space="preserve">    (U4)0x00000007U,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6" t="s">
        <v>77</v>
      </c>
      <c r="AW8" s="65" t="str">
        <f ca="1">"u4_sp_ALERT_"&amp;IF(AW6&lt;&gt;AW17,$AW$17&amp;"_"&amp;$AW$6,AW17)&amp;"_CRIT"</f>
        <v>u4_sp_ALERT_S_TMBZR_BC_DOT_CRIT</v>
      </c>
    </row>
    <row r="9" spans="1:49">
      <c r="B9" s="131"/>
      <c r="C9" s="44">
        <f t="shared" si="2"/>
        <v>3</v>
      </c>
      <c r="D9" s="58" t="s">
        <v>72</v>
      </c>
      <c r="E9" s="58" t="s">
        <v>72</v>
      </c>
      <c r="F9" s="58" t="s">
        <v>72</v>
      </c>
      <c r="G9" s="58" t="s">
        <v>72</v>
      </c>
      <c r="H9" s="58" t="s">
        <v>72</v>
      </c>
      <c r="I9" s="58" t="s">
        <v>72</v>
      </c>
      <c r="J9" s="58" t="s">
        <v>72</v>
      </c>
      <c r="K9" s="58" t="s">
        <v>72</v>
      </c>
      <c r="L9" s="58" t="s">
        <v>72</v>
      </c>
      <c r="M9" s="58" t="s">
        <v>72</v>
      </c>
      <c r="N9" s="58" t="s">
        <v>72</v>
      </c>
      <c r="O9" s="58" t="s">
        <v>72</v>
      </c>
      <c r="P9" s="58" t="s">
        <v>72</v>
      </c>
      <c r="Q9" s="58" t="s">
        <v>72</v>
      </c>
      <c r="R9" s="58" t="s">
        <v>72</v>
      </c>
      <c r="S9" s="58" t="s">
        <v>72</v>
      </c>
      <c r="T9" s="58" t="s">
        <v>72</v>
      </c>
      <c r="U9" s="58" t="s">
        <v>72</v>
      </c>
      <c r="V9" s="58" t="s">
        <v>72</v>
      </c>
      <c r="W9" s="58" t="s">
        <v>72</v>
      </c>
      <c r="X9" s="58" t="s">
        <v>72</v>
      </c>
      <c r="Y9" s="58" t="s">
        <v>72</v>
      </c>
      <c r="Z9" s="58" t="s">
        <v>72</v>
      </c>
      <c r="AA9" s="58" t="s">
        <v>72</v>
      </c>
      <c r="AB9" s="58" t="s">
        <v>72</v>
      </c>
      <c r="AC9" s="58" t="s">
        <v>72</v>
      </c>
      <c r="AD9" s="58" t="s">
        <v>72</v>
      </c>
      <c r="AE9" s="58" t="s">
        <v>72</v>
      </c>
      <c r="AF9" s="58" t="s">
        <v>72</v>
      </c>
      <c r="AG9" s="237">
        <v>0</v>
      </c>
      <c r="AH9" s="237">
        <v>1</v>
      </c>
      <c r="AI9" s="237">
        <v>1</v>
      </c>
      <c r="AJ9" s="26" t="s">
        <v>33</v>
      </c>
      <c r="AL9" t="str">
        <f t="shared" si="0"/>
        <v xml:space="preserve">    (U1)ALERT_REQ_UNKNOWN</v>
      </c>
      <c r="AR9" s="60" t="str">
        <f t="shared" si="3"/>
        <v xml:space="preserve">    (U4)0x00000003U,                                                           /* 03 UNKNOWN                                         */</v>
      </c>
      <c r="AS9" s="60" t="str">
        <f t="shared" si="4"/>
        <v xml:space="preserve">    (U4)0x00000007U,                                                           /* 03 UNKNOWN                                         */</v>
      </c>
      <c r="AT9" s="60" t="str">
        <f t="shared" si="1"/>
        <v xml:space="preserve">    (U1)ALERT_REQ_UNKNOWN,                                                     /* 03 UNKNOWN                                         */</v>
      </c>
      <c r="AU9" s="60"/>
      <c r="AV9" s="46" t="s">
        <v>78</v>
      </c>
      <c r="AW9" s="65" t="str">
        <f ca="1">"u4_sp_ALERT_"&amp;IF(AW6&lt;&gt;AW17,$AW$17&amp;"_"&amp;$AW$6,AW17)&amp;"_MASK"</f>
        <v>u4_sp_ALERT_S_TMBZR_BC_DOT_MASK</v>
      </c>
    </row>
    <row r="10" spans="1:49">
      <c r="B10" s="131"/>
      <c r="C10" s="44">
        <f t="shared" si="2"/>
        <v>4</v>
      </c>
      <c r="D10" s="58" t="s">
        <v>72</v>
      </c>
      <c r="E10" s="58" t="s">
        <v>72</v>
      </c>
      <c r="F10" s="58" t="s">
        <v>72</v>
      </c>
      <c r="G10" s="58" t="s">
        <v>72</v>
      </c>
      <c r="H10" s="58" t="s">
        <v>72</v>
      </c>
      <c r="I10" s="58" t="s">
        <v>72</v>
      </c>
      <c r="J10" s="58" t="s">
        <v>72</v>
      </c>
      <c r="K10" s="58" t="s">
        <v>72</v>
      </c>
      <c r="L10" s="58" t="s">
        <v>72</v>
      </c>
      <c r="M10" s="58" t="s">
        <v>72</v>
      </c>
      <c r="N10" s="58" t="s">
        <v>72</v>
      </c>
      <c r="O10" s="58" t="s">
        <v>72</v>
      </c>
      <c r="P10" s="58" t="s">
        <v>72</v>
      </c>
      <c r="Q10" s="58" t="s">
        <v>72</v>
      </c>
      <c r="R10" s="58" t="s">
        <v>72</v>
      </c>
      <c r="S10" s="58" t="s">
        <v>72</v>
      </c>
      <c r="T10" s="58" t="s">
        <v>72</v>
      </c>
      <c r="U10" s="58" t="s">
        <v>72</v>
      </c>
      <c r="V10" s="58" t="s">
        <v>72</v>
      </c>
      <c r="W10" s="58" t="s">
        <v>72</v>
      </c>
      <c r="X10" s="58" t="s">
        <v>72</v>
      </c>
      <c r="Y10" s="58" t="s">
        <v>72</v>
      </c>
      <c r="Z10" s="58" t="s">
        <v>72</v>
      </c>
      <c r="AA10" s="58" t="s">
        <v>72</v>
      </c>
      <c r="AB10" s="58" t="s">
        <v>72</v>
      </c>
      <c r="AC10" s="58" t="s">
        <v>72</v>
      </c>
      <c r="AD10" s="58" t="s">
        <v>72</v>
      </c>
      <c r="AE10" s="58" t="s">
        <v>72</v>
      </c>
      <c r="AF10" s="58" t="s">
        <v>72</v>
      </c>
      <c r="AG10" s="237">
        <v>1</v>
      </c>
      <c r="AH10" s="236">
        <v>0</v>
      </c>
      <c r="AI10" s="236">
        <v>0</v>
      </c>
      <c r="AJ10" s="26" t="s">
        <v>33</v>
      </c>
      <c r="AL10" t="str">
        <f t="shared" si="0"/>
        <v xml:space="preserve">    (U1)ALERT_REQ_UNKNOWN</v>
      </c>
      <c r="AR10" s="60" t="str">
        <f t="shared" si="3"/>
        <v xml:space="preserve">    (U4)0x00000004U,                                                           /* 04 UNKNOWN                                         */</v>
      </c>
      <c r="AS10" s="60" t="str">
        <f t="shared" si="4"/>
        <v xml:space="preserve">    (U4)0x00000007U,                                                           /* 04 UNKNOWN                                         */</v>
      </c>
      <c r="AT10" s="60" t="str">
        <f t="shared" si="1"/>
        <v xml:space="preserve">    (U1)ALERT_REQ_UNKNOWN,                                                     /* 04 UNKNOWN                                         */</v>
      </c>
      <c r="AU10" s="60" t="str">
        <f>IF($AW$7=1,"        &amp;"&amp;$AW$9&amp;"[0],"&amp;REPT(" ",66-LEN($AW$9))&amp;"/* u4p_MASK                                           */","        (const U4 *)vdp_PTR_NA,                                                /* u4p_MASK                                           */")</f>
        <v xml:space="preserve">        (const U4 *)vdp_PTR_NA,                                                /* u4p_MASK                                           */</v>
      </c>
      <c r="AV10" s="46" t="s">
        <v>79</v>
      </c>
      <c r="AW10" s="65" t="str">
        <f ca="1">"ALERT_"&amp;IF(AW6&lt;&gt;AW17,$AW$17&amp;"_"&amp;$AW$6,AW17)&amp;"_NUM_DST"</f>
        <v>ALERT_S_TMBZR_BC_DOT_NUM_DST</v>
      </c>
    </row>
    <row r="11" spans="1:49">
      <c r="B11" s="131"/>
      <c r="C11" s="44">
        <f t="shared" si="2"/>
        <v>5</v>
      </c>
      <c r="D11" s="58" t="s">
        <v>72</v>
      </c>
      <c r="E11" s="58" t="s">
        <v>72</v>
      </c>
      <c r="F11" s="58" t="s">
        <v>72</v>
      </c>
      <c r="G11" s="58" t="s">
        <v>72</v>
      </c>
      <c r="H11" s="58" t="s">
        <v>72</v>
      </c>
      <c r="I11" s="58" t="s">
        <v>72</v>
      </c>
      <c r="J11" s="58" t="s">
        <v>72</v>
      </c>
      <c r="K11" s="58" t="s">
        <v>72</v>
      </c>
      <c r="L11" s="58" t="s">
        <v>72</v>
      </c>
      <c r="M11" s="58" t="s">
        <v>72</v>
      </c>
      <c r="N11" s="58" t="s">
        <v>72</v>
      </c>
      <c r="O11" s="58" t="s">
        <v>72</v>
      </c>
      <c r="P11" s="58" t="s">
        <v>72</v>
      </c>
      <c r="Q11" s="58" t="s">
        <v>72</v>
      </c>
      <c r="R11" s="58" t="s">
        <v>72</v>
      </c>
      <c r="S11" s="58" t="s">
        <v>72</v>
      </c>
      <c r="T11" s="58" t="s">
        <v>72</v>
      </c>
      <c r="U11" s="58" t="s">
        <v>72</v>
      </c>
      <c r="V11" s="58" t="s">
        <v>72</v>
      </c>
      <c r="W11" s="58" t="s">
        <v>72</v>
      </c>
      <c r="X11" s="58" t="s">
        <v>72</v>
      </c>
      <c r="Y11" s="58" t="s">
        <v>72</v>
      </c>
      <c r="Z11" s="58" t="s">
        <v>72</v>
      </c>
      <c r="AA11" s="58" t="s">
        <v>72</v>
      </c>
      <c r="AB11" s="58" t="s">
        <v>72</v>
      </c>
      <c r="AC11" s="58" t="s">
        <v>72</v>
      </c>
      <c r="AD11" s="58" t="s">
        <v>72</v>
      </c>
      <c r="AE11" s="58" t="s">
        <v>72</v>
      </c>
      <c r="AF11" s="58" t="s">
        <v>72</v>
      </c>
      <c r="AG11" s="237">
        <v>1</v>
      </c>
      <c r="AH11" s="236">
        <v>0</v>
      </c>
      <c r="AI11" s="236">
        <v>1</v>
      </c>
      <c r="AJ11" s="26" t="s">
        <v>33</v>
      </c>
      <c r="AL11" t="str">
        <f t="shared" si="0"/>
        <v xml:space="preserve">    (U1)ALERT_REQ_UNKNOWN</v>
      </c>
      <c r="AR11" s="60" t="str">
        <f t="shared" si="3"/>
        <v xml:space="preserve">    (U4)0x00000005U,                                                           /* 05 UNKNOWN                                         */</v>
      </c>
      <c r="AS11" s="60" t="str">
        <f t="shared" si="4"/>
        <v xml:space="preserve">    (U4)0x00000007U,                                                           /* 05 UNKNOWN                                         */</v>
      </c>
      <c r="AT11" s="60" t="str">
        <f t="shared" si="1"/>
        <v xml:space="preserve">    (U1)ALERT_REQ_UNKNOWN,                                                     /* 05 UNKNOWN                                         */</v>
      </c>
      <c r="AU11" s="60" t="str">
        <f>IF($AW$7=1,"        &amp;"&amp;$AW$8&amp;"[0],"&amp;REPT(" ",66-LEN($AW$8))&amp;"/* u4p_CRIT                                           */","        (const U4 *)vdp_PTR_NA,                                                /* u4p_CRIT                                           */")</f>
        <v xml:space="preserve">        (const U4 *)vdp_PTR_NA,                                                /* u4p_CRIT                                           */</v>
      </c>
      <c r="AV11" s="46" t="s">
        <v>80</v>
      </c>
      <c r="AW11" s="65" t="str">
        <f ca="1">"u1_sp_ALERT_"&amp;IF(AW6&lt;&gt;AW17,$AW$17&amp;"_"&amp;$AW$6,AW17)&amp;"_DST"</f>
        <v>u1_sp_ALERT_S_TMBZR_BC_DOT_DST</v>
      </c>
    </row>
    <row r="12" spans="1:49">
      <c r="B12" s="131"/>
      <c r="C12" s="44">
        <f t="shared" si="2"/>
        <v>6</v>
      </c>
      <c r="D12" s="58" t="s">
        <v>72</v>
      </c>
      <c r="E12" s="58" t="s">
        <v>72</v>
      </c>
      <c r="F12" s="58" t="s">
        <v>72</v>
      </c>
      <c r="G12" s="58" t="s">
        <v>72</v>
      </c>
      <c r="H12" s="58" t="s">
        <v>72</v>
      </c>
      <c r="I12" s="58" t="s">
        <v>72</v>
      </c>
      <c r="J12" s="58" t="s">
        <v>72</v>
      </c>
      <c r="K12" s="58" t="s">
        <v>72</v>
      </c>
      <c r="L12" s="58" t="s">
        <v>72</v>
      </c>
      <c r="M12" s="58" t="s">
        <v>72</v>
      </c>
      <c r="N12" s="58" t="s">
        <v>72</v>
      </c>
      <c r="O12" s="58" t="s">
        <v>72</v>
      </c>
      <c r="P12" s="58" t="s">
        <v>72</v>
      </c>
      <c r="Q12" s="58" t="s">
        <v>72</v>
      </c>
      <c r="R12" s="58" t="s">
        <v>72</v>
      </c>
      <c r="S12" s="58" t="s">
        <v>72</v>
      </c>
      <c r="T12" s="58" t="s">
        <v>72</v>
      </c>
      <c r="U12" s="58" t="s">
        <v>72</v>
      </c>
      <c r="V12" s="58" t="s">
        <v>72</v>
      </c>
      <c r="W12" s="58" t="s">
        <v>72</v>
      </c>
      <c r="X12" s="58" t="s">
        <v>72</v>
      </c>
      <c r="Y12" s="58" t="s">
        <v>72</v>
      </c>
      <c r="Z12" s="58" t="s">
        <v>72</v>
      </c>
      <c r="AA12" s="58" t="s">
        <v>72</v>
      </c>
      <c r="AB12" s="58" t="s">
        <v>72</v>
      </c>
      <c r="AC12" s="58" t="s">
        <v>72</v>
      </c>
      <c r="AD12" s="58" t="s">
        <v>72</v>
      </c>
      <c r="AE12" s="58" t="s">
        <v>72</v>
      </c>
      <c r="AF12" s="58" t="s">
        <v>72</v>
      </c>
      <c r="AG12" s="58">
        <v>1</v>
      </c>
      <c r="AH12" s="58">
        <v>1</v>
      </c>
      <c r="AI12" s="58">
        <v>0</v>
      </c>
      <c r="AJ12" s="26" t="s">
        <v>33</v>
      </c>
      <c r="AL12" t="str">
        <f t="shared" si="0"/>
        <v xml:space="preserve">    (U1)ALERT_REQ_UNKNOWN</v>
      </c>
      <c r="AR12" s="60" t="str">
        <f t="shared" si="3"/>
        <v xml:space="preserve">    (U4)0x00000006U,                                                           /* 06 UNKNOWN                                         */</v>
      </c>
      <c r="AS12" s="60" t="str">
        <f t="shared" si="4"/>
        <v xml:space="preserve">    (U4)0x00000007U,                                                           /* 06 UNKNOWN                                         */</v>
      </c>
      <c r="AT12" s="60" t="str">
        <f t="shared" si="1"/>
        <v xml:space="preserve">    (U1)ALERT_REQ_UNKNOWN,                                                     /* 06 UNKNOWN                                         */</v>
      </c>
      <c r="AU12" s="60"/>
      <c r="AV12" s="46" t="s">
        <v>95</v>
      </c>
      <c r="AW12" s="65" t="str">
        <f ca="1">Matrix!D8&amp;"["&amp;Matrix!D7&amp;"]"</f>
        <v>st_gp_ALERT_S_TMBZR_MTRX[2]</v>
      </c>
    </row>
    <row r="13" spans="1:49">
      <c r="B13" s="131"/>
      <c r="C13" s="44">
        <f t="shared" si="2"/>
        <v>7</v>
      </c>
      <c r="D13" s="58" t="s">
        <v>72</v>
      </c>
      <c r="E13" s="58" t="s">
        <v>72</v>
      </c>
      <c r="F13" s="58" t="s">
        <v>72</v>
      </c>
      <c r="G13" s="58" t="s">
        <v>72</v>
      </c>
      <c r="H13" s="58" t="s">
        <v>72</v>
      </c>
      <c r="I13" s="58" t="s">
        <v>72</v>
      </c>
      <c r="J13" s="58" t="s">
        <v>72</v>
      </c>
      <c r="K13" s="58" t="s">
        <v>72</v>
      </c>
      <c r="L13" s="58" t="s">
        <v>72</v>
      </c>
      <c r="M13" s="58" t="s">
        <v>72</v>
      </c>
      <c r="N13" s="58" t="s">
        <v>72</v>
      </c>
      <c r="O13" s="58" t="s">
        <v>72</v>
      </c>
      <c r="P13" s="58" t="s">
        <v>72</v>
      </c>
      <c r="Q13" s="58" t="s">
        <v>72</v>
      </c>
      <c r="R13" s="58" t="s">
        <v>72</v>
      </c>
      <c r="S13" s="58" t="s">
        <v>72</v>
      </c>
      <c r="T13" s="58" t="s">
        <v>72</v>
      </c>
      <c r="U13" s="58" t="s">
        <v>72</v>
      </c>
      <c r="V13" s="58" t="s">
        <v>72</v>
      </c>
      <c r="W13" s="58" t="s">
        <v>72</v>
      </c>
      <c r="X13" s="58" t="s">
        <v>72</v>
      </c>
      <c r="Y13" s="58" t="s">
        <v>72</v>
      </c>
      <c r="Z13" s="58" t="s">
        <v>72</v>
      </c>
      <c r="AA13" s="58" t="s">
        <v>72</v>
      </c>
      <c r="AB13" s="58" t="s">
        <v>72</v>
      </c>
      <c r="AC13" s="58" t="s">
        <v>72</v>
      </c>
      <c r="AD13" s="58" t="s">
        <v>72</v>
      </c>
      <c r="AE13" s="58" t="s">
        <v>72</v>
      </c>
      <c r="AF13" s="58" t="s">
        <v>72</v>
      </c>
      <c r="AG13" s="58">
        <v>1</v>
      </c>
      <c r="AH13" s="58">
        <v>1</v>
      </c>
      <c r="AI13" s="58">
        <v>1</v>
      </c>
      <c r="AJ13" s="26" t="s">
        <v>33</v>
      </c>
      <c r="AL13" t="str">
        <f t="shared" si="0"/>
        <v xml:space="preserve">    (U1)ALERT_REQ_UNKNOWN</v>
      </c>
      <c r="AR13" s="60" t="str">
        <f t="shared" si="3"/>
        <v xml:space="preserve">    (U4)0x00000007U                                                            /* 07 UNKNOWN                                         */</v>
      </c>
      <c r="AS13" s="60" t="str">
        <f t="shared" si="4"/>
        <v xml:space="preserve">    (U4)0x00000007U                                                            /* 07 UNKNOWN                                         */</v>
      </c>
      <c r="AT13" s="60" t="str">
        <f t="shared" si="1"/>
        <v xml:space="preserve">    (U1)ALERT_REQ_UNKNOWN                                                      /* 07 UNKNOWN                                         */</v>
      </c>
      <c r="AU13" s="60" t="str">
        <f ca="1">"        &amp;"&amp;$AW$11&amp;"[0],"&amp;REPT(" ",66-LEN($AW$11))&amp;"/* u1p_DST                                            */"</f>
        <v xml:space="preserve">        &amp;u1_sp_ALERT_S_TMBZR_BC_DOT_DST[0],                                    /* u1p_DST                                            */</v>
      </c>
      <c r="AV13" s="46" t="s">
        <v>81</v>
      </c>
      <c r="AW13" s="130">
        <f>COUNTA($AJ$6:$AJ$69)</f>
        <v>8</v>
      </c>
    </row>
    <row r="14" spans="1:49">
      <c r="B14" s="131"/>
      <c r="C14" s="44">
        <f t="shared" si="2"/>
        <v>8</v>
      </c>
      <c r="D14" s="58" t="s">
        <v>72</v>
      </c>
      <c r="E14" s="58" t="s">
        <v>72</v>
      </c>
      <c r="F14" s="58" t="s">
        <v>72</v>
      </c>
      <c r="G14" s="58" t="s">
        <v>72</v>
      </c>
      <c r="H14" s="58" t="s">
        <v>72</v>
      </c>
      <c r="I14" s="58" t="s">
        <v>72</v>
      </c>
      <c r="J14" s="58" t="s">
        <v>72</v>
      </c>
      <c r="K14" s="58" t="s">
        <v>72</v>
      </c>
      <c r="L14" s="58" t="s">
        <v>72</v>
      </c>
      <c r="M14" s="58" t="s">
        <v>72</v>
      </c>
      <c r="N14" s="58" t="s">
        <v>72</v>
      </c>
      <c r="O14" s="58" t="s">
        <v>72</v>
      </c>
      <c r="P14" s="58" t="s">
        <v>72</v>
      </c>
      <c r="Q14" s="58" t="s">
        <v>72</v>
      </c>
      <c r="R14" s="58" t="s">
        <v>72</v>
      </c>
      <c r="S14" s="58" t="s">
        <v>72</v>
      </c>
      <c r="T14" s="58" t="s">
        <v>72</v>
      </c>
      <c r="U14" s="58" t="s">
        <v>72</v>
      </c>
      <c r="V14" s="58" t="s">
        <v>72</v>
      </c>
      <c r="W14" s="58" t="s">
        <v>72</v>
      </c>
      <c r="X14" s="58" t="s">
        <v>72</v>
      </c>
      <c r="Y14" s="58" t="s">
        <v>72</v>
      </c>
      <c r="Z14" s="58" t="s">
        <v>72</v>
      </c>
      <c r="AA14" s="58" t="s">
        <v>72</v>
      </c>
      <c r="AB14" s="58" t="s">
        <v>72</v>
      </c>
      <c r="AC14" s="58" t="s">
        <v>72</v>
      </c>
      <c r="AD14" s="58" t="s">
        <v>72</v>
      </c>
      <c r="AE14" s="58" t="s">
        <v>72</v>
      </c>
      <c r="AF14" s="58" t="s">
        <v>72</v>
      </c>
      <c r="AG14" s="58" t="s">
        <v>72</v>
      </c>
      <c r="AH14" s="58" t="s">
        <v>72</v>
      </c>
      <c r="AI14" s="58" t="s">
        <v>72</v>
      </c>
      <c r="AJ14" s="26"/>
      <c r="AL14" t="str">
        <f t="shared" ca="1" si="0"/>
        <v xml:space="preserve">    (U1)ALERT_REQ_S_TMBZR_BC_DOT_</v>
      </c>
      <c r="AR14" s="60" t="str">
        <f t="shared" si="3"/>
        <v>};</v>
      </c>
      <c r="AS14" s="60" t="str">
        <f t="shared" si="4"/>
        <v>};</v>
      </c>
      <c r="AT14" s="60" t="str">
        <f t="shared" si="1"/>
        <v>};</v>
      </c>
      <c r="AU14" s="60" t="str">
        <f ca="1">"        (U2)"&amp;$AW$10&amp;","&amp;REPT(" ",66-LEN($AW$10))&amp;"/* u2_num_srch                                        */"</f>
        <v xml:space="preserve">        (U2)ALERT_S_TMBZR_BC_DOT_NUM_DST,                                      /* u2_num_srch                                        */</v>
      </c>
      <c r="AV14" s="46" t="s">
        <v>82</v>
      </c>
      <c r="AW14" s="65" t="str">
        <f ca="1">IF(AW6&lt;&gt;AW17,VLOOKUP(AW6,Matrix!$C$13:$G$37,4,FALSE),Matrix!F13)</f>
        <v>u4_s_AlertS_tmbzrBcDotSrcchk</v>
      </c>
    </row>
    <row r="15" spans="1:49">
      <c r="B15" s="131"/>
      <c r="C15" s="44">
        <f t="shared" si="2"/>
        <v>9</v>
      </c>
      <c r="D15" s="58" t="s">
        <v>72</v>
      </c>
      <c r="E15" s="58" t="s">
        <v>72</v>
      </c>
      <c r="F15" s="58" t="s">
        <v>72</v>
      </c>
      <c r="G15" s="58" t="s">
        <v>72</v>
      </c>
      <c r="H15" s="58" t="s">
        <v>72</v>
      </c>
      <c r="I15" s="58" t="s">
        <v>72</v>
      </c>
      <c r="J15" s="58" t="s">
        <v>72</v>
      </c>
      <c r="K15" s="58" t="s">
        <v>72</v>
      </c>
      <c r="L15" s="58" t="s">
        <v>72</v>
      </c>
      <c r="M15" s="58" t="s">
        <v>72</v>
      </c>
      <c r="N15" s="58" t="s">
        <v>72</v>
      </c>
      <c r="O15" s="58" t="s">
        <v>72</v>
      </c>
      <c r="P15" s="58" t="s">
        <v>72</v>
      </c>
      <c r="Q15" s="58" t="s">
        <v>72</v>
      </c>
      <c r="R15" s="58" t="s">
        <v>72</v>
      </c>
      <c r="S15" s="58" t="s">
        <v>72</v>
      </c>
      <c r="T15" s="58" t="s">
        <v>72</v>
      </c>
      <c r="U15" s="58" t="s">
        <v>72</v>
      </c>
      <c r="V15" s="58" t="s">
        <v>72</v>
      </c>
      <c r="W15" s="58" t="s">
        <v>72</v>
      </c>
      <c r="X15" s="58" t="s">
        <v>72</v>
      </c>
      <c r="Y15" s="58" t="s">
        <v>72</v>
      </c>
      <c r="Z15" s="58" t="s">
        <v>72</v>
      </c>
      <c r="AA15" s="58" t="s">
        <v>72</v>
      </c>
      <c r="AB15" s="58" t="s">
        <v>72</v>
      </c>
      <c r="AC15" s="58" t="s">
        <v>72</v>
      </c>
      <c r="AD15" s="58" t="s">
        <v>72</v>
      </c>
      <c r="AE15" s="58" t="s">
        <v>72</v>
      </c>
      <c r="AF15" s="58" t="s">
        <v>72</v>
      </c>
      <c r="AG15" s="58" t="s">
        <v>72</v>
      </c>
      <c r="AH15" s="58" t="s">
        <v>72</v>
      </c>
      <c r="AI15" s="58" t="s">
        <v>72</v>
      </c>
      <c r="AJ15" s="26"/>
      <c r="AL15" t="str">
        <f t="shared" ca="1" si="0"/>
        <v xml:space="preserve">    (U1)ALERT_REQ_S_TMBZR_BC_DOT_</v>
      </c>
      <c r="AR15" s="60" t="str">
        <f t="shared" si="3"/>
        <v/>
      </c>
      <c r="AS15" s="60" t="str">
        <f t="shared" si="4"/>
        <v/>
      </c>
      <c r="AT15" s="60" t="str">
        <f t="shared" si="1"/>
        <v/>
      </c>
      <c r="AU15" s="60" t="str">
        <f ca="1">"        (U1)"&amp;$AW$16&amp;REPT(" ",67-LEN($AW$16))&amp;"/* u1_vom_act                                         */"</f>
        <v xml:space="preserve">        (U1)ALERT_VOM_IGN_ON                                                   /* u1_vom_act                                         */</v>
      </c>
      <c r="AV15" s="46" t="s">
        <v>85</v>
      </c>
      <c r="AW15" s="65" t="str">
        <f ca="1">IF(AW6&lt;&gt;AW17,VLOOKUP(AW6,Matrix!$C$13:$G$37,5,FALSE),Matrix!G13)</f>
        <v>NULL</v>
      </c>
    </row>
    <row r="16" spans="1:49">
      <c r="B16" s="131"/>
      <c r="C16" s="44">
        <f t="shared" si="2"/>
        <v>10</v>
      </c>
      <c r="D16" s="58" t="s">
        <v>72</v>
      </c>
      <c r="E16" s="58" t="s">
        <v>72</v>
      </c>
      <c r="F16" s="58" t="s">
        <v>72</v>
      </c>
      <c r="G16" s="58" t="s">
        <v>72</v>
      </c>
      <c r="H16" s="58" t="s">
        <v>72</v>
      </c>
      <c r="I16" s="58" t="s">
        <v>72</v>
      </c>
      <c r="J16" s="58" t="s">
        <v>72</v>
      </c>
      <c r="K16" s="58" t="s">
        <v>72</v>
      </c>
      <c r="L16" s="58" t="s">
        <v>72</v>
      </c>
      <c r="M16" s="58" t="s">
        <v>72</v>
      </c>
      <c r="N16" s="58" t="s">
        <v>72</v>
      </c>
      <c r="O16" s="58" t="s">
        <v>72</v>
      </c>
      <c r="P16" s="58" t="s">
        <v>72</v>
      </c>
      <c r="Q16" s="58" t="s">
        <v>72</v>
      </c>
      <c r="R16" s="58" t="s">
        <v>72</v>
      </c>
      <c r="S16" s="58" t="s">
        <v>72</v>
      </c>
      <c r="T16" s="58" t="s">
        <v>72</v>
      </c>
      <c r="U16" s="58" t="s">
        <v>72</v>
      </c>
      <c r="V16" s="58" t="s">
        <v>72</v>
      </c>
      <c r="W16" s="58" t="s">
        <v>72</v>
      </c>
      <c r="X16" s="58" t="s">
        <v>72</v>
      </c>
      <c r="Y16" s="58" t="s">
        <v>72</v>
      </c>
      <c r="Z16" s="58" t="s">
        <v>72</v>
      </c>
      <c r="AA16" s="58" t="s">
        <v>72</v>
      </c>
      <c r="AB16" s="58" t="s">
        <v>72</v>
      </c>
      <c r="AC16" s="58" t="s">
        <v>72</v>
      </c>
      <c r="AD16" s="58" t="s">
        <v>72</v>
      </c>
      <c r="AE16" s="58" t="s">
        <v>72</v>
      </c>
      <c r="AF16" s="58" t="s">
        <v>72</v>
      </c>
      <c r="AG16" s="58" t="s">
        <v>72</v>
      </c>
      <c r="AH16" s="58" t="s">
        <v>72</v>
      </c>
      <c r="AI16" s="58" t="s">
        <v>72</v>
      </c>
      <c r="AJ16" s="26"/>
      <c r="AL16" t="str">
        <f t="shared" ca="1" si="0"/>
        <v xml:space="preserve">    (U1)ALERT_REQ_S_TMBZR_BC_DOT_</v>
      </c>
      <c r="AR16" s="60" t="str">
        <f t="shared" si="3"/>
        <v/>
      </c>
      <c r="AS16" s="60" t="str">
        <f t="shared" si="4"/>
        <v/>
      </c>
      <c r="AT16" s="60" t="str">
        <f t="shared" si="1"/>
        <v/>
      </c>
      <c r="AU16" s="60" t="s">
        <v>74</v>
      </c>
      <c r="AV16" s="46" t="s">
        <v>83</v>
      </c>
      <c r="AW16" s="65" t="str">
        <f ca="1">IF(AW6&lt;&gt;AW17,VLOOKUP(AW6,Matrix!$C$13:$G$37,2,FALSE),Matrix!D13)</f>
        <v>ALERT_VOM_IGN_ON</v>
      </c>
    </row>
    <row r="17" spans="2:49" ht="14.25" thickBot="1">
      <c r="B17" s="131"/>
      <c r="C17" s="44">
        <f t="shared" si="2"/>
        <v>11</v>
      </c>
      <c r="D17" s="58" t="s">
        <v>72</v>
      </c>
      <c r="E17" s="58" t="s">
        <v>72</v>
      </c>
      <c r="F17" s="58" t="s">
        <v>72</v>
      </c>
      <c r="G17" s="58" t="s">
        <v>72</v>
      </c>
      <c r="H17" s="58" t="s">
        <v>72</v>
      </c>
      <c r="I17" s="58" t="s">
        <v>72</v>
      </c>
      <c r="J17" s="58" t="s">
        <v>72</v>
      </c>
      <c r="K17" s="58" t="s">
        <v>72</v>
      </c>
      <c r="L17" s="58" t="s">
        <v>72</v>
      </c>
      <c r="M17" s="58" t="s">
        <v>72</v>
      </c>
      <c r="N17" s="58" t="s">
        <v>72</v>
      </c>
      <c r="O17" s="58" t="s">
        <v>72</v>
      </c>
      <c r="P17" s="58" t="s">
        <v>72</v>
      </c>
      <c r="Q17" s="58" t="s">
        <v>72</v>
      </c>
      <c r="R17" s="58" t="s">
        <v>72</v>
      </c>
      <c r="S17" s="58" t="s">
        <v>72</v>
      </c>
      <c r="T17" s="58" t="s">
        <v>72</v>
      </c>
      <c r="U17" s="58" t="s">
        <v>72</v>
      </c>
      <c r="V17" s="58" t="s">
        <v>72</v>
      </c>
      <c r="W17" s="58" t="s">
        <v>72</v>
      </c>
      <c r="X17" s="58" t="s">
        <v>72</v>
      </c>
      <c r="Y17" s="58" t="s">
        <v>72</v>
      </c>
      <c r="Z17" s="58" t="s">
        <v>72</v>
      </c>
      <c r="AA17" s="58" t="s">
        <v>72</v>
      </c>
      <c r="AB17" s="58" t="s">
        <v>72</v>
      </c>
      <c r="AC17" s="58" t="s">
        <v>72</v>
      </c>
      <c r="AD17" s="58" t="s">
        <v>72</v>
      </c>
      <c r="AE17" s="58" t="s">
        <v>72</v>
      </c>
      <c r="AF17" s="58" t="s">
        <v>72</v>
      </c>
      <c r="AG17" s="58" t="s">
        <v>72</v>
      </c>
      <c r="AH17" s="58" t="s">
        <v>72</v>
      </c>
      <c r="AI17" s="58" t="s">
        <v>72</v>
      </c>
      <c r="AJ17" s="26"/>
      <c r="AL17" t="str">
        <f t="shared" ca="1" si="0"/>
        <v xml:space="preserve">    (U1)ALERT_REQ_S_TMBZR_BC_DOT_</v>
      </c>
      <c r="AR17" s="60" t="str">
        <f t="shared" si="3"/>
        <v/>
      </c>
      <c r="AS17" s="60" t="str">
        <f t="shared" si="4"/>
        <v/>
      </c>
      <c r="AT17" s="60" t="str">
        <f t="shared" si="1"/>
        <v/>
      </c>
      <c r="AU17" s="61" t="s">
        <v>86</v>
      </c>
      <c r="AV17" s="47" t="s">
        <v>84</v>
      </c>
      <c r="AW17" s="66" t="str">
        <f ca="1">UPPER(Matrix!$D$6)</f>
        <v>S_TMBZR</v>
      </c>
    </row>
    <row r="18" spans="2:49">
      <c r="B18" s="131"/>
      <c r="C18" s="44">
        <f t="shared" si="2"/>
        <v>12</v>
      </c>
      <c r="D18" s="58" t="s">
        <v>72</v>
      </c>
      <c r="E18" s="58" t="s">
        <v>72</v>
      </c>
      <c r="F18" s="58" t="s">
        <v>72</v>
      </c>
      <c r="G18" s="58" t="s">
        <v>72</v>
      </c>
      <c r="H18" s="58" t="s">
        <v>72</v>
      </c>
      <c r="I18" s="58" t="s">
        <v>72</v>
      </c>
      <c r="J18" s="58" t="s">
        <v>72</v>
      </c>
      <c r="K18" s="58" t="s">
        <v>72</v>
      </c>
      <c r="L18" s="58" t="s">
        <v>72</v>
      </c>
      <c r="M18" s="58" t="s">
        <v>72</v>
      </c>
      <c r="N18" s="58" t="s">
        <v>72</v>
      </c>
      <c r="O18" s="58" t="s">
        <v>72</v>
      </c>
      <c r="P18" s="58" t="s">
        <v>72</v>
      </c>
      <c r="Q18" s="58" t="s">
        <v>72</v>
      </c>
      <c r="R18" s="58" t="s">
        <v>72</v>
      </c>
      <c r="S18" s="58" t="s">
        <v>72</v>
      </c>
      <c r="T18" s="58" t="s">
        <v>72</v>
      </c>
      <c r="U18" s="58" t="s">
        <v>72</v>
      </c>
      <c r="V18" s="58" t="s">
        <v>72</v>
      </c>
      <c r="W18" s="58" t="s">
        <v>72</v>
      </c>
      <c r="X18" s="58" t="s">
        <v>72</v>
      </c>
      <c r="Y18" s="58" t="s">
        <v>72</v>
      </c>
      <c r="Z18" s="58" t="s">
        <v>72</v>
      </c>
      <c r="AA18" s="58" t="s">
        <v>72</v>
      </c>
      <c r="AB18" s="58" t="s">
        <v>72</v>
      </c>
      <c r="AC18" s="58" t="s">
        <v>72</v>
      </c>
      <c r="AD18" s="58" t="s">
        <v>72</v>
      </c>
      <c r="AE18" s="58" t="s">
        <v>72</v>
      </c>
      <c r="AF18" s="58" t="s">
        <v>72</v>
      </c>
      <c r="AG18" s="58" t="s">
        <v>72</v>
      </c>
      <c r="AH18" s="58" t="s">
        <v>72</v>
      </c>
      <c r="AI18" s="58" t="s">
        <v>72</v>
      </c>
      <c r="AJ18" s="26"/>
      <c r="AL18" t="str">
        <f t="shared" ca="1" si="0"/>
        <v xml:space="preserve">    (U1)ALERT_REQ_S_TMBZR_BC_DOT_</v>
      </c>
      <c r="AR18" s="60" t="str">
        <f t="shared" si="3"/>
        <v/>
      </c>
      <c r="AS18" s="60" t="str">
        <f t="shared" si="4"/>
        <v/>
      </c>
      <c r="AT18" s="60" t="str">
        <f t="shared" si="1"/>
        <v/>
      </c>
    </row>
    <row r="19" spans="2:49">
      <c r="B19" s="131"/>
      <c r="C19" s="44">
        <f t="shared" si="2"/>
        <v>13</v>
      </c>
      <c r="D19" s="58" t="s">
        <v>72</v>
      </c>
      <c r="E19" s="58" t="s">
        <v>72</v>
      </c>
      <c r="F19" s="58" t="s">
        <v>72</v>
      </c>
      <c r="G19" s="58" t="s">
        <v>72</v>
      </c>
      <c r="H19" s="58" t="s">
        <v>72</v>
      </c>
      <c r="I19" s="58" t="s">
        <v>72</v>
      </c>
      <c r="J19" s="58" t="s">
        <v>72</v>
      </c>
      <c r="K19" s="58" t="s">
        <v>72</v>
      </c>
      <c r="L19" s="58" t="s">
        <v>72</v>
      </c>
      <c r="M19" s="58" t="s">
        <v>72</v>
      </c>
      <c r="N19" s="58" t="s">
        <v>72</v>
      </c>
      <c r="O19" s="58" t="s">
        <v>72</v>
      </c>
      <c r="P19" s="58" t="s">
        <v>72</v>
      </c>
      <c r="Q19" s="58" t="s">
        <v>72</v>
      </c>
      <c r="R19" s="58" t="s">
        <v>72</v>
      </c>
      <c r="S19" s="58" t="s">
        <v>72</v>
      </c>
      <c r="T19" s="58" t="s">
        <v>72</v>
      </c>
      <c r="U19" s="58" t="s">
        <v>72</v>
      </c>
      <c r="V19" s="58" t="s">
        <v>72</v>
      </c>
      <c r="W19" s="58" t="s">
        <v>72</v>
      </c>
      <c r="X19" s="58" t="s">
        <v>72</v>
      </c>
      <c r="Y19" s="58" t="s">
        <v>72</v>
      </c>
      <c r="Z19" s="58" t="s">
        <v>72</v>
      </c>
      <c r="AA19" s="58" t="s">
        <v>72</v>
      </c>
      <c r="AB19" s="58" t="s">
        <v>72</v>
      </c>
      <c r="AC19" s="58" t="s">
        <v>72</v>
      </c>
      <c r="AD19" s="58" t="s">
        <v>72</v>
      </c>
      <c r="AE19" s="58" t="s">
        <v>72</v>
      </c>
      <c r="AF19" s="58" t="s">
        <v>72</v>
      </c>
      <c r="AG19" s="58" t="s">
        <v>72</v>
      </c>
      <c r="AH19" s="58" t="s">
        <v>72</v>
      </c>
      <c r="AI19" s="58" t="s">
        <v>72</v>
      </c>
      <c r="AJ19" s="26"/>
      <c r="AL19" t="str">
        <f t="shared" ca="1" si="0"/>
        <v xml:space="preserve">    (U1)ALERT_REQ_S_TMBZR_BC_DOT_</v>
      </c>
      <c r="AR19" s="60" t="str">
        <f t="shared" si="3"/>
        <v/>
      </c>
      <c r="AS19" s="60" t="str">
        <f t="shared" si="4"/>
        <v/>
      </c>
      <c r="AT19" s="60" t="str">
        <f t="shared" si="1"/>
        <v/>
      </c>
    </row>
    <row r="20" spans="2:49">
      <c r="B20" s="131"/>
      <c r="C20" s="44">
        <f t="shared" si="2"/>
        <v>14</v>
      </c>
      <c r="D20" s="58" t="s">
        <v>72</v>
      </c>
      <c r="E20" s="58" t="s">
        <v>72</v>
      </c>
      <c r="F20" s="58" t="s">
        <v>72</v>
      </c>
      <c r="G20" s="58" t="s">
        <v>72</v>
      </c>
      <c r="H20" s="58" t="s">
        <v>72</v>
      </c>
      <c r="I20" s="58" t="s">
        <v>72</v>
      </c>
      <c r="J20" s="58" t="s">
        <v>72</v>
      </c>
      <c r="K20" s="58" t="s">
        <v>72</v>
      </c>
      <c r="L20" s="58" t="s">
        <v>72</v>
      </c>
      <c r="M20" s="58" t="s">
        <v>72</v>
      </c>
      <c r="N20" s="58" t="s">
        <v>72</v>
      </c>
      <c r="O20" s="58" t="s">
        <v>72</v>
      </c>
      <c r="P20" s="58" t="s">
        <v>72</v>
      </c>
      <c r="Q20" s="58" t="s">
        <v>72</v>
      </c>
      <c r="R20" s="58" t="s">
        <v>72</v>
      </c>
      <c r="S20" s="58" t="s">
        <v>72</v>
      </c>
      <c r="T20" s="58" t="s">
        <v>72</v>
      </c>
      <c r="U20" s="58" t="s">
        <v>72</v>
      </c>
      <c r="V20" s="58" t="s">
        <v>72</v>
      </c>
      <c r="W20" s="58" t="s">
        <v>72</v>
      </c>
      <c r="X20" s="58" t="s">
        <v>72</v>
      </c>
      <c r="Y20" s="58" t="s">
        <v>72</v>
      </c>
      <c r="Z20" s="58" t="s">
        <v>72</v>
      </c>
      <c r="AA20" s="58" t="s">
        <v>72</v>
      </c>
      <c r="AB20" s="58" t="s">
        <v>72</v>
      </c>
      <c r="AC20" s="58" t="s">
        <v>72</v>
      </c>
      <c r="AD20" s="58" t="s">
        <v>72</v>
      </c>
      <c r="AE20" s="58" t="s">
        <v>72</v>
      </c>
      <c r="AF20" s="58" t="s">
        <v>72</v>
      </c>
      <c r="AG20" s="58" t="s">
        <v>72</v>
      </c>
      <c r="AH20" s="58" t="s">
        <v>72</v>
      </c>
      <c r="AI20" s="58" t="s">
        <v>72</v>
      </c>
      <c r="AJ20" s="26"/>
      <c r="AL20" t="str">
        <f t="shared" ca="1" si="0"/>
        <v xml:space="preserve">    (U1)ALERT_REQ_S_TMBZR_BC_DOT_</v>
      </c>
      <c r="AR20" s="60" t="str">
        <f t="shared" si="3"/>
        <v/>
      </c>
      <c r="AS20" s="60" t="str">
        <f t="shared" si="4"/>
        <v/>
      </c>
      <c r="AT20" s="60" t="str">
        <f t="shared" si="1"/>
        <v/>
      </c>
    </row>
    <row r="21" spans="2:49">
      <c r="B21" s="131"/>
      <c r="C21" s="44">
        <f t="shared" si="2"/>
        <v>15</v>
      </c>
      <c r="D21" s="58" t="s">
        <v>72</v>
      </c>
      <c r="E21" s="58" t="s">
        <v>72</v>
      </c>
      <c r="F21" s="58" t="s">
        <v>72</v>
      </c>
      <c r="G21" s="58" t="s">
        <v>72</v>
      </c>
      <c r="H21" s="58" t="s">
        <v>72</v>
      </c>
      <c r="I21" s="58" t="s">
        <v>72</v>
      </c>
      <c r="J21" s="58" t="s">
        <v>72</v>
      </c>
      <c r="K21" s="58" t="s">
        <v>72</v>
      </c>
      <c r="L21" s="58" t="s">
        <v>72</v>
      </c>
      <c r="M21" s="58" t="s">
        <v>72</v>
      </c>
      <c r="N21" s="58" t="s">
        <v>72</v>
      </c>
      <c r="O21" s="58" t="s">
        <v>72</v>
      </c>
      <c r="P21" s="58" t="s">
        <v>72</v>
      </c>
      <c r="Q21" s="58" t="s">
        <v>72</v>
      </c>
      <c r="R21" s="58" t="s">
        <v>72</v>
      </c>
      <c r="S21" s="58" t="s">
        <v>72</v>
      </c>
      <c r="T21" s="58" t="s">
        <v>72</v>
      </c>
      <c r="U21" s="58" t="s">
        <v>72</v>
      </c>
      <c r="V21" s="58" t="s">
        <v>72</v>
      </c>
      <c r="W21" s="58" t="s">
        <v>72</v>
      </c>
      <c r="X21" s="58" t="s">
        <v>72</v>
      </c>
      <c r="Y21" s="58" t="s">
        <v>72</v>
      </c>
      <c r="Z21" s="58" t="s">
        <v>72</v>
      </c>
      <c r="AA21" s="58" t="s">
        <v>72</v>
      </c>
      <c r="AB21" s="58" t="s">
        <v>72</v>
      </c>
      <c r="AC21" s="58" t="s">
        <v>72</v>
      </c>
      <c r="AD21" s="58" t="s">
        <v>72</v>
      </c>
      <c r="AE21" s="58" t="s">
        <v>72</v>
      </c>
      <c r="AF21" s="58" t="s">
        <v>72</v>
      </c>
      <c r="AG21" s="58" t="s">
        <v>72</v>
      </c>
      <c r="AH21" s="58" t="s">
        <v>72</v>
      </c>
      <c r="AI21" s="58" t="s">
        <v>72</v>
      </c>
      <c r="AJ21" s="26"/>
      <c r="AL21" t="str">
        <f t="shared" ca="1" si="0"/>
        <v xml:space="preserve">    (U1)ALERT_REQ_S_TMBZR_BC_DOT_</v>
      </c>
      <c r="AR21" s="60" t="str">
        <f t="shared" si="3"/>
        <v/>
      </c>
      <c r="AS21" s="60" t="str">
        <f t="shared" si="4"/>
        <v/>
      </c>
      <c r="AT21" s="60" t="str">
        <f t="shared" si="1"/>
        <v/>
      </c>
    </row>
    <row r="22" spans="2:49">
      <c r="B22" s="131"/>
      <c r="C22" s="44">
        <f t="shared" si="2"/>
        <v>16</v>
      </c>
      <c r="D22" s="58" t="s">
        <v>72</v>
      </c>
      <c r="E22" s="58" t="s">
        <v>72</v>
      </c>
      <c r="F22" s="58" t="s">
        <v>72</v>
      </c>
      <c r="G22" s="58" t="s">
        <v>72</v>
      </c>
      <c r="H22" s="58" t="s">
        <v>72</v>
      </c>
      <c r="I22" s="58" t="s">
        <v>72</v>
      </c>
      <c r="J22" s="58" t="s">
        <v>72</v>
      </c>
      <c r="K22" s="58" t="s">
        <v>72</v>
      </c>
      <c r="L22" s="58" t="s">
        <v>72</v>
      </c>
      <c r="M22" s="58" t="s">
        <v>72</v>
      </c>
      <c r="N22" s="58" t="s">
        <v>72</v>
      </c>
      <c r="O22" s="58" t="s">
        <v>72</v>
      </c>
      <c r="P22" s="58" t="s">
        <v>72</v>
      </c>
      <c r="Q22" s="58" t="s">
        <v>72</v>
      </c>
      <c r="R22" s="58" t="s">
        <v>72</v>
      </c>
      <c r="S22" s="58" t="s">
        <v>72</v>
      </c>
      <c r="T22" s="58" t="s">
        <v>72</v>
      </c>
      <c r="U22" s="58" t="s">
        <v>72</v>
      </c>
      <c r="V22" s="58" t="s">
        <v>72</v>
      </c>
      <c r="W22" s="58" t="s">
        <v>72</v>
      </c>
      <c r="X22" s="58" t="s">
        <v>72</v>
      </c>
      <c r="Y22" s="58" t="s">
        <v>72</v>
      </c>
      <c r="Z22" s="58" t="s">
        <v>72</v>
      </c>
      <c r="AA22" s="58" t="s">
        <v>72</v>
      </c>
      <c r="AB22" s="58" t="s">
        <v>72</v>
      </c>
      <c r="AC22" s="58" t="s">
        <v>72</v>
      </c>
      <c r="AD22" s="58" t="s">
        <v>72</v>
      </c>
      <c r="AE22" s="58" t="s">
        <v>72</v>
      </c>
      <c r="AF22" s="58" t="s">
        <v>72</v>
      </c>
      <c r="AG22" s="58" t="s">
        <v>72</v>
      </c>
      <c r="AH22" s="58" t="s">
        <v>72</v>
      </c>
      <c r="AI22" s="58" t="s">
        <v>72</v>
      </c>
      <c r="AJ22" s="26"/>
      <c r="AL22" t="str">
        <f t="shared" ca="1" si="0"/>
        <v xml:space="preserve">    (U1)ALERT_REQ_S_TMBZR_BC_DOT_</v>
      </c>
      <c r="AR22" s="60" t="str">
        <f t="shared" si="3"/>
        <v/>
      </c>
      <c r="AS22" s="60" t="str">
        <f t="shared" si="4"/>
        <v/>
      </c>
      <c r="AT22" s="60" t="str">
        <f t="shared" si="1"/>
        <v/>
      </c>
    </row>
    <row r="23" spans="2:49">
      <c r="B23" s="131"/>
      <c r="C23" s="44">
        <f t="shared" si="2"/>
        <v>17</v>
      </c>
      <c r="D23" s="58" t="s">
        <v>72</v>
      </c>
      <c r="E23" s="58" t="s">
        <v>72</v>
      </c>
      <c r="F23" s="58" t="s">
        <v>72</v>
      </c>
      <c r="G23" s="58" t="s">
        <v>72</v>
      </c>
      <c r="H23" s="58" t="s">
        <v>72</v>
      </c>
      <c r="I23" s="58" t="s">
        <v>72</v>
      </c>
      <c r="J23" s="58" t="s">
        <v>72</v>
      </c>
      <c r="K23" s="58" t="s">
        <v>72</v>
      </c>
      <c r="L23" s="58" t="s">
        <v>72</v>
      </c>
      <c r="M23" s="58" t="s">
        <v>72</v>
      </c>
      <c r="N23" s="58" t="s">
        <v>72</v>
      </c>
      <c r="O23" s="58" t="s">
        <v>72</v>
      </c>
      <c r="P23" s="58" t="s">
        <v>72</v>
      </c>
      <c r="Q23" s="58" t="s">
        <v>72</v>
      </c>
      <c r="R23" s="58" t="s">
        <v>72</v>
      </c>
      <c r="S23" s="58" t="s">
        <v>72</v>
      </c>
      <c r="T23" s="58" t="s">
        <v>72</v>
      </c>
      <c r="U23" s="58" t="s">
        <v>72</v>
      </c>
      <c r="V23" s="58" t="s">
        <v>72</v>
      </c>
      <c r="W23" s="58" t="s">
        <v>72</v>
      </c>
      <c r="X23" s="58" t="s">
        <v>72</v>
      </c>
      <c r="Y23" s="58" t="s">
        <v>72</v>
      </c>
      <c r="Z23" s="58" t="s">
        <v>72</v>
      </c>
      <c r="AA23" s="58" t="s">
        <v>72</v>
      </c>
      <c r="AB23" s="58" t="s">
        <v>72</v>
      </c>
      <c r="AC23" s="58" t="s">
        <v>72</v>
      </c>
      <c r="AD23" s="58" t="s">
        <v>72</v>
      </c>
      <c r="AE23" s="58" t="s">
        <v>72</v>
      </c>
      <c r="AF23" s="58" t="s">
        <v>72</v>
      </c>
      <c r="AG23" s="58" t="s">
        <v>72</v>
      </c>
      <c r="AH23" s="58" t="s">
        <v>72</v>
      </c>
      <c r="AI23" s="58" t="s">
        <v>72</v>
      </c>
      <c r="AJ23" s="26"/>
      <c r="AL23" t="str">
        <f t="shared" ca="1" si="0"/>
        <v xml:space="preserve">    (U1)ALERT_REQ_S_TMBZR_BC_DOT_</v>
      </c>
      <c r="AR23" s="60" t="str">
        <f t="shared" si="3"/>
        <v/>
      </c>
      <c r="AS23" s="60" t="str">
        <f t="shared" si="4"/>
        <v/>
      </c>
      <c r="AT23" s="60" t="str">
        <f t="shared" si="1"/>
        <v/>
      </c>
    </row>
    <row r="24" spans="2:49">
      <c r="B24" s="131"/>
      <c r="C24" s="44">
        <f t="shared" si="2"/>
        <v>18</v>
      </c>
      <c r="D24" s="58" t="s">
        <v>72</v>
      </c>
      <c r="E24" s="58" t="s">
        <v>72</v>
      </c>
      <c r="F24" s="58" t="s">
        <v>72</v>
      </c>
      <c r="G24" s="58" t="s">
        <v>72</v>
      </c>
      <c r="H24" s="58" t="s">
        <v>72</v>
      </c>
      <c r="I24" s="58" t="s">
        <v>72</v>
      </c>
      <c r="J24" s="58" t="s">
        <v>72</v>
      </c>
      <c r="K24" s="58" t="s">
        <v>72</v>
      </c>
      <c r="L24" s="58" t="s">
        <v>72</v>
      </c>
      <c r="M24" s="58" t="s">
        <v>72</v>
      </c>
      <c r="N24" s="58" t="s">
        <v>72</v>
      </c>
      <c r="O24" s="58" t="s">
        <v>72</v>
      </c>
      <c r="P24" s="58" t="s">
        <v>72</v>
      </c>
      <c r="Q24" s="58" t="s">
        <v>72</v>
      </c>
      <c r="R24" s="58" t="s">
        <v>72</v>
      </c>
      <c r="S24" s="58" t="s">
        <v>72</v>
      </c>
      <c r="T24" s="58" t="s">
        <v>72</v>
      </c>
      <c r="U24" s="58" t="s">
        <v>72</v>
      </c>
      <c r="V24" s="58" t="s">
        <v>72</v>
      </c>
      <c r="W24" s="58" t="s">
        <v>72</v>
      </c>
      <c r="X24" s="58" t="s">
        <v>72</v>
      </c>
      <c r="Y24" s="58" t="s">
        <v>72</v>
      </c>
      <c r="Z24" s="58" t="s">
        <v>72</v>
      </c>
      <c r="AA24" s="58" t="s">
        <v>72</v>
      </c>
      <c r="AB24" s="58" t="s">
        <v>72</v>
      </c>
      <c r="AC24" s="58" t="s">
        <v>72</v>
      </c>
      <c r="AD24" s="58" t="s">
        <v>72</v>
      </c>
      <c r="AE24" s="58" t="s">
        <v>72</v>
      </c>
      <c r="AF24" s="58" t="s">
        <v>72</v>
      </c>
      <c r="AG24" s="58" t="s">
        <v>72</v>
      </c>
      <c r="AH24" s="58" t="s">
        <v>72</v>
      </c>
      <c r="AI24" s="58" t="s">
        <v>72</v>
      </c>
      <c r="AJ24" s="26"/>
      <c r="AL24" t="str">
        <f t="shared" ca="1" si="0"/>
        <v xml:space="preserve">    (U1)ALERT_REQ_S_TMBZR_BC_DOT_</v>
      </c>
      <c r="AR24" s="60" t="str">
        <f t="shared" si="3"/>
        <v/>
      </c>
      <c r="AS24" s="60" t="str">
        <f t="shared" si="4"/>
        <v/>
      </c>
      <c r="AT24" s="60" t="str">
        <f t="shared" si="1"/>
        <v/>
      </c>
    </row>
    <row r="25" spans="2:49">
      <c r="B25" s="131"/>
      <c r="C25" s="44">
        <f t="shared" si="2"/>
        <v>19</v>
      </c>
      <c r="D25" s="58" t="s">
        <v>72</v>
      </c>
      <c r="E25" s="58" t="s">
        <v>72</v>
      </c>
      <c r="F25" s="58" t="s">
        <v>72</v>
      </c>
      <c r="G25" s="58" t="s">
        <v>72</v>
      </c>
      <c r="H25" s="58" t="s">
        <v>72</v>
      </c>
      <c r="I25" s="58" t="s">
        <v>72</v>
      </c>
      <c r="J25" s="58" t="s">
        <v>72</v>
      </c>
      <c r="K25" s="58" t="s">
        <v>72</v>
      </c>
      <c r="L25" s="58" t="s">
        <v>72</v>
      </c>
      <c r="M25" s="58" t="s">
        <v>72</v>
      </c>
      <c r="N25" s="58" t="s">
        <v>72</v>
      </c>
      <c r="O25" s="58" t="s">
        <v>72</v>
      </c>
      <c r="P25" s="58" t="s">
        <v>72</v>
      </c>
      <c r="Q25" s="58" t="s">
        <v>72</v>
      </c>
      <c r="R25" s="58" t="s">
        <v>72</v>
      </c>
      <c r="S25" s="58" t="s">
        <v>72</v>
      </c>
      <c r="T25" s="58" t="s">
        <v>72</v>
      </c>
      <c r="U25" s="58" t="s">
        <v>72</v>
      </c>
      <c r="V25" s="58" t="s">
        <v>72</v>
      </c>
      <c r="W25" s="58" t="s">
        <v>72</v>
      </c>
      <c r="X25" s="58" t="s">
        <v>72</v>
      </c>
      <c r="Y25" s="58" t="s">
        <v>72</v>
      </c>
      <c r="Z25" s="58" t="s">
        <v>72</v>
      </c>
      <c r="AA25" s="58" t="s">
        <v>72</v>
      </c>
      <c r="AB25" s="58" t="s">
        <v>72</v>
      </c>
      <c r="AC25" s="58" t="s">
        <v>72</v>
      </c>
      <c r="AD25" s="58" t="s">
        <v>72</v>
      </c>
      <c r="AE25" s="58" t="s">
        <v>72</v>
      </c>
      <c r="AF25" s="58" t="s">
        <v>72</v>
      </c>
      <c r="AG25" s="58" t="s">
        <v>72</v>
      </c>
      <c r="AH25" s="58" t="s">
        <v>72</v>
      </c>
      <c r="AI25" s="58" t="s">
        <v>72</v>
      </c>
      <c r="AJ25" s="26"/>
      <c r="AL25" t="str">
        <f t="shared" ca="1" si="0"/>
        <v xml:space="preserve">    (U1)ALERT_REQ_S_TMBZR_BC_DOT_</v>
      </c>
      <c r="AR25" s="60" t="str">
        <f t="shared" si="3"/>
        <v/>
      </c>
      <c r="AS25" s="60" t="str">
        <f t="shared" si="4"/>
        <v/>
      </c>
      <c r="AT25" s="60" t="str">
        <f t="shared" si="1"/>
        <v/>
      </c>
    </row>
    <row r="26" spans="2:49">
      <c r="B26" s="131"/>
      <c r="C26" s="44">
        <f t="shared" si="2"/>
        <v>20</v>
      </c>
      <c r="D26" s="58" t="s">
        <v>72</v>
      </c>
      <c r="E26" s="58" t="s">
        <v>72</v>
      </c>
      <c r="F26" s="58" t="s">
        <v>72</v>
      </c>
      <c r="G26" s="58" t="s">
        <v>72</v>
      </c>
      <c r="H26" s="58" t="s">
        <v>72</v>
      </c>
      <c r="I26" s="58" t="s">
        <v>72</v>
      </c>
      <c r="J26" s="58" t="s">
        <v>72</v>
      </c>
      <c r="K26" s="58" t="s">
        <v>72</v>
      </c>
      <c r="L26" s="58" t="s">
        <v>72</v>
      </c>
      <c r="M26" s="58" t="s">
        <v>72</v>
      </c>
      <c r="N26" s="58" t="s">
        <v>72</v>
      </c>
      <c r="O26" s="58" t="s">
        <v>72</v>
      </c>
      <c r="P26" s="58" t="s">
        <v>72</v>
      </c>
      <c r="Q26" s="58" t="s">
        <v>72</v>
      </c>
      <c r="R26" s="58" t="s">
        <v>72</v>
      </c>
      <c r="S26" s="58" t="s">
        <v>72</v>
      </c>
      <c r="T26" s="58" t="s">
        <v>72</v>
      </c>
      <c r="U26" s="58" t="s">
        <v>72</v>
      </c>
      <c r="V26" s="58" t="s">
        <v>72</v>
      </c>
      <c r="W26" s="58" t="s">
        <v>72</v>
      </c>
      <c r="X26" s="58" t="s">
        <v>72</v>
      </c>
      <c r="Y26" s="58" t="s">
        <v>72</v>
      </c>
      <c r="Z26" s="58" t="s">
        <v>72</v>
      </c>
      <c r="AA26" s="58" t="s">
        <v>72</v>
      </c>
      <c r="AB26" s="58" t="s">
        <v>72</v>
      </c>
      <c r="AC26" s="58" t="s">
        <v>72</v>
      </c>
      <c r="AD26" s="58" t="s">
        <v>72</v>
      </c>
      <c r="AE26" s="58" t="s">
        <v>72</v>
      </c>
      <c r="AF26" s="58" t="s">
        <v>72</v>
      </c>
      <c r="AG26" s="58" t="s">
        <v>72</v>
      </c>
      <c r="AH26" s="58" t="s">
        <v>72</v>
      </c>
      <c r="AI26" s="58" t="s">
        <v>72</v>
      </c>
      <c r="AJ26" s="26"/>
      <c r="AL26" t="str">
        <f t="shared" ca="1" si="0"/>
        <v xml:space="preserve">    (U1)ALERT_REQ_S_TMBZR_BC_DOT_</v>
      </c>
      <c r="AR26" s="60" t="str">
        <f t="shared" si="3"/>
        <v/>
      </c>
      <c r="AS26" s="60" t="str">
        <f t="shared" si="4"/>
        <v/>
      </c>
      <c r="AT26" s="60" t="str">
        <f t="shared" si="1"/>
        <v/>
      </c>
    </row>
    <row r="27" spans="2:49">
      <c r="B27" s="131"/>
      <c r="C27" s="44">
        <f t="shared" si="2"/>
        <v>21</v>
      </c>
      <c r="D27" s="58" t="s">
        <v>72</v>
      </c>
      <c r="E27" s="58" t="s">
        <v>72</v>
      </c>
      <c r="F27" s="58" t="s">
        <v>72</v>
      </c>
      <c r="G27" s="58" t="s">
        <v>72</v>
      </c>
      <c r="H27" s="58" t="s">
        <v>72</v>
      </c>
      <c r="I27" s="58" t="s">
        <v>72</v>
      </c>
      <c r="J27" s="58" t="s">
        <v>72</v>
      </c>
      <c r="K27" s="58" t="s">
        <v>72</v>
      </c>
      <c r="L27" s="58" t="s">
        <v>72</v>
      </c>
      <c r="M27" s="58" t="s">
        <v>72</v>
      </c>
      <c r="N27" s="58" t="s">
        <v>72</v>
      </c>
      <c r="O27" s="58" t="s">
        <v>72</v>
      </c>
      <c r="P27" s="58" t="s">
        <v>72</v>
      </c>
      <c r="Q27" s="58" t="s">
        <v>72</v>
      </c>
      <c r="R27" s="58" t="s">
        <v>72</v>
      </c>
      <c r="S27" s="58" t="s">
        <v>72</v>
      </c>
      <c r="T27" s="58" t="s">
        <v>72</v>
      </c>
      <c r="U27" s="58" t="s">
        <v>72</v>
      </c>
      <c r="V27" s="58" t="s">
        <v>72</v>
      </c>
      <c r="W27" s="58" t="s">
        <v>72</v>
      </c>
      <c r="X27" s="58" t="s">
        <v>72</v>
      </c>
      <c r="Y27" s="58" t="s">
        <v>72</v>
      </c>
      <c r="Z27" s="58" t="s">
        <v>72</v>
      </c>
      <c r="AA27" s="58" t="s">
        <v>72</v>
      </c>
      <c r="AB27" s="58" t="s">
        <v>72</v>
      </c>
      <c r="AC27" s="58" t="s">
        <v>72</v>
      </c>
      <c r="AD27" s="58" t="s">
        <v>72</v>
      </c>
      <c r="AE27" s="58" t="s">
        <v>72</v>
      </c>
      <c r="AF27" s="58" t="s">
        <v>72</v>
      </c>
      <c r="AG27" s="58" t="s">
        <v>72</v>
      </c>
      <c r="AH27" s="58" t="s">
        <v>72</v>
      </c>
      <c r="AI27" s="58" t="s">
        <v>72</v>
      </c>
      <c r="AJ27" s="26"/>
      <c r="AL27" t="str">
        <f t="shared" ca="1" si="0"/>
        <v xml:space="preserve">    (U1)ALERT_REQ_S_TMBZR_BC_DOT_</v>
      </c>
      <c r="AR27" s="60" t="str">
        <f t="shared" si="3"/>
        <v/>
      </c>
      <c r="AS27" s="60" t="str">
        <f t="shared" si="4"/>
        <v/>
      </c>
      <c r="AT27" s="60" t="str">
        <f t="shared" si="1"/>
        <v/>
      </c>
    </row>
    <row r="28" spans="2:49">
      <c r="B28" s="131"/>
      <c r="C28" s="44">
        <f t="shared" si="2"/>
        <v>22</v>
      </c>
      <c r="D28" s="58" t="s">
        <v>72</v>
      </c>
      <c r="E28" s="58" t="s">
        <v>72</v>
      </c>
      <c r="F28" s="58" t="s">
        <v>72</v>
      </c>
      <c r="G28" s="58" t="s">
        <v>72</v>
      </c>
      <c r="H28" s="58" t="s">
        <v>72</v>
      </c>
      <c r="I28" s="58" t="s">
        <v>72</v>
      </c>
      <c r="J28" s="58" t="s">
        <v>72</v>
      </c>
      <c r="K28" s="58" t="s">
        <v>72</v>
      </c>
      <c r="L28" s="58" t="s">
        <v>72</v>
      </c>
      <c r="M28" s="58" t="s">
        <v>72</v>
      </c>
      <c r="N28" s="58" t="s">
        <v>72</v>
      </c>
      <c r="O28" s="58" t="s">
        <v>72</v>
      </c>
      <c r="P28" s="58" t="s">
        <v>72</v>
      </c>
      <c r="Q28" s="58" t="s">
        <v>72</v>
      </c>
      <c r="R28" s="58" t="s">
        <v>72</v>
      </c>
      <c r="S28" s="58" t="s">
        <v>72</v>
      </c>
      <c r="T28" s="58" t="s">
        <v>72</v>
      </c>
      <c r="U28" s="58" t="s">
        <v>72</v>
      </c>
      <c r="V28" s="58" t="s">
        <v>72</v>
      </c>
      <c r="W28" s="58" t="s">
        <v>72</v>
      </c>
      <c r="X28" s="58" t="s">
        <v>72</v>
      </c>
      <c r="Y28" s="58" t="s">
        <v>72</v>
      </c>
      <c r="Z28" s="58" t="s">
        <v>72</v>
      </c>
      <c r="AA28" s="58" t="s">
        <v>72</v>
      </c>
      <c r="AB28" s="58" t="s">
        <v>72</v>
      </c>
      <c r="AC28" s="58" t="s">
        <v>72</v>
      </c>
      <c r="AD28" s="58" t="s">
        <v>72</v>
      </c>
      <c r="AE28" s="58" t="s">
        <v>72</v>
      </c>
      <c r="AF28" s="58" t="s">
        <v>72</v>
      </c>
      <c r="AG28" s="58" t="s">
        <v>72</v>
      </c>
      <c r="AH28" s="58" t="s">
        <v>72</v>
      </c>
      <c r="AI28" s="58" t="s">
        <v>72</v>
      </c>
      <c r="AJ28" s="26"/>
      <c r="AL28" t="str">
        <f t="shared" ca="1" si="0"/>
        <v xml:space="preserve">    (U1)ALERT_REQ_S_TMBZR_BC_DOT_</v>
      </c>
      <c r="AR28" s="60" t="str">
        <f t="shared" si="3"/>
        <v/>
      </c>
      <c r="AS28" s="60" t="str">
        <f t="shared" si="4"/>
        <v/>
      </c>
      <c r="AT28" s="60" t="str">
        <f t="shared" si="1"/>
        <v/>
      </c>
    </row>
    <row r="29" spans="2:49">
      <c r="B29" s="131"/>
      <c r="C29" s="44">
        <f t="shared" si="2"/>
        <v>23</v>
      </c>
      <c r="D29" s="58" t="s">
        <v>72</v>
      </c>
      <c r="E29" s="58" t="s">
        <v>72</v>
      </c>
      <c r="F29" s="58" t="s">
        <v>72</v>
      </c>
      <c r="G29" s="58" t="s">
        <v>72</v>
      </c>
      <c r="H29" s="58" t="s">
        <v>72</v>
      </c>
      <c r="I29" s="58" t="s">
        <v>72</v>
      </c>
      <c r="J29" s="58" t="s">
        <v>72</v>
      </c>
      <c r="K29" s="58" t="s">
        <v>72</v>
      </c>
      <c r="L29" s="58" t="s">
        <v>72</v>
      </c>
      <c r="M29" s="58" t="s">
        <v>72</v>
      </c>
      <c r="N29" s="58" t="s">
        <v>72</v>
      </c>
      <c r="O29" s="58" t="s">
        <v>72</v>
      </c>
      <c r="P29" s="58" t="s">
        <v>72</v>
      </c>
      <c r="Q29" s="58" t="s">
        <v>72</v>
      </c>
      <c r="R29" s="58" t="s">
        <v>72</v>
      </c>
      <c r="S29" s="58" t="s">
        <v>72</v>
      </c>
      <c r="T29" s="58" t="s">
        <v>72</v>
      </c>
      <c r="U29" s="58" t="s">
        <v>72</v>
      </c>
      <c r="V29" s="58" t="s">
        <v>72</v>
      </c>
      <c r="W29" s="58" t="s">
        <v>72</v>
      </c>
      <c r="X29" s="58" t="s">
        <v>72</v>
      </c>
      <c r="Y29" s="58" t="s">
        <v>72</v>
      </c>
      <c r="Z29" s="58" t="s">
        <v>72</v>
      </c>
      <c r="AA29" s="58" t="s">
        <v>72</v>
      </c>
      <c r="AB29" s="58" t="s">
        <v>72</v>
      </c>
      <c r="AC29" s="58" t="s">
        <v>72</v>
      </c>
      <c r="AD29" s="58" t="s">
        <v>72</v>
      </c>
      <c r="AE29" s="58" t="s">
        <v>72</v>
      </c>
      <c r="AF29" s="58" t="s">
        <v>72</v>
      </c>
      <c r="AG29" s="58" t="s">
        <v>72</v>
      </c>
      <c r="AH29" s="58" t="s">
        <v>72</v>
      </c>
      <c r="AI29" s="58" t="s">
        <v>72</v>
      </c>
      <c r="AJ29" s="26"/>
      <c r="AL29" t="str">
        <f t="shared" ca="1" si="0"/>
        <v xml:space="preserve">    (U1)ALERT_REQ_S_TMBZR_BC_DOT_</v>
      </c>
      <c r="AR29" s="60" t="str">
        <f t="shared" si="3"/>
        <v/>
      </c>
      <c r="AS29" s="60" t="str">
        <f t="shared" si="4"/>
        <v/>
      </c>
      <c r="AT29" s="60" t="str">
        <f t="shared" si="1"/>
        <v/>
      </c>
    </row>
    <row r="30" spans="2:49">
      <c r="B30" s="131"/>
      <c r="C30" s="44">
        <f t="shared" si="2"/>
        <v>24</v>
      </c>
      <c r="D30" s="58" t="s">
        <v>72</v>
      </c>
      <c r="E30" s="58" t="s">
        <v>72</v>
      </c>
      <c r="F30" s="58" t="s">
        <v>72</v>
      </c>
      <c r="G30" s="58" t="s">
        <v>72</v>
      </c>
      <c r="H30" s="58" t="s">
        <v>72</v>
      </c>
      <c r="I30" s="58" t="s">
        <v>72</v>
      </c>
      <c r="J30" s="58" t="s">
        <v>72</v>
      </c>
      <c r="K30" s="58" t="s">
        <v>72</v>
      </c>
      <c r="L30" s="58" t="s">
        <v>72</v>
      </c>
      <c r="M30" s="58" t="s">
        <v>72</v>
      </c>
      <c r="N30" s="58" t="s">
        <v>72</v>
      </c>
      <c r="O30" s="58" t="s">
        <v>72</v>
      </c>
      <c r="P30" s="58" t="s">
        <v>72</v>
      </c>
      <c r="Q30" s="58" t="s">
        <v>72</v>
      </c>
      <c r="R30" s="58" t="s">
        <v>72</v>
      </c>
      <c r="S30" s="58" t="s">
        <v>72</v>
      </c>
      <c r="T30" s="58" t="s">
        <v>72</v>
      </c>
      <c r="U30" s="58" t="s">
        <v>72</v>
      </c>
      <c r="V30" s="58" t="s">
        <v>72</v>
      </c>
      <c r="W30" s="58" t="s">
        <v>72</v>
      </c>
      <c r="X30" s="58" t="s">
        <v>72</v>
      </c>
      <c r="Y30" s="58" t="s">
        <v>72</v>
      </c>
      <c r="Z30" s="58" t="s">
        <v>72</v>
      </c>
      <c r="AA30" s="58" t="s">
        <v>72</v>
      </c>
      <c r="AB30" s="58" t="s">
        <v>72</v>
      </c>
      <c r="AC30" s="58" t="s">
        <v>72</v>
      </c>
      <c r="AD30" s="58" t="s">
        <v>72</v>
      </c>
      <c r="AE30" s="58" t="s">
        <v>72</v>
      </c>
      <c r="AF30" s="58" t="s">
        <v>72</v>
      </c>
      <c r="AG30" s="58" t="s">
        <v>72</v>
      </c>
      <c r="AH30" s="58" t="s">
        <v>72</v>
      </c>
      <c r="AI30" s="58" t="s">
        <v>72</v>
      </c>
      <c r="AJ30" s="26"/>
      <c r="AL30" t="str">
        <f t="shared" ca="1" si="0"/>
        <v xml:space="preserve">    (U1)ALERT_REQ_S_TMBZR_BC_DOT_</v>
      </c>
      <c r="AR30" s="60" t="str">
        <f t="shared" si="3"/>
        <v/>
      </c>
      <c r="AS30" s="60" t="str">
        <f t="shared" si="4"/>
        <v/>
      </c>
      <c r="AT30" s="60" t="str">
        <f t="shared" si="1"/>
        <v/>
      </c>
    </row>
    <row r="31" spans="2:49">
      <c r="B31" s="131"/>
      <c r="C31" s="44">
        <f t="shared" si="2"/>
        <v>25</v>
      </c>
      <c r="D31" s="58" t="s">
        <v>72</v>
      </c>
      <c r="E31" s="58" t="s">
        <v>72</v>
      </c>
      <c r="F31" s="58" t="s">
        <v>72</v>
      </c>
      <c r="G31" s="58" t="s">
        <v>72</v>
      </c>
      <c r="H31" s="58" t="s">
        <v>72</v>
      </c>
      <c r="I31" s="58" t="s">
        <v>72</v>
      </c>
      <c r="J31" s="58" t="s">
        <v>72</v>
      </c>
      <c r="K31" s="58" t="s">
        <v>72</v>
      </c>
      <c r="L31" s="58" t="s">
        <v>72</v>
      </c>
      <c r="M31" s="58" t="s">
        <v>72</v>
      </c>
      <c r="N31" s="58" t="s">
        <v>72</v>
      </c>
      <c r="O31" s="58" t="s">
        <v>72</v>
      </c>
      <c r="P31" s="58" t="s">
        <v>72</v>
      </c>
      <c r="Q31" s="58" t="s">
        <v>72</v>
      </c>
      <c r="R31" s="58" t="s">
        <v>72</v>
      </c>
      <c r="S31" s="58" t="s">
        <v>72</v>
      </c>
      <c r="T31" s="58" t="s">
        <v>72</v>
      </c>
      <c r="U31" s="58" t="s">
        <v>72</v>
      </c>
      <c r="V31" s="58" t="s">
        <v>72</v>
      </c>
      <c r="W31" s="58" t="s">
        <v>72</v>
      </c>
      <c r="X31" s="58" t="s">
        <v>72</v>
      </c>
      <c r="Y31" s="58" t="s">
        <v>72</v>
      </c>
      <c r="Z31" s="58" t="s">
        <v>72</v>
      </c>
      <c r="AA31" s="58" t="s">
        <v>72</v>
      </c>
      <c r="AB31" s="58" t="s">
        <v>72</v>
      </c>
      <c r="AC31" s="58" t="s">
        <v>72</v>
      </c>
      <c r="AD31" s="58" t="s">
        <v>72</v>
      </c>
      <c r="AE31" s="58" t="s">
        <v>72</v>
      </c>
      <c r="AF31" s="58" t="s">
        <v>72</v>
      </c>
      <c r="AG31" s="58" t="s">
        <v>72</v>
      </c>
      <c r="AH31" s="58" t="s">
        <v>72</v>
      </c>
      <c r="AI31" s="58" t="s">
        <v>72</v>
      </c>
      <c r="AJ31" s="26"/>
      <c r="AL31" t="str">
        <f t="shared" ca="1" si="0"/>
        <v xml:space="preserve">    (U1)ALERT_REQ_S_TMBZR_BC_DOT_</v>
      </c>
      <c r="AR31" s="60" t="str">
        <f t="shared" si="3"/>
        <v/>
      </c>
      <c r="AS31" s="60" t="str">
        <f t="shared" si="4"/>
        <v/>
      </c>
      <c r="AT31" s="60" t="str">
        <f t="shared" si="1"/>
        <v/>
      </c>
    </row>
    <row r="32" spans="2:49">
      <c r="B32" s="131"/>
      <c r="C32" s="44">
        <f t="shared" si="2"/>
        <v>26</v>
      </c>
      <c r="D32" s="58" t="s">
        <v>72</v>
      </c>
      <c r="E32" s="58" t="s">
        <v>72</v>
      </c>
      <c r="F32" s="58" t="s">
        <v>72</v>
      </c>
      <c r="G32" s="58" t="s">
        <v>72</v>
      </c>
      <c r="H32" s="58" t="s">
        <v>72</v>
      </c>
      <c r="I32" s="58" t="s">
        <v>72</v>
      </c>
      <c r="J32" s="58" t="s">
        <v>72</v>
      </c>
      <c r="K32" s="58" t="s">
        <v>72</v>
      </c>
      <c r="L32" s="58" t="s">
        <v>72</v>
      </c>
      <c r="M32" s="58" t="s">
        <v>72</v>
      </c>
      <c r="N32" s="58" t="s">
        <v>72</v>
      </c>
      <c r="O32" s="58" t="s">
        <v>72</v>
      </c>
      <c r="P32" s="58" t="s">
        <v>72</v>
      </c>
      <c r="Q32" s="58" t="s">
        <v>72</v>
      </c>
      <c r="R32" s="58" t="s">
        <v>72</v>
      </c>
      <c r="S32" s="58" t="s">
        <v>72</v>
      </c>
      <c r="T32" s="58" t="s">
        <v>72</v>
      </c>
      <c r="U32" s="58" t="s">
        <v>72</v>
      </c>
      <c r="V32" s="58" t="s">
        <v>72</v>
      </c>
      <c r="W32" s="58" t="s">
        <v>72</v>
      </c>
      <c r="X32" s="58" t="s">
        <v>72</v>
      </c>
      <c r="Y32" s="58" t="s">
        <v>72</v>
      </c>
      <c r="Z32" s="58" t="s">
        <v>72</v>
      </c>
      <c r="AA32" s="58" t="s">
        <v>72</v>
      </c>
      <c r="AB32" s="58" t="s">
        <v>72</v>
      </c>
      <c r="AC32" s="58" t="s">
        <v>72</v>
      </c>
      <c r="AD32" s="58" t="s">
        <v>72</v>
      </c>
      <c r="AE32" s="58" t="s">
        <v>72</v>
      </c>
      <c r="AF32" s="58" t="s">
        <v>72</v>
      </c>
      <c r="AG32" s="58" t="s">
        <v>72</v>
      </c>
      <c r="AH32" s="58" t="s">
        <v>72</v>
      </c>
      <c r="AI32" s="58" t="s">
        <v>72</v>
      </c>
      <c r="AJ32" s="26"/>
      <c r="AL32" t="str">
        <f t="shared" ca="1" si="0"/>
        <v xml:space="preserve">    (U1)ALERT_REQ_S_TMBZR_BC_DOT_</v>
      </c>
      <c r="AR32" s="60" t="str">
        <f t="shared" si="3"/>
        <v/>
      </c>
      <c r="AS32" s="60" t="str">
        <f t="shared" si="4"/>
        <v/>
      </c>
      <c r="AT32" s="60" t="str">
        <f t="shared" si="1"/>
        <v/>
      </c>
    </row>
    <row r="33" spans="2:46">
      <c r="B33" s="131"/>
      <c r="C33" s="44">
        <f t="shared" si="2"/>
        <v>27</v>
      </c>
      <c r="D33" s="58" t="s">
        <v>72</v>
      </c>
      <c r="E33" s="58" t="s">
        <v>72</v>
      </c>
      <c r="F33" s="58" t="s">
        <v>72</v>
      </c>
      <c r="G33" s="58" t="s">
        <v>72</v>
      </c>
      <c r="H33" s="58" t="s">
        <v>72</v>
      </c>
      <c r="I33" s="58" t="s">
        <v>72</v>
      </c>
      <c r="J33" s="58" t="s">
        <v>72</v>
      </c>
      <c r="K33" s="58" t="s">
        <v>72</v>
      </c>
      <c r="L33" s="58" t="s">
        <v>72</v>
      </c>
      <c r="M33" s="58" t="s">
        <v>72</v>
      </c>
      <c r="N33" s="58" t="s">
        <v>72</v>
      </c>
      <c r="O33" s="58" t="s">
        <v>72</v>
      </c>
      <c r="P33" s="58" t="s">
        <v>72</v>
      </c>
      <c r="Q33" s="58" t="s">
        <v>72</v>
      </c>
      <c r="R33" s="58" t="s">
        <v>72</v>
      </c>
      <c r="S33" s="58" t="s">
        <v>72</v>
      </c>
      <c r="T33" s="58" t="s">
        <v>72</v>
      </c>
      <c r="U33" s="58" t="s">
        <v>72</v>
      </c>
      <c r="V33" s="58" t="s">
        <v>72</v>
      </c>
      <c r="W33" s="58" t="s">
        <v>72</v>
      </c>
      <c r="X33" s="58" t="s">
        <v>72</v>
      </c>
      <c r="Y33" s="58" t="s">
        <v>72</v>
      </c>
      <c r="Z33" s="58" t="s">
        <v>72</v>
      </c>
      <c r="AA33" s="58" t="s">
        <v>72</v>
      </c>
      <c r="AB33" s="58" t="s">
        <v>72</v>
      </c>
      <c r="AC33" s="58" t="s">
        <v>72</v>
      </c>
      <c r="AD33" s="58" t="s">
        <v>72</v>
      </c>
      <c r="AE33" s="58" t="s">
        <v>72</v>
      </c>
      <c r="AF33" s="58" t="s">
        <v>72</v>
      </c>
      <c r="AG33" s="58" t="s">
        <v>72</v>
      </c>
      <c r="AH33" s="58" t="s">
        <v>72</v>
      </c>
      <c r="AI33" s="58" t="s">
        <v>72</v>
      </c>
      <c r="AJ33" s="26"/>
      <c r="AL33" t="str">
        <f t="shared" ca="1" si="0"/>
        <v xml:space="preserve">    (U1)ALERT_REQ_S_TMBZR_BC_DOT_</v>
      </c>
      <c r="AR33" s="60" t="str">
        <f t="shared" si="3"/>
        <v/>
      </c>
      <c r="AS33" s="60" t="str">
        <f t="shared" si="4"/>
        <v/>
      </c>
      <c r="AT33" s="60" t="str">
        <f t="shared" si="1"/>
        <v/>
      </c>
    </row>
    <row r="34" spans="2:46">
      <c r="B34" s="131"/>
      <c r="C34" s="44">
        <f t="shared" si="2"/>
        <v>28</v>
      </c>
      <c r="D34" s="58" t="s">
        <v>72</v>
      </c>
      <c r="E34" s="58" t="s">
        <v>72</v>
      </c>
      <c r="F34" s="58" t="s">
        <v>72</v>
      </c>
      <c r="G34" s="58" t="s">
        <v>72</v>
      </c>
      <c r="H34" s="58" t="s">
        <v>72</v>
      </c>
      <c r="I34" s="58" t="s">
        <v>72</v>
      </c>
      <c r="J34" s="58" t="s">
        <v>72</v>
      </c>
      <c r="K34" s="58" t="s">
        <v>72</v>
      </c>
      <c r="L34" s="58" t="s">
        <v>72</v>
      </c>
      <c r="M34" s="58" t="s">
        <v>72</v>
      </c>
      <c r="N34" s="58" t="s">
        <v>72</v>
      </c>
      <c r="O34" s="58" t="s">
        <v>72</v>
      </c>
      <c r="P34" s="58" t="s">
        <v>72</v>
      </c>
      <c r="Q34" s="58" t="s">
        <v>72</v>
      </c>
      <c r="R34" s="58" t="s">
        <v>72</v>
      </c>
      <c r="S34" s="58" t="s">
        <v>72</v>
      </c>
      <c r="T34" s="58" t="s">
        <v>72</v>
      </c>
      <c r="U34" s="58" t="s">
        <v>72</v>
      </c>
      <c r="V34" s="58" t="s">
        <v>72</v>
      </c>
      <c r="W34" s="58" t="s">
        <v>72</v>
      </c>
      <c r="X34" s="58" t="s">
        <v>72</v>
      </c>
      <c r="Y34" s="58" t="s">
        <v>72</v>
      </c>
      <c r="Z34" s="58" t="s">
        <v>72</v>
      </c>
      <c r="AA34" s="58" t="s">
        <v>72</v>
      </c>
      <c r="AB34" s="58" t="s">
        <v>72</v>
      </c>
      <c r="AC34" s="58" t="s">
        <v>72</v>
      </c>
      <c r="AD34" s="58" t="s">
        <v>72</v>
      </c>
      <c r="AE34" s="58" t="s">
        <v>72</v>
      </c>
      <c r="AF34" s="58" t="s">
        <v>72</v>
      </c>
      <c r="AG34" s="58" t="s">
        <v>72</v>
      </c>
      <c r="AH34" s="58" t="s">
        <v>72</v>
      </c>
      <c r="AI34" s="58" t="s">
        <v>72</v>
      </c>
      <c r="AJ34" s="26"/>
      <c r="AL34" t="str">
        <f t="shared" ca="1" si="0"/>
        <v xml:space="preserve">    (U1)ALERT_REQ_S_TMBZR_BC_DOT_</v>
      </c>
      <c r="AR34" s="60" t="str">
        <f t="shared" si="3"/>
        <v/>
      </c>
      <c r="AS34" s="60" t="str">
        <f t="shared" si="4"/>
        <v/>
      </c>
      <c r="AT34" s="60" t="str">
        <f t="shared" si="1"/>
        <v/>
      </c>
    </row>
    <row r="35" spans="2:46">
      <c r="B35" s="131"/>
      <c r="C35" s="44">
        <f t="shared" si="2"/>
        <v>29</v>
      </c>
      <c r="D35" s="58" t="s">
        <v>72</v>
      </c>
      <c r="E35" s="58" t="s">
        <v>72</v>
      </c>
      <c r="F35" s="58" t="s">
        <v>72</v>
      </c>
      <c r="G35" s="58" t="s">
        <v>72</v>
      </c>
      <c r="H35" s="58" t="s">
        <v>72</v>
      </c>
      <c r="I35" s="58" t="s">
        <v>72</v>
      </c>
      <c r="J35" s="58" t="s">
        <v>72</v>
      </c>
      <c r="K35" s="58" t="s">
        <v>72</v>
      </c>
      <c r="L35" s="58" t="s">
        <v>72</v>
      </c>
      <c r="M35" s="58" t="s">
        <v>72</v>
      </c>
      <c r="N35" s="58" t="s">
        <v>72</v>
      </c>
      <c r="O35" s="58" t="s">
        <v>72</v>
      </c>
      <c r="P35" s="58" t="s">
        <v>72</v>
      </c>
      <c r="Q35" s="58" t="s">
        <v>72</v>
      </c>
      <c r="R35" s="58" t="s">
        <v>72</v>
      </c>
      <c r="S35" s="58" t="s">
        <v>72</v>
      </c>
      <c r="T35" s="58" t="s">
        <v>72</v>
      </c>
      <c r="U35" s="58" t="s">
        <v>72</v>
      </c>
      <c r="V35" s="58" t="s">
        <v>72</v>
      </c>
      <c r="W35" s="58" t="s">
        <v>72</v>
      </c>
      <c r="X35" s="58" t="s">
        <v>72</v>
      </c>
      <c r="Y35" s="58" t="s">
        <v>72</v>
      </c>
      <c r="Z35" s="58" t="s">
        <v>72</v>
      </c>
      <c r="AA35" s="58" t="s">
        <v>72</v>
      </c>
      <c r="AB35" s="58" t="s">
        <v>72</v>
      </c>
      <c r="AC35" s="58" t="s">
        <v>72</v>
      </c>
      <c r="AD35" s="58" t="s">
        <v>72</v>
      </c>
      <c r="AE35" s="58" t="s">
        <v>72</v>
      </c>
      <c r="AF35" s="58" t="s">
        <v>72</v>
      </c>
      <c r="AG35" s="58" t="s">
        <v>72</v>
      </c>
      <c r="AH35" s="58" t="s">
        <v>72</v>
      </c>
      <c r="AI35" s="58" t="s">
        <v>72</v>
      </c>
      <c r="AJ35" s="26"/>
      <c r="AL35" t="str">
        <f t="shared" ca="1" si="0"/>
        <v xml:space="preserve">    (U1)ALERT_REQ_S_TMBZR_BC_DOT_</v>
      </c>
      <c r="AR35" s="60" t="str">
        <f t="shared" si="3"/>
        <v/>
      </c>
      <c r="AS35" s="60" t="str">
        <f t="shared" si="4"/>
        <v/>
      </c>
      <c r="AT35" s="60" t="str">
        <f t="shared" si="1"/>
        <v/>
      </c>
    </row>
    <row r="36" spans="2:46">
      <c r="B36" s="131"/>
      <c r="C36" s="44">
        <f t="shared" si="2"/>
        <v>30</v>
      </c>
      <c r="D36" s="58" t="s">
        <v>72</v>
      </c>
      <c r="E36" s="58" t="s">
        <v>72</v>
      </c>
      <c r="F36" s="58" t="s">
        <v>72</v>
      </c>
      <c r="G36" s="58" t="s">
        <v>72</v>
      </c>
      <c r="H36" s="58" t="s">
        <v>72</v>
      </c>
      <c r="I36" s="58" t="s">
        <v>72</v>
      </c>
      <c r="J36" s="58" t="s">
        <v>72</v>
      </c>
      <c r="K36" s="58" t="s">
        <v>72</v>
      </c>
      <c r="L36" s="58" t="s">
        <v>72</v>
      </c>
      <c r="M36" s="58" t="s">
        <v>72</v>
      </c>
      <c r="N36" s="58" t="s">
        <v>72</v>
      </c>
      <c r="O36" s="58" t="s">
        <v>72</v>
      </c>
      <c r="P36" s="58" t="s">
        <v>72</v>
      </c>
      <c r="Q36" s="58" t="s">
        <v>72</v>
      </c>
      <c r="R36" s="58" t="s">
        <v>72</v>
      </c>
      <c r="S36" s="58" t="s">
        <v>72</v>
      </c>
      <c r="T36" s="58" t="s">
        <v>72</v>
      </c>
      <c r="U36" s="58" t="s">
        <v>72</v>
      </c>
      <c r="V36" s="58" t="s">
        <v>72</v>
      </c>
      <c r="W36" s="58" t="s">
        <v>72</v>
      </c>
      <c r="X36" s="58" t="s">
        <v>72</v>
      </c>
      <c r="Y36" s="58" t="s">
        <v>72</v>
      </c>
      <c r="Z36" s="58" t="s">
        <v>72</v>
      </c>
      <c r="AA36" s="58" t="s">
        <v>72</v>
      </c>
      <c r="AB36" s="58" t="s">
        <v>72</v>
      </c>
      <c r="AC36" s="58" t="s">
        <v>72</v>
      </c>
      <c r="AD36" s="58" t="s">
        <v>72</v>
      </c>
      <c r="AE36" s="58" t="s">
        <v>72</v>
      </c>
      <c r="AF36" s="58" t="s">
        <v>72</v>
      </c>
      <c r="AG36" s="58" t="s">
        <v>72</v>
      </c>
      <c r="AH36" s="58" t="s">
        <v>72</v>
      </c>
      <c r="AI36" s="58" t="s">
        <v>72</v>
      </c>
      <c r="AJ36" s="26"/>
      <c r="AL36" t="str">
        <f t="shared" ca="1" si="0"/>
        <v xml:space="preserve">    (U1)ALERT_REQ_S_TMBZR_BC_DOT_</v>
      </c>
      <c r="AR36" s="60" t="str">
        <f t="shared" si="3"/>
        <v/>
      </c>
      <c r="AS36" s="60" t="str">
        <f t="shared" si="4"/>
        <v/>
      </c>
      <c r="AT36" s="60" t="str">
        <f t="shared" si="1"/>
        <v/>
      </c>
    </row>
    <row r="37" spans="2:46">
      <c r="B37" s="131"/>
      <c r="C37" s="44">
        <f t="shared" si="2"/>
        <v>31</v>
      </c>
      <c r="D37" s="58" t="s">
        <v>72</v>
      </c>
      <c r="E37" s="58" t="s">
        <v>72</v>
      </c>
      <c r="F37" s="58" t="s">
        <v>72</v>
      </c>
      <c r="G37" s="58" t="s">
        <v>72</v>
      </c>
      <c r="H37" s="58" t="s">
        <v>72</v>
      </c>
      <c r="I37" s="58" t="s">
        <v>72</v>
      </c>
      <c r="J37" s="58" t="s">
        <v>72</v>
      </c>
      <c r="K37" s="58" t="s">
        <v>72</v>
      </c>
      <c r="L37" s="58" t="s">
        <v>72</v>
      </c>
      <c r="M37" s="58" t="s">
        <v>72</v>
      </c>
      <c r="N37" s="58" t="s">
        <v>72</v>
      </c>
      <c r="O37" s="58" t="s">
        <v>72</v>
      </c>
      <c r="P37" s="58" t="s">
        <v>72</v>
      </c>
      <c r="Q37" s="58" t="s">
        <v>72</v>
      </c>
      <c r="R37" s="58" t="s">
        <v>72</v>
      </c>
      <c r="S37" s="58" t="s">
        <v>72</v>
      </c>
      <c r="T37" s="58" t="s">
        <v>72</v>
      </c>
      <c r="U37" s="58" t="s">
        <v>72</v>
      </c>
      <c r="V37" s="58" t="s">
        <v>72</v>
      </c>
      <c r="W37" s="58" t="s">
        <v>72</v>
      </c>
      <c r="X37" s="58" t="s">
        <v>72</v>
      </c>
      <c r="Y37" s="58" t="s">
        <v>72</v>
      </c>
      <c r="Z37" s="58" t="s">
        <v>72</v>
      </c>
      <c r="AA37" s="58" t="s">
        <v>72</v>
      </c>
      <c r="AB37" s="58" t="s">
        <v>72</v>
      </c>
      <c r="AC37" s="58" t="s">
        <v>72</v>
      </c>
      <c r="AD37" s="58" t="s">
        <v>72</v>
      </c>
      <c r="AE37" s="58" t="s">
        <v>72</v>
      </c>
      <c r="AF37" s="58" t="s">
        <v>72</v>
      </c>
      <c r="AG37" s="58" t="s">
        <v>72</v>
      </c>
      <c r="AH37" s="58" t="s">
        <v>72</v>
      </c>
      <c r="AI37" s="58" t="s">
        <v>72</v>
      </c>
      <c r="AJ37" s="26"/>
      <c r="AL37" t="str">
        <f t="shared" ca="1" si="0"/>
        <v xml:space="preserve">    (U1)ALERT_REQ_S_TMBZR_BC_DOT_</v>
      </c>
      <c r="AR37" s="60" t="str">
        <f t="shared" si="3"/>
        <v/>
      </c>
      <c r="AS37" s="60" t="str">
        <f t="shared" si="4"/>
        <v/>
      </c>
      <c r="AT37" s="60" t="str">
        <f t="shared" si="1"/>
        <v/>
      </c>
    </row>
    <row r="38" spans="2:46">
      <c r="B38" s="131"/>
      <c r="C38" s="44">
        <f t="shared" si="2"/>
        <v>32</v>
      </c>
      <c r="D38" s="58" t="s">
        <v>72</v>
      </c>
      <c r="E38" s="58" t="s">
        <v>72</v>
      </c>
      <c r="F38" s="58" t="s">
        <v>72</v>
      </c>
      <c r="G38" s="58" t="s">
        <v>72</v>
      </c>
      <c r="H38" s="58" t="s">
        <v>72</v>
      </c>
      <c r="I38" s="58" t="s">
        <v>72</v>
      </c>
      <c r="J38" s="58" t="s">
        <v>72</v>
      </c>
      <c r="K38" s="58" t="s">
        <v>72</v>
      </c>
      <c r="L38" s="58" t="s">
        <v>72</v>
      </c>
      <c r="M38" s="58" t="s">
        <v>72</v>
      </c>
      <c r="N38" s="58" t="s">
        <v>72</v>
      </c>
      <c r="O38" s="58" t="s">
        <v>72</v>
      </c>
      <c r="P38" s="58" t="s">
        <v>72</v>
      </c>
      <c r="Q38" s="58" t="s">
        <v>72</v>
      </c>
      <c r="R38" s="58" t="s">
        <v>72</v>
      </c>
      <c r="S38" s="58" t="s">
        <v>72</v>
      </c>
      <c r="T38" s="58" t="s">
        <v>72</v>
      </c>
      <c r="U38" s="58" t="s">
        <v>72</v>
      </c>
      <c r="V38" s="58" t="s">
        <v>72</v>
      </c>
      <c r="W38" s="58" t="s">
        <v>72</v>
      </c>
      <c r="X38" s="58" t="s">
        <v>72</v>
      </c>
      <c r="Y38" s="58" t="s">
        <v>72</v>
      </c>
      <c r="Z38" s="58" t="s">
        <v>72</v>
      </c>
      <c r="AA38" s="58" t="s">
        <v>72</v>
      </c>
      <c r="AB38" s="58" t="s">
        <v>72</v>
      </c>
      <c r="AC38" s="58" t="s">
        <v>72</v>
      </c>
      <c r="AD38" s="58" t="s">
        <v>72</v>
      </c>
      <c r="AE38" s="58" t="s">
        <v>72</v>
      </c>
      <c r="AF38" s="58" t="s">
        <v>72</v>
      </c>
      <c r="AG38" s="58" t="s">
        <v>72</v>
      </c>
      <c r="AH38" s="58" t="s">
        <v>72</v>
      </c>
      <c r="AI38" s="58" t="s">
        <v>72</v>
      </c>
      <c r="AJ38" s="26"/>
      <c r="AL38" t="str">
        <f t="shared" ca="1" si="0"/>
        <v xml:space="preserve">    (U1)ALERT_REQ_S_TMBZR_BC_DOT_</v>
      </c>
      <c r="AR38" s="60" t="str">
        <f t="shared" si="3"/>
        <v/>
      </c>
      <c r="AS38" s="60" t="str">
        <f t="shared" si="4"/>
        <v/>
      </c>
      <c r="AT38" s="60" t="str">
        <f t="shared" si="1"/>
        <v/>
      </c>
    </row>
    <row r="39" spans="2:46">
      <c r="B39" s="131"/>
      <c r="C39" s="44">
        <f t="shared" si="2"/>
        <v>33</v>
      </c>
      <c r="D39" s="58" t="s">
        <v>72</v>
      </c>
      <c r="E39" s="58" t="s">
        <v>72</v>
      </c>
      <c r="F39" s="58" t="s">
        <v>72</v>
      </c>
      <c r="G39" s="58" t="s">
        <v>72</v>
      </c>
      <c r="H39" s="58" t="s">
        <v>72</v>
      </c>
      <c r="I39" s="58" t="s">
        <v>72</v>
      </c>
      <c r="J39" s="58" t="s">
        <v>72</v>
      </c>
      <c r="K39" s="58" t="s">
        <v>72</v>
      </c>
      <c r="L39" s="58" t="s">
        <v>72</v>
      </c>
      <c r="M39" s="58" t="s">
        <v>72</v>
      </c>
      <c r="N39" s="58" t="s">
        <v>72</v>
      </c>
      <c r="O39" s="58" t="s">
        <v>72</v>
      </c>
      <c r="P39" s="58" t="s">
        <v>72</v>
      </c>
      <c r="Q39" s="58" t="s">
        <v>72</v>
      </c>
      <c r="R39" s="58" t="s">
        <v>72</v>
      </c>
      <c r="S39" s="58" t="s">
        <v>72</v>
      </c>
      <c r="T39" s="58" t="s">
        <v>72</v>
      </c>
      <c r="U39" s="58" t="s">
        <v>72</v>
      </c>
      <c r="V39" s="58" t="s">
        <v>72</v>
      </c>
      <c r="W39" s="58" t="s">
        <v>72</v>
      </c>
      <c r="X39" s="58" t="s">
        <v>72</v>
      </c>
      <c r="Y39" s="58" t="s">
        <v>72</v>
      </c>
      <c r="Z39" s="58" t="s">
        <v>72</v>
      </c>
      <c r="AA39" s="58" t="s">
        <v>72</v>
      </c>
      <c r="AB39" s="58" t="s">
        <v>72</v>
      </c>
      <c r="AC39" s="58" t="s">
        <v>72</v>
      </c>
      <c r="AD39" s="58" t="s">
        <v>72</v>
      </c>
      <c r="AE39" s="58" t="s">
        <v>72</v>
      </c>
      <c r="AF39" s="58" t="s">
        <v>72</v>
      </c>
      <c r="AG39" s="58" t="s">
        <v>72</v>
      </c>
      <c r="AH39" s="58" t="s">
        <v>72</v>
      </c>
      <c r="AI39" s="58" t="s">
        <v>72</v>
      </c>
      <c r="AJ39" s="26"/>
      <c r="AL39" t="str">
        <f t="shared" ca="1" si="0"/>
        <v xml:space="preserve">    (U1)ALERT_REQ_S_TMBZR_BC_DOT_</v>
      </c>
      <c r="AR39" s="60" t="str">
        <f t="shared" si="3"/>
        <v/>
      </c>
      <c r="AS39" s="60" t="str">
        <f t="shared" si="4"/>
        <v/>
      </c>
      <c r="AT39" s="60" t="str">
        <f t="shared" si="1"/>
        <v/>
      </c>
    </row>
    <row r="40" spans="2:46">
      <c r="B40" s="131"/>
      <c r="C40" s="44">
        <f t="shared" si="2"/>
        <v>34</v>
      </c>
      <c r="D40" s="58" t="s">
        <v>72</v>
      </c>
      <c r="E40" s="58" t="s">
        <v>72</v>
      </c>
      <c r="F40" s="58" t="s">
        <v>72</v>
      </c>
      <c r="G40" s="58" t="s">
        <v>72</v>
      </c>
      <c r="H40" s="58" t="s">
        <v>72</v>
      </c>
      <c r="I40" s="58" t="s">
        <v>72</v>
      </c>
      <c r="J40" s="58" t="s">
        <v>72</v>
      </c>
      <c r="K40" s="58" t="s">
        <v>72</v>
      </c>
      <c r="L40" s="58" t="s">
        <v>72</v>
      </c>
      <c r="M40" s="58" t="s">
        <v>72</v>
      </c>
      <c r="N40" s="58" t="s">
        <v>72</v>
      </c>
      <c r="O40" s="58" t="s">
        <v>72</v>
      </c>
      <c r="P40" s="58" t="s">
        <v>72</v>
      </c>
      <c r="Q40" s="58" t="s">
        <v>72</v>
      </c>
      <c r="R40" s="58" t="s">
        <v>72</v>
      </c>
      <c r="S40" s="58" t="s">
        <v>72</v>
      </c>
      <c r="T40" s="58" t="s">
        <v>72</v>
      </c>
      <c r="U40" s="58" t="s">
        <v>72</v>
      </c>
      <c r="V40" s="58" t="s">
        <v>72</v>
      </c>
      <c r="W40" s="58" t="s">
        <v>72</v>
      </c>
      <c r="X40" s="58" t="s">
        <v>72</v>
      </c>
      <c r="Y40" s="58" t="s">
        <v>72</v>
      </c>
      <c r="Z40" s="58" t="s">
        <v>72</v>
      </c>
      <c r="AA40" s="58" t="s">
        <v>72</v>
      </c>
      <c r="AB40" s="58" t="s">
        <v>72</v>
      </c>
      <c r="AC40" s="58" t="s">
        <v>72</v>
      </c>
      <c r="AD40" s="58" t="s">
        <v>72</v>
      </c>
      <c r="AE40" s="58" t="s">
        <v>72</v>
      </c>
      <c r="AF40" s="58" t="s">
        <v>72</v>
      </c>
      <c r="AG40" s="58" t="s">
        <v>72</v>
      </c>
      <c r="AH40" s="58" t="s">
        <v>72</v>
      </c>
      <c r="AI40" s="58" t="s">
        <v>72</v>
      </c>
      <c r="AJ40" s="26"/>
      <c r="AL40" t="str">
        <f t="shared" ca="1" si="0"/>
        <v xml:space="preserve">    (U1)ALERT_REQ_S_TMBZR_BC_DOT_</v>
      </c>
      <c r="AR40" s="60" t="str">
        <f t="shared" si="3"/>
        <v/>
      </c>
      <c r="AS40" s="60" t="str">
        <f t="shared" si="4"/>
        <v/>
      </c>
      <c r="AT40" s="60" t="str">
        <f t="shared" si="1"/>
        <v/>
      </c>
    </row>
    <row r="41" spans="2:46">
      <c r="B41" s="131"/>
      <c r="C41" s="44">
        <f t="shared" si="2"/>
        <v>35</v>
      </c>
      <c r="D41" s="58" t="s">
        <v>72</v>
      </c>
      <c r="E41" s="58" t="s">
        <v>72</v>
      </c>
      <c r="F41" s="58" t="s">
        <v>72</v>
      </c>
      <c r="G41" s="58" t="s">
        <v>72</v>
      </c>
      <c r="H41" s="58" t="s">
        <v>72</v>
      </c>
      <c r="I41" s="58" t="s">
        <v>72</v>
      </c>
      <c r="J41" s="58" t="s">
        <v>72</v>
      </c>
      <c r="K41" s="58" t="s">
        <v>72</v>
      </c>
      <c r="L41" s="58" t="s">
        <v>72</v>
      </c>
      <c r="M41" s="58" t="s">
        <v>72</v>
      </c>
      <c r="N41" s="58" t="s">
        <v>72</v>
      </c>
      <c r="O41" s="58" t="s">
        <v>72</v>
      </c>
      <c r="P41" s="58" t="s">
        <v>72</v>
      </c>
      <c r="Q41" s="58" t="s">
        <v>72</v>
      </c>
      <c r="R41" s="58" t="s">
        <v>72</v>
      </c>
      <c r="S41" s="58" t="s">
        <v>72</v>
      </c>
      <c r="T41" s="58" t="s">
        <v>72</v>
      </c>
      <c r="U41" s="58" t="s">
        <v>72</v>
      </c>
      <c r="V41" s="58" t="s">
        <v>72</v>
      </c>
      <c r="W41" s="58" t="s">
        <v>72</v>
      </c>
      <c r="X41" s="58" t="s">
        <v>72</v>
      </c>
      <c r="Y41" s="58" t="s">
        <v>72</v>
      </c>
      <c r="Z41" s="58" t="s">
        <v>72</v>
      </c>
      <c r="AA41" s="58" t="s">
        <v>72</v>
      </c>
      <c r="AB41" s="58" t="s">
        <v>72</v>
      </c>
      <c r="AC41" s="58" t="s">
        <v>72</v>
      </c>
      <c r="AD41" s="58" t="s">
        <v>72</v>
      </c>
      <c r="AE41" s="58" t="s">
        <v>72</v>
      </c>
      <c r="AF41" s="58" t="s">
        <v>72</v>
      </c>
      <c r="AG41" s="58" t="s">
        <v>72</v>
      </c>
      <c r="AH41" s="58" t="s">
        <v>72</v>
      </c>
      <c r="AI41" s="58" t="s">
        <v>72</v>
      </c>
      <c r="AJ41" s="26"/>
      <c r="AL41" t="str">
        <f t="shared" ca="1" si="0"/>
        <v xml:space="preserve">    (U1)ALERT_REQ_S_TMBZR_BC_DOT_</v>
      </c>
      <c r="AR41" s="60" t="str">
        <f t="shared" si="3"/>
        <v/>
      </c>
      <c r="AS41" s="60" t="str">
        <f t="shared" si="4"/>
        <v/>
      </c>
      <c r="AT41" s="60" t="str">
        <f t="shared" si="1"/>
        <v/>
      </c>
    </row>
    <row r="42" spans="2:46">
      <c r="B42" s="131"/>
      <c r="C42" s="44">
        <f t="shared" si="2"/>
        <v>36</v>
      </c>
      <c r="D42" s="58" t="s">
        <v>72</v>
      </c>
      <c r="E42" s="58" t="s">
        <v>72</v>
      </c>
      <c r="F42" s="58" t="s">
        <v>72</v>
      </c>
      <c r="G42" s="58" t="s">
        <v>72</v>
      </c>
      <c r="H42" s="58" t="s">
        <v>72</v>
      </c>
      <c r="I42" s="58" t="s">
        <v>72</v>
      </c>
      <c r="J42" s="58" t="s">
        <v>72</v>
      </c>
      <c r="K42" s="58" t="s">
        <v>72</v>
      </c>
      <c r="L42" s="58" t="s">
        <v>72</v>
      </c>
      <c r="M42" s="58" t="s">
        <v>72</v>
      </c>
      <c r="N42" s="58" t="s">
        <v>72</v>
      </c>
      <c r="O42" s="58" t="s">
        <v>72</v>
      </c>
      <c r="P42" s="58" t="s">
        <v>72</v>
      </c>
      <c r="Q42" s="58" t="s">
        <v>72</v>
      </c>
      <c r="R42" s="58" t="s">
        <v>72</v>
      </c>
      <c r="S42" s="58" t="s">
        <v>72</v>
      </c>
      <c r="T42" s="58" t="s">
        <v>72</v>
      </c>
      <c r="U42" s="58" t="s">
        <v>72</v>
      </c>
      <c r="V42" s="58" t="s">
        <v>72</v>
      </c>
      <c r="W42" s="58" t="s">
        <v>72</v>
      </c>
      <c r="X42" s="58" t="s">
        <v>72</v>
      </c>
      <c r="Y42" s="58" t="s">
        <v>72</v>
      </c>
      <c r="Z42" s="58" t="s">
        <v>72</v>
      </c>
      <c r="AA42" s="58" t="s">
        <v>72</v>
      </c>
      <c r="AB42" s="58" t="s">
        <v>72</v>
      </c>
      <c r="AC42" s="58" t="s">
        <v>72</v>
      </c>
      <c r="AD42" s="58" t="s">
        <v>72</v>
      </c>
      <c r="AE42" s="58" t="s">
        <v>72</v>
      </c>
      <c r="AF42" s="58" t="s">
        <v>72</v>
      </c>
      <c r="AG42" s="58" t="s">
        <v>72</v>
      </c>
      <c r="AH42" s="58" t="s">
        <v>72</v>
      </c>
      <c r="AI42" s="58" t="s">
        <v>72</v>
      </c>
      <c r="AJ42" s="26"/>
      <c r="AL42" t="str">
        <f t="shared" ca="1" si="0"/>
        <v xml:space="preserve">    (U1)ALERT_REQ_S_TMBZR_BC_DOT_</v>
      </c>
      <c r="AR42" s="60" t="str">
        <f t="shared" si="3"/>
        <v/>
      </c>
      <c r="AS42" s="60" t="str">
        <f t="shared" si="4"/>
        <v/>
      </c>
      <c r="AT42" s="60" t="str">
        <f t="shared" si="1"/>
        <v/>
      </c>
    </row>
    <row r="43" spans="2:46">
      <c r="B43" s="131"/>
      <c r="C43" s="44">
        <f t="shared" si="2"/>
        <v>37</v>
      </c>
      <c r="D43" s="58" t="s">
        <v>72</v>
      </c>
      <c r="E43" s="58" t="s">
        <v>72</v>
      </c>
      <c r="F43" s="58" t="s">
        <v>72</v>
      </c>
      <c r="G43" s="58" t="s">
        <v>72</v>
      </c>
      <c r="H43" s="58" t="s">
        <v>72</v>
      </c>
      <c r="I43" s="58" t="s">
        <v>72</v>
      </c>
      <c r="J43" s="58" t="s">
        <v>72</v>
      </c>
      <c r="K43" s="58" t="s">
        <v>72</v>
      </c>
      <c r="L43" s="58" t="s">
        <v>72</v>
      </c>
      <c r="M43" s="58" t="s">
        <v>72</v>
      </c>
      <c r="N43" s="58" t="s">
        <v>72</v>
      </c>
      <c r="O43" s="58" t="s">
        <v>72</v>
      </c>
      <c r="P43" s="58" t="s">
        <v>72</v>
      </c>
      <c r="Q43" s="58" t="s">
        <v>72</v>
      </c>
      <c r="R43" s="58" t="s">
        <v>72</v>
      </c>
      <c r="S43" s="58" t="s">
        <v>72</v>
      </c>
      <c r="T43" s="58" t="s">
        <v>72</v>
      </c>
      <c r="U43" s="58" t="s">
        <v>72</v>
      </c>
      <c r="V43" s="58" t="s">
        <v>72</v>
      </c>
      <c r="W43" s="58" t="s">
        <v>72</v>
      </c>
      <c r="X43" s="58" t="s">
        <v>72</v>
      </c>
      <c r="Y43" s="58" t="s">
        <v>72</v>
      </c>
      <c r="Z43" s="58" t="s">
        <v>72</v>
      </c>
      <c r="AA43" s="58" t="s">
        <v>72</v>
      </c>
      <c r="AB43" s="58" t="s">
        <v>72</v>
      </c>
      <c r="AC43" s="58" t="s">
        <v>72</v>
      </c>
      <c r="AD43" s="58" t="s">
        <v>72</v>
      </c>
      <c r="AE43" s="58" t="s">
        <v>72</v>
      </c>
      <c r="AF43" s="58" t="s">
        <v>72</v>
      </c>
      <c r="AG43" s="58" t="s">
        <v>72</v>
      </c>
      <c r="AH43" s="58" t="s">
        <v>72</v>
      </c>
      <c r="AI43" s="58" t="s">
        <v>72</v>
      </c>
      <c r="AJ43" s="26"/>
      <c r="AL43" t="str">
        <f t="shared" ca="1" si="0"/>
        <v xml:space="preserve">    (U1)ALERT_REQ_S_TMBZR_BC_DOT_</v>
      </c>
      <c r="AR43" s="60" t="str">
        <f t="shared" si="3"/>
        <v/>
      </c>
      <c r="AS43" s="60" t="str">
        <f t="shared" si="4"/>
        <v/>
      </c>
      <c r="AT43" s="60" t="str">
        <f t="shared" si="1"/>
        <v/>
      </c>
    </row>
    <row r="44" spans="2:46">
      <c r="B44" s="131"/>
      <c r="C44" s="44">
        <f t="shared" si="2"/>
        <v>38</v>
      </c>
      <c r="D44" s="58" t="s">
        <v>72</v>
      </c>
      <c r="E44" s="58" t="s">
        <v>72</v>
      </c>
      <c r="F44" s="58" t="s">
        <v>72</v>
      </c>
      <c r="G44" s="58" t="s">
        <v>72</v>
      </c>
      <c r="H44" s="58" t="s">
        <v>72</v>
      </c>
      <c r="I44" s="58" t="s">
        <v>72</v>
      </c>
      <c r="J44" s="58" t="s">
        <v>72</v>
      </c>
      <c r="K44" s="58" t="s">
        <v>72</v>
      </c>
      <c r="L44" s="58" t="s">
        <v>72</v>
      </c>
      <c r="M44" s="58" t="s">
        <v>72</v>
      </c>
      <c r="N44" s="58" t="s">
        <v>72</v>
      </c>
      <c r="O44" s="58" t="s">
        <v>72</v>
      </c>
      <c r="P44" s="58" t="s">
        <v>72</v>
      </c>
      <c r="Q44" s="58" t="s">
        <v>72</v>
      </c>
      <c r="R44" s="58" t="s">
        <v>72</v>
      </c>
      <c r="S44" s="58" t="s">
        <v>72</v>
      </c>
      <c r="T44" s="58" t="s">
        <v>72</v>
      </c>
      <c r="U44" s="58" t="s">
        <v>72</v>
      </c>
      <c r="V44" s="58" t="s">
        <v>72</v>
      </c>
      <c r="W44" s="58" t="s">
        <v>72</v>
      </c>
      <c r="X44" s="58" t="s">
        <v>72</v>
      </c>
      <c r="Y44" s="58" t="s">
        <v>72</v>
      </c>
      <c r="Z44" s="58" t="s">
        <v>72</v>
      </c>
      <c r="AA44" s="58" t="s">
        <v>72</v>
      </c>
      <c r="AB44" s="58" t="s">
        <v>72</v>
      </c>
      <c r="AC44" s="58" t="s">
        <v>72</v>
      </c>
      <c r="AD44" s="58" t="s">
        <v>72</v>
      </c>
      <c r="AE44" s="58" t="s">
        <v>72</v>
      </c>
      <c r="AF44" s="58" t="s">
        <v>72</v>
      </c>
      <c r="AG44" s="58" t="s">
        <v>72</v>
      </c>
      <c r="AH44" s="58" t="s">
        <v>72</v>
      </c>
      <c r="AI44" s="58" t="s">
        <v>72</v>
      </c>
      <c r="AJ44" s="26"/>
      <c r="AL44" t="str">
        <f t="shared" ca="1" si="0"/>
        <v xml:space="preserve">    (U1)ALERT_REQ_S_TMBZR_BC_DOT_</v>
      </c>
      <c r="AR44" s="60" t="str">
        <f t="shared" si="3"/>
        <v/>
      </c>
      <c r="AS44" s="60" t="str">
        <f t="shared" si="4"/>
        <v/>
      </c>
      <c r="AT44" s="60" t="str">
        <f t="shared" si="1"/>
        <v/>
      </c>
    </row>
    <row r="45" spans="2:46">
      <c r="B45" s="131"/>
      <c r="C45" s="44">
        <f t="shared" si="2"/>
        <v>39</v>
      </c>
      <c r="D45" s="58" t="s">
        <v>72</v>
      </c>
      <c r="E45" s="58" t="s">
        <v>72</v>
      </c>
      <c r="F45" s="58" t="s">
        <v>72</v>
      </c>
      <c r="G45" s="58" t="s">
        <v>72</v>
      </c>
      <c r="H45" s="58" t="s">
        <v>72</v>
      </c>
      <c r="I45" s="58" t="s">
        <v>72</v>
      </c>
      <c r="J45" s="58" t="s">
        <v>72</v>
      </c>
      <c r="K45" s="58" t="s">
        <v>72</v>
      </c>
      <c r="L45" s="58" t="s">
        <v>72</v>
      </c>
      <c r="M45" s="58" t="s">
        <v>72</v>
      </c>
      <c r="N45" s="58" t="s">
        <v>72</v>
      </c>
      <c r="O45" s="58" t="s">
        <v>72</v>
      </c>
      <c r="P45" s="58" t="s">
        <v>72</v>
      </c>
      <c r="Q45" s="58" t="s">
        <v>72</v>
      </c>
      <c r="R45" s="58" t="s">
        <v>72</v>
      </c>
      <c r="S45" s="58" t="s">
        <v>72</v>
      </c>
      <c r="T45" s="58" t="s">
        <v>72</v>
      </c>
      <c r="U45" s="58" t="s">
        <v>72</v>
      </c>
      <c r="V45" s="58" t="s">
        <v>72</v>
      </c>
      <c r="W45" s="58" t="s">
        <v>72</v>
      </c>
      <c r="X45" s="58" t="s">
        <v>72</v>
      </c>
      <c r="Y45" s="58" t="s">
        <v>72</v>
      </c>
      <c r="Z45" s="58" t="s">
        <v>72</v>
      </c>
      <c r="AA45" s="58" t="s">
        <v>72</v>
      </c>
      <c r="AB45" s="58" t="s">
        <v>72</v>
      </c>
      <c r="AC45" s="58" t="s">
        <v>72</v>
      </c>
      <c r="AD45" s="58" t="s">
        <v>72</v>
      </c>
      <c r="AE45" s="58" t="s">
        <v>72</v>
      </c>
      <c r="AF45" s="58" t="s">
        <v>72</v>
      </c>
      <c r="AG45" s="58" t="s">
        <v>72</v>
      </c>
      <c r="AH45" s="58" t="s">
        <v>72</v>
      </c>
      <c r="AI45" s="58" t="s">
        <v>72</v>
      </c>
      <c r="AJ45" s="26"/>
      <c r="AL45" t="str">
        <f t="shared" ca="1" si="0"/>
        <v xml:space="preserve">    (U1)ALERT_REQ_S_TMBZR_BC_DOT_</v>
      </c>
      <c r="AR45" s="60" t="str">
        <f t="shared" si="3"/>
        <v/>
      </c>
      <c r="AS45" s="60" t="str">
        <f t="shared" si="4"/>
        <v/>
      </c>
      <c r="AT45" s="60" t="str">
        <f t="shared" si="1"/>
        <v/>
      </c>
    </row>
    <row r="46" spans="2:46">
      <c r="B46" s="131"/>
      <c r="C46" s="44">
        <f t="shared" si="2"/>
        <v>40</v>
      </c>
      <c r="D46" s="58" t="s">
        <v>72</v>
      </c>
      <c r="E46" s="58" t="s">
        <v>72</v>
      </c>
      <c r="F46" s="58" t="s">
        <v>72</v>
      </c>
      <c r="G46" s="58" t="s">
        <v>72</v>
      </c>
      <c r="H46" s="58" t="s">
        <v>72</v>
      </c>
      <c r="I46" s="58" t="s">
        <v>72</v>
      </c>
      <c r="J46" s="58" t="s">
        <v>72</v>
      </c>
      <c r="K46" s="58" t="s">
        <v>72</v>
      </c>
      <c r="L46" s="58" t="s">
        <v>72</v>
      </c>
      <c r="M46" s="58" t="s">
        <v>72</v>
      </c>
      <c r="N46" s="58" t="s">
        <v>72</v>
      </c>
      <c r="O46" s="58" t="s">
        <v>72</v>
      </c>
      <c r="P46" s="58" t="s">
        <v>72</v>
      </c>
      <c r="Q46" s="58" t="s">
        <v>72</v>
      </c>
      <c r="R46" s="58" t="s">
        <v>72</v>
      </c>
      <c r="S46" s="58" t="s">
        <v>72</v>
      </c>
      <c r="T46" s="58" t="s">
        <v>72</v>
      </c>
      <c r="U46" s="58" t="s">
        <v>72</v>
      </c>
      <c r="V46" s="58" t="s">
        <v>72</v>
      </c>
      <c r="W46" s="58" t="s">
        <v>72</v>
      </c>
      <c r="X46" s="58" t="s">
        <v>72</v>
      </c>
      <c r="Y46" s="58" t="s">
        <v>72</v>
      </c>
      <c r="Z46" s="58" t="s">
        <v>72</v>
      </c>
      <c r="AA46" s="58" t="s">
        <v>72</v>
      </c>
      <c r="AB46" s="58" t="s">
        <v>72</v>
      </c>
      <c r="AC46" s="58" t="s">
        <v>72</v>
      </c>
      <c r="AD46" s="58" t="s">
        <v>72</v>
      </c>
      <c r="AE46" s="58" t="s">
        <v>72</v>
      </c>
      <c r="AF46" s="58" t="s">
        <v>72</v>
      </c>
      <c r="AG46" s="58" t="s">
        <v>72</v>
      </c>
      <c r="AH46" s="58" t="s">
        <v>72</v>
      </c>
      <c r="AI46" s="58" t="s">
        <v>72</v>
      </c>
      <c r="AJ46" s="26"/>
      <c r="AL46" t="str">
        <f t="shared" ca="1" si="0"/>
        <v xml:space="preserve">    (U1)ALERT_REQ_S_TMBZR_BC_DOT_</v>
      </c>
      <c r="AR46" s="60" t="str">
        <f t="shared" si="3"/>
        <v/>
      </c>
      <c r="AS46" s="60" t="str">
        <f t="shared" si="4"/>
        <v/>
      </c>
      <c r="AT46" s="60" t="str">
        <f t="shared" si="1"/>
        <v/>
      </c>
    </row>
    <row r="47" spans="2:46">
      <c r="B47" s="131"/>
      <c r="C47" s="44">
        <f t="shared" si="2"/>
        <v>41</v>
      </c>
      <c r="D47" s="58" t="s">
        <v>72</v>
      </c>
      <c r="E47" s="58" t="s">
        <v>72</v>
      </c>
      <c r="F47" s="58" t="s">
        <v>72</v>
      </c>
      <c r="G47" s="58" t="s">
        <v>72</v>
      </c>
      <c r="H47" s="58" t="s">
        <v>72</v>
      </c>
      <c r="I47" s="58" t="s">
        <v>72</v>
      </c>
      <c r="J47" s="58" t="s">
        <v>72</v>
      </c>
      <c r="K47" s="58" t="s">
        <v>72</v>
      </c>
      <c r="L47" s="58" t="s">
        <v>72</v>
      </c>
      <c r="M47" s="58" t="s">
        <v>72</v>
      </c>
      <c r="N47" s="58" t="s">
        <v>72</v>
      </c>
      <c r="O47" s="58" t="s">
        <v>72</v>
      </c>
      <c r="P47" s="58" t="s">
        <v>72</v>
      </c>
      <c r="Q47" s="58" t="s">
        <v>72</v>
      </c>
      <c r="R47" s="58" t="s">
        <v>72</v>
      </c>
      <c r="S47" s="58" t="s">
        <v>72</v>
      </c>
      <c r="T47" s="58" t="s">
        <v>72</v>
      </c>
      <c r="U47" s="58" t="s">
        <v>72</v>
      </c>
      <c r="V47" s="58" t="s">
        <v>72</v>
      </c>
      <c r="W47" s="58" t="s">
        <v>72</v>
      </c>
      <c r="X47" s="58" t="s">
        <v>72</v>
      </c>
      <c r="Y47" s="58" t="s">
        <v>72</v>
      </c>
      <c r="Z47" s="58" t="s">
        <v>72</v>
      </c>
      <c r="AA47" s="58" t="s">
        <v>72</v>
      </c>
      <c r="AB47" s="58" t="s">
        <v>72</v>
      </c>
      <c r="AC47" s="58" t="s">
        <v>72</v>
      </c>
      <c r="AD47" s="58" t="s">
        <v>72</v>
      </c>
      <c r="AE47" s="58" t="s">
        <v>72</v>
      </c>
      <c r="AF47" s="58" t="s">
        <v>72</v>
      </c>
      <c r="AG47" s="58" t="s">
        <v>72</v>
      </c>
      <c r="AH47" s="58" t="s">
        <v>72</v>
      </c>
      <c r="AI47" s="58" t="s">
        <v>72</v>
      </c>
      <c r="AJ47" s="26"/>
      <c r="AL47" t="str">
        <f t="shared" ca="1" si="0"/>
        <v xml:space="preserve">    (U1)ALERT_REQ_S_TMBZR_BC_DOT_</v>
      </c>
      <c r="AR47" s="60" t="str">
        <f t="shared" si="3"/>
        <v/>
      </c>
      <c r="AS47" s="60" t="str">
        <f t="shared" si="4"/>
        <v/>
      </c>
      <c r="AT47" s="60" t="str">
        <f t="shared" si="1"/>
        <v/>
      </c>
    </row>
    <row r="48" spans="2:46">
      <c r="B48" s="131"/>
      <c r="C48" s="44">
        <f t="shared" si="2"/>
        <v>42</v>
      </c>
      <c r="D48" s="58" t="s">
        <v>72</v>
      </c>
      <c r="E48" s="58" t="s">
        <v>72</v>
      </c>
      <c r="F48" s="58" t="s">
        <v>72</v>
      </c>
      <c r="G48" s="58" t="s">
        <v>72</v>
      </c>
      <c r="H48" s="58" t="s">
        <v>72</v>
      </c>
      <c r="I48" s="58" t="s">
        <v>72</v>
      </c>
      <c r="J48" s="58" t="s">
        <v>72</v>
      </c>
      <c r="K48" s="58" t="s">
        <v>72</v>
      </c>
      <c r="L48" s="58" t="s">
        <v>72</v>
      </c>
      <c r="M48" s="58" t="s">
        <v>72</v>
      </c>
      <c r="N48" s="58" t="s">
        <v>72</v>
      </c>
      <c r="O48" s="58" t="s">
        <v>72</v>
      </c>
      <c r="P48" s="58" t="s">
        <v>72</v>
      </c>
      <c r="Q48" s="58" t="s">
        <v>72</v>
      </c>
      <c r="R48" s="58" t="s">
        <v>72</v>
      </c>
      <c r="S48" s="58" t="s">
        <v>72</v>
      </c>
      <c r="T48" s="58" t="s">
        <v>72</v>
      </c>
      <c r="U48" s="58" t="s">
        <v>72</v>
      </c>
      <c r="V48" s="58" t="s">
        <v>72</v>
      </c>
      <c r="W48" s="58" t="s">
        <v>72</v>
      </c>
      <c r="X48" s="58" t="s">
        <v>72</v>
      </c>
      <c r="Y48" s="58" t="s">
        <v>72</v>
      </c>
      <c r="Z48" s="58" t="s">
        <v>72</v>
      </c>
      <c r="AA48" s="58" t="s">
        <v>72</v>
      </c>
      <c r="AB48" s="58" t="s">
        <v>72</v>
      </c>
      <c r="AC48" s="58" t="s">
        <v>72</v>
      </c>
      <c r="AD48" s="58" t="s">
        <v>72</v>
      </c>
      <c r="AE48" s="58" t="s">
        <v>72</v>
      </c>
      <c r="AF48" s="58" t="s">
        <v>72</v>
      </c>
      <c r="AG48" s="58" t="s">
        <v>72</v>
      </c>
      <c r="AH48" s="58" t="s">
        <v>72</v>
      </c>
      <c r="AI48" s="58" t="s">
        <v>72</v>
      </c>
      <c r="AJ48" s="26"/>
      <c r="AL48" t="str">
        <f t="shared" ca="1" si="0"/>
        <v xml:space="preserve">    (U1)ALERT_REQ_S_TMBZR_BC_DOT_</v>
      </c>
      <c r="AR48" s="60" t="str">
        <f t="shared" si="3"/>
        <v/>
      </c>
      <c r="AS48" s="60" t="str">
        <f t="shared" si="4"/>
        <v/>
      </c>
      <c r="AT48" s="60" t="str">
        <f t="shared" si="1"/>
        <v/>
      </c>
    </row>
    <row r="49" spans="2:46">
      <c r="B49" s="131"/>
      <c r="C49" s="44">
        <f t="shared" si="2"/>
        <v>43</v>
      </c>
      <c r="D49" s="58" t="s">
        <v>72</v>
      </c>
      <c r="E49" s="58" t="s">
        <v>72</v>
      </c>
      <c r="F49" s="58" t="s">
        <v>72</v>
      </c>
      <c r="G49" s="58" t="s">
        <v>72</v>
      </c>
      <c r="H49" s="58" t="s">
        <v>72</v>
      </c>
      <c r="I49" s="58" t="s">
        <v>72</v>
      </c>
      <c r="J49" s="58" t="s">
        <v>72</v>
      </c>
      <c r="K49" s="58" t="s">
        <v>72</v>
      </c>
      <c r="L49" s="58" t="s">
        <v>72</v>
      </c>
      <c r="M49" s="58" t="s">
        <v>72</v>
      </c>
      <c r="N49" s="58" t="s">
        <v>72</v>
      </c>
      <c r="O49" s="58" t="s">
        <v>72</v>
      </c>
      <c r="P49" s="58" t="s">
        <v>72</v>
      </c>
      <c r="Q49" s="58" t="s">
        <v>72</v>
      </c>
      <c r="R49" s="58" t="s">
        <v>72</v>
      </c>
      <c r="S49" s="58" t="s">
        <v>72</v>
      </c>
      <c r="T49" s="58" t="s">
        <v>72</v>
      </c>
      <c r="U49" s="58" t="s">
        <v>72</v>
      </c>
      <c r="V49" s="58" t="s">
        <v>72</v>
      </c>
      <c r="W49" s="58" t="s">
        <v>72</v>
      </c>
      <c r="X49" s="58" t="s">
        <v>72</v>
      </c>
      <c r="Y49" s="58" t="s">
        <v>72</v>
      </c>
      <c r="Z49" s="58" t="s">
        <v>72</v>
      </c>
      <c r="AA49" s="58" t="s">
        <v>72</v>
      </c>
      <c r="AB49" s="58" t="s">
        <v>72</v>
      </c>
      <c r="AC49" s="58" t="s">
        <v>72</v>
      </c>
      <c r="AD49" s="58" t="s">
        <v>72</v>
      </c>
      <c r="AE49" s="58" t="s">
        <v>72</v>
      </c>
      <c r="AF49" s="58" t="s">
        <v>72</v>
      </c>
      <c r="AG49" s="58" t="s">
        <v>72</v>
      </c>
      <c r="AH49" s="58" t="s">
        <v>72</v>
      </c>
      <c r="AI49" s="58" t="s">
        <v>72</v>
      </c>
      <c r="AJ49" s="26"/>
      <c r="AL49" t="str">
        <f t="shared" ca="1" si="0"/>
        <v xml:space="preserve">    (U1)ALERT_REQ_S_TMBZR_BC_DOT_</v>
      </c>
      <c r="AR49" s="60" t="str">
        <f t="shared" si="3"/>
        <v/>
      </c>
      <c r="AS49" s="60" t="str">
        <f t="shared" si="4"/>
        <v/>
      </c>
      <c r="AT49" s="60" t="str">
        <f t="shared" si="1"/>
        <v/>
      </c>
    </row>
    <row r="50" spans="2:46">
      <c r="B50" s="131"/>
      <c r="C50" s="44">
        <f t="shared" si="2"/>
        <v>44</v>
      </c>
      <c r="D50" s="58" t="s">
        <v>72</v>
      </c>
      <c r="E50" s="58" t="s">
        <v>72</v>
      </c>
      <c r="F50" s="58" t="s">
        <v>72</v>
      </c>
      <c r="G50" s="58" t="s">
        <v>72</v>
      </c>
      <c r="H50" s="58" t="s">
        <v>72</v>
      </c>
      <c r="I50" s="58" t="s">
        <v>72</v>
      </c>
      <c r="J50" s="58" t="s">
        <v>72</v>
      </c>
      <c r="K50" s="58" t="s">
        <v>72</v>
      </c>
      <c r="L50" s="58" t="s">
        <v>72</v>
      </c>
      <c r="M50" s="58" t="s">
        <v>72</v>
      </c>
      <c r="N50" s="58" t="s">
        <v>72</v>
      </c>
      <c r="O50" s="58" t="s">
        <v>72</v>
      </c>
      <c r="P50" s="58" t="s">
        <v>72</v>
      </c>
      <c r="Q50" s="58" t="s">
        <v>72</v>
      </c>
      <c r="R50" s="58" t="s">
        <v>72</v>
      </c>
      <c r="S50" s="58" t="s">
        <v>72</v>
      </c>
      <c r="T50" s="58" t="s">
        <v>72</v>
      </c>
      <c r="U50" s="58" t="s">
        <v>72</v>
      </c>
      <c r="V50" s="58" t="s">
        <v>72</v>
      </c>
      <c r="W50" s="58" t="s">
        <v>72</v>
      </c>
      <c r="X50" s="58" t="s">
        <v>72</v>
      </c>
      <c r="Y50" s="58" t="s">
        <v>72</v>
      </c>
      <c r="Z50" s="58" t="s">
        <v>72</v>
      </c>
      <c r="AA50" s="58" t="s">
        <v>72</v>
      </c>
      <c r="AB50" s="58" t="s">
        <v>72</v>
      </c>
      <c r="AC50" s="58" t="s">
        <v>72</v>
      </c>
      <c r="AD50" s="58" t="s">
        <v>72</v>
      </c>
      <c r="AE50" s="58" t="s">
        <v>72</v>
      </c>
      <c r="AF50" s="58" t="s">
        <v>72</v>
      </c>
      <c r="AG50" s="58" t="s">
        <v>72</v>
      </c>
      <c r="AH50" s="58" t="s">
        <v>72</v>
      </c>
      <c r="AI50" s="58" t="s">
        <v>72</v>
      </c>
      <c r="AJ50" s="26"/>
      <c r="AL50" t="str">
        <f t="shared" ca="1" si="0"/>
        <v xml:space="preserve">    (U1)ALERT_REQ_S_TMBZR_BC_DOT_</v>
      </c>
      <c r="AR50" s="60" t="str">
        <f t="shared" si="3"/>
        <v/>
      </c>
      <c r="AS50" s="60" t="str">
        <f t="shared" si="4"/>
        <v/>
      </c>
      <c r="AT50" s="60" t="str">
        <f t="shared" si="1"/>
        <v/>
      </c>
    </row>
    <row r="51" spans="2:46">
      <c r="B51" s="131"/>
      <c r="C51" s="44">
        <f t="shared" si="2"/>
        <v>45</v>
      </c>
      <c r="D51" s="58" t="s">
        <v>72</v>
      </c>
      <c r="E51" s="58" t="s">
        <v>72</v>
      </c>
      <c r="F51" s="58" t="s">
        <v>72</v>
      </c>
      <c r="G51" s="58" t="s">
        <v>72</v>
      </c>
      <c r="H51" s="58" t="s">
        <v>72</v>
      </c>
      <c r="I51" s="58" t="s">
        <v>72</v>
      </c>
      <c r="J51" s="58" t="s">
        <v>72</v>
      </c>
      <c r="K51" s="58" t="s">
        <v>72</v>
      </c>
      <c r="L51" s="58" t="s">
        <v>72</v>
      </c>
      <c r="M51" s="58" t="s">
        <v>72</v>
      </c>
      <c r="N51" s="58" t="s">
        <v>72</v>
      </c>
      <c r="O51" s="58" t="s">
        <v>72</v>
      </c>
      <c r="P51" s="58" t="s">
        <v>72</v>
      </c>
      <c r="Q51" s="58" t="s">
        <v>72</v>
      </c>
      <c r="R51" s="58" t="s">
        <v>72</v>
      </c>
      <c r="S51" s="58" t="s">
        <v>72</v>
      </c>
      <c r="T51" s="58" t="s">
        <v>72</v>
      </c>
      <c r="U51" s="58" t="s">
        <v>72</v>
      </c>
      <c r="V51" s="58" t="s">
        <v>72</v>
      </c>
      <c r="W51" s="58" t="s">
        <v>72</v>
      </c>
      <c r="X51" s="58" t="s">
        <v>72</v>
      </c>
      <c r="Y51" s="58" t="s">
        <v>72</v>
      </c>
      <c r="Z51" s="58" t="s">
        <v>72</v>
      </c>
      <c r="AA51" s="58" t="s">
        <v>72</v>
      </c>
      <c r="AB51" s="58" t="s">
        <v>72</v>
      </c>
      <c r="AC51" s="58" t="s">
        <v>72</v>
      </c>
      <c r="AD51" s="58" t="s">
        <v>72</v>
      </c>
      <c r="AE51" s="58" t="s">
        <v>72</v>
      </c>
      <c r="AF51" s="58" t="s">
        <v>72</v>
      </c>
      <c r="AG51" s="58" t="s">
        <v>72</v>
      </c>
      <c r="AH51" s="58" t="s">
        <v>72</v>
      </c>
      <c r="AI51" s="58" t="s">
        <v>72</v>
      </c>
      <c r="AJ51" s="26"/>
      <c r="AL51" t="str">
        <f t="shared" ca="1" si="0"/>
        <v xml:space="preserve">    (U1)ALERT_REQ_S_TMBZR_BC_DOT_</v>
      </c>
      <c r="AR51" s="60" t="str">
        <f t="shared" si="3"/>
        <v/>
      </c>
      <c r="AS51" s="60" t="str">
        <f t="shared" si="4"/>
        <v/>
      </c>
      <c r="AT51" s="60" t="str">
        <f t="shared" si="1"/>
        <v/>
      </c>
    </row>
    <row r="52" spans="2:46">
      <c r="B52" s="131"/>
      <c r="C52" s="44">
        <f t="shared" si="2"/>
        <v>46</v>
      </c>
      <c r="D52" s="58" t="s">
        <v>72</v>
      </c>
      <c r="E52" s="58" t="s">
        <v>72</v>
      </c>
      <c r="F52" s="58" t="s">
        <v>72</v>
      </c>
      <c r="G52" s="58" t="s">
        <v>72</v>
      </c>
      <c r="H52" s="58" t="s">
        <v>72</v>
      </c>
      <c r="I52" s="58" t="s">
        <v>72</v>
      </c>
      <c r="J52" s="58" t="s">
        <v>72</v>
      </c>
      <c r="K52" s="58" t="s">
        <v>72</v>
      </c>
      <c r="L52" s="58" t="s">
        <v>72</v>
      </c>
      <c r="M52" s="58" t="s">
        <v>72</v>
      </c>
      <c r="N52" s="58" t="s">
        <v>72</v>
      </c>
      <c r="O52" s="58" t="s">
        <v>72</v>
      </c>
      <c r="P52" s="58" t="s">
        <v>72</v>
      </c>
      <c r="Q52" s="58" t="s">
        <v>72</v>
      </c>
      <c r="R52" s="58" t="s">
        <v>72</v>
      </c>
      <c r="S52" s="58" t="s">
        <v>72</v>
      </c>
      <c r="T52" s="58" t="s">
        <v>72</v>
      </c>
      <c r="U52" s="58" t="s">
        <v>72</v>
      </c>
      <c r="V52" s="58" t="s">
        <v>72</v>
      </c>
      <c r="W52" s="58" t="s">
        <v>72</v>
      </c>
      <c r="X52" s="58" t="s">
        <v>72</v>
      </c>
      <c r="Y52" s="58" t="s">
        <v>72</v>
      </c>
      <c r="Z52" s="58" t="s">
        <v>72</v>
      </c>
      <c r="AA52" s="58" t="s">
        <v>72</v>
      </c>
      <c r="AB52" s="58" t="s">
        <v>72</v>
      </c>
      <c r="AC52" s="58" t="s">
        <v>72</v>
      </c>
      <c r="AD52" s="58" t="s">
        <v>72</v>
      </c>
      <c r="AE52" s="58" t="s">
        <v>72</v>
      </c>
      <c r="AF52" s="58" t="s">
        <v>72</v>
      </c>
      <c r="AG52" s="58" t="s">
        <v>72</v>
      </c>
      <c r="AH52" s="58" t="s">
        <v>72</v>
      </c>
      <c r="AI52" s="58" t="s">
        <v>72</v>
      </c>
      <c r="AJ52" s="26"/>
      <c r="AL52" t="str">
        <f t="shared" ca="1" si="0"/>
        <v xml:space="preserve">    (U1)ALERT_REQ_S_TMBZR_BC_DOT_</v>
      </c>
      <c r="AR52" s="60" t="str">
        <f t="shared" si="3"/>
        <v/>
      </c>
      <c r="AS52" s="60" t="str">
        <f t="shared" si="4"/>
        <v/>
      </c>
      <c r="AT52" s="60" t="str">
        <f t="shared" si="1"/>
        <v/>
      </c>
    </row>
    <row r="53" spans="2:46">
      <c r="B53" s="131"/>
      <c r="C53" s="44">
        <f t="shared" si="2"/>
        <v>47</v>
      </c>
      <c r="D53" s="58" t="s">
        <v>72</v>
      </c>
      <c r="E53" s="58" t="s">
        <v>72</v>
      </c>
      <c r="F53" s="58" t="s">
        <v>72</v>
      </c>
      <c r="G53" s="58" t="s">
        <v>72</v>
      </c>
      <c r="H53" s="58" t="s">
        <v>72</v>
      </c>
      <c r="I53" s="58" t="s">
        <v>72</v>
      </c>
      <c r="J53" s="58" t="s">
        <v>72</v>
      </c>
      <c r="K53" s="58" t="s">
        <v>72</v>
      </c>
      <c r="L53" s="58" t="s">
        <v>72</v>
      </c>
      <c r="M53" s="58" t="s">
        <v>72</v>
      </c>
      <c r="N53" s="58" t="s">
        <v>72</v>
      </c>
      <c r="O53" s="58" t="s">
        <v>72</v>
      </c>
      <c r="P53" s="58" t="s">
        <v>72</v>
      </c>
      <c r="Q53" s="58" t="s">
        <v>72</v>
      </c>
      <c r="R53" s="58" t="s">
        <v>72</v>
      </c>
      <c r="S53" s="58" t="s">
        <v>72</v>
      </c>
      <c r="T53" s="58" t="s">
        <v>72</v>
      </c>
      <c r="U53" s="58" t="s">
        <v>72</v>
      </c>
      <c r="V53" s="58" t="s">
        <v>72</v>
      </c>
      <c r="W53" s="58" t="s">
        <v>72</v>
      </c>
      <c r="X53" s="58" t="s">
        <v>72</v>
      </c>
      <c r="Y53" s="58" t="s">
        <v>72</v>
      </c>
      <c r="Z53" s="58" t="s">
        <v>72</v>
      </c>
      <c r="AA53" s="58" t="s">
        <v>72</v>
      </c>
      <c r="AB53" s="58" t="s">
        <v>72</v>
      </c>
      <c r="AC53" s="58" t="s">
        <v>72</v>
      </c>
      <c r="AD53" s="58" t="s">
        <v>72</v>
      </c>
      <c r="AE53" s="58" t="s">
        <v>72</v>
      </c>
      <c r="AF53" s="58" t="s">
        <v>72</v>
      </c>
      <c r="AG53" s="58" t="s">
        <v>72</v>
      </c>
      <c r="AH53" s="58" t="s">
        <v>72</v>
      </c>
      <c r="AI53" s="58" t="s">
        <v>72</v>
      </c>
      <c r="AJ53" s="26"/>
      <c r="AL53" t="str">
        <f t="shared" ca="1" si="0"/>
        <v xml:space="preserve">    (U1)ALERT_REQ_S_TMBZR_BC_DOT_</v>
      </c>
      <c r="AR53" s="60" t="str">
        <f t="shared" si="3"/>
        <v/>
      </c>
      <c r="AS53" s="60" t="str">
        <f t="shared" si="4"/>
        <v/>
      </c>
      <c r="AT53" s="60" t="str">
        <f t="shared" si="1"/>
        <v/>
      </c>
    </row>
    <row r="54" spans="2:46">
      <c r="B54" s="131"/>
      <c r="C54" s="44">
        <f t="shared" si="2"/>
        <v>48</v>
      </c>
      <c r="D54" s="58" t="s">
        <v>72</v>
      </c>
      <c r="E54" s="58" t="s">
        <v>72</v>
      </c>
      <c r="F54" s="58" t="s">
        <v>72</v>
      </c>
      <c r="G54" s="58" t="s">
        <v>72</v>
      </c>
      <c r="H54" s="58" t="s">
        <v>72</v>
      </c>
      <c r="I54" s="58" t="s">
        <v>72</v>
      </c>
      <c r="J54" s="58" t="s">
        <v>72</v>
      </c>
      <c r="K54" s="58" t="s">
        <v>72</v>
      </c>
      <c r="L54" s="58" t="s">
        <v>72</v>
      </c>
      <c r="M54" s="58" t="s">
        <v>72</v>
      </c>
      <c r="N54" s="58" t="s">
        <v>72</v>
      </c>
      <c r="O54" s="58" t="s">
        <v>72</v>
      </c>
      <c r="P54" s="58" t="s">
        <v>72</v>
      </c>
      <c r="Q54" s="58" t="s">
        <v>72</v>
      </c>
      <c r="R54" s="58" t="s">
        <v>72</v>
      </c>
      <c r="S54" s="58" t="s">
        <v>72</v>
      </c>
      <c r="T54" s="58" t="s">
        <v>72</v>
      </c>
      <c r="U54" s="58" t="s">
        <v>72</v>
      </c>
      <c r="V54" s="58" t="s">
        <v>72</v>
      </c>
      <c r="W54" s="58" t="s">
        <v>72</v>
      </c>
      <c r="X54" s="58" t="s">
        <v>72</v>
      </c>
      <c r="Y54" s="58" t="s">
        <v>72</v>
      </c>
      <c r="Z54" s="58" t="s">
        <v>72</v>
      </c>
      <c r="AA54" s="58" t="s">
        <v>72</v>
      </c>
      <c r="AB54" s="58" t="s">
        <v>72</v>
      </c>
      <c r="AC54" s="58" t="s">
        <v>72</v>
      </c>
      <c r="AD54" s="58" t="s">
        <v>72</v>
      </c>
      <c r="AE54" s="58" t="s">
        <v>72</v>
      </c>
      <c r="AF54" s="58" t="s">
        <v>72</v>
      </c>
      <c r="AG54" s="58" t="s">
        <v>72</v>
      </c>
      <c r="AH54" s="58" t="s">
        <v>72</v>
      </c>
      <c r="AI54" s="58" t="s">
        <v>72</v>
      </c>
      <c r="AJ54" s="26"/>
      <c r="AL54" t="str">
        <f t="shared" ca="1" si="0"/>
        <v xml:space="preserve">    (U1)ALERT_REQ_S_TMBZR_BC_DOT_</v>
      </c>
      <c r="AR54" s="60" t="str">
        <f t="shared" si="3"/>
        <v/>
      </c>
      <c r="AS54" s="60" t="str">
        <f t="shared" si="4"/>
        <v/>
      </c>
      <c r="AT54" s="60" t="str">
        <f t="shared" si="1"/>
        <v/>
      </c>
    </row>
    <row r="55" spans="2:46">
      <c r="B55" s="131"/>
      <c r="C55" s="44">
        <f t="shared" si="2"/>
        <v>49</v>
      </c>
      <c r="D55" s="58" t="s">
        <v>72</v>
      </c>
      <c r="E55" s="58" t="s">
        <v>72</v>
      </c>
      <c r="F55" s="58" t="s">
        <v>72</v>
      </c>
      <c r="G55" s="58" t="s">
        <v>72</v>
      </c>
      <c r="H55" s="58" t="s">
        <v>72</v>
      </c>
      <c r="I55" s="58" t="s">
        <v>72</v>
      </c>
      <c r="J55" s="58" t="s">
        <v>72</v>
      </c>
      <c r="K55" s="58" t="s">
        <v>72</v>
      </c>
      <c r="L55" s="58" t="s">
        <v>72</v>
      </c>
      <c r="M55" s="58" t="s">
        <v>72</v>
      </c>
      <c r="N55" s="58" t="s">
        <v>72</v>
      </c>
      <c r="O55" s="58" t="s">
        <v>72</v>
      </c>
      <c r="P55" s="58" t="s">
        <v>72</v>
      </c>
      <c r="Q55" s="58" t="s">
        <v>72</v>
      </c>
      <c r="R55" s="58" t="s">
        <v>72</v>
      </c>
      <c r="S55" s="58" t="s">
        <v>72</v>
      </c>
      <c r="T55" s="58" t="s">
        <v>72</v>
      </c>
      <c r="U55" s="58" t="s">
        <v>72</v>
      </c>
      <c r="V55" s="58" t="s">
        <v>72</v>
      </c>
      <c r="W55" s="58" t="s">
        <v>72</v>
      </c>
      <c r="X55" s="58" t="s">
        <v>72</v>
      </c>
      <c r="Y55" s="58" t="s">
        <v>72</v>
      </c>
      <c r="Z55" s="58" t="s">
        <v>72</v>
      </c>
      <c r="AA55" s="58" t="s">
        <v>72</v>
      </c>
      <c r="AB55" s="58" t="s">
        <v>72</v>
      </c>
      <c r="AC55" s="58" t="s">
        <v>72</v>
      </c>
      <c r="AD55" s="58" t="s">
        <v>72</v>
      </c>
      <c r="AE55" s="58" t="s">
        <v>72</v>
      </c>
      <c r="AF55" s="58" t="s">
        <v>72</v>
      </c>
      <c r="AG55" s="58" t="s">
        <v>72</v>
      </c>
      <c r="AH55" s="58" t="s">
        <v>72</v>
      </c>
      <c r="AI55" s="58" t="s">
        <v>72</v>
      </c>
      <c r="AJ55" s="26"/>
      <c r="AL55" t="str">
        <f t="shared" ca="1" si="0"/>
        <v xml:space="preserve">    (U1)ALERT_REQ_S_TMBZR_BC_DOT_</v>
      </c>
      <c r="AR55" s="60" t="str">
        <f t="shared" si="3"/>
        <v/>
      </c>
      <c r="AS55" s="60" t="str">
        <f t="shared" si="4"/>
        <v/>
      </c>
      <c r="AT55" s="60" t="str">
        <f t="shared" si="1"/>
        <v/>
      </c>
    </row>
    <row r="56" spans="2:46">
      <c r="B56" s="131"/>
      <c r="C56" s="44">
        <f t="shared" si="2"/>
        <v>50</v>
      </c>
      <c r="D56" s="58" t="s">
        <v>72</v>
      </c>
      <c r="E56" s="58" t="s">
        <v>72</v>
      </c>
      <c r="F56" s="58" t="s">
        <v>72</v>
      </c>
      <c r="G56" s="58" t="s">
        <v>72</v>
      </c>
      <c r="H56" s="58" t="s">
        <v>72</v>
      </c>
      <c r="I56" s="58" t="s">
        <v>72</v>
      </c>
      <c r="J56" s="58" t="s">
        <v>72</v>
      </c>
      <c r="K56" s="58" t="s">
        <v>72</v>
      </c>
      <c r="L56" s="58" t="s">
        <v>72</v>
      </c>
      <c r="M56" s="58" t="s">
        <v>72</v>
      </c>
      <c r="N56" s="58" t="s">
        <v>72</v>
      </c>
      <c r="O56" s="58" t="s">
        <v>72</v>
      </c>
      <c r="P56" s="58" t="s">
        <v>72</v>
      </c>
      <c r="Q56" s="58" t="s">
        <v>72</v>
      </c>
      <c r="R56" s="58" t="s">
        <v>72</v>
      </c>
      <c r="S56" s="58" t="s">
        <v>72</v>
      </c>
      <c r="T56" s="58" t="s">
        <v>72</v>
      </c>
      <c r="U56" s="58" t="s">
        <v>72</v>
      </c>
      <c r="V56" s="58" t="s">
        <v>72</v>
      </c>
      <c r="W56" s="58" t="s">
        <v>72</v>
      </c>
      <c r="X56" s="58" t="s">
        <v>72</v>
      </c>
      <c r="Y56" s="58" t="s">
        <v>72</v>
      </c>
      <c r="Z56" s="58" t="s">
        <v>72</v>
      </c>
      <c r="AA56" s="58" t="s">
        <v>72</v>
      </c>
      <c r="AB56" s="58" t="s">
        <v>72</v>
      </c>
      <c r="AC56" s="58" t="s">
        <v>72</v>
      </c>
      <c r="AD56" s="58" t="s">
        <v>72</v>
      </c>
      <c r="AE56" s="58" t="s">
        <v>72</v>
      </c>
      <c r="AF56" s="58" t="s">
        <v>72</v>
      </c>
      <c r="AG56" s="58" t="s">
        <v>72</v>
      </c>
      <c r="AH56" s="58" t="s">
        <v>72</v>
      </c>
      <c r="AI56" s="58" t="s">
        <v>72</v>
      </c>
      <c r="AJ56" s="26"/>
      <c r="AL56" t="str">
        <f t="shared" ca="1" si="0"/>
        <v xml:space="preserve">    (U1)ALERT_REQ_S_TMBZR_BC_DOT_</v>
      </c>
      <c r="AR56" s="60" t="str">
        <f t="shared" si="3"/>
        <v/>
      </c>
      <c r="AS56" s="60" t="str">
        <f t="shared" si="4"/>
        <v/>
      </c>
      <c r="AT56" s="60" t="str">
        <f t="shared" si="1"/>
        <v/>
      </c>
    </row>
    <row r="57" spans="2:46">
      <c r="B57" s="131"/>
      <c r="C57" s="44">
        <f t="shared" si="2"/>
        <v>51</v>
      </c>
      <c r="D57" s="58" t="s">
        <v>72</v>
      </c>
      <c r="E57" s="58" t="s">
        <v>72</v>
      </c>
      <c r="F57" s="58" t="s">
        <v>72</v>
      </c>
      <c r="G57" s="58" t="s">
        <v>72</v>
      </c>
      <c r="H57" s="58" t="s">
        <v>72</v>
      </c>
      <c r="I57" s="58" t="s">
        <v>72</v>
      </c>
      <c r="J57" s="58" t="s">
        <v>72</v>
      </c>
      <c r="K57" s="58" t="s">
        <v>72</v>
      </c>
      <c r="L57" s="58" t="s">
        <v>72</v>
      </c>
      <c r="M57" s="58" t="s">
        <v>72</v>
      </c>
      <c r="N57" s="58" t="s">
        <v>72</v>
      </c>
      <c r="O57" s="58" t="s">
        <v>72</v>
      </c>
      <c r="P57" s="58" t="s">
        <v>72</v>
      </c>
      <c r="Q57" s="58" t="s">
        <v>72</v>
      </c>
      <c r="R57" s="58" t="s">
        <v>72</v>
      </c>
      <c r="S57" s="58" t="s">
        <v>72</v>
      </c>
      <c r="T57" s="58" t="s">
        <v>72</v>
      </c>
      <c r="U57" s="58" t="s">
        <v>72</v>
      </c>
      <c r="V57" s="58" t="s">
        <v>72</v>
      </c>
      <c r="W57" s="58" t="s">
        <v>72</v>
      </c>
      <c r="X57" s="58" t="s">
        <v>72</v>
      </c>
      <c r="Y57" s="58" t="s">
        <v>72</v>
      </c>
      <c r="Z57" s="58" t="s">
        <v>72</v>
      </c>
      <c r="AA57" s="58" t="s">
        <v>72</v>
      </c>
      <c r="AB57" s="58" t="s">
        <v>72</v>
      </c>
      <c r="AC57" s="58" t="s">
        <v>72</v>
      </c>
      <c r="AD57" s="58" t="s">
        <v>72</v>
      </c>
      <c r="AE57" s="58" t="s">
        <v>72</v>
      </c>
      <c r="AF57" s="58" t="s">
        <v>72</v>
      </c>
      <c r="AG57" s="58" t="s">
        <v>72</v>
      </c>
      <c r="AH57" s="58" t="s">
        <v>72</v>
      </c>
      <c r="AI57" s="58" t="s">
        <v>72</v>
      </c>
      <c r="AJ57" s="26"/>
      <c r="AL57" t="str">
        <f t="shared" ca="1" si="0"/>
        <v xml:space="preserve">    (U1)ALERT_REQ_S_TMBZR_BC_DOT_</v>
      </c>
      <c r="AR57" s="60" t="str">
        <f t="shared" si="3"/>
        <v/>
      </c>
      <c r="AS57" s="60" t="str">
        <f t="shared" si="4"/>
        <v/>
      </c>
      <c r="AT57" s="60" t="str">
        <f t="shared" si="1"/>
        <v/>
      </c>
    </row>
    <row r="58" spans="2:46">
      <c r="B58" s="131"/>
      <c r="C58" s="44">
        <f t="shared" si="2"/>
        <v>52</v>
      </c>
      <c r="D58" s="58" t="s">
        <v>72</v>
      </c>
      <c r="E58" s="58" t="s">
        <v>72</v>
      </c>
      <c r="F58" s="58" t="s">
        <v>72</v>
      </c>
      <c r="G58" s="58" t="s">
        <v>72</v>
      </c>
      <c r="H58" s="58" t="s">
        <v>72</v>
      </c>
      <c r="I58" s="58" t="s">
        <v>72</v>
      </c>
      <c r="J58" s="58" t="s">
        <v>72</v>
      </c>
      <c r="K58" s="58" t="s">
        <v>72</v>
      </c>
      <c r="L58" s="58" t="s">
        <v>72</v>
      </c>
      <c r="M58" s="58" t="s">
        <v>72</v>
      </c>
      <c r="N58" s="58" t="s">
        <v>72</v>
      </c>
      <c r="O58" s="58" t="s">
        <v>72</v>
      </c>
      <c r="P58" s="58" t="s">
        <v>72</v>
      </c>
      <c r="Q58" s="58" t="s">
        <v>72</v>
      </c>
      <c r="R58" s="58" t="s">
        <v>72</v>
      </c>
      <c r="S58" s="58" t="s">
        <v>72</v>
      </c>
      <c r="T58" s="58" t="s">
        <v>72</v>
      </c>
      <c r="U58" s="58" t="s">
        <v>72</v>
      </c>
      <c r="V58" s="58" t="s">
        <v>72</v>
      </c>
      <c r="W58" s="58" t="s">
        <v>72</v>
      </c>
      <c r="X58" s="58" t="s">
        <v>72</v>
      </c>
      <c r="Y58" s="58" t="s">
        <v>72</v>
      </c>
      <c r="Z58" s="58" t="s">
        <v>72</v>
      </c>
      <c r="AA58" s="58" t="s">
        <v>72</v>
      </c>
      <c r="AB58" s="58" t="s">
        <v>72</v>
      </c>
      <c r="AC58" s="58" t="s">
        <v>72</v>
      </c>
      <c r="AD58" s="58" t="s">
        <v>72</v>
      </c>
      <c r="AE58" s="58" t="s">
        <v>72</v>
      </c>
      <c r="AF58" s="58" t="s">
        <v>72</v>
      </c>
      <c r="AG58" s="58" t="s">
        <v>72</v>
      </c>
      <c r="AH58" s="58" t="s">
        <v>72</v>
      </c>
      <c r="AI58" s="58" t="s">
        <v>72</v>
      </c>
      <c r="AJ58" s="26"/>
      <c r="AL58" t="str">
        <f t="shared" ca="1" si="0"/>
        <v xml:space="preserve">    (U1)ALERT_REQ_S_TMBZR_BC_DOT_</v>
      </c>
      <c r="AR58" s="60" t="str">
        <f t="shared" si="3"/>
        <v/>
      </c>
      <c r="AS58" s="60" t="str">
        <f t="shared" si="4"/>
        <v/>
      </c>
      <c r="AT58" s="60" t="str">
        <f t="shared" si="1"/>
        <v/>
      </c>
    </row>
    <row r="59" spans="2:46">
      <c r="B59" s="131"/>
      <c r="C59" s="44">
        <f t="shared" si="2"/>
        <v>53</v>
      </c>
      <c r="D59" s="58" t="s">
        <v>72</v>
      </c>
      <c r="E59" s="58" t="s">
        <v>72</v>
      </c>
      <c r="F59" s="58" t="s">
        <v>72</v>
      </c>
      <c r="G59" s="58" t="s">
        <v>72</v>
      </c>
      <c r="H59" s="58" t="s">
        <v>72</v>
      </c>
      <c r="I59" s="58" t="s">
        <v>72</v>
      </c>
      <c r="J59" s="58" t="s">
        <v>72</v>
      </c>
      <c r="K59" s="58" t="s">
        <v>72</v>
      </c>
      <c r="L59" s="58" t="s">
        <v>72</v>
      </c>
      <c r="M59" s="58" t="s">
        <v>72</v>
      </c>
      <c r="N59" s="58" t="s">
        <v>72</v>
      </c>
      <c r="O59" s="58" t="s">
        <v>72</v>
      </c>
      <c r="P59" s="58" t="s">
        <v>72</v>
      </c>
      <c r="Q59" s="58" t="s">
        <v>72</v>
      </c>
      <c r="R59" s="58" t="s">
        <v>72</v>
      </c>
      <c r="S59" s="58" t="s">
        <v>72</v>
      </c>
      <c r="T59" s="58" t="s">
        <v>72</v>
      </c>
      <c r="U59" s="58" t="s">
        <v>72</v>
      </c>
      <c r="V59" s="58" t="s">
        <v>72</v>
      </c>
      <c r="W59" s="58" t="s">
        <v>72</v>
      </c>
      <c r="X59" s="58" t="s">
        <v>72</v>
      </c>
      <c r="Y59" s="58" t="s">
        <v>72</v>
      </c>
      <c r="Z59" s="58" t="s">
        <v>72</v>
      </c>
      <c r="AA59" s="58" t="s">
        <v>72</v>
      </c>
      <c r="AB59" s="58" t="s">
        <v>72</v>
      </c>
      <c r="AC59" s="58" t="s">
        <v>72</v>
      </c>
      <c r="AD59" s="58" t="s">
        <v>72</v>
      </c>
      <c r="AE59" s="58" t="s">
        <v>72</v>
      </c>
      <c r="AF59" s="58" t="s">
        <v>72</v>
      </c>
      <c r="AG59" s="58" t="s">
        <v>72</v>
      </c>
      <c r="AH59" s="58" t="s">
        <v>72</v>
      </c>
      <c r="AI59" s="58" t="s">
        <v>72</v>
      </c>
      <c r="AJ59" s="26"/>
      <c r="AL59" t="str">
        <f t="shared" ca="1" si="0"/>
        <v xml:space="preserve">    (U1)ALERT_REQ_S_TMBZR_BC_DOT_</v>
      </c>
      <c r="AR59" s="60" t="str">
        <f t="shared" si="3"/>
        <v/>
      </c>
      <c r="AS59" s="60" t="str">
        <f t="shared" si="4"/>
        <v/>
      </c>
      <c r="AT59" s="60" t="str">
        <f t="shared" si="1"/>
        <v/>
      </c>
    </row>
    <row r="60" spans="2:46">
      <c r="B60" s="131"/>
      <c r="C60" s="44">
        <f t="shared" si="2"/>
        <v>54</v>
      </c>
      <c r="D60" s="58" t="s">
        <v>72</v>
      </c>
      <c r="E60" s="58" t="s">
        <v>72</v>
      </c>
      <c r="F60" s="58" t="s">
        <v>72</v>
      </c>
      <c r="G60" s="58" t="s">
        <v>72</v>
      </c>
      <c r="H60" s="58" t="s">
        <v>72</v>
      </c>
      <c r="I60" s="58" t="s">
        <v>72</v>
      </c>
      <c r="J60" s="58" t="s">
        <v>72</v>
      </c>
      <c r="K60" s="58" t="s">
        <v>72</v>
      </c>
      <c r="L60" s="58" t="s">
        <v>72</v>
      </c>
      <c r="M60" s="58" t="s">
        <v>72</v>
      </c>
      <c r="N60" s="58" t="s">
        <v>72</v>
      </c>
      <c r="O60" s="58" t="s">
        <v>72</v>
      </c>
      <c r="P60" s="58" t="s">
        <v>72</v>
      </c>
      <c r="Q60" s="58" t="s">
        <v>72</v>
      </c>
      <c r="R60" s="58" t="s">
        <v>72</v>
      </c>
      <c r="S60" s="58" t="s">
        <v>72</v>
      </c>
      <c r="T60" s="58" t="s">
        <v>72</v>
      </c>
      <c r="U60" s="58" t="s">
        <v>72</v>
      </c>
      <c r="V60" s="58" t="s">
        <v>72</v>
      </c>
      <c r="W60" s="58" t="s">
        <v>72</v>
      </c>
      <c r="X60" s="58" t="s">
        <v>72</v>
      </c>
      <c r="Y60" s="58" t="s">
        <v>72</v>
      </c>
      <c r="Z60" s="58" t="s">
        <v>72</v>
      </c>
      <c r="AA60" s="58" t="s">
        <v>72</v>
      </c>
      <c r="AB60" s="58" t="s">
        <v>72</v>
      </c>
      <c r="AC60" s="58" t="s">
        <v>72</v>
      </c>
      <c r="AD60" s="58" t="s">
        <v>72</v>
      </c>
      <c r="AE60" s="58" t="s">
        <v>72</v>
      </c>
      <c r="AF60" s="58" t="s">
        <v>72</v>
      </c>
      <c r="AG60" s="58" t="s">
        <v>72</v>
      </c>
      <c r="AH60" s="58" t="s">
        <v>72</v>
      </c>
      <c r="AI60" s="58" t="s">
        <v>72</v>
      </c>
      <c r="AJ60" s="26"/>
      <c r="AL60" t="str">
        <f t="shared" ca="1" si="0"/>
        <v xml:space="preserve">    (U1)ALERT_REQ_S_TMBZR_BC_DOT_</v>
      </c>
      <c r="AR60" s="60" t="str">
        <f t="shared" si="3"/>
        <v/>
      </c>
      <c r="AS60" s="60" t="str">
        <f t="shared" si="4"/>
        <v/>
      </c>
      <c r="AT60" s="60" t="str">
        <f t="shared" si="1"/>
        <v/>
      </c>
    </row>
    <row r="61" spans="2:46">
      <c r="B61" s="131"/>
      <c r="C61" s="44">
        <f t="shared" si="2"/>
        <v>55</v>
      </c>
      <c r="D61" s="58" t="s">
        <v>72</v>
      </c>
      <c r="E61" s="58" t="s">
        <v>72</v>
      </c>
      <c r="F61" s="58" t="s">
        <v>72</v>
      </c>
      <c r="G61" s="58" t="s">
        <v>72</v>
      </c>
      <c r="H61" s="58" t="s">
        <v>72</v>
      </c>
      <c r="I61" s="58" t="s">
        <v>72</v>
      </c>
      <c r="J61" s="58" t="s">
        <v>72</v>
      </c>
      <c r="K61" s="58" t="s">
        <v>72</v>
      </c>
      <c r="L61" s="58" t="s">
        <v>72</v>
      </c>
      <c r="M61" s="58" t="s">
        <v>72</v>
      </c>
      <c r="N61" s="58" t="s">
        <v>72</v>
      </c>
      <c r="O61" s="58" t="s">
        <v>72</v>
      </c>
      <c r="P61" s="58" t="s">
        <v>72</v>
      </c>
      <c r="Q61" s="58" t="s">
        <v>72</v>
      </c>
      <c r="R61" s="58" t="s">
        <v>72</v>
      </c>
      <c r="S61" s="58" t="s">
        <v>72</v>
      </c>
      <c r="T61" s="58" t="s">
        <v>72</v>
      </c>
      <c r="U61" s="58" t="s">
        <v>72</v>
      </c>
      <c r="V61" s="58" t="s">
        <v>72</v>
      </c>
      <c r="W61" s="58" t="s">
        <v>72</v>
      </c>
      <c r="X61" s="58" t="s">
        <v>72</v>
      </c>
      <c r="Y61" s="58" t="s">
        <v>72</v>
      </c>
      <c r="Z61" s="58" t="s">
        <v>72</v>
      </c>
      <c r="AA61" s="58" t="s">
        <v>72</v>
      </c>
      <c r="AB61" s="58" t="s">
        <v>72</v>
      </c>
      <c r="AC61" s="58" t="s">
        <v>72</v>
      </c>
      <c r="AD61" s="58" t="s">
        <v>72</v>
      </c>
      <c r="AE61" s="58" t="s">
        <v>72</v>
      </c>
      <c r="AF61" s="58" t="s">
        <v>72</v>
      </c>
      <c r="AG61" s="58" t="s">
        <v>72</v>
      </c>
      <c r="AH61" s="58" t="s">
        <v>72</v>
      </c>
      <c r="AI61" s="58" t="s">
        <v>72</v>
      </c>
      <c r="AJ61" s="26"/>
      <c r="AL61" t="str">
        <f t="shared" ca="1" si="0"/>
        <v xml:space="preserve">    (U1)ALERT_REQ_S_TMBZR_BC_DOT_</v>
      </c>
      <c r="AR61" s="60" t="str">
        <f t="shared" si="3"/>
        <v/>
      </c>
      <c r="AS61" s="60" t="str">
        <f t="shared" si="4"/>
        <v/>
      </c>
      <c r="AT61" s="60" t="str">
        <f t="shared" si="1"/>
        <v/>
      </c>
    </row>
    <row r="62" spans="2:46">
      <c r="B62" s="131"/>
      <c r="C62" s="44">
        <f t="shared" si="2"/>
        <v>56</v>
      </c>
      <c r="D62" s="58" t="s">
        <v>72</v>
      </c>
      <c r="E62" s="58" t="s">
        <v>72</v>
      </c>
      <c r="F62" s="58" t="s">
        <v>72</v>
      </c>
      <c r="G62" s="58" t="s">
        <v>72</v>
      </c>
      <c r="H62" s="58" t="s">
        <v>72</v>
      </c>
      <c r="I62" s="58" t="s">
        <v>72</v>
      </c>
      <c r="J62" s="58" t="s">
        <v>72</v>
      </c>
      <c r="K62" s="58" t="s">
        <v>72</v>
      </c>
      <c r="L62" s="58" t="s">
        <v>72</v>
      </c>
      <c r="M62" s="58" t="s">
        <v>72</v>
      </c>
      <c r="N62" s="58" t="s">
        <v>72</v>
      </c>
      <c r="O62" s="58" t="s">
        <v>72</v>
      </c>
      <c r="P62" s="58" t="s">
        <v>72</v>
      </c>
      <c r="Q62" s="58" t="s">
        <v>72</v>
      </c>
      <c r="R62" s="58" t="s">
        <v>72</v>
      </c>
      <c r="S62" s="58" t="s">
        <v>72</v>
      </c>
      <c r="T62" s="58" t="s">
        <v>72</v>
      </c>
      <c r="U62" s="58" t="s">
        <v>72</v>
      </c>
      <c r="V62" s="58" t="s">
        <v>72</v>
      </c>
      <c r="W62" s="58" t="s">
        <v>72</v>
      </c>
      <c r="X62" s="58" t="s">
        <v>72</v>
      </c>
      <c r="Y62" s="58" t="s">
        <v>72</v>
      </c>
      <c r="Z62" s="58" t="s">
        <v>72</v>
      </c>
      <c r="AA62" s="58" t="s">
        <v>72</v>
      </c>
      <c r="AB62" s="58" t="s">
        <v>72</v>
      </c>
      <c r="AC62" s="58" t="s">
        <v>72</v>
      </c>
      <c r="AD62" s="58" t="s">
        <v>72</v>
      </c>
      <c r="AE62" s="58" t="s">
        <v>72</v>
      </c>
      <c r="AF62" s="58" t="s">
        <v>72</v>
      </c>
      <c r="AG62" s="58" t="s">
        <v>72</v>
      </c>
      <c r="AH62" s="58" t="s">
        <v>72</v>
      </c>
      <c r="AI62" s="58" t="s">
        <v>72</v>
      </c>
      <c r="AJ62" s="26"/>
      <c r="AL62" t="str">
        <f t="shared" ca="1" si="0"/>
        <v xml:space="preserve">    (U1)ALERT_REQ_S_TMBZR_BC_DOT_</v>
      </c>
      <c r="AR62" s="60" t="str">
        <f t="shared" si="3"/>
        <v/>
      </c>
      <c r="AS62" s="60" t="str">
        <f t="shared" si="4"/>
        <v/>
      </c>
      <c r="AT62" s="60" t="str">
        <f t="shared" si="1"/>
        <v/>
      </c>
    </row>
    <row r="63" spans="2:46">
      <c r="B63" s="131"/>
      <c r="C63" s="44">
        <f t="shared" si="2"/>
        <v>57</v>
      </c>
      <c r="D63" s="58" t="s">
        <v>72</v>
      </c>
      <c r="E63" s="58" t="s">
        <v>72</v>
      </c>
      <c r="F63" s="58" t="s">
        <v>72</v>
      </c>
      <c r="G63" s="58" t="s">
        <v>72</v>
      </c>
      <c r="H63" s="58" t="s">
        <v>72</v>
      </c>
      <c r="I63" s="58" t="s">
        <v>72</v>
      </c>
      <c r="J63" s="58" t="s">
        <v>72</v>
      </c>
      <c r="K63" s="58" t="s">
        <v>72</v>
      </c>
      <c r="L63" s="58" t="s">
        <v>72</v>
      </c>
      <c r="M63" s="58" t="s">
        <v>72</v>
      </c>
      <c r="N63" s="58" t="s">
        <v>72</v>
      </c>
      <c r="O63" s="58" t="s">
        <v>72</v>
      </c>
      <c r="P63" s="58" t="s">
        <v>72</v>
      </c>
      <c r="Q63" s="58" t="s">
        <v>72</v>
      </c>
      <c r="R63" s="58" t="s">
        <v>72</v>
      </c>
      <c r="S63" s="58" t="s">
        <v>72</v>
      </c>
      <c r="T63" s="58" t="s">
        <v>72</v>
      </c>
      <c r="U63" s="58" t="s">
        <v>72</v>
      </c>
      <c r="V63" s="58" t="s">
        <v>72</v>
      </c>
      <c r="W63" s="58" t="s">
        <v>72</v>
      </c>
      <c r="X63" s="58" t="s">
        <v>72</v>
      </c>
      <c r="Y63" s="58" t="s">
        <v>72</v>
      </c>
      <c r="Z63" s="58" t="s">
        <v>72</v>
      </c>
      <c r="AA63" s="58" t="s">
        <v>72</v>
      </c>
      <c r="AB63" s="58" t="s">
        <v>72</v>
      </c>
      <c r="AC63" s="58" t="s">
        <v>72</v>
      </c>
      <c r="AD63" s="58" t="s">
        <v>72</v>
      </c>
      <c r="AE63" s="58" t="s">
        <v>72</v>
      </c>
      <c r="AF63" s="58" t="s">
        <v>72</v>
      </c>
      <c r="AG63" s="58" t="s">
        <v>72</v>
      </c>
      <c r="AH63" s="58" t="s">
        <v>72</v>
      </c>
      <c r="AI63" s="58" t="s">
        <v>72</v>
      </c>
      <c r="AJ63" s="26"/>
      <c r="AL63" t="str">
        <f t="shared" ca="1" si="0"/>
        <v xml:space="preserve">    (U1)ALERT_REQ_S_TMBZR_BC_DOT_</v>
      </c>
      <c r="AR63" s="60" t="str">
        <f t="shared" si="3"/>
        <v/>
      </c>
      <c r="AS63" s="60" t="str">
        <f t="shared" si="4"/>
        <v/>
      </c>
      <c r="AT63" s="60" t="str">
        <f t="shared" si="1"/>
        <v/>
      </c>
    </row>
    <row r="64" spans="2:46">
      <c r="B64" s="131"/>
      <c r="C64" s="44">
        <f t="shared" si="2"/>
        <v>58</v>
      </c>
      <c r="D64" s="58" t="s">
        <v>72</v>
      </c>
      <c r="E64" s="58" t="s">
        <v>72</v>
      </c>
      <c r="F64" s="58" t="s">
        <v>72</v>
      </c>
      <c r="G64" s="58" t="s">
        <v>72</v>
      </c>
      <c r="H64" s="58" t="s">
        <v>72</v>
      </c>
      <c r="I64" s="58" t="s">
        <v>72</v>
      </c>
      <c r="J64" s="58" t="s">
        <v>72</v>
      </c>
      <c r="K64" s="58" t="s">
        <v>72</v>
      </c>
      <c r="L64" s="58" t="s">
        <v>72</v>
      </c>
      <c r="M64" s="58" t="s">
        <v>72</v>
      </c>
      <c r="N64" s="58" t="s">
        <v>72</v>
      </c>
      <c r="O64" s="58" t="s">
        <v>72</v>
      </c>
      <c r="P64" s="58" t="s">
        <v>72</v>
      </c>
      <c r="Q64" s="58" t="s">
        <v>72</v>
      </c>
      <c r="R64" s="58" t="s">
        <v>72</v>
      </c>
      <c r="S64" s="58" t="s">
        <v>72</v>
      </c>
      <c r="T64" s="58" t="s">
        <v>72</v>
      </c>
      <c r="U64" s="58" t="s">
        <v>72</v>
      </c>
      <c r="V64" s="58" t="s">
        <v>72</v>
      </c>
      <c r="W64" s="58" t="s">
        <v>72</v>
      </c>
      <c r="X64" s="58" t="s">
        <v>72</v>
      </c>
      <c r="Y64" s="58" t="s">
        <v>72</v>
      </c>
      <c r="Z64" s="58" t="s">
        <v>72</v>
      </c>
      <c r="AA64" s="58" t="s">
        <v>72</v>
      </c>
      <c r="AB64" s="58" t="s">
        <v>72</v>
      </c>
      <c r="AC64" s="58" t="s">
        <v>72</v>
      </c>
      <c r="AD64" s="58" t="s">
        <v>72</v>
      </c>
      <c r="AE64" s="58" t="s">
        <v>72</v>
      </c>
      <c r="AF64" s="58" t="s">
        <v>72</v>
      </c>
      <c r="AG64" s="58" t="s">
        <v>72</v>
      </c>
      <c r="AH64" s="58" t="s">
        <v>72</v>
      </c>
      <c r="AI64" s="58" t="s">
        <v>72</v>
      </c>
      <c r="AJ64" s="26"/>
      <c r="AL64" t="str">
        <f t="shared" ca="1" si="0"/>
        <v xml:space="preserve">    (U1)ALERT_REQ_S_TMBZR_BC_DOT_</v>
      </c>
      <c r="AR64" s="60" t="str">
        <f t="shared" si="3"/>
        <v/>
      </c>
      <c r="AS64" s="60" t="str">
        <f t="shared" si="4"/>
        <v/>
      </c>
      <c r="AT64" s="60" t="str">
        <f t="shared" si="1"/>
        <v/>
      </c>
    </row>
    <row r="65" spans="1:46">
      <c r="B65" s="131"/>
      <c r="C65" s="44">
        <f t="shared" si="2"/>
        <v>59</v>
      </c>
      <c r="D65" s="58" t="s">
        <v>72</v>
      </c>
      <c r="E65" s="58" t="s">
        <v>72</v>
      </c>
      <c r="F65" s="58" t="s">
        <v>72</v>
      </c>
      <c r="G65" s="58" t="s">
        <v>72</v>
      </c>
      <c r="H65" s="58" t="s">
        <v>72</v>
      </c>
      <c r="I65" s="58" t="s">
        <v>72</v>
      </c>
      <c r="J65" s="58" t="s">
        <v>72</v>
      </c>
      <c r="K65" s="58" t="s">
        <v>72</v>
      </c>
      <c r="L65" s="58" t="s">
        <v>72</v>
      </c>
      <c r="M65" s="58" t="s">
        <v>72</v>
      </c>
      <c r="N65" s="58" t="s">
        <v>72</v>
      </c>
      <c r="O65" s="58" t="s">
        <v>72</v>
      </c>
      <c r="P65" s="58" t="s">
        <v>72</v>
      </c>
      <c r="Q65" s="58" t="s">
        <v>72</v>
      </c>
      <c r="R65" s="58" t="s">
        <v>72</v>
      </c>
      <c r="S65" s="58" t="s">
        <v>72</v>
      </c>
      <c r="T65" s="58" t="s">
        <v>72</v>
      </c>
      <c r="U65" s="58" t="s">
        <v>72</v>
      </c>
      <c r="V65" s="58" t="s">
        <v>72</v>
      </c>
      <c r="W65" s="58" t="s">
        <v>72</v>
      </c>
      <c r="X65" s="58" t="s">
        <v>72</v>
      </c>
      <c r="Y65" s="58" t="s">
        <v>72</v>
      </c>
      <c r="Z65" s="58" t="s">
        <v>72</v>
      </c>
      <c r="AA65" s="58" t="s">
        <v>72</v>
      </c>
      <c r="AB65" s="58" t="s">
        <v>72</v>
      </c>
      <c r="AC65" s="58" t="s">
        <v>72</v>
      </c>
      <c r="AD65" s="58" t="s">
        <v>72</v>
      </c>
      <c r="AE65" s="58" t="s">
        <v>72</v>
      </c>
      <c r="AF65" s="58" t="s">
        <v>72</v>
      </c>
      <c r="AG65" s="58" t="s">
        <v>72</v>
      </c>
      <c r="AH65" s="58" t="s">
        <v>72</v>
      </c>
      <c r="AI65" s="58" t="s">
        <v>72</v>
      </c>
      <c r="AJ65" s="26"/>
      <c r="AL65" t="str">
        <f t="shared" ca="1" si="0"/>
        <v xml:space="preserve">    (U1)ALERT_REQ_S_TMBZR_BC_DOT_</v>
      </c>
      <c r="AR65" s="60" t="str">
        <f t="shared" si="3"/>
        <v/>
      </c>
      <c r="AS65" s="60" t="str">
        <f t="shared" si="4"/>
        <v/>
      </c>
      <c r="AT65" s="60" t="str">
        <f t="shared" si="1"/>
        <v/>
      </c>
    </row>
    <row r="66" spans="1:46">
      <c r="B66" s="131"/>
      <c r="C66" s="44">
        <f t="shared" si="2"/>
        <v>60</v>
      </c>
      <c r="D66" s="58" t="s">
        <v>72</v>
      </c>
      <c r="E66" s="58" t="s">
        <v>72</v>
      </c>
      <c r="F66" s="58" t="s">
        <v>72</v>
      </c>
      <c r="G66" s="58" t="s">
        <v>72</v>
      </c>
      <c r="H66" s="58" t="s">
        <v>72</v>
      </c>
      <c r="I66" s="58" t="s">
        <v>72</v>
      </c>
      <c r="J66" s="58" t="s">
        <v>72</v>
      </c>
      <c r="K66" s="58" t="s">
        <v>72</v>
      </c>
      <c r="L66" s="58" t="s">
        <v>72</v>
      </c>
      <c r="M66" s="58" t="s">
        <v>72</v>
      </c>
      <c r="N66" s="58" t="s">
        <v>72</v>
      </c>
      <c r="O66" s="58" t="s">
        <v>72</v>
      </c>
      <c r="P66" s="58" t="s">
        <v>72</v>
      </c>
      <c r="Q66" s="58" t="s">
        <v>72</v>
      </c>
      <c r="R66" s="58" t="s">
        <v>72</v>
      </c>
      <c r="S66" s="58" t="s">
        <v>72</v>
      </c>
      <c r="T66" s="58" t="s">
        <v>72</v>
      </c>
      <c r="U66" s="58" t="s">
        <v>72</v>
      </c>
      <c r="V66" s="58" t="s">
        <v>72</v>
      </c>
      <c r="W66" s="58" t="s">
        <v>72</v>
      </c>
      <c r="X66" s="58" t="s">
        <v>72</v>
      </c>
      <c r="Y66" s="58" t="s">
        <v>72</v>
      </c>
      <c r="Z66" s="58" t="s">
        <v>72</v>
      </c>
      <c r="AA66" s="58" t="s">
        <v>72</v>
      </c>
      <c r="AB66" s="58" t="s">
        <v>72</v>
      </c>
      <c r="AC66" s="58" t="s">
        <v>72</v>
      </c>
      <c r="AD66" s="58" t="s">
        <v>72</v>
      </c>
      <c r="AE66" s="58" t="s">
        <v>72</v>
      </c>
      <c r="AF66" s="58" t="s">
        <v>72</v>
      </c>
      <c r="AG66" s="58" t="s">
        <v>72</v>
      </c>
      <c r="AH66" s="58" t="s">
        <v>72</v>
      </c>
      <c r="AI66" s="58" t="s">
        <v>72</v>
      </c>
      <c r="AJ66" s="26"/>
      <c r="AL66" t="str">
        <f t="shared" ca="1" si="0"/>
        <v xml:space="preserve">    (U1)ALERT_REQ_S_TMBZR_BC_DOT_</v>
      </c>
      <c r="AR66" s="60" t="str">
        <f t="shared" si="3"/>
        <v/>
      </c>
      <c r="AS66" s="60" t="str">
        <f t="shared" si="4"/>
        <v/>
      </c>
      <c r="AT66" s="60" t="str">
        <f t="shared" si="1"/>
        <v/>
      </c>
    </row>
    <row r="67" spans="1:46">
      <c r="B67" s="131"/>
      <c r="C67" s="44">
        <f t="shared" si="2"/>
        <v>61</v>
      </c>
      <c r="D67" s="58" t="s">
        <v>72</v>
      </c>
      <c r="E67" s="58" t="s">
        <v>72</v>
      </c>
      <c r="F67" s="58" t="s">
        <v>72</v>
      </c>
      <c r="G67" s="58" t="s">
        <v>72</v>
      </c>
      <c r="H67" s="58" t="s">
        <v>72</v>
      </c>
      <c r="I67" s="58" t="s">
        <v>72</v>
      </c>
      <c r="J67" s="58" t="s">
        <v>72</v>
      </c>
      <c r="K67" s="58" t="s">
        <v>72</v>
      </c>
      <c r="L67" s="58" t="s">
        <v>72</v>
      </c>
      <c r="M67" s="58" t="s">
        <v>72</v>
      </c>
      <c r="N67" s="58" t="s">
        <v>72</v>
      </c>
      <c r="O67" s="58" t="s">
        <v>72</v>
      </c>
      <c r="P67" s="58" t="s">
        <v>72</v>
      </c>
      <c r="Q67" s="58" t="s">
        <v>72</v>
      </c>
      <c r="R67" s="58" t="s">
        <v>72</v>
      </c>
      <c r="S67" s="58" t="s">
        <v>72</v>
      </c>
      <c r="T67" s="58" t="s">
        <v>72</v>
      </c>
      <c r="U67" s="58" t="s">
        <v>72</v>
      </c>
      <c r="V67" s="58" t="s">
        <v>72</v>
      </c>
      <c r="W67" s="58" t="s">
        <v>72</v>
      </c>
      <c r="X67" s="58" t="s">
        <v>72</v>
      </c>
      <c r="Y67" s="58" t="s">
        <v>72</v>
      </c>
      <c r="Z67" s="58" t="s">
        <v>72</v>
      </c>
      <c r="AA67" s="58" t="s">
        <v>72</v>
      </c>
      <c r="AB67" s="58" t="s">
        <v>72</v>
      </c>
      <c r="AC67" s="58" t="s">
        <v>72</v>
      </c>
      <c r="AD67" s="58" t="s">
        <v>72</v>
      </c>
      <c r="AE67" s="58" t="s">
        <v>72</v>
      </c>
      <c r="AF67" s="58" t="s">
        <v>72</v>
      </c>
      <c r="AG67" s="58" t="s">
        <v>72</v>
      </c>
      <c r="AH67" s="58" t="s">
        <v>72</v>
      </c>
      <c r="AI67" s="58" t="s">
        <v>72</v>
      </c>
      <c r="AJ67" s="26"/>
      <c r="AL67" t="str">
        <f t="shared" ca="1" si="0"/>
        <v xml:space="preserve">    (U1)ALERT_REQ_S_TMBZR_BC_DOT_</v>
      </c>
      <c r="AR67" s="60" t="str">
        <f t="shared" si="3"/>
        <v/>
      </c>
      <c r="AS67" s="60" t="str">
        <f t="shared" si="4"/>
        <v/>
      </c>
      <c r="AT67" s="60" t="str">
        <f t="shared" si="1"/>
        <v/>
      </c>
    </row>
    <row r="68" spans="1:46">
      <c r="B68" s="131"/>
      <c r="C68" s="44">
        <f t="shared" si="2"/>
        <v>62</v>
      </c>
      <c r="D68" s="58" t="s">
        <v>72</v>
      </c>
      <c r="E68" s="58" t="s">
        <v>72</v>
      </c>
      <c r="F68" s="58" t="s">
        <v>72</v>
      </c>
      <c r="G68" s="58" t="s">
        <v>72</v>
      </c>
      <c r="H68" s="58" t="s">
        <v>72</v>
      </c>
      <c r="I68" s="58" t="s">
        <v>72</v>
      </c>
      <c r="J68" s="58" t="s">
        <v>72</v>
      </c>
      <c r="K68" s="58" t="s">
        <v>72</v>
      </c>
      <c r="L68" s="58" t="s">
        <v>72</v>
      </c>
      <c r="M68" s="58" t="s">
        <v>72</v>
      </c>
      <c r="N68" s="58" t="s">
        <v>72</v>
      </c>
      <c r="O68" s="58" t="s">
        <v>72</v>
      </c>
      <c r="P68" s="58" t="s">
        <v>72</v>
      </c>
      <c r="Q68" s="58" t="s">
        <v>72</v>
      </c>
      <c r="R68" s="58" t="s">
        <v>72</v>
      </c>
      <c r="S68" s="58" t="s">
        <v>72</v>
      </c>
      <c r="T68" s="58" t="s">
        <v>72</v>
      </c>
      <c r="U68" s="58" t="s">
        <v>72</v>
      </c>
      <c r="V68" s="58" t="s">
        <v>72</v>
      </c>
      <c r="W68" s="58" t="s">
        <v>72</v>
      </c>
      <c r="X68" s="58" t="s">
        <v>72</v>
      </c>
      <c r="Y68" s="58" t="s">
        <v>72</v>
      </c>
      <c r="Z68" s="58" t="s">
        <v>72</v>
      </c>
      <c r="AA68" s="58" t="s">
        <v>72</v>
      </c>
      <c r="AB68" s="58" t="s">
        <v>72</v>
      </c>
      <c r="AC68" s="58" t="s">
        <v>72</v>
      </c>
      <c r="AD68" s="58" t="s">
        <v>72</v>
      </c>
      <c r="AE68" s="58" t="s">
        <v>72</v>
      </c>
      <c r="AF68" s="58" t="s">
        <v>72</v>
      </c>
      <c r="AG68" s="58" t="s">
        <v>72</v>
      </c>
      <c r="AH68" s="58" t="s">
        <v>72</v>
      </c>
      <c r="AI68" s="58" t="s">
        <v>72</v>
      </c>
      <c r="AJ68" s="26"/>
      <c r="AL68" t="str">
        <f t="shared" ca="1" si="0"/>
        <v xml:space="preserve">    (U1)ALERT_REQ_S_TMBZR_BC_DOT_</v>
      </c>
      <c r="AR68" s="60" t="str">
        <f t="shared" si="3"/>
        <v/>
      </c>
      <c r="AS68" s="60" t="str">
        <f t="shared" si="4"/>
        <v/>
      </c>
      <c r="AT68" s="60" t="str">
        <f t="shared" si="1"/>
        <v/>
      </c>
    </row>
    <row r="69" spans="1:46">
      <c r="B69" s="132"/>
      <c r="C69" s="44">
        <f t="shared" si="2"/>
        <v>63</v>
      </c>
      <c r="D69" s="58" t="s">
        <v>72</v>
      </c>
      <c r="E69" s="58" t="s">
        <v>72</v>
      </c>
      <c r="F69" s="58" t="s">
        <v>72</v>
      </c>
      <c r="G69" s="58" t="s">
        <v>72</v>
      </c>
      <c r="H69" s="58" t="s">
        <v>72</v>
      </c>
      <c r="I69" s="58" t="s">
        <v>72</v>
      </c>
      <c r="J69" s="58" t="s">
        <v>72</v>
      </c>
      <c r="K69" s="58" t="s">
        <v>72</v>
      </c>
      <c r="L69" s="58" t="s">
        <v>72</v>
      </c>
      <c r="M69" s="58" t="s">
        <v>72</v>
      </c>
      <c r="N69" s="58" t="s">
        <v>72</v>
      </c>
      <c r="O69" s="58" t="s">
        <v>72</v>
      </c>
      <c r="P69" s="58" t="s">
        <v>72</v>
      </c>
      <c r="Q69" s="58" t="s">
        <v>72</v>
      </c>
      <c r="R69" s="58" t="s">
        <v>72</v>
      </c>
      <c r="S69" s="58" t="s">
        <v>72</v>
      </c>
      <c r="T69" s="58" t="s">
        <v>72</v>
      </c>
      <c r="U69" s="58" t="s">
        <v>72</v>
      </c>
      <c r="V69" s="58" t="s">
        <v>72</v>
      </c>
      <c r="W69" s="58" t="s">
        <v>72</v>
      </c>
      <c r="X69" s="58" t="s">
        <v>72</v>
      </c>
      <c r="Y69" s="58" t="s">
        <v>72</v>
      </c>
      <c r="Z69" s="58" t="s">
        <v>72</v>
      </c>
      <c r="AA69" s="58" t="s">
        <v>72</v>
      </c>
      <c r="AB69" s="58" t="s">
        <v>72</v>
      </c>
      <c r="AC69" s="58" t="s">
        <v>72</v>
      </c>
      <c r="AD69" s="58" t="s">
        <v>72</v>
      </c>
      <c r="AE69" s="58" t="s">
        <v>72</v>
      </c>
      <c r="AF69" s="58" t="s">
        <v>72</v>
      </c>
      <c r="AG69" s="58" t="s">
        <v>72</v>
      </c>
      <c r="AH69" s="58" t="s">
        <v>72</v>
      </c>
      <c r="AI69" s="58" t="s">
        <v>72</v>
      </c>
      <c r="AJ69" s="26"/>
      <c r="AL69" t="str">
        <f t="shared" ca="1" si="0"/>
        <v xml:space="preserve">    (U1)ALERT_REQ_S_TMBZR_BC_DOT_</v>
      </c>
      <c r="AR69" s="60" t="str">
        <f t="shared" si="3"/>
        <v/>
      </c>
      <c r="AS69" s="60" t="str">
        <f t="shared" si="4"/>
        <v/>
      </c>
      <c r="AT69" s="60" t="str">
        <f t="shared" si="1"/>
        <v/>
      </c>
    </row>
    <row r="70" spans="1:46" ht="14.25" thickBot="1">
      <c r="A70" s="53" t="s">
        <v>69</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3" t="str">
        <f ca="1">IF(B6&lt;&gt;"",B6,"")</f>
        <v>Table BC_DOT</v>
      </c>
      <c r="C71" s="44">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4">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4" t="str">
        <f t="shared" si="7"/>
        <v>DOHREQ</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DOHREQ                                          */</v>
      </c>
    </row>
    <row r="73" spans="1:46">
      <c r="B73" s="131"/>
      <c r="C73" s="44">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4" t="str">
        <f t="shared" si="7"/>
        <v>UNKNOWN</v>
      </c>
      <c r="AK73" s="57"/>
      <c r="AL73" s="57" t="str">
        <f t="shared" si="10"/>
        <v>02</v>
      </c>
      <c r="AM73" s="59" t="str">
        <f t="shared" si="11"/>
        <v>00</v>
      </c>
      <c r="AN73" s="59" t="str">
        <f t="shared" si="12"/>
        <v>00</v>
      </c>
      <c r="AO73" s="59" t="str">
        <f t="shared" si="13"/>
        <v>00</v>
      </c>
      <c r="AQ73" t="str">
        <f t="shared" si="8"/>
        <v xml:space="preserve">    (U4)0x00000002U,                                                           /* 02 UNKNOWN                                         */</v>
      </c>
    </row>
    <row r="74" spans="1:46">
      <c r="B74" s="131"/>
      <c r="C74" s="44">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4" t="str">
        <f t="shared" si="7"/>
        <v>UNKNOWN</v>
      </c>
      <c r="AK74" s="57"/>
      <c r="AL74" s="57" t="str">
        <f t="shared" si="10"/>
        <v>03</v>
      </c>
      <c r="AM74" s="59" t="str">
        <f t="shared" si="11"/>
        <v>00</v>
      </c>
      <c r="AN74" s="59" t="str">
        <f t="shared" si="12"/>
        <v>00</v>
      </c>
      <c r="AO74" s="59" t="str">
        <f t="shared" si="13"/>
        <v>00</v>
      </c>
      <c r="AQ74" t="str">
        <f t="shared" si="8"/>
        <v xml:space="preserve">    (U4)0x00000003U,                                                           /* 03 UNKNOWN                                         */</v>
      </c>
    </row>
    <row r="75" spans="1:46">
      <c r="B75" s="131"/>
      <c r="C75" s="44">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31"/>
      <c r="C76" s="44">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1"/>
      <c r="C77" s="44">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1"/>
      <c r="C78" s="44">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1"/>
      <c r="C79" s="44">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4" t="str">
        <f t="shared" si="7"/>
        <v/>
      </c>
      <c r="AK79" s="57"/>
      <c r="AL79" s="57" t="str">
        <f t="shared" si="10"/>
        <v>00</v>
      </c>
      <c r="AM79" s="59" t="str">
        <f t="shared" si="11"/>
        <v>00</v>
      </c>
      <c r="AN79" s="59" t="str">
        <f t="shared" si="12"/>
        <v>00</v>
      </c>
      <c r="AO79" s="59" t="str">
        <f t="shared" si="13"/>
        <v>00</v>
      </c>
      <c r="AQ79" t="str">
        <f t="shared" si="8"/>
        <v/>
      </c>
    </row>
    <row r="80" spans="1:46">
      <c r="B80" s="131"/>
      <c r="C80" s="44">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4" t="str">
        <f t="shared" si="7"/>
        <v/>
      </c>
      <c r="AK80" s="57"/>
      <c r="AL80" s="57" t="str">
        <f t="shared" si="10"/>
        <v>00</v>
      </c>
      <c r="AM80" s="59" t="str">
        <f t="shared" si="11"/>
        <v>00</v>
      </c>
      <c r="AN80" s="59" t="str">
        <f t="shared" si="12"/>
        <v>00</v>
      </c>
      <c r="AO80" s="59" t="str">
        <f t="shared" si="13"/>
        <v>00</v>
      </c>
      <c r="AQ80" t="str">
        <f t="shared" si="8"/>
        <v/>
      </c>
    </row>
    <row r="81" spans="2:43">
      <c r="B81" s="131"/>
      <c r="C81" s="44">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4" t="str">
        <f t="shared" si="7"/>
        <v/>
      </c>
      <c r="AK81" s="57"/>
      <c r="AL81" s="57" t="str">
        <f t="shared" si="10"/>
        <v>00</v>
      </c>
      <c r="AM81" s="59" t="str">
        <f t="shared" si="11"/>
        <v>00</v>
      </c>
      <c r="AN81" s="59" t="str">
        <f t="shared" si="12"/>
        <v>00</v>
      </c>
      <c r="AO81" s="59" t="str">
        <f t="shared" si="13"/>
        <v>00</v>
      </c>
      <c r="AQ81" t="str">
        <f t="shared" si="8"/>
        <v/>
      </c>
    </row>
    <row r="82" spans="2:43">
      <c r="B82" s="131"/>
      <c r="C82" s="44">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4" t="str">
        <f t="shared" si="7"/>
        <v/>
      </c>
      <c r="AK82" s="57"/>
      <c r="AL82" s="57" t="str">
        <f t="shared" si="10"/>
        <v>00</v>
      </c>
      <c r="AM82" s="59" t="str">
        <f t="shared" si="11"/>
        <v>00</v>
      </c>
      <c r="AN82" s="59" t="str">
        <f t="shared" si="12"/>
        <v>00</v>
      </c>
      <c r="AO82" s="59" t="str">
        <f t="shared" si="13"/>
        <v>00</v>
      </c>
      <c r="AQ82" t="str">
        <f t="shared" si="8"/>
        <v/>
      </c>
    </row>
    <row r="83" spans="2:43">
      <c r="B83" s="131"/>
      <c r="C83" s="44">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4" t="str">
        <f t="shared" si="7"/>
        <v/>
      </c>
      <c r="AK83" s="57"/>
      <c r="AL83" s="57" t="str">
        <f t="shared" si="10"/>
        <v>00</v>
      </c>
      <c r="AM83" s="59" t="str">
        <f t="shared" si="11"/>
        <v>00</v>
      </c>
      <c r="AN83" s="59" t="str">
        <f t="shared" si="12"/>
        <v>00</v>
      </c>
      <c r="AO83" s="59" t="str">
        <f t="shared" si="13"/>
        <v>00</v>
      </c>
      <c r="AQ83" t="str">
        <f t="shared" si="8"/>
        <v/>
      </c>
    </row>
    <row r="84" spans="2:43">
      <c r="B84" s="131"/>
      <c r="C84" s="44">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4" t="str">
        <f t="shared" si="7"/>
        <v/>
      </c>
      <c r="AK84" s="57"/>
      <c r="AL84" s="57" t="str">
        <f t="shared" si="10"/>
        <v>00</v>
      </c>
      <c r="AM84" s="59" t="str">
        <f t="shared" si="11"/>
        <v>00</v>
      </c>
      <c r="AN84" s="59" t="str">
        <f t="shared" si="12"/>
        <v>00</v>
      </c>
      <c r="AO84" s="59" t="str">
        <f t="shared" si="13"/>
        <v>00</v>
      </c>
      <c r="AQ84" t="str">
        <f t="shared" si="8"/>
        <v/>
      </c>
    </row>
    <row r="85" spans="2:43">
      <c r="B85" s="131"/>
      <c r="C85" s="44">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4" t="str">
        <f t="shared" si="7"/>
        <v/>
      </c>
      <c r="AK85" s="57"/>
      <c r="AL85" s="57" t="str">
        <f t="shared" si="10"/>
        <v>00</v>
      </c>
      <c r="AM85" s="59" t="str">
        <f t="shared" si="11"/>
        <v>00</v>
      </c>
      <c r="AN85" s="59" t="str">
        <f t="shared" si="12"/>
        <v>00</v>
      </c>
      <c r="AO85" s="59" t="str">
        <f t="shared" si="13"/>
        <v>00</v>
      </c>
      <c r="AQ85" t="str">
        <f t="shared" si="8"/>
        <v/>
      </c>
    </row>
    <row r="86" spans="2:43">
      <c r="B86" s="131"/>
      <c r="C86" s="44">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4" t="str">
        <f t="shared" si="7"/>
        <v/>
      </c>
      <c r="AK86" s="57"/>
      <c r="AL86" s="57" t="str">
        <f t="shared" si="10"/>
        <v>00</v>
      </c>
      <c r="AM86" s="59" t="str">
        <f t="shared" si="11"/>
        <v>00</v>
      </c>
      <c r="AN86" s="59" t="str">
        <f t="shared" si="12"/>
        <v>00</v>
      </c>
      <c r="AO86" s="59" t="str">
        <f t="shared" si="13"/>
        <v>00</v>
      </c>
      <c r="AQ86" t="str">
        <f t="shared" si="8"/>
        <v/>
      </c>
    </row>
    <row r="87" spans="2:43">
      <c r="B87" s="131"/>
      <c r="C87" s="44">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4" t="str">
        <f t="shared" si="7"/>
        <v/>
      </c>
      <c r="AK87" s="57"/>
      <c r="AL87" s="57" t="str">
        <f t="shared" si="10"/>
        <v>00</v>
      </c>
      <c r="AM87" s="59" t="str">
        <f t="shared" si="11"/>
        <v>00</v>
      </c>
      <c r="AN87" s="59" t="str">
        <f t="shared" si="12"/>
        <v>00</v>
      </c>
      <c r="AO87" s="59" t="str">
        <f t="shared" si="13"/>
        <v>00</v>
      </c>
      <c r="AQ87" t="str">
        <f t="shared" si="8"/>
        <v/>
      </c>
    </row>
    <row r="88" spans="2:43">
      <c r="B88" s="131"/>
      <c r="C88" s="44">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4" t="str">
        <f t="shared" si="7"/>
        <v/>
      </c>
      <c r="AK88" s="57"/>
      <c r="AL88" s="57" t="str">
        <f t="shared" si="10"/>
        <v>00</v>
      </c>
      <c r="AM88" s="59" t="str">
        <f t="shared" si="11"/>
        <v>00</v>
      </c>
      <c r="AN88" s="59" t="str">
        <f t="shared" si="12"/>
        <v>00</v>
      </c>
      <c r="AO88" s="59" t="str">
        <f t="shared" si="13"/>
        <v>00</v>
      </c>
      <c r="AQ88" t="str">
        <f t="shared" si="8"/>
        <v/>
      </c>
    </row>
    <row r="89" spans="2:43">
      <c r="B89" s="131"/>
      <c r="C89" s="44">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4" t="str">
        <f t="shared" si="7"/>
        <v/>
      </c>
      <c r="AK89" s="57"/>
      <c r="AL89" s="57" t="str">
        <f t="shared" si="10"/>
        <v>00</v>
      </c>
      <c r="AM89" s="59" t="str">
        <f t="shared" si="11"/>
        <v>00</v>
      </c>
      <c r="AN89" s="59" t="str">
        <f t="shared" si="12"/>
        <v>00</v>
      </c>
      <c r="AO89" s="59" t="str">
        <f t="shared" si="13"/>
        <v>00</v>
      </c>
      <c r="AQ89" t="str">
        <f t="shared" si="8"/>
        <v/>
      </c>
    </row>
    <row r="90" spans="2:43">
      <c r="B90" s="131"/>
      <c r="C90" s="44">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4" t="str">
        <f t="shared" si="7"/>
        <v/>
      </c>
      <c r="AK90" s="57"/>
      <c r="AL90" s="57" t="str">
        <f t="shared" si="10"/>
        <v>00</v>
      </c>
      <c r="AM90" s="59" t="str">
        <f t="shared" si="11"/>
        <v>00</v>
      </c>
      <c r="AN90" s="59" t="str">
        <f t="shared" si="12"/>
        <v>00</v>
      </c>
      <c r="AO90" s="59" t="str">
        <f t="shared" si="13"/>
        <v>00</v>
      </c>
      <c r="AQ90" t="str">
        <f t="shared" si="8"/>
        <v/>
      </c>
    </row>
    <row r="91" spans="2:43">
      <c r="B91" s="131"/>
      <c r="C91" s="44">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4" t="str">
        <f t="shared" si="7"/>
        <v/>
      </c>
      <c r="AK91" s="57"/>
      <c r="AL91" s="57" t="str">
        <f t="shared" si="10"/>
        <v>00</v>
      </c>
      <c r="AM91" s="59" t="str">
        <f t="shared" si="11"/>
        <v>00</v>
      </c>
      <c r="AN91" s="59" t="str">
        <f t="shared" si="12"/>
        <v>00</v>
      </c>
      <c r="AO91" s="59" t="str">
        <f t="shared" si="13"/>
        <v>00</v>
      </c>
      <c r="AQ91" t="str">
        <f t="shared" si="8"/>
        <v/>
      </c>
    </row>
    <row r="92" spans="2:43">
      <c r="B92" s="131"/>
      <c r="C92" s="44">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4" t="str">
        <f t="shared" si="7"/>
        <v/>
      </c>
      <c r="AK92" s="57"/>
      <c r="AL92" s="57" t="str">
        <f t="shared" si="10"/>
        <v>00</v>
      </c>
      <c r="AM92" s="59" t="str">
        <f t="shared" si="11"/>
        <v>00</v>
      </c>
      <c r="AN92" s="59" t="str">
        <f t="shared" si="12"/>
        <v>00</v>
      </c>
      <c r="AO92" s="59" t="str">
        <f t="shared" si="13"/>
        <v>00</v>
      </c>
      <c r="AQ92" t="str">
        <f t="shared" si="8"/>
        <v/>
      </c>
    </row>
    <row r="93" spans="2:43">
      <c r="B93" s="131"/>
      <c r="C93" s="44">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4" t="str">
        <f t="shared" si="7"/>
        <v/>
      </c>
      <c r="AK93" s="57"/>
      <c r="AL93" s="57" t="str">
        <f t="shared" si="10"/>
        <v>00</v>
      </c>
      <c r="AM93" s="59" t="str">
        <f t="shared" si="11"/>
        <v>00</v>
      </c>
      <c r="AN93" s="59" t="str">
        <f t="shared" si="12"/>
        <v>00</v>
      </c>
      <c r="AO93" s="59" t="str">
        <f t="shared" si="13"/>
        <v>00</v>
      </c>
      <c r="AQ93" t="str">
        <f t="shared" si="8"/>
        <v/>
      </c>
    </row>
    <row r="94" spans="2:43">
      <c r="B94" s="131"/>
      <c r="C94" s="44">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4" t="str">
        <f t="shared" si="7"/>
        <v/>
      </c>
      <c r="AK94" s="57"/>
      <c r="AL94" s="57" t="str">
        <f t="shared" si="10"/>
        <v>00</v>
      </c>
      <c r="AM94" s="59" t="str">
        <f t="shared" si="11"/>
        <v>00</v>
      </c>
      <c r="AN94" s="59" t="str">
        <f t="shared" si="12"/>
        <v>00</v>
      </c>
      <c r="AO94" s="59" t="str">
        <f t="shared" si="13"/>
        <v>00</v>
      </c>
      <c r="AQ94" t="str">
        <f t="shared" si="8"/>
        <v/>
      </c>
    </row>
    <row r="95" spans="2:43">
      <c r="B95" s="131"/>
      <c r="C95" s="44">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4" t="str">
        <f t="shared" si="7"/>
        <v/>
      </c>
      <c r="AK95" s="57"/>
      <c r="AL95" s="57" t="str">
        <f t="shared" si="10"/>
        <v>00</v>
      </c>
      <c r="AM95" s="59" t="str">
        <f t="shared" si="11"/>
        <v>00</v>
      </c>
      <c r="AN95" s="59" t="str">
        <f t="shared" si="12"/>
        <v>00</v>
      </c>
      <c r="AO95" s="59" t="str">
        <f t="shared" si="13"/>
        <v>00</v>
      </c>
      <c r="AQ95" t="str">
        <f t="shared" si="8"/>
        <v/>
      </c>
    </row>
    <row r="96" spans="2:43">
      <c r="B96" s="131"/>
      <c r="C96" s="44">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4" t="str">
        <f t="shared" si="7"/>
        <v/>
      </c>
      <c r="AK96" s="57"/>
      <c r="AL96" s="57" t="str">
        <f t="shared" si="10"/>
        <v>00</v>
      </c>
      <c r="AM96" s="59" t="str">
        <f t="shared" si="11"/>
        <v>00</v>
      </c>
      <c r="AN96" s="59" t="str">
        <f t="shared" si="12"/>
        <v>00</v>
      </c>
      <c r="AO96" s="59" t="str">
        <f t="shared" si="13"/>
        <v>00</v>
      </c>
      <c r="AQ96" t="str">
        <f t="shared" si="8"/>
        <v/>
      </c>
    </row>
    <row r="97" spans="2:43">
      <c r="B97" s="131"/>
      <c r="C97" s="44">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4" t="str">
        <f t="shared" si="7"/>
        <v/>
      </c>
      <c r="AK97" s="57"/>
      <c r="AL97" s="57" t="str">
        <f t="shared" si="10"/>
        <v>00</v>
      </c>
      <c r="AM97" s="59" t="str">
        <f t="shared" si="11"/>
        <v>00</v>
      </c>
      <c r="AN97" s="59" t="str">
        <f t="shared" si="12"/>
        <v>00</v>
      </c>
      <c r="AO97" s="59" t="str">
        <f t="shared" si="13"/>
        <v>00</v>
      </c>
      <c r="AQ97" t="str">
        <f t="shared" si="8"/>
        <v/>
      </c>
    </row>
    <row r="98" spans="2:43">
      <c r="B98" s="131"/>
      <c r="C98" s="44">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4" t="str">
        <f t="shared" si="7"/>
        <v/>
      </c>
      <c r="AK98" s="57"/>
      <c r="AL98" s="57" t="str">
        <f t="shared" si="10"/>
        <v>00</v>
      </c>
      <c r="AM98" s="59" t="str">
        <f t="shared" si="11"/>
        <v>00</v>
      </c>
      <c r="AN98" s="59" t="str">
        <f t="shared" si="12"/>
        <v>00</v>
      </c>
      <c r="AO98" s="59" t="str">
        <f t="shared" si="13"/>
        <v>00</v>
      </c>
      <c r="AQ98" t="str">
        <f t="shared" si="8"/>
        <v/>
      </c>
    </row>
    <row r="99" spans="2:43">
      <c r="B99" s="131"/>
      <c r="C99" s="44">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4" t="str">
        <f t="shared" si="7"/>
        <v/>
      </c>
      <c r="AK99" s="57"/>
      <c r="AL99" s="57" t="str">
        <f t="shared" si="10"/>
        <v>00</v>
      </c>
      <c r="AM99" s="59" t="str">
        <f t="shared" si="11"/>
        <v>00</v>
      </c>
      <c r="AN99" s="59" t="str">
        <f t="shared" si="12"/>
        <v>00</v>
      </c>
      <c r="AO99" s="59" t="str">
        <f t="shared" si="13"/>
        <v>00</v>
      </c>
      <c r="AQ99" t="str">
        <f t="shared" si="8"/>
        <v/>
      </c>
    </row>
    <row r="100" spans="2:43">
      <c r="B100" s="131"/>
      <c r="C100" s="44">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4" t="str">
        <f t="shared" si="7"/>
        <v/>
      </c>
      <c r="AK100" s="57"/>
      <c r="AL100" s="57" t="str">
        <f t="shared" si="10"/>
        <v>00</v>
      </c>
      <c r="AM100" s="59" t="str">
        <f t="shared" si="11"/>
        <v>00</v>
      </c>
      <c r="AN100" s="59" t="str">
        <f t="shared" si="12"/>
        <v>00</v>
      </c>
      <c r="AO100" s="59" t="str">
        <f t="shared" si="13"/>
        <v>00</v>
      </c>
      <c r="AQ100" t="str">
        <f t="shared" si="8"/>
        <v/>
      </c>
    </row>
    <row r="101" spans="2:43">
      <c r="B101" s="131"/>
      <c r="C101" s="44">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4" t="str">
        <f t="shared" si="7"/>
        <v/>
      </c>
      <c r="AK101" s="57"/>
      <c r="AL101" s="57" t="str">
        <f t="shared" si="10"/>
        <v>00</v>
      </c>
      <c r="AM101" s="59" t="str">
        <f t="shared" si="11"/>
        <v>00</v>
      </c>
      <c r="AN101" s="59" t="str">
        <f t="shared" si="12"/>
        <v>00</v>
      </c>
      <c r="AO101" s="59" t="str">
        <f t="shared" si="13"/>
        <v>00</v>
      </c>
      <c r="AQ101" t="str">
        <f t="shared" si="8"/>
        <v/>
      </c>
    </row>
    <row r="102" spans="2:43">
      <c r="B102" s="131"/>
      <c r="C102" s="44">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4" t="str">
        <f t="shared" si="7"/>
        <v/>
      </c>
      <c r="AK102" s="57"/>
      <c r="AL102" s="57" t="str">
        <f t="shared" si="10"/>
        <v>00</v>
      </c>
      <c r="AM102" s="59" t="str">
        <f t="shared" si="11"/>
        <v>00</v>
      </c>
      <c r="AN102" s="59" t="str">
        <f t="shared" si="12"/>
        <v>00</v>
      </c>
      <c r="AO102" s="59" t="str">
        <f t="shared" si="13"/>
        <v>00</v>
      </c>
      <c r="AQ102" t="str">
        <f t="shared" si="8"/>
        <v/>
      </c>
    </row>
    <row r="103" spans="2:43">
      <c r="B103" s="131"/>
      <c r="C103" s="44">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1"/>
      <c r="C104" s="44">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1"/>
      <c r="C105" s="44">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1"/>
      <c r="C106" s="44">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1"/>
      <c r="C107" s="44">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1"/>
      <c r="C108" s="44">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1"/>
      <c r="C109" s="44">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1"/>
      <c r="C110" s="44">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1"/>
      <c r="C111" s="44">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1"/>
      <c r="C112" s="44">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1"/>
      <c r="C113" s="44">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1"/>
      <c r="C114" s="44">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1"/>
      <c r="C115" s="44">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1"/>
      <c r="C116" s="44">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1"/>
      <c r="C117" s="44">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1"/>
      <c r="C118" s="44">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1"/>
      <c r="C119" s="44">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1"/>
      <c r="C120" s="44">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1"/>
      <c r="C121" s="44">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1"/>
      <c r="C122" s="44">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1"/>
      <c r="C123" s="44">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1"/>
      <c r="C124" s="44">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1"/>
      <c r="C125" s="44">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1"/>
      <c r="C126" s="44">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1"/>
      <c r="C127" s="44">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1"/>
      <c r="C128" s="44">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1"/>
      <c r="C129" s="44">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1"/>
      <c r="C130" s="44">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1"/>
      <c r="C131" s="44">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1"/>
      <c r="C132" s="44">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1"/>
      <c r="C133" s="44">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2"/>
      <c r="C134" s="44">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70</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3" t="str">
        <f ca="1">IF(B6&lt;&gt;"",B6,"")</f>
        <v>Table BC_DOT</v>
      </c>
      <c r="C136" s="44">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1</v>
      </c>
      <c r="AH136" s="123">
        <f t="shared" si="29"/>
        <v>1</v>
      </c>
      <c r="AI136" s="123">
        <f t="shared" si="29"/>
        <v>1</v>
      </c>
      <c r="AJ136" s="44" t="str">
        <f t="shared" ref="AJ136:AJ199" si="30">IF(AJ6&lt;&gt;"",AJ6,"")</f>
        <v>UNKNOWN</v>
      </c>
      <c r="AK136" s="57"/>
      <c r="AL136" s="57"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1"/>
      <c r="C137" s="44">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1</v>
      </c>
      <c r="AH137" s="123">
        <f t="shared" si="29"/>
        <v>1</v>
      </c>
      <c r="AI137" s="123">
        <f t="shared" si="29"/>
        <v>1</v>
      </c>
      <c r="AJ137" s="44" t="str">
        <f t="shared" si="30"/>
        <v>DOHREQ</v>
      </c>
      <c r="AK137" s="57"/>
      <c r="AL137" s="57"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DOHREQ                                          */</v>
      </c>
    </row>
    <row r="138" spans="1:43">
      <c r="B138" s="131"/>
      <c r="C138" s="44">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1</v>
      </c>
      <c r="AH138" s="123">
        <f t="shared" si="29"/>
        <v>1</v>
      </c>
      <c r="AI138" s="123">
        <f t="shared" si="29"/>
        <v>1</v>
      </c>
      <c r="AJ138" s="44" t="str">
        <f t="shared" si="30"/>
        <v>UNKNOWN</v>
      </c>
      <c r="AK138" s="57"/>
      <c r="AL138" s="57" t="str">
        <f t="shared" si="33"/>
        <v>07</v>
      </c>
      <c r="AM138" s="59" t="str">
        <f t="shared" si="34"/>
        <v>00</v>
      </c>
      <c r="AN138" s="59" t="str">
        <f t="shared" si="35"/>
        <v>00</v>
      </c>
      <c r="AO138" s="59" t="str">
        <f t="shared" si="36"/>
        <v>00</v>
      </c>
      <c r="AQ138" t="str">
        <f t="shared" si="31"/>
        <v xml:space="preserve">    (U4)0x00000007U,                                                           /* 02 UNKNOWN                                         */</v>
      </c>
    </row>
    <row r="139" spans="1:43">
      <c r="B139" s="131"/>
      <c r="C139" s="44">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1</v>
      </c>
      <c r="AH139" s="123">
        <f t="shared" si="29"/>
        <v>1</v>
      </c>
      <c r="AI139" s="123">
        <f t="shared" si="29"/>
        <v>1</v>
      </c>
      <c r="AJ139" s="44" t="str">
        <f t="shared" si="30"/>
        <v>UNKNOWN</v>
      </c>
      <c r="AK139" s="57"/>
      <c r="AL139" s="57" t="str">
        <f t="shared" si="33"/>
        <v>07</v>
      </c>
      <c r="AM139" s="59" t="str">
        <f t="shared" si="34"/>
        <v>00</v>
      </c>
      <c r="AN139" s="59" t="str">
        <f t="shared" si="35"/>
        <v>00</v>
      </c>
      <c r="AO139" s="59" t="str">
        <f t="shared" si="36"/>
        <v>00</v>
      </c>
      <c r="AQ139" t="str">
        <f t="shared" si="31"/>
        <v xml:space="preserve">    (U4)0x00000007U,                                                           /* 03 UNKNOWN                                         */</v>
      </c>
    </row>
    <row r="140" spans="1:43">
      <c r="B140" s="131"/>
      <c r="C140" s="44">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1</v>
      </c>
      <c r="AH140" s="123">
        <f t="shared" si="29"/>
        <v>1</v>
      </c>
      <c r="AI140" s="123">
        <f t="shared" si="29"/>
        <v>1</v>
      </c>
      <c r="AJ140" s="44" t="str">
        <f t="shared" si="30"/>
        <v>UNKNOWN</v>
      </c>
      <c r="AK140" s="57"/>
      <c r="AL140" s="57" t="str">
        <f t="shared" si="33"/>
        <v>07</v>
      </c>
      <c r="AM140" s="59" t="str">
        <f t="shared" si="34"/>
        <v>00</v>
      </c>
      <c r="AN140" s="59" t="str">
        <f t="shared" si="35"/>
        <v>00</v>
      </c>
      <c r="AO140" s="59" t="str">
        <f t="shared" si="36"/>
        <v>00</v>
      </c>
      <c r="AQ140" t="str">
        <f t="shared" si="31"/>
        <v xml:space="preserve">    (U4)0x00000007U,                                                           /* 04 UNKNOWN                                         */</v>
      </c>
    </row>
    <row r="141" spans="1:43">
      <c r="B141" s="131"/>
      <c r="C141" s="44">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1</v>
      </c>
      <c r="AH141" s="123">
        <f t="shared" si="29"/>
        <v>1</v>
      </c>
      <c r="AI141" s="123">
        <f t="shared" si="29"/>
        <v>1</v>
      </c>
      <c r="AJ141" s="44" t="str">
        <f t="shared" si="30"/>
        <v>UNKNOWN</v>
      </c>
      <c r="AK141" s="57"/>
      <c r="AL141" s="57" t="str">
        <f t="shared" si="33"/>
        <v>07</v>
      </c>
      <c r="AM141" s="59" t="str">
        <f t="shared" si="34"/>
        <v>00</v>
      </c>
      <c r="AN141" s="59" t="str">
        <f t="shared" si="35"/>
        <v>00</v>
      </c>
      <c r="AO141" s="59" t="str">
        <f t="shared" si="36"/>
        <v>00</v>
      </c>
      <c r="AQ141" t="str">
        <f t="shared" si="31"/>
        <v xml:space="preserve">    (U4)0x00000007U,                                                           /* 05 UNKNOWN                                         */</v>
      </c>
    </row>
    <row r="142" spans="1:43">
      <c r="B142" s="131"/>
      <c r="C142" s="44">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1</v>
      </c>
      <c r="AH142" s="123">
        <f t="shared" si="29"/>
        <v>1</v>
      </c>
      <c r="AI142" s="123">
        <f t="shared" si="29"/>
        <v>1</v>
      </c>
      <c r="AJ142" s="44" t="str">
        <f t="shared" si="30"/>
        <v>UNKNOWN</v>
      </c>
      <c r="AK142" s="57"/>
      <c r="AL142" s="57" t="str">
        <f t="shared" si="33"/>
        <v>07</v>
      </c>
      <c r="AM142" s="59" t="str">
        <f t="shared" si="34"/>
        <v>00</v>
      </c>
      <c r="AN142" s="59" t="str">
        <f t="shared" si="35"/>
        <v>00</v>
      </c>
      <c r="AO142" s="59" t="str">
        <f t="shared" si="36"/>
        <v>00</v>
      </c>
      <c r="AQ142" t="str">
        <f t="shared" si="31"/>
        <v xml:space="preserve">    (U4)0x00000007U,                                                           /* 06 UNKNOWN                                         */</v>
      </c>
    </row>
    <row r="143" spans="1:43">
      <c r="B143" s="131"/>
      <c r="C143" s="44">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1</v>
      </c>
      <c r="AH143" s="123">
        <f t="shared" si="29"/>
        <v>1</v>
      </c>
      <c r="AI143" s="123">
        <f t="shared" ref="AI143" si="37">IF(OR(AI13=0,AI13=1),1,0)</f>
        <v>1</v>
      </c>
      <c r="AJ143" s="44" t="str">
        <f t="shared" si="30"/>
        <v>UNKNOWN</v>
      </c>
      <c r="AK143" s="57"/>
      <c r="AL143" s="57" t="str">
        <f t="shared" si="33"/>
        <v>07</v>
      </c>
      <c r="AM143" s="59" t="str">
        <f t="shared" si="34"/>
        <v>00</v>
      </c>
      <c r="AN143" s="59" t="str">
        <f t="shared" si="35"/>
        <v>00</v>
      </c>
      <c r="AO143" s="59" t="str">
        <f t="shared" si="36"/>
        <v>00</v>
      </c>
      <c r="AQ143" t="str">
        <f t="shared" si="31"/>
        <v xml:space="preserve">    (U4)0x00000007U                                                            /* 07 UNKNOWN                                         */</v>
      </c>
    </row>
    <row r="144" spans="1:43">
      <c r="B144" s="131"/>
      <c r="C144" s="44">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4" t="str">
        <f t="shared" si="30"/>
        <v/>
      </c>
      <c r="AK144" s="57"/>
      <c r="AL144" s="57" t="str">
        <f t="shared" si="33"/>
        <v>00</v>
      </c>
      <c r="AM144" s="59" t="str">
        <f t="shared" si="34"/>
        <v>00</v>
      </c>
      <c r="AN144" s="59" t="str">
        <f t="shared" si="35"/>
        <v>00</v>
      </c>
      <c r="AO144" s="59" t="str">
        <f t="shared" si="36"/>
        <v>00</v>
      </c>
      <c r="AQ144" t="str">
        <f t="shared" si="31"/>
        <v/>
      </c>
    </row>
    <row r="145" spans="2:43">
      <c r="B145" s="131"/>
      <c r="C145" s="44">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4" t="str">
        <f t="shared" si="30"/>
        <v/>
      </c>
      <c r="AK145" s="57"/>
      <c r="AL145" s="57" t="str">
        <f t="shared" si="33"/>
        <v>00</v>
      </c>
      <c r="AM145" s="59" t="str">
        <f t="shared" si="34"/>
        <v>00</v>
      </c>
      <c r="AN145" s="59" t="str">
        <f t="shared" si="35"/>
        <v>00</v>
      </c>
      <c r="AO145" s="59" t="str">
        <f t="shared" si="36"/>
        <v>00</v>
      </c>
      <c r="AQ145" t="str">
        <f t="shared" si="31"/>
        <v/>
      </c>
    </row>
    <row r="146" spans="2:43">
      <c r="B146" s="131"/>
      <c r="C146" s="44">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4" t="str">
        <f t="shared" si="30"/>
        <v/>
      </c>
      <c r="AK146" s="57"/>
      <c r="AL146" s="57" t="str">
        <f t="shared" si="33"/>
        <v>00</v>
      </c>
      <c r="AM146" s="59" t="str">
        <f t="shared" si="34"/>
        <v>00</v>
      </c>
      <c r="AN146" s="59" t="str">
        <f t="shared" si="35"/>
        <v>00</v>
      </c>
      <c r="AO146" s="59" t="str">
        <f t="shared" si="36"/>
        <v>00</v>
      </c>
      <c r="AQ146" t="str">
        <f t="shared" si="31"/>
        <v/>
      </c>
    </row>
    <row r="147" spans="2:43">
      <c r="B147" s="131"/>
      <c r="C147" s="44">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4" t="str">
        <f t="shared" si="30"/>
        <v/>
      </c>
      <c r="AK147" s="57"/>
      <c r="AL147" s="57" t="str">
        <f t="shared" si="33"/>
        <v>00</v>
      </c>
      <c r="AM147" s="59" t="str">
        <f t="shared" si="34"/>
        <v>00</v>
      </c>
      <c r="AN147" s="59" t="str">
        <f t="shared" si="35"/>
        <v>00</v>
      </c>
      <c r="AO147" s="59" t="str">
        <f t="shared" si="36"/>
        <v>00</v>
      </c>
      <c r="AQ147" t="str">
        <f t="shared" si="31"/>
        <v/>
      </c>
    </row>
    <row r="148" spans="2:43">
      <c r="B148" s="131"/>
      <c r="C148" s="44">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4" t="str">
        <f t="shared" si="30"/>
        <v/>
      </c>
      <c r="AK148" s="57"/>
      <c r="AL148" s="57" t="str">
        <f t="shared" si="33"/>
        <v>00</v>
      </c>
      <c r="AM148" s="59" t="str">
        <f t="shared" si="34"/>
        <v>00</v>
      </c>
      <c r="AN148" s="59" t="str">
        <f t="shared" si="35"/>
        <v>00</v>
      </c>
      <c r="AO148" s="59" t="str">
        <f t="shared" si="36"/>
        <v>00</v>
      </c>
      <c r="AQ148" t="str">
        <f t="shared" si="31"/>
        <v/>
      </c>
    </row>
    <row r="149" spans="2:43">
      <c r="B149" s="131"/>
      <c r="C149" s="44">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4" t="str">
        <f t="shared" si="30"/>
        <v/>
      </c>
      <c r="AK149" s="57"/>
      <c r="AL149" s="57" t="str">
        <f t="shared" si="33"/>
        <v>00</v>
      </c>
      <c r="AM149" s="59" t="str">
        <f t="shared" si="34"/>
        <v>00</v>
      </c>
      <c r="AN149" s="59" t="str">
        <f t="shared" si="35"/>
        <v>00</v>
      </c>
      <c r="AO149" s="59" t="str">
        <f t="shared" si="36"/>
        <v>00</v>
      </c>
      <c r="AQ149" t="str">
        <f t="shared" si="31"/>
        <v/>
      </c>
    </row>
    <row r="150" spans="2:43">
      <c r="B150" s="131"/>
      <c r="C150" s="44">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4" t="str">
        <f t="shared" si="30"/>
        <v/>
      </c>
      <c r="AK150" s="57"/>
      <c r="AL150" s="57" t="str">
        <f t="shared" si="33"/>
        <v>00</v>
      </c>
      <c r="AM150" s="59" t="str">
        <f t="shared" si="34"/>
        <v>00</v>
      </c>
      <c r="AN150" s="59" t="str">
        <f t="shared" si="35"/>
        <v>00</v>
      </c>
      <c r="AO150" s="59" t="str">
        <f t="shared" si="36"/>
        <v>00</v>
      </c>
      <c r="AQ150" t="str">
        <f t="shared" si="31"/>
        <v/>
      </c>
    </row>
    <row r="151" spans="2:43">
      <c r="B151" s="131"/>
      <c r="C151" s="44">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4" t="str">
        <f t="shared" si="30"/>
        <v/>
      </c>
      <c r="AK151" s="57"/>
      <c r="AL151" s="57" t="str">
        <f t="shared" si="33"/>
        <v>00</v>
      </c>
      <c r="AM151" s="59" t="str">
        <f t="shared" si="34"/>
        <v>00</v>
      </c>
      <c r="AN151" s="59" t="str">
        <f t="shared" si="35"/>
        <v>00</v>
      </c>
      <c r="AO151" s="59" t="str">
        <f t="shared" si="36"/>
        <v>00</v>
      </c>
      <c r="AQ151" t="str">
        <f t="shared" si="31"/>
        <v/>
      </c>
    </row>
    <row r="152" spans="2:43">
      <c r="B152" s="131"/>
      <c r="C152" s="44">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4" t="str">
        <f t="shared" si="30"/>
        <v/>
      </c>
      <c r="AK152" s="57"/>
      <c r="AL152" s="57" t="str">
        <f t="shared" si="33"/>
        <v>00</v>
      </c>
      <c r="AM152" s="59" t="str">
        <f t="shared" si="34"/>
        <v>00</v>
      </c>
      <c r="AN152" s="59" t="str">
        <f t="shared" si="35"/>
        <v>00</v>
      </c>
      <c r="AO152" s="59" t="str">
        <f t="shared" si="36"/>
        <v>00</v>
      </c>
      <c r="AQ152" t="str">
        <f t="shared" si="31"/>
        <v/>
      </c>
    </row>
    <row r="153" spans="2:43">
      <c r="B153" s="131"/>
      <c r="C153" s="44">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4" t="str">
        <f t="shared" si="30"/>
        <v/>
      </c>
      <c r="AK153" s="57"/>
      <c r="AL153" s="57" t="str">
        <f t="shared" si="33"/>
        <v>00</v>
      </c>
      <c r="AM153" s="59" t="str">
        <f t="shared" si="34"/>
        <v>00</v>
      </c>
      <c r="AN153" s="59" t="str">
        <f t="shared" si="35"/>
        <v>00</v>
      </c>
      <c r="AO153" s="59" t="str">
        <f t="shared" si="36"/>
        <v>00</v>
      </c>
      <c r="AQ153" t="str">
        <f t="shared" si="31"/>
        <v/>
      </c>
    </row>
    <row r="154" spans="2:43">
      <c r="B154" s="131"/>
      <c r="C154" s="44">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4" t="str">
        <f t="shared" si="30"/>
        <v/>
      </c>
      <c r="AK154" s="57"/>
      <c r="AL154" s="57" t="str">
        <f t="shared" si="33"/>
        <v>00</v>
      </c>
      <c r="AM154" s="59" t="str">
        <f t="shared" si="34"/>
        <v>00</v>
      </c>
      <c r="AN154" s="59" t="str">
        <f t="shared" si="35"/>
        <v>00</v>
      </c>
      <c r="AO154" s="59" t="str">
        <f t="shared" si="36"/>
        <v>00</v>
      </c>
      <c r="AQ154" t="str">
        <f t="shared" si="31"/>
        <v/>
      </c>
    </row>
    <row r="155" spans="2:43">
      <c r="B155" s="131"/>
      <c r="C155" s="44">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4" t="str">
        <f t="shared" si="30"/>
        <v/>
      </c>
      <c r="AK155" s="57"/>
      <c r="AL155" s="57" t="str">
        <f t="shared" si="33"/>
        <v>00</v>
      </c>
      <c r="AM155" s="59" t="str">
        <f t="shared" si="34"/>
        <v>00</v>
      </c>
      <c r="AN155" s="59" t="str">
        <f t="shared" si="35"/>
        <v>00</v>
      </c>
      <c r="AO155" s="59" t="str">
        <f t="shared" si="36"/>
        <v>00</v>
      </c>
      <c r="AQ155" t="str">
        <f t="shared" si="31"/>
        <v/>
      </c>
    </row>
    <row r="156" spans="2:43">
      <c r="B156" s="131"/>
      <c r="C156" s="44">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4" t="str">
        <f t="shared" si="30"/>
        <v/>
      </c>
      <c r="AK156" s="57"/>
      <c r="AL156" s="57" t="str">
        <f t="shared" si="33"/>
        <v>00</v>
      </c>
      <c r="AM156" s="59" t="str">
        <f t="shared" si="34"/>
        <v>00</v>
      </c>
      <c r="AN156" s="59" t="str">
        <f t="shared" si="35"/>
        <v>00</v>
      </c>
      <c r="AO156" s="59" t="str">
        <f t="shared" si="36"/>
        <v>00</v>
      </c>
      <c r="AQ156" t="str">
        <f t="shared" si="31"/>
        <v/>
      </c>
    </row>
    <row r="157" spans="2:43">
      <c r="B157" s="131"/>
      <c r="C157" s="44">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4" t="str">
        <f t="shared" si="30"/>
        <v/>
      </c>
      <c r="AK157" s="57"/>
      <c r="AL157" s="57" t="str">
        <f t="shared" si="33"/>
        <v>00</v>
      </c>
      <c r="AM157" s="59" t="str">
        <f t="shared" si="34"/>
        <v>00</v>
      </c>
      <c r="AN157" s="59" t="str">
        <f t="shared" si="35"/>
        <v>00</v>
      </c>
      <c r="AO157" s="59" t="str">
        <f t="shared" si="36"/>
        <v>00</v>
      </c>
      <c r="AQ157" t="str">
        <f t="shared" si="31"/>
        <v/>
      </c>
    </row>
    <row r="158" spans="2:43">
      <c r="B158" s="131"/>
      <c r="C158" s="44">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4" t="str">
        <f t="shared" si="30"/>
        <v/>
      </c>
      <c r="AK158" s="57"/>
      <c r="AL158" s="57" t="str">
        <f t="shared" si="33"/>
        <v>00</v>
      </c>
      <c r="AM158" s="59" t="str">
        <f t="shared" si="34"/>
        <v>00</v>
      </c>
      <c r="AN158" s="59" t="str">
        <f t="shared" si="35"/>
        <v>00</v>
      </c>
      <c r="AO158" s="59" t="str">
        <f t="shared" si="36"/>
        <v>00</v>
      </c>
      <c r="AQ158" t="str">
        <f t="shared" si="31"/>
        <v/>
      </c>
    </row>
    <row r="159" spans="2:43">
      <c r="B159" s="131"/>
      <c r="C159" s="44">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4" t="str">
        <f t="shared" si="30"/>
        <v/>
      </c>
      <c r="AK159" s="57"/>
      <c r="AL159" s="57" t="str">
        <f t="shared" si="33"/>
        <v>00</v>
      </c>
      <c r="AM159" s="59" t="str">
        <f t="shared" si="34"/>
        <v>00</v>
      </c>
      <c r="AN159" s="59" t="str">
        <f t="shared" si="35"/>
        <v>00</v>
      </c>
      <c r="AO159" s="59" t="str">
        <f t="shared" si="36"/>
        <v>00</v>
      </c>
      <c r="AQ159" t="str">
        <f t="shared" si="31"/>
        <v/>
      </c>
    </row>
    <row r="160" spans="2:43">
      <c r="B160" s="131"/>
      <c r="C160" s="44">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4" t="str">
        <f t="shared" si="30"/>
        <v/>
      </c>
      <c r="AK160" s="57"/>
      <c r="AL160" s="57" t="str">
        <f t="shared" si="33"/>
        <v>00</v>
      </c>
      <c r="AM160" s="59" t="str">
        <f t="shared" si="34"/>
        <v>00</v>
      </c>
      <c r="AN160" s="59" t="str">
        <f t="shared" si="35"/>
        <v>00</v>
      </c>
      <c r="AO160" s="59" t="str">
        <f t="shared" si="36"/>
        <v>00</v>
      </c>
      <c r="AQ160" t="str">
        <f t="shared" si="31"/>
        <v/>
      </c>
    </row>
    <row r="161" spans="2:43">
      <c r="B161" s="131"/>
      <c r="C161" s="44">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4" t="str">
        <f t="shared" si="30"/>
        <v/>
      </c>
      <c r="AK161" s="57"/>
      <c r="AL161" s="57" t="str">
        <f t="shared" si="33"/>
        <v>00</v>
      </c>
      <c r="AM161" s="59" t="str">
        <f t="shared" si="34"/>
        <v>00</v>
      </c>
      <c r="AN161" s="59" t="str">
        <f t="shared" si="35"/>
        <v>00</v>
      </c>
      <c r="AO161" s="59" t="str">
        <f t="shared" si="36"/>
        <v>00</v>
      </c>
      <c r="AQ161" t="str">
        <f t="shared" si="31"/>
        <v/>
      </c>
    </row>
    <row r="162" spans="2:43">
      <c r="B162" s="131"/>
      <c r="C162" s="44">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4" t="str">
        <f t="shared" si="30"/>
        <v/>
      </c>
      <c r="AK162" s="57"/>
      <c r="AL162" s="57" t="str">
        <f t="shared" si="33"/>
        <v>00</v>
      </c>
      <c r="AM162" s="59" t="str">
        <f t="shared" si="34"/>
        <v>00</v>
      </c>
      <c r="AN162" s="59" t="str">
        <f t="shared" si="35"/>
        <v>00</v>
      </c>
      <c r="AO162" s="59" t="str">
        <f t="shared" si="36"/>
        <v>00</v>
      </c>
      <c r="AQ162" t="str">
        <f t="shared" si="31"/>
        <v/>
      </c>
    </row>
    <row r="163" spans="2:43">
      <c r="B163" s="131"/>
      <c r="C163" s="44">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4" t="str">
        <f t="shared" si="30"/>
        <v/>
      </c>
      <c r="AK163" s="57"/>
      <c r="AL163" s="57" t="str">
        <f t="shared" si="33"/>
        <v>00</v>
      </c>
      <c r="AM163" s="59" t="str">
        <f t="shared" si="34"/>
        <v>00</v>
      </c>
      <c r="AN163" s="59" t="str">
        <f t="shared" si="35"/>
        <v>00</v>
      </c>
      <c r="AO163" s="59" t="str">
        <f t="shared" si="36"/>
        <v>00</v>
      </c>
      <c r="AQ163" t="str">
        <f t="shared" si="31"/>
        <v/>
      </c>
    </row>
    <row r="164" spans="2:43">
      <c r="B164" s="131"/>
      <c r="C164" s="44">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4" t="str">
        <f t="shared" si="30"/>
        <v/>
      </c>
      <c r="AK164" s="57"/>
      <c r="AL164" s="57" t="str">
        <f t="shared" si="33"/>
        <v>00</v>
      </c>
      <c r="AM164" s="59" t="str">
        <f t="shared" si="34"/>
        <v>00</v>
      </c>
      <c r="AN164" s="59" t="str">
        <f t="shared" si="35"/>
        <v>00</v>
      </c>
      <c r="AO164" s="59" t="str">
        <f t="shared" si="36"/>
        <v>00</v>
      </c>
      <c r="AQ164" t="str">
        <f t="shared" si="31"/>
        <v/>
      </c>
    </row>
    <row r="165" spans="2:43">
      <c r="B165" s="131"/>
      <c r="C165" s="44">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4" t="str">
        <f t="shared" si="30"/>
        <v/>
      </c>
      <c r="AK165" s="57"/>
      <c r="AL165" s="57" t="str">
        <f t="shared" si="33"/>
        <v>00</v>
      </c>
      <c r="AM165" s="59" t="str">
        <f t="shared" si="34"/>
        <v>00</v>
      </c>
      <c r="AN165" s="59" t="str">
        <f t="shared" si="35"/>
        <v>00</v>
      </c>
      <c r="AO165" s="59" t="str">
        <f t="shared" si="36"/>
        <v>00</v>
      </c>
      <c r="AQ165" t="str">
        <f t="shared" si="31"/>
        <v/>
      </c>
    </row>
    <row r="166" spans="2:43">
      <c r="B166" s="131"/>
      <c r="C166" s="44">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4" t="str">
        <f t="shared" si="30"/>
        <v/>
      </c>
      <c r="AK166" s="57"/>
      <c r="AL166" s="57" t="str">
        <f t="shared" si="33"/>
        <v>00</v>
      </c>
      <c r="AM166" s="59" t="str">
        <f t="shared" si="34"/>
        <v>00</v>
      </c>
      <c r="AN166" s="59" t="str">
        <f t="shared" si="35"/>
        <v>00</v>
      </c>
      <c r="AO166" s="59" t="str">
        <f t="shared" si="36"/>
        <v>00</v>
      </c>
      <c r="AQ166" t="str">
        <f t="shared" si="31"/>
        <v/>
      </c>
    </row>
    <row r="167" spans="2:43">
      <c r="B167" s="131"/>
      <c r="C167" s="44">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4" t="str">
        <f t="shared" si="30"/>
        <v/>
      </c>
      <c r="AK167" s="57"/>
      <c r="AL167" s="57" t="str">
        <f t="shared" si="33"/>
        <v>00</v>
      </c>
      <c r="AM167" s="59" t="str">
        <f t="shared" si="34"/>
        <v>00</v>
      </c>
      <c r="AN167" s="59" t="str">
        <f t="shared" si="35"/>
        <v>00</v>
      </c>
      <c r="AO167" s="59" t="str">
        <f t="shared" si="36"/>
        <v>00</v>
      </c>
      <c r="AQ167" t="str">
        <f t="shared" si="31"/>
        <v/>
      </c>
    </row>
    <row r="168" spans="2:43">
      <c r="B168" s="131"/>
      <c r="C168" s="44">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1"/>
      <c r="C169" s="44">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1"/>
      <c r="C170" s="44">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1"/>
      <c r="C171" s="44">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1"/>
      <c r="C172" s="44">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1"/>
      <c r="C173" s="44">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1"/>
      <c r="C174" s="44">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1"/>
      <c r="C175" s="44">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1"/>
      <c r="C176" s="44">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1"/>
      <c r="C177" s="44">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1"/>
      <c r="C178" s="44">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1"/>
      <c r="C179" s="44">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1"/>
      <c r="C180" s="44">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1"/>
      <c r="C181" s="44">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1"/>
      <c r="C182" s="44">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1"/>
      <c r="C183" s="44">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1"/>
      <c r="C184" s="44">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1"/>
      <c r="C185" s="44">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1"/>
      <c r="C186" s="44">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1"/>
      <c r="C187" s="44">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1"/>
      <c r="C188" s="44">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1"/>
      <c r="C189" s="44">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1"/>
      <c r="C190" s="44">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1"/>
      <c r="C191" s="44">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1"/>
      <c r="C192" s="44">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1"/>
      <c r="C193" s="44">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1"/>
      <c r="C194" s="44">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1"/>
      <c r="C195" s="44">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1"/>
      <c r="C196" s="44">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1"/>
      <c r="C197" s="44">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1"/>
      <c r="C198" s="44">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2"/>
      <c r="C199" s="44">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B3 L3:AF3 AI3 D6:AJ69" name="Table作成編集範囲"/>
    <protectedRange sqref="AG3:AH3" name="Table作成編集範囲_1"/>
  </protectedRanges>
  <dataConsolidate/>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M285"/>
  <sheetViews>
    <sheetView topLeftCell="Q166" zoomScale="40" zoomScaleNormal="40" workbookViewId="0">
      <selection activeCell="BR205" sqref="BR205"/>
    </sheetView>
  </sheetViews>
  <sheetFormatPr defaultRowHeight="13.5"/>
  <cols>
    <col min="2" max="2" width="35.375" bestFit="1" customWidth="1"/>
    <col min="3" max="10" width="3.375" customWidth="1"/>
    <col min="11" max="11" width="17" customWidth="1"/>
    <col min="12" max="12" width="32.125" customWidth="1"/>
    <col min="13" max="13" width="37.375" bestFit="1" customWidth="1"/>
    <col min="14" max="17" width="10.875" customWidth="1"/>
  </cols>
  <sheetData>
    <row r="2" spans="2:39" ht="15" thickBot="1">
      <c r="B2" s="28" t="s">
        <v>578</v>
      </c>
      <c r="T2" s="213" t="s">
        <v>253</v>
      </c>
      <c r="U2" s="213"/>
      <c r="V2" s="213"/>
      <c r="W2" s="213"/>
      <c r="X2" s="213"/>
      <c r="Y2" s="213"/>
      <c r="Z2" s="213"/>
      <c r="AA2" s="213"/>
      <c r="AB2" s="213"/>
      <c r="AC2" s="213"/>
      <c r="AD2" s="213"/>
      <c r="AE2" s="213"/>
      <c r="AF2" s="213"/>
      <c r="AG2" s="213"/>
      <c r="AH2" s="213"/>
      <c r="AI2" s="213"/>
      <c r="AJ2" s="213"/>
      <c r="AK2" s="213"/>
      <c r="AL2" s="213"/>
      <c r="AM2" s="213"/>
    </row>
    <row r="3" spans="2:39" ht="15" thickBot="1">
      <c r="B3" s="90" t="s">
        <v>171</v>
      </c>
      <c r="C3" s="303" t="s">
        <v>141</v>
      </c>
      <c r="D3" s="304"/>
      <c r="E3" s="304"/>
      <c r="F3" s="304"/>
      <c r="G3" s="304"/>
      <c r="H3" s="304"/>
      <c r="I3" s="304"/>
      <c r="J3" s="305"/>
      <c r="K3" s="172"/>
      <c r="L3" s="172"/>
      <c r="M3" s="175"/>
      <c r="N3" s="173"/>
      <c r="O3" s="173"/>
      <c r="P3" s="173"/>
      <c r="Q3" s="174"/>
    </row>
    <row r="4" spans="2:39" ht="14.25" thickBot="1">
      <c r="B4" s="224"/>
      <c r="C4" s="225" t="s">
        <v>173</v>
      </c>
      <c r="D4" s="225"/>
      <c r="E4" s="225"/>
      <c r="F4" s="225"/>
      <c r="G4" s="225"/>
      <c r="H4" s="225"/>
      <c r="I4" s="225"/>
      <c r="J4" s="225"/>
      <c r="K4" s="225"/>
      <c r="L4" s="225"/>
      <c r="M4" s="220" t="s">
        <v>164</v>
      </c>
      <c r="N4" s="226" t="s">
        <v>21</v>
      </c>
      <c r="O4" s="227"/>
      <c r="P4" s="227"/>
      <c r="Q4" s="228"/>
    </row>
    <row r="5" spans="2:39">
      <c r="B5" s="229" t="s">
        <v>22</v>
      </c>
      <c r="C5" s="300" t="s">
        <v>193</v>
      </c>
      <c r="D5" s="301"/>
      <c r="E5" s="301"/>
      <c r="F5" s="301"/>
      <c r="G5" s="301"/>
      <c r="H5" s="301"/>
      <c r="I5" s="301"/>
      <c r="J5" s="302"/>
      <c r="K5" s="230" t="s">
        <v>23</v>
      </c>
      <c r="L5" s="231"/>
      <c r="M5" s="221" t="s">
        <v>576</v>
      </c>
      <c r="N5" s="232" t="s">
        <v>24</v>
      </c>
      <c r="O5" s="233" t="s">
        <v>25</v>
      </c>
      <c r="P5" s="234" t="s">
        <v>26</v>
      </c>
      <c r="Q5" s="235" t="s">
        <v>27</v>
      </c>
    </row>
    <row r="6" spans="2:39">
      <c r="B6" s="67" t="s">
        <v>37</v>
      </c>
      <c r="C6" s="166" t="s">
        <v>185</v>
      </c>
      <c r="D6" s="166" t="s">
        <v>174</v>
      </c>
      <c r="E6" s="166" t="s">
        <v>185</v>
      </c>
      <c r="F6" s="166" t="s">
        <v>185</v>
      </c>
      <c r="G6" s="166" t="s">
        <v>185</v>
      </c>
      <c r="H6" s="166" t="s">
        <v>185</v>
      </c>
      <c r="I6" s="166" t="s">
        <v>185</v>
      </c>
      <c r="J6" s="166" t="s">
        <v>185</v>
      </c>
      <c r="K6" s="137" t="s">
        <v>108</v>
      </c>
      <c r="L6" s="137" t="s">
        <v>108</v>
      </c>
      <c r="M6" s="30" t="s">
        <v>53</v>
      </c>
      <c r="N6" s="214"/>
      <c r="O6" s="217"/>
      <c r="P6" s="219"/>
      <c r="Q6" s="218"/>
    </row>
    <row r="7" spans="2:39" ht="27">
      <c r="B7" s="68" t="s">
        <v>254</v>
      </c>
      <c r="C7" s="297" t="s">
        <v>175</v>
      </c>
      <c r="D7" s="298"/>
      <c r="E7" s="298"/>
      <c r="F7" s="298"/>
      <c r="G7" s="298"/>
      <c r="H7" s="298"/>
      <c r="I7" s="298"/>
      <c r="J7" s="299"/>
      <c r="K7" s="1" t="s">
        <v>252</v>
      </c>
      <c r="L7" s="1" t="s">
        <v>252</v>
      </c>
      <c r="M7" s="31"/>
      <c r="N7" s="214"/>
      <c r="O7" s="217"/>
      <c r="P7" s="219"/>
      <c r="Q7" s="218"/>
    </row>
    <row r="8" spans="2:39" ht="136.5">
      <c r="B8" s="67" t="s">
        <v>28</v>
      </c>
      <c r="C8" s="167" t="s">
        <v>176</v>
      </c>
      <c r="D8" s="167" t="s">
        <v>67</v>
      </c>
      <c r="E8" s="167" t="s">
        <v>177</v>
      </c>
      <c r="F8" s="167" t="s">
        <v>178</v>
      </c>
      <c r="G8" s="167" t="s">
        <v>179</v>
      </c>
      <c r="H8" s="167" t="s">
        <v>180</v>
      </c>
      <c r="I8" s="167" t="s">
        <v>181</v>
      </c>
      <c r="J8" s="167" t="s">
        <v>182</v>
      </c>
      <c r="K8" s="1" t="s">
        <v>255</v>
      </c>
      <c r="L8" s="1" t="s">
        <v>256</v>
      </c>
      <c r="M8" s="30" t="s">
        <v>29</v>
      </c>
      <c r="N8" s="214"/>
      <c r="O8" s="217"/>
      <c r="P8" s="219"/>
      <c r="Q8" s="218"/>
    </row>
    <row r="9" spans="2:39" ht="408.6" customHeight="1" thickBot="1">
      <c r="B9" s="69" t="s">
        <v>619</v>
      </c>
      <c r="C9" s="168" t="s">
        <v>184</v>
      </c>
      <c r="D9" s="168" t="s">
        <v>174</v>
      </c>
      <c r="E9" s="168" t="s">
        <v>184</v>
      </c>
      <c r="F9" s="168" t="s">
        <v>184</v>
      </c>
      <c r="G9" s="168" t="s">
        <v>184</v>
      </c>
      <c r="H9" s="168" t="s">
        <v>184</v>
      </c>
      <c r="I9" s="168" t="s">
        <v>184</v>
      </c>
      <c r="J9" s="168" t="s">
        <v>184</v>
      </c>
      <c r="K9" s="29" t="s">
        <v>88</v>
      </c>
      <c r="L9" s="29" t="s">
        <v>257</v>
      </c>
      <c r="M9" s="222" t="s">
        <v>618</v>
      </c>
      <c r="N9" s="215"/>
      <c r="O9" s="139"/>
      <c r="P9" s="223" t="s">
        <v>549</v>
      </c>
      <c r="Q9" s="140"/>
    </row>
    <row r="10" spans="2:39" ht="14.25" thickTop="1">
      <c r="B10" s="70" t="s">
        <v>548</v>
      </c>
      <c r="C10" s="169" t="s">
        <v>183</v>
      </c>
      <c r="D10" s="40" t="s">
        <v>183</v>
      </c>
      <c r="E10" s="40" t="s">
        <v>183</v>
      </c>
      <c r="F10" s="40" t="s">
        <v>183</v>
      </c>
      <c r="G10" s="40" t="s">
        <v>183</v>
      </c>
      <c r="H10" s="40" t="s">
        <v>183</v>
      </c>
      <c r="I10" s="40" t="s">
        <v>183</v>
      </c>
      <c r="J10" s="40" t="s">
        <v>183</v>
      </c>
      <c r="K10" s="33" t="s">
        <v>32</v>
      </c>
      <c r="L10" s="34" t="s">
        <v>258</v>
      </c>
      <c r="M10" s="35" t="s">
        <v>33</v>
      </c>
      <c r="N10" s="169"/>
      <c r="O10" s="40"/>
      <c r="P10" s="126" t="s">
        <v>31</v>
      </c>
      <c r="Q10" s="141"/>
    </row>
    <row r="11" spans="2:39">
      <c r="B11" s="70" t="s">
        <v>568</v>
      </c>
      <c r="C11" s="170" t="s">
        <v>183</v>
      </c>
      <c r="D11" s="41" t="s">
        <v>183</v>
      </c>
      <c r="E11" s="41" t="s">
        <v>183</v>
      </c>
      <c r="F11" s="41" t="s">
        <v>183</v>
      </c>
      <c r="G11" s="41" t="s">
        <v>183</v>
      </c>
      <c r="H11" s="41" t="s">
        <v>183</v>
      </c>
      <c r="I11" s="41" t="s">
        <v>183</v>
      </c>
      <c r="J11" s="41" t="s">
        <v>183</v>
      </c>
      <c r="K11" s="212" t="s">
        <v>32</v>
      </c>
      <c r="L11" s="32" t="s">
        <v>259</v>
      </c>
      <c r="M11" s="36" t="s">
        <v>598</v>
      </c>
      <c r="N11" s="170"/>
      <c r="O11" s="41"/>
      <c r="P11" s="58" t="s">
        <v>550</v>
      </c>
      <c r="Q11" s="142"/>
    </row>
    <row r="12" spans="2:39">
      <c r="B12" s="70" t="s">
        <v>569</v>
      </c>
      <c r="C12" s="170" t="s">
        <v>183</v>
      </c>
      <c r="D12" s="41" t="s">
        <v>183</v>
      </c>
      <c r="E12" s="41" t="s">
        <v>183</v>
      </c>
      <c r="F12" s="41" t="s">
        <v>183</v>
      </c>
      <c r="G12" s="41" t="s">
        <v>183</v>
      </c>
      <c r="H12" s="41" t="s">
        <v>183</v>
      </c>
      <c r="I12" s="41" t="s">
        <v>183</v>
      </c>
      <c r="J12" s="41" t="s">
        <v>183</v>
      </c>
      <c r="K12" s="212" t="s">
        <v>32</v>
      </c>
      <c r="L12" s="32" t="s">
        <v>260</v>
      </c>
      <c r="M12" s="36" t="s">
        <v>606</v>
      </c>
      <c r="N12" s="170"/>
      <c r="O12" s="41"/>
      <c r="P12" s="58" t="s">
        <v>551</v>
      </c>
      <c r="Q12" s="142"/>
    </row>
    <row r="13" spans="2:39">
      <c r="B13" s="70" t="s">
        <v>548</v>
      </c>
      <c r="C13" s="170" t="s">
        <v>183</v>
      </c>
      <c r="D13" s="41" t="s">
        <v>183</v>
      </c>
      <c r="E13" s="41" t="s">
        <v>183</v>
      </c>
      <c r="F13" s="41" t="s">
        <v>183</v>
      </c>
      <c r="G13" s="41" t="s">
        <v>183</v>
      </c>
      <c r="H13" s="41" t="s">
        <v>183</v>
      </c>
      <c r="I13" s="41" t="s">
        <v>183</v>
      </c>
      <c r="J13" s="41" t="s">
        <v>183</v>
      </c>
      <c r="K13" s="212" t="s">
        <v>32</v>
      </c>
      <c r="L13" s="32" t="s">
        <v>261</v>
      </c>
      <c r="M13" s="36" t="s">
        <v>33</v>
      </c>
      <c r="N13" s="170"/>
      <c r="O13" s="41"/>
      <c r="P13" s="58" t="s">
        <v>31</v>
      </c>
      <c r="Q13" s="142"/>
    </row>
    <row r="14" spans="2:39">
      <c r="B14" s="70" t="s">
        <v>548</v>
      </c>
      <c r="C14" s="170" t="s">
        <v>183</v>
      </c>
      <c r="D14" s="41" t="s">
        <v>183</v>
      </c>
      <c r="E14" s="41" t="s">
        <v>183</v>
      </c>
      <c r="F14" s="41" t="s">
        <v>183</v>
      </c>
      <c r="G14" s="41" t="s">
        <v>183</v>
      </c>
      <c r="H14" s="41" t="s">
        <v>183</v>
      </c>
      <c r="I14" s="41" t="s">
        <v>183</v>
      </c>
      <c r="J14" s="41" t="s">
        <v>183</v>
      </c>
      <c r="K14" s="212" t="s">
        <v>32</v>
      </c>
      <c r="L14" s="32" t="s">
        <v>262</v>
      </c>
      <c r="M14" s="36" t="s">
        <v>33</v>
      </c>
      <c r="N14" s="170"/>
      <c r="O14" s="41"/>
      <c r="P14" s="58" t="s">
        <v>31</v>
      </c>
      <c r="Q14" s="142"/>
    </row>
    <row r="15" spans="2:39">
      <c r="B15" s="70" t="s">
        <v>570</v>
      </c>
      <c r="C15" s="170" t="s">
        <v>183</v>
      </c>
      <c r="D15" s="41" t="s">
        <v>183</v>
      </c>
      <c r="E15" s="41" t="s">
        <v>183</v>
      </c>
      <c r="F15" s="41" t="s">
        <v>183</v>
      </c>
      <c r="G15" s="41" t="s">
        <v>183</v>
      </c>
      <c r="H15" s="41" t="s">
        <v>183</v>
      </c>
      <c r="I15" s="41" t="s">
        <v>183</v>
      </c>
      <c r="J15" s="41" t="s">
        <v>183</v>
      </c>
      <c r="K15" s="212" t="s">
        <v>32</v>
      </c>
      <c r="L15" s="32" t="s">
        <v>263</v>
      </c>
      <c r="M15" s="36" t="s">
        <v>592</v>
      </c>
      <c r="N15" s="170"/>
      <c r="O15" s="41"/>
      <c r="P15" s="58" t="s">
        <v>552</v>
      </c>
      <c r="Q15" s="142"/>
    </row>
    <row r="16" spans="2:39">
      <c r="B16" s="70" t="s">
        <v>571</v>
      </c>
      <c r="C16" s="170" t="s">
        <v>183</v>
      </c>
      <c r="D16" s="41" t="s">
        <v>183</v>
      </c>
      <c r="E16" s="41" t="s">
        <v>183</v>
      </c>
      <c r="F16" s="41" t="s">
        <v>183</v>
      </c>
      <c r="G16" s="41" t="s">
        <v>183</v>
      </c>
      <c r="H16" s="41" t="s">
        <v>183</v>
      </c>
      <c r="I16" s="41" t="s">
        <v>183</v>
      </c>
      <c r="J16" s="41" t="s">
        <v>183</v>
      </c>
      <c r="K16" s="212" t="s">
        <v>32</v>
      </c>
      <c r="L16" s="32" t="s">
        <v>264</v>
      </c>
      <c r="M16" s="36" t="s">
        <v>586</v>
      </c>
      <c r="N16" s="170"/>
      <c r="O16" s="41"/>
      <c r="P16" s="58" t="s">
        <v>553</v>
      </c>
      <c r="Q16" s="142"/>
    </row>
    <row r="17" spans="2:17">
      <c r="B17" s="70" t="s">
        <v>571</v>
      </c>
      <c r="C17" s="170" t="s">
        <v>183</v>
      </c>
      <c r="D17" s="41" t="s">
        <v>183</v>
      </c>
      <c r="E17" s="41" t="s">
        <v>183</v>
      </c>
      <c r="F17" s="41" t="s">
        <v>183</v>
      </c>
      <c r="G17" s="41" t="s">
        <v>183</v>
      </c>
      <c r="H17" s="41" t="s">
        <v>183</v>
      </c>
      <c r="I17" s="41" t="s">
        <v>183</v>
      </c>
      <c r="J17" s="41" t="s">
        <v>183</v>
      </c>
      <c r="K17" s="212" t="s">
        <v>32</v>
      </c>
      <c r="L17" s="32" t="s">
        <v>265</v>
      </c>
      <c r="M17" s="36" t="s">
        <v>580</v>
      </c>
      <c r="N17" s="170"/>
      <c r="O17" s="41"/>
      <c r="P17" s="58" t="s">
        <v>553</v>
      </c>
      <c r="Q17" s="142"/>
    </row>
    <row r="18" spans="2:17">
      <c r="B18" s="70" t="s">
        <v>548</v>
      </c>
      <c r="C18" s="170" t="s">
        <v>183</v>
      </c>
      <c r="D18" s="41" t="s">
        <v>183</v>
      </c>
      <c r="E18" s="41" t="s">
        <v>183</v>
      </c>
      <c r="F18" s="41" t="s">
        <v>183</v>
      </c>
      <c r="G18" s="41" t="s">
        <v>183</v>
      </c>
      <c r="H18" s="41" t="s">
        <v>183</v>
      </c>
      <c r="I18" s="41" t="s">
        <v>183</v>
      </c>
      <c r="J18" s="41" t="s">
        <v>183</v>
      </c>
      <c r="K18" s="212" t="s">
        <v>32</v>
      </c>
      <c r="L18" s="32" t="s">
        <v>266</v>
      </c>
      <c r="M18" s="36" t="s">
        <v>33</v>
      </c>
      <c r="N18" s="170"/>
      <c r="O18" s="41"/>
      <c r="P18" s="58" t="s">
        <v>31</v>
      </c>
      <c r="Q18" s="142"/>
    </row>
    <row r="19" spans="2:17">
      <c r="B19" s="70" t="s">
        <v>548</v>
      </c>
      <c r="C19" s="170" t="s">
        <v>183</v>
      </c>
      <c r="D19" s="41" t="s">
        <v>183</v>
      </c>
      <c r="E19" s="41" t="s">
        <v>183</v>
      </c>
      <c r="F19" s="41" t="s">
        <v>183</v>
      </c>
      <c r="G19" s="41" t="s">
        <v>183</v>
      </c>
      <c r="H19" s="41" t="s">
        <v>183</v>
      </c>
      <c r="I19" s="41" t="s">
        <v>183</v>
      </c>
      <c r="J19" s="41" t="s">
        <v>183</v>
      </c>
      <c r="K19" s="212" t="s">
        <v>32</v>
      </c>
      <c r="L19" s="32" t="s">
        <v>267</v>
      </c>
      <c r="M19" s="36" t="s">
        <v>33</v>
      </c>
      <c r="N19" s="170"/>
      <c r="O19" s="41"/>
      <c r="P19" s="58" t="s">
        <v>31</v>
      </c>
      <c r="Q19" s="142"/>
    </row>
    <row r="20" spans="2:17">
      <c r="B20" s="70" t="s">
        <v>548</v>
      </c>
      <c r="C20" s="170" t="s">
        <v>183</v>
      </c>
      <c r="D20" s="41" t="s">
        <v>183</v>
      </c>
      <c r="E20" s="41" t="s">
        <v>183</v>
      </c>
      <c r="F20" s="41" t="s">
        <v>183</v>
      </c>
      <c r="G20" s="41" t="s">
        <v>183</v>
      </c>
      <c r="H20" s="41" t="s">
        <v>183</v>
      </c>
      <c r="I20" s="41" t="s">
        <v>183</v>
      </c>
      <c r="J20" s="41" t="s">
        <v>183</v>
      </c>
      <c r="K20" s="212" t="s">
        <v>32</v>
      </c>
      <c r="L20" s="32" t="s">
        <v>268</v>
      </c>
      <c r="M20" s="36" t="s">
        <v>33</v>
      </c>
      <c r="N20" s="170"/>
      <c r="O20" s="41"/>
      <c r="P20" s="58" t="s">
        <v>31</v>
      </c>
      <c r="Q20" s="142"/>
    </row>
    <row r="21" spans="2:17">
      <c r="B21" s="70" t="s">
        <v>548</v>
      </c>
      <c r="C21" s="170" t="s">
        <v>183</v>
      </c>
      <c r="D21" s="41" t="s">
        <v>183</v>
      </c>
      <c r="E21" s="41" t="s">
        <v>183</v>
      </c>
      <c r="F21" s="41" t="s">
        <v>183</v>
      </c>
      <c r="G21" s="41" t="s">
        <v>183</v>
      </c>
      <c r="H21" s="41" t="s">
        <v>183</v>
      </c>
      <c r="I21" s="41" t="s">
        <v>183</v>
      </c>
      <c r="J21" s="41" t="s">
        <v>183</v>
      </c>
      <c r="K21" s="212" t="s">
        <v>32</v>
      </c>
      <c r="L21" s="32" t="s">
        <v>269</v>
      </c>
      <c r="M21" s="36" t="s">
        <v>33</v>
      </c>
      <c r="N21" s="170"/>
      <c r="O21" s="41"/>
      <c r="P21" s="58" t="s">
        <v>31</v>
      </c>
      <c r="Q21" s="142"/>
    </row>
    <row r="22" spans="2:17">
      <c r="B22" s="70" t="s">
        <v>548</v>
      </c>
      <c r="C22" s="170" t="s">
        <v>183</v>
      </c>
      <c r="D22" s="41" t="s">
        <v>183</v>
      </c>
      <c r="E22" s="41" t="s">
        <v>183</v>
      </c>
      <c r="F22" s="41" t="s">
        <v>183</v>
      </c>
      <c r="G22" s="41" t="s">
        <v>183</v>
      </c>
      <c r="H22" s="41" t="s">
        <v>183</v>
      </c>
      <c r="I22" s="41" t="s">
        <v>183</v>
      </c>
      <c r="J22" s="41" t="s">
        <v>183</v>
      </c>
      <c r="K22" s="212" t="s">
        <v>32</v>
      </c>
      <c r="L22" s="32" t="s">
        <v>270</v>
      </c>
      <c r="M22" s="36" t="s">
        <v>33</v>
      </c>
      <c r="N22" s="170"/>
      <c r="O22" s="41"/>
      <c r="P22" s="58" t="s">
        <v>31</v>
      </c>
      <c r="Q22" s="142"/>
    </row>
    <row r="23" spans="2:17">
      <c r="B23" s="70" t="s">
        <v>548</v>
      </c>
      <c r="C23" s="170" t="s">
        <v>183</v>
      </c>
      <c r="D23" s="41" t="s">
        <v>183</v>
      </c>
      <c r="E23" s="41" t="s">
        <v>183</v>
      </c>
      <c r="F23" s="41" t="s">
        <v>183</v>
      </c>
      <c r="G23" s="41" t="s">
        <v>183</v>
      </c>
      <c r="H23" s="41" t="s">
        <v>183</v>
      </c>
      <c r="I23" s="41" t="s">
        <v>183</v>
      </c>
      <c r="J23" s="41" t="s">
        <v>183</v>
      </c>
      <c r="K23" s="212" t="s">
        <v>32</v>
      </c>
      <c r="L23" s="32" t="s">
        <v>271</v>
      </c>
      <c r="M23" s="36" t="s">
        <v>33</v>
      </c>
      <c r="N23" s="170"/>
      <c r="O23" s="41"/>
      <c r="P23" s="58" t="s">
        <v>31</v>
      </c>
      <c r="Q23" s="142"/>
    </row>
    <row r="24" spans="2:17">
      <c r="B24" s="70" t="s">
        <v>548</v>
      </c>
      <c r="C24" s="170" t="s">
        <v>183</v>
      </c>
      <c r="D24" s="41" t="s">
        <v>183</v>
      </c>
      <c r="E24" s="41" t="s">
        <v>183</v>
      </c>
      <c r="F24" s="41" t="s">
        <v>183</v>
      </c>
      <c r="G24" s="41" t="s">
        <v>183</v>
      </c>
      <c r="H24" s="41" t="s">
        <v>183</v>
      </c>
      <c r="I24" s="41" t="s">
        <v>183</v>
      </c>
      <c r="J24" s="41" t="s">
        <v>183</v>
      </c>
      <c r="K24" s="212" t="s">
        <v>32</v>
      </c>
      <c r="L24" s="32" t="s">
        <v>272</v>
      </c>
      <c r="M24" s="36" t="s">
        <v>33</v>
      </c>
      <c r="N24" s="170"/>
      <c r="O24" s="41"/>
      <c r="P24" s="58" t="s">
        <v>31</v>
      </c>
      <c r="Q24" s="142"/>
    </row>
    <row r="25" spans="2:17">
      <c r="B25" s="70" t="s">
        <v>548</v>
      </c>
      <c r="C25" s="170" t="s">
        <v>183</v>
      </c>
      <c r="D25" s="41" t="s">
        <v>183</v>
      </c>
      <c r="E25" s="41" t="s">
        <v>183</v>
      </c>
      <c r="F25" s="41" t="s">
        <v>183</v>
      </c>
      <c r="G25" s="41" t="s">
        <v>183</v>
      </c>
      <c r="H25" s="41" t="s">
        <v>183</v>
      </c>
      <c r="I25" s="41" t="s">
        <v>183</v>
      </c>
      <c r="J25" s="41" t="s">
        <v>183</v>
      </c>
      <c r="K25" s="212" t="s">
        <v>32</v>
      </c>
      <c r="L25" s="32" t="s">
        <v>273</v>
      </c>
      <c r="M25" s="36" t="s">
        <v>33</v>
      </c>
      <c r="N25" s="170"/>
      <c r="O25" s="41"/>
      <c r="P25" s="58" t="s">
        <v>31</v>
      </c>
      <c r="Q25" s="142"/>
    </row>
    <row r="26" spans="2:17">
      <c r="B26" s="70" t="s">
        <v>548</v>
      </c>
      <c r="C26" s="170" t="s">
        <v>183</v>
      </c>
      <c r="D26" s="41" t="s">
        <v>183</v>
      </c>
      <c r="E26" s="41" t="s">
        <v>183</v>
      </c>
      <c r="F26" s="41" t="s">
        <v>183</v>
      </c>
      <c r="G26" s="41" t="s">
        <v>183</v>
      </c>
      <c r="H26" s="41" t="s">
        <v>183</v>
      </c>
      <c r="I26" s="41" t="s">
        <v>183</v>
      </c>
      <c r="J26" s="41" t="s">
        <v>183</v>
      </c>
      <c r="K26" s="212" t="s">
        <v>32</v>
      </c>
      <c r="L26" s="32" t="s">
        <v>274</v>
      </c>
      <c r="M26" s="36" t="s">
        <v>33</v>
      </c>
      <c r="N26" s="170"/>
      <c r="O26" s="41"/>
      <c r="P26" s="58" t="s">
        <v>31</v>
      </c>
      <c r="Q26" s="142"/>
    </row>
    <row r="27" spans="2:17">
      <c r="B27" s="70" t="s">
        <v>568</v>
      </c>
      <c r="C27" s="170" t="s">
        <v>183</v>
      </c>
      <c r="D27" s="41" t="s">
        <v>183</v>
      </c>
      <c r="E27" s="41" t="s">
        <v>183</v>
      </c>
      <c r="F27" s="41" t="s">
        <v>183</v>
      </c>
      <c r="G27" s="41" t="s">
        <v>183</v>
      </c>
      <c r="H27" s="41" t="s">
        <v>183</v>
      </c>
      <c r="I27" s="41" t="s">
        <v>183</v>
      </c>
      <c r="J27" s="41" t="s">
        <v>183</v>
      </c>
      <c r="K27" s="212" t="s">
        <v>32</v>
      </c>
      <c r="L27" s="32" t="s">
        <v>275</v>
      </c>
      <c r="M27" s="36" t="s">
        <v>599</v>
      </c>
      <c r="N27" s="170"/>
      <c r="O27" s="41"/>
      <c r="P27" s="58" t="s">
        <v>550</v>
      </c>
      <c r="Q27" s="142"/>
    </row>
    <row r="28" spans="2:17">
      <c r="B28" s="70" t="s">
        <v>569</v>
      </c>
      <c r="C28" s="170" t="s">
        <v>183</v>
      </c>
      <c r="D28" s="41" t="s">
        <v>183</v>
      </c>
      <c r="E28" s="41" t="s">
        <v>183</v>
      </c>
      <c r="F28" s="41" t="s">
        <v>183</v>
      </c>
      <c r="G28" s="41" t="s">
        <v>183</v>
      </c>
      <c r="H28" s="41" t="s">
        <v>183</v>
      </c>
      <c r="I28" s="41" t="s">
        <v>183</v>
      </c>
      <c r="J28" s="41" t="s">
        <v>183</v>
      </c>
      <c r="K28" s="212" t="s">
        <v>32</v>
      </c>
      <c r="L28" s="32" t="s">
        <v>276</v>
      </c>
      <c r="M28" s="36" t="s">
        <v>607</v>
      </c>
      <c r="N28" s="170"/>
      <c r="O28" s="41"/>
      <c r="P28" s="58" t="s">
        <v>551</v>
      </c>
      <c r="Q28" s="142"/>
    </row>
    <row r="29" spans="2:17">
      <c r="B29" s="70" t="s">
        <v>548</v>
      </c>
      <c r="C29" s="170" t="s">
        <v>183</v>
      </c>
      <c r="D29" s="41" t="s">
        <v>183</v>
      </c>
      <c r="E29" s="41" t="s">
        <v>183</v>
      </c>
      <c r="F29" s="41" t="s">
        <v>183</v>
      </c>
      <c r="G29" s="41" t="s">
        <v>183</v>
      </c>
      <c r="H29" s="41" t="s">
        <v>183</v>
      </c>
      <c r="I29" s="41" t="s">
        <v>183</v>
      </c>
      <c r="J29" s="41" t="s">
        <v>183</v>
      </c>
      <c r="K29" s="212" t="s">
        <v>32</v>
      </c>
      <c r="L29" s="32" t="s">
        <v>277</v>
      </c>
      <c r="M29" s="36" t="s">
        <v>33</v>
      </c>
      <c r="N29" s="170"/>
      <c r="O29" s="41"/>
      <c r="P29" s="58" t="s">
        <v>31</v>
      </c>
      <c r="Q29" s="142"/>
    </row>
    <row r="30" spans="2:17">
      <c r="B30" s="70" t="s">
        <v>548</v>
      </c>
      <c r="C30" s="170" t="s">
        <v>183</v>
      </c>
      <c r="D30" s="41" t="s">
        <v>183</v>
      </c>
      <c r="E30" s="41" t="s">
        <v>183</v>
      </c>
      <c r="F30" s="41" t="s">
        <v>183</v>
      </c>
      <c r="G30" s="41" t="s">
        <v>183</v>
      </c>
      <c r="H30" s="41" t="s">
        <v>183</v>
      </c>
      <c r="I30" s="41" t="s">
        <v>183</v>
      </c>
      <c r="J30" s="41" t="s">
        <v>183</v>
      </c>
      <c r="K30" s="212" t="s">
        <v>32</v>
      </c>
      <c r="L30" s="32" t="s">
        <v>278</v>
      </c>
      <c r="M30" s="36" t="s">
        <v>33</v>
      </c>
      <c r="N30" s="170"/>
      <c r="O30" s="41"/>
      <c r="P30" s="58" t="s">
        <v>31</v>
      </c>
      <c r="Q30" s="142"/>
    </row>
    <row r="31" spans="2:17">
      <c r="B31" s="70" t="s">
        <v>570</v>
      </c>
      <c r="C31" s="170" t="s">
        <v>183</v>
      </c>
      <c r="D31" s="41" t="s">
        <v>183</v>
      </c>
      <c r="E31" s="41" t="s">
        <v>183</v>
      </c>
      <c r="F31" s="41" t="s">
        <v>183</v>
      </c>
      <c r="G31" s="41" t="s">
        <v>183</v>
      </c>
      <c r="H31" s="41" t="s">
        <v>183</v>
      </c>
      <c r="I31" s="41" t="s">
        <v>183</v>
      </c>
      <c r="J31" s="41" t="s">
        <v>183</v>
      </c>
      <c r="K31" s="212" t="s">
        <v>32</v>
      </c>
      <c r="L31" s="32" t="s">
        <v>279</v>
      </c>
      <c r="M31" s="36" t="s">
        <v>593</v>
      </c>
      <c r="N31" s="170"/>
      <c r="O31" s="41"/>
      <c r="P31" s="58" t="s">
        <v>552</v>
      </c>
      <c r="Q31" s="142"/>
    </row>
    <row r="32" spans="2:17">
      <c r="B32" s="70" t="s">
        <v>571</v>
      </c>
      <c r="C32" s="170" t="s">
        <v>183</v>
      </c>
      <c r="D32" s="41" t="s">
        <v>183</v>
      </c>
      <c r="E32" s="41" t="s">
        <v>183</v>
      </c>
      <c r="F32" s="41" t="s">
        <v>183</v>
      </c>
      <c r="G32" s="41" t="s">
        <v>183</v>
      </c>
      <c r="H32" s="41" t="s">
        <v>183</v>
      </c>
      <c r="I32" s="41" t="s">
        <v>183</v>
      </c>
      <c r="J32" s="41" t="s">
        <v>183</v>
      </c>
      <c r="K32" s="212" t="s">
        <v>32</v>
      </c>
      <c r="L32" s="32" t="s">
        <v>280</v>
      </c>
      <c r="M32" s="36" t="s">
        <v>587</v>
      </c>
      <c r="N32" s="170"/>
      <c r="O32" s="41"/>
      <c r="P32" s="58" t="s">
        <v>553</v>
      </c>
      <c r="Q32" s="142"/>
    </row>
    <row r="33" spans="2:17">
      <c r="B33" s="70" t="s">
        <v>571</v>
      </c>
      <c r="C33" s="170" t="s">
        <v>183</v>
      </c>
      <c r="D33" s="41" t="s">
        <v>183</v>
      </c>
      <c r="E33" s="41" t="s">
        <v>183</v>
      </c>
      <c r="F33" s="41" t="s">
        <v>183</v>
      </c>
      <c r="G33" s="41" t="s">
        <v>183</v>
      </c>
      <c r="H33" s="41" t="s">
        <v>183</v>
      </c>
      <c r="I33" s="41" t="s">
        <v>183</v>
      </c>
      <c r="J33" s="41" t="s">
        <v>183</v>
      </c>
      <c r="K33" s="212" t="s">
        <v>32</v>
      </c>
      <c r="L33" s="32" t="s">
        <v>281</v>
      </c>
      <c r="M33" s="36" t="s">
        <v>581</v>
      </c>
      <c r="N33" s="170"/>
      <c r="O33" s="41"/>
      <c r="P33" s="58" t="s">
        <v>553</v>
      </c>
      <c r="Q33" s="142"/>
    </row>
    <row r="34" spans="2:17">
      <c r="B34" s="70" t="s">
        <v>548</v>
      </c>
      <c r="C34" s="170" t="s">
        <v>183</v>
      </c>
      <c r="D34" s="41" t="s">
        <v>183</v>
      </c>
      <c r="E34" s="41" t="s">
        <v>183</v>
      </c>
      <c r="F34" s="41" t="s">
        <v>183</v>
      </c>
      <c r="G34" s="41" t="s">
        <v>183</v>
      </c>
      <c r="H34" s="41" t="s">
        <v>183</v>
      </c>
      <c r="I34" s="41" t="s">
        <v>183</v>
      </c>
      <c r="J34" s="41" t="s">
        <v>183</v>
      </c>
      <c r="K34" s="212" t="s">
        <v>32</v>
      </c>
      <c r="L34" s="32" t="s">
        <v>282</v>
      </c>
      <c r="M34" s="36" t="s">
        <v>33</v>
      </c>
      <c r="N34" s="170"/>
      <c r="O34" s="41"/>
      <c r="P34" s="58" t="s">
        <v>31</v>
      </c>
      <c r="Q34" s="142"/>
    </row>
    <row r="35" spans="2:17">
      <c r="B35" s="70" t="s">
        <v>548</v>
      </c>
      <c r="C35" s="170" t="s">
        <v>183</v>
      </c>
      <c r="D35" s="41" t="s">
        <v>183</v>
      </c>
      <c r="E35" s="41" t="s">
        <v>183</v>
      </c>
      <c r="F35" s="41" t="s">
        <v>183</v>
      </c>
      <c r="G35" s="41" t="s">
        <v>183</v>
      </c>
      <c r="H35" s="41" t="s">
        <v>183</v>
      </c>
      <c r="I35" s="41" t="s">
        <v>183</v>
      </c>
      <c r="J35" s="41" t="s">
        <v>183</v>
      </c>
      <c r="K35" s="212" t="s">
        <v>32</v>
      </c>
      <c r="L35" s="32" t="s">
        <v>283</v>
      </c>
      <c r="M35" s="36" t="s">
        <v>33</v>
      </c>
      <c r="N35" s="170"/>
      <c r="O35" s="41"/>
      <c r="P35" s="58" t="s">
        <v>31</v>
      </c>
      <c r="Q35" s="142"/>
    </row>
    <row r="36" spans="2:17">
      <c r="B36" s="70" t="s">
        <v>548</v>
      </c>
      <c r="C36" s="170" t="s">
        <v>183</v>
      </c>
      <c r="D36" s="41" t="s">
        <v>183</v>
      </c>
      <c r="E36" s="41" t="s">
        <v>183</v>
      </c>
      <c r="F36" s="41" t="s">
        <v>183</v>
      </c>
      <c r="G36" s="41" t="s">
        <v>183</v>
      </c>
      <c r="H36" s="41" t="s">
        <v>183</v>
      </c>
      <c r="I36" s="41" t="s">
        <v>183</v>
      </c>
      <c r="J36" s="41" t="s">
        <v>183</v>
      </c>
      <c r="K36" s="212" t="s">
        <v>32</v>
      </c>
      <c r="L36" s="32" t="s">
        <v>284</v>
      </c>
      <c r="M36" s="36" t="s">
        <v>33</v>
      </c>
      <c r="N36" s="170"/>
      <c r="O36" s="41"/>
      <c r="P36" s="58" t="s">
        <v>31</v>
      </c>
      <c r="Q36" s="142"/>
    </row>
    <row r="37" spans="2:17">
      <c r="B37" s="70" t="s">
        <v>548</v>
      </c>
      <c r="C37" s="170" t="s">
        <v>183</v>
      </c>
      <c r="D37" s="41" t="s">
        <v>183</v>
      </c>
      <c r="E37" s="41" t="s">
        <v>183</v>
      </c>
      <c r="F37" s="41" t="s">
        <v>183</v>
      </c>
      <c r="G37" s="41" t="s">
        <v>183</v>
      </c>
      <c r="H37" s="41" t="s">
        <v>183</v>
      </c>
      <c r="I37" s="41" t="s">
        <v>183</v>
      </c>
      <c r="J37" s="41" t="s">
        <v>183</v>
      </c>
      <c r="K37" s="212" t="s">
        <v>32</v>
      </c>
      <c r="L37" s="32" t="s">
        <v>285</v>
      </c>
      <c r="M37" s="36" t="s">
        <v>33</v>
      </c>
      <c r="N37" s="170"/>
      <c r="O37" s="41"/>
      <c r="P37" s="58" t="s">
        <v>31</v>
      </c>
      <c r="Q37" s="142"/>
    </row>
    <row r="38" spans="2:17">
      <c r="B38" s="70" t="s">
        <v>548</v>
      </c>
      <c r="C38" s="170" t="s">
        <v>183</v>
      </c>
      <c r="D38" s="41" t="s">
        <v>183</v>
      </c>
      <c r="E38" s="41" t="s">
        <v>183</v>
      </c>
      <c r="F38" s="41" t="s">
        <v>183</v>
      </c>
      <c r="G38" s="41" t="s">
        <v>183</v>
      </c>
      <c r="H38" s="41" t="s">
        <v>183</v>
      </c>
      <c r="I38" s="41" t="s">
        <v>183</v>
      </c>
      <c r="J38" s="41" t="s">
        <v>183</v>
      </c>
      <c r="K38" s="212" t="s">
        <v>32</v>
      </c>
      <c r="L38" s="32" t="s">
        <v>286</v>
      </c>
      <c r="M38" s="36" t="s">
        <v>33</v>
      </c>
      <c r="N38" s="170"/>
      <c r="O38" s="41"/>
      <c r="P38" s="58" t="s">
        <v>31</v>
      </c>
      <c r="Q38" s="142"/>
    </row>
    <row r="39" spans="2:17">
      <c r="B39" s="70" t="s">
        <v>548</v>
      </c>
      <c r="C39" s="170" t="s">
        <v>183</v>
      </c>
      <c r="D39" s="41" t="s">
        <v>183</v>
      </c>
      <c r="E39" s="41" t="s">
        <v>183</v>
      </c>
      <c r="F39" s="41" t="s">
        <v>183</v>
      </c>
      <c r="G39" s="41" t="s">
        <v>183</v>
      </c>
      <c r="H39" s="41" t="s">
        <v>183</v>
      </c>
      <c r="I39" s="41" t="s">
        <v>183</v>
      </c>
      <c r="J39" s="41" t="s">
        <v>183</v>
      </c>
      <c r="K39" s="212" t="s">
        <v>32</v>
      </c>
      <c r="L39" s="32" t="s">
        <v>287</v>
      </c>
      <c r="M39" s="36" t="s">
        <v>33</v>
      </c>
      <c r="N39" s="170"/>
      <c r="O39" s="41"/>
      <c r="P39" s="58" t="s">
        <v>31</v>
      </c>
      <c r="Q39" s="142"/>
    </row>
    <row r="40" spans="2:17">
      <c r="B40" s="70" t="s">
        <v>548</v>
      </c>
      <c r="C40" s="170" t="s">
        <v>183</v>
      </c>
      <c r="D40" s="41" t="s">
        <v>183</v>
      </c>
      <c r="E40" s="41" t="s">
        <v>183</v>
      </c>
      <c r="F40" s="41" t="s">
        <v>183</v>
      </c>
      <c r="G40" s="41" t="s">
        <v>183</v>
      </c>
      <c r="H40" s="41" t="s">
        <v>183</v>
      </c>
      <c r="I40" s="41" t="s">
        <v>183</v>
      </c>
      <c r="J40" s="41" t="s">
        <v>183</v>
      </c>
      <c r="K40" s="212" t="s">
        <v>32</v>
      </c>
      <c r="L40" s="32" t="s">
        <v>288</v>
      </c>
      <c r="M40" s="36" t="s">
        <v>33</v>
      </c>
      <c r="N40" s="170"/>
      <c r="O40" s="41"/>
      <c r="P40" s="58" t="s">
        <v>31</v>
      </c>
      <c r="Q40" s="142"/>
    </row>
    <row r="41" spans="2:17">
      <c r="B41" s="70" t="s">
        <v>548</v>
      </c>
      <c r="C41" s="170" t="s">
        <v>183</v>
      </c>
      <c r="D41" s="41" t="s">
        <v>183</v>
      </c>
      <c r="E41" s="41" t="s">
        <v>183</v>
      </c>
      <c r="F41" s="41" t="s">
        <v>183</v>
      </c>
      <c r="G41" s="41" t="s">
        <v>183</v>
      </c>
      <c r="H41" s="41" t="s">
        <v>183</v>
      </c>
      <c r="I41" s="41" t="s">
        <v>183</v>
      </c>
      <c r="J41" s="41" t="s">
        <v>183</v>
      </c>
      <c r="K41" s="212" t="s">
        <v>32</v>
      </c>
      <c r="L41" s="32" t="s">
        <v>289</v>
      </c>
      <c r="M41" s="36" t="s">
        <v>33</v>
      </c>
      <c r="N41" s="170"/>
      <c r="O41" s="41"/>
      <c r="P41" s="58" t="s">
        <v>31</v>
      </c>
      <c r="Q41" s="142"/>
    </row>
    <row r="42" spans="2:17">
      <c r="B42" s="70" t="s">
        <v>548</v>
      </c>
      <c r="C42" s="170" t="s">
        <v>183</v>
      </c>
      <c r="D42" s="41" t="s">
        <v>183</v>
      </c>
      <c r="E42" s="41" t="s">
        <v>183</v>
      </c>
      <c r="F42" s="41" t="s">
        <v>183</v>
      </c>
      <c r="G42" s="41" t="s">
        <v>183</v>
      </c>
      <c r="H42" s="41" t="s">
        <v>183</v>
      </c>
      <c r="I42" s="41" t="s">
        <v>183</v>
      </c>
      <c r="J42" s="41" t="s">
        <v>183</v>
      </c>
      <c r="K42" s="212" t="s">
        <v>32</v>
      </c>
      <c r="L42" s="32" t="s">
        <v>290</v>
      </c>
      <c r="M42" s="36" t="s">
        <v>33</v>
      </c>
      <c r="N42" s="170"/>
      <c r="O42" s="41"/>
      <c r="P42" s="58" t="s">
        <v>31</v>
      </c>
      <c r="Q42" s="142"/>
    </row>
    <row r="43" spans="2:17">
      <c r="B43" s="70" t="s">
        <v>568</v>
      </c>
      <c r="C43" s="170" t="s">
        <v>183</v>
      </c>
      <c r="D43" s="41" t="s">
        <v>183</v>
      </c>
      <c r="E43" s="41" t="s">
        <v>183</v>
      </c>
      <c r="F43" s="41" t="s">
        <v>183</v>
      </c>
      <c r="G43" s="41" t="s">
        <v>183</v>
      </c>
      <c r="H43" s="41" t="s">
        <v>183</v>
      </c>
      <c r="I43" s="41" t="s">
        <v>183</v>
      </c>
      <c r="J43" s="41" t="s">
        <v>183</v>
      </c>
      <c r="K43" s="212" t="s">
        <v>32</v>
      </c>
      <c r="L43" s="32" t="s">
        <v>291</v>
      </c>
      <c r="M43" s="36" t="s">
        <v>600</v>
      </c>
      <c r="N43" s="170"/>
      <c r="O43" s="41"/>
      <c r="P43" s="58" t="s">
        <v>550</v>
      </c>
      <c r="Q43" s="142"/>
    </row>
    <row r="44" spans="2:17">
      <c r="B44" s="70" t="s">
        <v>569</v>
      </c>
      <c r="C44" s="170" t="s">
        <v>183</v>
      </c>
      <c r="D44" s="41" t="s">
        <v>183</v>
      </c>
      <c r="E44" s="41" t="s">
        <v>183</v>
      </c>
      <c r="F44" s="41" t="s">
        <v>183</v>
      </c>
      <c r="G44" s="41" t="s">
        <v>183</v>
      </c>
      <c r="H44" s="41" t="s">
        <v>183</v>
      </c>
      <c r="I44" s="41" t="s">
        <v>183</v>
      </c>
      <c r="J44" s="41" t="s">
        <v>183</v>
      </c>
      <c r="K44" s="212" t="s">
        <v>32</v>
      </c>
      <c r="L44" s="32" t="s">
        <v>292</v>
      </c>
      <c r="M44" s="36" t="s">
        <v>608</v>
      </c>
      <c r="N44" s="170"/>
      <c r="O44" s="41"/>
      <c r="P44" s="58" t="s">
        <v>551</v>
      </c>
      <c r="Q44" s="142"/>
    </row>
    <row r="45" spans="2:17">
      <c r="B45" s="70" t="s">
        <v>548</v>
      </c>
      <c r="C45" s="170" t="s">
        <v>183</v>
      </c>
      <c r="D45" s="41" t="s">
        <v>183</v>
      </c>
      <c r="E45" s="41" t="s">
        <v>183</v>
      </c>
      <c r="F45" s="41" t="s">
        <v>183</v>
      </c>
      <c r="G45" s="41" t="s">
        <v>183</v>
      </c>
      <c r="H45" s="41" t="s">
        <v>183</v>
      </c>
      <c r="I45" s="41" t="s">
        <v>183</v>
      </c>
      <c r="J45" s="41" t="s">
        <v>183</v>
      </c>
      <c r="K45" s="212" t="s">
        <v>32</v>
      </c>
      <c r="L45" s="32" t="s">
        <v>293</v>
      </c>
      <c r="M45" s="36" t="s">
        <v>33</v>
      </c>
      <c r="N45" s="170"/>
      <c r="O45" s="41"/>
      <c r="P45" s="58" t="s">
        <v>31</v>
      </c>
      <c r="Q45" s="142"/>
    </row>
    <row r="46" spans="2:17">
      <c r="B46" s="70" t="s">
        <v>548</v>
      </c>
      <c r="C46" s="170" t="s">
        <v>183</v>
      </c>
      <c r="D46" s="41" t="s">
        <v>183</v>
      </c>
      <c r="E46" s="41" t="s">
        <v>183</v>
      </c>
      <c r="F46" s="41" t="s">
        <v>183</v>
      </c>
      <c r="G46" s="41" t="s">
        <v>183</v>
      </c>
      <c r="H46" s="41" t="s">
        <v>183</v>
      </c>
      <c r="I46" s="41" t="s">
        <v>183</v>
      </c>
      <c r="J46" s="41" t="s">
        <v>183</v>
      </c>
      <c r="K46" s="212" t="s">
        <v>32</v>
      </c>
      <c r="L46" s="32" t="s">
        <v>294</v>
      </c>
      <c r="M46" s="36" t="s">
        <v>33</v>
      </c>
      <c r="N46" s="170"/>
      <c r="O46" s="41"/>
      <c r="P46" s="58" t="s">
        <v>31</v>
      </c>
      <c r="Q46" s="142"/>
    </row>
    <row r="47" spans="2:17">
      <c r="B47" s="70" t="s">
        <v>570</v>
      </c>
      <c r="C47" s="170" t="s">
        <v>183</v>
      </c>
      <c r="D47" s="41" t="s">
        <v>183</v>
      </c>
      <c r="E47" s="41" t="s">
        <v>183</v>
      </c>
      <c r="F47" s="41" t="s">
        <v>183</v>
      </c>
      <c r="G47" s="41" t="s">
        <v>183</v>
      </c>
      <c r="H47" s="41" t="s">
        <v>183</v>
      </c>
      <c r="I47" s="41" t="s">
        <v>183</v>
      </c>
      <c r="J47" s="41" t="s">
        <v>183</v>
      </c>
      <c r="K47" s="212" t="s">
        <v>32</v>
      </c>
      <c r="L47" s="32" t="s">
        <v>295</v>
      </c>
      <c r="M47" s="36" t="s">
        <v>594</v>
      </c>
      <c r="N47" s="170"/>
      <c r="O47" s="41"/>
      <c r="P47" s="58" t="s">
        <v>552</v>
      </c>
      <c r="Q47" s="142"/>
    </row>
    <row r="48" spans="2:17">
      <c r="B48" s="70" t="s">
        <v>571</v>
      </c>
      <c r="C48" s="170" t="s">
        <v>183</v>
      </c>
      <c r="D48" s="41" t="s">
        <v>183</v>
      </c>
      <c r="E48" s="41" t="s">
        <v>183</v>
      </c>
      <c r="F48" s="41" t="s">
        <v>183</v>
      </c>
      <c r="G48" s="41" t="s">
        <v>183</v>
      </c>
      <c r="H48" s="41" t="s">
        <v>183</v>
      </c>
      <c r="I48" s="41" t="s">
        <v>183</v>
      </c>
      <c r="J48" s="41" t="s">
        <v>183</v>
      </c>
      <c r="K48" s="212" t="s">
        <v>32</v>
      </c>
      <c r="L48" s="32" t="s">
        <v>296</v>
      </c>
      <c r="M48" s="36" t="s">
        <v>588</v>
      </c>
      <c r="N48" s="170"/>
      <c r="O48" s="41"/>
      <c r="P48" s="58" t="s">
        <v>553</v>
      </c>
      <c r="Q48" s="142"/>
    </row>
    <row r="49" spans="2:17">
      <c r="B49" s="70" t="s">
        <v>571</v>
      </c>
      <c r="C49" s="170" t="s">
        <v>183</v>
      </c>
      <c r="D49" s="41" t="s">
        <v>183</v>
      </c>
      <c r="E49" s="41" t="s">
        <v>183</v>
      </c>
      <c r="F49" s="41" t="s">
        <v>183</v>
      </c>
      <c r="G49" s="41" t="s">
        <v>183</v>
      </c>
      <c r="H49" s="41" t="s">
        <v>183</v>
      </c>
      <c r="I49" s="41" t="s">
        <v>183</v>
      </c>
      <c r="J49" s="41" t="s">
        <v>183</v>
      </c>
      <c r="K49" s="212" t="s">
        <v>32</v>
      </c>
      <c r="L49" s="32" t="s">
        <v>297</v>
      </c>
      <c r="M49" s="36" t="s">
        <v>582</v>
      </c>
      <c r="N49" s="170"/>
      <c r="O49" s="41"/>
      <c r="P49" s="58" t="s">
        <v>553</v>
      </c>
      <c r="Q49" s="142"/>
    </row>
    <row r="50" spans="2:17">
      <c r="B50" s="70" t="s">
        <v>548</v>
      </c>
      <c r="C50" s="170" t="s">
        <v>183</v>
      </c>
      <c r="D50" s="41" t="s">
        <v>183</v>
      </c>
      <c r="E50" s="41" t="s">
        <v>183</v>
      </c>
      <c r="F50" s="41" t="s">
        <v>183</v>
      </c>
      <c r="G50" s="41" t="s">
        <v>183</v>
      </c>
      <c r="H50" s="41" t="s">
        <v>183</v>
      </c>
      <c r="I50" s="41" t="s">
        <v>183</v>
      </c>
      <c r="J50" s="41" t="s">
        <v>183</v>
      </c>
      <c r="K50" s="212" t="s">
        <v>32</v>
      </c>
      <c r="L50" s="32" t="s">
        <v>298</v>
      </c>
      <c r="M50" s="36" t="s">
        <v>33</v>
      </c>
      <c r="N50" s="170"/>
      <c r="O50" s="41"/>
      <c r="P50" s="58" t="s">
        <v>31</v>
      </c>
      <c r="Q50" s="142"/>
    </row>
    <row r="51" spans="2:17">
      <c r="B51" s="70" t="s">
        <v>548</v>
      </c>
      <c r="C51" s="170" t="s">
        <v>183</v>
      </c>
      <c r="D51" s="41" t="s">
        <v>183</v>
      </c>
      <c r="E51" s="41" t="s">
        <v>183</v>
      </c>
      <c r="F51" s="41" t="s">
        <v>183</v>
      </c>
      <c r="G51" s="41" t="s">
        <v>183</v>
      </c>
      <c r="H51" s="41" t="s">
        <v>183</v>
      </c>
      <c r="I51" s="41" t="s">
        <v>183</v>
      </c>
      <c r="J51" s="41" t="s">
        <v>183</v>
      </c>
      <c r="K51" s="212" t="s">
        <v>32</v>
      </c>
      <c r="L51" s="32" t="s">
        <v>299</v>
      </c>
      <c r="M51" s="36" t="s">
        <v>33</v>
      </c>
      <c r="N51" s="170"/>
      <c r="O51" s="41"/>
      <c r="P51" s="58" t="s">
        <v>31</v>
      </c>
      <c r="Q51" s="142"/>
    </row>
    <row r="52" spans="2:17">
      <c r="B52" s="70" t="s">
        <v>548</v>
      </c>
      <c r="C52" s="170" t="s">
        <v>183</v>
      </c>
      <c r="D52" s="41" t="s">
        <v>183</v>
      </c>
      <c r="E52" s="41" t="s">
        <v>183</v>
      </c>
      <c r="F52" s="41" t="s">
        <v>183</v>
      </c>
      <c r="G52" s="41" t="s">
        <v>183</v>
      </c>
      <c r="H52" s="41" t="s">
        <v>183</v>
      </c>
      <c r="I52" s="41" t="s">
        <v>183</v>
      </c>
      <c r="J52" s="41" t="s">
        <v>183</v>
      </c>
      <c r="K52" s="212" t="s">
        <v>32</v>
      </c>
      <c r="L52" s="32" t="s">
        <v>300</v>
      </c>
      <c r="M52" s="36" t="s">
        <v>33</v>
      </c>
      <c r="N52" s="170"/>
      <c r="O52" s="41"/>
      <c r="P52" s="58" t="s">
        <v>31</v>
      </c>
      <c r="Q52" s="142"/>
    </row>
    <row r="53" spans="2:17">
      <c r="B53" s="70" t="s">
        <v>548</v>
      </c>
      <c r="C53" s="170" t="s">
        <v>183</v>
      </c>
      <c r="D53" s="41" t="s">
        <v>183</v>
      </c>
      <c r="E53" s="41" t="s">
        <v>183</v>
      </c>
      <c r="F53" s="41" t="s">
        <v>183</v>
      </c>
      <c r="G53" s="41" t="s">
        <v>183</v>
      </c>
      <c r="H53" s="41" t="s">
        <v>183</v>
      </c>
      <c r="I53" s="41" t="s">
        <v>183</v>
      </c>
      <c r="J53" s="41" t="s">
        <v>183</v>
      </c>
      <c r="K53" s="212" t="s">
        <v>32</v>
      </c>
      <c r="L53" s="32" t="s">
        <v>301</v>
      </c>
      <c r="M53" s="36" t="s">
        <v>33</v>
      </c>
      <c r="N53" s="170"/>
      <c r="O53" s="41"/>
      <c r="P53" s="58" t="s">
        <v>31</v>
      </c>
      <c r="Q53" s="142"/>
    </row>
    <row r="54" spans="2:17">
      <c r="B54" s="70" t="s">
        <v>548</v>
      </c>
      <c r="C54" s="170" t="s">
        <v>183</v>
      </c>
      <c r="D54" s="41" t="s">
        <v>183</v>
      </c>
      <c r="E54" s="41" t="s">
        <v>183</v>
      </c>
      <c r="F54" s="41" t="s">
        <v>183</v>
      </c>
      <c r="G54" s="41" t="s">
        <v>183</v>
      </c>
      <c r="H54" s="41" t="s">
        <v>183</v>
      </c>
      <c r="I54" s="41" t="s">
        <v>183</v>
      </c>
      <c r="J54" s="41" t="s">
        <v>183</v>
      </c>
      <c r="K54" s="212" t="s">
        <v>32</v>
      </c>
      <c r="L54" s="32" t="s">
        <v>302</v>
      </c>
      <c r="M54" s="36" t="s">
        <v>33</v>
      </c>
      <c r="N54" s="170"/>
      <c r="O54" s="41"/>
      <c r="P54" s="58" t="s">
        <v>31</v>
      </c>
      <c r="Q54" s="142"/>
    </row>
    <row r="55" spans="2:17">
      <c r="B55" s="70" t="s">
        <v>548</v>
      </c>
      <c r="C55" s="170" t="s">
        <v>183</v>
      </c>
      <c r="D55" s="41" t="s">
        <v>183</v>
      </c>
      <c r="E55" s="41" t="s">
        <v>183</v>
      </c>
      <c r="F55" s="41" t="s">
        <v>183</v>
      </c>
      <c r="G55" s="41" t="s">
        <v>183</v>
      </c>
      <c r="H55" s="41" t="s">
        <v>183</v>
      </c>
      <c r="I55" s="41" t="s">
        <v>183</v>
      </c>
      <c r="J55" s="41" t="s">
        <v>183</v>
      </c>
      <c r="K55" s="212" t="s">
        <v>32</v>
      </c>
      <c r="L55" s="32" t="s">
        <v>303</v>
      </c>
      <c r="M55" s="36" t="s">
        <v>33</v>
      </c>
      <c r="N55" s="170"/>
      <c r="O55" s="41"/>
      <c r="P55" s="58" t="s">
        <v>31</v>
      </c>
      <c r="Q55" s="142"/>
    </row>
    <row r="56" spans="2:17">
      <c r="B56" s="70" t="s">
        <v>548</v>
      </c>
      <c r="C56" s="170" t="s">
        <v>183</v>
      </c>
      <c r="D56" s="41" t="s">
        <v>183</v>
      </c>
      <c r="E56" s="41" t="s">
        <v>183</v>
      </c>
      <c r="F56" s="41" t="s">
        <v>183</v>
      </c>
      <c r="G56" s="41" t="s">
        <v>183</v>
      </c>
      <c r="H56" s="41" t="s">
        <v>183</v>
      </c>
      <c r="I56" s="41" t="s">
        <v>183</v>
      </c>
      <c r="J56" s="41" t="s">
        <v>183</v>
      </c>
      <c r="K56" s="212" t="s">
        <v>32</v>
      </c>
      <c r="L56" s="32" t="s">
        <v>304</v>
      </c>
      <c r="M56" s="36" t="s">
        <v>33</v>
      </c>
      <c r="N56" s="170"/>
      <c r="O56" s="41"/>
      <c r="P56" s="58" t="s">
        <v>31</v>
      </c>
      <c r="Q56" s="142"/>
    </row>
    <row r="57" spans="2:17">
      <c r="B57" s="70" t="s">
        <v>548</v>
      </c>
      <c r="C57" s="170" t="s">
        <v>183</v>
      </c>
      <c r="D57" s="41" t="s">
        <v>183</v>
      </c>
      <c r="E57" s="41" t="s">
        <v>183</v>
      </c>
      <c r="F57" s="41" t="s">
        <v>183</v>
      </c>
      <c r="G57" s="41" t="s">
        <v>183</v>
      </c>
      <c r="H57" s="41" t="s">
        <v>183</v>
      </c>
      <c r="I57" s="41" t="s">
        <v>183</v>
      </c>
      <c r="J57" s="41" t="s">
        <v>183</v>
      </c>
      <c r="K57" s="212" t="s">
        <v>32</v>
      </c>
      <c r="L57" s="32" t="s">
        <v>305</v>
      </c>
      <c r="M57" s="36" t="s">
        <v>33</v>
      </c>
      <c r="N57" s="170"/>
      <c r="O57" s="41"/>
      <c r="P57" s="58" t="s">
        <v>31</v>
      </c>
      <c r="Q57" s="142"/>
    </row>
    <row r="58" spans="2:17">
      <c r="B58" s="70" t="s">
        <v>548</v>
      </c>
      <c r="C58" s="170" t="s">
        <v>183</v>
      </c>
      <c r="D58" s="41" t="s">
        <v>183</v>
      </c>
      <c r="E58" s="41" t="s">
        <v>183</v>
      </c>
      <c r="F58" s="41" t="s">
        <v>183</v>
      </c>
      <c r="G58" s="41" t="s">
        <v>183</v>
      </c>
      <c r="H58" s="41" t="s">
        <v>183</v>
      </c>
      <c r="I58" s="41" t="s">
        <v>183</v>
      </c>
      <c r="J58" s="41" t="s">
        <v>183</v>
      </c>
      <c r="K58" s="212" t="s">
        <v>32</v>
      </c>
      <c r="L58" s="32" t="s">
        <v>306</v>
      </c>
      <c r="M58" s="36" t="s">
        <v>33</v>
      </c>
      <c r="N58" s="170"/>
      <c r="O58" s="41"/>
      <c r="P58" s="58" t="s">
        <v>31</v>
      </c>
      <c r="Q58" s="142"/>
    </row>
    <row r="59" spans="2:17">
      <c r="B59" s="70" t="s">
        <v>568</v>
      </c>
      <c r="C59" s="170" t="s">
        <v>183</v>
      </c>
      <c r="D59" s="41" t="s">
        <v>183</v>
      </c>
      <c r="E59" s="41" t="s">
        <v>183</v>
      </c>
      <c r="F59" s="41" t="s">
        <v>183</v>
      </c>
      <c r="G59" s="41" t="s">
        <v>183</v>
      </c>
      <c r="H59" s="41" t="s">
        <v>183</v>
      </c>
      <c r="I59" s="41" t="s">
        <v>183</v>
      </c>
      <c r="J59" s="41" t="s">
        <v>183</v>
      </c>
      <c r="K59" s="212" t="s">
        <v>32</v>
      </c>
      <c r="L59" s="32" t="s">
        <v>307</v>
      </c>
      <c r="M59" s="36" t="s">
        <v>601</v>
      </c>
      <c r="N59" s="170"/>
      <c r="O59" s="41"/>
      <c r="P59" s="58" t="s">
        <v>550</v>
      </c>
      <c r="Q59" s="142"/>
    </row>
    <row r="60" spans="2:17">
      <c r="B60" s="70" t="s">
        <v>569</v>
      </c>
      <c r="C60" s="170" t="s">
        <v>183</v>
      </c>
      <c r="D60" s="41" t="s">
        <v>183</v>
      </c>
      <c r="E60" s="41" t="s">
        <v>183</v>
      </c>
      <c r="F60" s="41" t="s">
        <v>183</v>
      </c>
      <c r="G60" s="41" t="s">
        <v>183</v>
      </c>
      <c r="H60" s="41" t="s">
        <v>183</v>
      </c>
      <c r="I60" s="41" t="s">
        <v>183</v>
      </c>
      <c r="J60" s="41" t="s">
        <v>183</v>
      </c>
      <c r="K60" s="212" t="s">
        <v>32</v>
      </c>
      <c r="L60" s="32" t="s">
        <v>308</v>
      </c>
      <c r="M60" s="36" t="s">
        <v>609</v>
      </c>
      <c r="N60" s="170"/>
      <c r="O60" s="41"/>
      <c r="P60" s="58" t="s">
        <v>551</v>
      </c>
      <c r="Q60" s="142"/>
    </row>
    <row r="61" spans="2:17">
      <c r="B61" s="70" t="s">
        <v>548</v>
      </c>
      <c r="C61" s="170" t="s">
        <v>183</v>
      </c>
      <c r="D61" s="41" t="s">
        <v>183</v>
      </c>
      <c r="E61" s="41" t="s">
        <v>183</v>
      </c>
      <c r="F61" s="41" t="s">
        <v>183</v>
      </c>
      <c r="G61" s="41" t="s">
        <v>183</v>
      </c>
      <c r="H61" s="41" t="s">
        <v>183</v>
      </c>
      <c r="I61" s="41" t="s">
        <v>183</v>
      </c>
      <c r="J61" s="41" t="s">
        <v>183</v>
      </c>
      <c r="K61" s="212" t="s">
        <v>32</v>
      </c>
      <c r="L61" s="32" t="s">
        <v>309</v>
      </c>
      <c r="M61" s="36" t="s">
        <v>33</v>
      </c>
      <c r="N61" s="170"/>
      <c r="O61" s="41"/>
      <c r="P61" s="58" t="s">
        <v>31</v>
      </c>
      <c r="Q61" s="142"/>
    </row>
    <row r="62" spans="2:17">
      <c r="B62" s="70" t="s">
        <v>548</v>
      </c>
      <c r="C62" s="170" t="s">
        <v>183</v>
      </c>
      <c r="D62" s="41" t="s">
        <v>183</v>
      </c>
      <c r="E62" s="41" t="s">
        <v>183</v>
      </c>
      <c r="F62" s="41" t="s">
        <v>183</v>
      </c>
      <c r="G62" s="41" t="s">
        <v>183</v>
      </c>
      <c r="H62" s="41" t="s">
        <v>183</v>
      </c>
      <c r="I62" s="41" t="s">
        <v>183</v>
      </c>
      <c r="J62" s="41" t="s">
        <v>183</v>
      </c>
      <c r="K62" s="212" t="s">
        <v>32</v>
      </c>
      <c r="L62" s="32" t="s">
        <v>310</v>
      </c>
      <c r="M62" s="36" t="s">
        <v>33</v>
      </c>
      <c r="N62" s="170"/>
      <c r="O62" s="41"/>
      <c r="P62" s="58" t="s">
        <v>31</v>
      </c>
      <c r="Q62" s="142"/>
    </row>
    <row r="63" spans="2:17">
      <c r="B63" s="70" t="s">
        <v>570</v>
      </c>
      <c r="C63" s="170" t="s">
        <v>183</v>
      </c>
      <c r="D63" s="41" t="s">
        <v>183</v>
      </c>
      <c r="E63" s="41" t="s">
        <v>183</v>
      </c>
      <c r="F63" s="41" t="s">
        <v>183</v>
      </c>
      <c r="G63" s="41" t="s">
        <v>183</v>
      </c>
      <c r="H63" s="41" t="s">
        <v>183</v>
      </c>
      <c r="I63" s="41" t="s">
        <v>183</v>
      </c>
      <c r="J63" s="41" t="s">
        <v>183</v>
      </c>
      <c r="K63" s="212" t="s">
        <v>32</v>
      </c>
      <c r="L63" s="32" t="s">
        <v>311</v>
      </c>
      <c r="M63" s="36" t="s">
        <v>595</v>
      </c>
      <c r="N63" s="170"/>
      <c r="O63" s="41"/>
      <c r="P63" s="58" t="s">
        <v>552</v>
      </c>
      <c r="Q63" s="142"/>
    </row>
    <row r="64" spans="2:17">
      <c r="B64" s="70" t="s">
        <v>571</v>
      </c>
      <c r="C64" s="170" t="s">
        <v>183</v>
      </c>
      <c r="D64" s="41" t="s">
        <v>183</v>
      </c>
      <c r="E64" s="41" t="s">
        <v>183</v>
      </c>
      <c r="F64" s="41" t="s">
        <v>183</v>
      </c>
      <c r="G64" s="41" t="s">
        <v>183</v>
      </c>
      <c r="H64" s="41" t="s">
        <v>183</v>
      </c>
      <c r="I64" s="41" t="s">
        <v>183</v>
      </c>
      <c r="J64" s="41" t="s">
        <v>183</v>
      </c>
      <c r="K64" s="212" t="s">
        <v>32</v>
      </c>
      <c r="L64" s="32" t="s">
        <v>312</v>
      </c>
      <c r="M64" s="36" t="s">
        <v>589</v>
      </c>
      <c r="N64" s="170"/>
      <c r="O64" s="41"/>
      <c r="P64" s="58" t="s">
        <v>553</v>
      </c>
      <c r="Q64" s="142"/>
    </row>
    <row r="65" spans="2:17">
      <c r="B65" s="70" t="s">
        <v>571</v>
      </c>
      <c r="C65" s="170" t="s">
        <v>183</v>
      </c>
      <c r="D65" s="41" t="s">
        <v>183</v>
      </c>
      <c r="E65" s="41" t="s">
        <v>183</v>
      </c>
      <c r="F65" s="41" t="s">
        <v>183</v>
      </c>
      <c r="G65" s="41" t="s">
        <v>183</v>
      </c>
      <c r="H65" s="41" t="s">
        <v>183</v>
      </c>
      <c r="I65" s="41" t="s">
        <v>183</v>
      </c>
      <c r="J65" s="41" t="s">
        <v>183</v>
      </c>
      <c r="K65" s="212" t="s">
        <v>32</v>
      </c>
      <c r="L65" s="32" t="s">
        <v>313</v>
      </c>
      <c r="M65" s="36" t="s">
        <v>583</v>
      </c>
      <c r="N65" s="170"/>
      <c r="O65" s="41"/>
      <c r="P65" s="58" t="s">
        <v>553</v>
      </c>
      <c r="Q65" s="142"/>
    </row>
    <row r="66" spans="2:17">
      <c r="B66" s="70" t="s">
        <v>548</v>
      </c>
      <c r="C66" s="170" t="s">
        <v>183</v>
      </c>
      <c r="D66" s="41" t="s">
        <v>183</v>
      </c>
      <c r="E66" s="41" t="s">
        <v>183</v>
      </c>
      <c r="F66" s="41" t="s">
        <v>183</v>
      </c>
      <c r="G66" s="41" t="s">
        <v>183</v>
      </c>
      <c r="H66" s="41" t="s">
        <v>183</v>
      </c>
      <c r="I66" s="41" t="s">
        <v>183</v>
      </c>
      <c r="J66" s="41" t="s">
        <v>183</v>
      </c>
      <c r="K66" s="212" t="s">
        <v>32</v>
      </c>
      <c r="L66" s="32" t="s">
        <v>314</v>
      </c>
      <c r="M66" s="36" t="s">
        <v>33</v>
      </c>
      <c r="N66" s="170"/>
      <c r="O66" s="41"/>
      <c r="P66" s="58" t="s">
        <v>31</v>
      </c>
      <c r="Q66" s="142"/>
    </row>
    <row r="67" spans="2:17">
      <c r="B67" s="70" t="s">
        <v>548</v>
      </c>
      <c r="C67" s="170" t="s">
        <v>183</v>
      </c>
      <c r="D67" s="41" t="s">
        <v>183</v>
      </c>
      <c r="E67" s="41" t="s">
        <v>183</v>
      </c>
      <c r="F67" s="41" t="s">
        <v>183</v>
      </c>
      <c r="G67" s="41" t="s">
        <v>183</v>
      </c>
      <c r="H67" s="41" t="s">
        <v>183</v>
      </c>
      <c r="I67" s="41" t="s">
        <v>183</v>
      </c>
      <c r="J67" s="41" t="s">
        <v>183</v>
      </c>
      <c r="K67" s="212" t="s">
        <v>32</v>
      </c>
      <c r="L67" s="32" t="s">
        <v>315</v>
      </c>
      <c r="M67" s="36" t="s">
        <v>33</v>
      </c>
      <c r="N67" s="170"/>
      <c r="O67" s="41"/>
      <c r="P67" s="58" t="s">
        <v>31</v>
      </c>
      <c r="Q67" s="142"/>
    </row>
    <row r="68" spans="2:17">
      <c r="B68" s="70" t="s">
        <v>548</v>
      </c>
      <c r="C68" s="170" t="s">
        <v>183</v>
      </c>
      <c r="D68" s="41" t="s">
        <v>183</v>
      </c>
      <c r="E68" s="41" t="s">
        <v>183</v>
      </c>
      <c r="F68" s="41" t="s">
        <v>183</v>
      </c>
      <c r="G68" s="41" t="s">
        <v>183</v>
      </c>
      <c r="H68" s="41" t="s">
        <v>183</v>
      </c>
      <c r="I68" s="41" t="s">
        <v>183</v>
      </c>
      <c r="J68" s="41" t="s">
        <v>183</v>
      </c>
      <c r="K68" s="212" t="s">
        <v>32</v>
      </c>
      <c r="L68" s="32" t="s">
        <v>316</v>
      </c>
      <c r="M68" s="36" t="s">
        <v>33</v>
      </c>
      <c r="N68" s="170"/>
      <c r="O68" s="41"/>
      <c r="P68" s="58" t="s">
        <v>31</v>
      </c>
      <c r="Q68" s="142"/>
    </row>
    <row r="69" spans="2:17">
      <c r="B69" s="70" t="s">
        <v>548</v>
      </c>
      <c r="C69" s="170" t="s">
        <v>183</v>
      </c>
      <c r="D69" s="41" t="s">
        <v>183</v>
      </c>
      <c r="E69" s="41" t="s">
        <v>183</v>
      </c>
      <c r="F69" s="41" t="s">
        <v>183</v>
      </c>
      <c r="G69" s="41" t="s">
        <v>183</v>
      </c>
      <c r="H69" s="41" t="s">
        <v>183</v>
      </c>
      <c r="I69" s="41" t="s">
        <v>183</v>
      </c>
      <c r="J69" s="41" t="s">
        <v>183</v>
      </c>
      <c r="K69" s="212" t="s">
        <v>32</v>
      </c>
      <c r="L69" s="32" t="s">
        <v>317</v>
      </c>
      <c r="M69" s="36" t="s">
        <v>33</v>
      </c>
      <c r="N69" s="170"/>
      <c r="O69" s="41"/>
      <c r="P69" s="58" t="s">
        <v>31</v>
      </c>
      <c r="Q69" s="142"/>
    </row>
    <row r="70" spans="2:17">
      <c r="B70" s="70" t="s">
        <v>548</v>
      </c>
      <c r="C70" s="170" t="s">
        <v>183</v>
      </c>
      <c r="D70" s="41" t="s">
        <v>183</v>
      </c>
      <c r="E70" s="41" t="s">
        <v>183</v>
      </c>
      <c r="F70" s="41" t="s">
        <v>183</v>
      </c>
      <c r="G70" s="41" t="s">
        <v>183</v>
      </c>
      <c r="H70" s="41" t="s">
        <v>183</v>
      </c>
      <c r="I70" s="41" t="s">
        <v>183</v>
      </c>
      <c r="J70" s="41" t="s">
        <v>183</v>
      </c>
      <c r="K70" s="212" t="s">
        <v>32</v>
      </c>
      <c r="L70" s="32" t="s">
        <v>318</v>
      </c>
      <c r="M70" s="36" t="s">
        <v>33</v>
      </c>
      <c r="N70" s="170"/>
      <c r="O70" s="41"/>
      <c r="P70" s="58" t="s">
        <v>31</v>
      </c>
      <c r="Q70" s="142"/>
    </row>
    <row r="71" spans="2:17">
      <c r="B71" s="70" t="s">
        <v>548</v>
      </c>
      <c r="C71" s="170" t="s">
        <v>183</v>
      </c>
      <c r="D71" s="41" t="s">
        <v>183</v>
      </c>
      <c r="E71" s="41" t="s">
        <v>183</v>
      </c>
      <c r="F71" s="41" t="s">
        <v>183</v>
      </c>
      <c r="G71" s="41" t="s">
        <v>183</v>
      </c>
      <c r="H71" s="41" t="s">
        <v>183</v>
      </c>
      <c r="I71" s="41" t="s">
        <v>183</v>
      </c>
      <c r="J71" s="41" t="s">
        <v>183</v>
      </c>
      <c r="K71" s="212" t="s">
        <v>32</v>
      </c>
      <c r="L71" s="32" t="s">
        <v>319</v>
      </c>
      <c r="M71" s="36" t="s">
        <v>33</v>
      </c>
      <c r="N71" s="170"/>
      <c r="O71" s="41"/>
      <c r="P71" s="58" t="s">
        <v>31</v>
      </c>
      <c r="Q71" s="142"/>
    </row>
    <row r="72" spans="2:17">
      <c r="B72" s="70" t="s">
        <v>548</v>
      </c>
      <c r="C72" s="170" t="s">
        <v>183</v>
      </c>
      <c r="D72" s="41" t="s">
        <v>183</v>
      </c>
      <c r="E72" s="41" t="s">
        <v>183</v>
      </c>
      <c r="F72" s="41" t="s">
        <v>183</v>
      </c>
      <c r="G72" s="41" t="s">
        <v>183</v>
      </c>
      <c r="H72" s="41" t="s">
        <v>183</v>
      </c>
      <c r="I72" s="41" t="s">
        <v>183</v>
      </c>
      <c r="J72" s="41" t="s">
        <v>183</v>
      </c>
      <c r="K72" s="212" t="s">
        <v>32</v>
      </c>
      <c r="L72" s="32" t="s">
        <v>320</v>
      </c>
      <c r="M72" s="36" t="s">
        <v>33</v>
      </c>
      <c r="N72" s="170"/>
      <c r="O72" s="41"/>
      <c r="P72" s="58" t="s">
        <v>31</v>
      </c>
      <c r="Q72" s="142"/>
    </row>
    <row r="73" spans="2:17">
      <c r="B73" s="70" t="s">
        <v>548</v>
      </c>
      <c r="C73" s="170" t="s">
        <v>183</v>
      </c>
      <c r="D73" s="41" t="s">
        <v>183</v>
      </c>
      <c r="E73" s="41" t="s">
        <v>183</v>
      </c>
      <c r="F73" s="41" t="s">
        <v>183</v>
      </c>
      <c r="G73" s="41" t="s">
        <v>183</v>
      </c>
      <c r="H73" s="41" t="s">
        <v>183</v>
      </c>
      <c r="I73" s="41" t="s">
        <v>183</v>
      </c>
      <c r="J73" s="41" t="s">
        <v>183</v>
      </c>
      <c r="K73" s="212" t="s">
        <v>32</v>
      </c>
      <c r="L73" s="32" t="s">
        <v>321</v>
      </c>
      <c r="M73" s="36" t="s">
        <v>33</v>
      </c>
      <c r="N73" s="170"/>
      <c r="O73" s="41"/>
      <c r="P73" s="58" t="s">
        <v>31</v>
      </c>
      <c r="Q73" s="142"/>
    </row>
    <row r="74" spans="2:17">
      <c r="B74" s="70" t="s">
        <v>548</v>
      </c>
      <c r="C74" s="170" t="s">
        <v>183</v>
      </c>
      <c r="D74" s="41" t="s">
        <v>183</v>
      </c>
      <c r="E74" s="41" t="s">
        <v>183</v>
      </c>
      <c r="F74" s="41" t="s">
        <v>183</v>
      </c>
      <c r="G74" s="41" t="s">
        <v>183</v>
      </c>
      <c r="H74" s="41" t="s">
        <v>183</v>
      </c>
      <c r="I74" s="41" t="s">
        <v>183</v>
      </c>
      <c r="J74" s="41" t="s">
        <v>183</v>
      </c>
      <c r="K74" s="212" t="s">
        <v>32</v>
      </c>
      <c r="L74" s="32" t="s">
        <v>322</v>
      </c>
      <c r="M74" s="36" t="s">
        <v>33</v>
      </c>
      <c r="N74" s="170"/>
      <c r="O74" s="41"/>
      <c r="P74" s="58" t="s">
        <v>31</v>
      </c>
      <c r="Q74" s="142"/>
    </row>
    <row r="75" spans="2:17">
      <c r="B75" s="70" t="s">
        <v>568</v>
      </c>
      <c r="C75" s="170" t="s">
        <v>183</v>
      </c>
      <c r="D75" s="41" t="s">
        <v>183</v>
      </c>
      <c r="E75" s="41" t="s">
        <v>183</v>
      </c>
      <c r="F75" s="41" t="s">
        <v>183</v>
      </c>
      <c r="G75" s="41" t="s">
        <v>183</v>
      </c>
      <c r="H75" s="41" t="s">
        <v>183</v>
      </c>
      <c r="I75" s="41" t="s">
        <v>183</v>
      </c>
      <c r="J75" s="41" t="s">
        <v>183</v>
      </c>
      <c r="K75" s="212" t="s">
        <v>32</v>
      </c>
      <c r="L75" s="32" t="s">
        <v>323</v>
      </c>
      <c r="M75" s="36" t="s">
        <v>602</v>
      </c>
      <c r="N75" s="170"/>
      <c r="O75" s="41"/>
      <c r="P75" s="58" t="s">
        <v>550</v>
      </c>
      <c r="Q75" s="142"/>
    </row>
    <row r="76" spans="2:17">
      <c r="B76" s="70" t="s">
        <v>569</v>
      </c>
      <c r="C76" s="170" t="s">
        <v>183</v>
      </c>
      <c r="D76" s="41" t="s">
        <v>183</v>
      </c>
      <c r="E76" s="41" t="s">
        <v>183</v>
      </c>
      <c r="F76" s="41" t="s">
        <v>183</v>
      </c>
      <c r="G76" s="41" t="s">
        <v>183</v>
      </c>
      <c r="H76" s="41" t="s">
        <v>183</v>
      </c>
      <c r="I76" s="41" t="s">
        <v>183</v>
      </c>
      <c r="J76" s="41" t="s">
        <v>183</v>
      </c>
      <c r="K76" s="212" t="s">
        <v>32</v>
      </c>
      <c r="L76" s="32" t="s">
        <v>324</v>
      </c>
      <c r="M76" s="36" t="s">
        <v>610</v>
      </c>
      <c r="N76" s="170"/>
      <c r="O76" s="41"/>
      <c r="P76" s="58" t="s">
        <v>551</v>
      </c>
      <c r="Q76" s="142"/>
    </row>
    <row r="77" spans="2:17">
      <c r="B77" s="70" t="s">
        <v>548</v>
      </c>
      <c r="C77" s="170" t="s">
        <v>183</v>
      </c>
      <c r="D77" s="41" t="s">
        <v>183</v>
      </c>
      <c r="E77" s="41" t="s">
        <v>183</v>
      </c>
      <c r="F77" s="41" t="s">
        <v>183</v>
      </c>
      <c r="G77" s="41" t="s">
        <v>183</v>
      </c>
      <c r="H77" s="41" t="s">
        <v>183</v>
      </c>
      <c r="I77" s="41" t="s">
        <v>183</v>
      </c>
      <c r="J77" s="41" t="s">
        <v>183</v>
      </c>
      <c r="K77" s="212" t="s">
        <v>32</v>
      </c>
      <c r="L77" s="32" t="s">
        <v>325</v>
      </c>
      <c r="M77" s="36" t="s">
        <v>33</v>
      </c>
      <c r="N77" s="170"/>
      <c r="O77" s="41"/>
      <c r="P77" s="58" t="s">
        <v>31</v>
      </c>
      <c r="Q77" s="142"/>
    </row>
    <row r="78" spans="2:17">
      <c r="B78" s="70" t="s">
        <v>548</v>
      </c>
      <c r="C78" s="170" t="s">
        <v>183</v>
      </c>
      <c r="D78" s="41" t="s">
        <v>183</v>
      </c>
      <c r="E78" s="41" t="s">
        <v>183</v>
      </c>
      <c r="F78" s="41" t="s">
        <v>183</v>
      </c>
      <c r="G78" s="41" t="s">
        <v>183</v>
      </c>
      <c r="H78" s="41" t="s">
        <v>183</v>
      </c>
      <c r="I78" s="41" t="s">
        <v>183</v>
      </c>
      <c r="J78" s="41" t="s">
        <v>183</v>
      </c>
      <c r="K78" s="212" t="s">
        <v>32</v>
      </c>
      <c r="L78" s="32" t="s">
        <v>326</v>
      </c>
      <c r="M78" s="36" t="s">
        <v>33</v>
      </c>
      <c r="N78" s="170"/>
      <c r="O78" s="41"/>
      <c r="P78" s="58" t="s">
        <v>31</v>
      </c>
      <c r="Q78" s="142"/>
    </row>
    <row r="79" spans="2:17">
      <c r="B79" s="70" t="s">
        <v>570</v>
      </c>
      <c r="C79" s="170" t="s">
        <v>183</v>
      </c>
      <c r="D79" s="41" t="s">
        <v>183</v>
      </c>
      <c r="E79" s="41" t="s">
        <v>183</v>
      </c>
      <c r="F79" s="41" t="s">
        <v>183</v>
      </c>
      <c r="G79" s="41" t="s">
        <v>183</v>
      </c>
      <c r="H79" s="41" t="s">
        <v>183</v>
      </c>
      <c r="I79" s="41" t="s">
        <v>183</v>
      </c>
      <c r="J79" s="41" t="s">
        <v>183</v>
      </c>
      <c r="K79" s="212" t="s">
        <v>32</v>
      </c>
      <c r="L79" s="32" t="s">
        <v>327</v>
      </c>
      <c r="M79" s="36" t="s">
        <v>596</v>
      </c>
      <c r="N79" s="170"/>
      <c r="O79" s="41"/>
      <c r="P79" s="58" t="s">
        <v>552</v>
      </c>
      <c r="Q79" s="142"/>
    </row>
    <row r="80" spans="2:17">
      <c r="B80" s="70" t="s">
        <v>571</v>
      </c>
      <c r="C80" s="170" t="s">
        <v>183</v>
      </c>
      <c r="D80" s="41" t="s">
        <v>183</v>
      </c>
      <c r="E80" s="41" t="s">
        <v>183</v>
      </c>
      <c r="F80" s="41" t="s">
        <v>183</v>
      </c>
      <c r="G80" s="41" t="s">
        <v>183</v>
      </c>
      <c r="H80" s="41" t="s">
        <v>183</v>
      </c>
      <c r="I80" s="41" t="s">
        <v>183</v>
      </c>
      <c r="J80" s="41" t="s">
        <v>183</v>
      </c>
      <c r="K80" s="212" t="s">
        <v>32</v>
      </c>
      <c r="L80" s="32" t="s">
        <v>328</v>
      </c>
      <c r="M80" s="36" t="s">
        <v>590</v>
      </c>
      <c r="N80" s="170"/>
      <c r="O80" s="41"/>
      <c r="P80" s="58" t="s">
        <v>553</v>
      </c>
      <c r="Q80" s="142"/>
    </row>
    <row r="81" spans="2:17">
      <c r="B81" s="70" t="s">
        <v>571</v>
      </c>
      <c r="C81" s="170" t="s">
        <v>183</v>
      </c>
      <c r="D81" s="41" t="s">
        <v>183</v>
      </c>
      <c r="E81" s="41" t="s">
        <v>183</v>
      </c>
      <c r="F81" s="41" t="s">
        <v>183</v>
      </c>
      <c r="G81" s="41" t="s">
        <v>183</v>
      </c>
      <c r="H81" s="41" t="s">
        <v>183</v>
      </c>
      <c r="I81" s="41" t="s">
        <v>183</v>
      </c>
      <c r="J81" s="41" t="s">
        <v>183</v>
      </c>
      <c r="K81" s="212" t="s">
        <v>32</v>
      </c>
      <c r="L81" s="32" t="s">
        <v>329</v>
      </c>
      <c r="M81" s="36" t="s">
        <v>584</v>
      </c>
      <c r="N81" s="170"/>
      <c r="O81" s="41"/>
      <c r="P81" s="58" t="s">
        <v>553</v>
      </c>
      <c r="Q81" s="142"/>
    </row>
    <row r="82" spans="2:17">
      <c r="B82" s="70" t="s">
        <v>548</v>
      </c>
      <c r="C82" s="170" t="s">
        <v>183</v>
      </c>
      <c r="D82" s="41" t="s">
        <v>183</v>
      </c>
      <c r="E82" s="41" t="s">
        <v>183</v>
      </c>
      <c r="F82" s="41" t="s">
        <v>183</v>
      </c>
      <c r="G82" s="41" t="s">
        <v>183</v>
      </c>
      <c r="H82" s="41" t="s">
        <v>183</v>
      </c>
      <c r="I82" s="41" t="s">
        <v>183</v>
      </c>
      <c r="J82" s="41" t="s">
        <v>183</v>
      </c>
      <c r="K82" s="212" t="s">
        <v>32</v>
      </c>
      <c r="L82" s="32" t="s">
        <v>330</v>
      </c>
      <c r="M82" s="36" t="s">
        <v>33</v>
      </c>
      <c r="N82" s="170"/>
      <c r="O82" s="41"/>
      <c r="P82" s="58" t="s">
        <v>31</v>
      </c>
      <c r="Q82" s="142"/>
    </row>
    <row r="83" spans="2:17">
      <c r="B83" s="70" t="s">
        <v>548</v>
      </c>
      <c r="C83" s="170" t="s">
        <v>183</v>
      </c>
      <c r="D83" s="41" t="s">
        <v>183</v>
      </c>
      <c r="E83" s="41" t="s">
        <v>183</v>
      </c>
      <c r="F83" s="41" t="s">
        <v>183</v>
      </c>
      <c r="G83" s="41" t="s">
        <v>183</v>
      </c>
      <c r="H83" s="41" t="s">
        <v>183</v>
      </c>
      <c r="I83" s="41" t="s">
        <v>183</v>
      </c>
      <c r="J83" s="41" t="s">
        <v>183</v>
      </c>
      <c r="K83" s="212" t="s">
        <v>32</v>
      </c>
      <c r="L83" s="32" t="s">
        <v>331</v>
      </c>
      <c r="M83" s="36" t="s">
        <v>33</v>
      </c>
      <c r="N83" s="170"/>
      <c r="O83" s="41"/>
      <c r="P83" s="58" t="s">
        <v>31</v>
      </c>
      <c r="Q83" s="142"/>
    </row>
    <row r="84" spans="2:17">
      <c r="B84" s="70" t="s">
        <v>548</v>
      </c>
      <c r="C84" s="170" t="s">
        <v>183</v>
      </c>
      <c r="D84" s="41" t="s">
        <v>183</v>
      </c>
      <c r="E84" s="41" t="s">
        <v>183</v>
      </c>
      <c r="F84" s="41" t="s">
        <v>183</v>
      </c>
      <c r="G84" s="41" t="s">
        <v>183</v>
      </c>
      <c r="H84" s="41" t="s">
        <v>183</v>
      </c>
      <c r="I84" s="41" t="s">
        <v>183</v>
      </c>
      <c r="J84" s="41" t="s">
        <v>183</v>
      </c>
      <c r="K84" s="212" t="s">
        <v>32</v>
      </c>
      <c r="L84" s="32" t="s">
        <v>332</v>
      </c>
      <c r="M84" s="36" t="s">
        <v>33</v>
      </c>
      <c r="N84" s="170"/>
      <c r="O84" s="41"/>
      <c r="P84" s="58" t="s">
        <v>31</v>
      </c>
      <c r="Q84" s="142"/>
    </row>
    <row r="85" spans="2:17">
      <c r="B85" s="70" t="s">
        <v>548</v>
      </c>
      <c r="C85" s="170" t="s">
        <v>183</v>
      </c>
      <c r="D85" s="41" t="s">
        <v>183</v>
      </c>
      <c r="E85" s="41" t="s">
        <v>183</v>
      </c>
      <c r="F85" s="41" t="s">
        <v>183</v>
      </c>
      <c r="G85" s="41" t="s">
        <v>183</v>
      </c>
      <c r="H85" s="41" t="s">
        <v>183</v>
      </c>
      <c r="I85" s="41" t="s">
        <v>183</v>
      </c>
      <c r="J85" s="41" t="s">
        <v>183</v>
      </c>
      <c r="K85" s="212" t="s">
        <v>32</v>
      </c>
      <c r="L85" s="32" t="s">
        <v>333</v>
      </c>
      <c r="M85" s="36" t="s">
        <v>33</v>
      </c>
      <c r="N85" s="170"/>
      <c r="O85" s="41"/>
      <c r="P85" s="58" t="s">
        <v>31</v>
      </c>
      <c r="Q85" s="142"/>
    </row>
    <row r="86" spans="2:17">
      <c r="B86" s="70" t="s">
        <v>548</v>
      </c>
      <c r="C86" s="170" t="s">
        <v>183</v>
      </c>
      <c r="D86" s="41" t="s">
        <v>183</v>
      </c>
      <c r="E86" s="41" t="s">
        <v>183</v>
      </c>
      <c r="F86" s="41" t="s">
        <v>183</v>
      </c>
      <c r="G86" s="41" t="s">
        <v>183</v>
      </c>
      <c r="H86" s="41" t="s">
        <v>183</v>
      </c>
      <c r="I86" s="41" t="s">
        <v>183</v>
      </c>
      <c r="J86" s="41" t="s">
        <v>183</v>
      </c>
      <c r="K86" s="212" t="s">
        <v>32</v>
      </c>
      <c r="L86" s="32" t="s">
        <v>334</v>
      </c>
      <c r="M86" s="36" t="s">
        <v>33</v>
      </c>
      <c r="N86" s="170"/>
      <c r="O86" s="41"/>
      <c r="P86" s="58" t="s">
        <v>31</v>
      </c>
      <c r="Q86" s="142"/>
    </row>
    <row r="87" spans="2:17">
      <c r="B87" s="70" t="s">
        <v>548</v>
      </c>
      <c r="C87" s="170" t="s">
        <v>183</v>
      </c>
      <c r="D87" s="41" t="s">
        <v>183</v>
      </c>
      <c r="E87" s="41" t="s">
        <v>183</v>
      </c>
      <c r="F87" s="41" t="s">
        <v>183</v>
      </c>
      <c r="G87" s="41" t="s">
        <v>183</v>
      </c>
      <c r="H87" s="41" t="s">
        <v>183</v>
      </c>
      <c r="I87" s="41" t="s">
        <v>183</v>
      </c>
      <c r="J87" s="41" t="s">
        <v>183</v>
      </c>
      <c r="K87" s="212" t="s">
        <v>32</v>
      </c>
      <c r="L87" s="32" t="s">
        <v>335</v>
      </c>
      <c r="M87" s="36" t="s">
        <v>33</v>
      </c>
      <c r="N87" s="170"/>
      <c r="O87" s="41"/>
      <c r="P87" s="58" t="s">
        <v>31</v>
      </c>
      <c r="Q87" s="142"/>
    </row>
    <row r="88" spans="2:17">
      <c r="B88" s="70" t="s">
        <v>548</v>
      </c>
      <c r="C88" s="170" t="s">
        <v>183</v>
      </c>
      <c r="D88" s="41" t="s">
        <v>183</v>
      </c>
      <c r="E88" s="41" t="s">
        <v>183</v>
      </c>
      <c r="F88" s="41" t="s">
        <v>183</v>
      </c>
      <c r="G88" s="41" t="s">
        <v>183</v>
      </c>
      <c r="H88" s="41" t="s">
        <v>183</v>
      </c>
      <c r="I88" s="41" t="s">
        <v>183</v>
      </c>
      <c r="J88" s="41" t="s">
        <v>183</v>
      </c>
      <c r="K88" s="212" t="s">
        <v>32</v>
      </c>
      <c r="L88" s="32" t="s">
        <v>336</v>
      </c>
      <c r="M88" s="36" t="s">
        <v>33</v>
      </c>
      <c r="N88" s="170"/>
      <c r="O88" s="41"/>
      <c r="P88" s="58" t="s">
        <v>31</v>
      </c>
      <c r="Q88" s="142"/>
    </row>
    <row r="89" spans="2:17">
      <c r="B89" s="70" t="s">
        <v>548</v>
      </c>
      <c r="C89" s="170" t="s">
        <v>183</v>
      </c>
      <c r="D89" s="41" t="s">
        <v>183</v>
      </c>
      <c r="E89" s="41" t="s">
        <v>183</v>
      </c>
      <c r="F89" s="41" t="s">
        <v>183</v>
      </c>
      <c r="G89" s="41" t="s">
        <v>183</v>
      </c>
      <c r="H89" s="41" t="s">
        <v>183</v>
      </c>
      <c r="I89" s="41" t="s">
        <v>183</v>
      </c>
      <c r="J89" s="41" t="s">
        <v>183</v>
      </c>
      <c r="K89" s="212" t="s">
        <v>32</v>
      </c>
      <c r="L89" s="32" t="s">
        <v>337</v>
      </c>
      <c r="M89" s="36" t="s">
        <v>33</v>
      </c>
      <c r="N89" s="170"/>
      <c r="O89" s="41"/>
      <c r="P89" s="58" t="s">
        <v>31</v>
      </c>
      <c r="Q89" s="142"/>
    </row>
    <row r="90" spans="2:17">
      <c r="B90" s="70" t="s">
        <v>548</v>
      </c>
      <c r="C90" s="170" t="s">
        <v>183</v>
      </c>
      <c r="D90" s="41" t="s">
        <v>183</v>
      </c>
      <c r="E90" s="41" t="s">
        <v>183</v>
      </c>
      <c r="F90" s="41" t="s">
        <v>183</v>
      </c>
      <c r="G90" s="41" t="s">
        <v>183</v>
      </c>
      <c r="H90" s="41" t="s">
        <v>183</v>
      </c>
      <c r="I90" s="41" t="s">
        <v>183</v>
      </c>
      <c r="J90" s="41" t="s">
        <v>183</v>
      </c>
      <c r="K90" s="212" t="s">
        <v>32</v>
      </c>
      <c r="L90" s="32" t="s">
        <v>338</v>
      </c>
      <c r="M90" s="36" t="s">
        <v>33</v>
      </c>
      <c r="N90" s="170"/>
      <c r="O90" s="41"/>
      <c r="P90" s="58" t="s">
        <v>31</v>
      </c>
      <c r="Q90" s="142"/>
    </row>
    <row r="91" spans="2:17">
      <c r="B91" s="70" t="s">
        <v>548</v>
      </c>
      <c r="C91" s="170" t="s">
        <v>183</v>
      </c>
      <c r="D91" s="41" t="s">
        <v>183</v>
      </c>
      <c r="E91" s="41" t="s">
        <v>183</v>
      </c>
      <c r="F91" s="41" t="s">
        <v>183</v>
      </c>
      <c r="G91" s="41" t="s">
        <v>183</v>
      </c>
      <c r="H91" s="41" t="s">
        <v>183</v>
      </c>
      <c r="I91" s="41" t="s">
        <v>183</v>
      </c>
      <c r="J91" s="41" t="s">
        <v>183</v>
      </c>
      <c r="K91" s="212" t="s">
        <v>32</v>
      </c>
      <c r="L91" s="32" t="s">
        <v>339</v>
      </c>
      <c r="M91" s="36" t="s">
        <v>33</v>
      </c>
      <c r="N91" s="170"/>
      <c r="O91" s="41"/>
      <c r="P91" s="58" t="s">
        <v>31</v>
      </c>
      <c r="Q91" s="142"/>
    </row>
    <row r="92" spans="2:17">
      <c r="B92" s="70" t="s">
        <v>548</v>
      </c>
      <c r="C92" s="170" t="s">
        <v>183</v>
      </c>
      <c r="D92" s="41" t="s">
        <v>183</v>
      </c>
      <c r="E92" s="41" t="s">
        <v>183</v>
      </c>
      <c r="F92" s="41" t="s">
        <v>183</v>
      </c>
      <c r="G92" s="41" t="s">
        <v>183</v>
      </c>
      <c r="H92" s="41" t="s">
        <v>183</v>
      </c>
      <c r="I92" s="41" t="s">
        <v>183</v>
      </c>
      <c r="J92" s="41" t="s">
        <v>183</v>
      </c>
      <c r="K92" s="212" t="s">
        <v>32</v>
      </c>
      <c r="L92" s="32" t="s">
        <v>340</v>
      </c>
      <c r="M92" s="36" t="s">
        <v>33</v>
      </c>
      <c r="N92" s="170"/>
      <c r="O92" s="41"/>
      <c r="P92" s="58" t="s">
        <v>31</v>
      </c>
      <c r="Q92" s="142"/>
    </row>
    <row r="93" spans="2:17">
      <c r="B93" s="70" t="s">
        <v>548</v>
      </c>
      <c r="C93" s="170" t="s">
        <v>183</v>
      </c>
      <c r="D93" s="41" t="s">
        <v>183</v>
      </c>
      <c r="E93" s="41" t="s">
        <v>183</v>
      </c>
      <c r="F93" s="41" t="s">
        <v>183</v>
      </c>
      <c r="G93" s="41" t="s">
        <v>183</v>
      </c>
      <c r="H93" s="41" t="s">
        <v>183</v>
      </c>
      <c r="I93" s="41" t="s">
        <v>183</v>
      </c>
      <c r="J93" s="41" t="s">
        <v>183</v>
      </c>
      <c r="K93" s="212" t="s">
        <v>32</v>
      </c>
      <c r="L93" s="32" t="s">
        <v>341</v>
      </c>
      <c r="M93" s="36" t="s">
        <v>33</v>
      </c>
      <c r="N93" s="170"/>
      <c r="O93" s="41"/>
      <c r="P93" s="58" t="s">
        <v>31</v>
      </c>
      <c r="Q93" s="142"/>
    </row>
    <row r="94" spans="2:17">
      <c r="B94" s="70" t="s">
        <v>548</v>
      </c>
      <c r="C94" s="170" t="s">
        <v>183</v>
      </c>
      <c r="D94" s="41" t="s">
        <v>183</v>
      </c>
      <c r="E94" s="41" t="s">
        <v>183</v>
      </c>
      <c r="F94" s="41" t="s">
        <v>183</v>
      </c>
      <c r="G94" s="41" t="s">
        <v>183</v>
      </c>
      <c r="H94" s="41" t="s">
        <v>183</v>
      </c>
      <c r="I94" s="41" t="s">
        <v>183</v>
      </c>
      <c r="J94" s="41" t="s">
        <v>183</v>
      </c>
      <c r="K94" s="212" t="s">
        <v>32</v>
      </c>
      <c r="L94" s="32" t="s">
        <v>342</v>
      </c>
      <c r="M94" s="36" t="s">
        <v>33</v>
      </c>
      <c r="N94" s="170"/>
      <c r="O94" s="41"/>
      <c r="P94" s="58" t="s">
        <v>31</v>
      </c>
      <c r="Q94" s="142"/>
    </row>
    <row r="95" spans="2:17">
      <c r="B95" s="70" t="s">
        <v>570</v>
      </c>
      <c r="C95" s="170" t="s">
        <v>183</v>
      </c>
      <c r="D95" s="41" t="s">
        <v>183</v>
      </c>
      <c r="E95" s="41" t="s">
        <v>183</v>
      </c>
      <c r="F95" s="41" t="s">
        <v>183</v>
      </c>
      <c r="G95" s="41" t="s">
        <v>183</v>
      </c>
      <c r="H95" s="41" t="s">
        <v>183</v>
      </c>
      <c r="I95" s="41" t="s">
        <v>183</v>
      </c>
      <c r="J95" s="41" t="s">
        <v>183</v>
      </c>
      <c r="K95" s="212" t="s">
        <v>32</v>
      </c>
      <c r="L95" s="32" t="s">
        <v>343</v>
      </c>
      <c r="M95" s="36" t="s">
        <v>597</v>
      </c>
      <c r="N95" s="170"/>
      <c r="O95" s="41"/>
      <c r="P95" s="58" t="s">
        <v>552</v>
      </c>
      <c r="Q95" s="142"/>
    </row>
    <row r="96" spans="2:17">
      <c r="B96" s="70" t="s">
        <v>571</v>
      </c>
      <c r="C96" s="170" t="s">
        <v>183</v>
      </c>
      <c r="D96" s="41" t="s">
        <v>183</v>
      </c>
      <c r="E96" s="41" t="s">
        <v>183</v>
      </c>
      <c r="F96" s="41" t="s">
        <v>183</v>
      </c>
      <c r="G96" s="41" t="s">
        <v>183</v>
      </c>
      <c r="H96" s="41" t="s">
        <v>183</v>
      </c>
      <c r="I96" s="41" t="s">
        <v>183</v>
      </c>
      <c r="J96" s="41" t="s">
        <v>183</v>
      </c>
      <c r="K96" s="212" t="s">
        <v>32</v>
      </c>
      <c r="L96" s="32" t="s">
        <v>344</v>
      </c>
      <c r="M96" s="36" t="s">
        <v>591</v>
      </c>
      <c r="N96" s="170"/>
      <c r="O96" s="41"/>
      <c r="P96" s="58" t="s">
        <v>553</v>
      </c>
      <c r="Q96" s="142"/>
    </row>
    <row r="97" spans="2:17">
      <c r="B97" s="70" t="s">
        <v>571</v>
      </c>
      <c r="C97" s="170" t="s">
        <v>183</v>
      </c>
      <c r="D97" s="41" t="s">
        <v>183</v>
      </c>
      <c r="E97" s="41" t="s">
        <v>183</v>
      </c>
      <c r="F97" s="41" t="s">
        <v>183</v>
      </c>
      <c r="G97" s="41" t="s">
        <v>183</v>
      </c>
      <c r="H97" s="41" t="s">
        <v>183</v>
      </c>
      <c r="I97" s="41" t="s">
        <v>183</v>
      </c>
      <c r="J97" s="41" t="s">
        <v>183</v>
      </c>
      <c r="K97" s="212" t="s">
        <v>32</v>
      </c>
      <c r="L97" s="32" t="s">
        <v>345</v>
      </c>
      <c r="M97" s="36" t="s">
        <v>585</v>
      </c>
      <c r="N97" s="170"/>
      <c r="O97" s="41"/>
      <c r="P97" s="58" t="s">
        <v>553</v>
      </c>
      <c r="Q97" s="142"/>
    </row>
    <row r="98" spans="2:17">
      <c r="B98" s="70" t="s">
        <v>548</v>
      </c>
      <c r="C98" s="170" t="s">
        <v>183</v>
      </c>
      <c r="D98" s="41" t="s">
        <v>183</v>
      </c>
      <c r="E98" s="41" t="s">
        <v>183</v>
      </c>
      <c r="F98" s="41" t="s">
        <v>183</v>
      </c>
      <c r="G98" s="41" t="s">
        <v>183</v>
      </c>
      <c r="H98" s="41" t="s">
        <v>183</v>
      </c>
      <c r="I98" s="41" t="s">
        <v>183</v>
      </c>
      <c r="J98" s="41" t="s">
        <v>183</v>
      </c>
      <c r="K98" s="212" t="s">
        <v>32</v>
      </c>
      <c r="L98" s="32" t="s">
        <v>346</v>
      </c>
      <c r="M98" s="36" t="s">
        <v>33</v>
      </c>
      <c r="N98" s="170"/>
      <c r="O98" s="41"/>
      <c r="P98" s="58" t="s">
        <v>31</v>
      </c>
      <c r="Q98" s="142"/>
    </row>
    <row r="99" spans="2:17">
      <c r="B99" s="70" t="s">
        <v>548</v>
      </c>
      <c r="C99" s="170" t="s">
        <v>183</v>
      </c>
      <c r="D99" s="41" t="s">
        <v>183</v>
      </c>
      <c r="E99" s="41" t="s">
        <v>183</v>
      </c>
      <c r="F99" s="41" t="s">
        <v>183</v>
      </c>
      <c r="G99" s="41" t="s">
        <v>183</v>
      </c>
      <c r="H99" s="41" t="s">
        <v>183</v>
      </c>
      <c r="I99" s="41" t="s">
        <v>183</v>
      </c>
      <c r="J99" s="41" t="s">
        <v>183</v>
      </c>
      <c r="K99" s="212" t="s">
        <v>32</v>
      </c>
      <c r="L99" s="32" t="s">
        <v>347</v>
      </c>
      <c r="M99" s="36" t="s">
        <v>33</v>
      </c>
      <c r="N99" s="170"/>
      <c r="O99" s="41"/>
      <c r="P99" s="58" t="s">
        <v>31</v>
      </c>
      <c r="Q99" s="142"/>
    </row>
    <row r="100" spans="2:17">
      <c r="B100" s="70" t="s">
        <v>548</v>
      </c>
      <c r="C100" s="170" t="s">
        <v>183</v>
      </c>
      <c r="D100" s="41" t="s">
        <v>183</v>
      </c>
      <c r="E100" s="41" t="s">
        <v>183</v>
      </c>
      <c r="F100" s="41" t="s">
        <v>183</v>
      </c>
      <c r="G100" s="41" t="s">
        <v>183</v>
      </c>
      <c r="H100" s="41" t="s">
        <v>183</v>
      </c>
      <c r="I100" s="41" t="s">
        <v>183</v>
      </c>
      <c r="J100" s="41" t="s">
        <v>183</v>
      </c>
      <c r="K100" s="212" t="s">
        <v>32</v>
      </c>
      <c r="L100" s="32" t="s">
        <v>348</v>
      </c>
      <c r="M100" s="36" t="s">
        <v>33</v>
      </c>
      <c r="N100" s="170"/>
      <c r="O100" s="41"/>
      <c r="P100" s="58" t="s">
        <v>31</v>
      </c>
      <c r="Q100" s="142"/>
    </row>
    <row r="101" spans="2:17">
      <c r="B101" s="70" t="s">
        <v>548</v>
      </c>
      <c r="C101" s="170" t="s">
        <v>183</v>
      </c>
      <c r="D101" s="41" t="s">
        <v>183</v>
      </c>
      <c r="E101" s="41" t="s">
        <v>183</v>
      </c>
      <c r="F101" s="41" t="s">
        <v>183</v>
      </c>
      <c r="G101" s="41" t="s">
        <v>183</v>
      </c>
      <c r="H101" s="41" t="s">
        <v>183</v>
      </c>
      <c r="I101" s="41" t="s">
        <v>183</v>
      </c>
      <c r="J101" s="41" t="s">
        <v>183</v>
      </c>
      <c r="K101" s="212" t="s">
        <v>32</v>
      </c>
      <c r="L101" s="32" t="s">
        <v>349</v>
      </c>
      <c r="M101" s="36" t="s">
        <v>33</v>
      </c>
      <c r="N101" s="170"/>
      <c r="O101" s="41"/>
      <c r="P101" s="58" t="s">
        <v>31</v>
      </c>
      <c r="Q101" s="142"/>
    </row>
    <row r="102" spans="2:17">
      <c r="B102" s="70" t="s">
        <v>548</v>
      </c>
      <c r="C102" s="170" t="s">
        <v>183</v>
      </c>
      <c r="D102" s="41" t="s">
        <v>183</v>
      </c>
      <c r="E102" s="41" t="s">
        <v>183</v>
      </c>
      <c r="F102" s="41" t="s">
        <v>183</v>
      </c>
      <c r="G102" s="41" t="s">
        <v>183</v>
      </c>
      <c r="H102" s="41" t="s">
        <v>183</v>
      </c>
      <c r="I102" s="41" t="s">
        <v>183</v>
      </c>
      <c r="J102" s="41" t="s">
        <v>183</v>
      </c>
      <c r="K102" s="212" t="s">
        <v>32</v>
      </c>
      <c r="L102" s="32" t="s">
        <v>350</v>
      </c>
      <c r="M102" s="36" t="s">
        <v>33</v>
      </c>
      <c r="N102" s="170"/>
      <c r="O102" s="41"/>
      <c r="P102" s="58" t="s">
        <v>31</v>
      </c>
      <c r="Q102" s="142"/>
    </row>
    <row r="103" spans="2:17">
      <c r="B103" s="70" t="s">
        <v>548</v>
      </c>
      <c r="C103" s="170" t="s">
        <v>183</v>
      </c>
      <c r="D103" s="41" t="s">
        <v>183</v>
      </c>
      <c r="E103" s="41" t="s">
        <v>183</v>
      </c>
      <c r="F103" s="41" t="s">
        <v>183</v>
      </c>
      <c r="G103" s="41" t="s">
        <v>183</v>
      </c>
      <c r="H103" s="41" t="s">
        <v>183</v>
      </c>
      <c r="I103" s="41" t="s">
        <v>183</v>
      </c>
      <c r="J103" s="41" t="s">
        <v>183</v>
      </c>
      <c r="K103" s="212" t="s">
        <v>32</v>
      </c>
      <c r="L103" s="32" t="s">
        <v>351</v>
      </c>
      <c r="M103" s="36" t="s">
        <v>33</v>
      </c>
      <c r="N103" s="170"/>
      <c r="O103" s="41"/>
      <c r="P103" s="58" t="s">
        <v>31</v>
      </c>
      <c r="Q103" s="142"/>
    </row>
    <row r="104" spans="2:17">
      <c r="B104" s="70" t="s">
        <v>548</v>
      </c>
      <c r="C104" s="170" t="s">
        <v>183</v>
      </c>
      <c r="D104" s="41" t="s">
        <v>183</v>
      </c>
      <c r="E104" s="41" t="s">
        <v>183</v>
      </c>
      <c r="F104" s="41" t="s">
        <v>183</v>
      </c>
      <c r="G104" s="41" t="s">
        <v>183</v>
      </c>
      <c r="H104" s="41" t="s">
        <v>183</v>
      </c>
      <c r="I104" s="41" t="s">
        <v>183</v>
      </c>
      <c r="J104" s="41" t="s">
        <v>183</v>
      </c>
      <c r="K104" s="212" t="s">
        <v>32</v>
      </c>
      <c r="L104" s="32" t="s">
        <v>352</v>
      </c>
      <c r="M104" s="36" t="s">
        <v>33</v>
      </c>
      <c r="N104" s="170"/>
      <c r="O104" s="41"/>
      <c r="P104" s="58" t="s">
        <v>31</v>
      </c>
      <c r="Q104" s="142"/>
    </row>
    <row r="105" spans="2:17">
      <c r="B105" s="70" t="s">
        <v>548</v>
      </c>
      <c r="C105" s="170" t="s">
        <v>183</v>
      </c>
      <c r="D105" s="41" t="s">
        <v>183</v>
      </c>
      <c r="E105" s="41" t="s">
        <v>183</v>
      </c>
      <c r="F105" s="41" t="s">
        <v>183</v>
      </c>
      <c r="G105" s="41" t="s">
        <v>183</v>
      </c>
      <c r="H105" s="41" t="s">
        <v>183</v>
      </c>
      <c r="I105" s="41" t="s">
        <v>183</v>
      </c>
      <c r="J105" s="41" t="s">
        <v>183</v>
      </c>
      <c r="K105" s="212" t="s">
        <v>32</v>
      </c>
      <c r="L105" s="32" t="s">
        <v>353</v>
      </c>
      <c r="M105" s="36" t="s">
        <v>33</v>
      </c>
      <c r="N105" s="170"/>
      <c r="O105" s="41"/>
      <c r="P105" s="58" t="s">
        <v>31</v>
      </c>
      <c r="Q105" s="142"/>
    </row>
    <row r="106" spans="2:17">
      <c r="B106" s="70" t="s">
        <v>548</v>
      </c>
      <c r="C106" s="170" t="s">
        <v>183</v>
      </c>
      <c r="D106" s="41" t="s">
        <v>183</v>
      </c>
      <c r="E106" s="41" t="s">
        <v>183</v>
      </c>
      <c r="F106" s="41" t="s">
        <v>183</v>
      </c>
      <c r="G106" s="41" t="s">
        <v>183</v>
      </c>
      <c r="H106" s="41" t="s">
        <v>183</v>
      </c>
      <c r="I106" s="41" t="s">
        <v>183</v>
      </c>
      <c r="J106" s="41" t="s">
        <v>183</v>
      </c>
      <c r="K106" s="212" t="s">
        <v>32</v>
      </c>
      <c r="L106" s="32" t="s">
        <v>354</v>
      </c>
      <c r="M106" s="36" t="s">
        <v>33</v>
      </c>
      <c r="N106" s="170"/>
      <c r="O106" s="41"/>
      <c r="P106" s="58" t="s">
        <v>31</v>
      </c>
      <c r="Q106" s="142"/>
    </row>
    <row r="107" spans="2:17">
      <c r="B107" s="70" t="s">
        <v>568</v>
      </c>
      <c r="C107" s="170" t="s">
        <v>183</v>
      </c>
      <c r="D107" s="41" t="s">
        <v>183</v>
      </c>
      <c r="E107" s="41" t="s">
        <v>183</v>
      </c>
      <c r="F107" s="41" t="s">
        <v>183</v>
      </c>
      <c r="G107" s="41" t="s">
        <v>183</v>
      </c>
      <c r="H107" s="41" t="s">
        <v>183</v>
      </c>
      <c r="I107" s="41" t="s">
        <v>183</v>
      </c>
      <c r="J107" s="41" t="s">
        <v>183</v>
      </c>
      <c r="K107" s="212" t="s">
        <v>32</v>
      </c>
      <c r="L107" s="32" t="s">
        <v>355</v>
      </c>
      <c r="M107" s="36" t="s">
        <v>603</v>
      </c>
      <c r="N107" s="170"/>
      <c r="O107" s="41"/>
      <c r="P107" s="58" t="s">
        <v>550</v>
      </c>
      <c r="Q107" s="142"/>
    </row>
    <row r="108" spans="2:17">
      <c r="B108" s="70" t="s">
        <v>548</v>
      </c>
      <c r="C108" s="170" t="s">
        <v>183</v>
      </c>
      <c r="D108" s="41" t="s">
        <v>183</v>
      </c>
      <c r="E108" s="41" t="s">
        <v>183</v>
      </c>
      <c r="F108" s="41" t="s">
        <v>183</v>
      </c>
      <c r="G108" s="41" t="s">
        <v>183</v>
      </c>
      <c r="H108" s="41" t="s">
        <v>183</v>
      </c>
      <c r="I108" s="41" t="s">
        <v>183</v>
      </c>
      <c r="J108" s="41" t="s">
        <v>183</v>
      </c>
      <c r="K108" s="212" t="s">
        <v>32</v>
      </c>
      <c r="L108" s="32" t="s">
        <v>356</v>
      </c>
      <c r="M108" s="36" t="s">
        <v>33</v>
      </c>
      <c r="N108" s="170"/>
      <c r="O108" s="41"/>
      <c r="P108" s="58" t="s">
        <v>31</v>
      </c>
      <c r="Q108" s="142"/>
    </row>
    <row r="109" spans="2:17">
      <c r="B109" s="70" t="s">
        <v>569</v>
      </c>
      <c r="C109" s="170" t="s">
        <v>183</v>
      </c>
      <c r="D109" s="41" t="s">
        <v>183</v>
      </c>
      <c r="E109" s="41" t="s">
        <v>183</v>
      </c>
      <c r="F109" s="41" t="s">
        <v>183</v>
      </c>
      <c r="G109" s="41" t="s">
        <v>183</v>
      </c>
      <c r="H109" s="41" t="s">
        <v>183</v>
      </c>
      <c r="I109" s="41" t="s">
        <v>183</v>
      </c>
      <c r="J109" s="41" t="s">
        <v>183</v>
      </c>
      <c r="K109" s="212" t="s">
        <v>32</v>
      </c>
      <c r="L109" s="32" t="s">
        <v>357</v>
      </c>
      <c r="M109" s="36" t="s">
        <v>611</v>
      </c>
      <c r="N109" s="170"/>
      <c r="O109" s="41"/>
      <c r="P109" s="58" t="s">
        <v>551</v>
      </c>
      <c r="Q109" s="142"/>
    </row>
    <row r="110" spans="2:17">
      <c r="B110" s="70" t="s">
        <v>548</v>
      </c>
      <c r="C110" s="170" t="s">
        <v>183</v>
      </c>
      <c r="D110" s="41" t="s">
        <v>183</v>
      </c>
      <c r="E110" s="41" t="s">
        <v>183</v>
      </c>
      <c r="F110" s="41" t="s">
        <v>183</v>
      </c>
      <c r="G110" s="41" t="s">
        <v>183</v>
      </c>
      <c r="H110" s="41" t="s">
        <v>183</v>
      </c>
      <c r="I110" s="41" t="s">
        <v>183</v>
      </c>
      <c r="J110" s="41" t="s">
        <v>183</v>
      </c>
      <c r="K110" s="212" t="s">
        <v>32</v>
      </c>
      <c r="L110" s="32" t="s">
        <v>358</v>
      </c>
      <c r="M110" s="36" t="s">
        <v>33</v>
      </c>
      <c r="N110" s="170"/>
      <c r="O110" s="41"/>
      <c r="P110" s="58" t="s">
        <v>31</v>
      </c>
      <c r="Q110" s="142"/>
    </row>
    <row r="111" spans="2:17">
      <c r="B111" s="70" t="s">
        <v>548</v>
      </c>
      <c r="C111" s="170" t="s">
        <v>183</v>
      </c>
      <c r="D111" s="41" t="s">
        <v>183</v>
      </c>
      <c r="E111" s="41" t="s">
        <v>183</v>
      </c>
      <c r="F111" s="41" t="s">
        <v>183</v>
      </c>
      <c r="G111" s="41" t="s">
        <v>183</v>
      </c>
      <c r="H111" s="41" t="s">
        <v>183</v>
      </c>
      <c r="I111" s="41" t="s">
        <v>183</v>
      </c>
      <c r="J111" s="41" t="s">
        <v>183</v>
      </c>
      <c r="K111" s="212" t="s">
        <v>32</v>
      </c>
      <c r="L111" s="32" t="s">
        <v>359</v>
      </c>
      <c r="M111" s="36" t="s">
        <v>33</v>
      </c>
      <c r="N111" s="170"/>
      <c r="O111" s="41"/>
      <c r="P111" s="58" t="s">
        <v>31</v>
      </c>
      <c r="Q111" s="142"/>
    </row>
    <row r="112" spans="2:17">
      <c r="B112" s="70" t="s">
        <v>548</v>
      </c>
      <c r="C112" s="170" t="s">
        <v>183</v>
      </c>
      <c r="D112" s="41" t="s">
        <v>183</v>
      </c>
      <c r="E112" s="41" t="s">
        <v>183</v>
      </c>
      <c r="F112" s="41" t="s">
        <v>183</v>
      </c>
      <c r="G112" s="41" t="s">
        <v>183</v>
      </c>
      <c r="H112" s="41" t="s">
        <v>183</v>
      </c>
      <c r="I112" s="41" t="s">
        <v>183</v>
      </c>
      <c r="J112" s="41" t="s">
        <v>183</v>
      </c>
      <c r="K112" s="212" t="s">
        <v>32</v>
      </c>
      <c r="L112" s="32" t="s">
        <v>360</v>
      </c>
      <c r="M112" s="36" t="s">
        <v>33</v>
      </c>
      <c r="N112" s="170"/>
      <c r="O112" s="41"/>
      <c r="P112" s="58" t="s">
        <v>31</v>
      </c>
      <c r="Q112" s="142"/>
    </row>
    <row r="113" spans="2:17">
      <c r="B113" s="70" t="s">
        <v>548</v>
      </c>
      <c r="C113" s="170" t="s">
        <v>183</v>
      </c>
      <c r="D113" s="41" t="s">
        <v>183</v>
      </c>
      <c r="E113" s="41" t="s">
        <v>183</v>
      </c>
      <c r="F113" s="41" t="s">
        <v>183</v>
      </c>
      <c r="G113" s="41" t="s">
        <v>183</v>
      </c>
      <c r="H113" s="41" t="s">
        <v>183</v>
      </c>
      <c r="I113" s="41" t="s">
        <v>183</v>
      </c>
      <c r="J113" s="41" t="s">
        <v>183</v>
      </c>
      <c r="K113" s="212" t="s">
        <v>32</v>
      </c>
      <c r="L113" s="32" t="s">
        <v>361</v>
      </c>
      <c r="M113" s="36" t="s">
        <v>33</v>
      </c>
      <c r="N113" s="170"/>
      <c r="O113" s="41"/>
      <c r="P113" s="58" t="s">
        <v>31</v>
      </c>
      <c r="Q113" s="142"/>
    </row>
    <row r="114" spans="2:17">
      <c r="B114" s="70" t="s">
        <v>548</v>
      </c>
      <c r="C114" s="170" t="s">
        <v>183</v>
      </c>
      <c r="D114" s="41" t="s">
        <v>183</v>
      </c>
      <c r="E114" s="41" t="s">
        <v>183</v>
      </c>
      <c r="F114" s="41" t="s">
        <v>183</v>
      </c>
      <c r="G114" s="41" t="s">
        <v>183</v>
      </c>
      <c r="H114" s="41" t="s">
        <v>183</v>
      </c>
      <c r="I114" s="41" t="s">
        <v>183</v>
      </c>
      <c r="J114" s="41" t="s">
        <v>183</v>
      </c>
      <c r="K114" s="212" t="s">
        <v>32</v>
      </c>
      <c r="L114" s="32" t="s">
        <v>362</v>
      </c>
      <c r="M114" s="36" t="s">
        <v>33</v>
      </c>
      <c r="N114" s="170"/>
      <c r="O114" s="41"/>
      <c r="P114" s="58" t="s">
        <v>31</v>
      </c>
      <c r="Q114" s="142"/>
    </row>
    <row r="115" spans="2:17">
      <c r="B115" s="70" t="s">
        <v>548</v>
      </c>
      <c r="C115" s="170" t="s">
        <v>183</v>
      </c>
      <c r="D115" s="41" t="s">
        <v>183</v>
      </c>
      <c r="E115" s="41" t="s">
        <v>183</v>
      </c>
      <c r="F115" s="41" t="s">
        <v>183</v>
      </c>
      <c r="G115" s="41" t="s">
        <v>183</v>
      </c>
      <c r="H115" s="41" t="s">
        <v>183</v>
      </c>
      <c r="I115" s="41" t="s">
        <v>183</v>
      </c>
      <c r="J115" s="41" t="s">
        <v>183</v>
      </c>
      <c r="K115" s="212" t="s">
        <v>32</v>
      </c>
      <c r="L115" s="32" t="s">
        <v>363</v>
      </c>
      <c r="M115" s="36" t="s">
        <v>33</v>
      </c>
      <c r="N115" s="170"/>
      <c r="O115" s="41"/>
      <c r="P115" s="58" t="s">
        <v>31</v>
      </c>
      <c r="Q115" s="142"/>
    </row>
    <row r="116" spans="2:17">
      <c r="B116" s="70" t="s">
        <v>548</v>
      </c>
      <c r="C116" s="170" t="s">
        <v>183</v>
      </c>
      <c r="D116" s="41" t="s">
        <v>183</v>
      </c>
      <c r="E116" s="41" t="s">
        <v>183</v>
      </c>
      <c r="F116" s="41" t="s">
        <v>183</v>
      </c>
      <c r="G116" s="41" t="s">
        <v>183</v>
      </c>
      <c r="H116" s="41" t="s">
        <v>183</v>
      </c>
      <c r="I116" s="41" t="s">
        <v>183</v>
      </c>
      <c r="J116" s="41" t="s">
        <v>183</v>
      </c>
      <c r="K116" s="212" t="s">
        <v>32</v>
      </c>
      <c r="L116" s="32" t="s">
        <v>364</v>
      </c>
      <c r="M116" s="36" t="s">
        <v>33</v>
      </c>
      <c r="N116" s="170"/>
      <c r="O116" s="41"/>
      <c r="P116" s="58" t="s">
        <v>31</v>
      </c>
      <c r="Q116" s="142"/>
    </row>
    <row r="117" spans="2:17">
      <c r="B117" s="70" t="s">
        <v>548</v>
      </c>
      <c r="C117" s="170" t="s">
        <v>183</v>
      </c>
      <c r="D117" s="41" t="s">
        <v>183</v>
      </c>
      <c r="E117" s="41" t="s">
        <v>183</v>
      </c>
      <c r="F117" s="41" t="s">
        <v>183</v>
      </c>
      <c r="G117" s="41" t="s">
        <v>183</v>
      </c>
      <c r="H117" s="41" t="s">
        <v>183</v>
      </c>
      <c r="I117" s="41" t="s">
        <v>183</v>
      </c>
      <c r="J117" s="41" t="s">
        <v>183</v>
      </c>
      <c r="K117" s="212" t="s">
        <v>32</v>
      </c>
      <c r="L117" s="32" t="s">
        <v>365</v>
      </c>
      <c r="M117" s="36" t="s">
        <v>33</v>
      </c>
      <c r="N117" s="170"/>
      <c r="O117" s="41"/>
      <c r="P117" s="58" t="s">
        <v>31</v>
      </c>
      <c r="Q117" s="142"/>
    </row>
    <row r="118" spans="2:17">
      <c r="B118" s="70" t="s">
        <v>548</v>
      </c>
      <c r="C118" s="170" t="s">
        <v>183</v>
      </c>
      <c r="D118" s="41" t="s">
        <v>183</v>
      </c>
      <c r="E118" s="41" t="s">
        <v>183</v>
      </c>
      <c r="F118" s="41" t="s">
        <v>183</v>
      </c>
      <c r="G118" s="41" t="s">
        <v>183</v>
      </c>
      <c r="H118" s="41" t="s">
        <v>183</v>
      </c>
      <c r="I118" s="41" t="s">
        <v>183</v>
      </c>
      <c r="J118" s="41" t="s">
        <v>183</v>
      </c>
      <c r="K118" s="212" t="s">
        <v>32</v>
      </c>
      <c r="L118" s="32" t="s">
        <v>366</v>
      </c>
      <c r="M118" s="36" t="s">
        <v>33</v>
      </c>
      <c r="N118" s="170"/>
      <c r="O118" s="41"/>
      <c r="P118" s="58" t="s">
        <v>31</v>
      </c>
      <c r="Q118" s="142"/>
    </row>
    <row r="119" spans="2:17">
      <c r="B119" s="70" t="s">
        <v>548</v>
      </c>
      <c r="C119" s="170" t="s">
        <v>183</v>
      </c>
      <c r="D119" s="41" t="s">
        <v>183</v>
      </c>
      <c r="E119" s="41" t="s">
        <v>183</v>
      </c>
      <c r="F119" s="41" t="s">
        <v>183</v>
      </c>
      <c r="G119" s="41" t="s">
        <v>183</v>
      </c>
      <c r="H119" s="41" t="s">
        <v>183</v>
      </c>
      <c r="I119" s="41" t="s">
        <v>183</v>
      </c>
      <c r="J119" s="41" t="s">
        <v>183</v>
      </c>
      <c r="K119" s="212" t="s">
        <v>32</v>
      </c>
      <c r="L119" s="32" t="s">
        <v>367</v>
      </c>
      <c r="M119" s="36" t="s">
        <v>33</v>
      </c>
      <c r="N119" s="170"/>
      <c r="O119" s="41"/>
      <c r="P119" s="58" t="s">
        <v>31</v>
      </c>
      <c r="Q119" s="142"/>
    </row>
    <row r="120" spans="2:17">
      <c r="B120" s="70" t="s">
        <v>548</v>
      </c>
      <c r="C120" s="170" t="s">
        <v>183</v>
      </c>
      <c r="D120" s="41" t="s">
        <v>183</v>
      </c>
      <c r="E120" s="41" t="s">
        <v>183</v>
      </c>
      <c r="F120" s="41" t="s">
        <v>183</v>
      </c>
      <c r="G120" s="41" t="s">
        <v>183</v>
      </c>
      <c r="H120" s="41" t="s">
        <v>183</v>
      </c>
      <c r="I120" s="41" t="s">
        <v>183</v>
      </c>
      <c r="J120" s="41" t="s">
        <v>183</v>
      </c>
      <c r="K120" s="212" t="s">
        <v>32</v>
      </c>
      <c r="L120" s="32" t="s">
        <v>368</v>
      </c>
      <c r="M120" s="36" t="s">
        <v>33</v>
      </c>
      <c r="N120" s="170"/>
      <c r="O120" s="41"/>
      <c r="P120" s="58" t="s">
        <v>31</v>
      </c>
      <c r="Q120" s="142"/>
    </row>
    <row r="121" spans="2:17">
      <c r="B121" s="70" t="s">
        <v>548</v>
      </c>
      <c r="C121" s="170" t="s">
        <v>183</v>
      </c>
      <c r="D121" s="41" t="s">
        <v>183</v>
      </c>
      <c r="E121" s="41" t="s">
        <v>183</v>
      </c>
      <c r="F121" s="41" t="s">
        <v>183</v>
      </c>
      <c r="G121" s="41" t="s">
        <v>183</v>
      </c>
      <c r="H121" s="41" t="s">
        <v>183</v>
      </c>
      <c r="I121" s="41" t="s">
        <v>183</v>
      </c>
      <c r="J121" s="41" t="s">
        <v>183</v>
      </c>
      <c r="K121" s="212" t="s">
        <v>32</v>
      </c>
      <c r="L121" s="32" t="s">
        <v>369</v>
      </c>
      <c r="M121" s="36" t="s">
        <v>33</v>
      </c>
      <c r="N121" s="170"/>
      <c r="O121" s="41"/>
      <c r="P121" s="58" t="s">
        <v>31</v>
      </c>
      <c r="Q121" s="142"/>
    </row>
    <row r="122" spans="2:17">
      <c r="B122" s="70" t="s">
        <v>548</v>
      </c>
      <c r="C122" s="170" t="s">
        <v>183</v>
      </c>
      <c r="D122" s="41" t="s">
        <v>183</v>
      </c>
      <c r="E122" s="41" t="s">
        <v>183</v>
      </c>
      <c r="F122" s="41" t="s">
        <v>183</v>
      </c>
      <c r="G122" s="41" t="s">
        <v>183</v>
      </c>
      <c r="H122" s="41" t="s">
        <v>183</v>
      </c>
      <c r="I122" s="41" t="s">
        <v>183</v>
      </c>
      <c r="J122" s="41" t="s">
        <v>183</v>
      </c>
      <c r="K122" s="212" t="s">
        <v>32</v>
      </c>
      <c r="L122" s="32" t="s">
        <v>370</v>
      </c>
      <c r="M122" s="36" t="s">
        <v>33</v>
      </c>
      <c r="N122" s="170"/>
      <c r="O122" s="41"/>
      <c r="P122" s="58" t="s">
        <v>31</v>
      </c>
      <c r="Q122" s="142"/>
    </row>
    <row r="123" spans="2:17">
      <c r="B123" s="70" t="s">
        <v>548</v>
      </c>
      <c r="C123" s="170" t="s">
        <v>183</v>
      </c>
      <c r="D123" s="41" t="s">
        <v>183</v>
      </c>
      <c r="E123" s="41" t="s">
        <v>183</v>
      </c>
      <c r="F123" s="41" t="s">
        <v>183</v>
      </c>
      <c r="G123" s="41" t="s">
        <v>183</v>
      </c>
      <c r="H123" s="41" t="s">
        <v>183</v>
      </c>
      <c r="I123" s="41" t="s">
        <v>183</v>
      </c>
      <c r="J123" s="41" t="s">
        <v>183</v>
      </c>
      <c r="K123" s="212" t="s">
        <v>32</v>
      </c>
      <c r="L123" s="32" t="s">
        <v>371</v>
      </c>
      <c r="M123" s="36" t="s">
        <v>33</v>
      </c>
      <c r="N123" s="170"/>
      <c r="O123" s="41"/>
      <c r="P123" s="58" t="s">
        <v>31</v>
      </c>
      <c r="Q123" s="142"/>
    </row>
    <row r="124" spans="2:17">
      <c r="B124" s="70" t="s">
        <v>548</v>
      </c>
      <c r="C124" s="170" t="s">
        <v>183</v>
      </c>
      <c r="D124" s="41" t="s">
        <v>183</v>
      </c>
      <c r="E124" s="41" t="s">
        <v>183</v>
      </c>
      <c r="F124" s="41" t="s">
        <v>183</v>
      </c>
      <c r="G124" s="41" t="s">
        <v>183</v>
      </c>
      <c r="H124" s="41" t="s">
        <v>183</v>
      </c>
      <c r="I124" s="41" t="s">
        <v>183</v>
      </c>
      <c r="J124" s="41" t="s">
        <v>183</v>
      </c>
      <c r="K124" s="212" t="s">
        <v>32</v>
      </c>
      <c r="L124" s="32" t="s">
        <v>372</v>
      </c>
      <c r="M124" s="36" t="s">
        <v>33</v>
      </c>
      <c r="N124" s="170"/>
      <c r="O124" s="41"/>
      <c r="P124" s="58" t="s">
        <v>31</v>
      </c>
      <c r="Q124" s="142"/>
    </row>
    <row r="125" spans="2:17">
      <c r="B125" s="70" t="s">
        <v>569</v>
      </c>
      <c r="C125" s="170" t="s">
        <v>183</v>
      </c>
      <c r="D125" s="41" t="s">
        <v>183</v>
      </c>
      <c r="E125" s="41" t="s">
        <v>183</v>
      </c>
      <c r="F125" s="41" t="s">
        <v>183</v>
      </c>
      <c r="G125" s="41" t="s">
        <v>183</v>
      </c>
      <c r="H125" s="41" t="s">
        <v>183</v>
      </c>
      <c r="I125" s="41" t="s">
        <v>183</v>
      </c>
      <c r="J125" s="41" t="s">
        <v>183</v>
      </c>
      <c r="K125" s="212" t="s">
        <v>32</v>
      </c>
      <c r="L125" s="32" t="s">
        <v>373</v>
      </c>
      <c r="M125" s="36" t="s">
        <v>612</v>
      </c>
      <c r="N125" s="170"/>
      <c r="O125" s="41"/>
      <c r="P125" s="58" t="s">
        <v>551</v>
      </c>
      <c r="Q125" s="142"/>
    </row>
    <row r="126" spans="2:17">
      <c r="B126" s="70" t="s">
        <v>548</v>
      </c>
      <c r="C126" s="170" t="s">
        <v>183</v>
      </c>
      <c r="D126" s="41" t="s">
        <v>183</v>
      </c>
      <c r="E126" s="41" t="s">
        <v>183</v>
      </c>
      <c r="F126" s="41" t="s">
        <v>183</v>
      </c>
      <c r="G126" s="41" t="s">
        <v>183</v>
      </c>
      <c r="H126" s="41" t="s">
        <v>183</v>
      </c>
      <c r="I126" s="41" t="s">
        <v>183</v>
      </c>
      <c r="J126" s="41" t="s">
        <v>183</v>
      </c>
      <c r="K126" s="212" t="s">
        <v>32</v>
      </c>
      <c r="L126" s="32" t="s">
        <v>374</v>
      </c>
      <c r="M126" s="36" t="s">
        <v>33</v>
      </c>
      <c r="N126" s="170"/>
      <c r="O126" s="41"/>
      <c r="P126" s="58" t="s">
        <v>31</v>
      </c>
      <c r="Q126" s="142"/>
    </row>
    <row r="127" spans="2:17">
      <c r="B127" s="70" t="s">
        <v>548</v>
      </c>
      <c r="C127" s="170" t="s">
        <v>183</v>
      </c>
      <c r="D127" s="41" t="s">
        <v>183</v>
      </c>
      <c r="E127" s="41" t="s">
        <v>183</v>
      </c>
      <c r="F127" s="41" t="s">
        <v>183</v>
      </c>
      <c r="G127" s="41" t="s">
        <v>183</v>
      </c>
      <c r="H127" s="41" t="s">
        <v>183</v>
      </c>
      <c r="I127" s="41" t="s">
        <v>183</v>
      </c>
      <c r="J127" s="41" t="s">
        <v>183</v>
      </c>
      <c r="K127" s="212" t="s">
        <v>32</v>
      </c>
      <c r="L127" s="32" t="s">
        <v>375</v>
      </c>
      <c r="M127" s="36" t="s">
        <v>33</v>
      </c>
      <c r="N127" s="170"/>
      <c r="O127" s="41"/>
      <c r="P127" s="58" t="s">
        <v>31</v>
      </c>
      <c r="Q127" s="142"/>
    </row>
    <row r="128" spans="2:17">
      <c r="B128" s="70" t="s">
        <v>548</v>
      </c>
      <c r="C128" s="170" t="s">
        <v>183</v>
      </c>
      <c r="D128" s="41" t="s">
        <v>183</v>
      </c>
      <c r="E128" s="41" t="s">
        <v>183</v>
      </c>
      <c r="F128" s="41" t="s">
        <v>183</v>
      </c>
      <c r="G128" s="41" t="s">
        <v>183</v>
      </c>
      <c r="H128" s="41" t="s">
        <v>183</v>
      </c>
      <c r="I128" s="41" t="s">
        <v>183</v>
      </c>
      <c r="J128" s="41" t="s">
        <v>183</v>
      </c>
      <c r="K128" s="212" t="s">
        <v>32</v>
      </c>
      <c r="L128" s="32" t="s">
        <v>376</v>
      </c>
      <c r="M128" s="36" t="s">
        <v>33</v>
      </c>
      <c r="N128" s="170"/>
      <c r="O128" s="41"/>
      <c r="P128" s="58" t="s">
        <v>31</v>
      </c>
      <c r="Q128" s="142"/>
    </row>
    <row r="129" spans="2:17">
      <c r="B129" s="70" t="s">
        <v>548</v>
      </c>
      <c r="C129" s="170" t="s">
        <v>183</v>
      </c>
      <c r="D129" s="41" t="s">
        <v>183</v>
      </c>
      <c r="E129" s="41" t="s">
        <v>183</v>
      </c>
      <c r="F129" s="41" t="s">
        <v>183</v>
      </c>
      <c r="G129" s="41" t="s">
        <v>183</v>
      </c>
      <c r="H129" s="41" t="s">
        <v>183</v>
      </c>
      <c r="I129" s="41" t="s">
        <v>183</v>
      </c>
      <c r="J129" s="41" t="s">
        <v>183</v>
      </c>
      <c r="K129" s="212" t="s">
        <v>32</v>
      </c>
      <c r="L129" s="32" t="s">
        <v>377</v>
      </c>
      <c r="M129" s="36" t="s">
        <v>33</v>
      </c>
      <c r="N129" s="170"/>
      <c r="O129" s="41"/>
      <c r="P129" s="58" t="s">
        <v>31</v>
      </c>
      <c r="Q129" s="142"/>
    </row>
    <row r="130" spans="2:17">
      <c r="B130" s="70" t="s">
        <v>548</v>
      </c>
      <c r="C130" s="170" t="s">
        <v>183</v>
      </c>
      <c r="D130" s="41" t="s">
        <v>183</v>
      </c>
      <c r="E130" s="41" t="s">
        <v>183</v>
      </c>
      <c r="F130" s="41" t="s">
        <v>183</v>
      </c>
      <c r="G130" s="41" t="s">
        <v>183</v>
      </c>
      <c r="H130" s="41" t="s">
        <v>183</v>
      </c>
      <c r="I130" s="41" t="s">
        <v>183</v>
      </c>
      <c r="J130" s="41" t="s">
        <v>183</v>
      </c>
      <c r="K130" s="212" t="s">
        <v>32</v>
      </c>
      <c r="L130" s="32" t="s">
        <v>378</v>
      </c>
      <c r="M130" s="36" t="s">
        <v>33</v>
      </c>
      <c r="N130" s="170"/>
      <c r="O130" s="41"/>
      <c r="P130" s="58" t="s">
        <v>31</v>
      </c>
      <c r="Q130" s="142"/>
    </row>
    <row r="131" spans="2:17">
      <c r="B131" s="70" t="s">
        <v>548</v>
      </c>
      <c r="C131" s="170" t="s">
        <v>183</v>
      </c>
      <c r="D131" s="41" t="s">
        <v>183</v>
      </c>
      <c r="E131" s="41" t="s">
        <v>183</v>
      </c>
      <c r="F131" s="41" t="s">
        <v>183</v>
      </c>
      <c r="G131" s="41" t="s">
        <v>183</v>
      </c>
      <c r="H131" s="41" t="s">
        <v>183</v>
      </c>
      <c r="I131" s="41" t="s">
        <v>183</v>
      </c>
      <c r="J131" s="41" t="s">
        <v>183</v>
      </c>
      <c r="K131" s="212" t="s">
        <v>32</v>
      </c>
      <c r="L131" s="32" t="s">
        <v>379</v>
      </c>
      <c r="M131" s="36" t="s">
        <v>33</v>
      </c>
      <c r="N131" s="170"/>
      <c r="O131" s="41"/>
      <c r="P131" s="58" t="s">
        <v>31</v>
      </c>
      <c r="Q131" s="142"/>
    </row>
    <row r="132" spans="2:17">
      <c r="B132" s="70" t="s">
        <v>548</v>
      </c>
      <c r="C132" s="170" t="s">
        <v>183</v>
      </c>
      <c r="D132" s="41" t="s">
        <v>183</v>
      </c>
      <c r="E132" s="41" t="s">
        <v>183</v>
      </c>
      <c r="F132" s="41" t="s">
        <v>183</v>
      </c>
      <c r="G132" s="41" t="s">
        <v>183</v>
      </c>
      <c r="H132" s="41" t="s">
        <v>183</v>
      </c>
      <c r="I132" s="41" t="s">
        <v>183</v>
      </c>
      <c r="J132" s="41" t="s">
        <v>183</v>
      </c>
      <c r="K132" s="212" t="s">
        <v>32</v>
      </c>
      <c r="L132" s="32" t="s">
        <v>380</v>
      </c>
      <c r="M132" s="36" t="s">
        <v>33</v>
      </c>
      <c r="N132" s="170"/>
      <c r="O132" s="41"/>
      <c r="P132" s="58" t="s">
        <v>31</v>
      </c>
      <c r="Q132" s="142"/>
    </row>
    <row r="133" spans="2:17">
      <c r="B133" s="70" t="s">
        <v>548</v>
      </c>
      <c r="C133" s="170" t="s">
        <v>183</v>
      </c>
      <c r="D133" s="41" t="s">
        <v>183</v>
      </c>
      <c r="E133" s="41" t="s">
        <v>183</v>
      </c>
      <c r="F133" s="41" t="s">
        <v>183</v>
      </c>
      <c r="G133" s="41" t="s">
        <v>183</v>
      </c>
      <c r="H133" s="41" t="s">
        <v>183</v>
      </c>
      <c r="I133" s="41" t="s">
        <v>183</v>
      </c>
      <c r="J133" s="41" t="s">
        <v>183</v>
      </c>
      <c r="K133" s="212" t="s">
        <v>32</v>
      </c>
      <c r="L133" s="32" t="s">
        <v>381</v>
      </c>
      <c r="M133" s="36" t="s">
        <v>33</v>
      </c>
      <c r="N133" s="170"/>
      <c r="O133" s="41"/>
      <c r="P133" s="58" t="s">
        <v>31</v>
      </c>
      <c r="Q133" s="142"/>
    </row>
    <row r="134" spans="2:17">
      <c r="B134" s="70" t="s">
        <v>548</v>
      </c>
      <c r="C134" s="170" t="s">
        <v>183</v>
      </c>
      <c r="D134" s="41" t="s">
        <v>183</v>
      </c>
      <c r="E134" s="41" t="s">
        <v>183</v>
      </c>
      <c r="F134" s="41" t="s">
        <v>183</v>
      </c>
      <c r="G134" s="41" t="s">
        <v>183</v>
      </c>
      <c r="H134" s="41" t="s">
        <v>183</v>
      </c>
      <c r="I134" s="41" t="s">
        <v>183</v>
      </c>
      <c r="J134" s="41" t="s">
        <v>183</v>
      </c>
      <c r="K134" s="212" t="s">
        <v>32</v>
      </c>
      <c r="L134" s="32" t="s">
        <v>382</v>
      </c>
      <c r="M134" s="36" t="s">
        <v>33</v>
      </c>
      <c r="N134" s="170"/>
      <c r="O134" s="41"/>
      <c r="P134" s="58" t="s">
        <v>31</v>
      </c>
      <c r="Q134" s="142"/>
    </row>
    <row r="135" spans="2:17">
      <c r="B135" s="70" t="s">
        <v>548</v>
      </c>
      <c r="C135" s="170" t="s">
        <v>183</v>
      </c>
      <c r="D135" s="41" t="s">
        <v>183</v>
      </c>
      <c r="E135" s="41" t="s">
        <v>183</v>
      </c>
      <c r="F135" s="41" t="s">
        <v>183</v>
      </c>
      <c r="G135" s="41" t="s">
        <v>183</v>
      </c>
      <c r="H135" s="41" t="s">
        <v>183</v>
      </c>
      <c r="I135" s="41" t="s">
        <v>183</v>
      </c>
      <c r="J135" s="41" t="s">
        <v>183</v>
      </c>
      <c r="K135" s="212" t="s">
        <v>32</v>
      </c>
      <c r="L135" s="32" t="s">
        <v>383</v>
      </c>
      <c r="M135" s="36" t="s">
        <v>33</v>
      </c>
      <c r="N135" s="170"/>
      <c r="O135" s="41"/>
      <c r="P135" s="58" t="s">
        <v>31</v>
      </c>
      <c r="Q135" s="142"/>
    </row>
    <row r="136" spans="2:17">
      <c r="B136" s="70" t="s">
        <v>548</v>
      </c>
      <c r="C136" s="170" t="s">
        <v>183</v>
      </c>
      <c r="D136" s="41" t="s">
        <v>183</v>
      </c>
      <c r="E136" s="41" t="s">
        <v>183</v>
      </c>
      <c r="F136" s="41" t="s">
        <v>183</v>
      </c>
      <c r="G136" s="41" t="s">
        <v>183</v>
      </c>
      <c r="H136" s="41" t="s">
        <v>183</v>
      </c>
      <c r="I136" s="41" t="s">
        <v>183</v>
      </c>
      <c r="J136" s="41" t="s">
        <v>183</v>
      </c>
      <c r="K136" s="212" t="s">
        <v>32</v>
      </c>
      <c r="L136" s="32" t="s">
        <v>384</v>
      </c>
      <c r="M136" s="36" t="s">
        <v>33</v>
      </c>
      <c r="N136" s="170"/>
      <c r="O136" s="41"/>
      <c r="P136" s="58" t="s">
        <v>31</v>
      </c>
      <c r="Q136" s="142"/>
    </row>
    <row r="137" spans="2:17">
      <c r="B137" s="70" t="s">
        <v>548</v>
      </c>
      <c r="C137" s="170" t="s">
        <v>183</v>
      </c>
      <c r="D137" s="41" t="s">
        <v>183</v>
      </c>
      <c r="E137" s="41" t="s">
        <v>183</v>
      </c>
      <c r="F137" s="41" t="s">
        <v>183</v>
      </c>
      <c r="G137" s="41" t="s">
        <v>183</v>
      </c>
      <c r="H137" s="41" t="s">
        <v>183</v>
      </c>
      <c r="I137" s="41" t="s">
        <v>183</v>
      </c>
      <c r="J137" s="41" t="s">
        <v>183</v>
      </c>
      <c r="K137" s="212" t="s">
        <v>32</v>
      </c>
      <c r="L137" s="32" t="s">
        <v>385</v>
      </c>
      <c r="M137" s="36" t="s">
        <v>33</v>
      </c>
      <c r="N137" s="170"/>
      <c r="O137" s="41"/>
      <c r="P137" s="58" t="s">
        <v>31</v>
      </c>
      <c r="Q137" s="142"/>
    </row>
    <row r="138" spans="2:17">
      <c r="B138" s="70" t="s">
        <v>548</v>
      </c>
      <c r="C138" s="170" t="s">
        <v>183</v>
      </c>
      <c r="D138" s="41" t="s">
        <v>183</v>
      </c>
      <c r="E138" s="41" t="s">
        <v>183</v>
      </c>
      <c r="F138" s="41" t="s">
        <v>183</v>
      </c>
      <c r="G138" s="41" t="s">
        <v>183</v>
      </c>
      <c r="H138" s="41" t="s">
        <v>183</v>
      </c>
      <c r="I138" s="41" t="s">
        <v>183</v>
      </c>
      <c r="J138" s="41" t="s">
        <v>183</v>
      </c>
      <c r="K138" s="212" t="s">
        <v>32</v>
      </c>
      <c r="L138" s="32" t="s">
        <v>386</v>
      </c>
      <c r="M138" s="36" t="s">
        <v>33</v>
      </c>
      <c r="N138" s="170"/>
      <c r="O138" s="41"/>
      <c r="P138" s="58" t="s">
        <v>31</v>
      </c>
      <c r="Q138" s="142"/>
    </row>
    <row r="139" spans="2:17">
      <c r="B139" s="70" t="s">
        <v>548</v>
      </c>
      <c r="C139" s="170" t="s">
        <v>183</v>
      </c>
      <c r="D139" s="41" t="s">
        <v>183</v>
      </c>
      <c r="E139" s="41" t="s">
        <v>183</v>
      </c>
      <c r="F139" s="41" t="s">
        <v>183</v>
      </c>
      <c r="G139" s="41" t="s">
        <v>183</v>
      </c>
      <c r="H139" s="41" t="s">
        <v>183</v>
      </c>
      <c r="I139" s="41" t="s">
        <v>183</v>
      </c>
      <c r="J139" s="41" t="s">
        <v>183</v>
      </c>
      <c r="K139" s="212" t="s">
        <v>32</v>
      </c>
      <c r="L139" s="32" t="s">
        <v>387</v>
      </c>
      <c r="M139" s="36" t="s">
        <v>33</v>
      </c>
      <c r="N139" s="170"/>
      <c r="O139" s="41"/>
      <c r="P139" s="58" t="s">
        <v>31</v>
      </c>
      <c r="Q139" s="142"/>
    </row>
    <row r="140" spans="2:17">
      <c r="B140" s="70" t="s">
        <v>548</v>
      </c>
      <c r="C140" s="170" t="s">
        <v>183</v>
      </c>
      <c r="D140" s="41" t="s">
        <v>183</v>
      </c>
      <c r="E140" s="41" t="s">
        <v>183</v>
      </c>
      <c r="F140" s="41" t="s">
        <v>183</v>
      </c>
      <c r="G140" s="41" t="s">
        <v>183</v>
      </c>
      <c r="H140" s="41" t="s">
        <v>183</v>
      </c>
      <c r="I140" s="41" t="s">
        <v>183</v>
      </c>
      <c r="J140" s="41" t="s">
        <v>183</v>
      </c>
      <c r="K140" s="212" t="s">
        <v>32</v>
      </c>
      <c r="L140" s="32" t="s">
        <v>388</v>
      </c>
      <c r="M140" s="36" t="s">
        <v>33</v>
      </c>
      <c r="N140" s="170"/>
      <c r="O140" s="41"/>
      <c r="P140" s="58" t="s">
        <v>31</v>
      </c>
      <c r="Q140" s="142"/>
    </row>
    <row r="141" spans="2:17">
      <c r="B141" s="70" t="s">
        <v>569</v>
      </c>
      <c r="C141" s="170" t="s">
        <v>183</v>
      </c>
      <c r="D141" s="41" t="s">
        <v>183</v>
      </c>
      <c r="E141" s="41" t="s">
        <v>183</v>
      </c>
      <c r="F141" s="41" t="s">
        <v>183</v>
      </c>
      <c r="G141" s="41" t="s">
        <v>183</v>
      </c>
      <c r="H141" s="41" t="s">
        <v>183</v>
      </c>
      <c r="I141" s="41" t="s">
        <v>183</v>
      </c>
      <c r="J141" s="41" t="s">
        <v>183</v>
      </c>
      <c r="K141" s="212" t="s">
        <v>32</v>
      </c>
      <c r="L141" s="32" t="s">
        <v>389</v>
      </c>
      <c r="M141" s="36" t="s">
        <v>613</v>
      </c>
      <c r="N141" s="170"/>
      <c r="O141" s="41"/>
      <c r="P141" s="58" t="s">
        <v>551</v>
      </c>
      <c r="Q141" s="142"/>
    </row>
    <row r="142" spans="2:17">
      <c r="B142" s="70" t="s">
        <v>548</v>
      </c>
      <c r="C142" s="170" t="s">
        <v>183</v>
      </c>
      <c r="D142" s="41" t="s">
        <v>183</v>
      </c>
      <c r="E142" s="41" t="s">
        <v>183</v>
      </c>
      <c r="F142" s="41" t="s">
        <v>183</v>
      </c>
      <c r="G142" s="41" t="s">
        <v>183</v>
      </c>
      <c r="H142" s="41" t="s">
        <v>183</v>
      </c>
      <c r="I142" s="41" t="s">
        <v>183</v>
      </c>
      <c r="J142" s="41" t="s">
        <v>183</v>
      </c>
      <c r="K142" s="212" t="s">
        <v>32</v>
      </c>
      <c r="L142" s="32" t="s">
        <v>390</v>
      </c>
      <c r="M142" s="36" t="s">
        <v>33</v>
      </c>
      <c r="N142" s="170"/>
      <c r="O142" s="41"/>
      <c r="P142" s="58" t="s">
        <v>31</v>
      </c>
      <c r="Q142" s="142"/>
    </row>
    <row r="143" spans="2:17">
      <c r="B143" s="70" t="s">
        <v>548</v>
      </c>
      <c r="C143" s="170" t="s">
        <v>183</v>
      </c>
      <c r="D143" s="41" t="s">
        <v>183</v>
      </c>
      <c r="E143" s="41" t="s">
        <v>183</v>
      </c>
      <c r="F143" s="41" t="s">
        <v>183</v>
      </c>
      <c r="G143" s="41" t="s">
        <v>183</v>
      </c>
      <c r="H143" s="41" t="s">
        <v>183</v>
      </c>
      <c r="I143" s="41" t="s">
        <v>183</v>
      </c>
      <c r="J143" s="41" t="s">
        <v>183</v>
      </c>
      <c r="K143" s="212" t="s">
        <v>32</v>
      </c>
      <c r="L143" s="32" t="s">
        <v>391</v>
      </c>
      <c r="M143" s="36" t="s">
        <v>33</v>
      </c>
      <c r="N143" s="170"/>
      <c r="O143" s="41"/>
      <c r="P143" s="58" t="s">
        <v>31</v>
      </c>
      <c r="Q143" s="142"/>
    </row>
    <row r="144" spans="2:17">
      <c r="B144" s="70" t="s">
        <v>548</v>
      </c>
      <c r="C144" s="170" t="s">
        <v>183</v>
      </c>
      <c r="D144" s="41" t="s">
        <v>183</v>
      </c>
      <c r="E144" s="41" t="s">
        <v>183</v>
      </c>
      <c r="F144" s="41" t="s">
        <v>183</v>
      </c>
      <c r="G144" s="41" t="s">
        <v>183</v>
      </c>
      <c r="H144" s="41" t="s">
        <v>183</v>
      </c>
      <c r="I144" s="41" t="s">
        <v>183</v>
      </c>
      <c r="J144" s="41" t="s">
        <v>183</v>
      </c>
      <c r="K144" s="212" t="s">
        <v>32</v>
      </c>
      <c r="L144" s="32" t="s">
        <v>392</v>
      </c>
      <c r="M144" s="36" t="s">
        <v>33</v>
      </c>
      <c r="N144" s="170"/>
      <c r="O144" s="41"/>
      <c r="P144" s="58" t="s">
        <v>31</v>
      </c>
      <c r="Q144" s="142"/>
    </row>
    <row r="145" spans="2:17">
      <c r="B145" s="70" t="s">
        <v>548</v>
      </c>
      <c r="C145" s="170" t="s">
        <v>183</v>
      </c>
      <c r="D145" s="41" t="s">
        <v>183</v>
      </c>
      <c r="E145" s="41" t="s">
        <v>183</v>
      </c>
      <c r="F145" s="41" t="s">
        <v>183</v>
      </c>
      <c r="G145" s="41" t="s">
        <v>183</v>
      </c>
      <c r="H145" s="41" t="s">
        <v>183</v>
      </c>
      <c r="I145" s="41" t="s">
        <v>183</v>
      </c>
      <c r="J145" s="41" t="s">
        <v>183</v>
      </c>
      <c r="K145" s="212" t="s">
        <v>32</v>
      </c>
      <c r="L145" s="32" t="s">
        <v>393</v>
      </c>
      <c r="M145" s="36" t="s">
        <v>33</v>
      </c>
      <c r="N145" s="170"/>
      <c r="O145" s="41"/>
      <c r="P145" s="58" t="s">
        <v>31</v>
      </c>
      <c r="Q145" s="142"/>
    </row>
    <row r="146" spans="2:17">
      <c r="B146" s="70" t="s">
        <v>548</v>
      </c>
      <c r="C146" s="170" t="s">
        <v>183</v>
      </c>
      <c r="D146" s="41" t="s">
        <v>183</v>
      </c>
      <c r="E146" s="41" t="s">
        <v>183</v>
      </c>
      <c r="F146" s="41" t="s">
        <v>183</v>
      </c>
      <c r="G146" s="41" t="s">
        <v>183</v>
      </c>
      <c r="H146" s="41" t="s">
        <v>183</v>
      </c>
      <c r="I146" s="41" t="s">
        <v>183</v>
      </c>
      <c r="J146" s="41" t="s">
        <v>183</v>
      </c>
      <c r="K146" s="212" t="s">
        <v>32</v>
      </c>
      <c r="L146" s="32" t="s">
        <v>394</v>
      </c>
      <c r="M146" s="36" t="s">
        <v>33</v>
      </c>
      <c r="N146" s="170"/>
      <c r="O146" s="41"/>
      <c r="P146" s="58" t="s">
        <v>31</v>
      </c>
      <c r="Q146" s="142"/>
    </row>
    <row r="147" spans="2:17">
      <c r="B147" s="70" t="s">
        <v>548</v>
      </c>
      <c r="C147" s="170" t="s">
        <v>183</v>
      </c>
      <c r="D147" s="41" t="s">
        <v>183</v>
      </c>
      <c r="E147" s="41" t="s">
        <v>183</v>
      </c>
      <c r="F147" s="41" t="s">
        <v>183</v>
      </c>
      <c r="G147" s="41" t="s">
        <v>183</v>
      </c>
      <c r="H147" s="41" t="s">
        <v>183</v>
      </c>
      <c r="I147" s="41" t="s">
        <v>183</v>
      </c>
      <c r="J147" s="41" t="s">
        <v>183</v>
      </c>
      <c r="K147" s="212" t="s">
        <v>32</v>
      </c>
      <c r="L147" s="32" t="s">
        <v>395</v>
      </c>
      <c r="M147" s="36" t="s">
        <v>33</v>
      </c>
      <c r="N147" s="170"/>
      <c r="O147" s="41"/>
      <c r="P147" s="58" t="s">
        <v>31</v>
      </c>
      <c r="Q147" s="142"/>
    </row>
    <row r="148" spans="2:17">
      <c r="B148" s="70" t="s">
        <v>548</v>
      </c>
      <c r="C148" s="170" t="s">
        <v>183</v>
      </c>
      <c r="D148" s="41" t="s">
        <v>183</v>
      </c>
      <c r="E148" s="41" t="s">
        <v>183</v>
      </c>
      <c r="F148" s="41" t="s">
        <v>183</v>
      </c>
      <c r="G148" s="41" t="s">
        <v>183</v>
      </c>
      <c r="H148" s="41" t="s">
        <v>183</v>
      </c>
      <c r="I148" s="41" t="s">
        <v>183</v>
      </c>
      <c r="J148" s="41" t="s">
        <v>183</v>
      </c>
      <c r="K148" s="212" t="s">
        <v>32</v>
      </c>
      <c r="L148" s="32" t="s">
        <v>396</v>
      </c>
      <c r="M148" s="36" t="s">
        <v>33</v>
      </c>
      <c r="N148" s="170"/>
      <c r="O148" s="41"/>
      <c r="P148" s="58" t="s">
        <v>31</v>
      </c>
      <c r="Q148" s="142"/>
    </row>
    <row r="149" spans="2:17">
      <c r="B149" s="70" t="s">
        <v>548</v>
      </c>
      <c r="C149" s="170" t="s">
        <v>183</v>
      </c>
      <c r="D149" s="41" t="s">
        <v>183</v>
      </c>
      <c r="E149" s="41" t="s">
        <v>183</v>
      </c>
      <c r="F149" s="41" t="s">
        <v>183</v>
      </c>
      <c r="G149" s="41" t="s">
        <v>183</v>
      </c>
      <c r="H149" s="41" t="s">
        <v>183</v>
      </c>
      <c r="I149" s="41" t="s">
        <v>183</v>
      </c>
      <c r="J149" s="41" t="s">
        <v>183</v>
      </c>
      <c r="K149" s="212" t="s">
        <v>32</v>
      </c>
      <c r="L149" s="32" t="s">
        <v>397</v>
      </c>
      <c r="M149" s="36" t="s">
        <v>33</v>
      </c>
      <c r="N149" s="170"/>
      <c r="O149" s="41"/>
      <c r="P149" s="58" t="s">
        <v>31</v>
      </c>
      <c r="Q149" s="142"/>
    </row>
    <row r="150" spans="2:17">
      <c r="B150" s="70" t="s">
        <v>548</v>
      </c>
      <c r="C150" s="170" t="s">
        <v>183</v>
      </c>
      <c r="D150" s="41" t="s">
        <v>183</v>
      </c>
      <c r="E150" s="41" t="s">
        <v>183</v>
      </c>
      <c r="F150" s="41" t="s">
        <v>183</v>
      </c>
      <c r="G150" s="41" t="s">
        <v>183</v>
      </c>
      <c r="H150" s="41" t="s">
        <v>183</v>
      </c>
      <c r="I150" s="41" t="s">
        <v>183</v>
      </c>
      <c r="J150" s="41" t="s">
        <v>183</v>
      </c>
      <c r="K150" s="212" t="s">
        <v>32</v>
      </c>
      <c r="L150" s="32" t="s">
        <v>398</v>
      </c>
      <c r="M150" s="36" t="s">
        <v>33</v>
      </c>
      <c r="N150" s="170"/>
      <c r="O150" s="41"/>
      <c r="P150" s="58" t="s">
        <v>31</v>
      </c>
      <c r="Q150" s="142"/>
    </row>
    <row r="151" spans="2:17">
      <c r="B151" s="70" t="s">
        <v>548</v>
      </c>
      <c r="C151" s="170" t="s">
        <v>183</v>
      </c>
      <c r="D151" s="41" t="s">
        <v>183</v>
      </c>
      <c r="E151" s="41" t="s">
        <v>183</v>
      </c>
      <c r="F151" s="41" t="s">
        <v>183</v>
      </c>
      <c r="G151" s="41" t="s">
        <v>183</v>
      </c>
      <c r="H151" s="41" t="s">
        <v>183</v>
      </c>
      <c r="I151" s="41" t="s">
        <v>183</v>
      </c>
      <c r="J151" s="41" t="s">
        <v>183</v>
      </c>
      <c r="K151" s="212" t="s">
        <v>32</v>
      </c>
      <c r="L151" s="32" t="s">
        <v>399</v>
      </c>
      <c r="M151" s="36" t="s">
        <v>33</v>
      </c>
      <c r="N151" s="170"/>
      <c r="O151" s="41"/>
      <c r="P151" s="58" t="s">
        <v>31</v>
      </c>
      <c r="Q151" s="142"/>
    </row>
    <row r="152" spans="2:17">
      <c r="B152" s="70" t="s">
        <v>548</v>
      </c>
      <c r="C152" s="170" t="s">
        <v>183</v>
      </c>
      <c r="D152" s="41" t="s">
        <v>183</v>
      </c>
      <c r="E152" s="41" t="s">
        <v>183</v>
      </c>
      <c r="F152" s="41" t="s">
        <v>183</v>
      </c>
      <c r="G152" s="41" t="s">
        <v>183</v>
      </c>
      <c r="H152" s="41" t="s">
        <v>183</v>
      </c>
      <c r="I152" s="41" t="s">
        <v>183</v>
      </c>
      <c r="J152" s="41" t="s">
        <v>183</v>
      </c>
      <c r="K152" s="212" t="s">
        <v>32</v>
      </c>
      <c r="L152" s="32" t="s">
        <v>400</v>
      </c>
      <c r="M152" s="36" t="s">
        <v>33</v>
      </c>
      <c r="N152" s="170"/>
      <c r="O152" s="41"/>
      <c r="P152" s="58" t="s">
        <v>31</v>
      </c>
      <c r="Q152" s="142"/>
    </row>
    <row r="153" spans="2:17">
      <c r="B153" s="70" t="s">
        <v>548</v>
      </c>
      <c r="C153" s="170" t="s">
        <v>183</v>
      </c>
      <c r="D153" s="41" t="s">
        <v>183</v>
      </c>
      <c r="E153" s="41" t="s">
        <v>183</v>
      </c>
      <c r="F153" s="41" t="s">
        <v>183</v>
      </c>
      <c r="G153" s="41" t="s">
        <v>183</v>
      </c>
      <c r="H153" s="41" t="s">
        <v>183</v>
      </c>
      <c r="I153" s="41" t="s">
        <v>183</v>
      </c>
      <c r="J153" s="41" t="s">
        <v>183</v>
      </c>
      <c r="K153" s="212" t="s">
        <v>32</v>
      </c>
      <c r="L153" s="32" t="s">
        <v>401</v>
      </c>
      <c r="M153" s="36" t="s">
        <v>33</v>
      </c>
      <c r="N153" s="170"/>
      <c r="O153" s="41"/>
      <c r="P153" s="58" t="s">
        <v>31</v>
      </c>
      <c r="Q153" s="142"/>
    </row>
    <row r="154" spans="2:17">
      <c r="B154" s="70" t="s">
        <v>548</v>
      </c>
      <c r="C154" s="170" t="s">
        <v>183</v>
      </c>
      <c r="D154" s="41" t="s">
        <v>183</v>
      </c>
      <c r="E154" s="41" t="s">
        <v>183</v>
      </c>
      <c r="F154" s="41" t="s">
        <v>183</v>
      </c>
      <c r="G154" s="41" t="s">
        <v>183</v>
      </c>
      <c r="H154" s="41" t="s">
        <v>183</v>
      </c>
      <c r="I154" s="41" t="s">
        <v>183</v>
      </c>
      <c r="J154" s="41" t="s">
        <v>183</v>
      </c>
      <c r="K154" s="212" t="s">
        <v>32</v>
      </c>
      <c r="L154" s="32" t="s">
        <v>402</v>
      </c>
      <c r="M154" s="36" t="s">
        <v>33</v>
      </c>
      <c r="N154" s="170"/>
      <c r="O154" s="41"/>
      <c r="P154" s="58" t="s">
        <v>31</v>
      </c>
      <c r="Q154" s="142"/>
    </row>
    <row r="155" spans="2:17">
      <c r="B155" s="70" t="s">
        <v>548</v>
      </c>
      <c r="C155" s="170" t="s">
        <v>183</v>
      </c>
      <c r="D155" s="41" t="s">
        <v>183</v>
      </c>
      <c r="E155" s="41" t="s">
        <v>183</v>
      </c>
      <c r="F155" s="41" t="s">
        <v>183</v>
      </c>
      <c r="G155" s="41" t="s">
        <v>183</v>
      </c>
      <c r="H155" s="41" t="s">
        <v>183</v>
      </c>
      <c r="I155" s="41" t="s">
        <v>183</v>
      </c>
      <c r="J155" s="41" t="s">
        <v>183</v>
      </c>
      <c r="K155" s="212" t="s">
        <v>32</v>
      </c>
      <c r="L155" s="32" t="s">
        <v>403</v>
      </c>
      <c r="M155" s="36" t="s">
        <v>33</v>
      </c>
      <c r="N155" s="170"/>
      <c r="O155" s="41"/>
      <c r="P155" s="58" t="s">
        <v>31</v>
      </c>
      <c r="Q155" s="142"/>
    </row>
    <row r="156" spans="2:17">
      <c r="B156" s="70" t="s">
        <v>548</v>
      </c>
      <c r="C156" s="170" t="s">
        <v>183</v>
      </c>
      <c r="D156" s="41" t="s">
        <v>183</v>
      </c>
      <c r="E156" s="41" t="s">
        <v>183</v>
      </c>
      <c r="F156" s="41" t="s">
        <v>183</v>
      </c>
      <c r="G156" s="41" t="s">
        <v>183</v>
      </c>
      <c r="H156" s="41" t="s">
        <v>183</v>
      </c>
      <c r="I156" s="41" t="s">
        <v>183</v>
      </c>
      <c r="J156" s="41" t="s">
        <v>183</v>
      </c>
      <c r="K156" s="212" t="s">
        <v>32</v>
      </c>
      <c r="L156" s="32" t="s">
        <v>404</v>
      </c>
      <c r="M156" s="36" t="s">
        <v>33</v>
      </c>
      <c r="N156" s="170"/>
      <c r="O156" s="41"/>
      <c r="P156" s="58" t="s">
        <v>31</v>
      </c>
      <c r="Q156" s="142"/>
    </row>
    <row r="157" spans="2:17">
      <c r="B157" s="70" t="s">
        <v>569</v>
      </c>
      <c r="C157" s="170" t="s">
        <v>183</v>
      </c>
      <c r="D157" s="41" t="s">
        <v>183</v>
      </c>
      <c r="E157" s="41" t="s">
        <v>183</v>
      </c>
      <c r="F157" s="41" t="s">
        <v>183</v>
      </c>
      <c r="G157" s="41" t="s">
        <v>183</v>
      </c>
      <c r="H157" s="41" t="s">
        <v>183</v>
      </c>
      <c r="I157" s="41" t="s">
        <v>183</v>
      </c>
      <c r="J157" s="41" t="s">
        <v>183</v>
      </c>
      <c r="K157" s="212" t="s">
        <v>32</v>
      </c>
      <c r="L157" s="32" t="s">
        <v>405</v>
      </c>
      <c r="M157" s="36" t="s">
        <v>614</v>
      </c>
      <c r="N157" s="170"/>
      <c r="O157" s="41"/>
      <c r="P157" s="58" t="s">
        <v>551</v>
      </c>
      <c r="Q157" s="142"/>
    </row>
    <row r="158" spans="2:17">
      <c r="B158" s="70" t="s">
        <v>548</v>
      </c>
      <c r="C158" s="170" t="s">
        <v>183</v>
      </c>
      <c r="D158" s="41" t="s">
        <v>183</v>
      </c>
      <c r="E158" s="41" t="s">
        <v>183</v>
      </c>
      <c r="F158" s="41" t="s">
        <v>183</v>
      </c>
      <c r="G158" s="41" t="s">
        <v>183</v>
      </c>
      <c r="H158" s="41" t="s">
        <v>183</v>
      </c>
      <c r="I158" s="41" t="s">
        <v>183</v>
      </c>
      <c r="J158" s="41" t="s">
        <v>183</v>
      </c>
      <c r="K158" s="212" t="s">
        <v>32</v>
      </c>
      <c r="L158" s="32" t="s">
        <v>406</v>
      </c>
      <c r="M158" s="36" t="s">
        <v>33</v>
      </c>
      <c r="N158" s="170"/>
      <c r="O158" s="41"/>
      <c r="P158" s="58" t="s">
        <v>31</v>
      </c>
      <c r="Q158" s="142"/>
    </row>
    <row r="159" spans="2:17">
      <c r="B159" s="70" t="s">
        <v>548</v>
      </c>
      <c r="C159" s="170" t="s">
        <v>183</v>
      </c>
      <c r="D159" s="41" t="s">
        <v>183</v>
      </c>
      <c r="E159" s="41" t="s">
        <v>183</v>
      </c>
      <c r="F159" s="41" t="s">
        <v>183</v>
      </c>
      <c r="G159" s="41" t="s">
        <v>183</v>
      </c>
      <c r="H159" s="41" t="s">
        <v>183</v>
      </c>
      <c r="I159" s="41" t="s">
        <v>183</v>
      </c>
      <c r="J159" s="41" t="s">
        <v>183</v>
      </c>
      <c r="K159" s="212" t="s">
        <v>32</v>
      </c>
      <c r="L159" s="32" t="s">
        <v>407</v>
      </c>
      <c r="M159" s="36" t="s">
        <v>33</v>
      </c>
      <c r="N159" s="170"/>
      <c r="O159" s="41"/>
      <c r="P159" s="58" t="s">
        <v>31</v>
      </c>
      <c r="Q159" s="142"/>
    </row>
    <row r="160" spans="2:17">
      <c r="B160" s="70" t="s">
        <v>548</v>
      </c>
      <c r="C160" s="170" t="s">
        <v>183</v>
      </c>
      <c r="D160" s="41" t="s">
        <v>183</v>
      </c>
      <c r="E160" s="41" t="s">
        <v>183</v>
      </c>
      <c r="F160" s="41" t="s">
        <v>183</v>
      </c>
      <c r="G160" s="41" t="s">
        <v>183</v>
      </c>
      <c r="H160" s="41" t="s">
        <v>183</v>
      </c>
      <c r="I160" s="41" t="s">
        <v>183</v>
      </c>
      <c r="J160" s="41" t="s">
        <v>183</v>
      </c>
      <c r="K160" s="212" t="s">
        <v>32</v>
      </c>
      <c r="L160" s="32" t="s">
        <v>408</v>
      </c>
      <c r="M160" s="36" t="s">
        <v>33</v>
      </c>
      <c r="N160" s="170"/>
      <c r="O160" s="41"/>
      <c r="P160" s="58" t="s">
        <v>31</v>
      </c>
      <c r="Q160" s="142"/>
    </row>
    <row r="161" spans="2:17">
      <c r="B161" s="70" t="s">
        <v>548</v>
      </c>
      <c r="C161" s="170" t="s">
        <v>183</v>
      </c>
      <c r="D161" s="41" t="s">
        <v>183</v>
      </c>
      <c r="E161" s="41" t="s">
        <v>183</v>
      </c>
      <c r="F161" s="41" t="s">
        <v>183</v>
      </c>
      <c r="G161" s="41" t="s">
        <v>183</v>
      </c>
      <c r="H161" s="41" t="s">
        <v>183</v>
      </c>
      <c r="I161" s="41" t="s">
        <v>183</v>
      </c>
      <c r="J161" s="41" t="s">
        <v>183</v>
      </c>
      <c r="K161" s="212" t="s">
        <v>32</v>
      </c>
      <c r="L161" s="32" t="s">
        <v>409</v>
      </c>
      <c r="M161" s="36" t="s">
        <v>33</v>
      </c>
      <c r="N161" s="170"/>
      <c r="O161" s="41"/>
      <c r="P161" s="58" t="s">
        <v>31</v>
      </c>
      <c r="Q161" s="142"/>
    </row>
    <row r="162" spans="2:17">
      <c r="B162" s="70" t="s">
        <v>548</v>
      </c>
      <c r="C162" s="170" t="s">
        <v>183</v>
      </c>
      <c r="D162" s="41" t="s">
        <v>183</v>
      </c>
      <c r="E162" s="41" t="s">
        <v>183</v>
      </c>
      <c r="F162" s="41" t="s">
        <v>183</v>
      </c>
      <c r="G162" s="41" t="s">
        <v>183</v>
      </c>
      <c r="H162" s="41" t="s">
        <v>183</v>
      </c>
      <c r="I162" s="41" t="s">
        <v>183</v>
      </c>
      <c r="J162" s="41" t="s">
        <v>183</v>
      </c>
      <c r="K162" s="212" t="s">
        <v>32</v>
      </c>
      <c r="L162" s="32" t="s">
        <v>410</v>
      </c>
      <c r="M162" s="36" t="s">
        <v>33</v>
      </c>
      <c r="N162" s="170"/>
      <c r="O162" s="41"/>
      <c r="P162" s="58" t="s">
        <v>31</v>
      </c>
      <c r="Q162" s="142"/>
    </row>
    <row r="163" spans="2:17">
      <c r="B163" s="70" t="s">
        <v>548</v>
      </c>
      <c r="C163" s="170" t="s">
        <v>183</v>
      </c>
      <c r="D163" s="41" t="s">
        <v>183</v>
      </c>
      <c r="E163" s="41" t="s">
        <v>183</v>
      </c>
      <c r="F163" s="41" t="s">
        <v>183</v>
      </c>
      <c r="G163" s="41" t="s">
        <v>183</v>
      </c>
      <c r="H163" s="41" t="s">
        <v>183</v>
      </c>
      <c r="I163" s="41" t="s">
        <v>183</v>
      </c>
      <c r="J163" s="41" t="s">
        <v>183</v>
      </c>
      <c r="K163" s="212" t="s">
        <v>32</v>
      </c>
      <c r="L163" s="32" t="s">
        <v>411</v>
      </c>
      <c r="M163" s="36" t="s">
        <v>33</v>
      </c>
      <c r="N163" s="170"/>
      <c r="O163" s="41"/>
      <c r="P163" s="58" t="s">
        <v>31</v>
      </c>
      <c r="Q163" s="142"/>
    </row>
    <row r="164" spans="2:17">
      <c r="B164" s="70" t="s">
        <v>548</v>
      </c>
      <c r="C164" s="170" t="s">
        <v>183</v>
      </c>
      <c r="D164" s="41" t="s">
        <v>183</v>
      </c>
      <c r="E164" s="41" t="s">
        <v>183</v>
      </c>
      <c r="F164" s="41" t="s">
        <v>183</v>
      </c>
      <c r="G164" s="41" t="s">
        <v>183</v>
      </c>
      <c r="H164" s="41" t="s">
        <v>183</v>
      </c>
      <c r="I164" s="41" t="s">
        <v>183</v>
      </c>
      <c r="J164" s="41" t="s">
        <v>183</v>
      </c>
      <c r="K164" s="212" t="s">
        <v>32</v>
      </c>
      <c r="L164" s="32" t="s">
        <v>412</v>
      </c>
      <c r="M164" s="36" t="s">
        <v>33</v>
      </c>
      <c r="N164" s="170"/>
      <c r="O164" s="41"/>
      <c r="P164" s="58" t="s">
        <v>31</v>
      </c>
      <c r="Q164" s="142"/>
    </row>
    <row r="165" spans="2:17">
      <c r="B165" s="70" t="s">
        <v>548</v>
      </c>
      <c r="C165" s="170" t="s">
        <v>183</v>
      </c>
      <c r="D165" s="41" t="s">
        <v>183</v>
      </c>
      <c r="E165" s="41" t="s">
        <v>183</v>
      </c>
      <c r="F165" s="41" t="s">
        <v>183</v>
      </c>
      <c r="G165" s="41" t="s">
        <v>183</v>
      </c>
      <c r="H165" s="41" t="s">
        <v>183</v>
      </c>
      <c r="I165" s="41" t="s">
        <v>183</v>
      </c>
      <c r="J165" s="41" t="s">
        <v>183</v>
      </c>
      <c r="K165" s="212" t="s">
        <v>32</v>
      </c>
      <c r="L165" s="32" t="s">
        <v>413</v>
      </c>
      <c r="M165" s="36" t="s">
        <v>33</v>
      </c>
      <c r="N165" s="170"/>
      <c r="O165" s="41"/>
      <c r="P165" s="58" t="s">
        <v>31</v>
      </c>
      <c r="Q165" s="142"/>
    </row>
    <row r="166" spans="2:17">
      <c r="B166" s="70" t="s">
        <v>548</v>
      </c>
      <c r="C166" s="170" t="s">
        <v>183</v>
      </c>
      <c r="D166" s="41" t="s">
        <v>183</v>
      </c>
      <c r="E166" s="41" t="s">
        <v>183</v>
      </c>
      <c r="F166" s="41" t="s">
        <v>183</v>
      </c>
      <c r="G166" s="41" t="s">
        <v>183</v>
      </c>
      <c r="H166" s="41" t="s">
        <v>183</v>
      </c>
      <c r="I166" s="41" t="s">
        <v>183</v>
      </c>
      <c r="J166" s="41" t="s">
        <v>183</v>
      </c>
      <c r="K166" s="212" t="s">
        <v>32</v>
      </c>
      <c r="L166" s="32" t="s">
        <v>414</v>
      </c>
      <c r="M166" s="36" t="s">
        <v>33</v>
      </c>
      <c r="N166" s="170"/>
      <c r="O166" s="41"/>
      <c r="P166" s="58" t="s">
        <v>31</v>
      </c>
      <c r="Q166" s="142"/>
    </row>
    <row r="167" spans="2:17">
      <c r="B167" s="70" t="s">
        <v>548</v>
      </c>
      <c r="C167" s="170" t="s">
        <v>183</v>
      </c>
      <c r="D167" s="41" t="s">
        <v>183</v>
      </c>
      <c r="E167" s="41" t="s">
        <v>183</v>
      </c>
      <c r="F167" s="41" t="s">
        <v>183</v>
      </c>
      <c r="G167" s="41" t="s">
        <v>183</v>
      </c>
      <c r="H167" s="41" t="s">
        <v>183</v>
      </c>
      <c r="I167" s="41" t="s">
        <v>183</v>
      </c>
      <c r="J167" s="41" t="s">
        <v>183</v>
      </c>
      <c r="K167" s="212" t="s">
        <v>32</v>
      </c>
      <c r="L167" s="32" t="s">
        <v>415</v>
      </c>
      <c r="M167" s="36" t="s">
        <v>33</v>
      </c>
      <c r="N167" s="170"/>
      <c r="O167" s="41"/>
      <c r="P167" s="58" t="s">
        <v>31</v>
      </c>
      <c r="Q167" s="142"/>
    </row>
    <row r="168" spans="2:17">
      <c r="B168" s="70" t="s">
        <v>548</v>
      </c>
      <c r="C168" s="170" t="s">
        <v>183</v>
      </c>
      <c r="D168" s="41" t="s">
        <v>183</v>
      </c>
      <c r="E168" s="41" t="s">
        <v>183</v>
      </c>
      <c r="F168" s="41" t="s">
        <v>183</v>
      </c>
      <c r="G168" s="41" t="s">
        <v>183</v>
      </c>
      <c r="H168" s="41" t="s">
        <v>183</v>
      </c>
      <c r="I168" s="41" t="s">
        <v>183</v>
      </c>
      <c r="J168" s="41" t="s">
        <v>183</v>
      </c>
      <c r="K168" s="212" t="s">
        <v>32</v>
      </c>
      <c r="L168" s="32" t="s">
        <v>416</v>
      </c>
      <c r="M168" s="36" t="s">
        <v>33</v>
      </c>
      <c r="N168" s="170"/>
      <c r="O168" s="41"/>
      <c r="P168" s="58" t="s">
        <v>31</v>
      </c>
      <c r="Q168" s="142"/>
    </row>
    <row r="169" spans="2:17">
      <c r="B169" s="70" t="s">
        <v>548</v>
      </c>
      <c r="C169" s="170" t="s">
        <v>183</v>
      </c>
      <c r="D169" s="41" t="s">
        <v>183</v>
      </c>
      <c r="E169" s="41" t="s">
        <v>183</v>
      </c>
      <c r="F169" s="41" t="s">
        <v>183</v>
      </c>
      <c r="G169" s="41" t="s">
        <v>183</v>
      </c>
      <c r="H169" s="41" t="s">
        <v>183</v>
      </c>
      <c r="I169" s="41" t="s">
        <v>183</v>
      </c>
      <c r="J169" s="41" t="s">
        <v>183</v>
      </c>
      <c r="K169" s="212" t="s">
        <v>32</v>
      </c>
      <c r="L169" s="32" t="s">
        <v>417</v>
      </c>
      <c r="M169" s="36" t="s">
        <v>33</v>
      </c>
      <c r="N169" s="170"/>
      <c r="O169" s="41"/>
      <c r="P169" s="58" t="s">
        <v>31</v>
      </c>
      <c r="Q169" s="142"/>
    </row>
    <row r="170" spans="2:17">
      <c r="B170" s="70" t="s">
        <v>548</v>
      </c>
      <c r="C170" s="170" t="s">
        <v>183</v>
      </c>
      <c r="D170" s="41" t="s">
        <v>183</v>
      </c>
      <c r="E170" s="41" t="s">
        <v>183</v>
      </c>
      <c r="F170" s="41" t="s">
        <v>183</v>
      </c>
      <c r="G170" s="41" t="s">
        <v>183</v>
      </c>
      <c r="H170" s="41" t="s">
        <v>183</v>
      </c>
      <c r="I170" s="41" t="s">
        <v>183</v>
      </c>
      <c r="J170" s="41" t="s">
        <v>183</v>
      </c>
      <c r="K170" s="212" t="s">
        <v>32</v>
      </c>
      <c r="L170" s="32" t="s">
        <v>418</v>
      </c>
      <c r="M170" s="36" t="s">
        <v>33</v>
      </c>
      <c r="N170" s="170"/>
      <c r="O170" s="41"/>
      <c r="P170" s="58" t="s">
        <v>31</v>
      </c>
      <c r="Q170" s="142"/>
    </row>
    <row r="171" spans="2:17">
      <c r="B171" s="70" t="s">
        <v>548</v>
      </c>
      <c r="C171" s="170" t="s">
        <v>183</v>
      </c>
      <c r="D171" s="41" t="s">
        <v>183</v>
      </c>
      <c r="E171" s="41" t="s">
        <v>183</v>
      </c>
      <c r="F171" s="41" t="s">
        <v>183</v>
      </c>
      <c r="G171" s="41" t="s">
        <v>183</v>
      </c>
      <c r="H171" s="41" t="s">
        <v>183</v>
      </c>
      <c r="I171" s="41" t="s">
        <v>183</v>
      </c>
      <c r="J171" s="41" t="s">
        <v>183</v>
      </c>
      <c r="K171" s="212" t="s">
        <v>32</v>
      </c>
      <c r="L171" s="32" t="s">
        <v>419</v>
      </c>
      <c r="M171" s="36" t="s">
        <v>33</v>
      </c>
      <c r="N171" s="170"/>
      <c r="O171" s="41"/>
      <c r="P171" s="58" t="s">
        <v>31</v>
      </c>
      <c r="Q171" s="142"/>
    </row>
    <row r="172" spans="2:17">
      <c r="B172" s="70" t="s">
        <v>548</v>
      </c>
      <c r="C172" s="170" t="s">
        <v>183</v>
      </c>
      <c r="D172" s="41" t="s">
        <v>183</v>
      </c>
      <c r="E172" s="41" t="s">
        <v>183</v>
      </c>
      <c r="F172" s="41" t="s">
        <v>183</v>
      </c>
      <c r="G172" s="41" t="s">
        <v>183</v>
      </c>
      <c r="H172" s="41" t="s">
        <v>183</v>
      </c>
      <c r="I172" s="41" t="s">
        <v>183</v>
      </c>
      <c r="J172" s="41" t="s">
        <v>183</v>
      </c>
      <c r="K172" s="212" t="s">
        <v>32</v>
      </c>
      <c r="L172" s="32" t="s">
        <v>420</v>
      </c>
      <c r="M172" s="36" t="s">
        <v>33</v>
      </c>
      <c r="N172" s="170"/>
      <c r="O172" s="41"/>
      <c r="P172" s="58" t="s">
        <v>31</v>
      </c>
      <c r="Q172" s="142"/>
    </row>
    <row r="173" spans="2:17">
      <c r="B173" s="70" t="s">
        <v>548</v>
      </c>
      <c r="C173" s="170" t="s">
        <v>183</v>
      </c>
      <c r="D173" s="41" t="s">
        <v>183</v>
      </c>
      <c r="E173" s="41" t="s">
        <v>183</v>
      </c>
      <c r="F173" s="41" t="s">
        <v>183</v>
      </c>
      <c r="G173" s="41" t="s">
        <v>183</v>
      </c>
      <c r="H173" s="41" t="s">
        <v>183</v>
      </c>
      <c r="I173" s="41" t="s">
        <v>183</v>
      </c>
      <c r="J173" s="41" t="s">
        <v>183</v>
      </c>
      <c r="K173" s="212" t="s">
        <v>32</v>
      </c>
      <c r="L173" s="32" t="s">
        <v>421</v>
      </c>
      <c r="M173" s="36" t="s">
        <v>33</v>
      </c>
      <c r="N173" s="170"/>
      <c r="O173" s="41"/>
      <c r="P173" s="58" t="s">
        <v>31</v>
      </c>
      <c r="Q173" s="142"/>
    </row>
    <row r="174" spans="2:17">
      <c r="B174" s="70" t="s">
        <v>569</v>
      </c>
      <c r="C174" s="170" t="s">
        <v>183</v>
      </c>
      <c r="D174" s="41" t="s">
        <v>183</v>
      </c>
      <c r="E174" s="41" t="s">
        <v>183</v>
      </c>
      <c r="F174" s="41" t="s">
        <v>183</v>
      </c>
      <c r="G174" s="41" t="s">
        <v>183</v>
      </c>
      <c r="H174" s="41" t="s">
        <v>183</v>
      </c>
      <c r="I174" s="41" t="s">
        <v>183</v>
      </c>
      <c r="J174" s="41" t="s">
        <v>183</v>
      </c>
      <c r="K174" s="212" t="s">
        <v>32</v>
      </c>
      <c r="L174" s="32" t="s">
        <v>422</v>
      </c>
      <c r="M174" s="36" t="s">
        <v>615</v>
      </c>
      <c r="N174" s="170"/>
      <c r="O174" s="41"/>
      <c r="P174" s="58" t="s">
        <v>551</v>
      </c>
      <c r="Q174" s="142"/>
    </row>
    <row r="175" spans="2:17">
      <c r="B175" s="70" t="s">
        <v>548</v>
      </c>
      <c r="C175" s="170" t="s">
        <v>183</v>
      </c>
      <c r="D175" s="41" t="s">
        <v>183</v>
      </c>
      <c r="E175" s="41" t="s">
        <v>183</v>
      </c>
      <c r="F175" s="41" t="s">
        <v>183</v>
      </c>
      <c r="G175" s="41" t="s">
        <v>183</v>
      </c>
      <c r="H175" s="41" t="s">
        <v>183</v>
      </c>
      <c r="I175" s="41" t="s">
        <v>183</v>
      </c>
      <c r="J175" s="41" t="s">
        <v>183</v>
      </c>
      <c r="K175" s="212" t="s">
        <v>32</v>
      </c>
      <c r="L175" s="32" t="s">
        <v>423</v>
      </c>
      <c r="M175" s="36" t="s">
        <v>33</v>
      </c>
      <c r="N175" s="170"/>
      <c r="O175" s="41"/>
      <c r="P175" s="58" t="s">
        <v>31</v>
      </c>
      <c r="Q175" s="142"/>
    </row>
    <row r="176" spans="2:17">
      <c r="B176" s="70" t="s">
        <v>548</v>
      </c>
      <c r="C176" s="170" t="s">
        <v>183</v>
      </c>
      <c r="D176" s="41" t="s">
        <v>183</v>
      </c>
      <c r="E176" s="41" t="s">
        <v>183</v>
      </c>
      <c r="F176" s="41" t="s">
        <v>183</v>
      </c>
      <c r="G176" s="41" t="s">
        <v>183</v>
      </c>
      <c r="H176" s="41" t="s">
        <v>183</v>
      </c>
      <c r="I176" s="41" t="s">
        <v>183</v>
      </c>
      <c r="J176" s="41" t="s">
        <v>183</v>
      </c>
      <c r="K176" s="212" t="s">
        <v>32</v>
      </c>
      <c r="L176" s="32" t="s">
        <v>424</v>
      </c>
      <c r="M176" s="36" t="s">
        <v>33</v>
      </c>
      <c r="N176" s="170"/>
      <c r="O176" s="41"/>
      <c r="P176" s="58" t="s">
        <v>31</v>
      </c>
      <c r="Q176" s="142"/>
    </row>
    <row r="177" spans="2:17">
      <c r="B177" s="70" t="s">
        <v>548</v>
      </c>
      <c r="C177" s="170" t="s">
        <v>183</v>
      </c>
      <c r="D177" s="41" t="s">
        <v>183</v>
      </c>
      <c r="E177" s="41" t="s">
        <v>183</v>
      </c>
      <c r="F177" s="41" t="s">
        <v>183</v>
      </c>
      <c r="G177" s="41" t="s">
        <v>183</v>
      </c>
      <c r="H177" s="41" t="s">
        <v>183</v>
      </c>
      <c r="I177" s="41" t="s">
        <v>183</v>
      </c>
      <c r="J177" s="41" t="s">
        <v>183</v>
      </c>
      <c r="K177" s="212" t="s">
        <v>32</v>
      </c>
      <c r="L177" s="32" t="s">
        <v>425</v>
      </c>
      <c r="M177" s="36" t="s">
        <v>33</v>
      </c>
      <c r="N177" s="170"/>
      <c r="O177" s="41"/>
      <c r="P177" s="58" t="s">
        <v>31</v>
      </c>
      <c r="Q177" s="142"/>
    </row>
    <row r="178" spans="2:17">
      <c r="B178" s="70" t="s">
        <v>548</v>
      </c>
      <c r="C178" s="170" t="s">
        <v>183</v>
      </c>
      <c r="D178" s="41" t="s">
        <v>183</v>
      </c>
      <c r="E178" s="41" t="s">
        <v>183</v>
      </c>
      <c r="F178" s="41" t="s">
        <v>183</v>
      </c>
      <c r="G178" s="41" t="s">
        <v>183</v>
      </c>
      <c r="H178" s="41" t="s">
        <v>183</v>
      </c>
      <c r="I178" s="41" t="s">
        <v>183</v>
      </c>
      <c r="J178" s="41" t="s">
        <v>183</v>
      </c>
      <c r="K178" s="212" t="s">
        <v>32</v>
      </c>
      <c r="L178" s="32" t="s">
        <v>426</v>
      </c>
      <c r="M178" s="36" t="s">
        <v>33</v>
      </c>
      <c r="N178" s="170"/>
      <c r="O178" s="41"/>
      <c r="P178" s="58" t="s">
        <v>31</v>
      </c>
      <c r="Q178" s="142"/>
    </row>
    <row r="179" spans="2:17">
      <c r="B179" s="70" t="s">
        <v>548</v>
      </c>
      <c r="C179" s="170" t="s">
        <v>183</v>
      </c>
      <c r="D179" s="41" t="s">
        <v>183</v>
      </c>
      <c r="E179" s="41" t="s">
        <v>183</v>
      </c>
      <c r="F179" s="41" t="s">
        <v>183</v>
      </c>
      <c r="G179" s="41" t="s">
        <v>183</v>
      </c>
      <c r="H179" s="41" t="s">
        <v>183</v>
      </c>
      <c r="I179" s="41" t="s">
        <v>183</v>
      </c>
      <c r="J179" s="41" t="s">
        <v>183</v>
      </c>
      <c r="K179" s="212" t="s">
        <v>32</v>
      </c>
      <c r="L179" s="32" t="s">
        <v>427</v>
      </c>
      <c r="M179" s="36" t="s">
        <v>33</v>
      </c>
      <c r="N179" s="170"/>
      <c r="O179" s="41"/>
      <c r="P179" s="58" t="s">
        <v>31</v>
      </c>
      <c r="Q179" s="142"/>
    </row>
    <row r="180" spans="2:17">
      <c r="B180" s="70" t="s">
        <v>548</v>
      </c>
      <c r="C180" s="170" t="s">
        <v>183</v>
      </c>
      <c r="D180" s="41" t="s">
        <v>183</v>
      </c>
      <c r="E180" s="41" t="s">
        <v>183</v>
      </c>
      <c r="F180" s="41" t="s">
        <v>183</v>
      </c>
      <c r="G180" s="41" t="s">
        <v>183</v>
      </c>
      <c r="H180" s="41" t="s">
        <v>183</v>
      </c>
      <c r="I180" s="41" t="s">
        <v>183</v>
      </c>
      <c r="J180" s="41" t="s">
        <v>183</v>
      </c>
      <c r="K180" s="212" t="s">
        <v>32</v>
      </c>
      <c r="L180" s="32" t="s">
        <v>428</v>
      </c>
      <c r="M180" s="36" t="s">
        <v>33</v>
      </c>
      <c r="N180" s="170"/>
      <c r="O180" s="41"/>
      <c r="P180" s="58" t="s">
        <v>31</v>
      </c>
      <c r="Q180" s="142"/>
    </row>
    <row r="181" spans="2:17">
      <c r="B181" s="70" t="s">
        <v>548</v>
      </c>
      <c r="C181" s="170" t="s">
        <v>183</v>
      </c>
      <c r="D181" s="41" t="s">
        <v>183</v>
      </c>
      <c r="E181" s="41" t="s">
        <v>183</v>
      </c>
      <c r="F181" s="41" t="s">
        <v>183</v>
      </c>
      <c r="G181" s="41" t="s">
        <v>183</v>
      </c>
      <c r="H181" s="41" t="s">
        <v>183</v>
      </c>
      <c r="I181" s="41" t="s">
        <v>183</v>
      </c>
      <c r="J181" s="41" t="s">
        <v>183</v>
      </c>
      <c r="K181" s="212" t="s">
        <v>32</v>
      </c>
      <c r="L181" s="32" t="s">
        <v>429</v>
      </c>
      <c r="M181" s="36" t="s">
        <v>33</v>
      </c>
      <c r="N181" s="170"/>
      <c r="O181" s="41"/>
      <c r="P181" s="58" t="s">
        <v>31</v>
      </c>
      <c r="Q181" s="142"/>
    </row>
    <row r="182" spans="2:17">
      <c r="B182" s="70" t="s">
        <v>548</v>
      </c>
      <c r="C182" s="170" t="s">
        <v>183</v>
      </c>
      <c r="D182" s="41" t="s">
        <v>183</v>
      </c>
      <c r="E182" s="41" t="s">
        <v>183</v>
      </c>
      <c r="F182" s="41" t="s">
        <v>183</v>
      </c>
      <c r="G182" s="41" t="s">
        <v>183</v>
      </c>
      <c r="H182" s="41" t="s">
        <v>183</v>
      </c>
      <c r="I182" s="41" t="s">
        <v>183</v>
      </c>
      <c r="J182" s="41" t="s">
        <v>183</v>
      </c>
      <c r="K182" s="212" t="s">
        <v>32</v>
      </c>
      <c r="L182" s="32" t="s">
        <v>430</v>
      </c>
      <c r="M182" s="36" t="s">
        <v>33</v>
      </c>
      <c r="N182" s="170"/>
      <c r="O182" s="41"/>
      <c r="P182" s="58" t="s">
        <v>31</v>
      </c>
      <c r="Q182" s="142"/>
    </row>
    <row r="183" spans="2:17">
      <c r="B183" s="70" t="s">
        <v>548</v>
      </c>
      <c r="C183" s="170" t="s">
        <v>183</v>
      </c>
      <c r="D183" s="41" t="s">
        <v>183</v>
      </c>
      <c r="E183" s="41" t="s">
        <v>183</v>
      </c>
      <c r="F183" s="41" t="s">
        <v>183</v>
      </c>
      <c r="G183" s="41" t="s">
        <v>183</v>
      </c>
      <c r="H183" s="41" t="s">
        <v>183</v>
      </c>
      <c r="I183" s="41" t="s">
        <v>183</v>
      </c>
      <c r="J183" s="41" t="s">
        <v>183</v>
      </c>
      <c r="K183" s="212" t="s">
        <v>32</v>
      </c>
      <c r="L183" s="32" t="s">
        <v>431</v>
      </c>
      <c r="M183" s="36" t="s">
        <v>33</v>
      </c>
      <c r="N183" s="170"/>
      <c r="O183" s="41"/>
      <c r="P183" s="58" t="s">
        <v>31</v>
      </c>
      <c r="Q183" s="142"/>
    </row>
    <row r="184" spans="2:17">
      <c r="B184" s="70" t="s">
        <v>548</v>
      </c>
      <c r="C184" s="170" t="s">
        <v>183</v>
      </c>
      <c r="D184" s="41" t="s">
        <v>183</v>
      </c>
      <c r="E184" s="41" t="s">
        <v>183</v>
      </c>
      <c r="F184" s="41" t="s">
        <v>183</v>
      </c>
      <c r="G184" s="41" t="s">
        <v>183</v>
      </c>
      <c r="H184" s="41" t="s">
        <v>183</v>
      </c>
      <c r="I184" s="41" t="s">
        <v>183</v>
      </c>
      <c r="J184" s="41" t="s">
        <v>183</v>
      </c>
      <c r="K184" s="212" t="s">
        <v>32</v>
      </c>
      <c r="L184" s="32" t="s">
        <v>432</v>
      </c>
      <c r="M184" s="36" t="s">
        <v>33</v>
      </c>
      <c r="N184" s="170"/>
      <c r="O184" s="41"/>
      <c r="P184" s="58" t="s">
        <v>31</v>
      </c>
      <c r="Q184" s="142"/>
    </row>
    <row r="185" spans="2:17">
      <c r="B185" s="70" t="s">
        <v>548</v>
      </c>
      <c r="C185" s="170" t="s">
        <v>183</v>
      </c>
      <c r="D185" s="41" t="s">
        <v>183</v>
      </c>
      <c r="E185" s="41" t="s">
        <v>183</v>
      </c>
      <c r="F185" s="41" t="s">
        <v>183</v>
      </c>
      <c r="G185" s="41" t="s">
        <v>183</v>
      </c>
      <c r="H185" s="41" t="s">
        <v>183</v>
      </c>
      <c r="I185" s="41" t="s">
        <v>183</v>
      </c>
      <c r="J185" s="41" t="s">
        <v>183</v>
      </c>
      <c r="K185" s="212" t="s">
        <v>32</v>
      </c>
      <c r="L185" s="32" t="s">
        <v>433</v>
      </c>
      <c r="M185" s="36" t="s">
        <v>33</v>
      </c>
      <c r="N185" s="170"/>
      <c r="O185" s="41"/>
      <c r="P185" s="58" t="s">
        <v>31</v>
      </c>
      <c r="Q185" s="142"/>
    </row>
    <row r="186" spans="2:17">
      <c r="B186" s="70" t="s">
        <v>548</v>
      </c>
      <c r="C186" s="170" t="s">
        <v>183</v>
      </c>
      <c r="D186" s="41" t="s">
        <v>183</v>
      </c>
      <c r="E186" s="41" t="s">
        <v>183</v>
      </c>
      <c r="F186" s="41" t="s">
        <v>183</v>
      </c>
      <c r="G186" s="41" t="s">
        <v>183</v>
      </c>
      <c r="H186" s="41" t="s">
        <v>183</v>
      </c>
      <c r="I186" s="41" t="s">
        <v>183</v>
      </c>
      <c r="J186" s="41" t="s">
        <v>183</v>
      </c>
      <c r="K186" s="212" t="s">
        <v>32</v>
      </c>
      <c r="L186" s="32" t="s">
        <v>434</v>
      </c>
      <c r="M186" s="36" t="s">
        <v>33</v>
      </c>
      <c r="N186" s="170"/>
      <c r="O186" s="41"/>
      <c r="P186" s="58" t="s">
        <v>31</v>
      </c>
      <c r="Q186" s="142"/>
    </row>
    <row r="187" spans="2:17">
      <c r="B187" s="70" t="s">
        <v>548</v>
      </c>
      <c r="C187" s="170" t="s">
        <v>183</v>
      </c>
      <c r="D187" s="41" t="s">
        <v>183</v>
      </c>
      <c r="E187" s="41" t="s">
        <v>183</v>
      </c>
      <c r="F187" s="41" t="s">
        <v>183</v>
      </c>
      <c r="G187" s="41" t="s">
        <v>183</v>
      </c>
      <c r="H187" s="41" t="s">
        <v>183</v>
      </c>
      <c r="I187" s="41" t="s">
        <v>183</v>
      </c>
      <c r="J187" s="41" t="s">
        <v>183</v>
      </c>
      <c r="K187" s="212" t="s">
        <v>32</v>
      </c>
      <c r="L187" s="32" t="s">
        <v>435</v>
      </c>
      <c r="M187" s="36" t="s">
        <v>33</v>
      </c>
      <c r="N187" s="170"/>
      <c r="O187" s="41"/>
      <c r="P187" s="58" t="s">
        <v>31</v>
      </c>
      <c r="Q187" s="142"/>
    </row>
    <row r="188" spans="2:17">
      <c r="B188" s="70" t="s">
        <v>548</v>
      </c>
      <c r="C188" s="170" t="s">
        <v>183</v>
      </c>
      <c r="D188" s="41" t="s">
        <v>183</v>
      </c>
      <c r="E188" s="41" t="s">
        <v>183</v>
      </c>
      <c r="F188" s="41" t="s">
        <v>183</v>
      </c>
      <c r="G188" s="41" t="s">
        <v>183</v>
      </c>
      <c r="H188" s="41" t="s">
        <v>183</v>
      </c>
      <c r="I188" s="41" t="s">
        <v>183</v>
      </c>
      <c r="J188" s="41" t="s">
        <v>183</v>
      </c>
      <c r="K188" s="212" t="s">
        <v>32</v>
      </c>
      <c r="L188" s="32" t="s">
        <v>436</v>
      </c>
      <c r="M188" s="36" t="s">
        <v>33</v>
      </c>
      <c r="N188" s="170"/>
      <c r="O188" s="41"/>
      <c r="P188" s="58" t="s">
        <v>31</v>
      </c>
      <c r="Q188" s="142"/>
    </row>
    <row r="189" spans="2:17">
      <c r="B189" s="70" t="s">
        <v>548</v>
      </c>
      <c r="C189" s="170" t="s">
        <v>183</v>
      </c>
      <c r="D189" s="41" t="s">
        <v>183</v>
      </c>
      <c r="E189" s="41" t="s">
        <v>183</v>
      </c>
      <c r="F189" s="41" t="s">
        <v>183</v>
      </c>
      <c r="G189" s="41" t="s">
        <v>183</v>
      </c>
      <c r="H189" s="41" t="s">
        <v>183</v>
      </c>
      <c r="I189" s="41" t="s">
        <v>183</v>
      </c>
      <c r="J189" s="41" t="s">
        <v>183</v>
      </c>
      <c r="K189" s="212" t="s">
        <v>32</v>
      </c>
      <c r="L189" s="32" t="s">
        <v>437</v>
      </c>
      <c r="M189" s="36" t="s">
        <v>33</v>
      </c>
      <c r="N189" s="170"/>
      <c r="O189" s="41"/>
      <c r="P189" s="58" t="s">
        <v>31</v>
      </c>
      <c r="Q189" s="142"/>
    </row>
    <row r="190" spans="2:17">
      <c r="B190" s="70" t="s">
        <v>548</v>
      </c>
      <c r="C190" s="170" t="s">
        <v>183</v>
      </c>
      <c r="D190" s="41" t="s">
        <v>183</v>
      </c>
      <c r="E190" s="41" t="s">
        <v>183</v>
      </c>
      <c r="F190" s="41" t="s">
        <v>183</v>
      </c>
      <c r="G190" s="41" t="s">
        <v>183</v>
      </c>
      <c r="H190" s="41" t="s">
        <v>183</v>
      </c>
      <c r="I190" s="41" t="s">
        <v>183</v>
      </c>
      <c r="J190" s="41" t="s">
        <v>183</v>
      </c>
      <c r="K190" s="212" t="s">
        <v>32</v>
      </c>
      <c r="L190" s="32" t="s">
        <v>438</v>
      </c>
      <c r="M190" s="36" t="s">
        <v>33</v>
      </c>
      <c r="N190" s="170"/>
      <c r="O190" s="41"/>
      <c r="P190" s="58" t="s">
        <v>31</v>
      </c>
      <c r="Q190" s="142"/>
    </row>
    <row r="191" spans="2:17">
      <c r="B191" s="70" t="s">
        <v>548</v>
      </c>
      <c r="C191" s="170" t="s">
        <v>183</v>
      </c>
      <c r="D191" s="41" t="s">
        <v>183</v>
      </c>
      <c r="E191" s="41" t="s">
        <v>183</v>
      </c>
      <c r="F191" s="41" t="s">
        <v>183</v>
      </c>
      <c r="G191" s="41" t="s">
        <v>183</v>
      </c>
      <c r="H191" s="41" t="s">
        <v>183</v>
      </c>
      <c r="I191" s="41" t="s">
        <v>183</v>
      </c>
      <c r="J191" s="41" t="s">
        <v>183</v>
      </c>
      <c r="K191" s="212" t="s">
        <v>32</v>
      </c>
      <c r="L191" s="32" t="s">
        <v>439</v>
      </c>
      <c r="M191" s="36" t="s">
        <v>33</v>
      </c>
      <c r="N191" s="170"/>
      <c r="O191" s="41"/>
      <c r="P191" s="58" t="s">
        <v>31</v>
      </c>
      <c r="Q191" s="142"/>
    </row>
    <row r="192" spans="2:17">
      <c r="B192" s="70" t="s">
        <v>548</v>
      </c>
      <c r="C192" s="170" t="s">
        <v>183</v>
      </c>
      <c r="D192" s="41" t="s">
        <v>183</v>
      </c>
      <c r="E192" s="41" t="s">
        <v>183</v>
      </c>
      <c r="F192" s="41" t="s">
        <v>183</v>
      </c>
      <c r="G192" s="41" t="s">
        <v>183</v>
      </c>
      <c r="H192" s="41" t="s">
        <v>183</v>
      </c>
      <c r="I192" s="41" t="s">
        <v>183</v>
      </c>
      <c r="J192" s="41" t="s">
        <v>183</v>
      </c>
      <c r="K192" s="212" t="s">
        <v>32</v>
      </c>
      <c r="L192" s="32" t="s">
        <v>440</v>
      </c>
      <c r="M192" s="36" t="s">
        <v>33</v>
      </c>
      <c r="N192" s="170"/>
      <c r="O192" s="41"/>
      <c r="P192" s="58" t="s">
        <v>31</v>
      </c>
      <c r="Q192" s="142"/>
    </row>
    <row r="193" spans="2:17">
      <c r="B193" s="70" t="s">
        <v>548</v>
      </c>
      <c r="C193" s="170" t="s">
        <v>183</v>
      </c>
      <c r="D193" s="41" t="s">
        <v>183</v>
      </c>
      <c r="E193" s="41" t="s">
        <v>183</v>
      </c>
      <c r="F193" s="41" t="s">
        <v>183</v>
      </c>
      <c r="G193" s="41" t="s">
        <v>183</v>
      </c>
      <c r="H193" s="41" t="s">
        <v>183</v>
      </c>
      <c r="I193" s="41" t="s">
        <v>183</v>
      </c>
      <c r="J193" s="41" t="s">
        <v>183</v>
      </c>
      <c r="K193" s="212" t="s">
        <v>32</v>
      </c>
      <c r="L193" s="32" t="s">
        <v>441</v>
      </c>
      <c r="M193" s="36" t="s">
        <v>33</v>
      </c>
      <c r="N193" s="170"/>
      <c r="O193" s="41"/>
      <c r="P193" s="58" t="s">
        <v>31</v>
      </c>
      <c r="Q193" s="142"/>
    </row>
    <row r="194" spans="2:17">
      <c r="B194" s="70" t="s">
        <v>548</v>
      </c>
      <c r="C194" s="170" t="s">
        <v>183</v>
      </c>
      <c r="D194" s="41" t="s">
        <v>183</v>
      </c>
      <c r="E194" s="41" t="s">
        <v>183</v>
      </c>
      <c r="F194" s="41" t="s">
        <v>183</v>
      </c>
      <c r="G194" s="41" t="s">
        <v>183</v>
      </c>
      <c r="H194" s="41" t="s">
        <v>183</v>
      </c>
      <c r="I194" s="41" t="s">
        <v>183</v>
      </c>
      <c r="J194" s="41" t="s">
        <v>183</v>
      </c>
      <c r="K194" s="212" t="s">
        <v>32</v>
      </c>
      <c r="L194" s="32" t="s">
        <v>442</v>
      </c>
      <c r="M194" s="36" t="s">
        <v>33</v>
      </c>
      <c r="N194" s="170"/>
      <c r="O194" s="41"/>
      <c r="P194" s="58" t="s">
        <v>31</v>
      </c>
      <c r="Q194" s="142"/>
    </row>
    <row r="195" spans="2:17">
      <c r="B195" s="70" t="s">
        <v>548</v>
      </c>
      <c r="C195" s="170" t="s">
        <v>183</v>
      </c>
      <c r="D195" s="41" t="s">
        <v>183</v>
      </c>
      <c r="E195" s="41" t="s">
        <v>183</v>
      </c>
      <c r="F195" s="41" t="s">
        <v>183</v>
      </c>
      <c r="G195" s="41" t="s">
        <v>183</v>
      </c>
      <c r="H195" s="41" t="s">
        <v>183</v>
      </c>
      <c r="I195" s="41" t="s">
        <v>183</v>
      </c>
      <c r="J195" s="41" t="s">
        <v>183</v>
      </c>
      <c r="K195" s="212" t="s">
        <v>32</v>
      </c>
      <c r="L195" s="32" t="s">
        <v>443</v>
      </c>
      <c r="M195" s="36" t="s">
        <v>33</v>
      </c>
      <c r="N195" s="170"/>
      <c r="O195" s="41"/>
      <c r="P195" s="58" t="s">
        <v>31</v>
      </c>
      <c r="Q195" s="142"/>
    </row>
    <row r="196" spans="2:17">
      <c r="B196" s="70" t="s">
        <v>548</v>
      </c>
      <c r="C196" s="170" t="s">
        <v>183</v>
      </c>
      <c r="D196" s="41" t="s">
        <v>183</v>
      </c>
      <c r="E196" s="41" t="s">
        <v>183</v>
      </c>
      <c r="F196" s="41" t="s">
        <v>183</v>
      </c>
      <c r="G196" s="41" t="s">
        <v>183</v>
      </c>
      <c r="H196" s="41" t="s">
        <v>183</v>
      </c>
      <c r="I196" s="41" t="s">
        <v>183</v>
      </c>
      <c r="J196" s="41" t="s">
        <v>183</v>
      </c>
      <c r="K196" s="212" t="s">
        <v>32</v>
      </c>
      <c r="L196" s="32" t="s">
        <v>444</v>
      </c>
      <c r="M196" s="36" t="s">
        <v>33</v>
      </c>
      <c r="N196" s="170"/>
      <c r="O196" s="41"/>
      <c r="P196" s="58" t="s">
        <v>31</v>
      </c>
      <c r="Q196" s="142"/>
    </row>
    <row r="197" spans="2:17">
      <c r="B197" s="70" t="s">
        <v>548</v>
      </c>
      <c r="C197" s="170" t="s">
        <v>183</v>
      </c>
      <c r="D197" s="41" t="s">
        <v>183</v>
      </c>
      <c r="E197" s="41" t="s">
        <v>183</v>
      </c>
      <c r="F197" s="41" t="s">
        <v>183</v>
      </c>
      <c r="G197" s="41" t="s">
        <v>183</v>
      </c>
      <c r="H197" s="41" t="s">
        <v>183</v>
      </c>
      <c r="I197" s="41" t="s">
        <v>183</v>
      </c>
      <c r="J197" s="41" t="s">
        <v>183</v>
      </c>
      <c r="K197" s="212" t="s">
        <v>32</v>
      </c>
      <c r="L197" s="32" t="s">
        <v>445</v>
      </c>
      <c r="M197" s="36" t="s">
        <v>33</v>
      </c>
      <c r="N197" s="170"/>
      <c r="O197" s="41"/>
      <c r="P197" s="58" t="s">
        <v>31</v>
      </c>
      <c r="Q197" s="142"/>
    </row>
    <row r="198" spans="2:17">
      <c r="B198" s="70" t="s">
        <v>548</v>
      </c>
      <c r="C198" s="170" t="s">
        <v>183</v>
      </c>
      <c r="D198" s="41" t="s">
        <v>183</v>
      </c>
      <c r="E198" s="41" t="s">
        <v>183</v>
      </c>
      <c r="F198" s="41" t="s">
        <v>183</v>
      </c>
      <c r="G198" s="41" t="s">
        <v>183</v>
      </c>
      <c r="H198" s="41" t="s">
        <v>183</v>
      </c>
      <c r="I198" s="41" t="s">
        <v>183</v>
      </c>
      <c r="J198" s="41" t="s">
        <v>183</v>
      </c>
      <c r="K198" s="212" t="s">
        <v>32</v>
      </c>
      <c r="L198" s="32" t="s">
        <v>446</v>
      </c>
      <c r="M198" s="36" t="s">
        <v>33</v>
      </c>
      <c r="N198" s="170"/>
      <c r="O198" s="41"/>
      <c r="P198" s="58" t="s">
        <v>31</v>
      </c>
      <c r="Q198" s="142"/>
    </row>
    <row r="199" spans="2:17">
      <c r="B199" s="70" t="s">
        <v>548</v>
      </c>
      <c r="C199" s="170" t="s">
        <v>183</v>
      </c>
      <c r="D199" s="41" t="s">
        <v>183</v>
      </c>
      <c r="E199" s="41" t="s">
        <v>183</v>
      </c>
      <c r="F199" s="41" t="s">
        <v>183</v>
      </c>
      <c r="G199" s="41" t="s">
        <v>183</v>
      </c>
      <c r="H199" s="41" t="s">
        <v>183</v>
      </c>
      <c r="I199" s="41" t="s">
        <v>183</v>
      </c>
      <c r="J199" s="41" t="s">
        <v>183</v>
      </c>
      <c r="K199" s="212" t="s">
        <v>32</v>
      </c>
      <c r="L199" s="32" t="s">
        <v>447</v>
      </c>
      <c r="M199" s="36" t="s">
        <v>33</v>
      </c>
      <c r="N199" s="170"/>
      <c r="O199" s="41"/>
      <c r="P199" s="58" t="s">
        <v>31</v>
      </c>
      <c r="Q199" s="142"/>
    </row>
    <row r="200" spans="2:17">
      <c r="B200" s="70" t="s">
        <v>548</v>
      </c>
      <c r="C200" s="170" t="s">
        <v>183</v>
      </c>
      <c r="D200" s="41" t="s">
        <v>183</v>
      </c>
      <c r="E200" s="41" t="s">
        <v>183</v>
      </c>
      <c r="F200" s="41" t="s">
        <v>183</v>
      </c>
      <c r="G200" s="41" t="s">
        <v>183</v>
      </c>
      <c r="H200" s="41" t="s">
        <v>183</v>
      </c>
      <c r="I200" s="41" t="s">
        <v>183</v>
      </c>
      <c r="J200" s="41" t="s">
        <v>183</v>
      </c>
      <c r="K200" s="212" t="s">
        <v>32</v>
      </c>
      <c r="L200" s="32" t="s">
        <v>448</v>
      </c>
      <c r="M200" s="36" t="s">
        <v>33</v>
      </c>
      <c r="N200" s="170"/>
      <c r="O200" s="41"/>
      <c r="P200" s="58" t="s">
        <v>31</v>
      </c>
      <c r="Q200" s="142"/>
    </row>
    <row r="201" spans="2:17">
      <c r="B201" s="70" t="s">
        <v>548</v>
      </c>
      <c r="C201" s="170" t="s">
        <v>183</v>
      </c>
      <c r="D201" s="41" t="s">
        <v>183</v>
      </c>
      <c r="E201" s="41" t="s">
        <v>183</v>
      </c>
      <c r="F201" s="41" t="s">
        <v>183</v>
      </c>
      <c r="G201" s="41" t="s">
        <v>183</v>
      </c>
      <c r="H201" s="41" t="s">
        <v>183</v>
      </c>
      <c r="I201" s="41" t="s">
        <v>183</v>
      </c>
      <c r="J201" s="41" t="s">
        <v>183</v>
      </c>
      <c r="K201" s="212" t="s">
        <v>32</v>
      </c>
      <c r="L201" s="32" t="s">
        <v>449</v>
      </c>
      <c r="M201" s="36" t="s">
        <v>33</v>
      </c>
      <c r="N201" s="170"/>
      <c r="O201" s="41"/>
      <c r="P201" s="58" t="s">
        <v>31</v>
      </c>
      <c r="Q201" s="142"/>
    </row>
    <row r="202" spans="2:17">
      <c r="B202" s="70" t="s">
        <v>548</v>
      </c>
      <c r="C202" s="170" t="s">
        <v>183</v>
      </c>
      <c r="D202" s="41" t="s">
        <v>183</v>
      </c>
      <c r="E202" s="41" t="s">
        <v>183</v>
      </c>
      <c r="F202" s="41" t="s">
        <v>183</v>
      </c>
      <c r="G202" s="41" t="s">
        <v>183</v>
      </c>
      <c r="H202" s="41" t="s">
        <v>183</v>
      </c>
      <c r="I202" s="41" t="s">
        <v>183</v>
      </c>
      <c r="J202" s="41" t="s">
        <v>183</v>
      </c>
      <c r="K202" s="212" t="s">
        <v>32</v>
      </c>
      <c r="L202" s="32" t="s">
        <v>450</v>
      </c>
      <c r="M202" s="36" t="s">
        <v>33</v>
      </c>
      <c r="N202" s="170"/>
      <c r="O202" s="41"/>
      <c r="P202" s="58" t="s">
        <v>31</v>
      </c>
      <c r="Q202" s="142"/>
    </row>
    <row r="203" spans="2:17">
      <c r="B203" s="70" t="s">
        <v>548</v>
      </c>
      <c r="C203" s="170" t="s">
        <v>183</v>
      </c>
      <c r="D203" s="41" t="s">
        <v>183</v>
      </c>
      <c r="E203" s="41" t="s">
        <v>183</v>
      </c>
      <c r="F203" s="41" t="s">
        <v>183</v>
      </c>
      <c r="G203" s="41" t="s">
        <v>183</v>
      </c>
      <c r="H203" s="41" t="s">
        <v>183</v>
      </c>
      <c r="I203" s="41" t="s">
        <v>183</v>
      </c>
      <c r="J203" s="41" t="s">
        <v>183</v>
      </c>
      <c r="K203" s="212" t="s">
        <v>32</v>
      </c>
      <c r="L203" s="32" t="s">
        <v>451</v>
      </c>
      <c r="M203" s="36" t="s">
        <v>33</v>
      </c>
      <c r="N203" s="170"/>
      <c r="O203" s="41"/>
      <c r="P203" s="58" t="s">
        <v>31</v>
      </c>
      <c r="Q203" s="142"/>
    </row>
    <row r="204" spans="2:17">
      <c r="B204" s="70" t="s">
        <v>548</v>
      </c>
      <c r="C204" s="170" t="s">
        <v>183</v>
      </c>
      <c r="D204" s="41" t="s">
        <v>183</v>
      </c>
      <c r="E204" s="41" t="s">
        <v>183</v>
      </c>
      <c r="F204" s="41" t="s">
        <v>183</v>
      </c>
      <c r="G204" s="41" t="s">
        <v>183</v>
      </c>
      <c r="H204" s="41" t="s">
        <v>183</v>
      </c>
      <c r="I204" s="41" t="s">
        <v>183</v>
      </c>
      <c r="J204" s="41" t="s">
        <v>183</v>
      </c>
      <c r="K204" s="212" t="s">
        <v>32</v>
      </c>
      <c r="L204" s="32" t="s">
        <v>452</v>
      </c>
      <c r="M204" s="36" t="s">
        <v>33</v>
      </c>
      <c r="N204" s="170"/>
      <c r="O204" s="41"/>
      <c r="P204" s="58" t="s">
        <v>31</v>
      </c>
      <c r="Q204" s="142"/>
    </row>
    <row r="205" spans="2:17">
      <c r="B205" s="70" t="s">
        <v>548</v>
      </c>
      <c r="C205" s="170" t="s">
        <v>183</v>
      </c>
      <c r="D205" s="41" t="s">
        <v>183</v>
      </c>
      <c r="E205" s="41" t="s">
        <v>183</v>
      </c>
      <c r="F205" s="41" t="s">
        <v>183</v>
      </c>
      <c r="G205" s="41" t="s">
        <v>183</v>
      </c>
      <c r="H205" s="41" t="s">
        <v>183</v>
      </c>
      <c r="I205" s="41" t="s">
        <v>183</v>
      </c>
      <c r="J205" s="41" t="s">
        <v>183</v>
      </c>
      <c r="K205" s="212" t="s">
        <v>32</v>
      </c>
      <c r="L205" s="32" t="s">
        <v>453</v>
      </c>
      <c r="M205" s="36" t="s">
        <v>33</v>
      </c>
      <c r="N205" s="170"/>
      <c r="O205" s="41"/>
      <c r="P205" s="58" t="s">
        <v>31</v>
      </c>
      <c r="Q205" s="142"/>
    </row>
    <row r="206" spans="2:17">
      <c r="B206" s="70" t="s">
        <v>548</v>
      </c>
      <c r="C206" s="170" t="s">
        <v>183</v>
      </c>
      <c r="D206" s="41" t="s">
        <v>183</v>
      </c>
      <c r="E206" s="41" t="s">
        <v>183</v>
      </c>
      <c r="F206" s="41" t="s">
        <v>183</v>
      </c>
      <c r="G206" s="41" t="s">
        <v>183</v>
      </c>
      <c r="H206" s="41" t="s">
        <v>183</v>
      </c>
      <c r="I206" s="41" t="s">
        <v>183</v>
      </c>
      <c r="J206" s="41" t="s">
        <v>183</v>
      </c>
      <c r="K206" s="212" t="s">
        <v>32</v>
      </c>
      <c r="L206" s="32" t="s">
        <v>454</v>
      </c>
      <c r="M206" s="36" t="s">
        <v>33</v>
      </c>
      <c r="N206" s="170"/>
      <c r="O206" s="41"/>
      <c r="P206" s="58" t="s">
        <v>31</v>
      </c>
      <c r="Q206" s="142"/>
    </row>
    <row r="207" spans="2:17">
      <c r="B207" s="70" t="s">
        <v>548</v>
      </c>
      <c r="C207" s="170" t="s">
        <v>183</v>
      </c>
      <c r="D207" s="41" t="s">
        <v>183</v>
      </c>
      <c r="E207" s="41" t="s">
        <v>183</v>
      </c>
      <c r="F207" s="41" t="s">
        <v>183</v>
      </c>
      <c r="G207" s="41" t="s">
        <v>183</v>
      </c>
      <c r="H207" s="41" t="s">
        <v>183</v>
      </c>
      <c r="I207" s="41" t="s">
        <v>183</v>
      </c>
      <c r="J207" s="41" t="s">
        <v>183</v>
      </c>
      <c r="K207" s="212" t="s">
        <v>32</v>
      </c>
      <c r="L207" s="32" t="s">
        <v>455</v>
      </c>
      <c r="M207" s="36" t="s">
        <v>33</v>
      </c>
      <c r="N207" s="170"/>
      <c r="O207" s="41"/>
      <c r="P207" s="58" t="s">
        <v>31</v>
      </c>
      <c r="Q207" s="142"/>
    </row>
    <row r="208" spans="2:17">
      <c r="B208" s="70" t="s">
        <v>548</v>
      </c>
      <c r="C208" s="170" t="s">
        <v>183</v>
      </c>
      <c r="D208" s="41" t="s">
        <v>183</v>
      </c>
      <c r="E208" s="41" t="s">
        <v>183</v>
      </c>
      <c r="F208" s="41" t="s">
        <v>183</v>
      </c>
      <c r="G208" s="41" t="s">
        <v>183</v>
      </c>
      <c r="H208" s="41" t="s">
        <v>183</v>
      </c>
      <c r="I208" s="41" t="s">
        <v>183</v>
      </c>
      <c r="J208" s="41" t="s">
        <v>183</v>
      </c>
      <c r="K208" s="212" t="s">
        <v>32</v>
      </c>
      <c r="L208" s="32" t="s">
        <v>456</v>
      </c>
      <c r="M208" s="36" t="s">
        <v>33</v>
      </c>
      <c r="N208" s="170"/>
      <c r="O208" s="41"/>
      <c r="P208" s="58" t="s">
        <v>31</v>
      </c>
      <c r="Q208" s="142"/>
    </row>
    <row r="209" spans="2:17">
      <c r="B209" s="70" t="s">
        <v>548</v>
      </c>
      <c r="C209" s="170" t="s">
        <v>183</v>
      </c>
      <c r="D209" s="41" t="s">
        <v>183</v>
      </c>
      <c r="E209" s="41" t="s">
        <v>183</v>
      </c>
      <c r="F209" s="41" t="s">
        <v>183</v>
      </c>
      <c r="G209" s="41" t="s">
        <v>183</v>
      </c>
      <c r="H209" s="41" t="s">
        <v>183</v>
      </c>
      <c r="I209" s="41" t="s">
        <v>183</v>
      </c>
      <c r="J209" s="41" t="s">
        <v>183</v>
      </c>
      <c r="K209" s="212" t="s">
        <v>32</v>
      </c>
      <c r="L209" s="32" t="s">
        <v>457</v>
      </c>
      <c r="M209" s="36" t="s">
        <v>33</v>
      </c>
      <c r="N209" s="170"/>
      <c r="O209" s="41"/>
      <c r="P209" s="58" t="s">
        <v>31</v>
      </c>
      <c r="Q209" s="142"/>
    </row>
    <row r="210" spans="2:17">
      <c r="B210" s="70" t="s">
        <v>548</v>
      </c>
      <c r="C210" s="170" t="s">
        <v>183</v>
      </c>
      <c r="D210" s="41" t="s">
        <v>183</v>
      </c>
      <c r="E210" s="41" t="s">
        <v>183</v>
      </c>
      <c r="F210" s="41" t="s">
        <v>183</v>
      </c>
      <c r="G210" s="41" t="s">
        <v>183</v>
      </c>
      <c r="H210" s="41" t="s">
        <v>183</v>
      </c>
      <c r="I210" s="41" t="s">
        <v>183</v>
      </c>
      <c r="J210" s="41" t="s">
        <v>183</v>
      </c>
      <c r="K210" s="212" t="s">
        <v>32</v>
      </c>
      <c r="L210" s="32" t="s">
        <v>458</v>
      </c>
      <c r="M210" s="36" t="s">
        <v>33</v>
      </c>
      <c r="N210" s="170"/>
      <c r="O210" s="41"/>
      <c r="P210" s="58" t="s">
        <v>31</v>
      </c>
      <c r="Q210" s="142"/>
    </row>
    <row r="211" spans="2:17">
      <c r="B211" s="70" t="s">
        <v>548</v>
      </c>
      <c r="C211" s="170" t="s">
        <v>183</v>
      </c>
      <c r="D211" s="41" t="s">
        <v>183</v>
      </c>
      <c r="E211" s="41" t="s">
        <v>183</v>
      </c>
      <c r="F211" s="41" t="s">
        <v>183</v>
      </c>
      <c r="G211" s="41" t="s">
        <v>183</v>
      </c>
      <c r="H211" s="41" t="s">
        <v>183</v>
      </c>
      <c r="I211" s="41" t="s">
        <v>183</v>
      </c>
      <c r="J211" s="41" t="s">
        <v>183</v>
      </c>
      <c r="K211" s="212" t="s">
        <v>32</v>
      </c>
      <c r="L211" s="32" t="s">
        <v>459</v>
      </c>
      <c r="M211" s="36" t="s">
        <v>33</v>
      </c>
      <c r="N211" s="170"/>
      <c r="O211" s="41"/>
      <c r="P211" s="58" t="s">
        <v>31</v>
      </c>
      <c r="Q211" s="142"/>
    </row>
    <row r="212" spans="2:17">
      <c r="B212" s="70" t="s">
        <v>548</v>
      </c>
      <c r="C212" s="170" t="s">
        <v>183</v>
      </c>
      <c r="D212" s="41" t="s">
        <v>183</v>
      </c>
      <c r="E212" s="41" t="s">
        <v>183</v>
      </c>
      <c r="F212" s="41" t="s">
        <v>183</v>
      </c>
      <c r="G212" s="41" t="s">
        <v>183</v>
      </c>
      <c r="H212" s="41" t="s">
        <v>183</v>
      </c>
      <c r="I212" s="41" t="s">
        <v>183</v>
      </c>
      <c r="J212" s="41" t="s">
        <v>183</v>
      </c>
      <c r="K212" s="212" t="s">
        <v>32</v>
      </c>
      <c r="L212" s="32" t="s">
        <v>460</v>
      </c>
      <c r="M212" s="36" t="s">
        <v>33</v>
      </c>
      <c r="N212" s="170"/>
      <c r="O212" s="41"/>
      <c r="P212" s="58" t="s">
        <v>31</v>
      </c>
      <c r="Q212" s="142"/>
    </row>
    <row r="213" spans="2:17">
      <c r="B213" s="70" t="s">
        <v>548</v>
      </c>
      <c r="C213" s="170" t="s">
        <v>183</v>
      </c>
      <c r="D213" s="41" t="s">
        <v>183</v>
      </c>
      <c r="E213" s="41" t="s">
        <v>183</v>
      </c>
      <c r="F213" s="41" t="s">
        <v>183</v>
      </c>
      <c r="G213" s="41" t="s">
        <v>183</v>
      </c>
      <c r="H213" s="41" t="s">
        <v>183</v>
      </c>
      <c r="I213" s="41" t="s">
        <v>183</v>
      </c>
      <c r="J213" s="41" t="s">
        <v>183</v>
      </c>
      <c r="K213" s="212" t="s">
        <v>32</v>
      </c>
      <c r="L213" s="32" t="s">
        <v>461</v>
      </c>
      <c r="M213" s="36" t="s">
        <v>33</v>
      </c>
      <c r="N213" s="170"/>
      <c r="O213" s="41"/>
      <c r="P213" s="58" t="s">
        <v>31</v>
      </c>
      <c r="Q213" s="142"/>
    </row>
    <row r="214" spans="2:17">
      <c r="B214" s="70" t="s">
        <v>548</v>
      </c>
      <c r="C214" s="170" t="s">
        <v>183</v>
      </c>
      <c r="D214" s="41" t="s">
        <v>183</v>
      </c>
      <c r="E214" s="41" t="s">
        <v>183</v>
      </c>
      <c r="F214" s="41" t="s">
        <v>183</v>
      </c>
      <c r="G214" s="41" t="s">
        <v>183</v>
      </c>
      <c r="H214" s="41" t="s">
        <v>183</v>
      </c>
      <c r="I214" s="41" t="s">
        <v>183</v>
      </c>
      <c r="J214" s="41" t="s">
        <v>183</v>
      </c>
      <c r="K214" s="212" t="s">
        <v>32</v>
      </c>
      <c r="L214" s="32" t="s">
        <v>462</v>
      </c>
      <c r="M214" s="36" t="s">
        <v>33</v>
      </c>
      <c r="N214" s="170"/>
      <c r="O214" s="41"/>
      <c r="P214" s="58" t="s">
        <v>31</v>
      </c>
      <c r="Q214" s="142"/>
    </row>
    <row r="215" spans="2:17">
      <c r="B215" s="70" t="s">
        <v>548</v>
      </c>
      <c r="C215" s="170" t="s">
        <v>183</v>
      </c>
      <c r="D215" s="41" t="s">
        <v>183</v>
      </c>
      <c r="E215" s="41" t="s">
        <v>183</v>
      </c>
      <c r="F215" s="41" t="s">
        <v>183</v>
      </c>
      <c r="G215" s="41" t="s">
        <v>183</v>
      </c>
      <c r="H215" s="41" t="s">
        <v>183</v>
      </c>
      <c r="I215" s="41" t="s">
        <v>183</v>
      </c>
      <c r="J215" s="41" t="s">
        <v>183</v>
      </c>
      <c r="K215" s="212" t="s">
        <v>32</v>
      </c>
      <c r="L215" s="32" t="s">
        <v>463</v>
      </c>
      <c r="M215" s="36" t="s">
        <v>33</v>
      </c>
      <c r="N215" s="170"/>
      <c r="O215" s="41"/>
      <c r="P215" s="58" t="s">
        <v>31</v>
      </c>
      <c r="Q215" s="142"/>
    </row>
    <row r="216" spans="2:17">
      <c r="B216" s="70" t="s">
        <v>548</v>
      </c>
      <c r="C216" s="170" t="s">
        <v>183</v>
      </c>
      <c r="D216" s="41" t="s">
        <v>183</v>
      </c>
      <c r="E216" s="41" t="s">
        <v>183</v>
      </c>
      <c r="F216" s="41" t="s">
        <v>183</v>
      </c>
      <c r="G216" s="41" t="s">
        <v>183</v>
      </c>
      <c r="H216" s="41" t="s">
        <v>183</v>
      </c>
      <c r="I216" s="41" t="s">
        <v>183</v>
      </c>
      <c r="J216" s="41" t="s">
        <v>183</v>
      </c>
      <c r="K216" s="212" t="s">
        <v>32</v>
      </c>
      <c r="L216" s="32" t="s">
        <v>464</v>
      </c>
      <c r="M216" s="36" t="s">
        <v>33</v>
      </c>
      <c r="N216" s="170"/>
      <c r="O216" s="41"/>
      <c r="P216" s="58" t="s">
        <v>31</v>
      </c>
      <c r="Q216" s="142"/>
    </row>
    <row r="217" spans="2:17">
      <c r="B217" s="70" t="s">
        <v>548</v>
      </c>
      <c r="C217" s="170" t="s">
        <v>183</v>
      </c>
      <c r="D217" s="41" t="s">
        <v>183</v>
      </c>
      <c r="E217" s="41" t="s">
        <v>183</v>
      </c>
      <c r="F217" s="41" t="s">
        <v>183</v>
      </c>
      <c r="G217" s="41" t="s">
        <v>183</v>
      </c>
      <c r="H217" s="41" t="s">
        <v>183</v>
      </c>
      <c r="I217" s="41" t="s">
        <v>183</v>
      </c>
      <c r="J217" s="41" t="s">
        <v>183</v>
      </c>
      <c r="K217" s="212" t="s">
        <v>32</v>
      </c>
      <c r="L217" s="32" t="s">
        <v>465</v>
      </c>
      <c r="M217" s="36" t="s">
        <v>33</v>
      </c>
      <c r="N217" s="170"/>
      <c r="O217" s="41"/>
      <c r="P217" s="58" t="s">
        <v>31</v>
      </c>
      <c r="Q217" s="142"/>
    </row>
    <row r="218" spans="2:17">
      <c r="B218" s="70" t="s">
        <v>548</v>
      </c>
      <c r="C218" s="170" t="s">
        <v>183</v>
      </c>
      <c r="D218" s="41" t="s">
        <v>183</v>
      </c>
      <c r="E218" s="41" t="s">
        <v>183</v>
      </c>
      <c r="F218" s="41" t="s">
        <v>183</v>
      </c>
      <c r="G218" s="41" t="s">
        <v>183</v>
      </c>
      <c r="H218" s="41" t="s">
        <v>183</v>
      </c>
      <c r="I218" s="41" t="s">
        <v>183</v>
      </c>
      <c r="J218" s="41" t="s">
        <v>183</v>
      </c>
      <c r="K218" s="212" t="s">
        <v>32</v>
      </c>
      <c r="L218" s="32" t="s">
        <v>466</v>
      </c>
      <c r="M218" s="36" t="s">
        <v>33</v>
      </c>
      <c r="N218" s="170"/>
      <c r="O218" s="41"/>
      <c r="P218" s="58" t="s">
        <v>31</v>
      </c>
      <c r="Q218" s="142"/>
    </row>
    <row r="219" spans="2:17">
      <c r="B219" s="70" t="s">
        <v>548</v>
      </c>
      <c r="C219" s="170" t="s">
        <v>183</v>
      </c>
      <c r="D219" s="41" t="s">
        <v>183</v>
      </c>
      <c r="E219" s="41" t="s">
        <v>183</v>
      </c>
      <c r="F219" s="41" t="s">
        <v>183</v>
      </c>
      <c r="G219" s="41" t="s">
        <v>183</v>
      </c>
      <c r="H219" s="41" t="s">
        <v>183</v>
      </c>
      <c r="I219" s="41" t="s">
        <v>183</v>
      </c>
      <c r="J219" s="41" t="s">
        <v>183</v>
      </c>
      <c r="K219" s="212" t="s">
        <v>32</v>
      </c>
      <c r="L219" s="32" t="s">
        <v>467</v>
      </c>
      <c r="M219" s="36" t="s">
        <v>33</v>
      </c>
      <c r="N219" s="170"/>
      <c r="O219" s="41"/>
      <c r="P219" s="58" t="s">
        <v>31</v>
      </c>
      <c r="Q219" s="142"/>
    </row>
    <row r="220" spans="2:17">
      <c r="B220" s="70" t="s">
        <v>548</v>
      </c>
      <c r="C220" s="170" t="s">
        <v>183</v>
      </c>
      <c r="D220" s="41" t="s">
        <v>183</v>
      </c>
      <c r="E220" s="41" t="s">
        <v>183</v>
      </c>
      <c r="F220" s="41" t="s">
        <v>183</v>
      </c>
      <c r="G220" s="41" t="s">
        <v>183</v>
      </c>
      <c r="H220" s="41" t="s">
        <v>183</v>
      </c>
      <c r="I220" s="41" t="s">
        <v>183</v>
      </c>
      <c r="J220" s="41" t="s">
        <v>183</v>
      </c>
      <c r="K220" s="212" t="s">
        <v>32</v>
      </c>
      <c r="L220" s="32" t="s">
        <v>468</v>
      </c>
      <c r="M220" s="36" t="s">
        <v>33</v>
      </c>
      <c r="N220" s="170"/>
      <c r="O220" s="41"/>
      <c r="P220" s="58" t="s">
        <v>31</v>
      </c>
      <c r="Q220" s="142"/>
    </row>
    <row r="221" spans="2:17">
      <c r="B221" s="70" t="s">
        <v>548</v>
      </c>
      <c r="C221" s="170" t="s">
        <v>183</v>
      </c>
      <c r="D221" s="41" t="s">
        <v>183</v>
      </c>
      <c r="E221" s="41" t="s">
        <v>183</v>
      </c>
      <c r="F221" s="41" t="s">
        <v>183</v>
      </c>
      <c r="G221" s="41" t="s">
        <v>183</v>
      </c>
      <c r="H221" s="41" t="s">
        <v>183</v>
      </c>
      <c r="I221" s="41" t="s">
        <v>183</v>
      </c>
      <c r="J221" s="41" t="s">
        <v>183</v>
      </c>
      <c r="K221" s="212" t="s">
        <v>32</v>
      </c>
      <c r="L221" s="32" t="s">
        <v>469</v>
      </c>
      <c r="M221" s="36" t="s">
        <v>33</v>
      </c>
      <c r="N221" s="170"/>
      <c r="O221" s="41"/>
      <c r="P221" s="58" t="s">
        <v>31</v>
      </c>
      <c r="Q221" s="142"/>
    </row>
    <row r="222" spans="2:17">
      <c r="B222" s="70" t="s">
        <v>548</v>
      </c>
      <c r="C222" s="170" t="s">
        <v>183</v>
      </c>
      <c r="D222" s="41" t="s">
        <v>183</v>
      </c>
      <c r="E222" s="41" t="s">
        <v>183</v>
      </c>
      <c r="F222" s="41" t="s">
        <v>183</v>
      </c>
      <c r="G222" s="41" t="s">
        <v>183</v>
      </c>
      <c r="H222" s="41" t="s">
        <v>183</v>
      </c>
      <c r="I222" s="41" t="s">
        <v>183</v>
      </c>
      <c r="J222" s="41" t="s">
        <v>183</v>
      </c>
      <c r="K222" s="212" t="s">
        <v>32</v>
      </c>
      <c r="L222" s="32" t="s">
        <v>470</v>
      </c>
      <c r="M222" s="36" t="s">
        <v>33</v>
      </c>
      <c r="N222" s="170"/>
      <c r="O222" s="41"/>
      <c r="P222" s="58" t="s">
        <v>31</v>
      </c>
      <c r="Q222" s="142"/>
    </row>
    <row r="223" spans="2:17">
      <c r="B223" s="70" t="s">
        <v>548</v>
      </c>
      <c r="C223" s="170" t="s">
        <v>183</v>
      </c>
      <c r="D223" s="41" t="s">
        <v>183</v>
      </c>
      <c r="E223" s="41" t="s">
        <v>183</v>
      </c>
      <c r="F223" s="41" t="s">
        <v>183</v>
      </c>
      <c r="G223" s="41" t="s">
        <v>183</v>
      </c>
      <c r="H223" s="41" t="s">
        <v>183</v>
      </c>
      <c r="I223" s="41" t="s">
        <v>183</v>
      </c>
      <c r="J223" s="41" t="s">
        <v>183</v>
      </c>
      <c r="K223" s="212" t="s">
        <v>32</v>
      </c>
      <c r="L223" s="32" t="s">
        <v>471</v>
      </c>
      <c r="M223" s="36" t="s">
        <v>33</v>
      </c>
      <c r="N223" s="170"/>
      <c r="O223" s="41"/>
      <c r="P223" s="58" t="s">
        <v>31</v>
      </c>
      <c r="Q223" s="142"/>
    </row>
    <row r="224" spans="2:17">
      <c r="B224" s="70" t="s">
        <v>548</v>
      </c>
      <c r="C224" s="170" t="s">
        <v>183</v>
      </c>
      <c r="D224" s="41" t="s">
        <v>183</v>
      </c>
      <c r="E224" s="41" t="s">
        <v>183</v>
      </c>
      <c r="F224" s="41" t="s">
        <v>183</v>
      </c>
      <c r="G224" s="41" t="s">
        <v>183</v>
      </c>
      <c r="H224" s="41" t="s">
        <v>183</v>
      </c>
      <c r="I224" s="41" t="s">
        <v>183</v>
      </c>
      <c r="J224" s="41" t="s">
        <v>183</v>
      </c>
      <c r="K224" s="212" t="s">
        <v>32</v>
      </c>
      <c r="L224" s="32" t="s">
        <v>472</v>
      </c>
      <c r="M224" s="36" t="s">
        <v>33</v>
      </c>
      <c r="N224" s="170"/>
      <c r="O224" s="41"/>
      <c r="P224" s="58" t="s">
        <v>31</v>
      </c>
      <c r="Q224" s="142"/>
    </row>
    <row r="225" spans="2:17">
      <c r="B225" s="70" t="s">
        <v>548</v>
      </c>
      <c r="C225" s="170" t="s">
        <v>183</v>
      </c>
      <c r="D225" s="41" t="s">
        <v>183</v>
      </c>
      <c r="E225" s="41" t="s">
        <v>183</v>
      </c>
      <c r="F225" s="41" t="s">
        <v>183</v>
      </c>
      <c r="G225" s="41" t="s">
        <v>183</v>
      </c>
      <c r="H225" s="41" t="s">
        <v>183</v>
      </c>
      <c r="I225" s="41" t="s">
        <v>183</v>
      </c>
      <c r="J225" s="41" t="s">
        <v>183</v>
      </c>
      <c r="K225" s="212" t="s">
        <v>32</v>
      </c>
      <c r="L225" s="32" t="s">
        <v>473</v>
      </c>
      <c r="M225" s="36" t="s">
        <v>33</v>
      </c>
      <c r="N225" s="170"/>
      <c r="O225" s="41"/>
      <c r="P225" s="58" t="s">
        <v>31</v>
      </c>
      <c r="Q225" s="142"/>
    </row>
    <row r="226" spans="2:17">
      <c r="B226" s="70" t="s">
        <v>548</v>
      </c>
      <c r="C226" s="170" t="s">
        <v>183</v>
      </c>
      <c r="D226" s="41" t="s">
        <v>183</v>
      </c>
      <c r="E226" s="41" t="s">
        <v>183</v>
      </c>
      <c r="F226" s="41" t="s">
        <v>183</v>
      </c>
      <c r="G226" s="41" t="s">
        <v>183</v>
      </c>
      <c r="H226" s="41" t="s">
        <v>183</v>
      </c>
      <c r="I226" s="41" t="s">
        <v>183</v>
      </c>
      <c r="J226" s="41" t="s">
        <v>183</v>
      </c>
      <c r="K226" s="212" t="s">
        <v>32</v>
      </c>
      <c r="L226" s="32" t="s">
        <v>474</v>
      </c>
      <c r="M226" s="36" t="s">
        <v>33</v>
      </c>
      <c r="N226" s="170"/>
      <c r="O226" s="41"/>
      <c r="P226" s="58" t="s">
        <v>31</v>
      </c>
      <c r="Q226" s="142"/>
    </row>
    <row r="227" spans="2:17">
      <c r="B227" s="70" t="s">
        <v>548</v>
      </c>
      <c r="C227" s="170" t="s">
        <v>183</v>
      </c>
      <c r="D227" s="41" t="s">
        <v>183</v>
      </c>
      <c r="E227" s="41" t="s">
        <v>183</v>
      </c>
      <c r="F227" s="41" t="s">
        <v>183</v>
      </c>
      <c r="G227" s="41" t="s">
        <v>183</v>
      </c>
      <c r="H227" s="41" t="s">
        <v>183</v>
      </c>
      <c r="I227" s="41" t="s">
        <v>183</v>
      </c>
      <c r="J227" s="41" t="s">
        <v>183</v>
      </c>
      <c r="K227" s="212" t="s">
        <v>32</v>
      </c>
      <c r="L227" s="32" t="s">
        <v>475</v>
      </c>
      <c r="M227" s="36" t="s">
        <v>33</v>
      </c>
      <c r="N227" s="170"/>
      <c r="O227" s="41"/>
      <c r="P227" s="58" t="s">
        <v>31</v>
      </c>
      <c r="Q227" s="142"/>
    </row>
    <row r="228" spans="2:17">
      <c r="B228" s="70" t="s">
        <v>548</v>
      </c>
      <c r="C228" s="170" t="s">
        <v>183</v>
      </c>
      <c r="D228" s="41" t="s">
        <v>183</v>
      </c>
      <c r="E228" s="41" t="s">
        <v>183</v>
      </c>
      <c r="F228" s="41" t="s">
        <v>183</v>
      </c>
      <c r="G228" s="41" t="s">
        <v>183</v>
      </c>
      <c r="H228" s="41" t="s">
        <v>183</v>
      </c>
      <c r="I228" s="41" t="s">
        <v>183</v>
      </c>
      <c r="J228" s="41" t="s">
        <v>183</v>
      </c>
      <c r="K228" s="212" t="s">
        <v>32</v>
      </c>
      <c r="L228" s="32" t="s">
        <v>476</v>
      </c>
      <c r="M228" s="36" t="s">
        <v>33</v>
      </c>
      <c r="N228" s="170"/>
      <c r="O228" s="41"/>
      <c r="P228" s="58" t="s">
        <v>31</v>
      </c>
      <c r="Q228" s="142"/>
    </row>
    <row r="229" spans="2:17">
      <c r="B229" s="70" t="s">
        <v>548</v>
      </c>
      <c r="C229" s="170" t="s">
        <v>183</v>
      </c>
      <c r="D229" s="41" t="s">
        <v>183</v>
      </c>
      <c r="E229" s="41" t="s">
        <v>183</v>
      </c>
      <c r="F229" s="41" t="s">
        <v>183</v>
      </c>
      <c r="G229" s="41" t="s">
        <v>183</v>
      </c>
      <c r="H229" s="41" t="s">
        <v>183</v>
      </c>
      <c r="I229" s="41" t="s">
        <v>183</v>
      </c>
      <c r="J229" s="41" t="s">
        <v>183</v>
      </c>
      <c r="K229" s="212" t="s">
        <v>32</v>
      </c>
      <c r="L229" s="32" t="s">
        <v>477</v>
      </c>
      <c r="M229" s="36" t="s">
        <v>33</v>
      </c>
      <c r="N229" s="170"/>
      <c r="O229" s="41"/>
      <c r="P229" s="58" t="s">
        <v>31</v>
      </c>
      <c r="Q229" s="142"/>
    </row>
    <row r="230" spans="2:17">
      <c r="B230" s="70" t="s">
        <v>548</v>
      </c>
      <c r="C230" s="170" t="s">
        <v>183</v>
      </c>
      <c r="D230" s="41" t="s">
        <v>183</v>
      </c>
      <c r="E230" s="41" t="s">
        <v>183</v>
      </c>
      <c r="F230" s="41" t="s">
        <v>183</v>
      </c>
      <c r="G230" s="41" t="s">
        <v>183</v>
      </c>
      <c r="H230" s="41" t="s">
        <v>183</v>
      </c>
      <c r="I230" s="41" t="s">
        <v>183</v>
      </c>
      <c r="J230" s="41" t="s">
        <v>183</v>
      </c>
      <c r="K230" s="212" t="s">
        <v>32</v>
      </c>
      <c r="L230" s="32" t="s">
        <v>478</v>
      </c>
      <c r="M230" s="36" t="s">
        <v>33</v>
      </c>
      <c r="N230" s="170"/>
      <c r="O230" s="41"/>
      <c r="P230" s="58" t="s">
        <v>31</v>
      </c>
      <c r="Q230" s="142"/>
    </row>
    <row r="231" spans="2:17">
      <c r="B231" s="70" t="s">
        <v>548</v>
      </c>
      <c r="C231" s="170" t="s">
        <v>183</v>
      </c>
      <c r="D231" s="41" t="s">
        <v>183</v>
      </c>
      <c r="E231" s="41" t="s">
        <v>183</v>
      </c>
      <c r="F231" s="41" t="s">
        <v>183</v>
      </c>
      <c r="G231" s="41" t="s">
        <v>183</v>
      </c>
      <c r="H231" s="41" t="s">
        <v>183</v>
      </c>
      <c r="I231" s="41" t="s">
        <v>183</v>
      </c>
      <c r="J231" s="41" t="s">
        <v>183</v>
      </c>
      <c r="K231" s="212" t="s">
        <v>32</v>
      </c>
      <c r="L231" s="32" t="s">
        <v>479</v>
      </c>
      <c r="M231" s="36" t="s">
        <v>33</v>
      </c>
      <c r="N231" s="170"/>
      <c r="O231" s="41"/>
      <c r="P231" s="58" t="s">
        <v>31</v>
      </c>
      <c r="Q231" s="142"/>
    </row>
    <row r="232" spans="2:17">
      <c r="B232" s="70" t="s">
        <v>548</v>
      </c>
      <c r="C232" s="170" t="s">
        <v>183</v>
      </c>
      <c r="D232" s="41" t="s">
        <v>183</v>
      </c>
      <c r="E232" s="41" t="s">
        <v>183</v>
      </c>
      <c r="F232" s="41" t="s">
        <v>183</v>
      </c>
      <c r="G232" s="41" t="s">
        <v>183</v>
      </c>
      <c r="H232" s="41" t="s">
        <v>183</v>
      </c>
      <c r="I232" s="41" t="s">
        <v>183</v>
      </c>
      <c r="J232" s="41" t="s">
        <v>183</v>
      </c>
      <c r="K232" s="212" t="s">
        <v>32</v>
      </c>
      <c r="L232" s="32" t="s">
        <v>480</v>
      </c>
      <c r="M232" s="36" t="s">
        <v>33</v>
      </c>
      <c r="N232" s="170"/>
      <c r="O232" s="41"/>
      <c r="P232" s="58" t="s">
        <v>31</v>
      </c>
      <c r="Q232" s="142"/>
    </row>
    <row r="233" spans="2:17">
      <c r="B233" s="70" t="s">
        <v>548</v>
      </c>
      <c r="C233" s="170" t="s">
        <v>183</v>
      </c>
      <c r="D233" s="41" t="s">
        <v>183</v>
      </c>
      <c r="E233" s="41" t="s">
        <v>183</v>
      </c>
      <c r="F233" s="41" t="s">
        <v>183</v>
      </c>
      <c r="G233" s="41" t="s">
        <v>183</v>
      </c>
      <c r="H233" s="41" t="s">
        <v>183</v>
      </c>
      <c r="I233" s="41" t="s">
        <v>183</v>
      </c>
      <c r="J233" s="41" t="s">
        <v>183</v>
      </c>
      <c r="K233" s="212" t="s">
        <v>32</v>
      </c>
      <c r="L233" s="32" t="s">
        <v>481</v>
      </c>
      <c r="M233" s="36" t="s">
        <v>33</v>
      </c>
      <c r="N233" s="170"/>
      <c r="O233" s="41"/>
      <c r="P233" s="58" t="s">
        <v>31</v>
      </c>
      <c r="Q233" s="142"/>
    </row>
    <row r="234" spans="2:17">
      <c r="B234" s="70" t="s">
        <v>548</v>
      </c>
      <c r="C234" s="170" t="s">
        <v>183</v>
      </c>
      <c r="D234" s="41" t="s">
        <v>183</v>
      </c>
      <c r="E234" s="41" t="s">
        <v>183</v>
      </c>
      <c r="F234" s="41" t="s">
        <v>183</v>
      </c>
      <c r="G234" s="41" t="s">
        <v>183</v>
      </c>
      <c r="H234" s="41" t="s">
        <v>183</v>
      </c>
      <c r="I234" s="41" t="s">
        <v>183</v>
      </c>
      <c r="J234" s="41" t="s">
        <v>183</v>
      </c>
      <c r="K234" s="212" t="s">
        <v>32</v>
      </c>
      <c r="L234" s="32" t="s">
        <v>482</v>
      </c>
      <c r="M234" s="36" t="s">
        <v>33</v>
      </c>
      <c r="N234" s="170"/>
      <c r="O234" s="41"/>
      <c r="P234" s="58" t="s">
        <v>31</v>
      </c>
      <c r="Q234" s="142"/>
    </row>
    <row r="235" spans="2:17">
      <c r="B235" s="70" t="s">
        <v>548</v>
      </c>
      <c r="C235" s="170" t="s">
        <v>183</v>
      </c>
      <c r="D235" s="41" t="s">
        <v>183</v>
      </c>
      <c r="E235" s="41" t="s">
        <v>183</v>
      </c>
      <c r="F235" s="41" t="s">
        <v>183</v>
      </c>
      <c r="G235" s="41" t="s">
        <v>183</v>
      </c>
      <c r="H235" s="41" t="s">
        <v>183</v>
      </c>
      <c r="I235" s="41" t="s">
        <v>183</v>
      </c>
      <c r="J235" s="41" t="s">
        <v>183</v>
      </c>
      <c r="K235" s="212" t="s">
        <v>32</v>
      </c>
      <c r="L235" s="32" t="s">
        <v>483</v>
      </c>
      <c r="M235" s="36" t="s">
        <v>33</v>
      </c>
      <c r="N235" s="170"/>
      <c r="O235" s="41"/>
      <c r="P235" s="58" t="s">
        <v>31</v>
      </c>
      <c r="Q235" s="142"/>
    </row>
    <row r="236" spans="2:17">
      <c r="B236" s="70" t="s">
        <v>548</v>
      </c>
      <c r="C236" s="170" t="s">
        <v>183</v>
      </c>
      <c r="D236" s="41" t="s">
        <v>183</v>
      </c>
      <c r="E236" s="41" t="s">
        <v>183</v>
      </c>
      <c r="F236" s="41" t="s">
        <v>183</v>
      </c>
      <c r="G236" s="41" t="s">
        <v>183</v>
      </c>
      <c r="H236" s="41" t="s">
        <v>183</v>
      </c>
      <c r="I236" s="41" t="s">
        <v>183</v>
      </c>
      <c r="J236" s="41" t="s">
        <v>183</v>
      </c>
      <c r="K236" s="212" t="s">
        <v>32</v>
      </c>
      <c r="L236" s="32" t="s">
        <v>484</v>
      </c>
      <c r="M236" s="36" t="s">
        <v>33</v>
      </c>
      <c r="N236" s="170"/>
      <c r="O236" s="41"/>
      <c r="P236" s="58" t="s">
        <v>31</v>
      </c>
      <c r="Q236" s="142"/>
    </row>
    <row r="237" spans="2:17">
      <c r="B237" s="70" t="s">
        <v>548</v>
      </c>
      <c r="C237" s="170" t="s">
        <v>183</v>
      </c>
      <c r="D237" s="41" t="s">
        <v>183</v>
      </c>
      <c r="E237" s="41" t="s">
        <v>183</v>
      </c>
      <c r="F237" s="41" t="s">
        <v>183</v>
      </c>
      <c r="G237" s="41" t="s">
        <v>183</v>
      </c>
      <c r="H237" s="41" t="s">
        <v>183</v>
      </c>
      <c r="I237" s="41" t="s">
        <v>183</v>
      </c>
      <c r="J237" s="41" t="s">
        <v>183</v>
      </c>
      <c r="K237" s="212" t="s">
        <v>32</v>
      </c>
      <c r="L237" s="32" t="s">
        <v>485</v>
      </c>
      <c r="M237" s="36" t="s">
        <v>33</v>
      </c>
      <c r="N237" s="170"/>
      <c r="O237" s="41"/>
      <c r="P237" s="58" t="s">
        <v>31</v>
      </c>
      <c r="Q237" s="142"/>
    </row>
    <row r="238" spans="2:17">
      <c r="B238" s="70" t="s">
        <v>548</v>
      </c>
      <c r="C238" s="170" t="s">
        <v>183</v>
      </c>
      <c r="D238" s="41" t="s">
        <v>183</v>
      </c>
      <c r="E238" s="41" t="s">
        <v>183</v>
      </c>
      <c r="F238" s="41" t="s">
        <v>183</v>
      </c>
      <c r="G238" s="41" t="s">
        <v>183</v>
      </c>
      <c r="H238" s="41" t="s">
        <v>183</v>
      </c>
      <c r="I238" s="41" t="s">
        <v>183</v>
      </c>
      <c r="J238" s="41" t="s">
        <v>183</v>
      </c>
      <c r="K238" s="212" t="s">
        <v>32</v>
      </c>
      <c r="L238" s="32" t="s">
        <v>486</v>
      </c>
      <c r="M238" s="36" t="s">
        <v>33</v>
      </c>
      <c r="N238" s="170"/>
      <c r="O238" s="41"/>
      <c r="P238" s="58" t="s">
        <v>31</v>
      </c>
      <c r="Q238" s="142"/>
    </row>
    <row r="239" spans="2:17">
      <c r="B239" s="70" t="s">
        <v>548</v>
      </c>
      <c r="C239" s="170" t="s">
        <v>183</v>
      </c>
      <c r="D239" s="41" t="s">
        <v>183</v>
      </c>
      <c r="E239" s="41" t="s">
        <v>183</v>
      </c>
      <c r="F239" s="41" t="s">
        <v>183</v>
      </c>
      <c r="G239" s="41" t="s">
        <v>183</v>
      </c>
      <c r="H239" s="41" t="s">
        <v>183</v>
      </c>
      <c r="I239" s="41" t="s">
        <v>183</v>
      </c>
      <c r="J239" s="41" t="s">
        <v>183</v>
      </c>
      <c r="K239" s="212" t="s">
        <v>32</v>
      </c>
      <c r="L239" s="32" t="s">
        <v>487</v>
      </c>
      <c r="M239" s="36" t="s">
        <v>33</v>
      </c>
      <c r="N239" s="170"/>
      <c r="O239" s="41"/>
      <c r="P239" s="58" t="s">
        <v>31</v>
      </c>
      <c r="Q239" s="142"/>
    </row>
    <row r="240" spans="2:17">
      <c r="B240" s="70" t="s">
        <v>548</v>
      </c>
      <c r="C240" s="170" t="s">
        <v>183</v>
      </c>
      <c r="D240" s="41" t="s">
        <v>183</v>
      </c>
      <c r="E240" s="41" t="s">
        <v>183</v>
      </c>
      <c r="F240" s="41" t="s">
        <v>183</v>
      </c>
      <c r="G240" s="41" t="s">
        <v>183</v>
      </c>
      <c r="H240" s="41" t="s">
        <v>183</v>
      </c>
      <c r="I240" s="41" t="s">
        <v>183</v>
      </c>
      <c r="J240" s="41" t="s">
        <v>183</v>
      </c>
      <c r="K240" s="212" t="s">
        <v>32</v>
      </c>
      <c r="L240" s="32" t="s">
        <v>488</v>
      </c>
      <c r="M240" s="36" t="s">
        <v>33</v>
      </c>
      <c r="N240" s="170"/>
      <c r="O240" s="41"/>
      <c r="P240" s="58" t="s">
        <v>31</v>
      </c>
      <c r="Q240" s="142"/>
    </row>
    <row r="241" spans="2:17">
      <c r="B241" s="70" t="s">
        <v>548</v>
      </c>
      <c r="C241" s="170" t="s">
        <v>183</v>
      </c>
      <c r="D241" s="41" t="s">
        <v>183</v>
      </c>
      <c r="E241" s="41" t="s">
        <v>183</v>
      </c>
      <c r="F241" s="41" t="s">
        <v>183</v>
      </c>
      <c r="G241" s="41" t="s">
        <v>183</v>
      </c>
      <c r="H241" s="41" t="s">
        <v>183</v>
      </c>
      <c r="I241" s="41" t="s">
        <v>183</v>
      </c>
      <c r="J241" s="41" t="s">
        <v>183</v>
      </c>
      <c r="K241" s="212" t="s">
        <v>32</v>
      </c>
      <c r="L241" s="32" t="s">
        <v>489</v>
      </c>
      <c r="M241" s="36" t="s">
        <v>33</v>
      </c>
      <c r="N241" s="170"/>
      <c r="O241" s="41"/>
      <c r="P241" s="58" t="s">
        <v>31</v>
      </c>
      <c r="Q241" s="142"/>
    </row>
    <row r="242" spans="2:17">
      <c r="B242" s="70" t="s">
        <v>548</v>
      </c>
      <c r="C242" s="170" t="s">
        <v>183</v>
      </c>
      <c r="D242" s="41" t="s">
        <v>183</v>
      </c>
      <c r="E242" s="41" t="s">
        <v>183</v>
      </c>
      <c r="F242" s="41" t="s">
        <v>183</v>
      </c>
      <c r="G242" s="41" t="s">
        <v>183</v>
      </c>
      <c r="H242" s="41" t="s">
        <v>183</v>
      </c>
      <c r="I242" s="41" t="s">
        <v>183</v>
      </c>
      <c r="J242" s="41" t="s">
        <v>183</v>
      </c>
      <c r="K242" s="212" t="s">
        <v>32</v>
      </c>
      <c r="L242" s="32" t="s">
        <v>490</v>
      </c>
      <c r="M242" s="36" t="s">
        <v>33</v>
      </c>
      <c r="N242" s="170"/>
      <c r="O242" s="41"/>
      <c r="P242" s="58" t="s">
        <v>31</v>
      </c>
      <c r="Q242" s="142"/>
    </row>
    <row r="243" spans="2:17">
      <c r="B243" s="70" t="s">
        <v>548</v>
      </c>
      <c r="C243" s="170" t="s">
        <v>183</v>
      </c>
      <c r="D243" s="41" t="s">
        <v>183</v>
      </c>
      <c r="E243" s="41" t="s">
        <v>183</v>
      </c>
      <c r="F243" s="41" t="s">
        <v>183</v>
      </c>
      <c r="G243" s="41" t="s">
        <v>183</v>
      </c>
      <c r="H243" s="41" t="s">
        <v>183</v>
      </c>
      <c r="I243" s="41" t="s">
        <v>183</v>
      </c>
      <c r="J243" s="41" t="s">
        <v>183</v>
      </c>
      <c r="K243" s="212" t="s">
        <v>32</v>
      </c>
      <c r="L243" s="32" t="s">
        <v>491</v>
      </c>
      <c r="M243" s="36" t="s">
        <v>33</v>
      </c>
      <c r="N243" s="170"/>
      <c r="O243" s="41"/>
      <c r="P243" s="58" t="s">
        <v>31</v>
      </c>
      <c r="Q243" s="142"/>
    </row>
    <row r="244" spans="2:17">
      <c r="B244" s="70" t="s">
        <v>548</v>
      </c>
      <c r="C244" s="170" t="s">
        <v>183</v>
      </c>
      <c r="D244" s="41" t="s">
        <v>183</v>
      </c>
      <c r="E244" s="41" t="s">
        <v>183</v>
      </c>
      <c r="F244" s="41" t="s">
        <v>183</v>
      </c>
      <c r="G244" s="41" t="s">
        <v>183</v>
      </c>
      <c r="H244" s="41" t="s">
        <v>183</v>
      </c>
      <c r="I244" s="41" t="s">
        <v>183</v>
      </c>
      <c r="J244" s="41" t="s">
        <v>183</v>
      </c>
      <c r="K244" s="212" t="s">
        <v>32</v>
      </c>
      <c r="L244" s="32" t="s">
        <v>492</v>
      </c>
      <c r="M244" s="36" t="s">
        <v>33</v>
      </c>
      <c r="N244" s="170"/>
      <c r="O244" s="41"/>
      <c r="P244" s="58" t="s">
        <v>31</v>
      </c>
      <c r="Q244" s="142"/>
    </row>
    <row r="245" spans="2:17">
      <c r="B245" s="70" t="s">
        <v>548</v>
      </c>
      <c r="C245" s="170" t="s">
        <v>183</v>
      </c>
      <c r="D245" s="41" t="s">
        <v>183</v>
      </c>
      <c r="E245" s="41" t="s">
        <v>183</v>
      </c>
      <c r="F245" s="41" t="s">
        <v>183</v>
      </c>
      <c r="G245" s="41" t="s">
        <v>183</v>
      </c>
      <c r="H245" s="41" t="s">
        <v>183</v>
      </c>
      <c r="I245" s="41" t="s">
        <v>183</v>
      </c>
      <c r="J245" s="41" t="s">
        <v>183</v>
      </c>
      <c r="K245" s="212" t="s">
        <v>32</v>
      </c>
      <c r="L245" s="32" t="s">
        <v>493</v>
      </c>
      <c r="M245" s="36" t="s">
        <v>33</v>
      </c>
      <c r="N245" s="170"/>
      <c r="O245" s="41"/>
      <c r="P245" s="58" t="s">
        <v>31</v>
      </c>
      <c r="Q245" s="142"/>
    </row>
    <row r="246" spans="2:17">
      <c r="B246" s="70" t="s">
        <v>548</v>
      </c>
      <c r="C246" s="170" t="s">
        <v>183</v>
      </c>
      <c r="D246" s="41" t="s">
        <v>183</v>
      </c>
      <c r="E246" s="41" t="s">
        <v>183</v>
      </c>
      <c r="F246" s="41" t="s">
        <v>183</v>
      </c>
      <c r="G246" s="41" t="s">
        <v>183</v>
      </c>
      <c r="H246" s="41" t="s">
        <v>183</v>
      </c>
      <c r="I246" s="41" t="s">
        <v>183</v>
      </c>
      <c r="J246" s="41" t="s">
        <v>183</v>
      </c>
      <c r="K246" s="212" t="s">
        <v>32</v>
      </c>
      <c r="L246" s="32" t="s">
        <v>494</v>
      </c>
      <c r="M246" s="36" t="s">
        <v>33</v>
      </c>
      <c r="N246" s="170"/>
      <c r="O246" s="41"/>
      <c r="P246" s="58" t="s">
        <v>31</v>
      </c>
      <c r="Q246" s="142"/>
    </row>
    <row r="247" spans="2:17">
      <c r="B247" s="70" t="s">
        <v>548</v>
      </c>
      <c r="C247" s="170" t="s">
        <v>183</v>
      </c>
      <c r="D247" s="41" t="s">
        <v>183</v>
      </c>
      <c r="E247" s="41" t="s">
        <v>183</v>
      </c>
      <c r="F247" s="41" t="s">
        <v>183</v>
      </c>
      <c r="G247" s="41" t="s">
        <v>183</v>
      </c>
      <c r="H247" s="41" t="s">
        <v>183</v>
      </c>
      <c r="I247" s="41" t="s">
        <v>183</v>
      </c>
      <c r="J247" s="41" t="s">
        <v>183</v>
      </c>
      <c r="K247" s="212" t="s">
        <v>32</v>
      </c>
      <c r="L247" s="32" t="s">
        <v>495</v>
      </c>
      <c r="M247" s="36" t="s">
        <v>33</v>
      </c>
      <c r="N247" s="170"/>
      <c r="O247" s="41"/>
      <c r="P247" s="58" t="s">
        <v>31</v>
      </c>
      <c r="Q247" s="142"/>
    </row>
    <row r="248" spans="2:17">
      <c r="B248" s="70" t="s">
        <v>548</v>
      </c>
      <c r="C248" s="170" t="s">
        <v>183</v>
      </c>
      <c r="D248" s="41" t="s">
        <v>183</v>
      </c>
      <c r="E248" s="41" t="s">
        <v>183</v>
      </c>
      <c r="F248" s="41" t="s">
        <v>183</v>
      </c>
      <c r="G248" s="41" t="s">
        <v>183</v>
      </c>
      <c r="H248" s="41" t="s">
        <v>183</v>
      </c>
      <c r="I248" s="41" t="s">
        <v>183</v>
      </c>
      <c r="J248" s="41" t="s">
        <v>183</v>
      </c>
      <c r="K248" s="212" t="s">
        <v>32</v>
      </c>
      <c r="L248" s="32" t="s">
        <v>496</v>
      </c>
      <c r="M248" s="36" t="s">
        <v>33</v>
      </c>
      <c r="N248" s="170"/>
      <c r="O248" s="41"/>
      <c r="P248" s="58" t="s">
        <v>31</v>
      </c>
      <c r="Q248" s="142"/>
    </row>
    <row r="249" spans="2:17">
      <c r="B249" s="70" t="s">
        <v>548</v>
      </c>
      <c r="C249" s="170" t="s">
        <v>183</v>
      </c>
      <c r="D249" s="41" t="s">
        <v>183</v>
      </c>
      <c r="E249" s="41" t="s">
        <v>183</v>
      </c>
      <c r="F249" s="41" t="s">
        <v>183</v>
      </c>
      <c r="G249" s="41" t="s">
        <v>183</v>
      </c>
      <c r="H249" s="41" t="s">
        <v>183</v>
      </c>
      <c r="I249" s="41" t="s">
        <v>183</v>
      </c>
      <c r="J249" s="41" t="s">
        <v>183</v>
      </c>
      <c r="K249" s="212" t="s">
        <v>32</v>
      </c>
      <c r="L249" s="32" t="s">
        <v>497</v>
      </c>
      <c r="M249" s="36" t="s">
        <v>33</v>
      </c>
      <c r="N249" s="170"/>
      <c r="O249" s="41"/>
      <c r="P249" s="58" t="s">
        <v>31</v>
      </c>
      <c r="Q249" s="142"/>
    </row>
    <row r="250" spans="2:17">
      <c r="B250" s="70" t="s">
        <v>548</v>
      </c>
      <c r="C250" s="170" t="s">
        <v>183</v>
      </c>
      <c r="D250" s="41" t="s">
        <v>183</v>
      </c>
      <c r="E250" s="41" t="s">
        <v>183</v>
      </c>
      <c r="F250" s="41" t="s">
        <v>183</v>
      </c>
      <c r="G250" s="41" t="s">
        <v>183</v>
      </c>
      <c r="H250" s="41" t="s">
        <v>183</v>
      </c>
      <c r="I250" s="41" t="s">
        <v>183</v>
      </c>
      <c r="J250" s="41" t="s">
        <v>183</v>
      </c>
      <c r="K250" s="212" t="s">
        <v>32</v>
      </c>
      <c r="L250" s="32" t="s">
        <v>498</v>
      </c>
      <c r="M250" s="36" t="s">
        <v>33</v>
      </c>
      <c r="N250" s="170"/>
      <c r="O250" s="41"/>
      <c r="P250" s="58" t="s">
        <v>31</v>
      </c>
      <c r="Q250" s="142"/>
    </row>
    <row r="251" spans="2:17">
      <c r="B251" s="70" t="s">
        <v>548</v>
      </c>
      <c r="C251" s="170" t="s">
        <v>183</v>
      </c>
      <c r="D251" s="41" t="s">
        <v>183</v>
      </c>
      <c r="E251" s="41" t="s">
        <v>183</v>
      </c>
      <c r="F251" s="41" t="s">
        <v>183</v>
      </c>
      <c r="G251" s="41" t="s">
        <v>183</v>
      </c>
      <c r="H251" s="41" t="s">
        <v>183</v>
      </c>
      <c r="I251" s="41" t="s">
        <v>183</v>
      </c>
      <c r="J251" s="41" t="s">
        <v>183</v>
      </c>
      <c r="K251" s="212" t="s">
        <v>32</v>
      </c>
      <c r="L251" s="32" t="s">
        <v>499</v>
      </c>
      <c r="M251" s="36" t="s">
        <v>33</v>
      </c>
      <c r="N251" s="170"/>
      <c r="O251" s="41"/>
      <c r="P251" s="58" t="s">
        <v>31</v>
      </c>
      <c r="Q251" s="142"/>
    </row>
    <row r="252" spans="2:17">
      <c r="B252" s="70" t="s">
        <v>548</v>
      </c>
      <c r="C252" s="170" t="s">
        <v>183</v>
      </c>
      <c r="D252" s="41" t="s">
        <v>183</v>
      </c>
      <c r="E252" s="41" t="s">
        <v>183</v>
      </c>
      <c r="F252" s="41" t="s">
        <v>183</v>
      </c>
      <c r="G252" s="41" t="s">
        <v>183</v>
      </c>
      <c r="H252" s="41" t="s">
        <v>183</v>
      </c>
      <c r="I252" s="41" t="s">
        <v>183</v>
      </c>
      <c r="J252" s="41" t="s">
        <v>183</v>
      </c>
      <c r="K252" s="212" t="s">
        <v>32</v>
      </c>
      <c r="L252" s="32" t="s">
        <v>500</v>
      </c>
      <c r="M252" s="36" t="s">
        <v>33</v>
      </c>
      <c r="N252" s="170"/>
      <c r="O252" s="41"/>
      <c r="P252" s="58" t="s">
        <v>31</v>
      </c>
      <c r="Q252" s="142"/>
    </row>
    <row r="253" spans="2:17">
      <c r="B253" s="70" t="s">
        <v>548</v>
      </c>
      <c r="C253" s="170" t="s">
        <v>183</v>
      </c>
      <c r="D253" s="41" t="s">
        <v>183</v>
      </c>
      <c r="E253" s="41" t="s">
        <v>183</v>
      </c>
      <c r="F253" s="41" t="s">
        <v>183</v>
      </c>
      <c r="G253" s="41" t="s">
        <v>183</v>
      </c>
      <c r="H253" s="41" t="s">
        <v>183</v>
      </c>
      <c r="I253" s="41" t="s">
        <v>183</v>
      </c>
      <c r="J253" s="41" t="s">
        <v>183</v>
      </c>
      <c r="K253" s="212" t="s">
        <v>32</v>
      </c>
      <c r="L253" s="32" t="s">
        <v>501</v>
      </c>
      <c r="M253" s="36" t="s">
        <v>33</v>
      </c>
      <c r="N253" s="170"/>
      <c r="O253" s="41"/>
      <c r="P253" s="58" t="s">
        <v>31</v>
      </c>
      <c r="Q253" s="142"/>
    </row>
    <row r="254" spans="2:17">
      <c r="B254" s="70" t="s">
        <v>548</v>
      </c>
      <c r="C254" s="170" t="s">
        <v>183</v>
      </c>
      <c r="D254" s="41" t="s">
        <v>183</v>
      </c>
      <c r="E254" s="41" t="s">
        <v>183</v>
      </c>
      <c r="F254" s="41" t="s">
        <v>183</v>
      </c>
      <c r="G254" s="41" t="s">
        <v>183</v>
      </c>
      <c r="H254" s="41" t="s">
        <v>183</v>
      </c>
      <c r="I254" s="41" t="s">
        <v>183</v>
      </c>
      <c r="J254" s="41" t="s">
        <v>183</v>
      </c>
      <c r="K254" s="212" t="s">
        <v>32</v>
      </c>
      <c r="L254" s="32" t="s">
        <v>502</v>
      </c>
      <c r="M254" s="36" t="s">
        <v>33</v>
      </c>
      <c r="N254" s="170"/>
      <c r="O254" s="41"/>
      <c r="P254" s="58" t="s">
        <v>31</v>
      </c>
      <c r="Q254" s="142"/>
    </row>
    <row r="255" spans="2:17">
      <c r="B255" s="70" t="s">
        <v>548</v>
      </c>
      <c r="C255" s="170" t="s">
        <v>183</v>
      </c>
      <c r="D255" s="41" t="s">
        <v>183</v>
      </c>
      <c r="E255" s="41" t="s">
        <v>183</v>
      </c>
      <c r="F255" s="41" t="s">
        <v>183</v>
      </c>
      <c r="G255" s="41" t="s">
        <v>183</v>
      </c>
      <c r="H255" s="41" t="s">
        <v>183</v>
      </c>
      <c r="I255" s="41" t="s">
        <v>183</v>
      </c>
      <c r="J255" s="41" t="s">
        <v>183</v>
      </c>
      <c r="K255" s="212" t="s">
        <v>32</v>
      </c>
      <c r="L255" s="32" t="s">
        <v>503</v>
      </c>
      <c r="M255" s="36" t="s">
        <v>33</v>
      </c>
      <c r="N255" s="170"/>
      <c r="O255" s="41"/>
      <c r="P255" s="58" t="s">
        <v>31</v>
      </c>
      <c r="Q255" s="142"/>
    </row>
    <row r="256" spans="2:17">
      <c r="B256" s="70" t="s">
        <v>548</v>
      </c>
      <c r="C256" s="170" t="s">
        <v>183</v>
      </c>
      <c r="D256" s="41" t="s">
        <v>183</v>
      </c>
      <c r="E256" s="41" t="s">
        <v>183</v>
      </c>
      <c r="F256" s="41" t="s">
        <v>183</v>
      </c>
      <c r="G256" s="41" t="s">
        <v>183</v>
      </c>
      <c r="H256" s="41" t="s">
        <v>183</v>
      </c>
      <c r="I256" s="41" t="s">
        <v>183</v>
      </c>
      <c r="J256" s="41" t="s">
        <v>183</v>
      </c>
      <c r="K256" s="212" t="s">
        <v>32</v>
      </c>
      <c r="L256" s="32" t="s">
        <v>504</v>
      </c>
      <c r="M256" s="36" t="s">
        <v>33</v>
      </c>
      <c r="N256" s="170"/>
      <c r="O256" s="41"/>
      <c r="P256" s="58" t="s">
        <v>31</v>
      </c>
      <c r="Q256" s="142"/>
    </row>
    <row r="257" spans="2:17">
      <c r="B257" s="70" t="s">
        <v>548</v>
      </c>
      <c r="C257" s="170" t="s">
        <v>183</v>
      </c>
      <c r="D257" s="41" t="s">
        <v>183</v>
      </c>
      <c r="E257" s="41" t="s">
        <v>183</v>
      </c>
      <c r="F257" s="41" t="s">
        <v>183</v>
      </c>
      <c r="G257" s="41" t="s">
        <v>183</v>
      </c>
      <c r="H257" s="41" t="s">
        <v>183</v>
      </c>
      <c r="I257" s="41" t="s">
        <v>183</v>
      </c>
      <c r="J257" s="41" t="s">
        <v>183</v>
      </c>
      <c r="K257" s="212" t="s">
        <v>32</v>
      </c>
      <c r="L257" s="32" t="s">
        <v>505</v>
      </c>
      <c r="M257" s="36" t="s">
        <v>33</v>
      </c>
      <c r="N257" s="170"/>
      <c r="O257" s="41"/>
      <c r="P257" s="58" t="s">
        <v>31</v>
      </c>
      <c r="Q257" s="142"/>
    </row>
    <row r="258" spans="2:17">
      <c r="B258" s="70" t="s">
        <v>548</v>
      </c>
      <c r="C258" s="170" t="s">
        <v>183</v>
      </c>
      <c r="D258" s="41" t="s">
        <v>183</v>
      </c>
      <c r="E258" s="41" t="s">
        <v>183</v>
      </c>
      <c r="F258" s="41" t="s">
        <v>183</v>
      </c>
      <c r="G258" s="41" t="s">
        <v>183</v>
      </c>
      <c r="H258" s="41" t="s">
        <v>183</v>
      </c>
      <c r="I258" s="41" t="s">
        <v>183</v>
      </c>
      <c r="J258" s="41" t="s">
        <v>183</v>
      </c>
      <c r="K258" s="212" t="s">
        <v>32</v>
      </c>
      <c r="L258" s="32" t="s">
        <v>506</v>
      </c>
      <c r="M258" s="36" t="s">
        <v>33</v>
      </c>
      <c r="N258" s="170"/>
      <c r="O258" s="41"/>
      <c r="P258" s="58" t="s">
        <v>31</v>
      </c>
      <c r="Q258" s="142"/>
    </row>
    <row r="259" spans="2:17">
      <c r="B259" s="70" t="s">
        <v>548</v>
      </c>
      <c r="C259" s="170" t="s">
        <v>183</v>
      </c>
      <c r="D259" s="41" t="s">
        <v>183</v>
      </c>
      <c r="E259" s="41" t="s">
        <v>183</v>
      </c>
      <c r="F259" s="41" t="s">
        <v>183</v>
      </c>
      <c r="G259" s="41" t="s">
        <v>183</v>
      </c>
      <c r="H259" s="41" t="s">
        <v>183</v>
      </c>
      <c r="I259" s="41" t="s">
        <v>183</v>
      </c>
      <c r="J259" s="41" t="s">
        <v>183</v>
      </c>
      <c r="K259" s="212" t="s">
        <v>32</v>
      </c>
      <c r="L259" s="32" t="s">
        <v>507</v>
      </c>
      <c r="M259" s="36" t="s">
        <v>33</v>
      </c>
      <c r="N259" s="170"/>
      <c r="O259" s="41"/>
      <c r="P259" s="58" t="s">
        <v>31</v>
      </c>
      <c r="Q259" s="142"/>
    </row>
    <row r="260" spans="2:17">
      <c r="B260" s="70" t="s">
        <v>548</v>
      </c>
      <c r="C260" s="170" t="s">
        <v>183</v>
      </c>
      <c r="D260" s="41" t="s">
        <v>183</v>
      </c>
      <c r="E260" s="41" t="s">
        <v>183</v>
      </c>
      <c r="F260" s="41" t="s">
        <v>183</v>
      </c>
      <c r="G260" s="41" t="s">
        <v>183</v>
      </c>
      <c r="H260" s="41" t="s">
        <v>183</v>
      </c>
      <c r="I260" s="41" t="s">
        <v>183</v>
      </c>
      <c r="J260" s="41" t="s">
        <v>183</v>
      </c>
      <c r="K260" s="212" t="s">
        <v>32</v>
      </c>
      <c r="L260" s="32" t="s">
        <v>508</v>
      </c>
      <c r="M260" s="36" t="s">
        <v>33</v>
      </c>
      <c r="N260" s="170"/>
      <c r="O260" s="41"/>
      <c r="P260" s="58" t="s">
        <v>31</v>
      </c>
      <c r="Q260" s="142"/>
    </row>
    <row r="261" spans="2:17">
      <c r="B261" s="70" t="s">
        <v>548</v>
      </c>
      <c r="C261" s="170" t="s">
        <v>183</v>
      </c>
      <c r="D261" s="41" t="s">
        <v>183</v>
      </c>
      <c r="E261" s="41" t="s">
        <v>183</v>
      </c>
      <c r="F261" s="41" t="s">
        <v>183</v>
      </c>
      <c r="G261" s="41" t="s">
        <v>183</v>
      </c>
      <c r="H261" s="41" t="s">
        <v>183</v>
      </c>
      <c r="I261" s="41" t="s">
        <v>183</v>
      </c>
      <c r="J261" s="41" t="s">
        <v>183</v>
      </c>
      <c r="K261" s="212" t="s">
        <v>32</v>
      </c>
      <c r="L261" s="32" t="s">
        <v>509</v>
      </c>
      <c r="M261" s="36" t="s">
        <v>33</v>
      </c>
      <c r="N261" s="170"/>
      <c r="O261" s="41"/>
      <c r="P261" s="58" t="s">
        <v>31</v>
      </c>
      <c r="Q261" s="142"/>
    </row>
    <row r="262" spans="2:17">
      <c r="B262" s="70" t="s">
        <v>548</v>
      </c>
      <c r="C262" s="170" t="s">
        <v>183</v>
      </c>
      <c r="D262" s="41" t="s">
        <v>183</v>
      </c>
      <c r="E262" s="41" t="s">
        <v>183</v>
      </c>
      <c r="F262" s="41" t="s">
        <v>183</v>
      </c>
      <c r="G262" s="41" t="s">
        <v>183</v>
      </c>
      <c r="H262" s="41" t="s">
        <v>183</v>
      </c>
      <c r="I262" s="41" t="s">
        <v>183</v>
      </c>
      <c r="J262" s="41" t="s">
        <v>183</v>
      </c>
      <c r="K262" s="212" t="s">
        <v>32</v>
      </c>
      <c r="L262" s="32" t="s">
        <v>510</v>
      </c>
      <c r="M262" s="36" t="s">
        <v>33</v>
      </c>
      <c r="N262" s="170"/>
      <c r="O262" s="41"/>
      <c r="P262" s="58" t="s">
        <v>31</v>
      </c>
      <c r="Q262" s="142"/>
    </row>
    <row r="263" spans="2:17">
      <c r="B263" s="70" t="s">
        <v>548</v>
      </c>
      <c r="C263" s="170" t="s">
        <v>183</v>
      </c>
      <c r="D263" s="41" t="s">
        <v>183</v>
      </c>
      <c r="E263" s="41" t="s">
        <v>183</v>
      </c>
      <c r="F263" s="41" t="s">
        <v>183</v>
      </c>
      <c r="G263" s="41" t="s">
        <v>183</v>
      </c>
      <c r="H263" s="41" t="s">
        <v>183</v>
      </c>
      <c r="I263" s="41" t="s">
        <v>183</v>
      </c>
      <c r="J263" s="41" t="s">
        <v>183</v>
      </c>
      <c r="K263" s="212" t="s">
        <v>32</v>
      </c>
      <c r="L263" s="32" t="s">
        <v>511</v>
      </c>
      <c r="M263" s="36" t="s">
        <v>33</v>
      </c>
      <c r="N263" s="170"/>
      <c r="O263" s="41"/>
      <c r="P263" s="58" t="s">
        <v>31</v>
      </c>
      <c r="Q263" s="142"/>
    </row>
    <row r="264" spans="2:17">
      <c r="B264" s="70" t="s">
        <v>548</v>
      </c>
      <c r="C264" s="170" t="s">
        <v>183</v>
      </c>
      <c r="D264" s="41" t="s">
        <v>183</v>
      </c>
      <c r="E264" s="41" t="s">
        <v>183</v>
      </c>
      <c r="F264" s="41" t="s">
        <v>183</v>
      </c>
      <c r="G264" s="41" t="s">
        <v>183</v>
      </c>
      <c r="H264" s="41" t="s">
        <v>183</v>
      </c>
      <c r="I264" s="41" t="s">
        <v>183</v>
      </c>
      <c r="J264" s="41" t="s">
        <v>183</v>
      </c>
      <c r="K264" s="212" t="s">
        <v>32</v>
      </c>
      <c r="L264" s="32" t="s">
        <v>512</v>
      </c>
      <c r="M264" s="36" t="s">
        <v>33</v>
      </c>
      <c r="N264" s="170"/>
      <c r="O264" s="41"/>
      <c r="P264" s="58" t="s">
        <v>31</v>
      </c>
      <c r="Q264" s="142"/>
    </row>
    <row r="265" spans="2:17">
      <c r="B265" s="70" t="s">
        <v>548</v>
      </c>
      <c r="C265" s="170" t="s">
        <v>183</v>
      </c>
      <c r="D265" s="41" t="s">
        <v>183</v>
      </c>
      <c r="E265" s="41" t="s">
        <v>183</v>
      </c>
      <c r="F265" s="41" t="s">
        <v>183</v>
      </c>
      <c r="G265" s="41" t="s">
        <v>183</v>
      </c>
      <c r="H265" s="41" t="s">
        <v>183</v>
      </c>
      <c r="I265" s="41" t="s">
        <v>183</v>
      </c>
      <c r="J265" s="41" t="s">
        <v>183</v>
      </c>
      <c r="K265" s="212" t="s">
        <v>32</v>
      </c>
      <c r="L265" s="32" t="s">
        <v>513</v>
      </c>
      <c r="M265" s="36" t="s">
        <v>33</v>
      </c>
      <c r="N265" s="170"/>
      <c r="O265" s="41"/>
      <c r="P265" s="58" t="s">
        <v>31</v>
      </c>
      <c r="Q265" s="142"/>
    </row>
    <row r="266" spans="2:17">
      <c r="B266" s="23" t="s">
        <v>554</v>
      </c>
      <c r="C266" s="170" t="s">
        <v>183</v>
      </c>
      <c r="D266" s="41" t="s">
        <v>183</v>
      </c>
      <c r="E266" s="41" t="s">
        <v>183</v>
      </c>
      <c r="F266" s="41" t="s">
        <v>183</v>
      </c>
      <c r="G266" s="41" t="s">
        <v>183</v>
      </c>
      <c r="H266" s="41" t="s">
        <v>183</v>
      </c>
      <c r="I266" s="41" t="s">
        <v>183</v>
      </c>
      <c r="J266" s="41" t="s">
        <v>183</v>
      </c>
      <c r="K266" s="212" t="s">
        <v>34</v>
      </c>
      <c r="L266" s="32" t="s">
        <v>558</v>
      </c>
      <c r="M266" s="36" t="s">
        <v>33</v>
      </c>
      <c r="N266" s="170"/>
      <c r="O266" s="41"/>
      <c r="P266" s="58" t="s">
        <v>31</v>
      </c>
      <c r="Q266" s="142"/>
    </row>
    <row r="267" spans="2:17">
      <c r="B267" s="23" t="s">
        <v>555</v>
      </c>
      <c r="C267" s="170" t="s">
        <v>183</v>
      </c>
      <c r="D267" s="41" t="s">
        <v>183</v>
      </c>
      <c r="E267" s="41" t="s">
        <v>183</v>
      </c>
      <c r="F267" s="41" t="s">
        <v>183</v>
      </c>
      <c r="G267" s="41" t="s">
        <v>183</v>
      </c>
      <c r="H267" s="41" t="s">
        <v>183</v>
      </c>
      <c r="I267" s="41" t="s">
        <v>183</v>
      </c>
      <c r="J267" s="41" t="s">
        <v>183</v>
      </c>
      <c r="K267" s="212" t="s">
        <v>35</v>
      </c>
      <c r="L267" s="32" t="s">
        <v>558</v>
      </c>
      <c r="M267" s="36" t="s">
        <v>33</v>
      </c>
      <c r="N267" s="170"/>
      <c r="O267" s="41"/>
      <c r="P267" s="58" t="s">
        <v>31</v>
      </c>
      <c r="Q267" s="142"/>
    </row>
    <row r="268" spans="2:17">
      <c r="B268" s="23" t="s">
        <v>556</v>
      </c>
      <c r="C268" s="170" t="s">
        <v>183</v>
      </c>
      <c r="D268" s="41" t="s">
        <v>183</v>
      </c>
      <c r="E268" s="41" t="s">
        <v>183</v>
      </c>
      <c r="F268" s="41" t="s">
        <v>183</v>
      </c>
      <c r="G268" s="41" t="s">
        <v>183</v>
      </c>
      <c r="H268" s="41" t="s">
        <v>183</v>
      </c>
      <c r="I268" s="41" t="s">
        <v>183</v>
      </c>
      <c r="J268" s="41" t="s">
        <v>183</v>
      </c>
      <c r="K268" s="212" t="s">
        <v>36</v>
      </c>
      <c r="L268" s="32" t="s">
        <v>558</v>
      </c>
      <c r="M268" s="36" t="s">
        <v>33</v>
      </c>
      <c r="N268" s="170"/>
      <c r="O268" s="41"/>
      <c r="P268" s="58" t="s">
        <v>31</v>
      </c>
      <c r="Q268" s="142"/>
    </row>
    <row r="269" spans="2:17" ht="14.25" thickBot="1">
      <c r="B269" s="24" t="s">
        <v>557</v>
      </c>
      <c r="C269" s="171" t="s">
        <v>183</v>
      </c>
      <c r="D269" s="42" t="s">
        <v>183</v>
      </c>
      <c r="E269" s="42" t="s">
        <v>183</v>
      </c>
      <c r="F269" s="42" t="s">
        <v>183</v>
      </c>
      <c r="G269" s="42" t="s">
        <v>183</v>
      </c>
      <c r="H269" s="42" t="s">
        <v>183</v>
      </c>
      <c r="I269" s="42" t="s">
        <v>183</v>
      </c>
      <c r="J269" s="42" t="s">
        <v>183</v>
      </c>
      <c r="K269" s="37" t="s">
        <v>38</v>
      </c>
      <c r="L269" s="38" t="s">
        <v>559</v>
      </c>
      <c r="M269" s="39" t="s">
        <v>33</v>
      </c>
      <c r="N269" s="171"/>
      <c r="O269" s="42"/>
      <c r="P269" s="216" t="s">
        <v>31</v>
      </c>
      <c r="Q269" s="143"/>
    </row>
    <row r="272" spans="2:17" ht="15" thickBot="1">
      <c r="B272" s="28" t="s">
        <v>579</v>
      </c>
    </row>
    <row r="273" spans="2:17" ht="15" thickBot="1">
      <c r="B273" s="90" t="s">
        <v>135</v>
      </c>
      <c r="C273" s="303" t="s">
        <v>141</v>
      </c>
      <c r="D273" s="304"/>
      <c r="E273" s="304"/>
      <c r="F273" s="304"/>
      <c r="G273" s="304"/>
      <c r="H273" s="304"/>
      <c r="I273" s="304"/>
      <c r="J273" s="305"/>
      <c r="K273" s="172"/>
      <c r="L273" s="172"/>
      <c r="M273" s="175"/>
      <c r="N273" s="173"/>
      <c r="O273" s="173"/>
      <c r="P273" s="173"/>
      <c r="Q273" s="174"/>
    </row>
    <row r="274" spans="2:17" ht="14.25" thickBot="1">
      <c r="B274" s="224"/>
      <c r="C274" s="225" t="s">
        <v>173</v>
      </c>
      <c r="D274" s="225"/>
      <c r="E274" s="225"/>
      <c r="F274" s="225"/>
      <c r="G274" s="225"/>
      <c r="H274" s="225"/>
      <c r="I274" s="225"/>
      <c r="J274" s="225"/>
      <c r="K274" s="225"/>
      <c r="L274" s="225"/>
      <c r="M274" s="220" t="s">
        <v>56</v>
      </c>
      <c r="N274" s="226" t="s">
        <v>21</v>
      </c>
      <c r="O274" s="227"/>
      <c r="P274" s="227"/>
      <c r="Q274" s="228"/>
    </row>
    <row r="275" spans="2:17">
      <c r="B275" s="229" t="s">
        <v>22</v>
      </c>
      <c r="C275" s="300" t="s">
        <v>192</v>
      </c>
      <c r="D275" s="301"/>
      <c r="E275" s="301"/>
      <c r="F275" s="301"/>
      <c r="G275" s="301"/>
      <c r="H275" s="301"/>
      <c r="I275" s="301"/>
      <c r="J275" s="302"/>
      <c r="K275" s="230" t="s">
        <v>23</v>
      </c>
      <c r="L275" s="231"/>
      <c r="M275" s="221" t="s">
        <v>577</v>
      </c>
      <c r="N275" s="232" t="s">
        <v>24</v>
      </c>
      <c r="O275" s="233" t="s">
        <v>25</v>
      </c>
      <c r="P275" s="234" t="s">
        <v>26</v>
      </c>
      <c r="Q275" s="235" t="s">
        <v>27</v>
      </c>
    </row>
    <row r="276" spans="2:17">
      <c r="B276" s="67" t="s">
        <v>37</v>
      </c>
      <c r="C276" s="166" t="s">
        <v>139</v>
      </c>
      <c r="D276" s="166" t="s">
        <v>139</v>
      </c>
      <c r="E276" s="166" t="s">
        <v>139</v>
      </c>
      <c r="F276" s="166" t="s">
        <v>139</v>
      </c>
      <c r="G276" s="166" t="s">
        <v>139</v>
      </c>
      <c r="H276" s="166" t="s">
        <v>139</v>
      </c>
      <c r="I276" s="166" t="s">
        <v>139</v>
      </c>
      <c r="J276" s="166" t="s">
        <v>139</v>
      </c>
      <c r="K276" s="137" t="s">
        <v>108</v>
      </c>
      <c r="L276" s="137" t="s">
        <v>108</v>
      </c>
      <c r="M276" s="30" t="s">
        <v>53</v>
      </c>
      <c r="N276" s="214"/>
      <c r="O276" s="217"/>
      <c r="P276" s="219"/>
      <c r="Q276" s="218"/>
    </row>
    <row r="277" spans="2:17" ht="27">
      <c r="B277" s="68" t="s">
        <v>254</v>
      </c>
      <c r="C277" s="297" t="s">
        <v>40</v>
      </c>
      <c r="D277" s="298"/>
      <c r="E277" s="298"/>
      <c r="F277" s="298"/>
      <c r="G277" s="298"/>
      <c r="H277" s="298"/>
      <c r="I277" s="298"/>
      <c r="J277" s="299"/>
      <c r="K277" s="1" t="s">
        <v>252</v>
      </c>
      <c r="L277" s="1" t="s">
        <v>252</v>
      </c>
      <c r="M277" s="31"/>
      <c r="N277" s="214"/>
      <c r="O277" s="217"/>
      <c r="P277" s="219"/>
      <c r="Q277" s="218"/>
    </row>
    <row r="278" spans="2:17" ht="136.5">
      <c r="B278" s="67" t="s">
        <v>28</v>
      </c>
      <c r="C278" s="167" t="s">
        <v>176</v>
      </c>
      <c r="D278" s="167" t="s">
        <v>67</v>
      </c>
      <c r="E278" s="167" t="s">
        <v>177</v>
      </c>
      <c r="F278" s="167" t="s">
        <v>178</v>
      </c>
      <c r="G278" s="167" t="s">
        <v>179</v>
      </c>
      <c r="H278" s="167" t="s">
        <v>180</v>
      </c>
      <c r="I278" s="167" t="s">
        <v>181</v>
      </c>
      <c r="J278" s="167" t="s">
        <v>182</v>
      </c>
      <c r="K278" s="1" t="s">
        <v>255</v>
      </c>
      <c r="L278" s="1" t="s">
        <v>561</v>
      </c>
      <c r="M278" s="30" t="s">
        <v>29</v>
      </c>
      <c r="N278" s="214"/>
      <c r="O278" s="217"/>
      <c r="P278" s="219"/>
      <c r="Q278" s="218"/>
    </row>
    <row r="279" spans="2:17" ht="68.25" thickBot="1">
      <c r="B279" s="69" t="s">
        <v>30</v>
      </c>
      <c r="C279" s="168" t="s">
        <v>184</v>
      </c>
      <c r="D279" s="168" t="s">
        <v>139</v>
      </c>
      <c r="E279" s="168" t="s">
        <v>184</v>
      </c>
      <c r="F279" s="168" t="s">
        <v>184</v>
      </c>
      <c r="G279" s="168" t="s">
        <v>184</v>
      </c>
      <c r="H279" s="168" t="s">
        <v>184</v>
      </c>
      <c r="I279" s="168" t="s">
        <v>184</v>
      </c>
      <c r="J279" s="168" t="s">
        <v>184</v>
      </c>
      <c r="K279" s="29" t="s">
        <v>88</v>
      </c>
      <c r="L279" s="29" t="s">
        <v>567</v>
      </c>
      <c r="M279" s="222" t="s">
        <v>621</v>
      </c>
      <c r="N279" s="215"/>
      <c r="O279" s="139"/>
      <c r="P279" s="223" t="s">
        <v>560</v>
      </c>
      <c r="Q279" s="140"/>
    </row>
    <row r="280" spans="2:17" ht="14.25" thickTop="1">
      <c r="B280" s="70" t="s">
        <v>548</v>
      </c>
      <c r="C280" s="169" t="s">
        <v>183</v>
      </c>
      <c r="D280" s="40" t="s">
        <v>183</v>
      </c>
      <c r="E280" s="40" t="s">
        <v>183</v>
      </c>
      <c r="F280" s="40" t="s">
        <v>183</v>
      </c>
      <c r="G280" s="40" t="s">
        <v>183</v>
      </c>
      <c r="H280" s="40" t="s">
        <v>183</v>
      </c>
      <c r="I280" s="40" t="s">
        <v>183</v>
      </c>
      <c r="J280" s="40" t="s">
        <v>183</v>
      </c>
      <c r="K280" s="33" t="s">
        <v>32</v>
      </c>
      <c r="L280" s="34" t="s">
        <v>562</v>
      </c>
      <c r="M280" s="35" t="s">
        <v>33</v>
      </c>
      <c r="N280" s="169"/>
      <c r="O280" s="40"/>
      <c r="P280" s="126" t="s">
        <v>31</v>
      </c>
      <c r="Q280" s="141"/>
    </row>
    <row r="281" spans="2:17">
      <c r="B281" s="70" t="s">
        <v>569</v>
      </c>
      <c r="C281" s="170" t="s">
        <v>183</v>
      </c>
      <c r="D281" s="41" t="s">
        <v>183</v>
      </c>
      <c r="E281" s="41" t="s">
        <v>183</v>
      </c>
      <c r="F281" s="41" t="s">
        <v>183</v>
      </c>
      <c r="G281" s="41" t="s">
        <v>183</v>
      </c>
      <c r="H281" s="41" t="s">
        <v>183</v>
      </c>
      <c r="I281" s="41" t="s">
        <v>183</v>
      </c>
      <c r="J281" s="41" t="s">
        <v>183</v>
      </c>
      <c r="K281" s="212" t="s">
        <v>32</v>
      </c>
      <c r="L281" s="32" t="s">
        <v>563</v>
      </c>
      <c r="M281" s="36" t="s">
        <v>604</v>
      </c>
      <c r="N281" s="170"/>
      <c r="O281" s="41"/>
      <c r="P281" s="58" t="s">
        <v>564</v>
      </c>
      <c r="Q281" s="142"/>
    </row>
    <row r="282" spans="2:17">
      <c r="B282" s="23" t="s">
        <v>554</v>
      </c>
      <c r="C282" s="170" t="s">
        <v>183</v>
      </c>
      <c r="D282" s="41" t="s">
        <v>183</v>
      </c>
      <c r="E282" s="41" t="s">
        <v>183</v>
      </c>
      <c r="F282" s="41" t="s">
        <v>183</v>
      </c>
      <c r="G282" s="41" t="s">
        <v>183</v>
      </c>
      <c r="H282" s="41" t="s">
        <v>183</v>
      </c>
      <c r="I282" s="41" t="s">
        <v>183</v>
      </c>
      <c r="J282" s="41" t="s">
        <v>183</v>
      </c>
      <c r="K282" s="212" t="s">
        <v>34</v>
      </c>
      <c r="L282" s="32" t="s">
        <v>566</v>
      </c>
      <c r="M282" s="36" t="s">
        <v>33</v>
      </c>
      <c r="N282" s="170"/>
      <c r="O282" s="41"/>
      <c r="P282" s="58" t="s">
        <v>31</v>
      </c>
      <c r="Q282" s="142"/>
    </row>
    <row r="283" spans="2:17">
      <c r="B283" s="23" t="s">
        <v>555</v>
      </c>
      <c r="C283" s="170" t="s">
        <v>183</v>
      </c>
      <c r="D283" s="41" t="s">
        <v>183</v>
      </c>
      <c r="E283" s="41" t="s">
        <v>183</v>
      </c>
      <c r="F283" s="41" t="s">
        <v>183</v>
      </c>
      <c r="G283" s="41" t="s">
        <v>183</v>
      </c>
      <c r="H283" s="41" t="s">
        <v>183</v>
      </c>
      <c r="I283" s="41" t="s">
        <v>183</v>
      </c>
      <c r="J283" s="41" t="s">
        <v>183</v>
      </c>
      <c r="K283" s="212" t="s">
        <v>35</v>
      </c>
      <c r="L283" s="32" t="s">
        <v>565</v>
      </c>
      <c r="M283" s="36" t="s">
        <v>33</v>
      </c>
      <c r="N283" s="170"/>
      <c r="O283" s="41"/>
      <c r="P283" s="58" t="s">
        <v>31</v>
      </c>
      <c r="Q283" s="142"/>
    </row>
    <row r="284" spans="2:17">
      <c r="B284" s="23" t="s">
        <v>556</v>
      </c>
      <c r="C284" s="170" t="s">
        <v>183</v>
      </c>
      <c r="D284" s="41" t="s">
        <v>183</v>
      </c>
      <c r="E284" s="41" t="s">
        <v>183</v>
      </c>
      <c r="F284" s="41" t="s">
        <v>183</v>
      </c>
      <c r="G284" s="41" t="s">
        <v>183</v>
      </c>
      <c r="H284" s="41" t="s">
        <v>183</v>
      </c>
      <c r="I284" s="41" t="s">
        <v>183</v>
      </c>
      <c r="J284" s="41" t="s">
        <v>183</v>
      </c>
      <c r="K284" s="212" t="s">
        <v>36</v>
      </c>
      <c r="L284" s="32" t="s">
        <v>565</v>
      </c>
      <c r="M284" s="36" t="s">
        <v>33</v>
      </c>
      <c r="N284" s="170"/>
      <c r="O284" s="41"/>
      <c r="P284" s="58" t="s">
        <v>31</v>
      </c>
      <c r="Q284" s="142"/>
    </row>
    <row r="285" spans="2:17" ht="14.25" thickBot="1">
      <c r="B285" s="24" t="s">
        <v>557</v>
      </c>
      <c r="C285" s="171" t="s">
        <v>183</v>
      </c>
      <c r="D285" s="42" t="s">
        <v>183</v>
      </c>
      <c r="E285" s="42" t="s">
        <v>183</v>
      </c>
      <c r="F285" s="42" t="s">
        <v>183</v>
      </c>
      <c r="G285" s="42" t="s">
        <v>183</v>
      </c>
      <c r="H285" s="42" t="s">
        <v>183</v>
      </c>
      <c r="I285" s="42" t="s">
        <v>183</v>
      </c>
      <c r="J285" s="42" t="s">
        <v>183</v>
      </c>
      <c r="K285" s="37" t="s">
        <v>38</v>
      </c>
      <c r="L285" s="38" t="s">
        <v>565</v>
      </c>
      <c r="M285" s="39" t="s">
        <v>33</v>
      </c>
      <c r="N285" s="171"/>
      <c r="O285" s="42"/>
      <c r="P285" s="216" t="s">
        <v>31</v>
      </c>
      <c r="Q285" s="143"/>
    </row>
  </sheetData>
  <mergeCells count="6">
    <mergeCell ref="C277:J277"/>
    <mergeCell ref="C5:J5"/>
    <mergeCell ref="C7:J7"/>
    <mergeCell ref="C3:J3"/>
    <mergeCell ref="C273:J273"/>
    <mergeCell ref="C275:J275"/>
  </mergeCells>
  <phoneticPr fontId="2"/>
  <dataValidations disablePrompts="1" count="1">
    <dataValidation type="list" allowBlank="1" showInputMessage="1" showErrorMessage="1" sqref="C3 C27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EB73-E89C-4EE0-9679-BBED4399D6E7}">
  <dimension ref="B2:AM108"/>
  <sheetViews>
    <sheetView zoomScale="40" zoomScaleNormal="40" workbookViewId="0"/>
  </sheetViews>
  <sheetFormatPr defaultRowHeight="13.5"/>
  <cols>
    <col min="2" max="2" width="35.375" bestFit="1" customWidth="1"/>
    <col min="3" max="10" width="3.375" customWidth="1"/>
    <col min="11" max="11" width="17" customWidth="1"/>
    <col min="12" max="12" width="32.125" customWidth="1"/>
    <col min="13" max="13" width="37.375" bestFit="1" customWidth="1"/>
    <col min="14" max="17" width="10.875" customWidth="1"/>
  </cols>
  <sheetData>
    <row r="2" spans="2:39" ht="15" thickBot="1">
      <c r="B2" s="28" t="s">
        <v>578</v>
      </c>
      <c r="T2" s="213" t="s">
        <v>253</v>
      </c>
      <c r="U2" s="213"/>
      <c r="V2" s="213"/>
      <c r="W2" s="213"/>
      <c r="X2" s="213"/>
      <c r="Y2" s="213"/>
      <c r="Z2" s="213"/>
      <c r="AA2" s="213"/>
      <c r="AB2" s="213"/>
      <c r="AC2" s="213"/>
      <c r="AD2" s="213"/>
      <c r="AE2" s="213"/>
      <c r="AF2" s="213"/>
      <c r="AG2" s="213"/>
      <c r="AH2" s="213"/>
      <c r="AI2" s="213"/>
      <c r="AJ2" s="213"/>
      <c r="AK2" s="213"/>
      <c r="AL2" s="213"/>
      <c r="AM2" s="213"/>
    </row>
    <row r="3" spans="2:39" ht="15" thickBot="1">
      <c r="B3" s="90" t="s">
        <v>135</v>
      </c>
      <c r="C3" s="303" t="s">
        <v>141</v>
      </c>
      <c r="D3" s="304"/>
      <c r="E3" s="304"/>
      <c r="F3" s="304"/>
      <c r="G3" s="304"/>
      <c r="H3" s="304"/>
      <c r="I3" s="304"/>
      <c r="J3" s="305"/>
      <c r="K3" s="172"/>
      <c r="L3" s="172"/>
      <c r="M3" s="175"/>
      <c r="N3" s="173"/>
      <c r="O3" s="173"/>
      <c r="P3" s="173"/>
      <c r="Q3" s="174"/>
    </row>
    <row r="4" spans="2:39" ht="14.25" thickBot="1">
      <c r="B4" s="224"/>
      <c r="C4" s="225" t="s">
        <v>173</v>
      </c>
      <c r="D4" s="225"/>
      <c r="E4" s="225"/>
      <c r="F4" s="225"/>
      <c r="G4" s="225"/>
      <c r="H4" s="225"/>
      <c r="I4" s="225"/>
      <c r="J4" s="225"/>
      <c r="K4" s="225"/>
      <c r="L4" s="225"/>
      <c r="M4" s="220" t="s">
        <v>56</v>
      </c>
      <c r="N4" s="226" t="s">
        <v>21</v>
      </c>
      <c r="O4" s="227"/>
      <c r="P4" s="227"/>
      <c r="Q4" s="228"/>
    </row>
    <row r="5" spans="2:39">
      <c r="B5" s="229" t="s">
        <v>22</v>
      </c>
      <c r="C5" s="300" t="s">
        <v>192</v>
      </c>
      <c r="D5" s="301"/>
      <c r="E5" s="301"/>
      <c r="F5" s="301"/>
      <c r="G5" s="301"/>
      <c r="H5" s="301"/>
      <c r="I5" s="301"/>
      <c r="J5" s="302"/>
      <c r="K5" s="230" t="s">
        <v>23</v>
      </c>
      <c r="L5" s="231"/>
      <c r="M5" s="221" t="s">
        <v>576</v>
      </c>
      <c r="N5" s="232" t="s">
        <v>24</v>
      </c>
      <c r="O5" s="233" t="s">
        <v>25</v>
      </c>
      <c r="P5" s="234" t="s">
        <v>26</v>
      </c>
      <c r="Q5" s="235" t="s">
        <v>27</v>
      </c>
    </row>
    <row r="6" spans="2:39">
      <c r="B6" s="67" t="s">
        <v>37</v>
      </c>
      <c r="C6" s="166" t="s">
        <v>139</v>
      </c>
      <c r="D6" s="166" t="s">
        <v>139</v>
      </c>
      <c r="E6" s="166" t="s">
        <v>139</v>
      </c>
      <c r="F6" s="166" t="s">
        <v>139</v>
      </c>
      <c r="G6" s="166" t="s">
        <v>139</v>
      </c>
      <c r="H6" s="166" t="s">
        <v>139</v>
      </c>
      <c r="I6" s="166" t="s">
        <v>139</v>
      </c>
      <c r="J6" s="166" t="s">
        <v>139</v>
      </c>
      <c r="K6" s="137" t="s">
        <v>108</v>
      </c>
      <c r="L6" s="137" t="s">
        <v>108</v>
      </c>
      <c r="M6" s="30" t="s">
        <v>53</v>
      </c>
      <c r="N6" s="214"/>
      <c r="O6" s="217"/>
      <c r="P6" s="219"/>
      <c r="Q6" s="218"/>
    </row>
    <row r="7" spans="2:39" ht="27">
      <c r="B7" s="68" t="s">
        <v>254</v>
      </c>
      <c r="C7" s="297" t="s">
        <v>40</v>
      </c>
      <c r="D7" s="298"/>
      <c r="E7" s="298"/>
      <c r="F7" s="298"/>
      <c r="G7" s="298"/>
      <c r="H7" s="298"/>
      <c r="I7" s="298"/>
      <c r="J7" s="299"/>
      <c r="K7" s="1" t="s">
        <v>645</v>
      </c>
      <c r="L7" s="1" t="s">
        <v>252</v>
      </c>
      <c r="M7" s="31"/>
      <c r="N7" s="214"/>
      <c r="O7" s="217"/>
      <c r="P7" s="219"/>
      <c r="Q7" s="218"/>
    </row>
    <row r="8" spans="2:39" ht="136.5">
      <c r="B8" s="67" t="s">
        <v>28</v>
      </c>
      <c r="C8" s="167" t="s">
        <v>176</v>
      </c>
      <c r="D8" s="167" t="s">
        <v>67</v>
      </c>
      <c r="E8" s="167" t="s">
        <v>177</v>
      </c>
      <c r="F8" s="167" t="s">
        <v>178</v>
      </c>
      <c r="G8" s="167" t="s">
        <v>179</v>
      </c>
      <c r="H8" s="167" t="s">
        <v>180</v>
      </c>
      <c r="I8" s="167" t="s">
        <v>181</v>
      </c>
      <c r="J8" s="167" t="s">
        <v>182</v>
      </c>
      <c r="K8" s="1" t="s">
        <v>255</v>
      </c>
      <c r="L8" s="1" t="s">
        <v>256</v>
      </c>
      <c r="M8" s="30" t="s">
        <v>29</v>
      </c>
      <c r="N8" s="214"/>
      <c r="O8" s="217"/>
      <c r="P8" s="219"/>
      <c r="Q8" s="218"/>
    </row>
    <row r="9" spans="2:39" ht="408.6" customHeight="1" thickBot="1">
      <c r="B9" s="69" t="s">
        <v>619</v>
      </c>
      <c r="C9" s="168" t="s">
        <v>184</v>
      </c>
      <c r="D9" s="168" t="s">
        <v>139</v>
      </c>
      <c r="E9" s="168" t="s">
        <v>184</v>
      </c>
      <c r="F9" s="168" t="s">
        <v>184</v>
      </c>
      <c r="G9" s="168" t="s">
        <v>184</v>
      </c>
      <c r="H9" s="168" t="s">
        <v>184</v>
      </c>
      <c r="I9" s="168" t="s">
        <v>184</v>
      </c>
      <c r="J9" s="168" t="s">
        <v>184</v>
      </c>
      <c r="K9" s="29" t="s">
        <v>88</v>
      </c>
      <c r="L9" s="29" t="s">
        <v>257</v>
      </c>
      <c r="M9" s="222" t="s">
        <v>618</v>
      </c>
      <c r="N9" s="215"/>
      <c r="O9" s="139"/>
      <c r="P9" s="223" t="s">
        <v>549</v>
      </c>
      <c r="Q9" s="140"/>
    </row>
    <row r="10" spans="2:39" ht="14.25" thickTop="1">
      <c r="B10" s="70" t="s">
        <v>548</v>
      </c>
      <c r="C10" s="169" t="s">
        <v>183</v>
      </c>
      <c r="D10" s="40" t="s">
        <v>183</v>
      </c>
      <c r="E10" s="40" t="s">
        <v>183</v>
      </c>
      <c r="F10" s="40" t="s">
        <v>183</v>
      </c>
      <c r="G10" s="40" t="s">
        <v>183</v>
      </c>
      <c r="H10" s="40" t="s">
        <v>183</v>
      </c>
      <c r="I10" s="40" t="s">
        <v>183</v>
      </c>
      <c r="J10" s="40" t="s">
        <v>183</v>
      </c>
      <c r="K10" s="33" t="s">
        <v>32</v>
      </c>
      <c r="L10" s="34" t="s">
        <v>258</v>
      </c>
      <c r="M10" s="35" t="s">
        <v>33</v>
      </c>
      <c r="N10" s="169"/>
      <c r="O10" s="40"/>
      <c r="P10" s="126" t="s">
        <v>31</v>
      </c>
      <c r="Q10" s="141"/>
    </row>
    <row r="11" spans="2:39">
      <c r="B11" s="70" t="s">
        <v>568</v>
      </c>
      <c r="C11" s="170" t="s">
        <v>183</v>
      </c>
      <c r="D11" s="41" t="s">
        <v>183</v>
      </c>
      <c r="E11" s="41" t="s">
        <v>183</v>
      </c>
      <c r="F11" s="41" t="s">
        <v>183</v>
      </c>
      <c r="G11" s="41" t="s">
        <v>183</v>
      </c>
      <c r="H11" s="41" t="s">
        <v>183</v>
      </c>
      <c r="I11" s="41" t="s">
        <v>183</v>
      </c>
      <c r="J11" s="41" t="s">
        <v>183</v>
      </c>
      <c r="K11" s="238" t="s">
        <v>32</v>
      </c>
      <c r="L11" s="32" t="s">
        <v>259</v>
      </c>
      <c r="M11" s="36" t="s">
        <v>598</v>
      </c>
      <c r="N11" s="170"/>
      <c r="O11" s="41"/>
      <c r="P11" s="58" t="s">
        <v>550</v>
      </c>
      <c r="Q11" s="142"/>
    </row>
    <row r="12" spans="2:39">
      <c r="B12" s="70" t="s">
        <v>569</v>
      </c>
      <c r="C12" s="170" t="s">
        <v>183</v>
      </c>
      <c r="D12" s="41" t="s">
        <v>183</v>
      </c>
      <c r="E12" s="41" t="s">
        <v>183</v>
      </c>
      <c r="F12" s="41" t="s">
        <v>183</v>
      </c>
      <c r="G12" s="41" t="s">
        <v>183</v>
      </c>
      <c r="H12" s="41" t="s">
        <v>183</v>
      </c>
      <c r="I12" s="41" t="s">
        <v>183</v>
      </c>
      <c r="J12" s="41" t="s">
        <v>183</v>
      </c>
      <c r="K12" s="238" t="s">
        <v>32</v>
      </c>
      <c r="L12" s="32" t="s">
        <v>260</v>
      </c>
      <c r="M12" s="36" t="s">
        <v>606</v>
      </c>
      <c r="N12" s="170"/>
      <c r="O12" s="41"/>
      <c r="P12" s="58" t="s">
        <v>551</v>
      </c>
      <c r="Q12" s="142"/>
    </row>
    <row r="13" spans="2:39">
      <c r="B13" s="70" t="s">
        <v>548</v>
      </c>
      <c r="C13" s="170" t="s">
        <v>183</v>
      </c>
      <c r="D13" s="41" t="s">
        <v>183</v>
      </c>
      <c r="E13" s="41" t="s">
        <v>183</v>
      </c>
      <c r="F13" s="41" t="s">
        <v>183</v>
      </c>
      <c r="G13" s="41" t="s">
        <v>183</v>
      </c>
      <c r="H13" s="41" t="s">
        <v>183</v>
      </c>
      <c r="I13" s="41" t="s">
        <v>183</v>
      </c>
      <c r="J13" s="41" t="s">
        <v>183</v>
      </c>
      <c r="K13" s="238" t="s">
        <v>32</v>
      </c>
      <c r="L13" s="32" t="s">
        <v>261</v>
      </c>
      <c r="M13" s="36" t="s">
        <v>33</v>
      </c>
      <c r="N13" s="170"/>
      <c r="O13" s="41"/>
      <c r="P13" s="58" t="s">
        <v>31</v>
      </c>
      <c r="Q13" s="142"/>
    </row>
    <row r="14" spans="2:39">
      <c r="B14" s="70" t="s">
        <v>548</v>
      </c>
      <c r="C14" s="170" t="s">
        <v>183</v>
      </c>
      <c r="D14" s="41" t="s">
        <v>183</v>
      </c>
      <c r="E14" s="41" t="s">
        <v>183</v>
      </c>
      <c r="F14" s="41" t="s">
        <v>183</v>
      </c>
      <c r="G14" s="41" t="s">
        <v>183</v>
      </c>
      <c r="H14" s="41" t="s">
        <v>183</v>
      </c>
      <c r="I14" s="41" t="s">
        <v>183</v>
      </c>
      <c r="J14" s="41" t="s">
        <v>183</v>
      </c>
      <c r="K14" s="238" t="s">
        <v>32</v>
      </c>
      <c r="L14" s="32" t="s">
        <v>262</v>
      </c>
      <c r="M14" s="36" t="s">
        <v>33</v>
      </c>
      <c r="N14" s="170"/>
      <c r="O14" s="41"/>
      <c r="P14" s="58" t="s">
        <v>31</v>
      </c>
      <c r="Q14" s="142"/>
    </row>
    <row r="15" spans="2:39">
      <c r="B15" s="70" t="s">
        <v>570</v>
      </c>
      <c r="C15" s="170" t="s">
        <v>183</v>
      </c>
      <c r="D15" s="41" t="s">
        <v>183</v>
      </c>
      <c r="E15" s="41" t="s">
        <v>183</v>
      </c>
      <c r="F15" s="41" t="s">
        <v>183</v>
      </c>
      <c r="G15" s="41" t="s">
        <v>183</v>
      </c>
      <c r="H15" s="41" t="s">
        <v>183</v>
      </c>
      <c r="I15" s="41" t="s">
        <v>183</v>
      </c>
      <c r="J15" s="41" t="s">
        <v>183</v>
      </c>
      <c r="K15" s="238" t="s">
        <v>32</v>
      </c>
      <c r="L15" s="32" t="s">
        <v>263</v>
      </c>
      <c r="M15" s="36" t="s">
        <v>592</v>
      </c>
      <c r="N15" s="170"/>
      <c r="O15" s="41"/>
      <c r="P15" s="58" t="s">
        <v>552</v>
      </c>
      <c r="Q15" s="142"/>
    </row>
    <row r="16" spans="2:39">
      <c r="B16" s="70" t="s">
        <v>571</v>
      </c>
      <c r="C16" s="170" t="s">
        <v>183</v>
      </c>
      <c r="D16" s="41" t="s">
        <v>183</v>
      </c>
      <c r="E16" s="41" t="s">
        <v>183</v>
      </c>
      <c r="F16" s="41" t="s">
        <v>183</v>
      </c>
      <c r="G16" s="41" t="s">
        <v>183</v>
      </c>
      <c r="H16" s="41" t="s">
        <v>183</v>
      </c>
      <c r="I16" s="41" t="s">
        <v>183</v>
      </c>
      <c r="J16" s="41" t="s">
        <v>183</v>
      </c>
      <c r="K16" s="238" t="s">
        <v>32</v>
      </c>
      <c r="L16" s="32" t="s">
        <v>264</v>
      </c>
      <c r="M16" s="36" t="s">
        <v>586</v>
      </c>
      <c r="N16" s="170"/>
      <c r="O16" s="41"/>
      <c r="P16" s="58" t="s">
        <v>553</v>
      </c>
      <c r="Q16" s="142"/>
    </row>
    <row r="17" spans="2:17">
      <c r="B17" s="70" t="s">
        <v>571</v>
      </c>
      <c r="C17" s="170" t="s">
        <v>183</v>
      </c>
      <c r="D17" s="41" t="s">
        <v>183</v>
      </c>
      <c r="E17" s="41" t="s">
        <v>183</v>
      </c>
      <c r="F17" s="41" t="s">
        <v>183</v>
      </c>
      <c r="G17" s="41" t="s">
        <v>183</v>
      </c>
      <c r="H17" s="41" t="s">
        <v>183</v>
      </c>
      <c r="I17" s="41" t="s">
        <v>183</v>
      </c>
      <c r="J17" s="41" t="s">
        <v>183</v>
      </c>
      <c r="K17" s="238" t="s">
        <v>32</v>
      </c>
      <c r="L17" s="32" t="s">
        <v>265</v>
      </c>
      <c r="M17" s="36" t="s">
        <v>580</v>
      </c>
      <c r="N17" s="170"/>
      <c r="O17" s="41"/>
      <c r="P17" s="58" t="s">
        <v>553</v>
      </c>
      <c r="Q17" s="142"/>
    </row>
    <row r="18" spans="2:17">
      <c r="B18" s="70" t="s">
        <v>548</v>
      </c>
      <c r="C18" s="170" t="s">
        <v>183</v>
      </c>
      <c r="D18" s="41" t="s">
        <v>183</v>
      </c>
      <c r="E18" s="41" t="s">
        <v>183</v>
      </c>
      <c r="F18" s="41" t="s">
        <v>183</v>
      </c>
      <c r="G18" s="41" t="s">
        <v>183</v>
      </c>
      <c r="H18" s="41" t="s">
        <v>183</v>
      </c>
      <c r="I18" s="41" t="s">
        <v>183</v>
      </c>
      <c r="J18" s="41" t="s">
        <v>183</v>
      </c>
      <c r="K18" s="238" t="s">
        <v>32</v>
      </c>
      <c r="L18" s="32" t="s">
        <v>622</v>
      </c>
      <c r="M18" s="36" t="s">
        <v>33</v>
      </c>
      <c r="N18" s="170"/>
      <c r="O18" s="41"/>
      <c r="P18" s="58" t="s">
        <v>31</v>
      </c>
      <c r="Q18" s="142"/>
    </row>
    <row r="19" spans="2:17">
      <c r="B19" s="70" t="s">
        <v>548</v>
      </c>
      <c r="C19" s="170" t="s">
        <v>183</v>
      </c>
      <c r="D19" s="41" t="s">
        <v>183</v>
      </c>
      <c r="E19" s="41" t="s">
        <v>183</v>
      </c>
      <c r="F19" s="41" t="s">
        <v>183</v>
      </c>
      <c r="G19" s="41" t="s">
        <v>183</v>
      </c>
      <c r="H19" s="41" t="s">
        <v>183</v>
      </c>
      <c r="I19" s="41" t="s">
        <v>183</v>
      </c>
      <c r="J19" s="41" t="s">
        <v>183</v>
      </c>
      <c r="K19" s="238" t="s">
        <v>32</v>
      </c>
      <c r="L19" s="32" t="s">
        <v>274</v>
      </c>
      <c r="M19" s="36" t="s">
        <v>33</v>
      </c>
      <c r="N19" s="170"/>
      <c r="O19" s="41"/>
      <c r="P19" s="58" t="s">
        <v>31</v>
      </c>
      <c r="Q19" s="142"/>
    </row>
    <row r="20" spans="2:17">
      <c r="B20" s="70" t="s">
        <v>568</v>
      </c>
      <c r="C20" s="170" t="s">
        <v>183</v>
      </c>
      <c r="D20" s="41" t="s">
        <v>183</v>
      </c>
      <c r="E20" s="41" t="s">
        <v>183</v>
      </c>
      <c r="F20" s="41" t="s">
        <v>183</v>
      </c>
      <c r="G20" s="41" t="s">
        <v>183</v>
      </c>
      <c r="H20" s="41" t="s">
        <v>183</v>
      </c>
      <c r="I20" s="41" t="s">
        <v>183</v>
      </c>
      <c r="J20" s="41" t="s">
        <v>183</v>
      </c>
      <c r="K20" s="238" t="s">
        <v>32</v>
      </c>
      <c r="L20" s="32" t="s">
        <v>275</v>
      </c>
      <c r="M20" s="36" t="s">
        <v>599</v>
      </c>
      <c r="N20" s="170"/>
      <c r="O20" s="41"/>
      <c r="P20" s="58" t="s">
        <v>550</v>
      </c>
      <c r="Q20" s="142"/>
    </row>
    <row r="21" spans="2:17">
      <c r="B21" s="70" t="s">
        <v>569</v>
      </c>
      <c r="C21" s="170" t="s">
        <v>183</v>
      </c>
      <c r="D21" s="41" t="s">
        <v>183</v>
      </c>
      <c r="E21" s="41" t="s">
        <v>183</v>
      </c>
      <c r="F21" s="41" t="s">
        <v>183</v>
      </c>
      <c r="G21" s="41" t="s">
        <v>183</v>
      </c>
      <c r="H21" s="41" t="s">
        <v>183</v>
      </c>
      <c r="I21" s="41" t="s">
        <v>183</v>
      </c>
      <c r="J21" s="41" t="s">
        <v>183</v>
      </c>
      <c r="K21" s="238" t="s">
        <v>32</v>
      </c>
      <c r="L21" s="32" t="s">
        <v>276</v>
      </c>
      <c r="M21" s="36" t="s">
        <v>607</v>
      </c>
      <c r="N21" s="170"/>
      <c r="O21" s="41"/>
      <c r="P21" s="58" t="s">
        <v>551</v>
      </c>
      <c r="Q21" s="142"/>
    </row>
    <row r="22" spans="2:17">
      <c r="B22" s="70" t="s">
        <v>548</v>
      </c>
      <c r="C22" s="170" t="s">
        <v>183</v>
      </c>
      <c r="D22" s="41" t="s">
        <v>183</v>
      </c>
      <c r="E22" s="41" t="s">
        <v>183</v>
      </c>
      <c r="F22" s="41" t="s">
        <v>183</v>
      </c>
      <c r="G22" s="41" t="s">
        <v>183</v>
      </c>
      <c r="H22" s="41" t="s">
        <v>183</v>
      </c>
      <c r="I22" s="41" t="s">
        <v>183</v>
      </c>
      <c r="J22" s="41" t="s">
        <v>183</v>
      </c>
      <c r="K22" s="238" t="s">
        <v>32</v>
      </c>
      <c r="L22" s="32" t="s">
        <v>277</v>
      </c>
      <c r="M22" s="36" t="s">
        <v>33</v>
      </c>
      <c r="N22" s="170"/>
      <c r="O22" s="41"/>
      <c r="P22" s="58" t="s">
        <v>31</v>
      </c>
      <c r="Q22" s="142"/>
    </row>
    <row r="23" spans="2:17">
      <c r="B23" s="70" t="s">
        <v>548</v>
      </c>
      <c r="C23" s="170" t="s">
        <v>183</v>
      </c>
      <c r="D23" s="41" t="s">
        <v>183</v>
      </c>
      <c r="E23" s="41" t="s">
        <v>183</v>
      </c>
      <c r="F23" s="41" t="s">
        <v>183</v>
      </c>
      <c r="G23" s="41" t="s">
        <v>183</v>
      </c>
      <c r="H23" s="41" t="s">
        <v>183</v>
      </c>
      <c r="I23" s="41" t="s">
        <v>183</v>
      </c>
      <c r="J23" s="41" t="s">
        <v>183</v>
      </c>
      <c r="K23" s="238" t="s">
        <v>32</v>
      </c>
      <c r="L23" s="32" t="s">
        <v>278</v>
      </c>
      <c r="M23" s="36" t="s">
        <v>33</v>
      </c>
      <c r="N23" s="170"/>
      <c r="O23" s="41"/>
      <c r="P23" s="58" t="s">
        <v>31</v>
      </c>
      <c r="Q23" s="142"/>
    </row>
    <row r="24" spans="2:17">
      <c r="B24" s="70" t="s">
        <v>570</v>
      </c>
      <c r="C24" s="170" t="s">
        <v>183</v>
      </c>
      <c r="D24" s="41" t="s">
        <v>183</v>
      </c>
      <c r="E24" s="41" t="s">
        <v>183</v>
      </c>
      <c r="F24" s="41" t="s">
        <v>183</v>
      </c>
      <c r="G24" s="41" t="s">
        <v>183</v>
      </c>
      <c r="H24" s="41" t="s">
        <v>183</v>
      </c>
      <c r="I24" s="41" t="s">
        <v>183</v>
      </c>
      <c r="J24" s="41" t="s">
        <v>183</v>
      </c>
      <c r="K24" s="238" t="s">
        <v>32</v>
      </c>
      <c r="L24" s="32" t="s">
        <v>279</v>
      </c>
      <c r="M24" s="36" t="s">
        <v>593</v>
      </c>
      <c r="N24" s="170"/>
      <c r="O24" s="41"/>
      <c r="P24" s="58" t="s">
        <v>552</v>
      </c>
      <c r="Q24" s="142"/>
    </row>
    <row r="25" spans="2:17">
      <c r="B25" s="70" t="s">
        <v>571</v>
      </c>
      <c r="C25" s="170" t="s">
        <v>183</v>
      </c>
      <c r="D25" s="41" t="s">
        <v>183</v>
      </c>
      <c r="E25" s="41" t="s">
        <v>183</v>
      </c>
      <c r="F25" s="41" t="s">
        <v>183</v>
      </c>
      <c r="G25" s="41" t="s">
        <v>183</v>
      </c>
      <c r="H25" s="41" t="s">
        <v>183</v>
      </c>
      <c r="I25" s="41" t="s">
        <v>183</v>
      </c>
      <c r="J25" s="41" t="s">
        <v>183</v>
      </c>
      <c r="K25" s="238" t="s">
        <v>32</v>
      </c>
      <c r="L25" s="32" t="s">
        <v>280</v>
      </c>
      <c r="M25" s="36" t="s">
        <v>587</v>
      </c>
      <c r="N25" s="170"/>
      <c r="O25" s="41"/>
      <c r="P25" s="58" t="s">
        <v>553</v>
      </c>
      <c r="Q25" s="142"/>
    </row>
    <row r="26" spans="2:17">
      <c r="B26" s="70" t="s">
        <v>571</v>
      </c>
      <c r="C26" s="170" t="s">
        <v>183</v>
      </c>
      <c r="D26" s="41" t="s">
        <v>183</v>
      </c>
      <c r="E26" s="41" t="s">
        <v>183</v>
      </c>
      <c r="F26" s="41" t="s">
        <v>183</v>
      </c>
      <c r="G26" s="41" t="s">
        <v>183</v>
      </c>
      <c r="H26" s="41" t="s">
        <v>183</v>
      </c>
      <c r="I26" s="41" t="s">
        <v>183</v>
      </c>
      <c r="J26" s="41" t="s">
        <v>183</v>
      </c>
      <c r="K26" s="238" t="s">
        <v>32</v>
      </c>
      <c r="L26" s="32" t="s">
        <v>281</v>
      </c>
      <c r="M26" s="36" t="s">
        <v>581</v>
      </c>
      <c r="N26" s="170"/>
      <c r="O26" s="41"/>
      <c r="P26" s="58" t="s">
        <v>553</v>
      </c>
      <c r="Q26" s="142"/>
    </row>
    <row r="27" spans="2:17">
      <c r="B27" s="70" t="s">
        <v>548</v>
      </c>
      <c r="C27" s="170" t="s">
        <v>183</v>
      </c>
      <c r="D27" s="41" t="s">
        <v>183</v>
      </c>
      <c r="E27" s="41" t="s">
        <v>183</v>
      </c>
      <c r="F27" s="41" t="s">
        <v>183</v>
      </c>
      <c r="G27" s="41" t="s">
        <v>183</v>
      </c>
      <c r="H27" s="41" t="s">
        <v>183</v>
      </c>
      <c r="I27" s="41" t="s">
        <v>183</v>
      </c>
      <c r="J27" s="41" t="s">
        <v>183</v>
      </c>
      <c r="K27" s="238" t="s">
        <v>32</v>
      </c>
      <c r="L27" s="32" t="s">
        <v>623</v>
      </c>
      <c r="M27" s="36" t="s">
        <v>33</v>
      </c>
      <c r="N27" s="170"/>
      <c r="O27" s="41"/>
      <c r="P27" s="58" t="s">
        <v>31</v>
      </c>
      <c r="Q27" s="142"/>
    </row>
    <row r="28" spans="2:17">
      <c r="B28" s="70" t="s">
        <v>548</v>
      </c>
      <c r="C28" s="170" t="s">
        <v>183</v>
      </c>
      <c r="D28" s="41" t="s">
        <v>183</v>
      </c>
      <c r="E28" s="41" t="s">
        <v>183</v>
      </c>
      <c r="F28" s="41" t="s">
        <v>183</v>
      </c>
      <c r="G28" s="41" t="s">
        <v>183</v>
      </c>
      <c r="H28" s="41" t="s">
        <v>183</v>
      </c>
      <c r="I28" s="41" t="s">
        <v>183</v>
      </c>
      <c r="J28" s="41" t="s">
        <v>183</v>
      </c>
      <c r="K28" s="238" t="s">
        <v>32</v>
      </c>
      <c r="L28" s="32" t="s">
        <v>290</v>
      </c>
      <c r="M28" s="36" t="s">
        <v>33</v>
      </c>
      <c r="N28" s="170"/>
      <c r="O28" s="41"/>
      <c r="P28" s="58" t="s">
        <v>31</v>
      </c>
      <c r="Q28" s="142"/>
    </row>
    <row r="29" spans="2:17">
      <c r="B29" s="70" t="s">
        <v>568</v>
      </c>
      <c r="C29" s="170" t="s">
        <v>183</v>
      </c>
      <c r="D29" s="41" t="s">
        <v>183</v>
      </c>
      <c r="E29" s="41" t="s">
        <v>183</v>
      </c>
      <c r="F29" s="41" t="s">
        <v>183</v>
      </c>
      <c r="G29" s="41" t="s">
        <v>183</v>
      </c>
      <c r="H29" s="41" t="s">
        <v>183</v>
      </c>
      <c r="I29" s="41" t="s">
        <v>183</v>
      </c>
      <c r="J29" s="41" t="s">
        <v>183</v>
      </c>
      <c r="K29" s="238" t="s">
        <v>32</v>
      </c>
      <c r="L29" s="32" t="s">
        <v>291</v>
      </c>
      <c r="M29" s="36" t="s">
        <v>600</v>
      </c>
      <c r="N29" s="170"/>
      <c r="O29" s="41"/>
      <c r="P29" s="58" t="s">
        <v>550</v>
      </c>
      <c r="Q29" s="142"/>
    </row>
    <row r="30" spans="2:17">
      <c r="B30" s="70" t="s">
        <v>569</v>
      </c>
      <c r="C30" s="170" t="s">
        <v>183</v>
      </c>
      <c r="D30" s="41" t="s">
        <v>183</v>
      </c>
      <c r="E30" s="41" t="s">
        <v>183</v>
      </c>
      <c r="F30" s="41" t="s">
        <v>183</v>
      </c>
      <c r="G30" s="41" t="s">
        <v>183</v>
      </c>
      <c r="H30" s="41" t="s">
        <v>183</v>
      </c>
      <c r="I30" s="41" t="s">
        <v>183</v>
      </c>
      <c r="J30" s="41" t="s">
        <v>183</v>
      </c>
      <c r="K30" s="238" t="s">
        <v>32</v>
      </c>
      <c r="L30" s="32" t="s">
        <v>292</v>
      </c>
      <c r="M30" s="36" t="s">
        <v>608</v>
      </c>
      <c r="N30" s="170"/>
      <c r="O30" s="41"/>
      <c r="P30" s="58" t="s">
        <v>551</v>
      </c>
      <c r="Q30" s="142"/>
    </row>
    <row r="31" spans="2:17">
      <c r="B31" s="70" t="s">
        <v>548</v>
      </c>
      <c r="C31" s="170" t="s">
        <v>183</v>
      </c>
      <c r="D31" s="41" t="s">
        <v>183</v>
      </c>
      <c r="E31" s="41" t="s">
        <v>183</v>
      </c>
      <c r="F31" s="41" t="s">
        <v>183</v>
      </c>
      <c r="G31" s="41" t="s">
        <v>183</v>
      </c>
      <c r="H31" s="41" t="s">
        <v>183</v>
      </c>
      <c r="I31" s="41" t="s">
        <v>183</v>
      </c>
      <c r="J31" s="41" t="s">
        <v>183</v>
      </c>
      <c r="K31" s="238" t="s">
        <v>32</v>
      </c>
      <c r="L31" s="32" t="s">
        <v>293</v>
      </c>
      <c r="M31" s="36" t="s">
        <v>33</v>
      </c>
      <c r="N31" s="170"/>
      <c r="O31" s="41"/>
      <c r="P31" s="58" t="s">
        <v>31</v>
      </c>
      <c r="Q31" s="142"/>
    </row>
    <row r="32" spans="2:17">
      <c r="B32" s="70" t="s">
        <v>548</v>
      </c>
      <c r="C32" s="170" t="s">
        <v>183</v>
      </c>
      <c r="D32" s="41" t="s">
        <v>183</v>
      </c>
      <c r="E32" s="41" t="s">
        <v>183</v>
      </c>
      <c r="F32" s="41" t="s">
        <v>183</v>
      </c>
      <c r="G32" s="41" t="s">
        <v>183</v>
      </c>
      <c r="H32" s="41" t="s">
        <v>183</v>
      </c>
      <c r="I32" s="41" t="s">
        <v>183</v>
      </c>
      <c r="J32" s="41" t="s">
        <v>183</v>
      </c>
      <c r="K32" s="238" t="s">
        <v>32</v>
      </c>
      <c r="L32" s="32" t="s">
        <v>294</v>
      </c>
      <c r="M32" s="36" t="s">
        <v>33</v>
      </c>
      <c r="N32" s="170"/>
      <c r="O32" s="41"/>
      <c r="P32" s="58" t="s">
        <v>31</v>
      </c>
      <c r="Q32" s="142"/>
    </row>
    <row r="33" spans="2:17">
      <c r="B33" s="70" t="s">
        <v>570</v>
      </c>
      <c r="C33" s="170" t="s">
        <v>183</v>
      </c>
      <c r="D33" s="41" t="s">
        <v>183</v>
      </c>
      <c r="E33" s="41" t="s">
        <v>183</v>
      </c>
      <c r="F33" s="41" t="s">
        <v>183</v>
      </c>
      <c r="G33" s="41" t="s">
        <v>183</v>
      </c>
      <c r="H33" s="41" t="s">
        <v>183</v>
      </c>
      <c r="I33" s="41" t="s">
        <v>183</v>
      </c>
      <c r="J33" s="41" t="s">
        <v>183</v>
      </c>
      <c r="K33" s="238" t="s">
        <v>32</v>
      </c>
      <c r="L33" s="32" t="s">
        <v>295</v>
      </c>
      <c r="M33" s="36" t="s">
        <v>594</v>
      </c>
      <c r="N33" s="170"/>
      <c r="O33" s="41"/>
      <c r="P33" s="58" t="s">
        <v>552</v>
      </c>
      <c r="Q33" s="142"/>
    </row>
    <row r="34" spans="2:17">
      <c r="B34" s="70" t="s">
        <v>571</v>
      </c>
      <c r="C34" s="170" t="s">
        <v>183</v>
      </c>
      <c r="D34" s="41" t="s">
        <v>183</v>
      </c>
      <c r="E34" s="41" t="s">
        <v>183</v>
      </c>
      <c r="F34" s="41" t="s">
        <v>183</v>
      </c>
      <c r="G34" s="41" t="s">
        <v>183</v>
      </c>
      <c r="H34" s="41" t="s">
        <v>183</v>
      </c>
      <c r="I34" s="41" t="s">
        <v>183</v>
      </c>
      <c r="J34" s="41" t="s">
        <v>183</v>
      </c>
      <c r="K34" s="238" t="s">
        <v>32</v>
      </c>
      <c r="L34" s="32" t="s">
        <v>296</v>
      </c>
      <c r="M34" s="36" t="s">
        <v>588</v>
      </c>
      <c r="N34" s="170"/>
      <c r="O34" s="41"/>
      <c r="P34" s="58" t="s">
        <v>553</v>
      </c>
      <c r="Q34" s="142"/>
    </row>
    <row r="35" spans="2:17">
      <c r="B35" s="70" t="s">
        <v>571</v>
      </c>
      <c r="C35" s="170" t="s">
        <v>183</v>
      </c>
      <c r="D35" s="41" t="s">
        <v>183</v>
      </c>
      <c r="E35" s="41" t="s">
        <v>183</v>
      </c>
      <c r="F35" s="41" t="s">
        <v>183</v>
      </c>
      <c r="G35" s="41" t="s">
        <v>183</v>
      </c>
      <c r="H35" s="41" t="s">
        <v>183</v>
      </c>
      <c r="I35" s="41" t="s">
        <v>183</v>
      </c>
      <c r="J35" s="41" t="s">
        <v>183</v>
      </c>
      <c r="K35" s="238" t="s">
        <v>32</v>
      </c>
      <c r="L35" s="32" t="s">
        <v>297</v>
      </c>
      <c r="M35" s="36" t="s">
        <v>582</v>
      </c>
      <c r="N35" s="170"/>
      <c r="O35" s="41"/>
      <c r="P35" s="58" t="s">
        <v>553</v>
      </c>
      <c r="Q35" s="142"/>
    </row>
    <row r="36" spans="2:17">
      <c r="B36" s="70" t="s">
        <v>548</v>
      </c>
      <c r="C36" s="170" t="s">
        <v>183</v>
      </c>
      <c r="D36" s="41" t="s">
        <v>183</v>
      </c>
      <c r="E36" s="41" t="s">
        <v>183</v>
      </c>
      <c r="F36" s="41" t="s">
        <v>183</v>
      </c>
      <c r="G36" s="41" t="s">
        <v>183</v>
      </c>
      <c r="H36" s="41" t="s">
        <v>183</v>
      </c>
      <c r="I36" s="41" t="s">
        <v>183</v>
      </c>
      <c r="J36" s="41" t="s">
        <v>183</v>
      </c>
      <c r="K36" s="238" t="s">
        <v>32</v>
      </c>
      <c r="L36" s="32" t="s">
        <v>624</v>
      </c>
      <c r="M36" s="36" t="s">
        <v>33</v>
      </c>
      <c r="N36" s="170"/>
      <c r="O36" s="41"/>
      <c r="P36" s="58" t="s">
        <v>31</v>
      </c>
      <c r="Q36" s="142"/>
    </row>
    <row r="37" spans="2:17">
      <c r="B37" s="70" t="s">
        <v>548</v>
      </c>
      <c r="C37" s="170" t="s">
        <v>183</v>
      </c>
      <c r="D37" s="41" t="s">
        <v>183</v>
      </c>
      <c r="E37" s="41" t="s">
        <v>183</v>
      </c>
      <c r="F37" s="41" t="s">
        <v>183</v>
      </c>
      <c r="G37" s="41" t="s">
        <v>183</v>
      </c>
      <c r="H37" s="41" t="s">
        <v>183</v>
      </c>
      <c r="I37" s="41" t="s">
        <v>183</v>
      </c>
      <c r="J37" s="41" t="s">
        <v>183</v>
      </c>
      <c r="K37" s="238" t="s">
        <v>32</v>
      </c>
      <c r="L37" s="32" t="s">
        <v>306</v>
      </c>
      <c r="M37" s="36" t="s">
        <v>33</v>
      </c>
      <c r="N37" s="170"/>
      <c r="O37" s="41"/>
      <c r="P37" s="58" t="s">
        <v>31</v>
      </c>
      <c r="Q37" s="142"/>
    </row>
    <row r="38" spans="2:17">
      <c r="B38" s="70" t="s">
        <v>568</v>
      </c>
      <c r="C38" s="170" t="s">
        <v>183</v>
      </c>
      <c r="D38" s="41" t="s">
        <v>183</v>
      </c>
      <c r="E38" s="41" t="s">
        <v>183</v>
      </c>
      <c r="F38" s="41" t="s">
        <v>183</v>
      </c>
      <c r="G38" s="41" t="s">
        <v>183</v>
      </c>
      <c r="H38" s="41" t="s">
        <v>183</v>
      </c>
      <c r="I38" s="41" t="s">
        <v>183</v>
      </c>
      <c r="J38" s="41" t="s">
        <v>183</v>
      </c>
      <c r="K38" s="238" t="s">
        <v>32</v>
      </c>
      <c r="L38" s="32" t="s">
        <v>307</v>
      </c>
      <c r="M38" s="36" t="s">
        <v>601</v>
      </c>
      <c r="N38" s="170"/>
      <c r="O38" s="41"/>
      <c r="P38" s="58" t="s">
        <v>550</v>
      </c>
      <c r="Q38" s="142"/>
    </row>
    <row r="39" spans="2:17">
      <c r="B39" s="70" t="s">
        <v>569</v>
      </c>
      <c r="C39" s="170" t="s">
        <v>183</v>
      </c>
      <c r="D39" s="41" t="s">
        <v>183</v>
      </c>
      <c r="E39" s="41" t="s">
        <v>183</v>
      </c>
      <c r="F39" s="41" t="s">
        <v>183</v>
      </c>
      <c r="G39" s="41" t="s">
        <v>183</v>
      </c>
      <c r="H39" s="41" t="s">
        <v>183</v>
      </c>
      <c r="I39" s="41" t="s">
        <v>183</v>
      </c>
      <c r="J39" s="41" t="s">
        <v>183</v>
      </c>
      <c r="K39" s="238" t="s">
        <v>32</v>
      </c>
      <c r="L39" s="32" t="s">
        <v>308</v>
      </c>
      <c r="M39" s="36" t="s">
        <v>609</v>
      </c>
      <c r="N39" s="170"/>
      <c r="O39" s="41"/>
      <c r="P39" s="58" t="s">
        <v>551</v>
      </c>
      <c r="Q39" s="142"/>
    </row>
    <row r="40" spans="2:17">
      <c r="B40" s="70" t="s">
        <v>548</v>
      </c>
      <c r="C40" s="170" t="s">
        <v>183</v>
      </c>
      <c r="D40" s="41" t="s">
        <v>183</v>
      </c>
      <c r="E40" s="41" t="s">
        <v>183</v>
      </c>
      <c r="F40" s="41" t="s">
        <v>183</v>
      </c>
      <c r="G40" s="41" t="s">
        <v>183</v>
      </c>
      <c r="H40" s="41" t="s">
        <v>183</v>
      </c>
      <c r="I40" s="41" t="s">
        <v>183</v>
      </c>
      <c r="J40" s="41" t="s">
        <v>183</v>
      </c>
      <c r="K40" s="238" t="s">
        <v>32</v>
      </c>
      <c r="L40" s="32" t="s">
        <v>309</v>
      </c>
      <c r="M40" s="36" t="s">
        <v>33</v>
      </c>
      <c r="N40" s="170"/>
      <c r="O40" s="41"/>
      <c r="P40" s="58" t="s">
        <v>31</v>
      </c>
      <c r="Q40" s="142"/>
    </row>
    <row r="41" spans="2:17">
      <c r="B41" s="70" t="s">
        <v>548</v>
      </c>
      <c r="C41" s="170" t="s">
        <v>183</v>
      </c>
      <c r="D41" s="41" t="s">
        <v>183</v>
      </c>
      <c r="E41" s="41" t="s">
        <v>183</v>
      </c>
      <c r="F41" s="41" t="s">
        <v>183</v>
      </c>
      <c r="G41" s="41" t="s">
        <v>183</v>
      </c>
      <c r="H41" s="41" t="s">
        <v>183</v>
      </c>
      <c r="I41" s="41" t="s">
        <v>183</v>
      </c>
      <c r="J41" s="41" t="s">
        <v>183</v>
      </c>
      <c r="K41" s="238" t="s">
        <v>32</v>
      </c>
      <c r="L41" s="32" t="s">
        <v>310</v>
      </c>
      <c r="M41" s="36" t="s">
        <v>33</v>
      </c>
      <c r="N41" s="170"/>
      <c r="O41" s="41"/>
      <c r="P41" s="58" t="s">
        <v>31</v>
      </c>
      <c r="Q41" s="142"/>
    </row>
    <row r="42" spans="2:17">
      <c r="B42" s="70" t="s">
        <v>570</v>
      </c>
      <c r="C42" s="170" t="s">
        <v>183</v>
      </c>
      <c r="D42" s="41" t="s">
        <v>183</v>
      </c>
      <c r="E42" s="41" t="s">
        <v>183</v>
      </c>
      <c r="F42" s="41" t="s">
        <v>183</v>
      </c>
      <c r="G42" s="41" t="s">
        <v>183</v>
      </c>
      <c r="H42" s="41" t="s">
        <v>183</v>
      </c>
      <c r="I42" s="41" t="s">
        <v>183</v>
      </c>
      <c r="J42" s="41" t="s">
        <v>183</v>
      </c>
      <c r="K42" s="238" t="s">
        <v>32</v>
      </c>
      <c r="L42" s="32" t="s">
        <v>311</v>
      </c>
      <c r="M42" s="36" t="s">
        <v>595</v>
      </c>
      <c r="N42" s="170"/>
      <c r="O42" s="41"/>
      <c r="P42" s="58" t="s">
        <v>552</v>
      </c>
      <c r="Q42" s="142"/>
    </row>
    <row r="43" spans="2:17">
      <c r="B43" s="70" t="s">
        <v>571</v>
      </c>
      <c r="C43" s="170" t="s">
        <v>183</v>
      </c>
      <c r="D43" s="41" t="s">
        <v>183</v>
      </c>
      <c r="E43" s="41" t="s">
        <v>183</v>
      </c>
      <c r="F43" s="41" t="s">
        <v>183</v>
      </c>
      <c r="G43" s="41" t="s">
        <v>183</v>
      </c>
      <c r="H43" s="41" t="s">
        <v>183</v>
      </c>
      <c r="I43" s="41" t="s">
        <v>183</v>
      </c>
      <c r="J43" s="41" t="s">
        <v>183</v>
      </c>
      <c r="K43" s="238" t="s">
        <v>32</v>
      </c>
      <c r="L43" s="32" t="s">
        <v>312</v>
      </c>
      <c r="M43" s="36" t="s">
        <v>589</v>
      </c>
      <c r="N43" s="170"/>
      <c r="O43" s="41"/>
      <c r="P43" s="58" t="s">
        <v>553</v>
      </c>
      <c r="Q43" s="142"/>
    </row>
    <row r="44" spans="2:17">
      <c r="B44" s="70" t="s">
        <v>571</v>
      </c>
      <c r="C44" s="170" t="s">
        <v>183</v>
      </c>
      <c r="D44" s="41" t="s">
        <v>183</v>
      </c>
      <c r="E44" s="41" t="s">
        <v>183</v>
      </c>
      <c r="F44" s="41" t="s">
        <v>183</v>
      </c>
      <c r="G44" s="41" t="s">
        <v>183</v>
      </c>
      <c r="H44" s="41" t="s">
        <v>183</v>
      </c>
      <c r="I44" s="41" t="s">
        <v>183</v>
      </c>
      <c r="J44" s="41" t="s">
        <v>183</v>
      </c>
      <c r="K44" s="238" t="s">
        <v>32</v>
      </c>
      <c r="L44" s="32" t="s">
        <v>313</v>
      </c>
      <c r="M44" s="36" t="s">
        <v>583</v>
      </c>
      <c r="N44" s="170"/>
      <c r="O44" s="41"/>
      <c r="P44" s="58" t="s">
        <v>553</v>
      </c>
      <c r="Q44" s="142"/>
    </row>
    <row r="45" spans="2:17">
      <c r="B45" s="70" t="s">
        <v>548</v>
      </c>
      <c r="C45" s="170" t="s">
        <v>183</v>
      </c>
      <c r="D45" s="41" t="s">
        <v>183</v>
      </c>
      <c r="E45" s="41" t="s">
        <v>183</v>
      </c>
      <c r="F45" s="41" t="s">
        <v>183</v>
      </c>
      <c r="G45" s="41" t="s">
        <v>183</v>
      </c>
      <c r="H45" s="41" t="s">
        <v>183</v>
      </c>
      <c r="I45" s="41" t="s">
        <v>183</v>
      </c>
      <c r="J45" s="41" t="s">
        <v>183</v>
      </c>
      <c r="K45" s="238" t="s">
        <v>32</v>
      </c>
      <c r="L45" s="32" t="s">
        <v>625</v>
      </c>
      <c r="M45" s="36" t="s">
        <v>33</v>
      </c>
      <c r="N45" s="170"/>
      <c r="O45" s="41"/>
      <c r="P45" s="58" t="s">
        <v>31</v>
      </c>
      <c r="Q45" s="142"/>
    </row>
    <row r="46" spans="2:17">
      <c r="B46" s="70" t="s">
        <v>548</v>
      </c>
      <c r="C46" s="170" t="s">
        <v>183</v>
      </c>
      <c r="D46" s="41" t="s">
        <v>183</v>
      </c>
      <c r="E46" s="41" t="s">
        <v>183</v>
      </c>
      <c r="F46" s="41" t="s">
        <v>183</v>
      </c>
      <c r="G46" s="41" t="s">
        <v>183</v>
      </c>
      <c r="H46" s="41" t="s">
        <v>183</v>
      </c>
      <c r="I46" s="41" t="s">
        <v>183</v>
      </c>
      <c r="J46" s="41" t="s">
        <v>183</v>
      </c>
      <c r="K46" s="238" t="s">
        <v>32</v>
      </c>
      <c r="L46" s="32" t="s">
        <v>322</v>
      </c>
      <c r="M46" s="36" t="s">
        <v>33</v>
      </c>
      <c r="N46" s="170"/>
      <c r="O46" s="41"/>
      <c r="P46" s="58" t="s">
        <v>31</v>
      </c>
      <c r="Q46" s="142"/>
    </row>
    <row r="47" spans="2:17">
      <c r="B47" s="70" t="s">
        <v>568</v>
      </c>
      <c r="C47" s="170" t="s">
        <v>183</v>
      </c>
      <c r="D47" s="41" t="s">
        <v>183</v>
      </c>
      <c r="E47" s="41" t="s">
        <v>183</v>
      </c>
      <c r="F47" s="41" t="s">
        <v>183</v>
      </c>
      <c r="G47" s="41" t="s">
        <v>183</v>
      </c>
      <c r="H47" s="41" t="s">
        <v>183</v>
      </c>
      <c r="I47" s="41" t="s">
        <v>183</v>
      </c>
      <c r="J47" s="41" t="s">
        <v>183</v>
      </c>
      <c r="K47" s="238" t="s">
        <v>32</v>
      </c>
      <c r="L47" s="32" t="s">
        <v>323</v>
      </c>
      <c r="M47" s="36" t="s">
        <v>602</v>
      </c>
      <c r="N47" s="170"/>
      <c r="O47" s="41"/>
      <c r="P47" s="58" t="s">
        <v>550</v>
      </c>
      <c r="Q47" s="142"/>
    </row>
    <row r="48" spans="2:17">
      <c r="B48" s="70" t="s">
        <v>569</v>
      </c>
      <c r="C48" s="170" t="s">
        <v>183</v>
      </c>
      <c r="D48" s="41" t="s">
        <v>183</v>
      </c>
      <c r="E48" s="41" t="s">
        <v>183</v>
      </c>
      <c r="F48" s="41" t="s">
        <v>183</v>
      </c>
      <c r="G48" s="41" t="s">
        <v>183</v>
      </c>
      <c r="H48" s="41" t="s">
        <v>183</v>
      </c>
      <c r="I48" s="41" t="s">
        <v>183</v>
      </c>
      <c r="J48" s="41" t="s">
        <v>183</v>
      </c>
      <c r="K48" s="238" t="s">
        <v>32</v>
      </c>
      <c r="L48" s="32" t="s">
        <v>324</v>
      </c>
      <c r="M48" s="36" t="s">
        <v>610</v>
      </c>
      <c r="N48" s="170"/>
      <c r="O48" s="41"/>
      <c r="P48" s="58" t="s">
        <v>551</v>
      </c>
      <c r="Q48" s="142"/>
    </row>
    <row r="49" spans="2:17">
      <c r="B49" s="70" t="s">
        <v>548</v>
      </c>
      <c r="C49" s="170" t="s">
        <v>183</v>
      </c>
      <c r="D49" s="41" t="s">
        <v>183</v>
      </c>
      <c r="E49" s="41" t="s">
        <v>183</v>
      </c>
      <c r="F49" s="41" t="s">
        <v>183</v>
      </c>
      <c r="G49" s="41" t="s">
        <v>183</v>
      </c>
      <c r="H49" s="41" t="s">
        <v>183</v>
      </c>
      <c r="I49" s="41" t="s">
        <v>183</v>
      </c>
      <c r="J49" s="41" t="s">
        <v>183</v>
      </c>
      <c r="K49" s="238" t="s">
        <v>32</v>
      </c>
      <c r="L49" s="32" t="s">
        <v>325</v>
      </c>
      <c r="M49" s="36" t="s">
        <v>33</v>
      </c>
      <c r="N49" s="170"/>
      <c r="O49" s="41"/>
      <c r="P49" s="58" t="s">
        <v>31</v>
      </c>
      <c r="Q49" s="142"/>
    </row>
    <row r="50" spans="2:17">
      <c r="B50" s="70" t="s">
        <v>548</v>
      </c>
      <c r="C50" s="170" t="s">
        <v>183</v>
      </c>
      <c r="D50" s="41" t="s">
        <v>183</v>
      </c>
      <c r="E50" s="41" t="s">
        <v>183</v>
      </c>
      <c r="F50" s="41" t="s">
        <v>183</v>
      </c>
      <c r="G50" s="41" t="s">
        <v>183</v>
      </c>
      <c r="H50" s="41" t="s">
        <v>183</v>
      </c>
      <c r="I50" s="41" t="s">
        <v>183</v>
      </c>
      <c r="J50" s="41" t="s">
        <v>183</v>
      </c>
      <c r="K50" s="238" t="s">
        <v>32</v>
      </c>
      <c r="L50" s="32" t="s">
        <v>326</v>
      </c>
      <c r="M50" s="36" t="s">
        <v>33</v>
      </c>
      <c r="N50" s="170"/>
      <c r="O50" s="41"/>
      <c r="P50" s="58" t="s">
        <v>31</v>
      </c>
      <c r="Q50" s="142"/>
    </row>
    <row r="51" spans="2:17">
      <c r="B51" s="70" t="s">
        <v>570</v>
      </c>
      <c r="C51" s="170" t="s">
        <v>183</v>
      </c>
      <c r="D51" s="41" t="s">
        <v>183</v>
      </c>
      <c r="E51" s="41" t="s">
        <v>183</v>
      </c>
      <c r="F51" s="41" t="s">
        <v>183</v>
      </c>
      <c r="G51" s="41" t="s">
        <v>183</v>
      </c>
      <c r="H51" s="41" t="s">
        <v>183</v>
      </c>
      <c r="I51" s="41" t="s">
        <v>183</v>
      </c>
      <c r="J51" s="41" t="s">
        <v>183</v>
      </c>
      <c r="K51" s="238" t="s">
        <v>32</v>
      </c>
      <c r="L51" s="32" t="s">
        <v>327</v>
      </c>
      <c r="M51" s="36" t="s">
        <v>596</v>
      </c>
      <c r="N51" s="170"/>
      <c r="O51" s="41"/>
      <c r="P51" s="58" t="s">
        <v>552</v>
      </c>
      <c r="Q51" s="142"/>
    </row>
    <row r="52" spans="2:17">
      <c r="B52" s="70" t="s">
        <v>571</v>
      </c>
      <c r="C52" s="170" t="s">
        <v>183</v>
      </c>
      <c r="D52" s="41" t="s">
        <v>183</v>
      </c>
      <c r="E52" s="41" t="s">
        <v>183</v>
      </c>
      <c r="F52" s="41" t="s">
        <v>183</v>
      </c>
      <c r="G52" s="41" t="s">
        <v>183</v>
      </c>
      <c r="H52" s="41" t="s">
        <v>183</v>
      </c>
      <c r="I52" s="41" t="s">
        <v>183</v>
      </c>
      <c r="J52" s="41" t="s">
        <v>183</v>
      </c>
      <c r="K52" s="238" t="s">
        <v>32</v>
      </c>
      <c r="L52" s="32" t="s">
        <v>328</v>
      </c>
      <c r="M52" s="36" t="s">
        <v>590</v>
      </c>
      <c r="N52" s="170"/>
      <c r="O52" s="41"/>
      <c r="P52" s="58" t="s">
        <v>553</v>
      </c>
      <c r="Q52" s="142"/>
    </row>
    <row r="53" spans="2:17">
      <c r="B53" s="70" t="s">
        <v>571</v>
      </c>
      <c r="C53" s="170" t="s">
        <v>183</v>
      </c>
      <c r="D53" s="41" t="s">
        <v>183</v>
      </c>
      <c r="E53" s="41" t="s">
        <v>183</v>
      </c>
      <c r="F53" s="41" t="s">
        <v>183</v>
      </c>
      <c r="G53" s="41" t="s">
        <v>183</v>
      </c>
      <c r="H53" s="41" t="s">
        <v>183</v>
      </c>
      <c r="I53" s="41" t="s">
        <v>183</v>
      </c>
      <c r="J53" s="41" t="s">
        <v>183</v>
      </c>
      <c r="K53" s="238" t="s">
        <v>32</v>
      </c>
      <c r="L53" s="32" t="s">
        <v>329</v>
      </c>
      <c r="M53" s="36" t="s">
        <v>584</v>
      </c>
      <c r="N53" s="170"/>
      <c r="O53" s="41"/>
      <c r="P53" s="58" t="s">
        <v>553</v>
      </c>
      <c r="Q53" s="142"/>
    </row>
    <row r="54" spans="2:17">
      <c r="B54" s="70" t="s">
        <v>548</v>
      </c>
      <c r="C54" s="170" t="s">
        <v>183</v>
      </c>
      <c r="D54" s="41" t="s">
        <v>183</v>
      </c>
      <c r="E54" s="41" t="s">
        <v>183</v>
      </c>
      <c r="F54" s="41" t="s">
        <v>183</v>
      </c>
      <c r="G54" s="41" t="s">
        <v>183</v>
      </c>
      <c r="H54" s="41" t="s">
        <v>183</v>
      </c>
      <c r="I54" s="41" t="s">
        <v>183</v>
      </c>
      <c r="J54" s="41" t="s">
        <v>183</v>
      </c>
      <c r="K54" s="238" t="s">
        <v>32</v>
      </c>
      <c r="L54" s="32" t="s">
        <v>626</v>
      </c>
      <c r="M54" s="36" t="s">
        <v>33</v>
      </c>
      <c r="N54" s="170"/>
      <c r="O54" s="41"/>
      <c r="P54" s="58" t="s">
        <v>31</v>
      </c>
      <c r="Q54" s="142"/>
    </row>
    <row r="55" spans="2:17">
      <c r="B55" s="70" t="s">
        <v>548</v>
      </c>
      <c r="C55" s="170" t="s">
        <v>183</v>
      </c>
      <c r="D55" s="41" t="s">
        <v>183</v>
      </c>
      <c r="E55" s="41" t="s">
        <v>183</v>
      </c>
      <c r="F55" s="41" t="s">
        <v>183</v>
      </c>
      <c r="G55" s="41" t="s">
        <v>183</v>
      </c>
      <c r="H55" s="41" t="s">
        <v>183</v>
      </c>
      <c r="I55" s="41" t="s">
        <v>183</v>
      </c>
      <c r="J55" s="41" t="s">
        <v>183</v>
      </c>
      <c r="K55" s="238" t="s">
        <v>32</v>
      </c>
      <c r="L55" s="32" t="s">
        <v>627</v>
      </c>
      <c r="M55" s="36" t="s">
        <v>33</v>
      </c>
      <c r="N55" s="170"/>
      <c r="O55" s="41"/>
      <c r="P55" s="58" t="s">
        <v>31</v>
      </c>
      <c r="Q55" s="142"/>
    </row>
    <row r="56" spans="2:17">
      <c r="B56" s="70" t="s">
        <v>548</v>
      </c>
      <c r="C56" s="170" t="s">
        <v>183</v>
      </c>
      <c r="D56" s="41" t="s">
        <v>183</v>
      </c>
      <c r="E56" s="41" t="s">
        <v>183</v>
      </c>
      <c r="F56" s="41" t="s">
        <v>183</v>
      </c>
      <c r="G56" s="41" t="s">
        <v>183</v>
      </c>
      <c r="H56" s="41" t="s">
        <v>183</v>
      </c>
      <c r="I56" s="41" t="s">
        <v>183</v>
      </c>
      <c r="J56" s="41" t="s">
        <v>183</v>
      </c>
      <c r="K56" s="238" t="s">
        <v>32</v>
      </c>
      <c r="L56" s="32" t="s">
        <v>342</v>
      </c>
      <c r="M56" s="36" t="s">
        <v>33</v>
      </c>
      <c r="N56" s="170"/>
      <c r="O56" s="41"/>
      <c r="P56" s="58" t="s">
        <v>31</v>
      </c>
      <c r="Q56" s="142"/>
    </row>
    <row r="57" spans="2:17">
      <c r="B57" s="70" t="s">
        <v>570</v>
      </c>
      <c r="C57" s="170" t="s">
        <v>183</v>
      </c>
      <c r="D57" s="41" t="s">
        <v>183</v>
      </c>
      <c r="E57" s="41" t="s">
        <v>183</v>
      </c>
      <c r="F57" s="41" t="s">
        <v>183</v>
      </c>
      <c r="G57" s="41" t="s">
        <v>183</v>
      </c>
      <c r="H57" s="41" t="s">
        <v>183</v>
      </c>
      <c r="I57" s="41" t="s">
        <v>183</v>
      </c>
      <c r="J57" s="41" t="s">
        <v>183</v>
      </c>
      <c r="K57" s="238" t="s">
        <v>32</v>
      </c>
      <c r="L57" s="32" t="s">
        <v>343</v>
      </c>
      <c r="M57" s="36" t="s">
        <v>597</v>
      </c>
      <c r="N57" s="170"/>
      <c r="O57" s="41"/>
      <c r="P57" s="58" t="s">
        <v>552</v>
      </c>
      <c r="Q57" s="142"/>
    </row>
    <row r="58" spans="2:17">
      <c r="B58" s="70" t="s">
        <v>571</v>
      </c>
      <c r="C58" s="170" t="s">
        <v>183</v>
      </c>
      <c r="D58" s="41" t="s">
        <v>183</v>
      </c>
      <c r="E58" s="41" t="s">
        <v>183</v>
      </c>
      <c r="F58" s="41" t="s">
        <v>183</v>
      </c>
      <c r="G58" s="41" t="s">
        <v>183</v>
      </c>
      <c r="H58" s="41" t="s">
        <v>183</v>
      </c>
      <c r="I58" s="41" t="s">
        <v>183</v>
      </c>
      <c r="J58" s="41" t="s">
        <v>183</v>
      </c>
      <c r="K58" s="238" t="s">
        <v>32</v>
      </c>
      <c r="L58" s="32" t="s">
        <v>344</v>
      </c>
      <c r="M58" s="36" t="s">
        <v>591</v>
      </c>
      <c r="N58" s="170"/>
      <c r="O58" s="41"/>
      <c r="P58" s="58" t="s">
        <v>553</v>
      </c>
      <c r="Q58" s="142"/>
    </row>
    <row r="59" spans="2:17">
      <c r="B59" s="70" t="s">
        <v>571</v>
      </c>
      <c r="C59" s="170" t="s">
        <v>183</v>
      </c>
      <c r="D59" s="41" t="s">
        <v>183</v>
      </c>
      <c r="E59" s="41" t="s">
        <v>183</v>
      </c>
      <c r="F59" s="41" t="s">
        <v>183</v>
      </c>
      <c r="G59" s="41" t="s">
        <v>183</v>
      </c>
      <c r="H59" s="41" t="s">
        <v>183</v>
      </c>
      <c r="I59" s="41" t="s">
        <v>183</v>
      </c>
      <c r="J59" s="41" t="s">
        <v>183</v>
      </c>
      <c r="K59" s="238" t="s">
        <v>32</v>
      </c>
      <c r="L59" s="32" t="s">
        <v>345</v>
      </c>
      <c r="M59" s="36" t="s">
        <v>585</v>
      </c>
      <c r="N59" s="170"/>
      <c r="O59" s="41"/>
      <c r="P59" s="58" t="s">
        <v>553</v>
      </c>
      <c r="Q59" s="142"/>
    </row>
    <row r="60" spans="2:17">
      <c r="B60" s="70" t="s">
        <v>548</v>
      </c>
      <c r="C60" s="170" t="s">
        <v>183</v>
      </c>
      <c r="D60" s="41" t="s">
        <v>183</v>
      </c>
      <c r="E60" s="41" t="s">
        <v>183</v>
      </c>
      <c r="F60" s="41" t="s">
        <v>183</v>
      </c>
      <c r="G60" s="41" t="s">
        <v>183</v>
      </c>
      <c r="H60" s="41" t="s">
        <v>183</v>
      </c>
      <c r="I60" s="41" t="s">
        <v>183</v>
      </c>
      <c r="J60" s="41" t="s">
        <v>183</v>
      </c>
      <c r="K60" s="238" t="s">
        <v>32</v>
      </c>
      <c r="L60" s="32" t="s">
        <v>628</v>
      </c>
      <c r="M60" s="36" t="s">
        <v>33</v>
      </c>
      <c r="N60" s="170"/>
      <c r="O60" s="41"/>
      <c r="P60" s="58" t="s">
        <v>31</v>
      </c>
      <c r="Q60" s="142"/>
    </row>
    <row r="61" spans="2:17">
      <c r="B61" s="70" t="s">
        <v>548</v>
      </c>
      <c r="C61" s="170" t="s">
        <v>183</v>
      </c>
      <c r="D61" s="41" t="s">
        <v>183</v>
      </c>
      <c r="E61" s="41" t="s">
        <v>183</v>
      </c>
      <c r="F61" s="41" t="s">
        <v>183</v>
      </c>
      <c r="G61" s="41" t="s">
        <v>183</v>
      </c>
      <c r="H61" s="41" t="s">
        <v>183</v>
      </c>
      <c r="I61" s="41" t="s">
        <v>183</v>
      </c>
      <c r="J61" s="41" t="s">
        <v>183</v>
      </c>
      <c r="K61" s="238" t="s">
        <v>32</v>
      </c>
      <c r="L61" s="32" t="s">
        <v>354</v>
      </c>
      <c r="M61" s="36" t="s">
        <v>33</v>
      </c>
      <c r="N61" s="170"/>
      <c r="O61" s="41"/>
      <c r="P61" s="58" t="s">
        <v>31</v>
      </c>
      <c r="Q61" s="142"/>
    </row>
    <row r="62" spans="2:17">
      <c r="B62" s="70" t="s">
        <v>568</v>
      </c>
      <c r="C62" s="170" t="s">
        <v>183</v>
      </c>
      <c r="D62" s="41" t="s">
        <v>183</v>
      </c>
      <c r="E62" s="41" t="s">
        <v>183</v>
      </c>
      <c r="F62" s="41" t="s">
        <v>183</v>
      </c>
      <c r="G62" s="41" t="s">
        <v>183</v>
      </c>
      <c r="H62" s="41" t="s">
        <v>183</v>
      </c>
      <c r="I62" s="41" t="s">
        <v>183</v>
      </c>
      <c r="J62" s="41" t="s">
        <v>183</v>
      </c>
      <c r="K62" s="238" t="s">
        <v>32</v>
      </c>
      <c r="L62" s="32" t="s">
        <v>355</v>
      </c>
      <c r="M62" s="36" t="s">
        <v>603</v>
      </c>
      <c r="N62" s="170"/>
      <c r="O62" s="41"/>
      <c r="P62" s="58" t="s">
        <v>550</v>
      </c>
      <c r="Q62" s="142"/>
    </row>
    <row r="63" spans="2:17">
      <c r="B63" s="70" t="s">
        <v>548</v>
      </c>
      <c r="C63" s="170" t="s">
        <v>183</v>
      </c>
      <c r="D63" s="41" t="s">
        <v>183</v>
      </c>
      <c r="E63" s="41" t="s">
        <v>183</v>
      </c>
      <c r="F63" s="41" t="s">
        <v>183</v>
      </c>
      <c r="G63" s="41" t="s">
        <v>183</v>
      </c>
      <c r="H63" s="41" t="s">
        <v>183</v>
      </c>
      <c r="I63" s="41" t="s">
        <v>183</v>
      </c>
      <c r="J63" s="41" t="s">
        <v>183</v>
      </c>
      <c r="K63" s="238" t="s">
        <v>32</v>
      </c>
      <c r="L63" s="32" t="s">
        <v>356</v>
      </c>
      <c r="M63" s="36" t="s">
        <v>33</v>
      </c>
      <c r="N63" s="170"/>
      <c r="O63" s="41"/>
      <c r="P63" s="58" t="s">
        <v>31</v>
      </c>
      <c r="Q63" s="142"/>
    </row>
    <row r="64" spans="2:17">
      <c r="B64" s="70" t="s">
        <v>569</v>
      </c>
      <c r="C64" s="170" t="s">
        <v>183</v>
      </c>
      <c r="D64" s="41" t="s">
        <v>183</v>
      </c>
      <c r="E64" s="41" t="s">
        <v>183</v>
      </c>
      <c r="F64" s="41" t="s">
        <v>183</v>
      </c>
      <c r="G64" s="41" t="s">
        <v>183</v>
      </c>
      <c r="H64" s="41" t="s">
        <v>183</v>
      </c>
      <c r="I64" s="41" t="s">
        <v>183</v>
      </c>
      <c r="J64" s="41" t="s">
        <v>183</v>
      </c>
      <c r="K64" s="238" t="s">
        <v>32</v>
      </c>
      <c r="L64" s="32" t="s">
        <v>357</v>
      </c>
      <c r="M64" s="36" t="s">
        <v>611</v>
      </c>
      <c r="N64" s="170"/>
      <c r="O64" s="41"/>
      <c r="P64" s="58" t="s">
        <v>551</v>
      </c>
      <c r="Q64" s="142"/>
    </row>
    <row r="65" spans="2:17">
      <c r="B65" s="70" t="s">
        <v>548</v>
      </c>
      <c r="C65" s="170" t="s">
        <v>183</v>
      </c>
      <c r="D65" s="41" t="s">
        <v>183</v>
      </c>
      <c r="E65" s="41" t="s">
        <v>183</v>
      </c>
      <c r="F65" s="41" t="s">
        <v>183</v>
      </c>
      <c r="G65" s="41" t="s">
        <v>183</v>
      </c>
      <c r="H65" s="41" t="s">
        <v>183</v>
      </c>
      <c r="I65" s="41" t="s">
        <v>183</v>
      </c>
      <c r="J65" s="41" t="s">
        <v>183</v>
      </c>
      <c r="K65" s="238" t="s">
        <v>32</v>
      </c>
      <c r="L65" s="32" t="s">
        <v>629</v>
      </c>
      <c r="M65" s="36" t="s">
        <v>33</v>
      </c>
      <c r="N65" s="170"/>
      <c r="O65" s="41"/>
      <c r="P65" s="58" t="s">
        <v>31</v>
      </c>
      <c r="Q65" s="142"/>
    </row>
    <row r="66" spans="2:17">
      <c r="B66" s="70" t="s">
        <v>548</v>
      </c>
      <c r="C66" s="170" t="s">
        <v>183</v>
      </c>
      <c r="D66" s="41" t="s">
        <v>183</v>
      </c>
      <c r="E66" s="41" t="s">
        <v>183</v>
      </c>
      <c r="F66" s="41" t="s">
        <v>183</v>
      </c>
      <c r="G66" s="41" t="s">
        <v>183</v>
      </c>
      <c r="H66" s="41" t="s">
        <v>183</v>
      </c>
      <c r="I66" s="41" t="s">
        <v>183</v>
      </c>
      <c r="J66" s="41" t="s">
        <v>183</v>
      </c>
      <c r="K66" s="238" t="s">
        <v>32</v>
      </c>
      <c r="L66" s="32" t="s">
        <v>630</v>
      </c>
      <c r="M66" s="36" t="s">
        <v>33</v>
      </c>
      <c r="N66" s="170"/>
      <c r="O66" s="41"/>
      <c r="P66" s="58" t="s">
        <v>31</v>
      </c>
      <c r="Q66" s="142"/>
    </row>
    <row r="67" spans="2:17">
      <c r="B67" s="70" t="s">
        <v>548</v>
      </c>
      <c r="C67" s="170" t="s">
        <v>183</v>
      </c>
      <c r="D67" s="41" t="s">
        <v>183</v>
      </c>
      <c r="E67" s="41" t="s">
        <v>183</v>
      </c>
      <c r="F67" s="41" t="s">
        <v>183</v>
      </c>
      <c r="G67" s="41" t="s">
        <v>183</v>
      </c>
      <c r="H67" s="41" t="s">
        <v>183</v>
      </c>
      <c r="I67" s="41" t="s">
        <v>183</v>
      </c>
      <c r="J67" s="41" t="s">
        <v>183</v>
      </c>
      <c r="K67" s="238" t="s">
        <v>32</v>
      </c>
      <c r="L67" s="32" t="s">
        <v>631</v>
      </c>
      <c r="M67" s="36" t="s">
        <v>33</v>
      </c>
      <c r="N67" s="170"/>
      <c r="O67" s="41"/>
      <c r="P67" s="58" t="s">
        <v>31</v>
      </c>
      <c r="Q67" s="142"/>
    </row>
    <row r="68" spans="2:17">
      <c r="B68" s="70" t="s">
        <v>548</v>
      </c>
      <c r="C68" s="170" t="s">
        <v>183</v>
      </c>
      <c r="D68" s="41" t="s">
        <v>183</v>
      </c>
      <c r="E68" s="41" t="s">
        <v>183</v>
      </c>
      <c r="F68" s="41" t="s">
        <v>183</v>
      </c>
      <c r="G68" s="41" t="s">
        <v>183</v>
      </c>
      <c r="H68" s="41" t="s">
        <v>183</v>
      </c>
      <c r="I68" s="41" t="s">
        <v>183</v>
      </c>
      <c r="J68" s="41" t="s">
        <v>183</v>
      </c>
      <c r="K68" s="238" t="s">
        <v>32</v>
      </c>
      <c r="L68" s="32" t="s">
        <v>372</v>
      </c>
      <c r="M68" s="36" t="s">
        <v>33</v>
      </c>
      <c r="N68" s="170"/>
      <c r="O68" s="41"/>
      <c r="P68" s="58" t="s">
        <v>31</v>
      </c>
      <c r="Q68" s="142"/>
    </row>
    <row r="69" spans="2:17">
      <c r="B69" s="70" t="s">
        <v>569</v>
      </c>
      <c r="C69" s="170" t="s">
        <v>183</v>
      </c>
      <c r="D69" s="41" t="s">
        <v>183</v>
      </c>
      <c r="E69" s="41" t="s">
        <v>183</v>
      </c>
      <c r="F69" s="41" t="s">
        <v>183</v>
      </c>
      <c r="G69" s="41" t="s">
        <v>183</v>
      </c>
      <c r="H69" s="41" t="s">
        <v>183</v>
      </c>
      <c r="I69" s="41" t="s">
        <v>183</v>
      </c>
      <c r="J69" s="41" t="s">
        <v>183</v>
      </c>
      <c r="K69" s="238" t="s">
        <v>32</v>
      </c>
      <c r="L69" s="32" t="s">
        <v>373</v>
      </c>
      <c r="M69" s="36" t="s">
        <v>612</v>
      </c>
      <c r="N69" s="170"/>
      <c r="O69" s="41"/>
      <c r="P69" s="58" t="s">
        <v>551</v>
      </c>
      <c r="Q69" s="142"/>
    </row>
    <row r="70" spans="2:17">
      <c r="B70" s="70" t="s">
        <v>548</v>
      </c>
      <c r="C70" s="170" t="s">
        <v>183</v>
      </c>
      <c r="D70" s="41" t="s">
        <v>183</v>
      </c>
      <c r="E70" s="41" t="s">
        <v>183</v>
      </c>
      <c r="F70" s="41" t="s">
        <v>183</v>
      </c>
      <c r="G70" s="41" t="s">
        <v>183</v>
      </c>
      <c r="H70" s="41" t="s">
        <v>183</v>
      </c>
      <c r="I70" s="41" t="s">
        <v>183</v>
      </c>
      <c r="J70" s="41" t="s">
        <v>183</v>
      </c>
      <c r="K70" s="238" t="s">
        <v>32</v>
      </c>
      <c r="L70" s="32" t="s">
        <v>632</v>
      </c>
      <c r="M70" s="36" t="s">
        <v>33</v>
      </c>
      <c r="N70" s="170"/>
      <c r="O70" s="41"/>
      <c r="P70" s="58" t="s">
        <v>31</v>
      </c>
      <c r="Q70" s="142"/>
    </row>
    <row r="71" spans="2:17">
      <c r="B71" s="70" t="s">
        <v>548</v>
      </c>
      <c r="C71" s="170" t="s">
        <v>183</v>
      </c>
      <c r="D71" s="41" t="s">
        <v>183</v>
      </c>
      <c r="E71" s="41" t="s">
        <v>183</v>
      </c>
      <c r="F71" s="41" t="s">
        <v>183</v>
      </c>
      <c r="G71" s="41" t="s">
        <v>183</v>
      </c>
      <c r="H71" s="41" t="s">
        <v>183</v>
      </c>
      <c r="I71" s="41" t="s">
        <v>183</v>
      </c>
      <c r="J71" s="41" t="s">
        <v>183</v>
      </c>
      <c r="K71" s="238" t="s">
        <v>32</v>
      </c>
      <c r="L71" s="32" t="s">
        <v>633</v>
      </c>
      <c r="M71" s="36" t="s">
        <v>33</v>
      </c>
      <c r="N71" s="170"/>
      <c r="O71" s="41"/>
      <c r="P71" s="58" t="s">
        <v>31</v>
      </c>
      <c r="Q71" s="142"/>
    </row>
    <row r="72" spans="2:17">
      <c r="B72" s="70" t="s">
        <v>548</v>
      </c>
      <c r="C72" s="170" t="s">
        <v>183</v>
      </c>
      <c r="D72" s="41" t="s">
        <v>183</v>
      </c>
      <c r="E72" s="41" t="s">
        <v>183</v>
      </c>
      <c r="F72" s="41" t="s">
        <v>183</v>
      </c>
      <c r="G72" s="41" t="s">
        <v>183</v>
      </c>
      <c r="H72" s="41" t="s">
        <v>183</v>
      </c>
      <c r="I72" s="41" t="s">
        <v>183</v>
      </c>
      <c r="J72" s="41" t="s">
        <v>183</v>
      </c>
      <c r="K72" s="238" t="s">
        <v>32</v>
      </c>
      <c r="L72" s="32" t="s">
        <v>634</v>
      </c>
      <c r="M72" s="36" t="s">
        <v>33</v>
      </c>
      <c r="N72" s="170"/>
      <c r="O72" s="41"/>
      <c r="P72" s="58" t="s">
        <v>31</v>
      </c>
      <c r="Q72" s="142"/>
    </row>
    <row r="73" spans="2:17">
      <c r="B73" s="70" t="s">
        <v>548</v>
      </c>
      <c r="C73" s="170" t="s">
        <v>183</v>
      </c>
      <c r="D73" s="41" t="s">
        <v>183</v>
      </c>
      <c r="E73" s="41" t="s">
        <v>183</v>
      </c>
      <c r="F73" s="41" t="s">
        <v>183</v>
      </c>
      <c r="G73" s="41" t="s">
        <v>183</v>
      </c>
      <c r="H73" s="41" t="s">
        <v>183</v>
      </c>
      <c r="I73" s="41" t="s">
        <v>183</v>
      </c>
      <c r="J73" s="41" t="s">
        <v>183</v>
      </c>
      <c r="K73" s="238" t="s">
        <v>32</v>
      </c>
      <c r="L73" s="32" t="s">
        <v>388</v>
      </c>
      <c r="M73" s="36" t="s">
        <v>33</v>
      </c>
      <c r="N73" s="170"/>
      <c r="O73" s="41"/>
      <c r="P73" s="58" t="s">
        <v>31</v>
      </c>
      <c r="Q73" s="142"/>
    </row>
    <row r="74" spans="2:17">
      <c r="B74" s="70" t="s">
        <v>569</v>
      </c>
      <c r="C74" s="170" t="s">
        <v>183</v>
      </c>
      <c r="D74" s="41" t="s">
        <v>183</v>
      </c>
      <c r="E74" s="41" t="s">
        <v>183</v>
      </c>
      <c r="F74" s="41" t="s">
        <v>183</v>
      </c>
      <c r="G74" s="41" t="s">
        <v>183</v>
      </c>
      <c r="H74" s="41" t="s">
        <v>183</v>
      </c>
      <c r="I74" s="41" t="s">
        <v>183</v>
      </c>
      <c r="J74" s="41" t="s">
        <v>183</v>
      </c>
      <c r="K74" s="238" t="s">
        <v>32</v>
      </c>
      <c r="L74" s="32" t="s">
        <v>389</v>
      </c>
      <c r="M74" s="36" t="s">
        <v>613</v>
      </c>
      <c r="N74" s="170"/>
      <c r="O74" s="41"/>
      <c r="P74" s="58" t="s">
        <v>551</v>
      </c>
      <c r="Q74" s="142"/>
    </row>
    <row r="75" spans="2:17">
      <c r="B75" s="70" t="s">
        <v>548</v>
      </c>
      <c r="C75" s="170" t="s">
        <v>183</v>
      </c>
      <c r="D75" s="41" t="s">
        <v>183</v>
      </c>
      <c r="E75" s="41" t="s">
        <v>183</v>
      </c>
      <c r="F75" s="41" t="s">
        <v>183</v>
      </c>
      <c r="G75" s="41" t="s">
        <v>183</v>
      </c>
      <c r="H75" s="41" t="s">
        <v>183</v>
      </c>
      <c r="I75" s="41" t="s">
        <v>183</v>
      </c>
      <c r="J75" s="41" t="s">
        <v>183</v>
      </c>
      <c r="K75" s="238" t="s">
        <v>32</v>
      </c>
      <c r="L75" s="32" t="s">
        <v>635</v>
      </c>
      <c r="M75" s="36" t="s">
        <v>33</v>
      </c>
      <c r="N75" s="170"/>
      <c r="O75" s="41"/>
      <c r="P75" s="58" t="s">
        <v>31</v>
      </c>
      <c r="Q75" s="142"/>
    </row>
    <row r="76" spans="2:17">
      <c r="B76" s="70" t="s">
        <v>548</v>
      </c>
      <c r="C76" s="170" t="s">
        <v>183</v>
      </c>
      <c r="D76" s="41" t="s">
        <v>183</v>
      </c>
      <c r="E76" s="41" t="s">
        <v>183</v>
      </c>
      <c r="F76" s="41" t="s">
        <v>183</v>
      </c>
      <c r="G76" s="41" t="s">
        <v>183</v>
      </c>
      <c r="H76" s="41" t="s">
        <v>183</v>
      </c>
      <c r="I76" s="41" t="s">
        <v>183</v>
      </c>
      <c r="J76" s="41" t="s">
        <v>183</v>
      </c>
      <c r="K76" s="238" t="s">
        <v>32</v>
      </c>
      <c r="L76" s="32" t="s">
        <v>636</v>
      </c>
      <c r="M76" s="36" t="s">
        <v>33</v>
      </c>
      <c r="N76" s="170"/>
      <c r="O76" s="41"/>
      <c r="P76" s="58" t="s">
        <v>31</v>
      </c>
      <c r="Q76" s="142"/>
    </row>
    <row r="77" spans="2:17">
      <c r="B77" s="70" t="s">
        <v>548</v>
      </c>
      <c r="C77" s="170" t="s">
        <v>183</v>
      </c>
      <c r="D77" s="41" t="s">
        <v>183</v>
      </c>
      <c r="E77" s="41" t="s">
        <v>183</v>
      </c>
      <c r="F77" s="41" t="s">
        <v>183</v>
      </c>
      <c r="G77" s="41" t="s">
        <v>183</v>
      </c>
      <c r="H77" s="41" t="s">
        <v>183</v>
      </c>
      <c r="I77" s="41" t="s">
        <v>183</v>
      </c>
      <c r="J77" s="41" t="s">
        <v>183</v>
      </c>
      <c r="K77" s="238" t="s">
        <v>32</v>
      </c>
      <c r="L77" s="32" t="s">
        <v>637</v>
      </c>
      <c r="M77" s="36" t="s">
        <v>33</v>
      </c>
      <c r="N77" s="170"/>
      <c r="O77" s="41"/>
      <c r="P77" s="58" t="s">
        <v>31</v>
      </c>
      <c r="Q77" s="142"/>
    </row>
    <row r="78" spans="2:17">
      <c r="B78" s="70" t="s">
        <v>548</v>
      </c>
      <c r="C78" s="170" t="s">
        <v>183</v>
      </c>
      <c r="D78" s="41" t="s">
        <v>183</v>
      </c>
      <c r="E78" s="41" t="s">
        <v>183</v>
      </c>
      <c r="F78" s="41" t="s">
        <v>183</v>
      </c>
      <c r="G78" s="41" t="s">
        <v>183</v>
      </c>
      <c r="H78" s="41" t="s">
        <v>183</v>
      </c>
      <c r="I78" s="41" t="s">
        <v>183</v>
      </c>
      <c r="J78" s="41" t="s">
        <v>183</v>
      </c>
      <c r="K78" s="238" t="s">
        <v>32</v>
      </c>
      <c r="L78" s="32" t="s">
        <v>404</v>
      </c>
      <c r="M78" s="36" t="s">
        <v>33</v>
      </c>
      <c r="N78" s="170"/>
      <c r="O78" s="41"/>
      <c r="P78" s="58" t="s">
        <v>31</v>
      </c>
      <c r="Q78" s="142"/>
    </row>
    <row r="79" spans="2:17">
      <c r="B79" s="70" t="s">
        <v>569</v>
      </c>
      <c r="C79" s="170" t="s">
        <v>183</v>
      </c>
      <c r="D79" s="41" t="s">
        <v>183</v>
      </c>
      <c r="E79" s="41" t="s">
        <v>183</v>
      </c>
      <c r="F79" s="41" t="s">
        <v>183</v>
      </c>
      <c r="G79" s="41" t="s">
        <v>183</v>
      </c>
      <c r="H79" s="41" t="s">
        <v>183</v>
      </c>
      <c r="I79" s="41" t="s">
        <v>183</v>
      </c>
      <c r="J79" s="41" t="s">
        <v>183</v>
      </c>
      <c r="K79" s="238" t="s">
        <v>32</v>
      </c>
      <c r="L79" s="32" t="s">
        <v>405</v>
      </c>
      <c r="M79" s="36" t="s">
        <v>614</v>
      </c>
      <c r="N79" s="170"/>
      <c r="O79" s="41"/>
      <c r="P79" s="58" t="s">
        <v>551</v>
      </c>
      <c r="Q79" s="142"/>
    </row>
    <row r="80" spans="2:17">
      <c r="B80" s="70" t="s">
        <v>548</v>
      </c>
      <c r="C80" s="170" t="s">
        <v>183</v>
      </c>
      <c r="D80" s="41" t="s">
        <v>183</v>
      </c>
      <c r="E80" s="41" t="s">
        <v>183</v>
      </c>
      <c r="F80" s="41" t="s">
        <v>183</v>
      </c>
      <c r="G80" s="41" t="s">
        <v>183</v>
      </c>
      <c r="H80" s="41" t="s">
        <v>183</v>
      </c>
      <c r="I80" s="41" t="s">
        <v>183</v>
      </c>
      <c r="J80" s="41" t="s">
        <v>183</v>
      </c>
      <c r="K80" s="238" t="s">
        <v>32</v>
      </c>
      <c r="L80" s="32" t="s">
        <v>638</v>
      </c>
      <c r="M80" s="36" t="s">
        <v>33</v>
      </c>
      <c r="N80" s="170"/>
      <c r="O80" s="41"/>
      <c r="P80" s="58" t="s">
        <v>31</v>
      </c>
      <c r="Q80" s="142"/>
    </row>
    <row r="81" spans="2:17">
      <c r="B81" s="70" t="s">
        <v>548</v>
      </c>
      <c r="C81" s="170" t="s">
        <v>183</v>
      </c>
      <c r="D81" s="41" t="s">
        <v>183</v>
      </c>
      <c r="E81" s="41" t="s">
        <v>183</v>
      </c>
      <c r="F81" s="41" t="s">
        <v>183</v>
      </c>
      <c r="G81" s="41" t="s">
        <v>183</v>
      </c>
      <c r="H81" s="41" t="s">
        <v>183</v>
      </c>
      <c r="I81" s="41" t="s">
        <v>183</v>
      </c>
      <c r="J81" s="41" t="s">
        <v>183</v>
      </c>
      <c r="K81" s="238" t="s">
        <v>32</v>
      </c>
      <c r="L81" s="32" t="s">
        <v>639</v>
      </c>
      <c r="M81" s="36" t="s">
        <v>33</v>
      </c>
      <c r="N81" s="170"/>
      <c r="O81" s="41"/>
      <c r="P81" s="58" t="s">
        <v>31</v>
      </c>
      <c r="Q81" s="142"/>
    </row>
    <row r="82" spans="2:17">
      <c r="B82" s="70" t="s">
        <v>548</v>
      </c>
      <c r="C82" s="170" t="s">
        <v>183</v>
      </c>
      <c r="D82" s="41" t="s">
        <v>183</v>
      </c>
      <c r="E82" s="41" t="s">
        <v>183</v>
      </c>
      <c r="F82" s="41" t="s">
        <v>183</v>
      </c>
      <c r="G82" s="41" t="s">
        <v>183</v>
      </c>
      <c r="H82" s="41" t="s">
        <v>183</v>
      </c>
      <c r="I82" s="41" t="s">
        <v>183</v>
      </c>
      <c r="J82" s="41" t="s">
        <v>183</v>
      </c>
      <c r="K82" s="238" t="s">
        <v>32</v>
      </c>
      <c r="L82" s="32" t="s">
        <v>640</v>
      </c>
      <c r="M82" s="36" t="s">
        <v>33</v>
      </c>
      <c r="N82" s="170"/>
      <c r="O82" s="41"/>
      <c r="P82" s="58" t="s">
        <v>31</v>
      </c>
      <c r="Q82" s="142"/>
    </row>
    <row r="83" spans="2:17">
      <c r="B83" s="70" t="s">
        <v>569</v>
      </c>
      <c r="C83" s="170" t="s">
        <v>183</v>
      </c>
      <c r="D83" s="41" t="s">
        <v>183</v>
      </c>
      <c r="E83" s="41" t="s">
        <v>183</v>
      </c>
      <c r="F83" s="41" t="s">
        <v>183</v>
      </c>
      <c r="G83" s="41" t="s">
        <v>183</v>
      </c>
      <c r="H83" s="41" t="s">
        <v>183</v>
      </c>
      <c r="I83" s="41" t="s">
        <v>183</v>
      </c>
      <c r="J83" s="41" t="s">
        <v>183</v>
      </c>
      <c r="K83" s="238" t="s">
        <v>32</v>
      </c>
      <c r="L83" s="32" t="s">
        <v>422</v>
      </c>
      <c r="M83" s="36" t="s">
        <v>615</v>
      </c>
      <c r="N83" s="170"/>
      <c r="O83" s="41"/>
      <c r="P83" s="58" t="s">
        <v>551</v>
      </c>
      <c r="Q83" s="142"/>
    </row>
    <row r="84" spans="2:17">
      <c r="B84" s="70" t="s">
        <v>548</v>
      </c>
      <c r="C84" s="170" t="s">
        <v>183</v>
      </c>
      <c r="D84" s="41" t="s">
        <v>183</v>
      </c>
      <c r="E84" s="41" t="s">
        <v>183</v>
      </c>
      <c r="F84" s="41" t="s">
        <v>183</v>
      </c>
      <c r="G84" s="41" t="s">
        <v>183</v>
      </c>
      <c r="H84" s="41" t="s">
        <v>183</v>
      </c>
      <c r="I84" s="41" t="s">
        <v>183</v>
      </c>
      <c r="J84" s="41" t="s">
        <v>183</v>
      </c>
      <c r="K84" s="238" t="s">
        <v>32</v>
      </c>
      <c r="L84" s="32" t="s">
        <v>423</v>
      </c>
      <c r="M84" s="36" t="s">
        <v>33</v>
      </c>
      <c r="N84" s="170"/>
      <c r="O84" s="41"/>
      <c r="P84" s="58" t="s">
        <v>31</v>
      </c>
      <c r="Q84" s="142"/>
    </row>
    <row r="85" spans="2:17">
      <c r="B85" s="70" t="s">
        <v>548</v>
      </c>
      <c r="C85" s="170" t="s">
        <v>183</v>
      </c>
      <c r="D85" s="41" t="s">
        <v>183</v>
      </c>
      <c r="E85" s="41" t="s">
        <v>183</v>
      </c>
      <c r="F85" s="41" t="s">
        <v>183</v>
      </c>
      <c r="G85" s="41" t="s">
        <v>183</v>
      </c>
      <c r="H85" s="41" t="s">
        <v>183</v>
      </c>
      <c r="I85" s="41" t="s">
        <v>183</v>
      </c>
      <c r="J85" s="41" t="s">
        <v>183</v>
      </c>
      <c r="K85" s="238" t="s">
        <v>32</v>
      </c>
      <c r="L85" s="32" t="s">
        <v>641</v>
      </c>
      <c r="M85" s="36" t="s">
        <v>33</v>
      </c>
      <c r="N85" s="170"/>
      <c r="O85" s="41"/>
      <c r="P85" s="58" t="s">
        <v>31</v>
      </c>
      <c r="Q85" s="142"/>
    </row>
    <row r="86" spans="2:17">
      <c r="B86" s="70" t="s">
        <v>548</v>
      </c>
      <c r="C86" s="170" t="s">
        <v>183</v>
      </c>
      <c r="D86" s="41" t="s">
        <v>183</v>
      </c>
      <c r="E86" s="41" t="s">
        <v>183</v>
      </c>
      <c r="F86" s="41" t="s">
        <v>183</v>
      </c>
      <c r="G86" s="41" t="s">
        <v>183</v>
      </c>
      <c r="H86" s="41" t="s">
        <v>183</v>
      </c>
      <c r="I86" s="41" t="s">
        <v>183</v>
      </c>
      <c r="J86" s="41" t="s">
        <v>183</v>
      </c>
      <c r="K86" s="238" t="s">
        <v>32</v>
      </c>
      <c r="L86" s="32" t="s">
        <v>642</v>
      </c>
      <c r="M86" s="36" t="s">
        <v>33</v>
      </c>
      <c r="N86" s="170"/>
      <c r="O86" s="41"/>
      <c r="P86" s="58" t="s">
        <v>31</v>
      </c>
      <c r="Q86" s="142"/>
    </row>
    <row r="87" spans="2:17">
      <c r="B87" s="70" t="s">
        <v>548</v>
      </c>
      <c r="C87" s="170" t="s">
        <v>183</v>
      </c>
      <c r="D87" s="41" t="s">
        <v>183</v>
      </c>
      <c r="E87" s="41" t="s">
        <v>183</v>
      </c>
      <c r="F87" s="41" t="s">
        <v>183</v>
      </c>
      <c r="G87" s="41" t="s">
        <v>183</v>
      </c>
      <c r="H87" s="41" t="s">
        <v>183</v>
      </c>
      <c r="I87" s="41" t="s">
        <v>183</v>
      </c>
      <c r="J87" s="41" t="s">
        <v>183</v>
      </c>
      <c r="K87" s="238" t="s">
        <v>32</v>
      </c>
      <c r="L87" s="32" t="s">
        <v>643</v>
      </c>
      <c r="M87" s="36" t="s">
        <v>33</v>
      </c>
      <c r="N87" s="170"/>
      <c r="O87" s="41"/>
      <c r="P87" s="58" t="s">
        <v>31</v>
      </c>
      <c r="Q87" s="142"/>
    </row>
    <row r="88" spans="2:17">
      <c r="B88" s="70" t="s">
        <v>548</v>
      </c>
      <c r="C88" s="170" t="s">
        <v>183</v>
      </c>
      <c r="D88" s="41" t="s">
        <v>183</v>
      </c>
      <c r="E88" s="41" t="s">
        <v>183</v>
      </c>
      <c r="F88" s="41" t="s">
        <v>183</v>
      </c>
      <c r="G88" s="41" t="s">
        <v>183</v>
      </c>
      <c r="H88" s="41" t="s">
        <v>183</v>
      </c>
      <c r="I88" s="41" t="s">
        <v>183</v>
      </c>
      <c r="J88" s="41" t="s">
        <v>183</v>
      </c>
      <c r="K88" s="238" t="s">
        <v>32</v>
      </c>
      <c r="L88" s="32" t="s">
        <v>644</v>
      </c>
      <c r="M88" s="36" t="s">
        <v>33</v>
      </c>
      <c r="N88" s="170"/>
      <c r="O88" s="41"/>
      <c r="P88" s="58" t="s">
        <v>31</v>
      </c>
      <c r="Q88" s="142"/>
    </row>
    <row r="89" spans="2:17">
      <c r="B89" s="23" t="s">
        <v>554</v>
      </c>
      <c r="C89" s="170" t="s">
        <v>183</v>
      </c>
      <c r="D89" s="41" t="s">
        <v>183</v>
      </c>
      <c r="E89" s="41" t="s">
        <v>183</v>
      </c>
      <c r="F89" s="41" t="s">
        <v>183</v>
      </c>
      <c r="G89" s="41" t="s">
        <v>183</v>
      </c>
      <c r="H89" s="41" t="s">
        <v>183</v>
      </c>
      <c r="I89" s="41" t="s">
        <v>183</v>
      </c>
      <c r="J89" s="41" t="s">
        <v>183</v>
      </c>
      <c r="K89" s="238" t="s">
        <v>34</v>
      </c>
      <c r="L89" s="32" t="s">
        <v>558</v>
      </c>
      <c r="M89" s="36" t="s">
        <v>33</v>
      </c>
      <c r="N89" s="170"/>
      <c r="O89" s="41"/>
      <c r="P89" s="58" t="s">
        <v>31</v>
      </c>
      <c r="Q89" s="142"/>
    </row>
    <row r="90" spans="2:17">
      <c r="B90" s="23" t="s">
        <v>555</v>
      </c>
      <c r="C90" s="170" t="s">
        <v>183</v>
      </c>
      <c r="D90" s="41" t="s">
        <v>183</v>
      </c>
      <c r="E90" s="41" t="s">
        <v>183</v>
      </c>
      <c r="F90" s="41" t="s">
        <v>183</v>
      </c>
      <c r="G90" s="41" t="s">
        <v>183</v>
      </c>
      <c r="H90" s="41" t="s">
        <v>183</v>
      </c>
      <c r="I90" s="41" t="s">
        <v>183</v>
      </c>
      <c r="J90" s="41" t="s">
        <v>183</v>
      </c>
      <c r="K90" s="238" t="s">
        <v>35</v>
      </c>
      <c r="L90" s="32" t="s">
        <v>558</v>
      </c>
      <c r="M90" s="36" t="s">
        <v>33</v>
      </c>
      <c r="N90" s="170"/>
      <c r="O90" s="41"/>
      <c r="P90" s="58" t="s">
        <v>31</v>
      </c>
      <c r="Q90" s="142"/>
    </row>
    <row r="91" spans="2:17">
      <c r="B91" s="23" t="s">
        <v>556</v>
      </c>
      <c r="C91" s="170" t="s">
        <v>183</v>
      </c>
      <c r="D91" s="41" t="s">
        <v>183</v>
      </c>
      <c r="E91" s="41" t="s">
        <v>183</v>
      </c>
      <c r="F91" s="41" t="s">
        <v>183</v>
      </c>
      <c r="G91" s="41" t="s">
        <v>183</v>
      </c>
      <c r="H91" s="41" t="s">
        <v>183</v>
      </c>
      <c r="I91" s="41" t="s">
        <v>183</v>
      </c>
      <c r="J91" s="41" t="s">
        <v>183</v>
      </c>
      <c r="K91" s="238" t="s">
        <v>36</v>
      </c>
      <c r="L91" s="32" t="s">
        <v>558</v>
      </c>
      <c r="M91" s="36" t="s">
        <v>33</v>
      </c>
      <c r="N91" s="170"/>
      <c r="O91" s="41"/>
      <c r="P91" s="58" t="s">
        <v>31</v>
      </c>
      <c r="Q91" s="142"/>
    </row>
    <row r="92" spans="2:17" ht="14.25" thickBot="1">
      <c r="B92" s="24" t="s">
        <v>557</v>
      </c>
      <c r="C92" s="171" t="s">
        <v>183</v>
      </c>
      <c r="D92" s="42" t="s">
        <v>183</v>
      </c>
      <c r="E92" s="42" t="s">
        <v>183</v>
      </c>
      <c r="F92" s="42" t="s">
        <v>183</v>
      </c>
      <c r="G92" s="42" t="s">
        <v>183</v>
      </c>
      <c r="H92" s="42" t="s">
        <v>183</v>
      </c>
      <c r="I92" s="42" t="s">
        <v>183</v>
      </c>
      <c r="J92" s="42" t="s">
        <v>183</v>
      </c>
      <c r="K92" s="37" t="s">
        <v>38</v>
      </c>
      <c r="L92" s="38" t="s">
        <v>559</v>
      </c>
      <c r="M92" s="39" t="s">
        <v>33</v>
      </c>
      <c r="N92" s="171"/>
      <c r="O92" s="42"/>
      <c r="P92" s="216" t="s">
        <v>31</v>
      </c>
      <c r="Q92" s="143"/>
    </row>
    <row r="95" spans="2:17" ht="15" thickBot="1">
      <c r="B95" s="28" t="s">
        <v>579</v>
      </c>
    </row>
    <row r="96" spans="2:17" ht="15" thickBot="1">
      <c r="B96" s="90" t="s">
        <v>135</v>
      </c>
      <c r="C96" s="303" t="s">
        <v>141</v>
      </c>
      <c r="D96" s="304"/>
      <c r="E96" s="304"/>
      <c r="F96" s="304"/>
      <c r="G96" s="304"/>
      <c r="H96" s="304"/>
      <c r="I96" s="304"/>
      <c r="J96" s="305"/>
      <c r="K96" s="172"/>
      <c r="L96" s="172"/>
      <c r="M96" s="175"/>
      <c r="N96" s="173"/>
      <c r="O96" s="173"/>
      <c r="P96" s="173"/>
      <c r="Q96" s="174"/>
    </row>
    <row r="97" spans="2:17" ht="14.25" thickBot="1">
      <c r="B97" s="224"/>
      <c r="C97" s="225" t="s">
        <v>173</v>
      </c>
      <c r="D97" s="225"/>
      <c r="E97" s="225"/>
      <c r="F97" s="225"/>
      <c r="G97" s="225"/>
      <c r="H97" s="225"/>
      <c r="I97" s="225"/>
      <c r="J97" s="225"/>
      <c r="K97" s="225"/>
      <c r="L97" s="225"/>
      <c r="M97" s="220" t="s">
        <v>56</v>
      </c>
      <c r="N97" s="226" t="s">
        <v>21</v>
      </c>
      <c r="O97" s="227"/>
      <c r="P97" s="227"/>
      <c r="Q97" s="228"/>
    </row>
    <row r="98" spans="2:17">
      <c r="B98" s="229" t="s">
        <v>22</v>
      </c>
      <c r="C98" s="300" t="s">
        <v>192</v>
      </c>
      <c r="D98" s="301"/>
      <c r="E98" s="301"/>
      <c r="F98" s="301"/>
      <c r="G98" s="301"/>
      <c r="H98" s="301"/>
      <c r="I98" s="301"/>
      <c r="J98" s="302"/>
      <c r="K98" s="230" t="s">
        <v>23</v>
      </c>
      <c r="L98" s="231"/>
      <c r="M98" s="221" t="s">
        <v>577</v>
      </c>
      <c r="N98" s="232" t="s">
        <v>24</v>
      </c>
      <c r="O98" s="233" t="s">
        <v>25</v>
      </c>
      <c r="P98" s="234" t="s">
        <v>26</v>
      </c>
      <c r="Q98" s="235" t="s">
        <v>27</v>
      </c>
    </row>
    <row r="99" spans="2:17">
      <c r="B99" s="67" t="s">
        <v>37</v>
      </c>
      <c r="C99" s="166" t="s">
        <v>139</v>
      </c>
      <c r="D99" s="166" t="s">
        <v>139</v>
      </c>
      <c r="E99" s="166" t="s">
        <v>139</v>
      </c>
      <c r="F99" s="166" t="s">
        <v>139</v>
      </c>
      <c r="G99" s="166" t="s">
        <v>139</v>
      </c>
      <c r="H99" s="166" t="s">
        <v>139</v>
      </c>
      <c r="I99" s="166" t="s">
        <v>139</v>
      </c>
      <c r="J99" s="166" t="s">
        <v>139</v>
      </c>
      <c r="K99" s="137" t="s">
        <v>108</v>
      </c>
      <c r="L99" s="137" t="s">
        <v>108</v>
      </c>
      <c r="M99" s="30" t="s">
        <v>53</v>
      </c>
      <c r="N99" s="214"/>
      <c r="O99" s="217"/>
      <c r="P99" s="219"/>
      <c r="Q99" s="218"/>
    </row>
    <row r="100" spans="2:17" ht="27">
      <c r="B100" s="68" t="s">
        <v>254</v>
      </c>
      <c r="C100" s="297" t="s">
        <v>40</v>
      </c>
      <c r="D100" s="298"/>
      <c r="E100" s="298"/>
      <c r="F100" s="298"/>
      <c r="G100" s="298"/>
      <c r="H100" s="298"/>
      <c r="I100" s="298"/>
      <c r="J100" s="299"/>
      <c r="K100" s="1" t="s">
        <v>252</v>
      </c>
      <c r="L100" s="1" t="s">
        <v>252</v>
      </c>
      <c r="M100" s="31"/>
      <c r="N100" s="214"/>
      <c r="O100" s="217"/>
      <c r="P100" s="219"/>
      <c r="Q100" s="218"/>
    </row>
    <row r="101" spans="2:17" ht="136.5">
      <c r="B101" s="67" t="s">
        <v>28</v>
      </c>
      <c r="C101" s="167" t="s">
        <v>176</v>
      </c>
      <c r="D101" s="167" t="s">
        <v>67</v>
      </c>
      <c r="E101" s="167" t="s">
        <v>177</v>
      </c>
      <c r="F101" s="167" t="s">
        <v>178</v>
      </c>
      <c r="G101" s="167" t="s">
        <v>179</v>
      </c>
      <c r="H101" s="167" t="s">
        <v>180</v>
      </c>
      <c r="I101" s="167" t="s">
        <v>181</v>
      </c>
      <c r="J101" s="167" t="s">
        <v>182</v>
      </c>
      <c r="K101" s="1" t="s">
        <v>255</v>
      </c>
      <c r="L101" s="1" t="s">
        <v>561</v>
      </c>
      <c r="M101" s="30" t="s">
        <v>29</v>
      </c>
      <c r="N101" s="214"/>
      <c r="O101" s="217"/>
      <c r="P101" s="219"/>
      <c r="Q101" s="218"/>
    </row>
    <row r="102" spans="2:17" ht="68.25" thickBot="1">
      <c r="B102" s="69" t="s">
        <v>30</v>
      </c>
      <c r="C102" s="168" t="s">
        <v>184</v>
      </c>
      <c r="D102" s="168" t="s">
        <v>139</v>
      </c>
      <c r="E102" s="168" t="s">
        <v>184</v>
      </c>
      <c r="F102" s="168" t="s">
        <v>184</v>
      </c>
      <c r="G102" s="168" t="s">
        <v>184</v>
      </c>
      <c r="H102" s="168" t="s">
        <v>184</v>
      </c>
      <c r="I102" s="168" t="s">
        <v>184</v>
      </c>
      <c r="J102" s="168" t="s">
        <v>184</v>
      </c>
      <c r="K102" s="29" t="s">
        <v>88</v>
      </c>
      <c r="L102" s="29" t="s">
        <v>567</v>
      </c>
      <c r="M102" s="222" t="s">
        <v>621</v>
      </c>
      <c r="N102" s="215"/>
      <c r="O102" s="139"/>
      <c r="P102" s="223" t="s">
        <v>560</v>
      </c>
      <c r="Q102" s="140"/>
    </row>
    <row r="103" spans="2:17" ht="14.25" thickTop="1">
      <c r="B103" s="70" t="s">
        <v>548</v>
      </c>
      <c r="C103" s="169" t="s">
        <v>183</v>
      </c>
      <c r="D103" s="40" t="s">
        <v>183</v>
      </c>
      <c r="E103" s="40" t="s">
        <v>183</v>
      </c>
      <c r="F103" s="40" t="s">
        <v>183</v>
      </c>
      <c r="G103" s="40" t="s">
        <v>183</v>
      </c>
      <c r="H103" s="40" t="s">
        <v>183</v>
      </c>
      <c r="I103" s="40" t="s">
        <v>183</v>
      </c>
      <c r="J103" s="40" t="s">
        <v>183</v>
      </c>
      <c r="K103" s="33" t="s">
        <v>32</v>
      </c>
      <c r="L103" s="34" t="s">
        <v>562</v>
      </c>
      <c r="M103" s="35" t="s">
        <v>33</v>
      </c>
      <c r="N103" s="169"/>
      <c r="O103" s="40"/>
      <c r="P103" s="126" t="s">
        <v>31</v>
      </c>
      <c r="Q103" s="141"/>
    </row>
    <row r="104" spans="2:17">
      <c r="B104" s="70" t="s">
        <v>569</v>
      </c>
      <c r="C104" s="170" t="s">
        <v>183</v>
      </c>
      <c r="D104" s="41" t="s">
        <v>183</v>
      </c>
      <c r="E104" s="41" t="s">
        <v>183</v>
      </c>
      <c r="F104" s="41" t="s">
        <v>183</v>
      </c>
      <c r="G104" s="41" t="s">
        <v>183</v>
      </c>
      <c r="H104" s="41" t="s">
        <v>183</v>
      </c>
      <c r="I104" s="41" t="s">
        <v>183</v>
      </c>
      <c r="J104" s="41" t="s">
        <v>183</v>
      </c>
      <c r="K104" s="238" t="s">
        <v>32</v>
      </c>
      <c r="L104" s="32" t="s">
        <v>563</v>
      </c>
      <c r="M104" s="36" t="s">
        <v>604</v>
      </c>
      <c r="N104" s="170"/>
      <c r="O104" s="41"/>
      <c r="P104" s="58" t="s">
        <v>564</v>
      </c>
      <c r="Q104" s="142"/>
    </row>
    <row r="105" spans="2:17">
      <c r="B105" s="23" t="s">
        <v>554</v>
      </c>
      <c r="C105" s="170" t="s">
        <v>183</v>
      </c>
      <c r="D105" s="41" t="s">
        <v>183</v>
      </c>
      <c r="E105" s="41" t="s">
        <v>183</v>
      </c>
      <c r="F105" s="41" t="s">
        <v>183</v>
      </c>
      <c r="G105" s="41" t="s">
        <v>183</v>
      </c>
      <c r="H105" s="41" t="s">
        <v>183</v>
      </c>
      <c r="I105" s="41" t="s">
        <v>183</v>
      </c>
      <c r="J105" s="41" t="s">
        <v>183</v>
      </c>
      <c r="K105" s="238" t="s">
        <v>34</v>
      </c>
      <c r="L105" s="32" t="s">
        <v>566</v>
      </c>
      <c r="M105" s="36" t="s">
        <v>33</v>
      </c>
      <c r="N105" s="170"/>
      <c r="O105" s="41"/>
      <c r="P105" s="58" t="s">
        <v>31</v>
      </c>
      <c r="Q105" s="142"/>
    </row>
    <row r="106" spans="2:17">
      <c r="B106" s="23" t="s">
        <v>555</v>
      </c>
      <c r="C106" s="170" t="s">
        <v>183</v>
      </c>
      <c r="D106" s="41" t="s">
        <v>183</v>
      </c>
      <c r="E106" s="41" t="s">
        <v>183</v>
      </c>
      <c r="F106" s="41" t="s">
        <v>183</v>
      </c>
      <c r="G106" s="41" t="s">
        <v>183</v>
      </c>
      <c r="H106" s="41" t="s">
        <v>183</v>
      </c>
      <c r="I106" s="41" t="s">
        <v>183</v>
      </c>
      <c r="J106" s="41" t="s">
        <v>183</v>
      </c>
      <c r="K106" s="238" t="s">
        <v>35</v>
      </c>
      <c r="L106" s="32" t="s">
        <v>565</v>
      </c>
      <c r="M106" s="36" t="s">
        <v>33</v>
      </c>
      <c r="N106" s="170"/>
      <c r="O106" s="41"/>
      <c r="P106" s="58" t="s">
        <v>31</v>
      </c>
      <c r="Q106" s="142"/>
    </row>
    <row r="107" spans="2:17">
      <c r="B107" s="23" t="s">
        <v>556</v>
      </c>
      <c r="C107" s="170" t="s">
        <v>183</v>
      </c>
      <c r="D107" s="41" t="s">
        <v>183</v>
      </c>
      <c r="E107" s="41" t="s">
        <v>183</v>
      </c>
      <c r="F107" s="41" t="s">
        <v>183</v>
      </c>
      <c r="G107" s="41" t="s">
        <v>183</v>
      </c>
      <c r="H107" s="41" t="s">
        <v>183</v>
      </c>
      <c r="I107" s="41" t="s">
        <v>183</v>
      </c>
      <c r="J107" s="41" t="s">
        <v>183</v>
      </c>
      <c r="K107" s="238" t="s">
        <v>36</v>
      </c>
      <c r="L107" s="32" t="s">
        <v>565</v>
      </c>
      <c r="M107" s="36" t="s">
        <v>33</v>
      </c>
      <c r="N107" s="170"/>
      <c r="O107" s="41"/>
      <c r="P107" s="58" t="s">
        <v>31</v>
      </c>
      <c r="Q107" s="142"/>
    </row>
    <row r="108" spans="2:17" ht="14.25" thickBot="1">
      <c r="B108" s="24" t="s">
        <v>557</v>
      </c>
      <c r="C108" s="171" t="s">
        <v>183</v>
      </c>
      <c r="D108" s="42" t="s">
        <v>183</v>
      </c>
      <c r="E108" s="42" t="s">
        <v>183</v>
      </c>
      <c r="F108" s="42" t="s">
        <v>183</v>
      </c>
      <c r="G108" s="42" t="s">
        <v>183</v>
      </c>
      <c r="H108" s="42" t="s">
        <v>183</v>
      </c>
      <c r="I108" s="42" t="s">
        <v>183</v>
      </c>
      <c r="J108" s="42" t="s">
        <v>183</v>
      </c>
      <c r="K108" s="37" t="s">
        <v>38</v>
      </c>
      <c r="L108" s="38" t="s">
        <v>565</v>
      </c>
      <c r="M108" s="39" t="s">
        <v>33</v>
      </c>
      <c r="N108" s="171"/>
      <c r="O108" s="42"/>
      <c r="P108" s="216" t="s">
        <v>31</v>
      </c>
      <c r="Q108" s="143"/>
    </row>
  </sheetData>
  <mergeCells count="6">
    <mergeCell ref="C100:J100"/>
    <mergeCell ref="C3:J3"/>
    <mergeCell ref="C5:J5"/>
    <mergeCell ref="C7:J7"/>
    <mergeCell ref="C96:J96"/>
    <mergeCell ref="C98:J98"/>
  </mergeCells>
  <phoneticPr fontId="2"/>
  <dataValidations disablePrompts="1" count="1">
    <dataValidation type="list" allowBlank="1" showInputMessage="1" showErrorMessage="1" sqref="C3 C96" xr:uid="{422003DE-5136-44C4-9F72-442BBD24AE5C}">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8" t="s">
        <v>93</v>
      </c>
      <c r="C2" s="79">
        <f>MAX(B4:B28)</f>
        <v>20</v>
      </c>
      <c r="D2" s="79"/>
    </row>
    <row r="3" spans="2:4" ht="14.25" thickBot="1">
      <c r="B3" s="72" t="s">
        <v>91</v>
      </c>
      <c r="C3" s="80" t="s">
        <v>96</v>
      </c>
      <c r="D3" s="73" t="s">
        <v>92</v>
      </c>
    </row>
    <row r="4" spans="2:4" ht="14.25" thickTop="1">
      <c r="B4" s="13">
        <v>0</v>
      </c>
      <c r="C4" s="81" t="s">
        <v>97</v>
      </c>
      <c r="D4" s="15" t="s">
        <v>20</v>
      </c>
    </row>
    <row r="5" spans="2:4" ht="40.5">
      <c r="B5" s="2">
        <v>1</v>
      </c>
      <c r="C5" s="82" t="s">
        <v>97</v>
      </c>
      <c r="D5" s="84" t="s">
        <v>98</v>
      </c>
    </row>
    <row r="6" spans="2:4" ht="27">
      <c r="B6" s="2">
        <v>2</v>
      </c>
      <c r="C6" s="82" t="s">
        <v>100</v>
      </c>
      <c r="D6" s="84" t="s">
        <v>101</v>
      </c>
    </row>
    <row r="7" spans="2:4" ht="54">
      <c r="B7" s="2">
        <v>3</v>
      </c>
      <c r="C7" s="82" t="s">
        <v>102</v>
      </c>
      <c r="D7" s="84" t="s">
        <v>105</v>
      </c>
    </row>
    <row r="8" spans="2:4" ht="81">
      <c r="B8" s="2">
        <v>4</v>
      </c>
      <c r="C8" s="82" t="s">
        <v>113</v>
      </c>
      <c r="D8" s="84" t="s">
        <v>121</v>
      </c>
    </row>
    <row r="9" spans="2:4" ht="41.25" customHeight="1">
      <c r="B9" s="2">
        <v>5</v>
      </c>
      <c r="C9" s="82" t="s">
        <v>114</v>
      </c>
      <c r="D9" s="84" t="s">
        <v>115</v>
      </c>
    </row>
    <row r="10" spans="2:4" ht="27">
      <c r="B10" s="2">
        <v>6</v>
      </c>
      <c r="C10" s="82" t="s">
        <v>97</v>
      </c>
      <c r="D10" s="84" t="s">
        <v>120</v>
      </c>
    </row>
    <row r="11" spans="2:4" ht="27">
      <c r="B11" s="2">
        <v>7</v>
      </c>
      <c r="C11" s="82" t="s">
        <v>117</v>
      </c>
      <c r="D11" s="84" t="s">
        <v>118</v>
      </c>
    </row>
    <row r="12" spans="2:4" ht="27">
      <c r="B12" s="2">
        <v>8</v>
      </c>
      <c r="C12" s="82" t="s">
        <v>119</v>
      </c>
      <c r="D12" s="84" t="s">
        <v>122</v>
      </c>
    </row>
    <row r="13" spans="2:4" ht="27">
      <c r="B13" s="2">
        <v>9</v>
      </c>
      <c r="C13" s="82" t="s">
        <v>123</v>
      </c>
      <c r="D13" s="84" t="s">
        <v>124</v>
      </c>
    </row>
    <row r="14" spans="2:4" ht="27">
      <c r="B14" s="2">
        <v>10</v>
      </c>
      <c r="C14" s="82" t="s">
        <v>125</v>
      </c>
      <c r="D14" s="84" t="s">
        <v>126</v>
      </c>
    </row>
    <row r="15" spans="2:4" ht="135">
      <c r="B15" s="2">
        <v>11</v>
      </c>
      <c r="C15" s="82" t="s">
        <v>128</v>
      </c>
      <c r="D15" s="84" t="s">
        <v>140</v>
      </c>
    </row>
    <row r="16" spans="2:4" ht="191.25" customHeight="1">
      <c r="B16" s="2">
        <v>12</v>
      </c>
      <c r="C16" s="82" t="s">
        <v>170</v>
      </c>
      <c r="D16" s="84" t="s">
        <v>190</v>
      </c>
    </row>
    <row r="17" spans="2:4" ht="27">
      <c r="B17" s="2">
        <v>13</v>
      </c>
      <c r="C17" s="82" t="s">
        <v>100</v>
      </c>
      <c r="D17" s="84" t="s">
        <v>194</v>
      </c>
    </row>
    <row r="18" spans="2:4" ht="67.5">
      <c r="B18" s="2">
        <v>14</v>
      </c>
      <c r="C18" s="82" t="s">
        <v>100</v>
      </c>
      <c r="D18" s="84" t="s">
        <v>196</v>
      </c>
    </row>
    <row r="19" spans="2:4" ht="40.5">
      <c r="B19" s="2">
        <v>15</v>
      </c>
      <c r="C19" s="82" t="s">
        <v>114</v>
      </c>
      <c r="D19" s="84" t="s">
        <v>200</v>
      </c>
    </row>
    <row r="20" spans="2:4" ht="64.5" customHeight="1">
      <c r="B20" s="2">
        <v>16</v>
      </c>
      <c r="C20" s="82" t="s">
        <v>114</v>
      </c>
      <c r="D20" s="84" t="s">
        <v>204</v>
      </c>
    </row>
    <row r="21" spans="2:4" ht="66.75" customHeight="1">
      <c r="B21" s="2">
        <v>17</v>
      </c>
      <c r="C21" s="82" t="s">
        <v>213</v>
      </c>
      <c r="D21" s="84" t="s">
        <v>220</v>
      </c>
    </row>
    <row r="22" spans="2:4" ht="27">
      <c r="B22" s="2">
        <v>18</v>
      </c>
      <c r="C22" s="82" t="s">
        <v>222</v>
      </c>
      <c r="D22" s="84" t="s">
        <v>223</v>
      </c>
    </row>
    <row r="23" spans="2:4" ht="27">
      <c r="B23" s="2">
        <v>19</v>
      </c>
      <c r="C23" s="82" t="s">
        <v>225</v>
      </c>
      <c r="D23" s="84" t="s">
        <v>226</v>
      </c>
    </row>
    <row r="24" spans="2:4" ht="94.5">
      <c r="B24" s="2">
        <v>20</v>
      </c>
      <c r="C24" s="82" t="s">
        <v>227</v>
      </c>
      <c r="D24" s="84" t="s">
        <v>228</v>
      </c>
    </row>
    <row r="25" spans="2:4">
      <c r="B25" s="2"/>
      <c r="C25" s="82"/>
      <c r="D25" s="71"/>
    </row>
    <row r="26" spans="2:4">
      <c r="B26" s="2"/>
      <c r="C26" s="82"/>
      <c r="D26" s="71"/>
    </row>
    <row r="27" spans="2:4" ht="14.25" thickBot="1">
      <c r="B27" s="4"/>
      <c r="C27" s="83"/>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BC_AD</vt:lpstr>
      <vt:lpstr>BC_DOT</vt:lpstr>
      <vt:lpstr>Reference(prev)</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Hiroki You (楊　大樹)</cp:lastModifiedBy>
  <dcterms:created xsi:type="dcterms:W3CDTF">2019-02-05T04:25:17Z</dcterms:created>
  <dcterms:modified xsi:type="dcterms:W3CDTF">2025-12-03T03:03:22Z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2025-11-18T00:32:51Z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ce76095b-f8a4-4d08-9974-f74b7a4fc4f3</vt:lpwstr>
  </property>
  <property fmtid="{D5CDD505-2E9C-101B-9397-08002B2CF9AE}" pid="8" name="MSIP_Label_7ed1414a-99f2-46f9-bbe5-740af8d1b502_ContentBits">
    <vt:lpwstr>1</vt:lpwstr>
  </property>
</Properties>
</file>