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7A5301F1-F8D0-46C1-82D2-42CF0811D7C6}" xr6:coauthVersionLast="47" xr6:coauthVersionMax="47" xr10:uidLastSave="{00000000-0000-0000-0000-000000000000}"/>
  <bookViews>
    <workbookView xWindow="-1426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WRN" sheetId="12" r:id="rId7"/>
    <sheet name="BC" sheetId="13" r:id="rId8"/>
    <sheet name="Reference" sheetId="3" r:id="rId9"/>
    <sheet name="History" sheetId="7" r:id="rId10"/>
  </sheets>
  <externalReferences>
    <externalReference r:id="rId11"/>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D3" i="1"/>
  <c r="AU11" i="12" l="1"/>
  <c r="AU10" i="12"/>
  <c r="AU11" i="13"/>
  <c r="AU10" i="13"/>
  <c r="B14" i="1" l="1"/>
  <c r="B3" i="13" l="1"/>
  <c r="B3" i="12"/>
  <c r="C2" i="7"/>
  <c r="B13" i="1"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AN192" i="13" s="1"/>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AO174" i="13" s="1"/>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AO172" i="13" s="1"/>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AN168" i="13" s="1"/>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L165" i="13" s="1"/>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O133" i="13" s="1"/>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6"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R60"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R59" i="13" s="1"/>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5"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R53"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R47"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AN107" i="13" s="1"/>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40"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R37"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R36"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AN100" i="13" s="1"/>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R34"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R31"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R30"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AO93" i="13" s="1"/>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C89" i="13"/>
  <c r="AJ88" i="13"/>
  <c r="AQ88" i="13" s="1"/>
  <c r="AR24"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AO77" i="13" s="1"/>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C69" i="13"/>
  <c r="AT68" i="13"/>
  <c r="AS68" i="13"/>
  <c r="C68" i="13"/>
  <c r="AT67" i="13"/>
  <c r="AS67" i="13"/>
  <c r="AR67" i="13"/>
  <c r="C67" i="13"/>
  <c r="AT66" i="13"/>
  <c r="AS66" i="13"/>
  <c r="C66" i="13"/>
  <c r="AT65" i="13"/>
  <c r="AS65" i="13"/>
  <c r="C65" i="13"/>
  <c r="AT64" i="13"/>
  <c r="AS64" i="13"/>
  <c r="C64" i="13"/>
  <c r="AT63" i="13"/>
  <c r="AS63" i="13"/>
  <c r="C63" i="13"/>
  <c r="AT62" i="13"/>
  <c r="C62" i="13"/>
  <c r="AT61" i="13"/>
  <c r="AS61" i="13"/>
  <c r="C61" i="13"/>
  <c r="AT60" i="13"/>
  <c r="AS60" i="13"/>
  <c r="C60" i="13"/>
  <c r="AT59" i="13"/>
  <c r="AS59" i="13"/>
  <c r="C59" i="13"/>
  <c r="AT58" i="13"/>
  <c r="AS58" i="13"/>
  <c r="C58" i="13"/>
  <c r="C188" i="13" s="1"/>
  <c r="AT57" i="13"/>
  <c r="AS57" i="13"/>
  <c r="C57" i="13"/>
  <c r="AT56" i="13"/>
  <c r="C56" i="13"/>
  <c r="C186" i="13" s="1"/>
  <c r="AT55" i="13"/>
  <c r="AS55" i="13"/>
  <c r="C55" i="13"/>
  <c r="AT54" i="13"/>
  <c r="C54" i="13"/>
  <c r="C184" i="13" s="1"/>
  <c r="AT53" i="13"/>
  <c r="AS53" i="13"/>
  <c r="C53" i="13"/>
  <c r="AT52" i="13"/>
  <c r="AS52" i="13"/>
  <c r="C52" i="13"/>
  <c r="AT51" i="13"/>
  <c r="AS51" i="13"/>
  <c r="C51" i="13"/>
  <c r="AT50" i="13"/>
  <c r="C50" i="13"/>
  <c r="AT49" i="13"/>
  <c r="AS49" i="13"/>
  <c r="AR49" i="13"/>
  <c r="C49" i="13"/>
  <c r="C179" i="13" s="1"/>
  <c r="AT48" i="13"/>
  <c r="AR48" i="13"/>
  <c r="C48" i="13"/>
  <c r="C178" i="13" s="1"/>
  <c r="AT47" i="13"/>
  <c r="AS47" i="13"/>
  <c r="C47" i="13"/>
  <c r="C177" i="13" s="1"/>
  <c r="AT46" i="13"/>
  <c r="AS46" i="13"/>
  <c r="C46" i="13"/>
  <c r="C176" i="13" s="1"/>
  <c r="AT45" i="13"/>
  <c r="AS45" i="13"/>
  <c r="C45" i="13"/>
  <c r="C175" i="13" s="1"/>
  <c r="AT44" i="13"/>
  <c r="AS44" i="13"/>
  <c r="C44" i="13"/>
  <c r="C174" i="13" s="1"/>
  <c r="AT43" i="13"/>
  <c r="AS43" i="13"/>
  <c r="C43" i="13"/>
  <c r="C173" i="13" s="1"/>
  <c r="AT42" i="13"/>
  <c r="AS42" i="13"/>
  <c r="AR42" i="13"/>
  <c r="C42" i="13"/>
  <c r="C172" i="13" s="1"/>
  <c r="AT41" i="13"/>
  <c r="AS41" i="13"/>
  <c r="AR41" i="13"/>
  <c r="C41" i="13"/>
  <c r="C171" i="13" s="1"/>
  <c r="AT40" i="13"/>
  <c r="AS40" i="13"/>
  <c r="C40" i="13"/>
  <c r="C170" i="13" s="1"/>
  <c r="AT39" i="13"/>
  <c r="AS39" i="13"/>
  <c r="C39" i="13"/>
  <c r="C169" i="13" s="1"/>
  <c r="AT38" i="13"/>
  <c r="C38" i="13"/>
  <c r="C168" i="13" s="1"/>
  <c r="AT37" i="13"/>
  <c r="AS37" i="13"/>
  <c r="C37" i="13"/>
  <c r="C167" i="13" s="1"/>
  <c r="AT36" i="13"/>
  <c r="AS36" i="13"/>
  <c r="C36" i="13"/>
  <c r="C166" i="13" s="1"/>
  <c r="AT35" i="13"/>
  <c r="AS35" i="13"/>
  <c r="AR35" i="13"/>
  <c r="C35" i="13"/>
  <c r="C165" i="13" s="1"/>
  <c r="AT34" i="13"/>
  <c r="AS34" i="13"/>
  <c r="C34" i="13"/>
  <c r="C164" i="13" s="1"/>
  <c r="AT33" i="13"/>
  <c r="AS33" i="13"/>
  <c r="C33" i="13"/>
  <c r="C163" i="13" s="1"/>
  <c r="AT32" i="13"/>
  <c r="AS32" i="13"/>
  <c r="C32" i="13"/>
  <c r="C162" i="13" s="1"/>
  <c r="AT31" i="13"/>
  <c r="C31" i="13"/>
  <c r="C161" i="13" s="1"/>
  <c r="AT30" i="13"/>
  <c r="AS30" i="13"/>
  <c r="C30" i="13"/>
  <c r="C160" i="13" s="1"/>
  <c r="AT29" i="13"/>
  <c r="AS29" i="13"/>
  <c r="C29" i="13"/>
  <c r="C159" i="13" s="1"/>
  <c r="AT28" i="13"/>
  <c r="AS28" i="13"/>
  <c r="AR28" i="13"/>
  <c r="C28" i="13"/>
  <c r="C93" i="13" s="1"/>
  <c r="AT27" i="13"/>
  <c r="AS27" i="13"/>
  <c r="C27" i="13"/>
  <c r="C157" i="13" s="1"/>
  <c r="AT26" i="13"/>
  <c r="AS26" i="13"/>
  <c r="C26" i="13"/>
  <c r="C156" i="13" s="1"/>
  <c r="AT25" i="13"/>
  <c r="AS25" i="13"/>
  <c r="C25" i="13"/>
  <c r="C155" i="13" s="1"/>
  <c r="AT24" i="13"/>
  <c r="C24" i="13"/>
  <c r="C154" i="13" s="1"/>
  <c r="AT23" i="13"/>
  <c r="C23" i="13"/>
  <c r="AT22" i="13"/>
  <c r="C22" i="13"/>
  <c r="C87" i="13" s="1"/>
  <c r="C21" i="13"/>
  <c r="C151" i="13" s="1"/>
  <c r="C20" i="13"/>
  <c r="C150" i="13" s="1"/>
  <c r="C19" i="13"/>
  <c r="C149" i="13" s="1"/>
  <c r="C18" i="13"/>
  <c r="C148" i="13" s="1"/>
  <c r="C17" i="13"/>
  <c r="C147" i="13" s="1"/>
  <c r="C16" i="13"/>
  <c r="C81" i="13" s="1"/>
  <c r="C15" i="13"/>
  <c r="C145" i="13" s="1"/>
  <c r="C14" i="13"/>
  <c r="C144" i="13" s="1"/>
  <c r="AW13" i="13"/>
  <c r="C13" i="13"/>
  <c r="C143" i="13" s="1"/>
  <c r="C12" i="13"/>
  <c r="C142" i="13" s="1"/>
  <c r="C11" i="13"/>
  <c r="C10" i="13"/>
  <c r="C75" i="13" s="1"/>
  <c r="C9" i="13"/>
  <c r="C139" i="13" s="1"/>
  <c r="C8" i="13"/>
  <c r="C138" i="13" s="1"/>
  <c r="AW7" i="13"/>
  <c r="C7" i="13"/>
  <c r="C137" i="13" s="1"/>
  <c r="AW6" i="13"/>
  <c r="C6" i="13"/>
  <c r="C71" i="13" s="1"/>
  <c r="AO95" i="13" l="1"/>
  <c r="AM131" i="13"/>
  <c r="AN142" i="13"/>
  <c r="AN144" i="13"/>
  <c r="AL151" i="13"/>
  <c r="AS23" i="13"/>
  <c r="AS31" i="13"/>
  <c r="AO168" i="13"/>
  <c r="AO121" i="13"/>
  <c r="AN138" i="13"/>
  <c r="AO154" i="13"/>
  <c r="AO162" i="13"/>
  <c r="AN162" i="13"/>
  <c r="AO178" i="13"/>
  <c r="AS48" i="13"/>
  <c r="AN186" i="13"/>
  <c r="AS56" i="13"/>
  <c r="AO94" i="13"/>
  <c r="AO89" i="13"/>
  <c r="AO109" i="13"/>
  <c r="AO112" i="13"/>
  <c r="AN136" i="13"/>
  <c r="AM163" i="13"/>
  <c r="AO184" i="13"/>
  <c r="AM187" i="13"/>
  <c r="AO82" i="13"/>
  <c r="AN89" i="13"/>
  <c r="AN95" i="13"/>
  <c r="AO76" i="13"/>
  <c r="C77" i="13"/>
  <c r="AO113" i="13"/>
  <c r="AR68" i="13"/>
  <c r="AN156" i="13"/>
  <c r="AM172" i="13"/>
  <c r="AO180" i="13"/>
  <c r="AN180" i="13"/>
  <c r="AL180" i="13"/>
  <c r="AS50" i="13"/>
  <c r="AO186" i="13"/>
  <c r="AO196" i="13"/>
  <c r="AM196" i="13"/>
  <c r="AL100" i="13"/>
  <c r="AO111" i="13"/>
  <c r="AN77" i="13"/>
  <c r="AN110" i="13"/>
  <c r="AN113" i="13"/>
  <c r="AO117" i="13"/>
  <c r="AR62" i="13"/>
  <c r="AN133" i="13"/>
  <c r="AO148" i="13"/>
  <c r="AN154" i="13"/>
  <c r="AO192" i="13"/>
  <c r="AO71" i="13"/>
  <c r="AN71" i="13"/>
  <c r="AM86" i="13"/>
  <c r="AM134" i="13"/>
  <c r="AO142" i="13"/>
  <c r="AM142" i="13"/>
  <c r="AO150" i="13"/>
  <c r="AL150" i="13"/>
  <c r="AO190" i="13"/>
  <c r="AO198" i="13"/>
  <c r="AN198" i="13"/>
  <c r="AO129" i="13"/>
  <c r="AL129" i="13"/>
  <c r="AR64" i="13"/>
  <c r="C136" i="13"/>
  <c r="AN150" i="13"/>
  <c r="AO166" i="13"/>
  <c r="AS38" i="13"/>
  <c r="AN174" i="13"/>
  <c r="AS62" i="13"/>
  <c r="AR57" i="13"/>
  <c r="AR56" i="13"/>
  <c r="AN83" i="13"/>
  <c r="AL88" i="13"/>
  <c r="AL93" i="13"/>
  <c r="AN97" i="13"/>
  <c r="AO107" i="13"/>
  <c r="AO144" i="13"/>
  <c r="AO177" i="13"/>
  <c r="AR58" i="13"/>
  <c r="AR61" i="13"/>
  <c r="AN86" i="13"/>
  <c r="AO92" i="13"/>
  <c r="AN92" i="13"/>
  <c r="AL92" i="13"/>
  <c r="AM94" i="13"/>
  <c r="AL107" i="13"/>
  <c r="AN109" i="13"/>
  <c r="AM112" i="13"/>
  <c r="AR50" i="13"/>
  <c r="C121" i="13"/>
  <c r="AN121" i="13"/>
  <c r="AO132" i="13"/>
  <c r="AO136" i="13"/>
  <c r="AL149" i="13"/>
  <c r="AN151" i="13"/>
  <c r="AN152" i="13"/>
  <c r="AL167" i="13"/>
  <c r="AO171" i="13"/>
  <c r="AL177" i="13"/>
  <c r="AL191" i="13"/>
  <c r="AO195" i="13"/>
  <c r="AO138" i="13"/>
  <c r="AM78" i="13"/>
  <c r="AN90" i="13"/>
  <c r="AR25" i="13"/>
  <c r="AL102" i="13"/>
  <c r="C105" i="13"/>
  <c r="AO156" i="13"/>
  <c r="AL156" i="13"/>
  <c r="AL157" i="13"/>
  <c r="AN160" i="13"/>
  <c r="AM162" i="13"/>
  <c r="AN169" i="13"/>
  <c r="AL181" i="13"/>
  <c r="AN184" i="13"/>
  <c r="AM186" i="13"/>
  <c r="AN193" i="13"/>
  <c r="AN194" i="13"/>
  <c r="AO110" i="13"/>
  <c r="AO75" i="13"/>
  <c r="AM77" i="13"/>
  <c r="AN80" i="13"/>
  <c r="AM82" i="13"/>
  <c r="AO83" i="13"/>
  <c r="AL91" i="13"/>
  <c r="AO97" i="13"/>
  <c r="AO105" i="13"/>
  <c r="AN108" i="13"/>
  <c r="AM116" i="13"/>
  <c r="AN119" i="13"/>
  <c r="AO120" i="13"/>
  <c r="AL120" i="13"/>
  <c r="AM122" i="13"/>
  <c r="AN129" i="13"/>
  <c r="AO131" i="13"/>
  <c r="AL132" i="13"/>
  <c r="AM139" i="13"/>
  <c r="AN145" i="13"/>
  <c r="AM148" i="13"/>
  <c r="AO165" i="13"/>
  <c r="AO170" i="13"/>
  <c r="AL170" i="13"/>
  <c r="AL171" i="13"/>
  <c r="AN173" i="13"/>
  <c r="AL185" i="13"/>
  <c r="AO189" i="13"/>
  <c r="AL195" i="13"/>
  <c r="C86" i="13"/>
  <c r="AM107" i="13"/>
  <c r="AL110" i="13"/>
  <c r="AN74" i="13"/>
  <c r="AM76" i="13"/>
  <c r="C80" i="13"/>
  <c r="AR29" i="13"/>
  <c r="AO96" i="13"/>
  <c r="AN103" i="13"/>
  <c r="AL109" i="13"/>
  <c r="AO114" i="13"/>
  <c r="AL115" i="13"/>
  <c r="C119" i="13"/>
  <c r="AM132" i="13"/>
  <c r="AR69" i="13"/>
  <c r="AO137" i="13"/>
  <c r="C146" i="13"/>
  <c r="AN146" i="13"/>
  <c r="AM157" i="13"/>
  <c r="AL161" i="13"/>
  <c r="AM166" i="13"/>
  <c r="AL174" i="13"/>
  <c r="AM181" i="13"/>
  <c r="AM190" i="13"/>
  <c r="AL198" i="13"/>
  <c r="AM128" i="13"/>
  <c r="AR65" i="13"/>
  <c r="AM71" i="13"/>
  <c r="AO80" i="13"/>
  <c r="AO91" i="13"/>
  <c r="AL101" i="13"/>
  <c r="AO104" i="13"/>
  <c r="AN104" i="13"/>
  <c r="AL104" i="13"/>
  <c r="AO106" i="13"/>
  <c r="AO119" i="13"/>
  <c r="AL119" i="13"/>
  <c r="AO125" i="13"/>
  <c r="AL126" i="13"/>
  <c r="AN163" i="13"/>
  <c r="AN164" i="13"/>
  <c r="AL175" i="13"/>
  <c r="AN178" i="13"/>
  <c r="AM180" i="13"/>
  <c r="AN187" i="13"/>
  <c r="AL199" i="13"/>
  <c r="AR46" i="13"/>
  <c r="AO79" i="13"/>
  <c r="AN79" i="13"/>
  <c r="AO84" i="13"/>
  <c r="C94" i="13"/>
  <c r="AN94" i="13"/>
  <c r="AL96" i="13"/>
  <c r="AO99" i="13"/>
  <c r="AL99" i="13"/>
  <c r="AN111" i="13"/>
  <c r="AN112" i="13"/>
  <c r="AL114" i="13"/>
  <c r="AN116" i="13"/>
  <c r="AN117" i="13"/>
  <c r="AO124" i="13"/>
  <c r="AN139" i="13"/>
  <c r="AN140" i="13"/>
  <c r="AM160" i="13"/>
  <c r="AL168" i="13"/>
  <c r="AM175" i="13"/>
  <c r="AL179" i="13"/>
  <c r="AM184" i="13"/>
  <c r="AL192" i="13"/>
  <c r="AM199" i="13"/>
  <c r="AN167" i="13"/>
  <c r="AO183" i="13"/>
  <c r="AO188" i="13"/>
  <c r="AL188" i="13"/>
  <c r="AL189" i="13"/>
  <c r="AN191" i="13"/>
  <c r="AN72" i="13"/>
  <c r="AL90" i="13"/>
  <c r="AL103" i="13"/>
  <c r="AL117" i="13"/>
  <c r="C123" i="13"/>
  <c r="AL130" i="13"/>
  <c r="AM151" i="13"/>
  <c r="AL155" i="13"/>
  <c r="AN157" i="13"/>
  <c r="AN158" i="13"/>
  <c r="AL169" i="13"/>
  <c r="AN172" i="13"/>
  <c r="AM174" i="13"/>
  <c r="AN181" i="13"/>
  <c r="AN182" i="13"/>
  <c r="AL193" i="13"/>
  <c r="AN196" i="13"/>
  <c r="AM198" i="13"/>
  <c r="AN82" i="13"/>
  <c r="AO88" i="13"/>
  <c r="AL123" i="13"/>
  <c r="AL159" i="13"/>
  <c r="AM74" i="13"/>
  <c r="AN81" i="13"/>
  <c r="AM95" i="13"/>
  <c r="AO98" i="13"/>
  <c r="AN98" i="13"/>
  <c r="AL98" i="13"/>
  <c r="AO103" i="13"/>
  <c r="AL111" i="13"/>
  <c r="AM113" i="13"/>
  <c r="AN115" i="13"/>
  <c r="AM119" i="13"/>
  <c r="AL124" i="13"/>
  <c r="AN148" i="13"/>
  <c r="AL162" i="13"/>
  <c r="AM169" i="13"/>
  <c r="AM178" i="13"/>
  <c r="AL186" i="13"/>
  <c r="AM193" i="13"/>
  <c r="AL197" i="13"/>
  <c r="AM80" i="13"/>
  <c r="C83" i="13"/>
  <c r="AL89" i="13"/>
  <c r="AL95" i="13"/>
  <c r="AO100" i="13"/>
  <c r="AL108" i="13"/>
  <c r="AL113" i="13"/>
  <c r="AO123" i="13"/>
  <c r="AM130" i="13"/>
  <c r="AL173" i="13"/>
  <c r="AL183" i="13"/>
  <c r="AN185" i="13"/>
  <c r="AN76" i="13"/>
  <c r="AM89" i="13"/>
  <c r="AN91" i="13"/>
  <c r="AN101" i="13"/>
  <c r="AN106" i="13"/>
  <c r="AO122" i="13"/>
  <c r="AL122" i="13"/>
  <c r="AM124" i="13"/>
  <c r="AO127" i="13"/>
  <c r="AL127" i="13"/>
  <c r="AL134" i="13"/>
  <c r="AM136" i="13"/>
  <c r="AM145" i="13"/>
  <c r="AM154" i="13"/>
  <c r="AL163" i="13"/>
  <c r="AN166" i="13"/>
  <c r="AM168" i="13"/>
  <c r="AN175" i="13"/>
  <c r="AN176" i="13"/>
  <c r="AS54" i="13"/>
  <c r="AL187" i="13"/>
  <c r="AN190" i="13"/>
  <c r="AM192" i="13"/>
  <c r="AN199" i="13"/>
  <c r="AL80" i="13"/>
  <c r="AL87" i="13"/>
  <c r="AL72" i="13"/>
  <c r="AL137" i="13"/>
  <c r="AL153" i="13"/>
  <c r="AQ151" i="13"/>
  <c r="AS24" i="13"/>
  <c r="AQ145" i="13"/>
  <c r="AQ80" i="13"/>
  <c r="AQ150" i="13"/>
  <c r="AQ144" i="13"/>
  <c r="AQ149" i="13"/>
  <c r="AL138" i="13"/>
  <c r="AQ138" i="13" s="1"/>
  <c r="AL139" i="13"/>
  <c r="AL141" i="13"/>
  <c r="AL81" i="13"/>
  <c r="AQ81" i="13" s="1"/>
  <c r="AL84" i="13"/>
  <c r="AQ84" i="13" s="1"/>
  <c r="AL143" i="13"/>
  <c r="AL144" i="13"/>
  <c r="AL145" i="13"/>
  <c r="AL71" i="13"/>
  <c r="AQ71" i="13" s="1"/>
  <c r="AR6" i="13" s="1"/>
  <c r="AL75" i="13"/>
  <c r="AL76" i="13"/>
  <c r="AL82" i="13"/>
  <c r="AQ82" i="13" s="1"/>
  <c r="AL77" i="13"/>
  <c r="AQ77" i="13" s="1"/>
  <c r="AL78" i="13"/>
  <c r="AL79" i="13"/>
  <c r="AQ79" i="13" s="1"/>
  <c r="AL147" i="13"/>
  <c r="AQ147" i="13" s="1"/>
  <c r="C74" i="13"/>
  <c r="AM101" i="13"/>
  <c r="AL105" i="13"/>
  <c r="C112" i="13"/>
  <c r="C158" i="13"/>
  <c r="AO74" i="13"/>
  <c r="AR54" i="13"/>
  <c r="C189" i="13"/>
  <c r="C124" i="13"/>
  <c r="AM72" i="13"/>
  <c r="AO73" i="13"/>
  <c r="AN73" i="13"/>
  <c r="AL73" i="13"/>
  <c r="AN75" i="13"/>
  <c r="AQ75" i="13"/>
  <c r="AO78" i="13"/>
  <c r="AN84" i="13"/>
  <c r="AO87" i="13"/>
  <c r="AN96" i="13"/>
  <c r="AN99" i="13"/>
  <c r="AM100" i="13"/>
  <c r="AO102" i="13"/>
  <c r="AR38" i="13"/>
  <c r="AR39" i="13"/>
  <c r="AL106" i="13"/>
  <c r="C111" i="13"/>
  <c r="AN114" i="13"/>
  <c r="AM115" i="13"/>
  <c r="AM118" i="13"/>
  <c r="C183" i="13"/>
  <c r="C118" i="13"/>
  <c r="AL74" i="13"/>
  <c r="AQ74" i="13" s="1"/>
  <c r="AL83" i="13"/>
  <c r="AQ83" i="13" s="1"/>
  <c r="AO86" i="13"/>
  <c r="C100" i="13"/>
  <c r="AO101" i="13"/>
  <c r="C140" i="13"/>
  <c r="C152" i="13"/>
  <c r="C199" i="13"/>
  <c r="C134" i="13"/>
  <c r="C117" i="13"/>
  <c r="C182" i="13"/>
  <c r="AO72" i="13"/>
  <c r="AN78" i="13"/>
  <c r="AO81" i="13"/>
  <c r="AM84" i="13"/>
  <c r="AO85" i="13"/>
  <c r="AN85" i="13"/>
  <c r="AL85" i="13"/>
  <c r="AQ85" i="13" s="1"/>
  <c r="AN87" i="13"/>
  <c r="AR23" i="13"/>
  <c r="AN88" i="13"/>
  <c r="AM88" i="13"/>
  <c r="AO90" i="13"/>
  <c r="AR26" i="13"/>
  <c r="AR27" i="13"/>
  <c r="AL94" i="13"/>
  <c r="AL97" i="13"/>
  <c r="C99" i="13"/>
  <c r="AN102" i="13"/>
  <c r="AN105" i="13"/>
  <c r="AM106" i="13"/>
  <c r="AO108" i="13"/>
  <c r="AR44" i="13"/>
  <c r="AR45" i="13"/>
  <c r="AL112" i="13"/>
  <c r="AO115" i="13"/>
  <c r="AO116" i="13"/>
  <c r="AO118" i="13"/>
  <c r="AL118" i="13"/>
  <c r="AM126" i="13"/>
  <c r="AO140" i="13"/>
  <c r="AL140" i="13"/>
  <c r="AR32" i="13"/>
  <c r="AR33" i="13"/>
  <c r="C141" i="13"/>
  <c r="C76" i="13"/>
  <c r="C153" i="13"/>
  <c r="C88" i="13"/>
  <c r="C129" i="13"/>
  <c r="C194" i="13"/>
  <c r="AM83" i="13"/>
  <c r="AL86" i="13"/>
  <c r="AQ86" i="13" s="1"/>
  <c r="C106" i="13"/>
  <c r="AR51" i="13"/>
  <c r="AR52" i="13"/>
  <c r="AO152" i="13"/>
  <c r="AL152" i="13"/>
  <c r="AO158" i="13"/>
  <c r="AO164" i="13"/>
  <c r="AL164" i="13"/>
  <c r="C181" i="13"/>
  <c r="C116" i="13"/>
  <c r="C187" i="13"/>
  <c r="C122" i="13"/>
  <c r="C193" i="13"/>
  <c r="C128" i="13"/>
  <c r="C133" i="13"/>
  <c r="C198" i="13"/>
  <c r="AM75" i="13"/>
  <c r="AQ76" i="13"/>
  <c r="AM81" i="13"/>
  <c r="AM87" i="13"/>
  <c r="AM90" i="13"/>
  <c r="C95" i="13"/>
  <c r="AM96" i="13"/>
  <c r="C101" i="13"/>
  <c r="AM102" i="13"/>
  <c r="C107" i="13"/>
  <c r="AM108" i="13"/>
  <c r="C113" i="13"/>
  <c r="AM114" i="13"/>
  <c r="AL121" i="13"/>
  <c r="AN128" i="13"/>
  <c r="AR63" i="13"/>
  <c r="AN132" i="13"/>
  <c r="AM133" i="13"/>
  <c r="AN137" i="13"/>
  <c r="AM138" i="13"/>
  <c r="AN143" i="13"/>
  <c r="AM144" i="13"/>
  <c r="AN149" i="13"/>
  <c r="AM150" i="13"/>
  <c r="AN155" i="13"/>
  <c r="AM156" i="13"/>
  <c r="AN161" i="13"/>
  <c r="AN188" i="13"/>
  <c r="AO194" i="13"/>
  <c r="AL194" i="13"/>
  <c r="AN197" i="13"/>
  <c r="C180" i="13"/>
  <c r="C115" i="13"/>
  <c r="C127" i="13"/>
  <c r="C192" i="13"/>
  <c r="C72" i="13"/>
  <c r="C78" i="13"/>
  <c r="C84" i="13"/>
  <c r="C90" i="13"/>
  <c r="AM91" i="13"/>
  <c r="C96" i="13"/>
  <c r="AM97" i="13"/>
  <c r="C102" i="13"/>
  <c r="AM103" i="13"/>
  <c r="C108" i="13"/>
  <c r="AM109" i="13"/>
  <c r="C114" i="13"/>
  <c r="AM117" i="13"/>
  <c r="AN120" i="13"/>
  <c r="AM125" i="13"/>
  <c r="AO126" i="13"/>
  <c r="AL128" i="13"/>
  <c r="AO130" i="13"/>
  <c r="AO146" i="13"/>
  <c r="AL158" i="13"/>
  <c r="C185" i="13"/>
  <c r="C120" i="13"/>
  <c r="C191" i="13"/>
  <c r="C126" i="13"/>
  <c r="C131" i="13"/>
  <c r="C196" i="13"/>
  <c r="AM73" i="13"/>
  <c r="AM79" i="13"/>
  <c r="AM85" i="13"/>
  <c r="C91" i="13"/>
  <c r="AM92" i="13"/>
  <c r="C97" i="13"/>
  <c r="AM98" i="13"/>
  <c r="C103" i="13"/>
  <c r="AM104" i="13"/>
  <c r="C109" i="13"/>
  <c r="AM110" i="13"/>
  <c r="AN123" i="13"/>
  <c r="AN127" i="13"/>
  <c r="AL133" i="13"/>
  <c r="AO141" i="13"/>
  <c r="AO147" i="13"/>
  <c r="AO153" i="13"/>
  <c r="AO159" i="13"/>
  <c r="AO182" i="13"/>
  <c r="AL182" i="13"/>
  <c r="AL146" i="13"/>
  <c r="AQ146" i="13" s="1"/>
  <c r="B6" i="13"/>
  <c r="C125" i="13"/>
  <c r="C190" i="13"/>
  <c r="C195" i="13"/>
  <c r="C130" i="13"/>
  <c r="C73" i="13"/>
  <c r="C79" i="13"/>
  <c r="C82" i="13"/>
  <c r="C85" i="13"/>
  <c r="C92" i="13"/>
  <c r="AM93" i="13"/>
  <c r="C98" i="13"/>
  <c r="AM99" i="13"/>
  <c r="C104" i="13"/>
  <c r="AM105" i="13"/>
  <c r="C110" i="13"/>
  <c r="AM111" i="13"/>
  <c r="AL116" i="13"/>
  <c r="AM120" i="13"/>
  <c r="AM121" i="13"/>
  <c r="AN126" i="13"/>
  <c r="AM127" i="13"/>
  <c r="AN134" i="13"/>
  <c r="AN170" i="13"/>
  <c r="AO176" i="13"/>
  <c r="AL176" i="13"/>
  <c r="AN179" i="13"/>
  <c r="C197" i="13"/>
  <c r="C132" i="13"/>
  <c r="AM123" i="13"/>
  <c r="AL125" i="13"/>
  <c r="AM129" i="13"/>
  <c r="AL131" i="13"/>
  <c r="AM137" i="13"/>
  <c r="AO139" i="13"/>
  <c r="AN141" i="13"/>
  <c r="AM143" i="13"/>
  <c r="AO145" i="13"/>
  <c r="AN147" i="13"/>
  <c r="AM149" i="13"/>
  <c r="AO151" i="13"/>
  <c r="AN153" i="13"/>
  <c r="AM155" i="13"/>
  <c r="AO157" i="13"/>
  <c r="AN159" i="13"/>
  <c r="AM161" i="13"/>
  <c r="AO163" i="13"/>
  <c r="AN165" i="13"/>
  <c r="AM167" i="13"/>
  <c r="AO169" i="13"/>
  <c r="AN171" i="13"/>
  <c r="AM173" i="13"/>
  <c r="AO175" i="13"/>
  <c r="AN177" i="13"/>
  <c r="AM179" i="13"/>
  <c r="AO181" i="13"/>
  <c r="AN183" i="13"/>
  <c r="AM185" i="13"/>
  <c r="AO187" i="13"/>
  <c r="AN189" i="13"/>
  <c r="AM191" i="13"/>
  <c r="AO193" i="13"/>
  <c r="AN195" i="13"/>
  <c r="AM197" i="13"/>
  <c r="AO199" i="13"/>
  <c r="AM141" i="13"/>
  <c r="AO143" i="13"/>
  <c r="AM147" i="13"/>
  <c r="AO149" i="13"/>
  <c r="AM153" i="13"/>
  <c r="AO155" i="13"/>
  <c r="AM159" i="13"/>
  <c r="AO161" i="13"/>
  <c r="AM165" i="13"/>
  <c r="AO167" i="13"/>
  <c r="AM171" i="13"/>
  <c r="AO173" i="13"/>
  <c r="AM177" i="13"/>
  <c r="AO179" i="13"/>
  <c r="AM183" i="13"/>
  <c r="AO185" i="13"/>
  <c r="AM189" i="13"/>
  <c r="AO191" i="13"/>
  <c r="AM195" i="13"/>
  <c r="AO197" i="13"/>
  <c r="AN118" i="13"/>
  <c r="AN122" i="13"/>
  <c r="AN124" i="13"/>
  <c r="AN125" i="13"/>
  <c r="AO128" i="13"/>
  <c r="AN130" i="13"/>
  <c r="AN131" i="13"/>
  <c r="AO134" i="13"/>
  <c r="AL136" i="13"/>
  <c r="AM140" i="13"/>
  <c r="AL142" i="13"/>
  <c r="AQ142" i="13" s="1"/>
  <c r="AM146" i="13"/>
  <c r="AL148" i="13"/>
  <c r="AQ148" i="13" s="1"/>
  <c r="AM152" i="13"/>
  <c r="AL154" i="13"/>
  <c r="AM158" i="13"/>
  <c r="AL160" i="13"/>
  <c r="AM164" i="13"/>
  <c r="AL166" i="13"/>
  <c r="AM170" i="13"/>
  <c r="AL172" i="13"/>
  <c r="AM176" i="13"/>
  <c r="AL178" i="13"/>
  <c r="AM182" i="13"/>
  <c r="AL184" i="13"/>
  <c r="AM188" i="13"/>
  <c r="AL190" i="13"/>
  <c r="AM194" i="13"/>
  <c r="AL196" i="13"/>
  <c r="AR20" i="13" l="1"/>
  <c r="AR17" i="13"/>
  <c r="AQ72" i="13"/>
  <c r="AR7" i="13" s="1"/>
  <c r="AR10" i="13"/>
  <c r="AQ136" i="13"/>
  <c r="AS6" i="13" s="1"/>
  <c r="AS17" i="13"/>
  <c r="AQ137" i="13"/>
  <c r="AS7" i="13" s="1"/>
  <c r="AR18" i="13"/>
  <c r="AR11" i="13"/>
  <c r="AR12" i="13"/>
  <c r="AR15" i="13"/>
  <c r="AS15" i="13"/>
  <c r="AS16" i="13"/>
  <c r="AR19" i="13"/>
  <c r="AR16" i="13"/>
  <c r="AS20" i="13"/>
  <c r="AR22" i="13"/>
  <c r="AR21" i="13"/>
  <c r="AS21" i="13"/>
  <c r="AS22" i="13"/>
  <c r="AQ143" i="13"/>
  <c r="AS13" i="13" s="1"/>
  <c r="AQ140" i="13"/>
  <c r="AS10" i="13" s="1"/>
  <c r="AS19" i="13"/>
  <c r="AS18" i="13"/>
  <c r="AQ141" i="13"/>
  <c r="AS12" i="13" s="1"/>
  <c r="AQ78" i="13"/>
  <c r="AR13" i="13" s="1"/>
  <c r="AQ139" i="13"/>
  <c r="AS9" i="13" s="1"/>
  <c r="B136" i="13"/>
  <c r="B71" i="13"/>
  <c r="AQ73" i="13"/>
  <c r="AR8" i="13" l="1"/>
  <c r="AR9" i="13"/>
  <c r="AS8" i="13"/>
  <c r="AS11" i="13"/>
  <c r="AS14" i="13"/>
  <c r="AR14" i="13"/>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S65"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S57" i="12" s="1"/>
  <c r="AI186" i="12"/>
  <c r="AH186" i="12"/>
  <c r="AG186" i="12"/>
  <c r="AF186" i="12"/>
  <c r="AE186" i="12"/>
  <c r="AD186" i="12"/>
  <c r="AC186" i="12"/>
  <c r="AB186" i="12"/>
  <c r="AL186" i="12" s="1"/>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O186" i="12" s="1"/>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L183" i="12" s="1"/>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1"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O178" i="12" s="1"/>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S4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Q167" i="12" s="1"/>
  <c r="AS3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Q164" i="12" s="1"/>
  <c r="AS35"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Q159" i="12" s="1"/>
  <c r="AS30"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Q15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Q15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AO154" i="12" s="1"/>
  <c r="D154"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O136" i="12" s="1"/>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AM122" i="12" s="1"/>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1"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Q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Q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R44"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Q103" i="12"/>
  <c r="AR39" i="12" s="1"/>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Q101" i="12" s="1"/>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Q95" i="12" s="1"/>
  <c r="AI95" i="12"/>
  <c r="AH95" i="12"/>
  <c r="AG95" i="12"/>
  <c r="AF95" i="12"/>
  <c r="AE95" i="12"/>
  <c r="AD95" i="12"/>
  <c r="AC95" i="12"/>
  <c r="AB95" i="12"/>
  <c r="AA95" i="12"/>
  <c r="Z95" i="12"/>
  <c r="Y95" i="12"/>
  <c r="AM95" i="12" s="1"/>
  <c r="X95" i="12"/>
  <c r="W95" i="12"/>
  <c r="V95" i="12"/>
  <c r="U95" i="12"/>
  <c r="T95" i="12"/>
  <c r="S95" i="12"/>
  <c r="R95" i="12"/>
  <c r="Q95" i="12"/>
  <c r="P95" i="12"/>
  <c r="O95" i="12"/>
  <c r="N95" i="12"/>
  <c r="M95" i="12"/>
  <c r="L95" i="12"/>
  <c r="K95" i="12"/>
  <c r="J95" i="12"/>
  <c r="I95" i="12"/>
  <c r="H95" i="12"/>
  <c r="G95" i="12"/>
  <c r="F95" i="12"/>
  <c r="E95" i="12"/>
  <c r="D95" i="12"/>
  <c r="AJ94" i="12"/>
  <c r="AQ94"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Q93"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Q91" i="12" s="1"/>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Q89"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C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C68" i="12"/>
  <c r="AT67" i="12"/>
  <c r="AS67" i="12"/>
  <c r="C67" i="12"/>
  <c r="AT66" i="12"/>
  <c r="AS66" i="12"/>
  <c r="C66" i="12"/>
  <c r="AT65" i="12"/>
  <c r="C65" i="12"/>
  <c r="AT64" i="12"/>
  <c r="C64" i="12"/>
  <c r="C129" i="12" s="1"/>
  <c r="AT63" i="12"/>
  <c r="AS63" i="12"/>
  <c r="C63" i="12"/>
  <c r="AT62" i="12"/>
  <c r="C62" i="12"/>
  <c r="AT61" i="12"/>
  <c r="AS61" i="12"/>
  <c r="C61" i="12"/>
  <c r="AT60" i="12"/>
  <c r="C60" i="12"/>
  <c r="AT59" i="12"/>
  <c r="C59" i="12"/>
  <c r="AT58" i="12"/>
  <c r="AS58" i="12"/>
  <c r="C58" i="12"/>
  <c r="C123" i="12" s="1"/>
  <c r="AT57" i="12"/>
  <c r="C57" i="12"/>
  <c r="AT56" i="12"/>
  <c r="C56" i="12"/>
  <c r="AT55" i="12"/>
  <c r="C55" i="12"/>
  <c r="AT54" i="12"/>
  <c r="C54" i="12"/>
  <c r="AT53" i="12"/>
  <c r="AS53" i="12"/>
  <c r="C53" i="12"/>
  <c r="AT52" i="12"/>
  <c r="AS52" i="12"/>
  <c r="C52" i="12"/>
  <c r="C117" i="12" s="1"/>
  <c r="AT51" i="12"/>
  <c r="C51" i="12"/>
  <c r="AT50" i="12"/>
  <c r="C50" i="12"/>
  <c r="AT49" i="12"/>
  <c r="C49" i="12"/>
  <c r="AT48" i="12"/>
  <c r="C48" i="12"/>
  <c r="AT47" i="12"/>
  <c r="C47" i="12"/>
  <c r="AT46" i="12"/>
  <c r="C46" i="12"/>
  <c r="C111" i="12" s="1"/>
  <c r="AT45" i="12"/>
  <c r="AS45" i="12"/>
  <c r="C45" i="12"/>
  <c r="AT44" i="12"/>
  <c r="AS44" i="12"/>
  <c r="C44" i="12"/>
  <c r="AT43" i="12"/>
  <c r="C43" i="12"/>
  <c r="C173" i="12" s="1"/>
  <c r="AT42" i="12"/>
  <c r="AS42" i="12"/>
  <c r="C42" i="12"/>
  <c r="C107" i="12" s="1"/>
  <c r="AT41" i="12"/>
  <c r="C41" i="12"/>
  <c r="C171" i="12" s="1"/>
  <c r="AT40" i="12"/>
  <c r="C40" i="12"/>
  <c r="C105" i="12" s="1"/>
  <c r="AT39" i="12"/>
  <c r="AS39" i="12"/>
  <c r="C39" i="12"/>
  <c r="C169" i="12" s="1"/>
  <c r="AT38" i="12"/>
  <c r="AS38" i="12"/>
  <c r="C38" i="12"/>
  <c r="C168" i="12" s="1"/>
  <c r="AT37" i="12"/>
  <c r="C37" i="12"/>
  <c r="AT36" i="12"/>
  <c r="AS36" i="12"/>
  <c r="C36" i="12"/>
  <c r="C101" i="12" s="1"/>
  <c r="AT35" i="12"/>
  <c r="C35" i="12"/>
  <c r="C165" i="12" s="1"/>
  <c r="AT34" i="12"/>
  <c r="AS34" i="12"/>
  <c r="C34" i="12"/>
  <c r="C164" i="12" s="1"/>
  <c r="AT33" i="12"/>
  <c r="C33" i="12"/>
  <c r="C163" i="12" s="1"/>
  <c r="AT32" i="12"/>
  <c r="C32" i="12"/>
  <c r="C162" i="12" s="1"/>
  <c r="AT31" i="12"/>
  <c r="AS31" i="12"/>
  <c r="C31" i="12"/>
  <c r="AT30" i="12"/>
  <c r="C30" i="12"/>
  <c r="C95" i="12" s="1"/>
  <c r="AT29" i="12"/>
  <c r="C29" i="12"/>
  <c r="C159" i="12" s="1"/>
  <c r="AT28" i="12"/>
  <c r="C28" i="12"/>
  <c r="C158" i="12" s="1"/>
  <c r="AT27" i="12"/>
  <c r="AS27" i="12"/>
  <c r="C27" i="12"/>
  <c r="C157" i="12" s="1"/>
  <c r="AT26" i="12"/>
  <c r="C26" i="12"/>
  <c r="C156" i="12" s="1"/>
  <c r="AT25" i="12"/>
  <c r="C25" i="12"/>
  <c r="AT24" i="12"/>
  <c r="C24" i="12"/>
  <c r="C154" i="12" s="1"/>
  <c r="AT23" i="12"/>
  <c r="C23" i="12"/>
  <c r="C153" i="12" s="1"/>
  <c r="AT22" i="12"/>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AL6" i="12"/>
  <c r="C6" i="12"/>
  <c r="C136" i="12" s="1"/>
  <c r="B6" i="12" l="1"/>
  <c r="B136" i="12" s="1"/>
  <c r="AR45" i="12"/>
  <c r="AM81" i="12"/>
  <c r="C91" i="12"/>
  <c r="AL97" i="12"/>
  <c r="C103" i="12"/>
  <c r="AO108" i="12"/>
  <c r="AL108" i="12"/>
  <c r="AM118" i="12"/>
  <c r="AO125" i="12"/>
  <c r="AR60" i="12"/>
  <c r="AO131" i="12"/>
  <c r="AO138" i="12"/>
  <c r="AN138" i="12"/>
  <c r="AM138" i="12"/>
  <c r="AN142" i="12"/>
  <c r="AN145" i="12"/>
  <c r="AS23" i="12"/>
  <c r="AO168" i="12"/>
  <c r="AL168" i="12"/>
  <c r="AS54" i="12"/>
  <c r="AN192" i="12"/>
  <c r="AN76" i="12"/>
  <c r="C71" i="12"/>
  <c r="AO78" i="12"/>
  <c r="AM85" i="12"/>
  <c r="AM91" i="12"/>
  <c r="AO111" i="12"/>
  <c r="AL111" i="12"/>
  <c r="AO114" i="12"/>
  <c r="AL114" i="12"/>
  <c r="AN119" i="12"/>
  <c r="AR54" i="12"/>
  <c r="AS24" i="12"/>
  <c r="AN168" i="12"/>
  <c r="AN185" i="12"/>
  <c r="AS55" i="12"/>
  <c r="AN193" i="12"/>
  <c r="AR67" i="12"/>
  <c r="AO72" i="12"/>
  <c r="AM79" i="12"/>
  <c r="AR28" i="12"/>
  <c r="AM99" i="12"/>
  <c r="AM104" i="12"/>
  <c r="AO115" i="12"/>
  <c r="AL115" i="12"/>
  <c r="AN160" i="12"/>
  <c r="AL161" i="12"/>
  <c r="AN163" i="12"/>
  <c r="AS33" i="12"/>
  <c r="AM187" i="12"/>
  <c r="AO195" i="12"/>
  <c r="AM73" i="12"/>
  <c r="AN94" i="12"/>
  <c r="AM110" i="12"/>
  <c r="C142" i="12"/>
  <c r="AN149" i="12"/>
  <c r="AN156" i="12"/>
  <c r="AM156" i="12"/>
  <c r="AM196" i="12"/>
  <c r="AM116" i="12"/>
  <c r="AO148" i="12"/>
  <c r="AO150" i="12"/>
  <c r="AO156" i="12"/>
  <c r="AM165" i="12"/>
  <c r="AL187" i="12"/>
  <c r="AS59" i="12"/>
  <c r="AN197" i="12"/>
  <c r="AS56" i="12"/>
  <c r="AO73" i="12"/>
  <c r="AM89" i="12"/>
  <c r="AO95" i="12"/>
  <c r="AM75" i="12"/>
  <c r="AN82" i="12"/>
  <c r="AO96" i="12"/>
  <c r="AL96" i="12"/>
  <c r="AM111" i="12"/>
  <c r="AR58" i="12"/>
  <c r="AR64" i="12"/>
  <c r="AN174" i="12"/>
  <c r="AO182" i="12"/>
  <c r="AO184" i="12"/>
  <c r="AO190" i="12"/>
  <c r="AO196" i="12"/>
  <c r="AN198" i="12"/>
  <c r="AS68" i="12"/>
  <c r="AM87" i="12"/>
  <c r="AM90" i="12"/>
  <c r="AR25" i="12"/>
  <c r="AM97" i="12"/>
  <c r="AO102" i="12"/>
  <c r="AL102" i="12"/>
  <c r="AR37" i="12"/>
  <c r="AR52" i="12"/>
  <c r="AO119" i="12"/>
  <c r="AN144" i="12"/>
  <c r="AN152" i="12"/>
  <c r="AL157" i="12"/>
  <c r="AN167" i="12"/>
  <c r="AM175" i="12"/>
  <c r="AR63" i="12"/>
  <c r="AR48" i="12"/>
  <c r="AR53" i="12"/>
  <c r="AR61" i="12"/>
  <c r="AR38" i="12"/>
  <c r="AR66" i="12"/>
  <c r="AR65" i="12"/>
  <c r="AR69" i="12"/>
  <c r="AR70" i="12"/>
  <c r="AR27" i="12"/>
  <c r="AR31" i="12"/>
  <c r="AR32" i="12"/>
  <c r="AR55" i="12"/>
  <c r="AR59" i="12"/>
  <c r="AR68" i="12"/>
  <c r="AN164" i="12"/>
  <c r="AN154" i="12"/>
  <c r="AS29" i="12"/>
  <c r="AL169" i="12"/>
  <c r="AN172" i="12"/>
  <c r="AL173" i="12"/>
  <c r="AN194" i="12"/>
  <c r="AR49" i="12"/>
  <c r="AR50" i="12"/>
  <c r="AR42" i="12"/>
  <c r="C87" i="12"/>
  <c r="AN71" i="12"/>
  <c r="AN93" i="12"/>
  <c r="AO94" i="12"/>
  <c r="AL94" i="12"/>
  <c r="AO121" i="12"/>
  <c r="AN125" i="12"/>
  <c r="AM130" i="12"/>
  <c r="AN175" i="12"/>
  <c r="AN176" i="12"/>
  <c r="AL195" i="12"/>
  <c r="AL165" i="12"/>
  <c r="AS60" i="12"/>
  <c r="AS64" i="12"/>
  <c r="AR33" i="12"/>
  <c r="AN99" i="12"/>
  <c r="AM103" i="12"/>
  <c r="AO109" i="12"/>
  <c r="AM109" i="12"/>
  <c r="AO134" i="12"/>
  <c r="AN139" i="12"/>
  <c r="AN140" i="12"/>
  <c r="AM142" i="12"/>
  <c r="AL177" i="12"/>
  <c r="AN179" i="12"/>
  <c r="AL181" i="12"/>
  <c r="AN184" i="12"/>
  <c r="AO189" i="12"/>
  <c r="AO198" i="12"/>
  <c r="AL198" i="12"/>
  <c r="AL199" i="12"/>
  <c r="AO123" i="12"/>
  <c r="AO166" i="12"/>
  <c r="AL191" i="12"/>
  <c r="AO129" i="12"/>
  <c r="AN150" i="12"/>
  <c r="AN81" i="12"/>
  <c r="AM83" i="12"/>
  <c r="AS28" i="12"/>
  <c r="AN75" i="12"/>
  <c r="AO76" i="12"/>
  <c r="AN84" i="12"/>
  <c r="AN85" i="12"/>
  <c r="AN90" i="12"/>
  <c r="C99" i="12"/>
  <c r="AM102" i="12"/>
  <c r="AO107" i="12"/>
  <c r="AM108" i="12"/>
  <c r="AL141" i="12"/>
  <c r="AO142" i="12"/>
  <c r="AN157" i="12"/>
  <c r="AN158" i="12"/>
  <c r="AO160" i="12"/>
  <c r="AN161" i="12"/>
  <c r="AO167" i="12"/>
  <c r="AS41" i="12"/>
  <c r="AO180" i="12"/>
  <c r="AN180" i="12"/>
  <c r="AL180" i="12"/>
  <c r="AL185" i="12"/>
  <c r="AN187" i="12"/>
  <c r="AM190" i="12"/>
  <c r="AN186" i="12"/>
  <c r="AN190" i="12"/>
  <c r="AS46" i="12"/>
  <c r="AO82" i="12"/>
  <c r="C93" i="12"/>
  <c r="C75" i="12"/>
  <c r="C85" i="12"/>
  <c r="AN91" i="12"/>
  <c r="AL112" i="12"/>
  <c r="AM114" i="12"/>
  <c r="AN116" i="12"/>
  <c r="AM121" i="12"/>
  <c r="AM136" i="12"/>
  <c r="AO144" i="12"/>
  <c r="AN148" i="12"/>
  <c r="AO153" i="12"/>
  <c r="AL159" i="12"/>
  <c r="AO162" i="12"/>
  <c r="AL162" i="12"/>
  <c r="AL163" i="12"/>
  <c r="AM181" i="12"/>
  <c r="C188" i="12"/>
  <c r="AN188" i="12"/>
  <c r="AM199" i="12"/>
  <c r="AN101" i="12"/>
  <c r="AL110" i="12"/>
  <c r="AM77" i="12"/>
  <c r="AM82" i="12"/>
  <c r="AO85" i="12"/>
  <c r="AR46" i="12"/>
  <c r="AO112" i="12"/>
  <c r="AO133" i="12"/>
  <c r="AL134" i="12"/>
  <c r="AN151" i="12"/>
  <c r="AM154" i="12"/>
  <c r="AM159" i="12"/>
  <c r="C166" i="12"/>
  <c r="AN166" i="12"/>
  <c r="AL167" i="12"/>
  <c r="AL189" i="12"/>
  <c r="AN191" i="12"/>
  <c r="AS62" i="12"/>
  <c r="AN78" i="12"/>
  <c r="AN79" i="12"/>
  <c r="AN89" i="12"/>
  <c r="AN97" i="12"/>
  <c r="AO105" i="12"/>
  <c r="AL105" i="12"/>
  <c r="AL118" i="12"/>
  <c r="AM120" i="12"/>
  <c r="AN122" i="12"/>
  <c r="AM127" i="12"/>
  <c r="AN137" i="12"/>
  <c r="AM145" i="12"/>
  <c r="AO152" i="12"/>
  <c r="AL152" i="12"/>
  <c r="AN169" i="12"/>
  <c r="AN170" i="12"/>
  <c r="AO172" i="12"/>
  <c r="AN173" i="12"/>
  <c r="AO183" i="12"/>
  <c r="AO192" i="12"/>
  <c r="AL192" i="12"/>
  <c r="AL193" i="12"/>
  <c r="AN196" i="12"/>
  <c r="AN73" i="12"/>
  <c r="AO84" i="12"/>
  <c r="AO143" i="12"/>
  <c r="AN155" i="12"/>
  <c r="AO161" i="12"/>
  <c r="AL171" i="12"/>
  <c r="AO174" i="12"/>
  <c r="AL174" i="12"/>
  <c r="AL175" i="12"/>
  <c r="AN178" i="12"/>
  <c r="AM184" i="12"/>
  <c r="AL197" i="12"/>
  <c r="AR57" i="12"/>
  <c r="AL130" i="12"/>
  <c r="AN146" i="12"/>
  <c r="AN77" i="12"/>
  <c r="AN87" i="12"/>
  <c r="AL95" i="12"/>
  <c r="AN136" i="12"/>
  <c r="AM71" i="12"/>
  <c r="AM76" i="12"/>
  <c r="AO90" i="12"/>
  <c r="AL90" i="12"/>
  <c r="AM93" i="12"/>
  <c r="C97" i="12"/>
  <c r="AN102" i="12"/>
  <c r="AL106" i="12"/>
  <c r="AR56" i="12"/>
  <c r="AN72" i="12"/>
  <c r="AO79" i="12"/>
  <c r="AN83" i="12"/>
  <c r="AM92" i="12"/>
  <c r="AN95" i="12"/>
  <c r="AN103" i="12"/>
  <c r="AM106" i="12"/>
  <c r="AM112" i="12"/>
  <c r="AO117" i="12"/>
  <c r="AL124" i="12"/>
  <c r="AM126" i="12"/>
  <c r="AN128" i="12"/>
  <c r="AM133" i="12"/>
  <c r="AO147" i="12"/>
  <c r="AL156" i="12"/>
  <c r="AM171" i="12"/>
  <c r="AL179" i="12"/>
  <c r="AN181" i="12"/>
  <c r="AN182" i="12"/>
  <c r="AM193" i="12"/>
  <c r="AN199" i="12"/>
  <c r="AL138" i="12"/>
  <c r="AQ138" i="12" s="1"/>
  <c r="AS8" i="12" s="1"/>
  <c r="AL82" i="12"/>
  <c r="AL84" i="12"/>
  <c r="AL155" i="12"/>
  <c r="AL78" i="12"/>
  <c r="AL137" i="12"/>
  <c r="AL150" i="12"/>
  <c r="AL73" i="12"/>
  <c r="AL139" i="12"/>
  <c r="AL79" i="12"/>
  <c r="AL143" i="12"/>
  <c r="AL144" i="12"/>
  <c r="AL145" i="12"/>
  <c r="AL72" i="12"/>
  <c r="AL85" i="12"/>
  <c r="AQ85" i="12" s="1"/>
  <c r="AL147" i="12"/>
  <c r="AL149" i="12"/>
  <c r="AL151" i="12"/>
  <c r="AL153" i="12"/>
  <c r="AL76" i="12"/>
  <c r="AR35" i="12"/>
  <c r="AR36" i="12"/>
  <c r="AR29" i="12"/>
  <c r="AR30" i="12"/>
  <c r="AR23" i="12"/>
  <c r="AR24"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R34"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AT6" i="12"/>
  <c r="C113" i="12"/>
  <c r="C178" i="12"/>
  <c r="AO75" i="12"/>
  <c r="AO81" i="12"/>
  <c r="AO87" i="12"/>
  <c r="AO88" i="12"/>
  <c r="AL88" i="12"/>
  <c r="AL89" i="12"/>
  <c r="AN92" i="12"/>
  <c r="AM96" i="12"/>
  <c r="AO99" i="12"/>
  <c r="AO100" i="12"/>
  <c r="AL100" i="12"/>
  <c r="AL101" i="12"/>
  <c r="AN104" i="12"/>
  <c r="AM105" i="12"/>
  <c r="AR40" i="12"/>
  <c r="AR41" i="12"/>
  <c r="AN111" i="12"/>
  <c r="AN118" i="12"/>
  <c r="AN130" i="12"/>
  <c r="AS25" i="12"/>
  <c r="AS26" i="12"/>
  <c r="AR26" i="12"/>
  <c r="AR62"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Q136" i="12" s="1"/>
  <c r="AS6" i="12" s="1"/>
  <c r="AM140" i="12"/>
  <c r="AL142" i="12"/>
  <c r="AM146" i="12"/>
  <c r="AL148" i="12"/>
  <c r="AM152" i="12"/>
  <c r="AL154" i="12"/>
  <c r="AM158" i="12"/>
  <c r="AL160" i="12"/>
  <c r="AM164" i="12"/>
  <c r="AL166" i="12"/>
  <c r="AM170" i="12"/>
  <c r="AL172" i="12"/>
  <c r="AM176" i="12"/>
  <c r="AL178" i="12"/>
  <c r="AM182" i="12"/>
  <c r="AL184" i="12"/>
  <c r="AM188" i="12"/>
  <c r="AL190" i="12"/>
  <c r="AM194" i="12"/>
  <c r="AL196" i="12"/>
  <c r="B71" i="12" l="1"/>
  <c r="AQ150" i="12"/>
  <c r="AQ141" i="12"/>
  <c r="AQ84" i="12"/>
  <c r="AQ144" i="12"/>
  <c r="AQ76" i="12"/>
  <c r="AQ78" i="12"/>
  <c r="AR13" i="12" s="1"/>
  <c r="AQ143" i="12"/>
  <c r="AS13" i="12" s="1"/>
  <c r="AQ79" i="12"/>
  <c r="AR14" i="12" s="1"/>
  <c r="AQ82" i="12"/>
  <c r="AQ73" i="12"/>
  <c r="AR8" i="12" s="1"/>
  <c r="AQ72" i="12"/>
  <c r="AR7" i="12" s="1"/>
  <c r="AQ137" i="12"/>
  <c r="AS7" i="12" s="1"/>
  <c r="AQ145" i="12"/>
  <c r="AS15" i="12" s="1"/>
  <c r="AQ142" i="12"/>
  <c r="AS12" i="12" s="1"/>
  <c r="AQ147" i="12"/>
  <c r="AS17" i="12" s="1"/>
  <c r="AQ151" i="12"/>
  <c r="AS22" i="12" s="1"/>
  <c r="AQ148" i="12"/>
  <c r="AQ146" i="12"/>
  <c r="AQ86" i="12"/>
  <c r="AR21" i="12" s="1"/>
  <c r="AR20" i="12"/>
  <c r="AQ139" i="12"/>
  <c r="AS9" i="12" s="1"/>
  <c r="AQ74" i="12"/>
  <c r="AR9" i="12" s="1"/>
  <c r="AQ149" i="12"/>
  <c r="AQ81" i="12"/>
  <c r="AQ140" i="12"/>
  <c r="AQ80" i="12"/>
  <c r="AQ83" i="12"/>
  <c r="AR18" i="12" s="1"/>
  <c r="AQ77" i="12"/>
  <c r="AR12" i="12" s="1"/>
  <c r="AQ71" i="12"/>
  <c r="AR6" i="12" s="1"/>
  <c r="AQ75" i="12"/>
  <c r="AR11" i="12" l="1"/>
  <c r="AS14" i="12"/>
  <c r="AR10" i="12"/>
  <c r="AR15" i="12"/>
  <c r="AS16" i="12"/>
  <c r="AS11" i="12"/>
  <c r="AS10" i="12"/>
  <c r="AS18" i="12"/>
  <c r="AS21" i="12"/>
  <c r="AS19" i="12"/>
  <c r="AR22"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AW17" i="13"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AW17" i="12" l="1"/>
  <c r="AL10" i="12" s="1"/>
  <c r="AT10" i="12" s="1"/>
  <c r="D8" i="4"/>
  <c r="AW12" i="13" s="1"/>
  <c r="AU5" i="13" s="1"/>
  <c r="AL6" i="13"/>
  <c r="AT6" i="13" s="1"/>
  <c r="AL68" i="13"/>
  <c r="AL25" i="13"/>
  <c r="AL50" i="13"/>
  <c r="AL51" i="13"/>
  <c r="AL46" i="13"/>
  <c r="AL69" i="13"/>
  <c r="AL42" i="13"/>
  <c r="AL16" i="13"/>
  <c r="AT16" i="13" s="1"/>
  <c r="AL66" i="13"/>
  <c r="AL19" i="13"/>
  <c r="AT19" i="13" s="1"/>
  <c r="AL44" i="13"/>
  <c r="AL45" i="13"/>
  <c r="AL40" i="13"/>
  <c r="AL47" i="13"/>
  <c r="AL36" i="13"/>
  <c r="AW11" i="13"/>
  <c r="AU13" i="13" s="1"/>
  <c r="AL37" i="13"/>
  <c r="AL63" i="13"/>
  <c r="AL58" i="13"/>
  <c r="AL29" i="13"/>
  <c r="AL60" i="13"/>
  <c r="AL11" i="13"/>
  <c r="AT11" i="13" s="1"/>
  <c r="AL57" i="13"/>
  <c r="AL18" i="13"/>
  <c r="AT18" i="13" s="1"/>
  <c r="AL8" i="13"/>
  <c r="AT8" i="13" s="1"/>
  <c r="AL61" i="13"/>
  <c r="AL15" i="13"/>
  <c r="AT15" i="13" s="1"/>
  <c r="AL38" i="13"/>
  <c r="AL39" i="13"/>
  <c r="AL34" i="13"/>
  <c r="AL41" i="13"/>
  <c r="AL30" i="13"/>
  <c r="AL17" i="13"/>
  <c r="AT17" i="13" s="1"/>
  <c r="AW8" i="13"/>
  <c r="AL56" i="13"/>
  <c r="AL10" i="13"/>
  <c r="AT10" i="13" s="1"/>
  <c r="AL55" i="13"/>
  <c r="AL7" i="13"/>
  <c r="AT7" i="13" s="1"/>
  <c r="AL32" i="13"/>
  <c r="AL33" i="13"/>
  <c r="AL28" i="13"/>
  <c r="AL35" i="13"/>
  <c r="AL54" i="13"/>
  <c r="AL12" i="13"/>
  <c r="AT12" i="13" s="1"/>
  <c r="AL49" i="13"/>
  <c r="AL14" i="13"/>
  <c r="AT14" i="13" s="1"/>
  <c r="AL26" i="13"/>
  <c r="AL27" i="13"/>
  <c r="AL22" i="13"/>
  <c r="AL24" i="13"/>
  <c r="AL64" i="13"/>
  <c r="AW16" i="13"/>
  <c r="AU15" i="13" s="1"/>
  <c r="AL9" i="13"/>
  <c r="AT9" i="13" s="1"/>
  <c r="AL48" i="13"/>
  <c r="AL13" i="13"/>
  <c r="AT13" i="13" s="1"/>
  <c r="AL43" i="13"/>
  <c r="AL67" i="13"/>
  <c r="AL20" i="13"/>
  <c r="AT20" i="13" s="1"/>
  <c r="AL21" i="13"/>
  <c r="AT21" i="13" s="1"/>
  <c r="AL65" i="13"/>
  <c r="AW10" i="13"/>
  <c r="AU14" i="13" s="1"/>
  <c r="AL23" i="13"/>
  <c r="AW9" i="13"/>
  <c r="AL62" i="13"/>
  <c r="AL59" i="13"/>
  <c r="AL31" i="13"/>
  <c r="AL52" i="13"/>
  <c r="AL53" i="13"/>
  <c r="AL17" i="12"/>
  <c r="AT17" i="12" s="1"/>
  <c r="AL9" i="12"/>
  <c r="AT9" i="12" s="1"/>
  <c r="AL20" i="12"/>
  <c r="AT20" i="12" s="1"/>
  <c r="AL14" i="12"/>
  <c r="AT14" i="12" s="1"/>
  <c r="AL16" i="12"/>
  <c r="AT16" i="12" s="1"/>
  <c r="AL18" i="12"/>
  <c r="AT18" i="12" s="1"/>
  <c r="AL21" i="12"/>
  <c r="AT21" i="12" s="1"/>
  <c r="AL8" i="12"/>
  <c r="AT8" i="12" s="1"/>
  <c r="L14" i="4"/>
  <c r="AL43" i="12" l="1"/>
  <c r="AL63" i="12"/>
  <c r="AL35" i="12"/>
  <c r="AL13" i="12"/>
  <c r="AT13" i="12" s="1"/>
  <c r="AL7" i="12"/>
  <c r="AT7" i="12" s="1"/>
  <c r="AL26" i="12"/>
  <c r="AL68" i="12"/>
  <c r="AL37" i="12"/>
  <c r="AL62" i="12"/>
  <c r="AL42" i="12"/>
  <c r="AL57" i="12"/>
  <c r="AW9" i="12"/>
  <c r="AL55" i="12"/>
  <c r="AL15" i="12"/>
  <c r="AT15" i="12" s="1"/>
  <c r="AL64" i="12"/>
  <c r="AL30" i="12"/>
  <c r="AW16" i="12"/>
  <c r="AU15" i="12" s="1"/>
  <c r="AL33" i="12"/>
  <c r="AL24" i="12"/>
  <c r="AL31" i="12"/>
  <c r="AL48" i="12"/>
  <c r="AL60" i="12"/>
  <c r="AL19" i="12"/>
  <c r="AT19" i="12" s="1"/>
  <c r="AL28" i="12"/>
  <c r="AL46" i="12"/>
  <c r="AL45" i="12"/>
  <c r="AL59" i="12"/>
  <c r="AL34" i="12"/>
  <c r="AL22" i="12"/>
  <c r="AL29" i="12"/>
  <c r="AL39" i="12"/>
  <c r="AL36" i="12"/>
  <c r="AL50" i="12"/>
  <c r="AL66" i="12"/>
  <c r="AL11" i="12"/>
  <c r="AT11" i="12" s="1"/>
  <c r="AL58" i="12"/>
  <c r="AL65" i="12"/>
  <c r="AL49" i="12"/>
  <c r="AL47" i="12"/>
  <c r="AL41" i="12"/>
  <c r="AL40" i="12"/>
  <c r="AL38" i="12"/>
  <c r="AL67" i="12"/>
  <c r="AL44" i="12"/>
  <c r="AL12" i="12"/>
  <c r="AT12" i="12" s="1"/>
  <c r="AL54" i="12"/>
  <c r="AL52" i="12"/>
  <c r="AL69" i="12"/>
  <c r="AL61" i="12"/>
  <c r="AL53" i="12"/>
  <c r="AL25" i="12"/>
  <c r="AW10" i="12"/>
  <c r="AU14" i="12" s="1"/>
  <c r="AW12" i="12"/>
  <c r="AU5" i="12" s="1"/>
  <c r="AL51" i="12"/>
  <c r="AL32" i="12"/>
  <c r="AL56" i="12"/>
  <c r="AW11" i="12"/>
  <c r="AU13" i="12" s="1"/>
  <c r="AL23" i="12"/>
  <c r="AL27" i="12"/>
  <c r="AW8" i="12"/>
  <c r="AV5" i="13"/>
  <c r="AT5" i="13"/>
  <c r="AR5" i="13"/>
  <c r="AS5" i="13"/>
  <c r="B15" i="1"/>
  <c r="B12" i="1"/>
  <c r="B11" i="1"/>
  <c r="B10" i="1"/>
  <c r="B9" i="1"/>
  <c r="AR5" i="12" l="1"/>
  <c r="AS5" i="12"/>
  <c r="AV5" i="12"/>
  <c r="AT5" i="12"/>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12" s="1"/>
  <c r="AU8" i="12" s="1"/>
  <c r="F13" i="4"/>
  <c r="AW14" i="12" l="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丹羽　ファラ</author>
  </authors>
  <commentList>
    <comment ref="AI3" authorId="0" shapeId="0" xr:uid="{00000000-0006-0000-0600-000001000000}">
      <text>
        <r>
          <rPr>
            <sz val="9"/>
            <color indexed="81"/>
            <rFont val="ＭＳ Ｐゴシック"/>
            <family val="3"/>
            <charset val="128"/>
          </rPr>
          <t>走行中(1b)：
「車速状態：通常」 and 「5km/h &lt;= 車速 （停車中に対するヒス1km/h）」
停車中(0b)：
上記以外</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10"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Q12" authorId="1" shapeId="0" xr:uid="{00000000-0006-0000-0700-000002000000}">
      <text>
        <r>
          <rPr>
            <b/>
            <sz val="10"/>
            <color indexed="81"/>
            <rFont val="Meiryo UI"/>
            <family val="3"/>
            <charset val="128"/>
          </rPr>
          <t>RW信号BLVWは、直線信号での送信条件も存在し、直線信号による制御は、C_BRLV-CSTD-0モジュールで行っている。
C_BRLV-CSTD-0/C_BRLV-CSTD-1の両モジュールで送信/未送信を判定すると、あとに判定されたモジュールの結果によって送信可否が確定する。
そのため、C_BRLV-CSTD-0のREQをu1_g_AlertReqByCh()で取得し、C_BRLV-CSTD-0のREQがRW送信有り、もしくは、本モジュールのREQがRW送信有りの場合に、BLVWのRW送信を行うように設計する。</t>
        </r>
      </text>
    </comment>
    <comment ref="C13" authorId="2" shapeId="0" xr:uid="{00000000-0006-0000-0700-000003000000}">
      <text>
        <r>
          <rPr>
            <b/>
            <sz val="9"/>
            <color indexed="81"/>
            <rFont val="MS P ゴシック"/>
            <family val="3"/>
            <charset val="128"/>
          </rPr>
          <t xml:space="preserve">リモート送信条件成立：IG ON 且つ PTS ONが15[s]以上
</t>
        </r>
      </text>
    </comment>
    <comment ref="E13" authorId="2" shapeId="0" xr:uid="{00000000-0006-0000-0700-000004000000}">
      <text>
        <r>
          <rPr>
            <b/>
            <sz val="9"/>
            <color indexed="81"/>
            <rFont val="MS P ゴシック"/>
            <family val="3"/>
            <charset val="128"/>
          </rPr>
          <t xml:space="preserve">IG ON 且つ ST OFF
</t>
        </r>
      </text>
    </comment>
    <comment ref="F13" authorId="2" shapeId="0" xr:uid="{00000000-0006-0000-0700-000005000000}">
      <text>
        <r>
          <rPr>
            <b/>
            <sz val="9"/>
            <color indexed="81"/>
            <rFont val="MS P ゴシック"/>
            <family val="3"/>
            <charset val="128"/>
          </rPr>
          <t>IG ON</t>
        </r>
      </text>
    </comment>
    <comment ref="G13" authorId="2" shapeId="0" xr:uid="{00000000-0006-0000-0700-000006000000}">
      <text>
        <r>
          <rPr>
            <b/>
            <sz val="9"/>
            <color indexed="81"/>
            <rFont val="MS P ゴシック"/>
            <family val="3"/>
            <charset val="128"/>
          </rPr>
          <t xml:space="preserve">IG OFF 且つ IG OFF後25[m]未満
</t>
        </r>
      </text>
    </comment>
    <comment ref="H13" authorId="2" shapeId="0" xr:uid="{00000000-0006-0000-0700-000007000000}">
      <text>
        <r>
          <rPr>
            <b/>
            <sz val="9"/>
            <color indexed="81"/>
            <rFont val="MS P ゴシック"/>
            <family val="3"/>
            <charset val="128"/>
          </rPr>
          <t xml:space="preserve">IG OFF
</t>
        </r>
      </text>
    </comment>
    <comment ref="I13" authorId="2" shapeId="0" xr:uid="{00000000-0006-0000-0700-000008000000}">
      <text>
        <r>
          <rPr>
            <b/>
            <sz val="9"/>
            <color indexed="81"/>
            <rFont val="MS P ゴシック"/>
            <family val="3"/>
            <charset val="128"/>
          </rPr>
          <t xml:space="preserve">IG ON 又は IG OFF後25[m]未満
</t>
        </r>
      </text>
    </comment>
    <comment ref="J13" authorId="2" shapeId="0" xr:uid="{00000000-0006-0000-0700-000009000000}">
      <text>
        <r>
          <rPr>
            <b/>
            <sz val="9"/>
            <color indexed="81"/>
            <rFont val="MS P ゴシック"/>
            <family val="3"/>
            <charset val="128"/>
          </rPr>
          <t>+B ON 又は ACC ON</t>
        </r>
      </text>
    </comment>
    <comment ref="B45"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 authorId="2" shapeId="0" xr:uid="{00000000-0006-0000-0700-00000B000000}">
      <text>
        <r>
          <rPr>
            <b/>
            <sz val="9"/>
            <color indexed="81"/>
            <rFont val="MS P ゴシック"/>
            <family val="3"/>
            <charset val="128"/>
          </rPr>
          <t xml:space="preserve">リモート送信条件成立：IG ON 且つ PTS ONが15[s]以上
</t>
        </r>
      </text>
    </comment>
    <comment ref="E48" authorId="2" shapeId="0" xr:uid="{00000000-0006-0000-0700-00000C000000}">
      <text>
        <r>
          <rPr>
            <b/>
            <sz val="9"/>
            <color indexed="81"/>
            <rFont val="MS P ゴシック"/>
            <family val="3"/>
            <charset val="128"/>
          </rPr>
          <t xml:space="preserve">IG ON 且つ ST OFF
</t>
        </r>
      </text>
    </comment>
    <comment ref="F48" authorId="2" shapeId="0" xr:uid="{00000000-0006-0000-0700-00000D000000}">
      <text>
        <r>
          <rPr>
            <b/>
            <sz val="9"/>
            <color indexed="81"/>
            <rFont val="MS P ゴシック"/>
            <family val="3"/>
            <charset val="128"/>
          </rPr>
          <t>IG ON</t>
        </r>
      </text>
    </comment>
    <comment ref="G48" authorId="2" shapeId="0" xr:uid="{00000000-0006-0000-0700-00000E000000}">
      <text>
        <r>
          <rPr>
            <b/>
            <sz val="9"/>
            <color indexed="81"/>
            <rFont val="MS P ゴシック"/>
            <family val="3"/>
            <charset val="128"/>
          </rPr>
          <t xml:space="preserve">IG OFF 且つ IG OFF後25[m]未満
</t>
        </r>
      </text>
    </comment>
    <comment ref="H48" authorId="2" shapeId="0" xr:uid="{00000000-0006-0000-0700-00000F000000}">
      <text>
        <r>
          <rPr>
            <b/>
            <sz val="9"/>
            <color indexed="81"/>
            <rFont val="MS P ゴシック"/>
            <family val="3"/>
            <charset val="128"/>
          </rPr>
          <t xml:space="preserve">IG OFF
</t>
        </r>
      </text>
    </comment>
    <comment ref="I48" authorId="2" shapeId="0" xr:uid="{00000000-0006-0000-0700-000010000000}">
      <text>
        <r>
          <rPr>
            <b/>
            <sz val="9"/>
            <color indexed="81"/>
            <rFont val="MS P ゴシック"/>
            <family val="3"/>
            <charset val="128"/>
          </rPr>
          <t xml:space="preserve">IG ON 又は IG OFF後25[m]未満
</t>
        </r>
      </text>
    </comment>
    <comment ref="J48" authorId="2" shapeId="0" xr:uid="{00000000-0006-0000-0700-000011000000}">
      <text>
        <r>
          <rPr>
            <b/>
            <sz val="9"/>
            <color indexed="81"/>
            <rFont val="MS P ゴシック"/>
            <family val="3"/>
            <charset val="128"/>
          </rPr>
          <t>+B ON 又は ACC ON</t>
        </r>
      </text>
    </comment>
    <comment ref="M48" authorId="2" shapeId="0" xr:uid="{00000000-0006-0000-0700-000012000000}">
      <text>
        <r>
          <rPr>
            <sz val="11"/>
            <color indexed="81"/>
            <rFont val="Meiryo UI"/>
            <family val="3"/>
            <charset val="128"/>
          </rPr>
          <t xml:space="preserve">車速はu1_g_VehspdKmphInst()にて取得
</t>
        </r>
        <r>
          <rPr>
            <b/>
            <sz val="11"/>
            <color indexed="81"/>
            <rFont val="Meiryo UI"/>
            <family val="3"/>
            <charset val="128"/>
          </rPr>
          <t>車速状態：通常</t>
        </r>
        <r>
          <rPr>
            <sz val="11"/>
            <color indexed="81"/>
            <rFont val="Meiryo UI"/>
            <family val="3"/>
            <charset val="128"/>
          </rPr>
          <t xml:space="preserve">
   ・5km/h以上で</t>
        </r>
        <r>
          <rPr>
            <b/>
            <sz val="11"/>
            <color indexed="81"/>
            <rFont val="Meiryo UI"/>
            <family val="3"/>
            <charset val="128"/>
          </rPr>
          <t xml:space="preserve">走行中
   </t>
        </r>
        <r>
          <rPr>
            <sz val="11"/>
            <color indexed="81"/>
            <rFont val="Meiryo UI"/>
            <family val="3"/>
            <charset val="128"/>
          </rPr>
          <t>・そこから4km/h未満になるまでは、</t>
        </r>
        <r>
          <rPr>
            <b/>
            <sz val="11"/>
            <color indexed="81"/>
            <rFont val="Meiryo UI"/>
            <family val="3"/>
            <charset val="128"/>
          </rPr>
          <t>走行中継続</t>
        </r>
        <r>
          <rPr>
            <sz val="11"/>
            <color indexed="81"/>
            <rFont val="Meiryo UI"/>
            <family val="3"/>
            <charset val="128"/>
          </rPr>
          <t>（ヒス：1km/h）
   ・4km/h未満で</t>
        </r>
        <r>
          <rPr>
            <b/>
            <sz val="11"/>
            <color indexed="81"/>
            <rFont val="Meiryo UI"/>
            <family val="3"/>
            <charset val="128"/>
          </rPr>
          <t>停車中</t>
        </r>
        <r>
          <rPr>
            <sz val="11"/>
            <color indexed="81"/>
            <rFont val="Meiryo UI"/>
            <family val="3"/>
            <charset val="128"/>
          </rPr>
          <t xml:space="preserve">
</t>
        </r>
        <r>
          <rPr>
            <b/>
            <sz val="11"/>
            <color indexed="81"/>
            <rFont val="Meiryo UI"/>
            <family val="3"/>
            <charset val="128"/>
          </rPr>
          <t>・車速状態：通常以外</t>
        </r>
        <r>
          <rPr>
            <sz val="11"/>
            <color indexed="81"/>
            <rFont val="Meiryo UI"/>
            <family val="3"/>
            <charset val="128"/>
          </rPr>
          <t xml:space="preserve">
   ・</t>
        </r>
        <r>
          <rPr>
            <b/>
            <sz val="11"/>
            <color indexed="81"/>
            <rFont val="Meiryo UI"/>
            <family val="3"/>
            <charset val="128"/>
          </rPr>
          <t>停止中</t>
        </r>
        <r>
          <rPr>
            <sz val="11"/>
            <color indexed="81"/>
            <rFont val="Meiryo UI"/>
            <family val="3"/>
            <charset val="128"/>
          </rPr>
          <t>とする</t>
        </r>
      </text>
    </comment>
  </commentList>
</comments>
</file>

<file path=xl/sharedStrings.xml><?xml version="1.0" encoding="utf-8"?>
<sst xmlns="http://schemas.openxmlformats.org/spreadsheetml/2006/main" count="4812" uniqueCount="336">
  <si>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</si>
  <si>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</si>
  <si>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</si>
  <si>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</si>
  <si>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</si>
  <si>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</si>
  <si>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</si>
  <si>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</si>
  <si>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</si>
  <si>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</si>
  <si>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</si>
  <si>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</si>
  <si>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</si>
  <si>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</si>
  <si>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</si>
  <si>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</si>
  <si>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</si>
  <si>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</si>
  <si>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</si>
  <si>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</si>
  <si>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</si>
  <si>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</si>
  <si>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</si>
  <si>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</si>
  <si>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</si>
  <si>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</si>
  <si>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</si>
  <si>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</si>
  <si>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</si>
  <si>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</si>
  <si>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</si>
  <si>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</si>
  <si>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</si>
  <si>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</si>
  <si>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</si>
  <si>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</si>
  <si>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</si>
  <si>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</si>
  <si>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</si>
  <si>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</si>
  <si>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</si>
  <si>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</si>
  <si>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</si>
  <si>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</si>
  <si>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</si>
  <si>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</si>
  <si>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</si>
  <si>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</si>
  <si>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</si>
  <si>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</si>
  <si>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</si>
  <si>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</si>
  <si>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</si>
  <si>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</si>
  <si>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</si>
  <si>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</si>
  <si>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</si>
  <si>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</si>
  <si>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</si>
  <si>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</si>
  <si>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</si>
  <si>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</si>
  <si>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</si>
  <si>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</si>
  <si>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</si>
  <si>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</si>
  <si>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</si>
  <si>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</si>
  <si>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</si>
  <si>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</si>
  <si>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</si>
  <si>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</si>
  <si>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</si>
  <si>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</si>
  <si>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</si>
  <si>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</si>
  <si>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</si>
  <si>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</si>
  <si>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</si>
  <si>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</si>
  <si>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</si>
  <si>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</si>
  <si>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</si>
  <si>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</si>
  <si>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</si>
  <si>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</si>
  <si>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</si>
  <si>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</si>
  <si>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</si>
  <si>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</si>
  <si>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</si>
  <si>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</si>
  <si>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</si>
  <si>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</si>
  <si>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</si>
  <si>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</si>
  <si>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</si>
  <si>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</si>
  <si>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</si>
  <si>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</si>
  <si>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</si>
  <si>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</si>
  <si>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</si>
  <si>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</si>
  <si>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</si>
  <si>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</si>
  <si>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</si>
  <si>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</si>
  <si>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</si>
  <si>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</si>
  <si>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</si>
  <si>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</si>
  <si>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</si>
  <si>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</si>
  <si>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</si>
  <si>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</si>
  <si>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</si>
  <si>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</si>
  <si>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</si>
  <si>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</si>
  <si>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</si>
  <si>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</si>
  <si>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</si>
  <si>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</si>
  <si>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</si>
  <si>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</si>
  <si>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</si>
  <si>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</si>
  <si>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</si>
  <si>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</si>
  <si>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</si>
  <si>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</si>
  <si>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</si>
  <si>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</si>
  <si>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</si>
  <si>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</si>
  <si>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</si>
  <si>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</si>
  <si>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</si>
  <si>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</si>
  <si>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</si>
  <si>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</si>
  <si>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</si>
  <si>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</si>
  <si>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</si>
  <si>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</si>
  <si>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</si>
  <si>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</si>
  <si>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</si>
  <si>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</si>
  <si>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</si>
  <si>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</si>
  <si>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</si>
  <si>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</si>
  <si>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</si>
  <si>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</si>
  <si>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</si>
  <si>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</si>
  <si>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IGN_OFF</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</si>
  <si>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</si>
  <si>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</si>
  <si>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</si>
  <si>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</si>
  <si>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</si>
  <si>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</si>
  <si>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</si>
  <si>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</si>
  <si>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</si>
  <si>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</si>
  <si>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</si>
  <si>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</si>
  <si>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</si>
  <si>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</si>
  <si>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</si>
  <si>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</si>
  <si>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</si>
  <si>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</si>
  <si>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</si>
  <si>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</si>
  <si>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</si>
  <si>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</si>
  <si>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</si>
  <si>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</si>
  <si>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</si>
  <si>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</si>
  <si>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</si>
  <si>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</si>
  <si>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</si>
  <si>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</si>
  <si>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</si>
  <si>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</si>
  <si>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</si>
  <si>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</si>
  <si>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</si>
  <si>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phoneticPr fontId="2"/>
  </si>
  <si>
    <t>－</t>
  </si>
  <si>
    <t>0b</t>
    <phoneticPr fontId="2"/>
  </si>
  <si>
    <t>断続/
-</t>
    <rPh sb="0" eb="2">
      <t>ダンゾク</t>
    </rPh>
    <phoneticPr fontId="2"/>
  </si>
  <si>
    <t>5.5.0</t>
    <phoneticPr fontId="2"/>
  </si>
  <si>
    <t>×</t>
  </si>
  <si>
    <t>MALFUNC</t>
  </si>
  <si>
    <t>ON</t>
  </si>
  <si>
    <t>-</t>
    <phoneticPr fontId="2"/>
  </si>
  <si>
    <t>BLVW</t>
    <phoneticPr fontId="2"/>
  </si>
  <si>
    <t>-</t>
    <phoneticPr fontId="2"/>
  </si>
  <si>
    <t>リザーバレベルウォーニング判定</t>
    <phoneticPr fontId="2"/>
  </si>
  <si>
    <t>-</t>
    <phoneticPr fontId="2"/>
  </si>
  <si>
    <t>-</t>
    <phoneticPr fontId="2"/>
  </si>
  <si>
    <t>IG-ON</t>
  </si>
  <si>
    <t>RWT_EN
機能有無：-</t>
    <rPh sb="7" eb="9">
      <t>キノウ</t>
    </rPh>
    <rPh sb="9" eb="11">
      <t>ウム</t>
    </rPh>
    <phoneticPr fontId="2"/>
  </si>
  <si>
    <t>VOM</t>
    <phoneticPr fontId="2"/>
  </si>
  <si>
    <t>RWT_EN</t>
    <phoneticPr fontId="2"/>
  </si>
  <si>
    <t>VCS_ON</t>
    <phoneticPr fontId="2"/>
  </si>
  <si>
    <t>IGN_ON</t>
    <phoneticPr fontId="2"/>
  </si>
  <si>
    <t>IGN_OFF_WT</t>
    <phoneticPr fontId="2"/>
  </si>
  <si>
    <t>BAT_WT</t>
    <phoneticPr fontId="2"/>
  </si>
  <si>
    <t>BAT_AO</t>
    <phoneticPr fontId="2"/>
  </si>
  <si>
    <t>判定結果</t>
  </si>
  <si>
    <t>0b/
1b</t>
    <phoneticPr fontId="2"/>
  </si>
  <si>
    <t>0b/
1b</t>
    <phoneticPr fontId="2"/>
  </si>
  <si>
    <t>0b/
1b</t>
    <phoneticPr fontId="2"/>
  </si>
  <si>
    <t>未受信以外(0b)/
未受信(1b)</t>
    <rPh sb="0" eb="1">
      <t>ミ</t>
    </rPh>
    <rPh sb="1" eb="3">
      <t>ジュシン</t>
    </rPh>
    <rPh sb="3" eb="5">
      <t>イガイ</t>
    </rPh>
    <phoneticPr fontId="2"/>
  </si>
  <si>
    <t>正常(0b)/
ブレーキフルード漏れ発生(1b)</t>
    <rPh sb="0" eb="2">
      <t>セイジョウ</t>
    </rPh>
    <phoneticPr fontId="2"/>
  </si>
  <si>
    <t>点灯/
-</t>
  </si>
  <si>
    <t>要求あり/
-</t>
    <rPh sb="0" eb="2">
      <t>ヨウキュウ</t>
    </rPh>
    <phoneticPr fontId="2"/>
  </si>
  <si>
    <t>0b</t>
    <phoneticPr fontId="2"/>
  </si>
  <si>
    <t>0b</t>
    <phoneticPr fontId="2"/>
  </si>
  <si>
    <t>0b</t>
    <phoneticPr fontId="2"/>
  </si>
  <si>
    <t>1b</t>
    <phoneticPr fontId="2"/>
  </si>
  <si>
    <t>点灯</t>
  </si>
  <si>
    <t>REQ02</t>
  </si>
  <si>
    <t>1b</t>
    <phoneticPr fontId="2"/>
  </si>
  <si>
    <t>1b</t>
    <phoneticPr fontId="2"/>
  </si>
  <si>
    <t>要求あり</t>
    <rPh sb="0" eb="2">
      <t>ヨウキュウ</t>
    </rPh>
    <phoneticPr fontId="2"/>
  </si>
  <si>
    <t>MALFUNC</t>
    <phoneticPr fontId="2"/>
  </si>
  <si>
    <t>-</t>
    <phoneticPr fontId="2"/>
  </si>
  <si>
    <t>UNKNOWN</t>
    <phoneticPr fontId="2"/>
  </si>
  <si>
    <t>リザーバレベルウォーニングブザー判定</t>
    <phoneticPr fontId="2"/>
  </si>
  <si>
    <t>Table Type</t>
    <phoneticPr fontId="2"/>
  </si>
  <si>
    <t>Matrix Search</t>
  </si>
  <si>
    <t>入力</t>
    <phoneticPr fontId="2"/>
  </si>
  <si>
    <t>REQ</t>
    <phoneticPr fontId="2"/>
  </si>
  <si>
    <t>Vehicle Operation Mode</t>
    <phoneticPr fontId="2"/>
  </si>
  <si>
    <t>RWT_EN</t>
    <phoneticPr fontId="2"/>
  </si>
  <si>
    <t>VCS_ON</t>
    <phoneticPr fontId="2"/>
  </si>
  <si>
    <t>IGN_OFF</t>
    <phoneticPr fontId="2"/>
  </si>
  <si>
    <t>BAT_WT</t>
    <phoneticPr fontId="2"/>
  </si>
  <si>
    <t>BAT_AO</t>
    <phoneticPr fontId="2"/>
  </si>
  <si>
    <t>通常(00b)/
未受信(01b)/
通信途絶(10b)/
未受信通信途絶(11b)</t>
    <rPh sb="0" eb="2">
      <t>ツウジョウ</t>
    </rPh>
    <rPh sb="9" eb="12">
      <t>ミジュシン</t>
    </rPh>
    <rPh sb="19" eb="21">
      <t>ツウシン</t>
    </rPh>
    <rPh sb="21" eb="23">
      <t>トゼツ</t>
    </rPh>
    <rPh sb="30" eb="33">
      <t>ミジュシン</t>
    </rPh>
    <rPh sb="33" eb="35">
      <t>ツウシン</t>
    </rPh>
    <rPh sb="35" eb="37">
      <t>トゼツ</t>
    </rPh>
    <phoneticPr fontId="2"/>
  </si>
  <si>
    <t>00b</t>
    <phoneticPr fontId="2"/>
  </si>
  <si>
    <t>00b</t>
    <phoneticPr fontId="2"/>
  </si>
  <si>
    <t>UNKNOWN</t>
    <phoneticPr fontId="2"/>
  </si>
  <si>
    <t>MALFUNC</t>
    <phoneticPr fontId="2"/>
  </si>
  <si>
    <t>断続</t>
    <rPh sb="0" eb="2">
      <t>ダンゾク</t>
    </rPh>
    <phoneticPr fontId="2"/>
  </si>
  <si>
    <t>01b</t>
    <phoneticPr fontId="2"/>
  </si>
  <si>
    <t>*b</t>
    <phoneticPr fontId="2"/>
  </si>
  <si>
    <t>10b</t>
    <phoneticPr fontId="2"/>
  </si>
  <si>
    <t>*b</t>
    <phoneticPr fontId="2"/>
  </si>
  <si>
    <t>11b</t>
    <phoneticPr fontId="2"/>
  </si>
  <si>
    <t>**b</t>
    <phoneticPr fontId="2"/>
  </si>
  <si>
    <t>UNKNOWN/
MALFUNC</t>
    <phoneticPr fontId="2"/>
  </si>
  <si>
    <t>IG-OFF + * + * + * + *</t>
    <phoneticPr fontId="2"/>
  </si>
  <si>
    <t>REQ02/
-</t>
    <phoneticPr fontId="2"/>
  </si>
  <si>
    <t>UNKNOWN/
MALFUNC</t>
    <phoneticPr fontId="2"/>
  </si>
  <si>
    <t>IG-OFF + * + * + * + * + *</t>
    <phoneticPr fontId="2"/>
  </si>
  <si>
    <t>断続吹鳴</t>
  </si>
  <si>
    <t>非吹鳴</t>
    <rPh sb="0" eb="1">
      <t>ヒ</t>
    </rPh>
    <rPh sb="1" eb="3">
      <t>スイメイ</t>
    </rPh>
    <phoneticPr fontId="2"/>
  </si>
  <si>
    <t>4km/h</t>
    <phoneticPr fontId="2"/>
  </si>
  <si>
    <t>5km/h</t>
    <phoneticPr fontId="2"/>
  </si>
  <si>
    <t>車速</t>
    <rPh sb="0" eb="2">
      <t>シャソク</t>
    </rPh>
    <phoneticPr fontId="2"/>
  </si>
  <si>
    <t>内部データ</t>
    <rPh sb="0" eb="2">
      <t>ナイブ</t>
    </rPh>
    <phoneticPr fontId="2"/>
  </si>
  <si>
    <t>-</t>
    <phoneticPr fontId="2"/>
  </si>
  <si>
    <t>停車中(0b)/
走行中(1b)</t>
    <rPh sb="0" eb="3">
      <t>テイシャチュウ</t>
    </rPh>
    <rPh sb="9" eb="12">
      <t>ソウコウチュウ</t>
    </rPh>
    <phoneticPr fontId="2"/>
  </si>
  <si>
    <t>車速状態</t>
    <rPh sb="0" eb="2">
      <t>シャソク</t>
    </rPh>
    <rPh sb="2" eb="4">
      <t>ジョウタイ</t>
    </rPh>
    <phoneticPr fontId="2"/>
  </si>
  <si>
    <t>走行状態</t>
    <phoneticPr fontId="2"/>
  </si>
  <si>
    <t>WRN</t>
    <phoneticPr fontId="2"/>
  </si>
  <si>
    <t>MET1S35</t>
    <phoneticPr fontId="2"/>
  </si>
  <si>
    <t>ALERT_CH_C_BRLV_1_WRN</t>
    <phoneticPr fontId="2"/>
  </si>
  <si>
    <t>ALERT_CH_C_BRLV_1_BC</t>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</si>
  <si>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</si>
  <si>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</si>
  <si>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</si>
  <si>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</si>
  <si>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</si>
  <si>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</si>
  <si>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B_BRLV_SIG</t>
    <phoneticPr fontId="2"/>
  </si>
  <si>
    <t>大島</t>
    <rPh sb="0" eb="2">
      <t>オオシマ</t>
    </rPh>
    <phoneticPr fontId="2"/>
  </si>
  <si>
    <t>ALERT_VOM_IGN_ON</t>
    <phoneticPr fontId="2"/>
  </si>
  <si>
    <t>新規作成(流用元：alert_C_BRLV-CSTD-1-01-C-C0.xlsx)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1" eb="53">
      <t>タイオウ</t>
    </rPh>
    <rPh sb="106" eb="108">
      <t>コウシン</t>
    </rPh>
    <rPh sb="109" eb="110">
      <t>フ</t>
    </rPh>
    <rPh sb="111" eb="112">
      <t>ダ</t>
    </rPh>
    <rPh sb="117" eb="119">
      <t>シュウセイ</t>
    </rPh>
    <phoneticPr fontId="2"/>
  </si>
  <si>
    <t>C_BRLV-CSTD-2-BZR01-REQ02</t>
    <phoneticPr fontId="2"/>
  </si>
  <si>
    <t>C_BRLV-CSTD-2-MEF01-REQ02</t>
    <phoneticPr fontId="2"/>
  </si>
  <si>
    <t>DDM1S17_STS</t>
    <phoneticPr fontId="2"/>
  </si>
  <si>
    <t>IG-ON + 未受信以外 ＋ 正常</t>
    <rPh sb="8" eb="9">
      <t>ミ</t>
    </rPh>
    <rPh sb="9" eb="11">
      <t>ジュシン</t>
    </rPh>
    <rPh sb="11" eb="13">
      <t>イガイ</t>
    </rPh>
    <rPh sb="16" eb="18">
      <t>セイジョウ</t>
    </rPh>
    <phoneticPr fontId="2"/>
  </si>
  <si>
    <t>IG-ON + 未受信以外＋ブレーキフルード漏れ発生</t>
    <rPh sb="8" eb="9">
      <t>ミ</t>
    </rPh>
    <rPh sb="9" eb="11">
      <t>ジュシン</t>
    </rPh>
    <rPh sb="11" eb="13">
      <t>イガイ</t>
    </rPh>
    <phoneticPr fontId="2"/>
  </si>
  <si>
    <t>IG-ON+ 未受信 ＋正常</t>
    <phoneticPr fontId="2"/>
  </si>
  <si>
    <t>IG-ON+ 未受信 ＋ブレーキフルード漏れ発生</t>
    <phoneticPr fontId="2"/>
  </si>
  <si>
    <t>DDM1S17</t>
    <phoneticPr fontId="2"/>
  </si>
  <si>
    <t>IG-ON+ 通常 ＋正常 ＋ 4km/h未満</t>
    <rPh sb="7" eb="9">
      <t>ツウジョウ</t>
    </rPh>
    <phoneticPr fontId="2"/>
  </si>
  <si>
    <t>IG-ON+ 通常 ＋正常 ＋ 5km/h以上</t>
    <rPh sb="21" eb="23">
      <t>イジョウ</t>
    </rPh>
    <phoneticPr fontId="2"/>
  </si>
  <si>
    <t>IG-ON+ 通常 ＋ブレーキフルード漏れ発生 ＋ 4km/h未満</t>
    <phoneticPr fontId="2"/>
  </si>
  <si>
    <t>IG-ON+ 通常 ＋ブレーキフルード漏れ発生 ＋ 5km/h以上</t>
    <phoneticPr fontId="2"/>
  </si>
  <si>
    <t>IG-ON+ 未受信 ＋ * ＋ 4km/h未満</t>
    <rPh sb="7" eb="8">
      <t>ミ</t>
    </rPh>
    <rPh sb="8" eb="10">
      <t>ジュシン</t>
    </rPh>
    <phoneticPr fontId="2"/>
  </si>
  <si>
    <t>IG-ON+ 未受信 ＋ * ＋ 5km/h以上</t>
    <phoneticPr fontId="2"/>
  </si>
  <si>
    <t>IG-ON+ 通信途絶 ＋ * ＋ 4km/h未満</t>
    <phoneticPr fontId="2"/>
  </si>
  <si>
    <t>IG-ON+ 通信途絶 ＋ * ＋ 5km/h以上</t>
    <phoneticPr fontId="2"/>
  </si>
  <si>
    <t>IG-ON+ 未受信途絶 ＋ * ＋ 4km/h未満</t>
    <rPh sb="7" eb="10">
      <t>ミジュシン</t>
    </rPh>
    <phoneticPr fontId="2"/>
  </si>
  <si>
    <t>IG-ON+ 未受信途絶 ＋ * ＋ 5km/h以上</t>
    <rPh sb="7" eb="10">
      <t>ミジュシン</t>
    </rPh>
    <phoneticPr fontId="2"/>
  </si>
  <si>
    <t>C_BRLV_2</t>
    <phoneticPr fontId="2"/>
  </si>
  <si>
    <t>ALERT_CH_C_BRLV_2_WRN</t>
  </si>
  <si>
    <t>ALERT_CH_C_BRLV_2_BC</t>
  </si>
  <si>
    <t xml:space="preserve">    }</t>
    <phoneticPr fontId="2"/>
  </si>
  <si>
    <t>vd_g_AlertC_brlv_2Init</t>
    <phoneticPr fontId="2"/>
  </si>
  <si>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</si>
  <si>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</si>
  <si>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</si>
  <si>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1.1.0</t>
    <phoneticPr fontId="2"/>
  </si>
  <si>
    <t>1.1.1</t>
    <phoneticPr fontId="2"/>
  </si>
  <si>
    <t>DTPH Kiko</t>
  </si>
  <si>
    <t>MET-C_BRLV-CSTD-2-00-C-C0.xlsm</t>
    <phoneticPr fontId="2"/>
  </si>
  <si>
    <t>https://svn.geniie.net/bevs3/bevs3cdc/仕様書/MET/#1/tags/00.Product/v1.19/制御仕様/</t>
    <phoneticPr fontId="2"/>
  </si>
  <si>
    <t>BEVシス検ADAS
課題対応（BEV3CDCMET-2941）
ファイル名変更
・流用元：alert_C_BRLV-CSTD-2-00-A-C0.xlsx
[Matrix]シート
・対象仕様書の記載を変更
・ロケーションの記載を変更
[WRN]シート
・AU8の数式を修正（NULL→vdp_PTR_NA）</t>
    <rPh sb="11" eb="13">
      <t>カダイ</t>
    </rPh>
    <rPh sb="13" eb="15">
      <t>タイオウ</t>
    </rPh>
    <rPh sb="38" eb="41">
      <t>メイヘンコウ</t>
    </rPh>
    <rPh sb="43" eb="46">
      <t>リュウヨウモト</t>
    </rPh>
    <rPh sb="134" eb="136">
      <t>スウシキ</t>
    </rPh>
    <rPh sb="137" eb="139">
      <t>シュウセイ</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</si>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</sst>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ＭＳ Ｐゴシック"/>
      <family val="3"/>
      <charset val="128"/>
    </font>
    <font>
      <sz val="11"/>
      <color indexed="81"/>
      <name val="Meiryo UI"/>
      <family val="3"/>
      <charset val="128"/>
    </font>
    <font>
      <b/>
      <sz val="11"/>
      <color indexed="81"/>
      <name val="Meiryo UI"/>
      <family val="3"/>
      <charset val="128"/>
    </font>
    <font>
      <b/>
      <sz val="10"/>
      <color indexed="81"/>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lightUp">
        <bgColor theme="0" tint="-0.24994659260841701"/>
      </patternFill>
    </fill>
    <fill>
      <patternFill patternType="darkUp"/>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top/>
      <bottom style="hair">
        <color auto="1"/>
      </bottom>
      <diagonal/>
    </border>
    <border>
      <left/>
      <right/>
      <top style="dotted">
        <color auto="1"/>
      </top>
      <bottom/>
      <diagonal/>
    </border>
    <border>
      <left/>
      <right/>
      <top style="hair">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23" borderId="27" xfId="0" applyFill="1" applyBorder="1" applyAlignment="1">
      <alignment vertical="center"/>
    </xf>
    <xf numFmtId="0" fontId="0" fillId="14" borderId="2" xfId="0" applyFill="1" applyBorder="1">
      <alignment vertical="center"/>
    </xf>
    <xf numFmtId="0" fontId="0" fillId="0" borderId="7" xfId="0" applyFont="1" applyFill="1" applyBorder="1">
      <alignment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24" borderId="31" xfId="0" applyFill="1" applyBorder="1">
      <alignment vertical="center"/>
    </xf>
    <xf numFmtId="0" fontId="0" fillId="24" borderId="2" xfId="0" applyFill="1" applyBorder="1">
      <alignment vertical="center"/>
    </xf>
    <xf numFmtId="0" fontId="0" fillId="0" borderId="2" xfId="0" applyFill="1" applyBorder="1">
      <alignment vertical="center"/>
    </xf>
    <xf numFmtId="0" fontId="0" fillId="25" borderId="31" xfId="0" applyFill="1" applyBorder="1">
      <alignment vertical="center"/>
    </xf>
    <xf numFmtId="0" fontId="0" fillId="25" borderId="2" xfId="0" applyFill="1" applyBorder="1">
      <alignment vertical="center"/>
    </xf>
    <xf numFmtId="0" fontId="0" fillId="26" borderId="2" xfId="0" applyFill="1" applyBorder="1">
      <alignment vertical="center"/>
    </xf>
    <xf numFmtId="0" fontId="0" fillId="24" borderId="32" xfId="0" applyFill="1" applyBorder="1" applyAlignment="1">
      <alignment vertical="center" wrapText="1"/>
    </xf>
    <xf numFmtId="0" fontId="0" fillId="24" borderId="16" xfId="0" applyFill="1" applyBorder="1" applyAlignment="1">
      <alignment vertical="center" wrapText="1"/>
    </xf>
    <xf numFmtId="0" fontId="0" fillId="0" borderId="16" xfId="0" applyFill="1" applyBorder="1" applyAlignment="1">
      <alignment vertical="center" wrapText="1"/>
    </xf>
    <xf numFmtId="0" fontId="0" fillId="15" borderId="17" xfId="0" applyFill="1" applyBorder="1" applyAlignment="1">
      <alignment vertical="center" wrapText="1"/>
    </xf>
    <xf numFmtId="0" fontId="0" fillId="0" borderId="15" xfId="0" applyBorder="1" applyAlignment="1">
      <alignment horizontal="center" vertical="center"/>
    </xf>
    <xf numFmtId="0" fontId="0" fillId="0" borderId="77" xfId="0" applyBorder="1" applyAlignment="1">
      <alignment horizontal="center" vertical="center"/>
    </xf>
    <xf numFmtId="0" fontId="0" fillId="24" borderId="25" xfId="0" applyFill="1" applyBorder="1" applyAlignment="1">
      <alignment horizontal="center" vertical="center"/>
    </xf>
    <xf numFmtId="0" fontId="0" fillId="24" borderId="14" xfId="0" applyFill="1" applyBorder="1" applyAlignment="1">
      <alignment horizontal="center" vertical="center"/>
    </xf>
    <xf numFmtId="0" fontId="0" fillId="0" borderId="7" xfId="0" applyBorder="1" applyAlignment="1">
      <alignment horizontal="center" vertical="center"/>
    </xf>
    <xf numFmtId="0" fontId="0" fillId="24" borderId="31" xfId="0" applyFill="1" applyBorder="1" applyAlignment="1">
      <alignment horizontal="center" vertical="center"/>
    </xf>
    <xf numFmtId="0" fontId="0" fillId="24" borderId="2"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0" fillId="0" borderId="10" xfId="0" applyBorder="1" applyAlignment="1">
      <alignment horizontal="center" vertical="center"/>
    </xf>
    <xf numFmtId="0" fontId="0" fillId="24" borderId="8" xfId="0" applyFill="1" applyBorder="1" applyAlignment="1">
      <alignment horizontal="center" vertical="center"/>
    </xf>
    <xf numFmtId="0" fontId="0" fillId="24" borderId="9" xfId="0" applyFill="1" applyBorder="1" applyAlignment="1">
      <alignment horizontal="center" vertical="center"/>
    </xf>
    <xf numFmtId="0" fontId="0" fillId="0" borderId="9" xfId="0" applyFill="1" applyBorder="1" applyAlignment="1">
      <alignment horizontal="center" vertical="center"/>
    </xf>
    <xf numFmtId="0" fontId="0" fillId="0" borderId="45" xfId="0" applyBorder="1">
      <alignment vertical="center"/>
    </xf>
    <xf numFmtId="0" fontId="0" fillId="0" borderId="51" xfId="0" applyBorder="1">
      <alignment vertical="center"/>
    </xf>
    <xf numFmtId="0" fontId="0" fillId="0" borderId="46" xfId="0" applyBorder="1">
      <alignment vertical="center"/>
    </xf>
    <xf numFmtId="0" fontId="0" fillId="0" borderId="79" xfId="0" applyBorder="1">
      <alignment vertical="center"/>
    </xf>
    <xf numFmtId="0" fontId="0" fillId="0" borderId="0" xfId="0" applyBorder="1">
      <alignment vertical="center"/>
    </xf>
    <xf numFmtId="0" fontId="0" fillId="0" borderId="80" xfId="0" applyBorder="1">
      <alignment vertical="center"/>
    </xf>
    <xf numFmtId="0" fontId="10" fillId="0" borderId="79" xfId="0" applyFont="1" applyBorder="1">
      <alignment vertical="center"/>
    </xf>
    <xf numFmtId="0" fontId="0" fillId="0" borderId="81" xfId="0" applyBorder="1" applyAlignment="1">
      <alignment horizontal="right" vertical="center"/>
    </xf>
    <xf numFmtId="0" fontId="0" fillId="0" borderId="81" xfId="0" applyBorder="1">
      <alignment vertical="center"/>
    </xf>
    <xf numFmtId="0" fontId="0" fillId="0" borderId="82" xfId="0" applyBorder="1">
      <alignment vertical="center"/>
    </xf>
    <xf numFmtId="0" fontId="0" fillId="0" borderId="83" xfId="0" applyBorder="1">
      <alignment vertical="center"/>
    </xf>
    <xf numFmtId="0" fontId="0" fillId="0" borderId="84" xfId="0" applyBorder="1">
      <alignment vertical="center"/>
    </xf>
    <xf numFmtId="0" fontId="0" fillId="0" borderId="84" xfId="0" applyBorder="1" applyAlignment="1">
      <alignment horizontal="right" vertical="center"/>
    </xf>
    <xf numFmtId="0" fontId="0" fillId="0" borderId="85" xfId="0" applyBorder="1">
      <alignment vertical="center"/>
    </xf>
    <xf numFmtId="0" fontId="0" fillId="0" borderId="0" xfId="0" applyBorder="1" applyAlignment="1">
      <alignment horizontal="right" vertical="center"/>
    </xf>
    <xf numFmtId="0" fontId="0" fillId="0" borderId="2" xfId="0" applyBorder="1" applyAlignment="1">
      <alignment vertical="center"/>
    </xf>
    <xf numFmtId="0" fontId="0" fillId="0" borderId="27" xfId="0" quotePrefix="1" applyBorder="1">
      <alignment vertical="center"/>
    </xf>
    <xf numFmtId="0" fontId="0" fillId="22" borderId="27" xfId="0" applyFill="1" applyBorder="1" applyAlignment="1">
      <alignment vertical="center" textRotation="90"/>
    </xf>
    <xf numFmtId="0" fontId="0" fillId="22" borderId="2" xfId="0" applyFill="1" applyBorder="1" applyAlignment="1">
      <alignment vertical="center" textRotation="90"/>
    </xf>
    <xf numFmtId="0" fontId="0" fillId="0" borderId="2" xfId="0" applyFill="1" applyBorder="1" applyAlignment="1" applyProtection="1">
      <alignment horizontal="center" vertical="center" textRotation="90"/>
    </xf>
    <xf numFmtId="0" fontId="0" fillId="0" borderId="2"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0" borderId="25" xfId="0" applyBorder="1">
      <alignment vertical="center"/>
    </xf>
    <xf numFmtId="14" fontId="0" fillId="0" borderId="86" xfId="0" applyNumberFormat="1" applyBorder="1">
      <alignment vertical="center"/>
    </xf>
    <xf numFmtId="0" fontId="16" fillId="7" borderId="62" xfId="0" applyFont="1" applyFill="1" applyBorder="1" applyAlignment="1">
      <alignment vertical="center"/>
    </xf>
    <xf numFmtId="0" fontId="0" fillId="0" borderId="78" xfId="0" applyBorder="1">
      <alignment vertical="center"/>
    </xf>
    <xf numFmtId="0" fontId="0" fillId="0" borderId="62" xfId="0" applyBorder="1" applyAlignment="1">
      <alignment vertical="center" wrapText="1"/>
    </xf>
    <xf numFmtId="0" fontId="0" fillId="0" borderId="2" xfId="0"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14" xfId="0" applyBorder="1" applyAlignment="1">
      <alignment vertical="center" wrapText="1"/>
    </xf>
    <xf numFmtId="0" fontId="0" fillId="0" borderId="2" xfId="0" applyBorder="1" applyAlignment="1">
      <alignment horizontal="center" vertical="center"/>
    </xf>
    <xf numFmtId="0" fontId="11" fillId="0" borderId="78" xfId="0" applyFont="1" applyBorder="1">
      <alignment vertical="center"/>
    </xf>
    <xf numFmtId="0" fontId="11" fillId="0" borderId="62" xfId="0" applyFont="1" applyBorder="1" applyAlignment="1">
      <alignment vertical="center" wrapText="1"/>
    </xf>
    <xf numFmtId="0" fontId="18" fillId="0" borderId="2" xfId="0" applyFont="1" applyBorder="1">
      <alignment vertical="center"/>
    </xf>
    <xf numFmtId="0" fontId="11" fillId="0" borderId="14" xfId="0" applyFont="1" applyBorder="1">
      <alignment vertical="center"/>
    </xf>
    <xf numFmtId="14" fontId="18" fillId="0" borderId="14"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25"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5" fillId="0" borderId="0" xfId="2" applyFont="1" applyAlignment="1">
      <alignment horizontal="center" vertical="center"/>
    </xf>
    <xf numFmtId="0" fontId="25" fillId="0" borderId="27" xfId="2" applyFont="1" applyBorder="1" applyAlignment="1">
      <alignment horizontal="center" vertical="center"/>
    </xf>
    <xf numFmtId="0" fontId="25" fillId="0" borderId="12" xfId="2" applyFont="1" applyBorder="1" applyAlignment="1">
      <alignment horizontal="center" vertical="center"/>
    </xf>
    <xf numFmtId="0" fontId="25" fillId="0" borderId="31" xfId="2" applyFont="1" applyBorder="1" applyAlignment="1">
      <alignment horizontal="center" vertical="center"/>
    </xf>
    <xf numFmtId="0" fontId="29" fillId="0" borderId="0" xfId="2" applyFont="1" applyAlignment="1">
      <alignment horizontal="center" vertical="center"/>
    </xf>
    <xf numFmtId="0" fontId="25" fillId="0" borderId="64" xfId="2" applyFont="1" applyBorder="1">
      <alignment vertical="center"/>
    </xf>
    <xf numFmtId="0" fontId="25" fillId="0" borderId="66" xfId="2" applyFont="1" applyBorder="1">
      <alignment vertical="center"/>
    </xf>
    <xf numFmtId="0" fontId="25" fillId="0" borderId="65" xfId="2" applyFont="1" applyBorder="1">
      <alignment vertical="center"/>
    </xf>
    <xf numFmtId="0" fontId="25" fillId="0" borderId="87" xfId="2" applyFont="1" applyBorder="1">
      <alignment vertical="center"/>
    </xf>
    <xf numFmtId="0" fontId="25" fillId="0" borderId="88" xfId="2" applyFont="1" applyBorder="1">
      <alignment vertical="center"/>
    </xf>
    <xf numFmtId="0" fontId="25" fillId="0" borderId="88" xfId="2" applyFont="1" applyBorder="1" applyAlignment="1">
      <alignment horizontal="center" vertical="center"/>
    </xf>
    <xf numFmtId="0" fontId="25" fillId="0" borderId="87" xfId="2" applyFont="1" applyBorder="1" applyAlignment="1">
      <alignment horizontal="center" vertical="center"/>
    </xf>
    <xf numFmtId="0" fontId="25" fillId="0" borderId="29" xfId="2" applyFont="1" applyBorder="1">
      <alignment vertical="center"/>
    </xf>
    <xf numFmtId="0" fontId="25" fillId="0" borderId="11" xfId="2" applyFont="1" applyBorder="1">
      <alignment vertical="center"/>
    </xf>
    <xf numFmtId="0" fontId="25" fillId="0" borderId="25" xfId="2" applyFont="1" applyBorder="1">
      <alignment vertical="center"/>
    </xf>
  </cellXfs>
  <cellStyles count="3">
    <cellStyle name="ハイパーリンク" xfId="1" builtinId="8"/>
    <cellStyle name="標準" xfId="0" builtinId="0"/>
    <cellStyle name="標準 3 3 4 3" xfId="2" xr:uid="{20EC2B8F-6103-47CE-90B1-46D42F9DCC74}"/>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7A1E487-2565-4D6F-8D4F-5C4172D0753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98108AE-21AD-4F01-8020-9D3CDC1A5F79}"/>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0F36E862-8766-49D3-9343-B4B3DC893B69}"/>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D862B0DD-5B8D-4DE9-9696-108337B4BAEF}"/>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381000</xdr:colOff>
      <xdr:row>67</xdr:row>
      <xdr:rowOff>89646</xdr:rowOff>
    </xdr:from>
    <xdr:to>
      <xdr:col>63</xdr:col>
      <xdr:colOff>504264</xdr:colOff>
      <xdr:row>128</xdr:row>
      <xdr:rowOff>14582</xdr:rowOff>
    </xdr:to>
    <xdr:pic>
      <xdr:nvPicPr>
        <xdr:cNvPr id="10" name="図 9">
          <a:extLst>
            <a:ext uri="{FF2B5EF4-FFF2-40B4-BE49-F238E27FC236}">
              <a16:creationId xmlns:a16="http://schemas.microsoft.com/office/drawing/2014/main" id="{52938610-37E9-CD47-1028-1FAB3971601A}"/>
            </a:ext>
          </a:extLst>
        </xdr:cNvPr>
        <xdr:cNvPicPr>
          <a:picLocks noChangeAspect="1"/>
        </xdr:cNvPicPr>
      </xdr:nvPicPr>
      <xdr:blipFill>
        <a:blip xmlns:r="http://schemas.openxmlformats.org/officeDocument/2006/relationships" r:embed="rId1"/>
        <a:stretch>
          <a:fillRect/>
        </a:stretch>
      </xdr:blipFill>
      <xdr:spPr>
        <a:xfrm>
          <a:off x="34671000" y="16797617"/>
          <a:ext cx="16528676" cy="10178318"/>
        </a:xfrm>
        <a:prstGeom prst="rect">
          <a:avLst/>
        </a:prstGeom>
      </xdr:spPr>
    </xdr:pic>
    <xdr:clientData/>
  </xdr:twoCellAnchor>
  <xdr:twoCellAnchor editAs="oneCell">
    <xdr:from>
      <xdr:col>15</xdr:col>
      <xdr:colOff>1176617</xdr:colOff>
      <xdr:row>67</xdr:row>
      <xdr:rowOff>100853</xdr:rowOff>
    </xdr:from>
    <xdr:to>
      <xdr:col>37</xdr:col>
      <xdr:colOff>248185</xdr:colOff>
      <xdr:row>98</xdr:row>
      <xdr:rowOff>72441</xdr:rowOff>
    </xdr:to>
    <xdr:pic>
      <xdr:nvPicPr>
        <xdr:cNvPr id="8" name="図 7">
          <a:extLst>
            <a:ext uri="{FF2B5EF4-FFF2-40B4-BE49-F238E27FC236}">
              <a16:creationId xmlns:a16="http://schemas.microsoft.com/office/drawing/2014/main" id="{093B09DF-610A-2513-DDC4-FE9F1986239B}"/>
            </a:ext>
          </a:extLst>
        </xdr:cNvPr>
        <xdr:cNvPicPr>
          <a:picLocks noChangeAspect="1"/>
        </xdr:cNvPicPr>
      </xdr:nvPicPr>
      <xdr:blipFill>
        <a:blip xmlns:r="http://schemas.openxmlformats.org/officeDocument/2006/relationships" r:embed="rId2"/>
        <a:stretch>
          <a:fillRect/>
        </a:stretch>
      </xdr:blipFill>
      <xdr:spPr>
        <a:xfrm>
          <a:off x="17290676" y="16808824"/>
          <a:ext cx="15880391" cy="5182323"/>
        </a:xfrm>
        <a:prstGeom prst="rect">
          <a:avLst/>
        </a:prstGeom>
      </xdr:spPr>
    </xdr:pic>
    <xdr:clientData/>
  </xdr:twoCellAnchor>
  <xdr:twoCellAnchor editAs="oneCell">
    <xdr:from>
      <xdr:col>18</xdr:col>
      <xdr:colOff>728383</xdr:colOff>
      <xdr:row>42</xdr:row>
      <xdr:rowOff>134469</xdr:rowOff>
    </xdr:from>
    <xdr:to>
      <xdr:col>41</xdr:col>
      <xdr:colOff>69060</xdr:colOff>
      <xdr:row>57</xdr:row>
      <xdr:rowOff>158753</xdr:rowOff>
    </xdr:to>
    <xdr:pic>
      <xdr:nvPicPr>
        <xdr:cNvPr id="7" name="図 6">
          <a:extLst>
            <a:ext uri="{FF2B5EF4-FFF2-40B4-BE49-F238E27FC236}">
              <a16:creationId xmlns:a16="http://schemas.microsoft.com/office/drawing/2014/main" id="{6C757C57-0862-7CCA-ED37-7F58DD3946E5}"/>
            </a:ext>
          </a:extLst>
        </xdr:cNvPr>
        <xdr:cNvPicPr>
          <a:picLocks noChangeAspect="1"/>
        </xdr:cNvPicPr>
      </xdr:nvPicPr>
      <xdr:blipFill>
        <a:blip xmlns:r="http://schemas.openxmlformats.org/officeDocument/2006/relationships" r:embed="rId3"/>
        <a:stretch>
          <a:fillRect/>
        </a:stretch>
      </xdr:blipFill>
      <xdr:spPr>
        <a:xfrm>
          <a:off x="20170589" y="10174940"/>
          <a:ext cx="15555589" cy="4999695"/>
        </a:xfrm>
        <a:prstGeom prst="rect">
          <a:avLst/>
        </a:prstGeom>
      </xdr:spPr>
    </xdr:pic>
    <xdr:clientData/>
  </xdr:twoCellAnchor>
  <xdr:twoCellAnchor editAs="oneCell">
    <xdr:from>
      <xdr:col>19</xdr:col>
      <xdr:colOff>549088</xdr:colOff>
      <xdr:row>8</xdr:row>
      <xdr:rowOff>414618</xdr:rowOff>
    </xdr:from>
    <xdr:to>
      <xdr:col>40</xdr:col>
      <xdr:colOff>336517</xdr:colOff>
      <xdr:row>28</xdr:row>
      <xdr:rowOff>1375</xdr:rowOff>
    </xdr:to>
    <xdr:pic>
      <xdr:nvPicPr>
        <xdr:cNvPr id="5" name="図 4">
          <a:extLst>
            <a:ext uri="{FF2B5EF4-FFF2-40B4-BE49-F238E27FC236}">
              <a16:creationId xmlns:a16="http://schemas.microsoft.com/office/drawing/2014/main" id="{DAFF5697-B83C-BC0E-1ED4-CCF8995A281B}"/>
            </a:ext>
          </a:extLst>
        </xdr:cNvPr>
        <xdr:cNvPicPr>
          <a:picLocks noChangeAspect="1"/>
        </xdr:cNvPicPr>
      </xdr:nvPicPr>
      <xdr:blipFill>
        <a:blip xmlns:r="http://schemas.openxmlformats.org/officeDocument/2006/relationships" r:embed="rId4"/>
        <a:stretch>
          <a:fillRect/>
        </a:stretch>
      </xdr:blipFill>
      <xdr:spPr>
        <a:xfrm>
          <a:off x="20820529" y="1804147"/>
          <a:ext cx="14489547" cy="5839640"/>
        </a:xfrm>
        <a:prstGeom prst="rect">
          <a:avLst/>
        </a:prstGeom>
      </xdr:spPr>
    </xdr:pic>
    <xdr:clientData/>
  </xdr:twoCellAnchor>
  <xdr:twoCellAnchor editAs="oneCell">
    <xdr:from>
      <xdr:col>43</xdr:col>
      <xdr:colOff>21595</xdr:colOff>
      <xdr:row>8</xdr:row>
      <xdr:rowOff>556294</xdr:rowOff>
    </xdr:from>
    <xdr:to>
      <xdr:col>69</xdr:col>
      <xdr:colOff>575390</xdr:colOff>
      <xdr:row>12</xdr:row>
      <xdr:rowOff>220225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312095" y="1998651"/>
          <a:ext cx="18243082" cy="2820788"/>
        </a:xfrm>
        <a:prstGeom prst="rect">
          <a:avLst/>
        </a:prstGeom>
      </xdr:spPr>
    </xdr:pic>
    <xdr:clientData/>
  </xdr:twoCellAnchor>
  <xdr:twoCellAnchor>
    <xdr:from>
      <xdr:col>9</xdr:col>
      <xdr:colOff>204107</xdr:colOff>
      <xdr:row>1</xdr:row>
      <xdr:rowOff>40819</xdr:rowOff>
    </xdr:from>
    <xdr:to>
      <xdr:col>13</xdr:col>
      <xdr:colOff>1164030</xdr:colOff>
      <xdr:row>4</xdr:row>
      <xdr:rowOff>173692</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9035143" y="217712"/>
          <a:ext cx="5096494" cy="66355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計</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2bit</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入力情報で出力を判定できるため</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MatrxSrch</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は使用せず入力データの組み合わせパターンをそのまま出力の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として使用する</a:t>
          </a:r>
          <a:endParaRPr lang="ja-JP" altLang="ja-JP" sz="14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40821</xdr:colOff>
      <xdr:row>36</xdr:row>
      <xdr:rowOff>81642</xdr:rowOff>
    </xdr:from>
    <xdr:to>
      <xdr:col>11</xdr:col>
      <xdr:colOff>990847</xdr:colOff>
      <xdr:row>40</xdr:row>
      <xdr:rowOff>56029</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7313439" y="9068760"/>
          <a:ext cx="4054055" cy="64674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ja-JP" sz="1100" b="1">
              <a:solidFill>
                <a:srgbClr val="FF0000"/>
              </a:solidFill>
              <a:effectLst/>
              <a:latin typeface="+mn-lt"/>
              <a:ea typeface="+mn-ea"/>
              <a:cs typeface="+mn-cs"/>
            </a:rPr>
            <a:t>計</a:t>
          </a:r>
          <a:r>
            <a:rPr kumimoji="1" lang="en-US" altLang="ja-JP" sz="1100" b="1">
              <a:solidFill>
                <a:srgbClr val="FF0000"/>
              </a:solidFill>
              <a:effectLst/>
              <a:latin typeface="+mn-lt"/>
              <a:ea typeface="+mn-ea"/>
              <a:cs typeface="+mn-cs"/>
            </a:rPr>
            <a:t>4bit</a:t>
          </a:r>
          <a:r>
            <a:rPr kumimoji="1" lang="ja-JP" altLang="ja-JP" sz="1100" b="1">
              <a:solidFill>
                <a:srgbClr val="FF0000"/>
              </a:solidFill>
              <a:effectLst/>
              <a:latin typeface="+mn-lt"/>
              <a:ea typeface="+mn-ea"/>
              <a:cs typeface="+mn-cs"/>
            </a:rPr>
            <a:t>の入力情報で出力を判定できるため、</a:t>
          </a:r>
          <a:r>
            <a:rPr kumimoji="1" lang="en-US" altLang="ja-JP" sz="1100" b="1">
              <a:solidFill>
                <a:srgbClr val="FF0000"/>
              </a:solidFill>
              <a:effectLst/>
              <a:latin typeface="+mn-lt"/>
              <a:ea typeface="+mn-ea"/>
              <a:cs typeface="+mn-cs"/>
            </a:rPr>
            <a:t>MatrxSrch</a:t>
          </a:r>
          <a:r>
            <a:rPr kumimoji="1" lang="ja-JP" altLang="ja-JP" sz="1100" b="1">
              <a:solidFill>
                <a:srgbClr val="FF0000"/>
              </a:solidFill>
              <a:effectLst/>
              <a:latin typeface="+mn-lt"/>
              <a:ea typeface="+mn-ea"/>
              <a:cs typeface="+mn-cs"/>
            </a:rPr>
            <a:t>は使用せず入力データの組み合わせパターンをそのまま出力の</a:t>
          </a:r>
          <a:r>
            <a:rPr kumimoji="1" lang="en-US" altLang="ja-JP" sz="1100" b="1">
              <a:solidFill>
                <a:srgbClr val="FF0000"/>
              </a:solidFill>
              <a:effectLst/>
              <a:latin typeface="+mn-lt"/>
              <a:ea typeface="+mn-ea"/>
              <a:cs typeface="+mn-cs"/>
            </a:rPr>
            <a:t>Index</a:t>
          </a:r>
          <a:r>
            <a:rPr kumimoji="1" lang="ja-JP" altLang="ja-JP" sz="1100" b="1">
              <a:solidFill>
                <a:srgbClr val="FF0000"/>
              </a:solidFill>
              <a:effectLst/>
              <a:latin typeface="+mn-lt"/>
              <a:ea typeface="+mn-ea"/>
              <a:cs typeface="+mn-cs"/>
            </a:rPr>
            <a:t>として使用する</a:t>
          </a:r>
          <a:endParaRPr lang="ja-JP" altLang="ja-JP" sz="1200">
            <a:solidFill>
              <a:srgbClr val="FF0000"/>
            </a:solidFill>
            <a:effectLst/>
          </a:endParaRPr>
        </a:p>
      </xdr:txBody>
    </xdr:sp>
    <xdr:clientData/>
  </xdr:twoCellAnchor>
  <xdr:twoCellAnchor>
    <xdr:from>
      <xdr:col>8</xdr:col>
      <xdr:colOff>108858</xdr:colOff>
      <xdr:row>22</xdr:row>
      <xdr:rowOff>108856</xdr:rowOff>
    </xdr:from>
    <xdr:to>
      <xdr:col>14</xdr:col>
      <xdr:colOff>449037</xdr:colOff>
      <xdr:row>26</xdr:row>
      <xdr:rowOff>163286</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8681358" y="8953499"/>
          <a:ext cx="6027965" cy="762001"/>
        </a:xfrm>
        <a:prstGeom prst="borderCallout1">
          <a:avLst>
            <a:gd name="adj1" fmla="val 59822"/>
            <a:gd name="adj2" fmla="val -884"/>
            <a:gd name="adj3" fmla="val -104301"/>
            <a:gd name="adj4" fmla="val -11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lang="en-US" altLang="ja-JP" sz="1100" b="0">
              <a:solidFill>
                <a:srgbClr val="FF0000"/>
              </a:solidFill>
              <a:effectLst/>
              <a:latin typeface="+mn-lt"/>
              <a:ea typeface="+mn-ea"/>
              <a:cs typeface="+mn-cs"/>
            </a:rPr>
            <a:t>u1_g_oXCANRxStat</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176894</xdr:colOff>
      <xdr:row>60</xdr:row>
      <xdr:rowOff>40822</xdr:rowOff>
    </xdr:from>
    <xdr:to>
      <xdr:col>12</xdr:col>
      <xdr:colOff>1213757</xdr:colOff>
      <xdr:row>66</xdr:row>
      <xdr:rowOff>58512</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8749394" y="24386722"/>
          <a:ext cx="4142013" cy="1046390"/>
        </a:xfrm>
        <a:prstGeom prst="borderCallout1">
          <a:avLst>
            <a:gd name="adj1" fmla="val 18750"/>
            <a:gd name="adj2" fmla="val -8333"/>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100" b="1">
              <a:solidFill>
                <a:sysClr val="windowText" lastClr="000000"/>
              </a:solidFill>
              <a:effectLst/>
              <a:latin typeface="+mn-lt"/>
              <a:ea typeface="+mn-ea"/>
              <a:cs typeface="+mn-cs"/>
            </a:rPr>
            <a:t>（</a:t>
          </a:r>
          <a:r>
            <a:rPr lang="en-US" altLang="ja-JP" sz="1100" b="0">
              <a:solidFill>
                <a:srgbClr val="FF0000"/>
              </a:solidFill>
              <a:effectLst/>
              <a:latin typeface="+mn-lt"/>
              <a:ea typeface="+mn-ea"/>
              <a:cs typeface="+mn-cs"/>
            </a:rPr>
            <a:t>u1_g_oXCANRxStat</a:t>
          </a:r>
          <a:r>
            <a:rPr kumimoji="1" lang="ja-JP" altLang="en-US" sz="1100" b="1">
              <a:solidFill>
                <a:sysClr val="windowText" lastClr="000000"/>
              </a:solidFill>
              <a:effectLst/>
              <a:latin typeface="+mn-lt"/>
              <a:ea typeface="+mn-ea"/>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2400</xdr:colOff>
      <xdr:row>17</xdr:row>
      <xdr:rowOff>93139</xdr:rowOff>
    </xdr:from>
    <xdr:to>
      <xdr:col>30</xdr:col>
      <xdr:colOff>641937</xdr:colOff>
      <xdr:row>20</xdr:row>
      <xdr:rowOff>88926</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26773253" y="5875374"/>
          <a:ext cx="2006655" cy="5112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571827</xdr:colOff>
      <xdr:row>25</xdr:row>
      <xdr:rowOff>114972</xdr:rowOff>
    </xdr:from>
    <xdr:to>
      <xdr:col>35</xdr:col>
      <xdr:colOff>369795</xdr:colOff>
      <xdr:row>27</xdr:row>
      <xdr:rowOff>100853</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0843268" y="7253119"/>
          <a:ext cx="11082292" cy="3220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789214</xdr:colOff>
      <xdr:row>56</xdr:row>
      <xdr:rowOff>137668</xdr:rowOff>
    </xdr:from>
    <xdr:to>
      <xdr:col>34</xdr:col>
      <xdr:colOff>313765</xdr:colOff>
      <xdr:row>56</xdr:row>
      <xdr:rowOff>140234</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0231420" y="14985462"/>
          <a:ext cx="10954551" cy="25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620858</xdr:colOff>
      <xdr:row>36</xdr:row>
      <xdr:rowOff>75076</xdr:rowOff>
    </xdr:from>
    <xdr:to>
      <xdr:col>45</xdr:col>
      <xdr:colOff>347973</xdr:colOff>
      <xdr:row>46</xdr:row>
      <xdr:rowOff>80617</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4227299" y="9062194"/>
          <a:ext cx="4512027" cy="1910541"/>
        </a:xfrm>
        <a:prstGeom prst="borderCallout1">
          <a:avLst>
            <a:gd name="adj1" fmla="val 51612"/>
            <a:gd name="adj2" fmla="val -1583"/>
            <a:gd name="adj3" fmla="val 495452"/>
            <a:gd name="adj4" fmla="val -2488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563707</xdr:colOff>
      <xdr:row>37</xdr:row>
      <xdr:rowOff>25310</xdr:rowOff>
    </xdr:from>
    <xdr:to>
      <xdr:col>45</xdr:col>
      <xdr:colOff>290822</xdr:colOff>
      <xdr:row>45</xdr:row>
      <xdr:rowOff>167412</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34170148" y="9180516"/>
          <a:ext cx="4512027" cy="1531631"/>
        </a:xfrm>
        <a:prstGeom prst="borderCallout1">
          <a:avLst>
            <a:gd name="adj1" fmla="val 51180"/>
            <a:gd name="adj2" fmla="val -317"/>
            <a:gd name="adj3" fmla="val 186387"/>
            <a:gd name="adj4" fmla="val -1764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527019</xdr:colOff>
      <xdr:row>35</xdr:row>
      <xdr:rowOff>97490</xdr:rowOff>
    </xdr:from>
    <xdr:to>
      <xdr:col>45</xdr:col>
      <xdr:colOff>383401</xdr:colOff>
      <xdr:row>46</xdr:row>
      <xdr:rowOff>123544</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4133460" y="8916519"/>
          <a:ext cx="4641294" cy="2099143"/>
        </a:xfrm>
        <a:prstGeom prst="borderCallout1">
          <a:avLst>
            <a:gd name="adj1" fmla="val 50347"/>
            <a:gd name="adj2" fmla="val -830"/>
            <a:gd name="adj3" fmla="val -64870"/>
            <a:gd name="adj4" fmla="val -497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信号を使用するが、通信途絶判定後の</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振る舞いが異なる。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を分けて対応する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520273</xdr:colOff>
      <xdr:row>77</xdr:row>
      <xdr:rowOff>93963</xdr:rowOff>
    </xdr:from>
    <xdr:to>
      <xdr:col>29</xdr:col>
      <xdr:colOff>54428</xdr:colOff>
      <xdr:row>82</xdr:row>
      <xdr:rowOff>107257</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25924008" y="18482816"/>
          <a:ext cx="1584832" cy="8537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322169</xdr:colOff>
      <xdr:row>11</xdr:row>
      <xdr:rowOff>536255</xdr:rowOff>
    </xdr:from>
    <xdr:to>
      <xdr:col>43</xdr:col>
      <xdr:colOff>22264</xdr:colOff>
      <xdr:row>17</xdr:row>
      <xdr:rowOff>93139</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88" idx="0"/>
          <a:endCxn id="112" idx="1"/>
        </xdr:cNvCxnSpPr>
      </xdr:nvCxnSpPr>
      <xdr:spPr>
        <a:xfrm flipV="1">
          <a:off x="27776581" y="3371343"/>
          <a:ext cx="9269918" cy="2504031"/>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22264</xdr:colOff>
      <xdr:row>8</xdr:row>
      <xdr:rowOff>577049</xdr:rowOff>
    </xdr:from>
    <xdr:to>
      <xdr:col>69</xdr:col>
      <xdr:colOff>561895</xdr:colOff>
      <xdr:row>12</xdr:row>
      <xdr:rowOff>204107</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8312764" y="2019406"/>
          <a:ext cx="18228917" cy="27839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667551</xdr:colOff>
      <xdr:row>46</xdr:row>
      <xdr:rowOff>992521</xdr:rowOff>
    </xdr:from>
    <xdr:to>
      <xdr:col>32</xdr:col>
      <xdr:colOff>201706</xdr:colOff>
      <xdr:row>47</xdr:row>
      <xdr:rowOff>67236</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8805522" y="11884639"/>
          <a:ext cx="901272" cy="8116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597113</xdr:colOff>
      <xdr:row>15</xdr:row>
      <xdr:rowOff>19211</xdr:rowOff>
    </xdr:from>
    <xdr:to>
      <xdr:col>32</xdr:col>
      <xdr:colOff>627530</xdr:colOff>
      <xdr:row>20</xdr:row>
      <xdr:rowOff>73639</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28735084" y="5465270"/>
          <a:ext cx="1397534" cy="9060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168088</xdr:colOff>
      <xdr:row>75</xdr:row>
      <xdr:rowOff>168085</xdr:rowOff>
    </xdr:from>
    <xdr:to>
      <xdr:col>57</xdr:col>
      <xdr:colOff>336176</xdr:colOff>
      <xdr:row>89</xdr:row>
      <xdr:rowOff>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42660794" y="18220761"/>
          <a:ext cx="4269441" cy="2185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16284</xdr:colOff>
      <xdr:row>2</xdr:row>
      <xdr:rowOff>107451</xdr:rowOff>
    </xdr:from>
    <xdr:to>
      <xdr:col>21</xdr:col>
      <xdr:colOff>665238</xdr:colOff>
      <xdr:row>5</xdr:row>
      <xdr:rowOff>90714</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9459379" y="440070"/>
          <a:ext cx="3188954" cy="48219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rgbClr val="FF0000"/>
              </a:solidFill>
              <a:effectLst/>
              <a:latin typeface="+mn-lt"/>
              <a:ea typeface="+mn-ea"/>
              <a:cs typeface="+mn-cs"/>
            </a:rPr>
            <a:t>19PFv3</a:t>
          </a:r>
          <a:r>
            <a:rPr kumimoji="1" lang="ja-JP" altLang="ja-JP" sz="1400" b="1">
              <a:solidFill>
                <a:srgbClr val="FF0000"/>
              </a:solidFill>
              <a:effectLst/>
              <a:latin typeface="+mn-lt"/>
              <a:ea typeface="+mn-ea"/>
              <a:cs typeface="+mn-cs"/>
            </a:rPr>
            <a:t>からの差分箇所は赤字にて記載</a:t>
          </a:r>
          <a:endParaRPr lang="ja-JP" altLang="ja-JP" sz="1600">
            <a:solidFill>
              <a:srgbClr val="FF0000"/>
            </a:solidFill>
            <a:effectLst/>
          </a:endParaRPr>
        </a:p>
        <a:p>
          <a:pPr algn="l"/>
          <a:endParaRPr kumimoji="1" lang="ja-JP" altLang="en-US" sz="16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70</xdr:col>
      <xdr:colOff>462643</xdr:colOff>
      <xdr:row>11</xdr:row>
      <xdr:rowOff>721179</xdr:rowOff>
    </xdr:from>
    <xdr:to>
      <xdr:col>72</xdr:col>
      <xdr:colOff>353786</xdr:colOff>
      <xdr:row>11</xdr:row>
      <xdr:rowOff>1220968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57122786" y="3592286"/>
          <a:ext cx="1251857" cy="499789"/>
        </a:xfrm>
        <a:prstGeom prst="borderCallout1">
          <a:avLst>
            <a:gd name="adj1" fmla="val 49280"/>
            <a:gd name="adj2" fmla="val -457"/>
            <a:gd name="adj3" fmla="val -54520"/>
            <a:gd name="adj4" fmla="val -45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あり</a:t>
          </a:r>
        </a:p>
      </xdr:txBody>
    </xdr:sp>
    <xdr:clientData/>
  </xdr:twoCellAnchor>
  <xdr:twoCellAnchor>
    <xdr:from>
      <xdr:col>15</xdr:col>
      <xdr:colOff>1201431</xdr:colOff>
      <xdr:row>89</xdr:row>
      <xdr:rowOff>82444</xdr:rowOff>
    </xdr:from>
    <xdr:to>
      <xdr:col>32</xdr:col>
      <xdr:colOff>649942</xdr:colOff>
      <xdr:row>90</xdr:row>
      <xdr:rowOff>156882</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17315490" y="20488356"/>
          <a:ext cx="12839540" cy="2425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208911</xdr:colOff>
      <xdr:row>136</xdr:row>
      <xdr:rowOff>123264</xdr:rowOff>
    </xdr:from>
    <xdr:to>
      <xdr:col>57</xdr:col>
      <xdr:colOff>168089</xdr:colOff>
      <xdr:row>148</xdr:row>
      <xdr:rowOff>112059</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40650940" y="28429323"/>
          <a:ext cx="6111208" cy="2017060"/>
        </a:xfrm>
        <a:prstGeom prst="borderCallout1">
          <a:avLst>
            <a:gd name="adj1" fmla="val 47664"/>
            <a:gd name="adj2" fmla="val 100743"/>
            <a:gd name="adj3" fmla="val -399719"/>
            <a:gd name="adj4" fmla="val 98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(SP1)≧5km/h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となっており、「</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(SP1)</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&lt;5km</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」の場合が明記されていないため、ヒステリシスの考慮が必要。</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前状態と現在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の車速</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にて判定可能。</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上記車速のヒステリシスと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B_BRLV,B_BRLV2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のシグナル値、</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状態から吹鳴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非吹鳴を判定する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0</xdr:colOff>
      <xdr:row>147</xdr:row>
      <xdr:rowOff>1</xdr:rowOff>
    </xdr:from>
    <xdr:to>
      <xdr:col>46</xdr:col>
      <xdr:colOff>1</xdr:colOff>
      <xdr:row>149</xdr:row>
      <xdr:rowOff>156883</xdr:rowOff>
    </xdr:to>
    <xdr:cxnSp macro="">
      <xdr:nvCxnSpPr>
        <xdr:cNvPr id="73" name="直線矢印コネクタ 72">
          <a:extLst>
            <a:ext uri="{FF2B5EF4-FFF2-40B4-BE49-F238E27FC236}">
              <a16:creationId xmlns:a16="http://schemas.microsoft.com/office/drawing/2014/main" id="{00000000-0008-0000-0700-000049000000}"/>
            </a:ext>
          </a:extLst>
        </xdr:cNvPr>
        <xdr:cNvCxnSpPr/>
      </xdr:nvCxnSpPr>
      <xdr:spPr>
        <a:xfrm flipV="1">
          <a:off x="30880050" y="22860001"/>
          <a:ext cx="1" cy="49978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147</xdr:row>
      <xdr:rowOff>13608</xdr:rowOff>
    </xdr:from>
    <xdr:to>
      <xdr:col>45</xdr:col>
      <xdr:colOff>4</xdr:colOff>
      <xdr:row>150</xdr:row>
      <xdr:rowOff>44823</xdr:rowOff>
    </xdr:to>
    <xdr:cxnSp macro="">
      <xdr:nvCxnSpPr>
        <xdr:cNvPr id="74" name="直線矢印コネクタ 73">
          <a:extLst>
            <a:ext uri="{FF2B5EF4-FFF2-40B4-BE49-F238E27FC236}">
              <a16:creationId xmlns:a16="http://schemas.microsoft.com/office/drawing/2014/main" id="{00000000-0008-0000-0700-00004A000000}"/>
            </a:ext>
          </a:extLst>
        </xdr:cNvPr>
        <xdr:cNvCxnSpPr/>
      </xdr:nvCxnSpPr>
      <xdr:spPr>
        <a:xfrm flipH="1">
          <a:off x="30194250" y="22873608"/>
          <a:ext cx="4" cy="5455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36019</xdr:colOff>
      <xdr:row>150</xdr:row>
      <xdr:rowOff>26411</xdr:rowOff>
    </xdr:from>
    <xdr:to>
      <xdr:col>46</xdr:col>
      <xdr:colOff>5603</xdr:colOff>
      <xdr:row>150</xdr:row>
      <xdr:rowOff>26411</xdr:rowOff>
    </xdr:to>
    <xdr:cxnSp macro="">
      <xdr:nvCxnSpPr>
        <xdr:cNvPr id="75" name="直線コネクタ 74">
          <a:extLst>
            <a:ext uri="{FF2B5EF4-FFF2-40B4-BE49-F238E27FC236}">
              <a16:creationId xmlns:a16="http://schemas.microsoft.com/office/drawing/2014/main" id="{00000000-0008-0000-0700-00004B000000}"/>
            </a:ext>
          </a:extLst>
        </xdr:cNvPr>
        <xdr:cNvCxnSpPr/>
      </xdr:nvCxnSpPr>
      <xdr:spPr>
        <a:xfrm>
          <a:off x="29544469" y="23400761"/>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666750</xdr:colOff>
      <xdr:row>147</xdr:row>
      <xdr:rowOff>27214</xdr:rowOff>
    </xdr:from>
    <xdr:to>
      <xdr:col>46</xdr:col>
      <xdr:colOff>639536</xdr:colOff>
      <xdr:row>147</xdr:row>
      <xdr:rowOff>27214</xdr:rowOff>
    </xdr:to>
    <xdr:cxnSp macro="">
      <xdr:nvCxnSpPr>
        <xdr:cNvPr id="76" name="直線コネクタ 75">
          <a:extLst>
            <a:ext uri="{FF2B5EF4-FFF2-40B4-BE49-F238E27FC236}">
              <a16:creationId xmlns:a16="http://schemas.microsoft.com/office/drawing/2014/main" id="{00000000-0008-0000-0700-00004C000000}"/>
            </a:ext>
          </a:extLst>
        </xdr:cNvPr>
        <xdr:cNvCxnSpPr/>
      </xdr:nvCxnSpPr>
      <xdr:spPr>
        <a:xfrm>
          <a:off x="30175200" y="22887214"/>
          <a:ext cx="1344386"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553890</xdr:colOff>
      <xdr:row>123</xdr:row>
      <xdr:rowOff>52827</xdr:rowOff>
    </xdr:from>
    <xdr:to>
      <xdr:col>24</xdr:col>
      <xdr:colOff>360024</xdr:colOff>
      <xdr:row>130</xdr:row>
      <xdr:rowOff>150480</xdr:rowOff>
    </xdr:to>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996096" y="26196151"/>
          <a:ext cx="4400546" cy="1274270"/>
        </a:xfrm>
        <a:prstGeom prst="rect">
          <a:avLst/>
        </a:prstGeom>
        <a:solidFill>
          <a:schemeClr val="bg1"/>
        </a:solidFill>
      </xdr:spPr>
    </xdr:pic>
    <xdr:clientData/>
  </xdr:twoCellAnchor>
  <xdr:twoCellAnchor>
    <xdr:from>
      <xdr:col>19</xdr:col>
      <xdr:colOff>340179</xdr:colOff>
      <xdr:row>125</xdr:row>
      <xdr:rowOff>141675</xdr:rowOff>
    </xdr:from>
    <xdr:to>
      <xdr:col>20</xdr:col>
      <xdr:colOff>458641</xdr:colOff>
      <xdr:row>128</xdr:row>
      <xdr:rowOff>41621</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20611620" y="26621175"/>
          <a:ext cx="1149403" cy="404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470647</xdr:colOff>
      <xdr:row>135</xdr:row>
      <xdr:rowOff>145677</xdr:rowOff>
    </xdr:from>
    <xdr:to>
      <xdr:col>26</xdr:col>
      <xdr:colOff>484255</xdr:colOff>
      <xdr:row>138</xdr:row>
      <xdr:rowOff>152080</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23823706" y="28306059"/>
          <a:ext cx="2064284" cy="510668"/>
        </a:xfrm>
        <a:prstGeom prst="borderCallout1">
          <a:avLst>
            <a:gd name="adj1" fmla="val 53411"/>
            <a:gd name="adj2" fmla="val -523"/>
            <a:gd name="adj3" fmla="val -254065"/>
            <a:gd name="adj4" fmla="val -116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は要求無し</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123265</xdr:colOff>
      <xdr:row>19</xdr:row>
      <xdr:rowOff>112059</xdr:rowOff>
    </xdr:from>
    <xdr:to>
      <xdr:col>18</xdr:col>
      <xdr:colOff>735586</xdr:colOff>
      <xdr:row>32</xdr:row>
      <xdr:rowOff>79560</xdr:rowOff>
    </xdr:to>
    <xdr:sp macro="" textlink="">
      <xdr:nvSpPr>
        <xdr:cNvPr id="4" name="線吹き出し 1 (枠付き) 17">
          <a:extLst>
            <a:ext uri="{FF2B5EF4-FFF2-40B4-BE49-F238E27FC236}">
              <a16:creationId xmlns:a16="http://schemas.microsoft.com/office/drawing/2014/main" id="{B6C0817C-FD0F-4C4D-AC76-92D52B6F1698}"/>
            </a:ext>
          </a:extLst>
        </xdr:cNvPr>
        <xdr:cNvSpPr/>
      </xdr:nvSpPr>
      <xdr:spPr>
        <a:xfrm>
          <a:off x="17850971" y="6241677"/>
          <a:ext cx="2326821" cy="2152648"/>
        </a:xfrm>
        <a:prstGeom prst="borderCallout1">
          <a:avLst>
            <a:gd name="adj1" fmla="val 47635"/>
            <a:gd name="adj2" fmla="val -1262"/>
            <a:gd name="adj3" fmla="val -58202"/>
            <a:gd name="adj4" fmla="val -1434"/>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70</xdr:col>
      <xdr:colOff>134470</xdr:colOff>
      <xdr:row>5</xdr:row>
      <xdr:rowOff>44824</xdr:rowOff>
    </xdr:from>
    <xdr:to>
      <xdr:col>73</xdr:col>
      <xdr:colOff>410615</xdr:colOff>
      <xdr:row>11</xdr:row>
      <xdr:rowOff>202825</xdr:rowOff>
    </xdr:to>
    <xdr:sp macro="" textlink="">
      <xdr:nvSpPr>
        <xdr:cNvPr id="6" name="線吹き出し 1 (枠付き) 17">
          <a:extLst>
            <a:ext uri="{FF2B5EF4-FFF2-40B4-BE49-F238E27FC236}">
              <a16:creationId xmlns:a16="http://schemas.microsoft.com/office/drawing/2014/main" id="{706EED8A-91C8-4277-BC8E-D78CAD3B5FF2}"/>
            </a:ext>
          </a:extLst>
        </xdr:cNvPr>
        <xdr:cNvSpPr/>
      </xdr:nvSpPr>
      <xdr:spPr>
        <a:xfrm>
          <a:off x="55614794" y="885265"/>
          <a:ext cx="2326821" cy="2152648"/>
        </a:xfrm>
        <a:prstGeom prst="borderCallout1">
          <a:avLst>
            <a:gd name="adj1" fmla="val 47635"/>
            <a:gd name="adj2" fmla="val -1262"/>
            <a:gd name="adj3" fmla="val 72979"/>
            <a:gd name="adj4" fmla="val -43814"/>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15</xdr:col>
      <xdr:colOff>1255060</xdr:colOff>
      <xdr:row>97</xdr:row>
      <xdr:rowOff>22413</xdr:rowOff>
    </xdr:from>
    <xdr:to>
      <xdr:col>30</xdr:col>
      <xdr:colOff>185699</xdr:colOff>
      <xdr:row>97</xdr:row>
      <xdr:rowOff>24979</xdr:rowOff>
    </xdr:to>
    <xdr:sp macro="" textlink="">
      <xdr:nvSpPr>
        <xdr:cNvPr id="9" name="正方形/長方形 8">
          <a:extLst>
            <a:ext uri="{FF2B5EF4-FFF2-40B4-BE49-F238E27FC236}">
              <a16:creationId xmlns:a16="http://schemas.microsoft.com/office/drawing/2014/main" id="{9B85C620-98BF-4816-8F12-742B49E94594}"/>
            </a:ext>
          </a:extLst>
        </xdr:cNvPr>
        <xdr:cNvSpPr/>
      </xdr:nvSpPr>
      <xdr:spPr>
        <a:xfrm>
          <a:off x="17369119" y="21773031"/>
          <a:ext cx="10954551" cy="25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E16A-3631-46EE-9BA7-A7B02710C710}">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337" customWidth="1"/>
    <col min="53" max="16384" width="8.81640625" style="33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38"/>
    </row>
    <row r="11" spans="6:20" ht="13.15" customHeight="1"/>
    <row r="12" spans="6:20" ht="13.15" customHeight="1"/>
    <row r="13" spans="6:20" ht="13.15" customHeight="1">
      <c r="T13" s="339" t="str">
        <f ca="1">MID(CELL("filename",A1),FIND("[",CELL("filename",A1))+1,FIND("]",CELL("filename",A1))-FIND("[",CELL("filename",A1))-1)</f>
        <v>alert_C_BRLV-CSTD-2-00-C-C0.xlsx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40"/>
      <c r="V32" s="340"/>
    </row>
    <row r="33" spans="3:39" ht="13.15" customHeight="1">
      <c r="M33" s="341"/>
      <c r="N33" s="341"/>
      <c r="O33" s="341"/>
      <c r="P33" s="341"/>
      <c r="Q33" s="341"/>
      <c r="AF33" s="341"/>
      <c r="AG33" s="341"/>
      <c r="AH33" s="341"/>
      <c r="AI33" s="341"/>
      <c r="AJ33" s="341"/>
    </row>
    <row r="34" spans="3:39" ht="13.15" customHeight="1">
      <c r="Y34" s="153" t="s">
        <v>321</v>
      </c>
    </row>
    <row r="35" spans="3:39" ht="13.15" customHeight="1">
      <c r="Y35" s="342" t="s">
        <v>322</v>
      </c>
      <c r="Z35" s="343"/>
      <c r="AA35" s="343"/>
      <c r="AB35" s="343"/>
      <c r="AC35" s="344"/>
      <c r="AD35" s="342" t="s">
        <v>323</v>
      </c>
      <c r="AE35" s="343"/>
      <c r="AF35" s="343"/>
      <c r="AG35" s="343"/>
      <c r="AH35" s="344"/>
      <c r="AI35" s="342" t="s">
        <v>324</v>
      </c>
      <c r="AJ35" s="343"/>
      <c r="AK35" s="343"/>
      <c r="AL35" s="343"/>
      <c r="AM35" s="344"/>
    </row>
    <row r="36" spans="3:39" ht="13.15" customHeight="1">
      <c r="D36" s="341"/>
      <c r="E36" s="345"/>
      <c r="F36" s="341"/>
      <c r="G36" s="341"/>
      <c r="I36" s="341"/>
      <c r="J36" s="345"/>
      <c r="K36" s="341"/>
      <c r="L36" s="341"/>
      <c r="M36" s="341"/>
      <c r="N36" s="341"/>
      <c r="O36" s="345"/>
      <c r="P36" s="341"/>
      <c r="Q36" s="341"/>
      <c r="W36" s="341"/>
      <c r="X36" s="345"/>
      <c r="Y36" s="346"/>
      <c r="Z36" s="347"/>
      <c r="AA36" s="347"/>
      <c r="AB36" s="347"/>
      <c r="AC36" s="348"/>
      <c r="AD36" s="346"/>
      <c r="AE36" s="347"/>
      <c r="AF36" s="347"/>
      <c r="AG36" s="347"/>
      <c r="AH36" s="348"/>
      <c r="AI36" s="346"/>
      <c r="AJ36" s="347"/>
      <c r="AK36" s="347"/>
      <c r="AL36" s="347"/>
      <c r="AM36" s="348"/>
    </row>
    <row r="37" spans="3:39" ht="13.15" customHeight="1">
      <c r="Y37" s="349"/>
      <c r="AC37" s="350"/>
      <c r="AD37" s="349"/>
      <c r="AH37" s="350"/>
      <c r="AI37" s="349"/>
      <c r="AM37" s="350"/>
    </row>
    <row r="38" spans="3:39" ht="13.15" customHeight="1">
      <c r="Y38" s="349"/>
      <c r="Z38" s="341"/>
      <c r="AA38" s="345" t="s">
        <v>325</v>
      </c>
      <c r="AB38" s="341"/>
      <c r="AC38" s="351"/>
      <c r="AD38" s="349"/>
      <c r="AE38" s="341"/>
      <c r="AF38" s="345" t="s">
        <v>326</v>
      </c>
      <c r="AG38" s="341"/>
      <c r="AH38" s="351"/>
      <c r="AI38" s="352"/>
      <c r="AJ38" s="341"/>
      <c r="AK38" s="345" t="s">
        <v>327</v>
      </c>
      <c r="AL38" s="341"/>
      <c r="AM38" s="351"/>
    </row>
    <row r="39" spans="3:39" ht="13.15" customHeight="1">
      <c r="Y39" s="349"/>
      <c r="AC39" s="350"/>
      <c r="AD39" s="349"/>
      <c r="AH39" s="350"/>
      <c r="AI39" s="349"/>
      <c r="AM39" s="350"/>
    </row>
    <row r="40" spans="3:39" ht="13.15" customHeight="1">
      <c r="C40" s="340"/>
      <c r="V40" s="340"/>
      <c r="Y40" s="353"/>
      <c r="Z40" s="354"/>
      <c r="AA40" s="354"/>
      <c r="AB40" s="354"/>
      <c r="AC40" s="355"/>
      <c r="AD40" s="353"/>
      <c r="AE40" s="354"/>
      <c r="AF40" s="354"/>
      <c r="AG40" s="354"/>
      <c r="AH40" s="355"/>
      <c r="AI40" s="353"/>
      <c r="AJ40" s="354"/>
      <c r="AK40" s="354"/>
      <c r="AL40" s="354"/>
      <c r="AM40" s="355"/>
    </row>
    <row r="41" spans="3:39" ht="13.15" customHeight="1"/>
    <row r="42" spans="3:39" ht="13.15" customHeight="1">
      <c r="Y42" s="340" t="s">
        <v>328</v>
      </c>
    </row>
    <row r="43" spans="3:39" ht="13.15" customHeight="1">
      <c r="Y43" s="342" t="s">
        <v>322</v>
      </c>
      <c r="Z43" s="343"/>
      <c r="AA43" s="343"/>
      <c r="AB43" s="343"/>
      <c r="AC43" s="344"/>
      <c r="AD43" s="342" t="s">
        <v>323</v>
      </c>
      <c r="AE43" s="343"/>
      <c r="AF43" s="343"/>
      <c r="AG43" s="343"/>
      <c r="AH43" s="344"/>
      <c r="AI43" s="342" t="s">
        <v>324</v>
      </c>
      <c r="AJ43" s="343"/>
      <c r="AK43" s="343"/>
      <c r="AL43" s="343"/>
      <c r="AM43" s="344"/>
    </row>
    <row r="44" spans="3:39" ht="13.15" customHeight="1">
      <c r="D44" s="341"/>
      <c r="E44" s="345"/>
      <c r="F44" s="341"/>
      <c r="G44" s="341"/>
      <c r="H44" s="341"/>
      <c r="I44" s="341"/>
      <c r="J44" s="345"/>
      <c r="K44" s="341"/>
      <c r="L44" s="341"/>
      <c r="M44" s="341"/>
      <c r="N44" s="341"/>
      <c r="O44" s="345"/>
      <c r="P44" s="341"/>
      <c r="Q44" s="341"/>
      <c r="W44" s="341"/>
      <c r="X44" s="345"/>
      <c r="Y44" s="346"/>
      <c r="Z44" s="347"/>
      <c r="AA44" s="347"/>
      <c r="AB44" s="347"/>
      <c r="AC44" s="348"/>
      <c r="AD44" s="347"/>
      <c r="AE44" s="347"/>
      <c r="AF44" s="347"/>
      <c r="AG44" s="347"/>
      <c r="AH44" s="348"/>
      <c r="AI44" s="346"/>
      <c r="AJ44" s="347"/>
      <c r="AK44" s="347"/>
      <c r="AL44" s="347"/>
      <c r="AM44" s="348"/>
    </row>
    <row r="45" spans="3:39" ht="13.15" customHeight="1">
      <c r="Y45" s="349"/>
      <c r="AC45" s="350"/>
      <c r="AH45" s="350"/>
      <c r="AI45" s="349"/>
      <c r="AM45" s="350"/>
    </row>
    <row r="46" spans="3:39" ht="13.15" customHeight="1">
      <c r="Y46" s="349"/>
      <c r="Z46" s="341"/>
      <c r="AA46" s="345" t="s">
        <v>329</v>
      </c>
      <c r="AB46" s="341"/>
      <c r="AC46" s="351"/>
      <c r="AD46" s="341"/>
      <c r="AE46" s="341"/>
      <c r="AF46" s="345" t="s">
        <v>330</v>
      </c>
      <c r="AG46" s="341"/>
      <c r="AH46" s="351"/>
      <c r="AI46" s="352"/>
      <c r="AJ46" s="341"/>
      <c r="AK46" s="345" t="s">
        <v>331</v>
      </c>
      <c r="AL46" s="341"/>
      <c r="AM46" s="351"/>
    </row>
    <row r="47" spans="3:39" ht="13.15" customHeight="1">
      <c r="Y47" s="349"/>
      <c r="AC47" s="350"/>
      <c r="AH47" s="350"/>
      <c r="AI47" s="349"/>
      <c r="AM47" s="350"/>
    </row>
    <row r="48" spans="3:39" ht="13.15" customHeight="1">
      <c r="C48" s="340"/>
      <c r="V48" s="340"/>
      <c r="Y48" s="353"/>
      <c r="Z48" s="354"/>
      <c r="AA48" s="354"/>
      <c r="AB48" s="354"/>
      <c r="AC48" s="355"/>
      <c r="AD48" s="354"/>
      <c r="AE48" s="354"/>
      <c r="AF48" s="354"/>
      <c r="AG48" s="354"/>
      <c r="AH48" s="355"/>
      <c r="AI48" s="353"/>
      <c r="AJ48" s="354"/>
      <c r="AK48" s="354"/>
      <c r="AL48" s="354"/>
      <c r="AM48" s="355"/>
    </row>
    <row r="49" spans="4:39" ht="13.15" customHeight="1"/>
    <row r="50" spans="4:39" ht="13.15" customHeight="1">
      <c r="Y50" s="340" t="s">
        <v>332</v>
      </c>
    </row>
    <row r="51" spans="4:39" ht="13.15" customHeight="1">
      <c r="Y51" s="342" t="s">
        <v>322</v>
      </c>
      <c r="Z51" s="343"/>
      <c r="AA51" s="343"/>
      <c r="AB51" s="343"/>
      <c r="AC51" s="344"/>
      <c r="AD51" s="342" t="s">
        <v>323</v>
      </c>
      <c r="AE51" s="343"/>
      <c r="AF51" s="343"/>
      <c r="AG51" s="343"/>
      <c r="AH51" s="344"/>
      <c r="AI51" s="342" t="s">
        <v>324</v>
      </c>
      <c r="AJ51" s="343"/>
      <c r="AK51" s="343"/>
      <c r="AL51" s="343"/>
      <c r="AM51" s="344"/>
    </row>
    <row r="52" spans="4:39" ht="13.15" customHeight="1">
      <c r="D52" s="341"/>
      <c r="E52" s="345"/>
      <c r="F52" s="341"/>
      <c r="G52" s="341"/>
      <c r="H52" s="341"/>
      <c r="I52" s="341"/>
      <c r="J52" s="345"/>
      <c r="K52" s="341"/>
      <c r="L52" s="341"/>
      <c r="M52" s="341"/>
      <c r="N52" s="341"/>
      <c r="O52" s="345"/>
      <c r="P52" s="341"/>
      <c r="Q52" s="341"/>
      <c r="W52" s="341"/>
      <c r="X52" s="345"/>
      <c r="Y52" s="346"/>
      <c r="Z52" s="347"/>
      <c r="AA52" s="347"/>
      <c r="AB52" s="347"/>
      <c r="AC52" s="348"/>
      <c r="AD52" s="347"/>
      <c r="AE52" s="347"/>
      <c r="AF52" s="347"/>
      <c r="AG52" s="347"/>
      <c r="AH52" s="348"/>
      <c r="AI52" s="346"/>
      <c r="AJ52" s="347"/>
      <c r="AK52" s="347"/>
      <c r="AL52" s="347"/>
      <c r="AM52" s="348"/>
    </row>
    <row r="53" spans="4:39" ht="13.15" customHeight="1">
      <c r="Y53" s="349"/>
      <c r="AC53" s="350"/>
      <c r="AH53" s="350"/>
      <c r="AI53" s="349"/>
      <c r="AM53" s="350"/>
    </row>
    <row r="54" spans="4:39" ht="13.15" customHeight="1">
      <c r="Y54" s="349"/>
      <c r="Z54" s="341"/>
      <c r="AA54" s="345" t="s">
        <v>333</v>
      </c>
      <c r="AB54" s="341"/>
      <c r="AC54" s="351"/>
      <c r="AD54" s="341"/>
      <c r="AE54" s="341"/>
      <c r="AF54" s="345" t="s">
        <v>334</v>
      </c>
      <c r="AG54" s="341"/>
      <c r="AH54" s="351"/>
      <c r="AI54" s="352"/>
      <c r="AJ54" s="341"/>
      <c r="AK54" s="345" t="s">
        <v>327</v>
      </c>
      <c r="AL54" s="341"/>
      <c r="AM54" s="351"/>
    </row>
    <row r="55" spans="4:39" ht="13.15" customHeight="1">
      <c r="Y55" s="349"/>
      <c r="AC55" s="350"/>
      <c r="AH55" s="350"/>
      <c r="AI55" s="349"/>
      <c r="AM55" s="350"/>
    </row>
    <row r="56" spans="4:39" ht="13.15" customHeight="1">
      <c r="Y56" s="353"/>
      <c r="Z56" s="354"/>
      <c r="AA56" s="354"/>
      <c r="AB56" s="354"/>
      <c r="AC56" s="355"/>
      <c r="AD56" s="354"/>
      <c r="AE56" s="354"/>
      <c r="AF56" s="354"/>
      <c r="AG56" s="354"/>
      <c r="AH56" s="355"/>
      <c r="AI56" s="353"/>
      <c r="AJ56" s="354"/>
      <c r="AK56" s="354"/>
      <c r="AL56" s="354"/>
      <c r="AM56" s="355"/>
    </row>
    <row r="57" spans="4:39" ht="13.15" customHeight="1">
      <c r="AK57" s="337" t="s">
        <v>335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zoomScaleNormal="100" workbookViewId="0"/>
  </sheetViews>
  <sheetFormatPr defaultRowHeight="13"/>
  <cols>
    <col min="1" max="1" width="4.453125" customWidth="1"/>
    <col min="2" max="2" width="9" style="9" hidden="1" customWidth="1"/>
    <col min="4" max="4" width="69.453125" customWidth="1"/>
    <col min="5" max="6" width="12.90625" customWidth="1"/>
    <col min="7" max="10" width="13.08984375" hidden="1" customWidth="1"/>
    <col min="11" max="12" width="13.08984375" customWidth="1"/>
    <col min="13" max="18" width="13.08984375" hidden="1" customWidth="1"/>
  </cols>
  <sheetData>
    <row r="2" spans="2:18" ht="25.5" customHeight="1">
      <c r="C2" s="6"/>
      <c r="D2" s="6"/>
      <c r="E2" s="6"/>
      <c r="F2" s="6"/>
      <c r="H2" s="7" t="s">
        <v>13</v>
      </c>
      <c r="I2" s="286" t="s">
        <v>14</v>
      </c>
      <c r="J2" s="286"/>
      <c r="K2" s="286"/>
      <c r="L2" s="286"/>
      <c r="M2" s="286"/>
      <c r="N2" s="286"/>
      <c r="O2" s="286"/>
      <c r="P2" s="286"/>
      <c r="Q2" s="286"/>
      <c r="R2" s="286"/>
    </row>
    <row r="3" spans="2:18" ht="25.5" customHeight="1">
      <c r="C3" s="6"/>
      <c r="D3" s="10" t="str">
        <f ca="1">REPLACE(LEFT(CELL("filename",$B$1),FIND(".xls",CELL("filename",$B$1))-1),1,FIND("[",CELL("filename",$B$1)),)</f>
        <v>alert_C_BRLV-CSTD-2-00-C-C0</v>
      </c>
      <c r="E3" s="6"/>
      <c r="F3" s="6"/>
      <c r="H3" s="8" t="s">
        <v>171</v>
      </c>
      <c r="I3" s="287" t="s">
        <v>170</v>
      </c>
      <c r="J3" s="288"/>
      <c r="K3" s="288"/>
      <c r="L3" s="288"/>
      <c r="M3" s="288"/>
      <c r="N3" s="288"/>
      <c r="O3" s="288"/>
      <c r="P3" s="288"/>
      <c r="Q3" s="288"/>
      <c r="R3" s="288"/>
    </row>
    <row r="4" spans="2:18" ht="25.5" customHeight="1">
      <c r="C4" s="6"/>
      <c r="D4" s="6"/>
      <c r="E4" s="23" t="str">
        <f>DGET(B8:C16,"Ver.",H4:H5)</f>
        <v>1.1.1</v>
      </c>
      <c r="F4" s="6"/>
      <c r="H4" s="9" t="s">
        <v>16</v>
      </c>
    </row>
    <row r="5" spans="2:18" ht="25.5" customHeight="1">
      <c r="C5" s="6"/>
      <c r="D5" s="6"/>
      <c r="E5" s="6"/>
      <c r="F5" s="6"/>
      <c r="H5" s="11">
        <f>MAX(B9:B16)</f>
        <v>3</v>
      </c>
    </row>
    <row r="6" spans="2:18" ht="13.5" thickBot="1"/>
    <row r="7" spans="2:18">
      <c r="C7" s="280" t="s">
        <v>0</v>
      </c>
      <c r="D7" s="281"/>
      <c r="E7" s="282" t="s">
        <v>2</v>
      </c>
      <c r="F7" s="282"/>
      <c r="G7" s="283" t="s">
        <v>5</v>
      </c>
      <c r="H7" s="283"/>
      <c r="I7" s="283"/>
      <c r="J7" s="283"/>
      <c r="K7" s="283"/>
      <c r="L7" s="283"/>
      <c r="M7" s="284" t="s">
        <v>12</v>
      </c>
      <c r="N7" s="284"/>
      <c r="O7" s="284"/>
      <c r="P7" s="284"/>
      <c r="Q7" s="284"/>
      <c r="R7" s="285"/>
    </row>
    <row r="8" spans="2:18" ht="26.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1.5" thickTop="1">
      <c r="B9" s="9">
        <f>IF(C9=0,0,ROW()-ROW($B$8))</f>
        <v>1</v>
      </c>
      <c r="C9" s="12" t="s">
        <v>15</v>
      </c>
      <c r="D9" s="273" t="s">
        <v>288</v>
      </c>
      <c r="E9" s="13" t="s">
        <v>194</v>
      </c>
      <c r="F9" s="13" t="s">
        <v>198</v>
      </c>
      <c r="G9" s="13" t="s">
        <v>194</v>
      </c>
      <c r="H9" s="13" t="s">
        <v>194</v>
      </c>
      <c r="I9" s="13" t="s">
        <v>194</v>
      </c>
      <c r="J9" s="13" t="s">
        <v>194</v>
      </c>
      <c r="K9" s="13" t="s">
        <v>194</v>
      </c>
      <c r="L9" s="13" t="s">
        <v>194</v>
      </c>
      <c r="M9" s="13"/>
      <c r="N9" s="265"/>
      <c r="O9" s="264"/>
      <c r="P9" s="265"/>
      <c r="Q9" s="264" t="s">
        <v>286</v>
      </c>
      <c r="R9" s="195">
        <v>44263</v>
      </c>
    </row>
    <row r="10" spans="2:18" ht="39">
      <c r="B10" s="9">
        <f t="shared" ref="B10:B15" si="0">IF(C10=0,0,ROW()-ROW($B$8))</f>
        <v>2</v>
      </c>
      <c r="C10" s="2" t="s">
        <v>315</v>
      </c>
      <c r="D10" s="260" t="s">
        <v>312</v>
      </c>
      <c r="E10" s="13" t="s">
        <v>31</v>
      </c>
      <c r="F10" s="13" t="s">
        <v>313</v>
      </c>
      <c r="G10" s="13" t="s">
        <v>31</v>
      </c>
      <c r="H10" s="13" t="s">
        <v>31</v>
      </c>
      <c r="I10" s="13" t="s">
        <v>31</v>
      </c>
      <c r="J10" s="13" t="s">
        <v>31</v>
      </c>
      <c r="K10" s="13" t="s">
        <v>31</v>
      </c>
      <c r="L10" s="13" t="s">
        <v>31</v>
      </c>
      <c r="M10" s="13" t="s">
        <v>31</v>
      </c>
      <c r="N10" s="261" t="s">
        <v>31</v>
      </c>
      <c r="O10" s="13" t="s">
        <v>31</v>
      </c>
      <c r="P10" s="261" t="s">
        <v>31</v>
      </c>
      <c r="Q10" s="13" t="s">
        <v>314</v>
      </c>
      <c r="R10" s="195">
        <v>45974</v>
      </c>
    </row>
    <row r="11" spans="2:18" ht="143">
      <c r="B11" s="9">
        <f t="shared" si="0"/>
        <v>3</v>
      </c>
      <c r="C11" s="275" t="s">
        <v>316</v>
      </c>
      <c r="D11" s="276" t="s">
        <v>320</v>
      </c>
      <c r="E11" s="277" t="s">
        <v>31</v>
      </c>
      <c r="F11" s="277" t="s">
        <v>31</v>
      </c>
      <c r="G11" s="13"/>
      <c r="H11" s="13"/>
      <c r="I11" s="13"/>
      <c r="J11" s="13"/>
      <c r="K11" s="278" t="s">
        <v>317</v>
      </c>
      <c r="L11" s="279">
        <v>46008</v>
      </c>
      <c r="M11" s="13"/>
      <c r="N11" s="261"/>
      <c r="O11" s="13"/>
      <c r="P11" s="261"/>
      <c r="Q11" s="13"/>
      <c r="R11" s="195"/>
    </row>
    <row r="12" spans="2:18">
      <c r="B12" s="9">
        <f t="shared" si="0"/>
        <v>0</v>
      </c>
      <c r="C12" s="2"/>
      <c r="D12" s="260"/>
      <c r="E12" s="13"/>
      <c r="F12" s="13"/>
      <c r="G12" s="13"/>
      <c r="H12" s="13"/>
      <c r="I12" s="13"/>
      <c r="J12" s="13"/>
      <c r="K12" s="13"/>
      <c r="L12" s="13"/>
      <c r="M12" s="13"/>
      <c r="N12" s="263"/>
      <c r="O12" s="1"/>
      <c r="P12" s="263"/>
      <c r="Q12" s="1"/>
      <c r="R12" s="262"/>
    </row>
    <row r="13" spans="2:18">
      <c r="B13" s="9">
        <f t="shared" ref="B13:B14" si="1">IF(C13=0,0,ROW()-ROW($B$8))</f>
        <v>0</v>
      </c>
      <c r="C13" s="2"/>
      <c r="D13" s="260"/>
      <c r="E13" s="1"/>
      <c r="F13" s="1"/>
      <c r="G13" s="1"/>
      <c r="H13" s="1"/>
      <c r="I13" s="1"/>
      <c r="J13" s="1"/>
      <c r="K13" s="1"/>
      <c r="L13" s="1"/>
      <c r="M13" s="1"/>
      <c r="N13" s="1"/>
      <c r="O13" s="1"/>
      <c r="P13" s="1"/>
      <c r="Q13" s="1"/>
      <c r="R13" s="262"/>
    </row>
    <row r="14" spans="2:18">
      <c r="B14" s="9">
        <f t="shared" si="1"/>
        <v>0</v>
      </c>
      <c r="C14" s="267"/>
      <c r="D14" s="268"/>
      <c r="E14" s="1"/>
      <c r="F14" s="1"/>
      <c r="G14" s="1"/>
      <c r="H14" s="1"/>
      <c r="I14" s="1"/>
      <c r="J14" s="1"/>
      <c r="K14" s="1"/>
      <c r="L14" s="1"/>
      <c r="M14" s="1"/>
      <c r="N14" s="1"/>
      <c r="O14" s="1"/>
      <c r="P14" s="1"/>
      <c r="Q14" s="1"/>
      <c r="R14" s="262"/>
    </row>
    <row r="15" spans="2:18" ht="13.5" thickBot="1">
      <c r="B15" s="9">
        <f t="shared" si="0"/>
        <v>0</v>
      </c>
      <c r="C15" s="3"/>
      <c r="D15" s="4"/>
      <c r="E15" s="4"/>
      <c r="F15" s="4"/>
      <c r="G15" s="4"/>
      <c r="H15" s="4"/>
      <c r="I15" s="4"/>
      <c r="J15" s="4"/>
      <c r="K15" s="4"/>
      <c r="L15" s="4"/>
      <c r="M15" s="4"/>
      <c r="N15" s="4"/>
      <c r="O15" s="4"/>
      <c r="P15" s="4"/>
      <c r="Q15" s="4"/>
      <c r="R15"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53" t="s">
        <v>126</v>
      </c>
    </row>
    <row r="3" spans="2:5">
      <c r="C3" t="s">
        <v>136</v>
      </c>
    </row>
    <row r="6" spans="2:5" ht="13.5" thickBot="1">
      <c r="B6" s="153" t="s">
        <v>127</v>
      </c>
      <c r="C6" s="153"/>
    </row>
    <row r="7" spans="2:5" ht="13.5" thickBot="1">
      <c r="C7" s="87" t="s">
        <v>129</v>
      </c>
      <c r="D7" s="95"/>
      <c r="E7" s="88" t="s">
        <v>137</v>
      </c>
    </row>
    <row r="8" spans="2:5" ht="20.25" customHeight="1" thickTop="1">
      <c r="C8" s="157">
        <v>0</v>
      </c>
      <c r="D8" s="96" t="s">
        <v>138</v>
      </c>
      <c r="E8" s="156" t="s">
        <v>139</v>
      </c>
    </row>
    <row r="9" spans="2:5" ht="26">
      <c r="C9" s="163">
        <v>1</v>
      </c>
      <c r="D9" s="165" t="s">
        <v>156</v>
      </c>
      <c r="E9" s="164" t="s">
        <v>155</v>
      </c>
    </row>
    <row r="10" spans="2:5" ht="13.5" thickBot="1">
      <c r="C10" s="161"/>
      <c r="D10" s="98"/>
      <c r="E10" s="5"/>
    </row>
    <row r="11" spans="2:5">
      <c r="C11" s="159"/>
    </row>
    <row r="12" spans="2:5" ht="13.5" thickBot="1">
      <c r="B12" s="154" t="s">
        <v>128</v>
      </c>
      <c r="C12" s="94"/>
      <c r="D12" s="94"/>
    </row>
    <row r="13" spans="2:5" ht="13.5" thickBot="1">
      <c r="B13" s="155"/>
      <c r="C13" s="160" t="s">
        <v>129</v>
      </c>
      <c r="D13" s="95" t="s">
        <v>130</v>
      </c>
      <c r="E13" s="88" t="s">
        <v>131</v>
      </c>
    </row>
    <row r="14" spans="2:5" ht="13.5" thickTop="1">
      <c r="C14" s="157">
        <v>0</v>
      </c>
      <c r="D14" s="96" t="s">
        <v>144</v>
      </c>
      <c r="E14" s="162" t="s">
        <v>145</v>
      </c>
    </row>
    <row r="15" spans="2:5">
      <c r="C15" s="158">
        <v>1</v>
      </c>
      <c r="D15" s="97" t="s">
        <v>24</v>
      </c>
      <c r="E15" s="83" t="s">
        <v>132</v>
      </c>
    </row>
    <row r="16" spans="2:5">
      <c r="C16" s="158">
        <v>2</v>
      </c>
      <c r="D16" s="97" t="s">
        <v>25</v>
      </c>
      <c r="E16" s="83" t="s">
        <v>133</v>
      </c>
    </row>
    <row r="17" spans="2:5">
      <c r="C17" s="158">
        <v>3</v>
      </c>
      <c r="D17" s="97" t="s">
        <v>26</v>
      </c>
      <c r="E17" s="83" t="s">
        <v>134</v>
      </c>
    </row>
    <row r="18" spans="2:5">
      <c r="C18" s="158">
        <v>4</v>
      </c>
      <c r="D18" s="97" t="s">
        <v>27</v>
      </c>
      <c r="E18" s="83" t="s">
        <v>135</v>
      </c>
    </row>
    <row r="19" spans="2:5">
      <c r="C19" s="158">
        <v>5</v>
      </c>
      <c r="D19" s="97" t="s">
        <v>146</v>
      </c>
      <c r="E19" s="83" t="s">
        <v>148</v>
      </c>
    </row>
    <row r="20" spans="2:5">
      <c r="C20" s="158">
        <v>6</v>
      </c>
      <c r="D20" s="97" t="s">
        <v>152</v>
      </c>
      <c r="E20" s="83" t="s">
        <v>165</v>
      </c>
    </row>
    <row r="21" spans="2:5" ht="13.5" thickBot="1">
      <c r="C21" s="161"/>
      <c r="D21" s="98"/>
      <c r="E21" s="5"/>
    </row>
    <row r="24" spans="2:5" ht="13.5" thickBot="1">
      <c r="B24" s="153" t="s">
        <v>140</v>
      </c>
    </row>
    <row r="25" spans="2:5" ht="13.5" thickBot="1">
      <c r="C25" s="160" t="s">
        <v>129</v>
      </c>
      <c r="D25" s="95" t="s">
        <v>130</v>
      </c>
      <c r="E25" s="88" t="s">
        <v>131</v>
      </c>
    </row>
    <row r="26" spans="2:5" ht="30.75" customHeight="1" thickTop="1">
      <c r="C26" s="157">
        <v>0</v>
      </c>
      <c r="D26" s="96" t="s">
        <v>141</v>
      </c>
      <c r="E26" s="162" t="s">
        <v>149</v>
      </c>
    </row>
    <row r="27" spans="2:5" ht="120" customHeight="1">
      <c r="C27" s="158">
        <v>1</v>
      </c>
      <c r="D27" s="97" t="s">
        <v>167</v>
      </c>
      <c r="E27" s="99" t="s">
        <v>169</v>
      </c>
    </row>
    <row r="28" spans="2:5" ht="81" customHeight="1">
      <c r="C28" s="158">
        <v>2</v>
      </c>
      <c r="D28" s="97" t="s">
        <v>164</v>
      </c>
      <c r="E28" s="99" t="s">
        <v>175</v>
      </c>
    </row>
    <row r="29" spans="2:5" ht="45" customHeight="1">
      <c r="C29" s="158">
        <v>3</v>
      </c>
      <c r="D29" s="97" t="s">
        <v>147</v>
      </c>
      <c r="E29" s="99" t="s">
        <v>150</v>
      </c>
    </row>
    <row r="30" spans="2:5" ht="16.5" customHeight="1">
      <c r="C30" s="158">
        <v>4</v>
      </c>
      <c r="D30" s="97" t="s">
        <v>142</v>
      </c>
      <c r="E30" s="83" t="s">
        <v>154</v>
      </c>
    </row>
    <row r="31" spans="2:5" ht="16.5" customHeight="1">
      <c r="C31" s="158">
        <v>5</v>
      </c>
      <c r="D31" s="97" t="s">
        <v>143</v>
      </c>
      <c r="E31" s="83" t="s">
        <v>151</v>
      </c>
    </row>
    <row r="32" spans="2:5">
      <c r="C32" s="158"/>
      <c r="D32" s="97"/>
      <c r="E32" s="83"/>
    </row>
    <row r="33" spans="2:5">
      <c r="C33" s="158"/>
      <c r="D33" s="97"/>
      <c r="E33" s="83"/>
    </row>
    <row r="34" spans="2:5" ht="13.5" thickBot="1">
      <c r="C34" s="161"/>
      <c r="D34" s="98"/>
      <c r="E34" s="5"/>
    </row>
    <row r="37" spans="2:5" ht="13.5" thickBot="1">
      <c r="B37" s="153" t="s">
        <v>161</v>
      </c>
    </row>
    <row r="38" spans="2:5">
      <c r="C38" s="289"/>
      <c r="D38" s="290"/>
      <c r="E38" s="120" t="s">
        <v>115</v>
      </c>
    </row>
    <row r="39" spans="2:5" ht="13.5" thickBot="1">
      <c r="C39" s="291"/>
      <c r="D39" s="292"/>
      <c r="E39" s="5"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90625" bestFit="1" customWidth="1"/>
    <col min="3" max="3" width="9.08984375" bestFit="1" customWidth="1"/>
    <col min="4" max="4" width="19.08984375" bestFit="1" customWidth="1"/>
    <col min="6" max="8" width="26.90625" customWidth="1"/>
    <col min="9" max="9" width="20.90625" hidden="1" customWidth="1"/>
    <col min="10" max="14" width="9" hidden="1" customWidth="1"/>
  </cols>
  <sheetData>
    <row r="1" spans="2:14" ht="13.5" thickBot="1"/>
    <row r="2" spans="2:14">
      <c r="B2" s="293" t="s">
        <v>19</v>
      </c>
      <c r="C2" s="294"/>
      <c r="D2" s="299" t="s">
        <v>318</v>
      </c>
      <c r="E2" s="300"/>
      <c r="F2" s="300"/>
      <c r="G2" s="300"/>
      <c r="H2" s="301"/>
    </row>
    <row r="3" spans="2:14" ht="13" customHeight="1">
      <c r="B3" s="295" t="s">
        <v>113</v>
      </c>
      <c r="C3" s="296"/>
      <c r="D3" s="302" t="s">
        <v>319</v>
      </c>
      <c r="E3" s="303"/>
      <c r="F3" s="303"/>
      <c r="G3" s="303"/>
      <c r="H3" s="304"/>
    </row>
    <row r="4" spans="2:14" ht="13.5" thickBot="1">
      <c r="B4" s="297" t="s">
        <v>18</v>
      </c>
      <c r="C4" s="298"/>
      <c r="D4" s="305" t="str">
        <f ca="1">表紙!D3&amp;".c"</f>
        <v>alert_C_BRLV-CSTD-2-00-C-C0.c</v>
      </c>
      <c r="E4" s="306"/>
      <c r="F4" s="306"/>
      <c r="G4" s="306"/>
      <c r="H4" s="307"/>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3" t="s">
        <v>36</v>
      </c>
      <c r="C6" s="294"/>
      <c r="D6" s="308" t="s">
        <v>307</v>
      </c>
      <c r="E6" s="309"/>
      <c r="F6" s="309"/>
      <c r="G6" s="309"/>
      <c r="H6" s="310"/>
    </row>
    <row r="7" spans="2:14">
      <c r="B7" s="295" t="s">
        <v>37</v>
      </c>
      <c r="C7" s="296"/>
      <c r="D7" s="311">
        <f>COUNTA($D$13:$D$37)</f>
        <v>2</v>
      </c>
      <c r="E7" s="312"/>
      <c r="F7" s="312"/>
      <c r="G7" s="312"/>
      <c r="H7" s="313"/>
    </row>
    <row r="8" spans="2:14">
      <c r="B8" s="295" t="s">
        <v>92</v>
      </c>
      <c r="C8" s="296"/>
      <c r="D8" s="311" t="str">
        <f>"st_gp_ALERT_"&amp;UPPER(D6)&amp;"_MTRX"</f>
        <v>st_gp_ALERT_C_BRLV_2_MTRX</v>
      </c>
      <c r="E8" s="312"/>
      <c r="F8" s="312"/>
      <c r="G8" s="312"/>
      <c r="H8" s="313"/>
    </row>
    <row r="9" spans="2:14">
      <c r="B9" s="295" t="s">
        <v>38</v>
      </c>
      <c r="C9" s="296"/>
      <c r="D9" s="314" t="s">
        <v>311</v>
      </c>
      <c r="E9" s="315"/>
      <c r="F9" s="315"/>
      <c r="G9" s="315"/>
      <c r="H9" s="316"/>
    </row>
    <row r="10" spans="2:14" ht="13.5" thickBot="1">
      <c r="B10" s="297" t="s">
        <v>44</v>
      </c>
      <c r="C10" s="298"/>
      <c r="D10" s="317"/>
      <c r="E10" s="318"/>
      <c r="F10" s="318"/>
      <c r="G10" s="318"/>
      <c r="H10" s="319"/>
    </row>
    <row r="11" spans="2:14" ht="13.5" thickBot="1"/>
    <row r="12" spans="2:14" ht="13.5" thickBot="1">
      <c r="B12" s="144" t="s">
        <v>34</v>
      </c>
      <c r="C12" s="113" t="s">
        <v>43</v>
      </c>
      <c r="D12" s="114" t="s">
        <v>35</v>
      </c>
      <c r="E12" s="114" t="s">
        <v>39</v>
      </c>
      <c r="F12" s="114" t="s">
        <v>40</v>
      </c>
      <c r="G12" s="114" t="s">
        <v>41</v>
      </c>
      <c r="H12" s="115" t="s">
        <v>42</v>
      </c>
      <c r="I12" s="149" t="s">
        <v>51</v>
      </c>
      <c r="K12" s="54" t="s">
        <v>45</v>
      </c>
      <c r="L12" s="54" t="s">
        <v>38</v>
      </c>
      <c r="M12" t="s">
        <v>84</v>
      </c>
    </row>
    <row r="13" spans="2:14" ht="13.5" thickTop="1">
      <c r="B13" s="116">
        <v>1</v>
      </c>
      <c r="C13" s="206" t="s">
        <v>275</v>
      </c>
      <c r="D13" s="198" t="s">
        <v>48</v>
      </c>
      <c r="E13" s="198" t="s">
        <v>195</v>
      </c>
      <c r="F13" s="60" t="str">
        <f t="shared" ref="F13:F37" si="0">IF($D13&lt;&gt;"","u4_s_Alert"&amp;UPPER(LEFT($D$6,1))&amp;LOWER(MID($D$6,2,100))&amp;IF($D$7=1,"",N13)&amp;"Srcchk","")</f>
        <v>u4_s_AlertC_brlv_2WrnSrcchk</v>
      </c>
      <c r="G13" s="60" t="str">
        <f t="shared" ref="G13:G37" si="1">IF($D13&lt;&gt;"",IF($E13="○","vd_s_Alert"&amp;UPPER(LEFT($D$6,1))&amp;LOWER(MID($D$6,2,100))&amp;IF($D$7=1,"",N13)&amp;"RwTx","NULL"),"")</f>
        <v>NULL</v>
      </c>
      <c r="H13" s="119" t="str">
        <f>IF($D13&lt;&gt;"","ALERT_CH_"&amp;UPPER($D$6)&amp;IF($D$7=1,"","_"&amp;UPPER($C13)),"")</f>
        <v>ALERT_CH_C_BRLV_2_WRN</v>
      </c>
      <c r="I13" s="150" t="str">
        <f>IF($D13&lt;&gt;"","ALERT_REQ_"&amp;UPPER($D$6)&amp;IF($D$7=1,"","_"&amp;UPPER($C13)),"")</f>
        <v>ALERT_REQ_C_BRLV_2_WRN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6">
        <v>2</v>
      </c>
      <c r="C14" s="192" t="s">
        <v>26</v>
      </c>
      <c r="D14" s="191" t="s">
        <v>48</v>
      </c>
      <c r="E14" s="191" t="s">
        <v>195</v>
      </c>
      <c r="F14" s="55" t="str">
        <f t="shared" si="0"/>
        <v>u4_s_AlertC_brlv_2BcSrcchk</v>
      </c>
      <c r="G14" s="55" t="str">
        <f t="shared" si="1"/>
        <v>NULL</v>
      </c>
      <c r="H14" s="76" t="str">
        <f t="shared" ref="H14:H37" si="4">IF($D14&lt;&gt;"","ALERT_CH_"&amp;UPPER($D$6)&amp;IF($D$7=1,"","_"&amp;UPPER($C14)),"")</f>
        <v>ALERT_CH_C_BRLV_2_BC</v>
      </c>
      <c r="I14" s="151" t="str">
        <f t="shared" ref="I14:I37" si="5">IF($D14&lt;&gt;"","ALERT_REQ_"&amp;UPPER($D$6)&amp;IF($D$7=1,"","_"&amp;UPPER($C14)),"")</f>
        <v>ALERT_REQ_C_BRLV_2_BC</v>
      </c>
      <c r="K14" t="s">
        <v>47</v>
      </c>
      <c r="L14" t="str">
        <f>"vd_g_Alert"&amp;UPPER(LEFT(D6,1))&amp;LOWER(MID(D6,2,100))&amp;"Init"</f>
        <v>vd_g_AlertC_brlv_2Init</v>
      </c>
      <c r="M14" t="e">
        <f t="shared" si="2"/>
        <v>#VALUE!</v>
      </c>
      <c r="N14" t="str">
        <f t="shared" si="3"/>
        <v>Bc</v>
      </c>
    </row>
    <row r="15" spans="2:14">
      <c r="B15" s="106">
        <v>3</v>
      </c>
      <c r="C15" s="147"/>
      <c r="D15" s="191"/>
      <c r="E15" s="198"/>
      <c r="F15" s="55" t="str">
        <f t="shared" si="0"/>
        <v/>
      </c>
      <c r="G15" s="55" t="str">
        <f t="shared" si="1"/>
        <v/>
      </c>
      <c r="H15" s="76" t="str">
        <f t="shared" si="4"/>
        <v/>
      </c>
      <c r="I15" s="151" t="str">
        <f t="shared" si="5"/>
        <v/>
      </c>
      <c r="K15" t="s">
        <v>117</v>
      </c>
      <c r="M15" t="e">
        <f t="shared" si="2"/>
        <v>#VALUE!</v>
      </c>
      <c r="N15" t="str">
        <f t="shared" si="3"/>
        <v/>
      </c>
    </row>
    <row r="16" spans="2:14">
      <c r="B16" s="106">
        <v>4</v>
      </c>
      <c r="C16" s="147"/>
      <c r="D16" s="148"/>
      <c r="E16" s="148"/>
      <c r="F16" s="55" t="str">
        <f t="shared" si="0"/>
        <v/>
      </c>
      <c r="G16" s="55" t="str">
        <f t="shared" si="1"/>
        <v/>
      </c>
      <c r="H16" s="76" t="str">
        <f t="shared" si="4"/>
        <v/>
      </c>
      <c r="I16" s="151" t="str">
        <f t="shared" si="5"/>
        <v/>
      </c>
      <c r="K16" t="s">
        <v>118</v>
      </c>
      <c r="M16" t="e">
        <f t="shared" si="2"/>
        <v>#VALUE!</v>
      </c>
      <c r="N16" t="str">
        <f t="shared" si="3"/>
        <v/>
      </c>
    </row>
    <row r="17" spans="2:14">
      <c r="B17" s="106">
        <v>5</v>
      </c>
      <c r="C17" s="147"/>
      <c r="D17" s="148"/>
      <c r="E17" s="148"/>
      <c r="F17" s="55" t="str">
        <f t="shared" si="0"/>
        <v/>
      </c>
      <c r="G17" s="55" t="str">
        <f t="shared" si="1"/>
        <v/>
      </c>
      <c r="H17" s="76" t="str">
        <f t="shared" si="4"/>
        <v/>
      </c>
      <c r="I17" s="151" t="str">
        <f t="shared" si="5"/>
        <v/>
      </c>
      <c r="K17" t="s">
        <v>48</v>
      </c>
      <c r="M17" t="e">
        <f t="shared" si="2"/>
        <v>#VALUE!</v>
      </c>
      <c r="N17" t="str">
        <f t="shared" si="3"/>
        <v/>
      </c>
    </row>
    <row r="18" spans="2:14">
      <c r="B18" s="106">
        <v>6</v>
      </c>
      <c r="C18" s="147"/>
      <c r="D18" s="148"/>
      <c r="E18" s="148"/>
      <c r="F18" s="55" t="str">
        <f t="shared" si="0"/>
        <v/>
      </c>
      <c r="G18" s="55" t="str">
        <f t="shared" si="1"/>
        <v/>
      </c>
      <c r="H18" s="76" t="str">
        <f t="shared" si="4"/>
        <v/>
      </c>
      <c r="I18" s="151" t="str">
        <f t="shared" si="5"/>
        <v/>
      </c>
      <c r="K18" t="s">
        <v>49</v>
      </c>
      <c r="M18" t="e">
        <f t="shared" si="2"/>
        <v>#VALUE!</v>
      </c>
      <c r="N18" t="str">
        <f t="shared" si="3"/>
        <v/>
      </c>
    </row>
    <row r="19" spans="2:14">
      <c r="B19" s="106">
        <v>7</v>
      </c>
      <c r="C19" s="147"/>
      <c r="D19" s="148"/>
      <c r="E19" s="148"/>
      <c r="F19" s="55" t="str">
        <f t="shared" si="0"/>
        <v/>
      </c>
      <c r="G19" s="55" t="str">
        <f t="shared" si="1"/>
        <v/>
      </c>
      <c r="H19" s="76" t="str">
        <f t="shared" si="4"/>
        <v/>
      </c>
      <c r="I19" s="151" t="str">
        <f t="shared" si="5"/>
        <v/>
      </c>
      <c r="K19" t="s">
        <v>49</v>
      </c>
      <c r="M19" t="e">
        <f t="shared" si="2"/>
        <v>#VALUE!</v>
      </c>
      <c r="N19" t="str">
        <f t="shared" si="3"/>
        <v/>
      </c>
    </row>
    <row r="20" spans="2:14">
      <c r="B20" s="106">
        <v>8</v>
      </c>
      <c r="C20" s="147"/>
      <c r="D20" s="148"/>
      <c r="E20" s="148"/>
      <c r="F20" s="55" t="str">
        <f t="shared" si="0"/>
        <v/>
      </c>
      <c r="G20" s="55" t="str">
        <f t="shared" si="1"/>
        <v/>
      </c>
      <c r="H20" s="76" t="str">
        <f t="shared" si="4"/>
        <v/>
      </c>
      <c r="I20" s="151" t="str">
        <f t="shared" si="5"/>
        <v/>
      </c>
      <c r="K20" t="s">
        <v>49</v>
      </c>
      <c r="M20" t="e">
        <f t="shared" si="2"/>
        <v>#VALUE!</v>
      </c>
      <c r="N20" t="str">
        <f t="shared" si="3"/>
        <v/>
      </c>
    </row>
    <row r="21" spans="2:14">
      <c r="B21" s="106">
        <v>9</v>
      </c>
      <c r="C21" s="147"/>
      <c r="D21" s="148"/>
      <c r="E21" s="148"/>
      <c r="F21" s="55" t="str">
        <f t="shared" si="0"/>
        <v/>
      </c>
      <c r="G21" s="55" t="str">
        <f t="shared" si="1"/>
        <v/>
      </c>
      <c r="H21" s="76" t="str">
        <f t="shared" si="4"/>
        <v/>
      </c>
      <c r="I21" s="151" t="str">
        <f t="shared" si="5"/>
        <v/>
      </c>
      <c r="K21" t="s">
        <v>49</v>
      </c>
      <c r="M21" t="e">
        <f t="shared" si="2"/>
        <v>#VALUE!</v>
      </c>
      <c r="N21" t="str">
        <f t="shared" si="3"/>
        <v/>
      </c>
    </row>
    <row r="22" spans="2:14">
      <c r="B22" s="106">
        <v>10</v>
      </c>
      <c r="C22" s="147"/>
      <c r="D22" s="148"/>
      <c r="E22" s="148"/>
      <c r="F22" s="55" t="str">
        <f t="shared" si="0"/>
        <v/>
      </c>
      <c r="G22" s="55" t="str">
        <f t="shared" si="1"/>
        <v/>
      </c>
      <c r="H22" s="76" t="str">
        <f t="shared" si="4"/>
        <v/>
      </c>
      <c r="I22" s="151" t="str">
        <f t="shared" si="5"/>
        <v/>
      </c>
      <c r="K22" t="s">
        <v>49</v>
      </c>
      <c r="M22" t="e">
        <f t="shared" si="2"/>
        <v>#VALUE!</v>
      </c>
      <c r="N22" t="str">
        <f t="shared" si="3"/>
        <v/>
      </c>
    </row>
    <row r="23" spans="2:14">
      <c r="B23" s="106">
        <v>11</v>
      </c>
      <c r="C23" s="147"/>
      <c r="D23" s="148"/>
      <c r="E23" s="148"/>
      <c r="F23" s="55" t="str">
        <f t="shared" si="0"/>
        <v/>
      </c>
      <c r="G23" s="55" t="str">
        <f t="shared" si="1"/>
        <v/>
      </c>
      <c r="H23" s="76" t="str">
        <f t="shared" si="4"/>
        <v/>
      </c>
      <c r="I23" s="151" t="str">
        <f t="shared" si="5"/>
        <v/>
      </c>
      <c r="K23" t="s">
        <v>49</v>
      </c>
      <c r="M23" t="e">
        <f t="shared" si="2"/>
        <v>#VALUE!</v>
      </c>
      <c r="N23" t="str">
        <f t="shared" si="3"/>
        <v/>
      </c>
    </row>
    <row r="24" spans="2:14">
      <c r="B24" s="106">
        <v>12</v>
      </c>
      <c r="C24" s="147"/>
      <c r="D24" s="148"/>
      <c r="E24" s="148"/>
      <c r="F24" s="55" t="str">
        <f t="shared" si="0"/>
        <v/>
      </c>
      <c r="G24" s="55" t="str">
        <f t="shared" si="1"/>
        <v/>
      </c>
      <c r="H24" s="76" t="str">
        <f t="shared" si="4"/>
        <v/>
      </c>
      <c r="I24" s="151" t="str">
        <f t="shared" si="5"/>
        <v/>
      </c>
      <c r="K24" t="s">
        <v>49</v>
      </c>
      <c r="M24" t="e">
        <f t="shared" si="2"/>
        <v>#VALUE!</v>
      </c>
      <c r="N24" t="str">
        <f t="shared" si="3"/>
        <v/>
      </c>
    </row>
    <row r="25" spans="2:14">
      <c r="B25" s="106">
        <v>13</v>
      </c>
      <c r="C25" s="147"/>
      <c r="D25" s="148"/>
      <c r="E25" s="148"/>
      <c r="F25" s="55" t="str">
        <f t="shared" si="0"/>
        <v/>
      </c>
      <c r="G25" s="55" t="str">
        <f t="shared" si="1"/>
        <v/>
      </c>
      <c r="H25" s="76" t="str">
        <f t="shared" si="4"/>
        <v/>
      </c>
      <c r="I25" s="151" t="str">
        <f t="shared" si="5"/>
        <v/>
      </c>
      <c r="K25" t="s">
        <v>49</v>
      </c>
      <c r="M25" t="e">
        <f t="shared" si="2"/>
        <v>#VALUE!</v>
      </c>
      <c r="N25" t="str">
        <f t="shared" si="3"/>
        <v/>
      </c>
    </row>
    <row r="26" spans="2:14">
      <c r="B26" s="106">
        <v>14</v>
      </c>
      <c r="C26" s="147"/>
      <c r="D26" s="148"/>
      <c r="E26" s="148"/>
      <c r="F26" s="55" t="str">
        <f t="shared" si="0"/>
        <v/>
      </c>
      <c r="G26" s="55" t="str">
        <f t="shared" si="1"/>
        <v/>
      </c>
      <c r="H26" s="76" t="str">
        <f t="shared" si="4"/>
        <v/>
      </c>
      <c r="I26" s="151" t="str">
        <f t="shared" si="5"/>
        <v/>
      </c>
      <c r="K26" t="s">
        <v>49</v>
      </c>
      <c r="M26" t="e">
        <f t="shared" si="2"/>
        <v>#VALUE!</v>
      </c>
      <c r="N26" t="str">
        <f t="shared" si="3"/>
        <v/>
      </c>
    </row>
    <row r="27" spans="2:14">
      <c r="B27" s="106">
        <v>15</v>
      </c>
      <c r="C27" s="147"/>
      <c r="D27" s="148"/>
      <c r="E27" s="148"/>
      <c r="F27" s="55" t="str">
        <f t="shared" si="0"/>
        <v/>
      </c>
      <c r="G27" s="55" t="str">
        <f t="shared" si="1"/>
        <v/>
      </c>
      <c r="H27" s="76" t="str">
        <f t="shared" si="4"/>
        <v/>
      </c>
      <c r="I27" s="151" t="str">
        <f t="shared" si="5"/>
        <v/>
      </c>
      <c r="K27" t="s">
        <v>49</v>
      </c>
      <c r="M27" t="e">
        <f t="shared" si="2"/>
        <v>#VALUE!</v>
      </c>
      <c r="N27" t="str">
        <f t="shared" si="3"/>
        <v/>
      </c>
    </row>
    <row r="28" spans="2:14">
      <c r="B28" s="106">
        <v>16</v>
      </c>
      <c r="C28" s="147"/>
      <c r="D28" s="148"/>
      <c r="E28" s="148"/>
      <c r="F28" s="55" t="str">
        <f t="shared" si="0"/>
        <v/>
      </c>
      <c r="G28" s="55" t="str">
        <f t="shared" si="1"/>
        <v/>
      </c>
      <c r="H28" s="76" t="str">
        <f t="shared" si="4"/>
        <v/>
      </c>
      <c r="I28" s="151" t="str">
        <f t="shared" si="5"/>
        <v/>
      </c>
      <c r="K28" t="s">
        <v>49</v>
      </c>
      <c r="M28" t="e">
        <f t="shared" si="2"/>
        <v>#VALUE!</v>
      </c>
      <c r="N28" t="str">
        <f t="shared" si="3"/>
        <v/>
      </c>
    </row>
    <row r="29" spans="2:14">
      <c r="B29" s="106">
        <v>17</v>
      </c>
      <c r="C29" s="147"/>
      <c r="D29" s="148"/>
      <c r="E29" s="148"/>
      <c r="F29" s="55" t="str">
        <f t="shared" si="0"/>
        <v/>
      </c>
      <c r="G29" s="55" t="str">
        <f t="shared" si="1"/>
        <v/>
      </c>
      <c r="H29" s="76" t="str">
        <f t="shared" si="4"/>
        <v/>
      </c>
      <c r="I29" s="151" t="str">
        <f t="shared" si="5"/>
        <v/>
      </c>
      <c r="K29" t="s">
        <v>49</v>
      </c>
      <c r="M29" t="e">
        <f t="shared" si="2"/>
        <v>#VALUE!</v>
      </c>
      <c r="N29" t="str">
        <f t="shared" si="3"/>
        <v/>
      </c>
    </row>
    <row r="30" spans="2:14">
      <c r="B30" s="106">
        <v>18</v>
      </c>
      <c r="C30" s="147"/>
      <c r="D30" s="148"/>
      <c r="E30" s="148"/>
      <c r="F30" s="55" t="str">
        <f t="shared" si="0"/>
        <v/>
      </c>
      <c r="G30" s="55" t="str">
        <f t="shared" si="1"/>
        <v/>
      </c>
      <c r="H30" s="76" t="str">
        <f t="shared" si="4"/>
        <v/>
      </c>
      <c r="I30" s="151" t="str">
        <f t="shared" si="5"/>
        <v/>
      </c>
      <c r="K30" t="s">
        <v>49</v>
      </c>
      <c r="M30" t="e">
        <f t="shared" si="2"/>
        <v>#VALUE!</v>
      </c>
      <c r="N30" t="str">
        <f t="shared" si="3"/>
        <v/>
      </c>
    </row>
    <row r="31" spans="2:14">
      <c r="B31" s="106">
        <v>19</v>
      </c>
      <c r="C31" s="147"/>
      <c r="D31" s="148"/>
      <c r="E31" s="148"/>
      <c r="F31" s="55" t="str">
        <f t="shared" si="0"/>
        <v/>
      </c>
      <c r="G31" s="55" t="str">
        <f t="shared" si="1"/>
        <v/>
      </c>
      <c r="H31" s="76" t="str">
        <f t="shared" si="4"/>
        <v/>
      </c>
      <c r="I31" s="151" t="str">
        <f t="shared" si="5"/>
        <v/>
      </c>
      <c r="K31" t="s">
        <v>49</v>
      </c>
      <c r="M31" t="e">
        <f t="shared" si="2"/>
        <v>#VALUE!</v>
      </c>
      <c r="N31" t="str">
        <f t="shared" si="3"/>
        <v/>
      </c>
    </row>
    <row r="32" spans="2:14">
      <c r="B32" s="106">
        <v>20</v>
      </c>
      <c r="C32" s="147"/>
      <c r="D32" s="148"/>
      <c r="E32" s="148"/>
      <c r="F32" s="55" t="str">
        <f t="shared" si="0"/>
        <v/>
      </c>
      <c r="G32" s="55" t="str">
        <f t="shared" si="1"/>
        <v/>
      </c>
      <c r="H32" s="76" t="str">
        <f t="shared" si="4"/>
        <v/>
      </c>
      <c r="I32" s="151" t="str">
        <f t="shared" si="5"/>
        <v/>
      </c>
      <c r="K32" t="s">
        <v>49</v>
      </c>
      <c r="M32" t="e">
        <f t="shared" si="2"/>
        <v>#VALUE!</v>
      </c>
      <c r="N32" t="str">
        <f t="shared" si="3"/>
        <v/>
      </c>
    </row>
    <row r="33" spans="2:14">
      <c r="B33" s="106">
        <v>21</v>
      </c>
      <c r="C33" s="147"/>
      <c r="D33" s="148"/>
      <c r="E33" s="148"/>
      <c r="F33" s="55" t="str">
        <f t="shared" si="0"/>
        <v/>
      </c>
      <c r="G33" s="55" t="str">
        <f t="shared" si="1"/>
        <v/>
      </c>
      <c r="H33" s="76" t="str">
        <f t="shared" si="4"/>
        <v/>
      </c>
      <c r="I33" s="151" t="str">
        <f t="shared" si="5"/>
        <v/>
      </c>
      <c r="K33" t="s">
        <v>49</v>
      </c>
      <c r="M33" t="e">
        <f t="shared" si="2"/>
        <v>#VALUE!</v>
      </c>
      <c r="N33" t="str">
        <f t="shared" si="3"/>
        <v/>
      </c>
    </row>
    <row r="34" spans="2:14">
      <c r="B34" s="106">
        <v>22</v>
      </c>
      <c r="C34" s="147"/>
      <c r="D34" s="148"/>
      <c r="E34" s="148"/>
      <c r="F34" s="55" t="str">
        <f t="shared" si="0"/>
        <v/>
      </c>
      <c r="G34" s="55" t="str">
        <f t="shared" si="1"/>
        <v/>
      </c>
      <c r="H34" s="76" t="str">
        <f t="shared" si="4"/>
        <v/>
      </c>
      <c r="I34" s="151" t="str">
        <f t="shared" si="5"/>
        <v/>
      </c>
      <c r="K34" t="s">
        <v>49</v>
      </c>
      <c r="M34" t="e">
        <f t="shared" si="2"/>
        <v>#VALUE!</v>
      </c>
      <c r="N34" t="str">
        <f t="shared" si="3"/>
        <v/>
      </c>
    </row>
    <row r="35" spans="2:14">
      <c r="B35" s="106">
        <v>23</v>
      </c>
      <c r="C35" s="147"/>
      <c r="D35" s="148"/>
      <c r="E35" s="148"/>
      <c r="F35" s="55" t="str">
        <f t="shared" si="0"/>
        <v/>
      </c>
      <c r="G35" s="55" t="str">
        <f t="shared" si="1"/>
        <v/>
      </c>
      <c r="H35" s="76" t="str">
        <f t="shared" si="4"/>
        <v/>
      </c>
      <c r="I35" s="151" t="str">
        <f t="shared" si="5"/>
        <v/>
      </c>
      <c r="K35" t="s">
        <v>49</v>
      </c>
      <c r="M35" t="e">
        <f t="shared" si="2"/>
        <v>#VALUE!</v>
      </c>
      <c r="N35" t="str">
        <f t="shared" si="3"/>
        <v/>
      </c>
    </row>
    <row r="36" spans="2:14">
      <c r="B36" s="106">
        <v>24</v>
      </c>
      <c r="C36" s="147"/>
      <c r="D36" s="148"/>
      <c r="E36" s="148"/>
      <c r="F36" s="55" t="str">
        <f t="shared" si="0"/>
        <v/>
      </c>
      <c r="G36" s="55" t="str">
        <f t="shared" si="1"/>
        <v/>
      </c>
      <c r="H36" s="76" t="str">
        <f t="shared" si="4"/>
        <v/>
      </c>
      <c r="I36" s="151" t="str">
        <f t="shared" si="5"/>
        <v/>
      </c>
      <c r="K36" t="s">
        <v>49</v>
      </c>
      <c r="M36" t="e">
        <f t="shared" si="2"/>
        <v>#VALUE!</v>
      </c>
      <c r="N36" t="str">
        <f t="shared" si="3"/>
        <v/>
      </c>
    </row>
    <row r="37" spans="2:14" ht="13.5" thickBot="1">
      <c r="B37" s="107">
        <v>25</v>
      </c>
      <c r="C37" s="145"/>
      <c r="D37" s="146"/>
      <c r="E37" s="146"/>
      <c r="F37" s="63" t="str">
        <f t="shared" si="0"/>
        <v/>
      </c>
      <c r="G37" s="63" t="str">
        <f t="shared" si="1"/>
        <v/>
      </c>
      <c r="H37" s="77" t="str">
        <f t="shared" si="4"/>
        <v/>
      </c>
      <c r="I37" s="152" t="str">
        <f t="shared" si="5"/>
        <v/>
      </c>
      <c r="K37" t="s">
        <v>49</v>
      </c>
      <c r="M37" t="e">
        <f t="shared" si="2"/>
        <v>#VALUE!</v>
      </c>
      <c r="N37" t="str">
        <f t="shared" si="3"/>
        <v/>
      </c>
    </row>
  </sheetData>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90625" bestFit="1" customWidth="1"/>
    <col min="3" max="3" width="19.08984375" bestFit="1" customWidth="1"/>
    <col min="4" max="4" width="13" customWidth="1"/>
    <col min="5" max="5" width="36.453125" customWidth="1"/>
    <col min="6" max="6" width="52.9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187</v>
      </c>
      <c r="O2" t="s">
        <v>189</v>
      </c>
    </row>
    <row r="3" spans="2:18" ht="13.5" thickBot="1">
      <c r="B3" s="144" t="s">
        <v>34</v>
      </c>
      <c r="C3" s="114" t="s">
        <v>177</v>
      </c>
      <c r="D3" s="114" t="s">
        <v>183</v>
      </c>
      <c r="E3" s="115" t="s">
        <v>184</v>
      </c>
      <c r="F3" s="188" t="s">
        <v>179</v>
      </c>
      <c r="G3" s="185" t="s">
        <v>192</v>
      </c>
      <c r="H3" s="54"/>
      <c r="I3" s="54"/>
      <c r="J3" s="54"/>
      <c r="K3" s="54"/>
      <c r="L3" s="54"/>
      <c r="M3" s="54"/>
      <c r="O3" s="144" t="s">
        <v>34</v>
      </c>
      <c r="P3" s="184" t="s">
        <v>173</v>
      </c>
      <c r="Q3" s="184" t="s">
        <v>186</v>
      </c>
      <c r="R3" s="185" t="s">
        <v>179</v>
      </c>
    </row>
    <row r="4" spans="2:18" ht="13.5" hidden="1" thickTop="1">
      <c r="B4" s="176">
        <v>0</v>
      </c>
      <c r="C4" s="177" t="s">
        <v>162</v>
      </c>
      <c r="D4" s="177"/>
      <c r="E4" s="178"/>
      <c r="F4" s="189"/>
      <c r="G4" s="190"/>
      <c r="H4" s="54"/>
      <c r="I4" s="54"/>
      <c r="J4" s="54"/>
      <c r="K4" s="54"/>
      <c r="L4" s="54"/>
      <c r="M4" s="54"/>
      <c r="O4" s="186">
        <v>0</v>
      </c>
      <c r="P4" s="183" t="s">
        <v>162</v>
      </c>
      <c r="Q4" s="183" t="s">
        <v>162</v>
      </c>
      <c r="R4" s="143"/>
    </row>
    <row r="5" spans="2:18" ht="13.5" thickTop="1">
      <c r="B5" s="179">
        <v>1</v>
      </c>
      <c r="C5" s="148"/>
      <c r="D5" s="24"/>
      <c r="E5" s="76" t="str">
        <f>IF($C5&lt;&gt;"","ALERT_" &amp; D5 &amp; "_ID_"&amp;UPPER(Matrix!$D$6) &amp; "_" &amp; $C5,"")</f>
        <v/>
      </c>
      <c r="F5" s="122"/>
      <c r="G5" s="76" t="str">
        <f>IF(E5&lt;&gt;"",LEN(E5),"")</f>
        <v/>
      </c>
      <c r="O5" s="179">
        <v>1</v>
      </c>
      <c r="P5" s="148"/>
      <c r="Q5" s="148"/>
      <c r="R5" s="123"/>
    </row>
    <row r="6" spans="2:18">
      <c r="B6" s="179">
        <v>2</v>
      </c>
      <c r="C6" s="148"/>
      <c r="D6" s="24"/>
      <c r="E6" s="76" t="str">
        <f>IF($C6&lt;&gt;"","ALERT_" &amp; D6 &amp; "_ID_"&amp;UPPER(Matrix!$D$6) &amp; "_" &amp; $C6,"")</f>
        <v/>
      </c>
      <c r="F6" s="122"/>
      <c r="G6" s="76" t="str">
        <f t="shared" ref="G6:G29" si="0">IF(E6&lt;&gt;"",LEN(E6),"")</f>
        <v/>
      </c>
      <c r="O6" s="179">
        <v>2</v>
      </c>
      <c r="P6" s="148"/>
      <c r="Q6" s="148"/>
      <c r="R6" s="123"/>
    </row>
    <row r="7" spans="2:18">
      <c r="B7" s="179">
        <v>3</v>
      </c>
      <c r="C7" s="148"/>
      <c r="D7" s="24"/>
      <c r="E7" s="76" t="str">
        <f>IF($C7&lt;&gt;"","ALERT_" &amp; D7 &amp; "_ID_"&amp;UPPER(Matrix!$D$6) &amp; "_" &amp; $C7,"")</f>
        <v/>
      </c>
      <c r="F7" s="122"/>
      <c r="G7" s="76" t="str">
        <f t="shared" si="0"/>
        <v/>
      </c>
      <c r="O7" s="179">
        <v>3</v>
      </c>
      <c r="P7" s="148"/>
      <c r="Q7" s="148"/>
      <c r="R7" s="123"/>
    </row>
    <row r="8" spans="2:18">
      <c r="B8" s="179">
        <v>4</v>
      </c>
      <c r="C8" s="148"/>
      <c r="D8" s="24"/>
      <c r="E8" s="76" t="str">
        <f>IF($C8&lt;&gt;"","ALERT_" &amp; D8 &amp; "_ID_"&amp;UPPER(Matrix!$D$6) &amp; "_" &amp; $C8,"")</f>
        <v/>
      </c>
      <c r="F8" s="122"/>
      <c r="G8" s="76" t="str">
        <f t="shared" si="0"/>
        <v/>
      </c>
      <c r="O8" s="179">
        <v>4</v>
      </c>
      <c r="P8" s="148"/>
      <c r="Q8" s="148"/>
      <c r="R8" s="123"/>
    </row>
    <row r="9" spans="2:18">
      <c r="B9" s="179">
        <v>5</v>
      </c>
      <c r="C9" s="148"/>
      <c r="D9" s="24"/>
      <c r="E9" s="76" t="str">
        <f>IF($C9&lt;&gt;"","ALERT_" &amp; D9 &amp; "_ID_"&amp;UPPER(Matrix!$D$6) &amp; "_" &amp; $C9,"")</f>
        <v/>
      </c>
      <c r="F9" s="122"/>
      <c r="G9" s="76" t="str">
        <f t="shared" si="0"/>
        <v/>
      </c>
      <c r="O9" s="179">
        <v>5</v>
      </c>
      <c r="P9" s="148"/>
      <c r="Q9" s="148"/>
      <c r="R9" s="123"/>
    </row>
    <row r="10" spans="2:18">
      <c r="B10" s="179">
        <v>6</v>
      </c>
      <c r="C10" s="148"/>
      <c r="D10" s="24"/>
      <c r="E10" s="76" t="str">
        <f>IF($C10&lt;&gt;"","ALERT_" &amp; D10 &amp; "_ID_"&amp;UPPER(Matrix!$D$6) &amp; "_" &amp; $C10,"")</f>
        <v/>
      </c>
      <c r="F10" s="122"/>
      <c r="G10" s="76" t="str">
        <f t="shared" si="0"/>
        <v/>
      </c>
      <c r="O10" s="179">
        <v>6</v>
      </c>
      <c r="P10" s="148"/>
      <c r="Q10" s="148"/>
      <c r="R10" s="123"/>
    </row>
    <row r="11" spans="2:18">
      <c r="B11" s="179">
        <v>7</v>
      </c>
      <c r="C11" s="148"/>
      <c r="D11" s="24"/>
      <c r="E11" s="76" t="str">
        <f>IF($C11&lt;&gt;"","ALERT_" &amp; D11 &amp; "_ID_"&amp;UPPER(Matrix!$D$6) &amp; "_" &amp; $C11,"")</f>
        <v/>
      </c>
      <c r="F11" s="122"/>
      <c r="G11" s="76" t="str">
        <f t="shared" si="0"/>
        <v/>
      </c>
      <c r="O11" s="179">
        <v>7</v>
      </c>
      <c r="P11" s="148"/>
      <c r="Q11" s="148"/>
      <c r="R11" s="123"/>
    </row>
    <row r="12" spans="2:18">
      <c r="B12" s="179">
        <v>8</v>
      </c>
      <c r="C12" s="148"/>
      <c r="D12" s="24"/>
      <c r="E12" s="76" t="str">
        <f>IF($C12&lt;&gt;"","ALERT_" &amp; D12 &amp; "_ID_"&amp;UPPER(Matrix!$D$6) &amp; "_" &amp; $C12,"")</f>
        <v/>
      </c>
      <c r="F12" s="122"/>
      <c r="G12" s="76" t="str">
        <f t="shared" si="0"/>
        <v/>
      </c>
      <c r="O12" s="179">
        <v>8</v>
      </c>
      <c r="P12" s="148"/>
      <c r="Q12" s="148"/>
      <c r="R12" s="123"/>
    </row>
    <row r="13" spans="2:18">
      <c r="B13" s="179">
        <v>9</v>
      </c>
      <c r="C13" s="148"/>
      <c r="D13" s="24"/>
      <c r="E13" s="76" t="str">
        <f>IF($C13&lt;&gt;"","ALERT_" &amp; D13 &amp; "_ID_"&amp;UPPER(Matrix!$D$6) &amp; "_" &amp; $C13,"")</f>
        <v/>
      </c>
      <c r="F13" s="122"/>
      <c r="G13" s="76" t="str">
        <f t="shared" si="0"/>
        <v/>
      </c>
      <c r="O13" s="179">
        <v>9</v>
      </c>
      <c r="P13" s="148"/>
      <c r="Q13" s="148"/>
      <c r="R13" s="123"/>
    </row>
    <row r="14" spans="2:18">
      <c r="B14" s="179">
        <v>10</v>
      </c>
      <c r="C14" s="148"/>
      <c r="D14" s="24"/>
      <c r="E14" s="76" t="str">
        <f>IF($C14&lt;&gt;"","ALERT_" &amp; D14 &amp; "_ID_"&amp;UPPER(Matrix!$D$6) &amp; "_" &amp; $C14,"")</f>
        <v/>
      </c>
      <c r="F14" s="122"/>
      <c r="G14" s="76" t="str">
        <f t="shared" si="0"/>
        <v/>
      </c>
      <c r="O14" s="179">
        <v>10</v>
      </c>
      <c r="P14" s="148"/>
      <c r="Q14" s="148"/>
      <c r="R14" s="123"/>
    </row>
    <row r="15" spans="2:18">
      <c r="B15" s="179">
        <v>11</v>
      </c>
      <c r="C15" s="148"/>
      <c r="D15" s="24"/>
      <c r="E15" s="76" t="str">
        <f>IF($C15&lt;&gt;"","ALERT_" &amp; D15 &amp; "_ID_"&amp;UPPER(Matrix!$D$6) &amp; "_" &amp; $C15,"")</f>
        <v/>
      </c>
      <c r="F15" s="122"/>
      <c r="G15" s="76" t="str">
        <f t="shared" si="0"/>
        <v/>
      </c>
      <c r="O15" s="179">
        <v>11</v>
      </c>
      <c r="P15" s="148"/>
      <c r="Q15" s="148"/>
      <c r="R15" s="123"/>
    </row>
    <row r="16" spans="2:18">
      <c r="B16" s="179">
        <v>12</v>
      </c>
      <c r="C16" s="148"/>
      <c r="D16" s="24"/>
      <c r="E16" s="76" t="str">
        <f>IF($C16&lt;&gt;"","ALERT_" &amp; D16 &amp; "_ID_"&amp;UPPER(Matrix!$D$6) &amp; "_" &amp; $C16,"")</f>
        <v/>
      </c>
      <c r="F16" s="122"/>
      <c r="G16" s="76" t="str">
        <f t="shared" si="0"/>
        <v/>
      </c>
      <c r="O16" s="179">
        <v>12</v>
      </c>
      <c r="P16" s="148"/>
      <c r="Q16" s="148"/>
      <c r="R16" s="123"/>
    </row>
    <row r="17" spans="2:18">
      <c r="B17" s="179">
        <v>13</v>
      </c>
      <c r="C17" s="148"/>
      <c r="D17" s="24"/>
      <c r="E17" s="76" t="str">
        <f>IF($C17&lt;&gt;"","ALERT_" &amp; D17 &amp; "_ID_"&amp;UPPER(Matrix!$D$6) &amp; "_" &amp; $C17,"")</f>
        <v/>
      </c>
      <c r="F17" s="122"/>
      <c r="G17" s="76" t="str">
        <f t="shared" si="0"/>
        <v/>
      </c>
      <c r="O17" s="179">
        <v>13</v>
      </c>
      <c r="P17" s="148"/>
      <c r="Q17" s="148"/>
      <c r="R17" s="123"/>
    </row>
    <row r="18" spans="2:18">
      <c r="B18" s="179">
        <v>14</v>
      </c>
      <c r="C18" s="148"/>
      <c r="D18" s="24"/>
      <c r="E18" s="76" t="str">
        <f>IF($C18&lt;&gt;"","ALERT_" &amp; D18 &amp; "_ID_"&amp;UPPER(Matrix!$D$6) &amp; "_" &amp; $C18,"")</f>
        <v/>
      </c>
      <c r="F18" s="122"/>
      <c r="G18" s="76" t="str">
        <f t="shared" si="0"/>
        <v/>
      </c>
      <c r="O18" s="179">
        <v>14</v>
      </c>
      <c r="P18" s="148"/>
      <c r="Q18" s="148"/>
      <c r="R18" s="123"/>
    </row>
    <row r="19" spans="2:18">
      <c r="B19" s="179">
        <v>15</v>
      </c>
      <c r="C19" s="148"/>
      <c r="D19" s="24"/>
      <c r="E19" s="76" t="str">
        <f>IF($C19&lt;&gt;"","ALERT_" &amp; D19 &amp; "_ID_"&amp;UPPER(Matrix!$D$6) &amp; "_" &amp; $C19,"")</f>
        <v/>
      </c>
      <c r="F19" s="122"/>
      <c r="G19" s="76" t="str">
        <f t="shared" si="0"/>
        <v/>
      </c>
      <c r="O19" s="179">
        <v>15</v>
      </c>
      <c r="P19" s="148"/>
      <c r="Q19" s="148"/>
      <c r="R19" s="123"/>
    </row>
    <row r="20" spans="2:18">
      <c r="B20" s="179">
        <v>16</v>
      </c>
      <c r="C20" s="148"/>
      <c r="D20" s="24"/>
      <c r="E20" s="76" t="str">
        <f>IF($C20&lt;&gt;"","ALERT_" &amp; D20 &amp; "_ID_"&amp;UPPER(Matrix!$D$6) &amp; "_" &amp; $C20,"")</f>
        <v/>
      </c>
      <c r="F20" s="122"/>
      <c r="G20" s="76" t="str">
        <f t="shared" si="0"/>
        <v/>
      </c>
      <c r="O20" s="179">
        <v>16</v>
      </c>
      <c r="P20" s="148"/>
      <c r="Q20" s="148"/>
      <c r="R20" s="123"/>
    </row>
    <row r="21" spans="2:18">
      <c r="B21" s="179">
        <v>17</v>
      </c>
      <c r="C21" s="148"/>
      <c r="D21" s="24"/>
      <c r="E21" s="76" t="str">
        <f>IF($C21&lt;&gt;"","ALERT_" &amp; D21 &amp; "_ID_"&amp;UPPER(Matrix!$D$6) &amp; "_" &amp; $C21,"")</f>
        <v/>
      </c>
      <c r="F21" s="122"/>
      <c r="G21" s="76" t="str">
        <f t="shared" si="0"/>
        <v/>
      </c>
      <c r="O21" s="179">
        <v>17</v>
      </c>
      <c r="P21" s="148"/>
      <c r="Q21" s="148"/>
      <c r="R21" s="123"/>
    </row>
    <row r="22" spans="2:18">
      <c r="B22" s="179">
        <v>18</v>
      </c>
      <c r="C22" s="148"/>
      <c r="D22" s="24"/>
      <c r="E22" s="76" t="str">
        <f>IF($C22&lt;&gt;"","ALERT_" &amp; D22 &amp; "_ID_"&amp;UPPER(Matrix!$D$6) &amp; "_" &amp; $C22,"")</f>
        <v/>
      </c>
      <c r="F22" s="122"/>
      <c r="G22" s="76" t="str">
        <f t="shared" si="0"/>
        <v/>
      </c>
      <c r="O22" s="179">
        <v>18</v>
      </c>
      <c r="P22" s="148"/>
      <c r="Q22" s="148"/>
      <c r="R22" s="123"/>
    </row>
    <row r="23" spans="2:18">
      <c r="B23" s="179">
        <v>19</v>
      </c>
      <c r="C23" s="148"/>
      <c r="D23" s="24"/>
      <c r="E23" s="76" t="str">
        <f>IF($C23&lt;&gt;"","ALERT_" &amp; D23 &amp; "_ID_"&amp;UPPER(Matrix!$D$6) &amp; "_" &amp; $C23,"")</f>
        <v/>
      </c>
      <c r="F23" s="122"/>
      <c r="G23" s="76" t="str">
        <f t="shared" si="0"/>
        <v/>
      </c>
      <c r="O23" s="179">
        <v>19</v>
      </c>
      <c r="P23" s="148"/>
      <c r="Q23" s="148"/>
      <c r="R23" s="123"/>
    </row>
    <row r="24" spans="2:18">
      <c r="B24" s="179">
        <v>20</v>
      </c>
      <c r="C24" s="148"/>
      <c r="D24" s="24"/>
      <c r="E24" s="76" t="str">
        <f>IF($C24&lt;&gt;"","ALERT_" &amp; D24 &amp; "_ID_"&amp;UPPER(Matrix!$D$6) &amp; "_" &amp; $C24,"")</f>
        <v/>
      </c>
      <c r="F24" s="122"/>
      <c r="G24" s="76" t="str">
        <f t="shared" si="0"/>
        <v/>
      </c>
      <c r="O24" s="179">
        <v>20</v>
      </c>
      <c r="P24" s="148"/>
      <c r="Q24" s="148"/>
      <c r="R24" s="123"/>
    </row>
    <row r="25" spans="2:18">
      <c r="B25" s="179">
        <v>21</v>
      </c>
      <c r="C25" s="148"/>
      <c r="D25" s="24"/>
      <c r="E25" s="76" t="str">
        <f>IF($C25&lt;&gt;"","ALERT_" &amp; D25 &amp; "_ID_"&amp;UPPER(Matrix!$D$6) &amp; "_" &amp; $C25,"")</f>
        <v/>
      </c>
      <c r="F25" s="122"/>
      <c r="G25" s="76" t="str">
        <f t="shared" si="0"/>
        <v/>
      </c>
      <c r="O25" s="179">
        <v>21</v>
      </c>
      <c r="P25" s="148"/>
      <c r="Q25" s="148"/>
      <c r="R25" s="123"/>
    </row>
    <row r="26" spans="2:18">
      <c r="B26" s="179">
        <v>22</v>
      </c>
      <c r="C26" s="148"/>
      <c r="D26" s="24"/>
      <c r="E26" s="76" t="str">
        <f>IF($C26&lt;&gt;"","ALERT_" &amp; D26 &amp; "_ID_"&amp;UPPER(Matrix!$D$6) &amp; "_" &amp; $C26,"")</f>
        <v/>
      </c>
      <c r="F26" s="122"/>
      <c r="G26" s="76" t="str">
        <f t="shared" si="0"/>
        <v/>
      </c>
      <c r="O26" s="179">
        <v>22</v>
      </c>
      <c r="P26" s="148"/>
      <c r="Q26" s="148"/>
      <c r="R26" s="123"/>
    </row>
    <row r="27" spans="2:18">
      <c r="B27" s="179">
        <v>23</v>
      </c>
      <c r="C27" s="148"/>
      <c r="D27" s="24"/>
      <c r="E27" s="76" t="str">
        <f>IF($C27&lt;&gt;"","ALERT_" &amp; D27 &amp; "_ID_"&amp;UPPER(Matrix!$D$6) &amp; "_" &amp; $C27,"")</f>
        <v/>
      </c>
      <c r="F27" s="122"/>
      <c r="G27" s="76" t="str">
        <f t="shared" si="0"/>
        <v/>
      </c>
      <c r="O27" s="179">
        <v>23</v>
      </c>
      <c r="P27" s="148"/>
      <c r="Q27" s="148"/>
      <c r="R27" s="123"/>
    </row>
    <row r="28" spans="2:18">
      <c r="B28" s="179">
        <v>24</v>
      </c>
      <c r="C28" s="148"/>
      <c r="D28" s="24"/>
      <c r="E28" s="76" t="str">
        <f>IF($C28&lt;&gt;"","ALERT_" &amp; D28 &amp; "_ID_"&amp;UPPER(Matrix!$D$6) &amp; "_" &amp; $C28,"")</f>
        <v/>
      </c>
      <c r="F28" s="122"/>
      <c r="G28" s="76" t="str">
        <f t="shared" si="0"/>
        <v/>
      </c>
      <c r="O28" s="179">
        <v>24</v>
      </c>
      <c r="P28" s="148"/>
      <c r="Q28" s="148"/>
      <c r="R28" s="123"/>
    </row>
    <row r="29" spans="2:18" ht="13.5" thickBot="1">
      <c r="B29" s="180">
        <v>25</v>
      </c>
      <c r="C29" s="146"/>
      <c r="D29" s="62"/>
      <c r="E29" s="77" t="str">
        <f>IF($C29&lt;&gt;"","ALERT_" &amp; D29 &amp; "_ID_"&amp;UPPER(Matrix!$D$6) &amp; "_" &amp; $C29,"")</f>
        <v/>
      </c>
      <c r="F29" s="124"/>
      <c r="G29" s="77" t="str">
        <f t="shared" si="0"/>
        <v/>
      </c>
      <c r="O29" s="180">
        <v>25</v>
      </c>
      <c r="P29" s="146"/>
      <c r="Q29" s="146"/>
      <c r="R29" s="125"/>
    </row>
    <row r="32" spans="2:18" ht="13.5" thickBot="1">
      <c r="B32" t="s">
        <v>188</v>
      </c>
      <c r="O32" t="s">
        <v>185</v>
      </c>
    </row>
    <row r="33" spans="2:18" ht="13.5" thickBot="1">
      <c r="B33" s="144" t="s">
        <v>34</v>
      </c>
      <c r="C33" s="114" t="s">
        <v>177</v>
      </c>
      <c r="D33" s="114" t="s">
        <v>182</v>
      </c>
      <c r="E33" s="115" t="s">
        <v>180</v>
      </c>
      <c r="F33" s="185" t="s">
        <v>181</v>
      </c>
      <c r="G33" s="185" t="s">
        <v>192</v>
      </c>
      <c r="O33" s="144" t="s">
        <v>34</v>
      </c>
      <c r="P33" s="184" t="s">
        <v>174</v>
      </c>
      <c r="Q33" s="184" t="s">
        <v>190</v>
      </c>
      <c r="R33" s="185" t="s">
        <v>178</v>
      </c>
    </row>
    <row r="34" spans="2:18" ht="13.5" hidden="1" thickTop="1">
      <c r="B34" s="176">
        <v>0</v>
      </c>
      <c r="C34" s="177" t="s">
        <v>162</v>
      </c>
      <c r="D34" s="177"/>
      <c r="E34" s="178"/>
      <c r="F34" s="187" t="s">
        <v>162</v>
      </c>
      <c r="G34" s="190"/>
      <c r="O34" s="186">
        <v>0</v>
      </c>
      <c r="P34" s="183" t="s">
        <v>162</v>
      </c>
      <c r="Q34" s="183" t="s">
        <v>162</v>
      </c>
      <c r="R34" s="187" t="s">
        <v>162</v>
      </c>
    </row>
    <row r="35" spans="2:18" ht="13.5" thickTop="1">
      <c r="B35" s="179">
        <v>1</v>
      </c>
      <c r="C35" s="148"/>
      <c r="D35" s="24"/>
      <c r="E35" s="76" t="str">
        <f>IF($C35&lt;&gt;"","ALERT_" &amp; UPPER(Matrix!$D$6) &amp; "_" &amp; $C35,"")</f>
        <v/>
      </c>
      <c r="F35" s="181"/>
      <c r="G35" s="76" t="str">
        <f>IF(E35&lt;&gt;"",LEN(E35),"")</f>
        <v/>
      </c>
      <c r="O35" s="179">
        <v>1</v>
      </c>
      <c r="P35" s="148"/>
      <c r="Q35" s="148"/>
      <c r="R35" s="181"/>
    </row>
    <row r="36" spans="2:18">
      <c r="B36" s="179">
        <v>2</v>
      </c>
      <c r="C36" s="148"/>
      <c r="D36" s="24"/>
      <c r="E36" s="76" t="str">
        <f>IF($C36&lt;&gt;"","ALERT_" &amp; UPPER(Matrix!$D$6) &amp; "_" &amp; $C36,"")</f>
        <v/>
      </c>
      <c r="F36" s="181"/>
      <c r="G36" s="76" t="str">
        <f>IF(E36&lt;&gt;"",LEN(E36),"")</f>
        <v/>
      </c>
      <c r="O36" s="179">
        <v>2</v>
      </c>
      <c r="P36" s="148"/>
      <c r="Q36" s="148"/>
      <c r="R36" s="181"/>
    </row>
    <row r="37" spans="2:18">
      <c r="B37" s="179">
        <v>3</v>
      </c>
      <c r="C37" s="148"/>
      <c r="D37" s="24"/>
      <c r="E37" s="76" t="str">
        <f>IF($C37&lt;&gt;"","ALERT_" &amp; UPPER(Matrix!$D$6) &amp; "_" &amp; $C37,"")</f>
        <v/>
      </c>
      <c r="F37" s="181"/>
      <c r="G37" s="76" t="str">
        <f>IF(E37&lt;&gt;"",LEN(E37),"")</f>
        <v/>
      </c>
      <c r="O37" s="179">
        <v>3</v>
      </c>
      <c r="P37" s="148"/>
      <c r="Q37" s="148"/>
      <c r="R37" s="181"/>
    </row>
    <row r="38" spans="2:18">
      <c r="B38" s="179">
        <v>4</v>
      </c>
      <c r="C38" s="148"/>
      <c r="D38" s="24"/>
      <c r="E38" s="76" t="str">
        <f>IF($C38&lt;&gt;"","ALERT_" &amp; UPPER(Matrix!$D$6) &amp; "_" &amp; $C38,"")</f>
        <v/>
      </c>
      <c r="F38" s="181"/>
      <c r="G38" s="76" t="str">
        <f t="shared" ref="G38:G59" si="1">IF(E38&lt;&gt;"",LEN(E38),"")</f>
        <v/>
      </c>
      <c r="O38" s="179">
        <v>4</v>
      </c>
      <c r="P38" s="148"/>
      <c r="Q38" s="148"/>
      <c r="R38" s="181"/>
    </row>
    <row r="39" spans="2:18">
      <c r="B39" s="179">
        <v>5</v>
      </c>
      <c r="C39" s="148"/>
      <c r="D39" s="24"/>
      <c r="E39" s="76" t="str">
        <f>IF($C39&lt;&gt;"","ALERT_" &amp; UPPER(Matrix!$D$6) &amp; "_" &amp; $C39,"")</f>
        <v/>
      </c>
      <c r="F39" s="181"/>
      <c r="G39" s="76" t="str">
        <f t="shared" si="1"/>
        <v/>
      </c>
      <c r="O39" s="179">
        <v>5</v>
      </c>
      <c r="P39" s="148"/>
      <c r="Q39" s="148"/>
      <c r="R39" s="181"/>
    </row>
    <row r="40" spans="2:18">
      <c r="B40" s="179">
        <v>6</v>
      </c>
      <c r="C40" s="148"/>
      <c r="D40" s="24"/>
      <c r="E40" s="76" t="str">
        <f>IF($C40&lt;&gt;"","ALERT_" &amp; UPPER(Matrix!$D$6) &amp; "_" &amp; $C40,"")</f>
        <v/>
      </c>
      <c r="F40" s="181"/>
      <c r="G40" s="76" t="str">
        <f t="shared" si="1"/>
        <v/>
      </c>
      <c r="O40" s="179">
        <v>6</v>
      </c>
      <c r="P40" s="148"/>
      <c r="Q40" s="148"/>
      <c r="R40" s="181"/>
    </row>
    <row r="41" spans="2:18">
      <c r="B41" s="179">
        <v>7</v>
      </c>
      <c r="C41" s="148"/>
      <c r="D41" s="24"/>
      <c r="E41" s="76" t="str">
        <f>IF($C41&lt;&gt;"","ALERT_" &amp; UPPER(Matrix!$D$6) &amp; "_" &amp; $C41,"")</f>
        <v/>
      </c>
      <c r="F41" s="181"/>
      <c r="G41" s="76" t="str">
        <f t="shared" si="1"/>
        <v/>
      </c>
      <c r="O41" s="179">
        <v>7</v>
      </c>
      <c r="P41" s="148"/>
      <c r="Q41" s="148"/>
      <c r="R41" s="181"/>
    </row>
    <row r="42" spans="2:18">
      <c r="B42" s="179">
        <v>8</v>
      </c>
      <c r="C42" s="148"/>
      <c r="D42" s="24"/>
      <c r="E42" s="76" t="str">
        <f>IF($C42&lt;&gt;"","ALERT_" &amp; UPPER(Matrix!$D$6) &amp; "_" &amp; $C42,"")</f>
        <v/>
      </c>
      <c r="F42" s="181"/>
      <c r="G42" s="76" t="str">
        <f t="shared" si="1"/>
        <v/>
      </c>
      <c r="O42" s="179">
        <v>8</v>
      </c>
      <c r="P42" s="148"/>
      <c r="Q42" s="148"/>
      <c r="R42" s="181"/>
    </row>
    <row r="43" spans="2:18">
      <c r="B43" s="179">
        <v>9</v>
      </c>
      <c r="C43" s="148"/>
      <c r="D43" s="24"/>
      <c r="E43" s="76" t="str">
        <f>IF($C43&lt;&gt;"","ALERT_" &amp; UPPER(Matrix!$D$6) &amp; "_" &amp; $C43,"")</f>
        <v/>
      </c>
      <c r="F43" s="181"/>
      <c r="G43" s="76" t="str">
        <f t="shared" si="1"/>
        <v/>
      </c>
      <c r="O43" s="179">
        <v>9</v>
      </c>
      <c r="P43" s="148"/>
      <c r="Q43" s="148"/>
      <c r="R43" s="181"/>
    </row>
    <row r="44" spans="2:18">
      <c r="B44" s="179">
        <v>10</v>
      </c>
      <c r="C44" s="148"/>
      <c r="D44" s="24"/>
      <c r="E44" s="76" t="str">
        <f>IF($C44&lt;&gt;"","ALERT_" &amp; UPPER(Matrix!$D$6) &amp; "_" &amp; $C44,"")</f>
        <v/>
      </c>
      <c r="F44" s="181"/>
      <c r="G44" s="76" t="str">
        <f t="shared" si="1"/>
        <v/>
      </c>
      <c r="O44" s="179">
        <v>10</v>
      </c>
      <c r="P44" s="148"/>
      <c r="Q44" s="148"/>
      <c r="R44" s="181"/>
    </row>
    <row r="45" spans="2:18">
      <c r="B45" s="179">
        <v>11</v>
      </c>
      <c r="C45" s="148"/>
      <c r="D45" s="24"/>
      <c r="E45" s="76" t="str">
        <f>IF($C45&lt;&gt;"","ALERT_" &amp; UPPER(Matrix!$D$6) &amp; "_" &amp; $C45,"")</f>
        <v/>
      </c>
      <c r="F45" s="181"/>
      <c r="G45" s="76" t="str">
        <f t="shared" si="1"/>
        <v/>
      </c>
      <c r="O45" s="179">
        <v>11</v>
      </c>
      <c r="P45" s="148"/>
      <c r="Q45" s="148"/>
      <c r="R45" s="181"/>
    </row>
    <row r="46" spans="2:18">
      <c r="B46" s="179">
        <v>12</v>
      </c>
      <c r="C46" s="148"/>
      <c r="D46" s="24"/>
      <c r="E46" s="76" t="str">
        <f>IF($C46&lt;&gt;"","ALERT_" &amp; UPPER(Matrix!$D$6) &amp; "_" &amp; $C46,"")</f>
        <v/>
      </c>
      <c r="F46" s="181"/>
      <c r="G46" s="76" t="str">
        <f t="shared" si="1"/>
        <v/>
      </c>
      <c r="O46" s="179">
        <v>12</v>
      </c>
      <c r="P46" s="148"/>
      <c r="Q46" s="148"/>
      <c r="R46" s="181"/>
    </row>
    <row r="47" spans="2:18">
      <c r="B47" s="179">
        <v>13</v>
      </c>
      <c r="C47" s="148"/>
      <c r="D47" s="24"/>
      <c r="E47" s="76" t="str">
        <f>IF($C47&lt;&gt;"","ALERT_" &amp; UPPER(Matrix!$D$6) &amp; "_" &amp; $C47,"")</f>
        <v/>
      </c>
      <c r="F47" s="181"/>
      <c r="G47" s="76" t="str">
        <f t="shared" si="1"/>
        <v/>
      </c>
      <c r="O47" s="179">
        <v>13</v>
      </c>
      <c r="P47" s="148"/>
      <c r="Q47" s="148"/>
      <c r="R47" s="181"/>
    </row>
    <row r="48" spans="2:18">
      <c r="B48" s="179">
        <v>14</v>
      </c>
      <c r="C48" s="148"/>
      <c r="D48" s="24"/>
      <c r="E48" s="76" t="str">
        <f>IF($C48&lt;&gt;"","ALERT_" &amp; UPPER(Matrix!$D$6) &amp; "_" &amp; $C48,"")</f>
        <v/>
      </c>
      <c r="F48" s="181"/>
      <c r="G48" s="76" t="str">
        <f t="shared" si="1"/>
        <v/>
      </c>
      <c r="O48" s="179">
        <v>14</v>
      </c>
      <c r="P48" s="148"/>
      <c r="Q48" s="148"/>
      <c r="R48" s="181"/>
    </row>
    <row r="49" spans="2:18">
      <c r="B49" s="179">
        <v>15</v>
      </c>
      <c r="C49" s="148"/>
      <c r="D49" s="24"/>
      <c r="E49" s="76" t="str">
        <f>IF($C49&lt;&gt;"","ALERT_" &amp; UPPER(Matrix!$D$6) &amp; "_" &amp; $C49,"")</f>
        <v/>
      </c>
      <c r="F49" s="181"/>
      <c r="G49" s="76" t="str">
        <f t="shared" si="1"/>
        <v/>
      </c>
      <c r="O49" s="179">
        <v>15</v>
      </c>
      <c r="P49" s="148"/>
      <c r="Q49" s="148"/>
      <c r="R49" s="181"/>
    </row>
    <row r="50" spans="2:18">
      <c r="B50" s="179">
        <v>16</v>
      </c>
      <c r="C50" s="148"/>
      <c r="D50" s="24"/>
      <c r="E50" s="76" t="str">
        <f>IF($C50&lt;&gt;"","ALERT_" &amp; UPPER(Matrix!$D$6) &amp; "_" &amp; $C50,"")</f>
        <v/>
      </c>
      <c r="F50" s="181"/>
      <c r="G50" s="76" t="str">
        <f t="shared" si="1"/>
        <v/>
      </c>
      <c r="O50" s="179">
        <v>16</v>
      </c>
      <c r="P50" s="148"/>
      <c r="Q50" s="148"/>
      <c r="R50" s="181"/>
    </row>
    <row r="51" spans="2:18">
      <c r="B51" s="179">
        <v>17</v>
      </c>
      <c r="C51" s="148"/>
      <c r="D51" s="24"/>
      <c r="E51" s="76" t="str">
        <f>IF($C51&lt;&gt;"","ALERT_" &amp; UPPER(Matrix!$D$6) &amp; "_" &amp; $C51,"")</f>
        <v/>
      </c>
      <c r="F51" s="181"/>
      <c r="G51" s="76" t="str">
        <f t="shared" si="1"/>
        <v/>
      </c>
      <c r="O51" s="179">
        <v>17</v>
      </c>
      <c r="P51" s="148"/>
      <c r="Q51" s="148"/>
      <c r="R51" s="181"/>
    </row>
    <row r="52" spans="2:18">
      <c r="B52" s="179">
        <v>18</v>
      </c>
      <c r="C52" s="148"/>
      <c r="D52" s="24"/>
      <c r="E52" s="76" t="str">
        <f>IF($C52&lt;&gt;"","ALERT_" &amp; UPPER(Matrix!$D$6) &amp; "_" &amp; $C52,"")</f>
        <v/>
      </c>
      <c r="F52" s="181"/>
      <c r="G52" s="76" t="str">
        <f t="shared" si="1"/>
        <v/>
      </c>
      <c r="O52" s="179">
        <v>18</v>
      </c>
      <c r="P52" s="148"/>
      <c r="Q52" s="148"/>
      <c r="R52" s="181"/>
    </row>
    <row r="53" spans="2:18">
      <c r="B53" s="179">
        <v>19</v>
      </c>
      <c r="C53" s="148"/>
      <c r="D53" s="24"/>
      <c r="E53" s="76" t="str">
        <f>IF($C53&lt;&gt;"","ALERT_" &amp; UPPER(Matrix!$D$6) &amp; "_" &amp; $C53,"")</f>
        <v/>
      </c>
      <c r="F53" s="181"/>
      <c r="G53" s="76" t="str">
        <f t="shared" si="1"/>
        <v/>
      </c>
      <c r="O53" s="179">
        <v>19</v>
      </c>
      <c r="P53" s="148"/>
      <c r="Q53" s="148"/>
      <c r="R53" s="181"/>
    </row>
    <row r="54" spans="2:18">
      <c r="B54" s="179">
        <v>20</v>
      </c>
      <c r="C54" s="148"/>
      <c r="D54" s="24"/>
      <c r="E54" s="76" t="str">
        <f>IF($C54&lt;&gt;"","ALERT_" &amp; UPPER(Matrix!$D$6) &amp; "_" &amp; $C54,"")</f>
        <v/>
      </c>
      <c r="F54" s="181"/>
      <c r="G54" s="76" t="str">
        <f t="shared" si="1"/>
        <v/>
      </c>
      <c r="O54" s="179">
        <v>20</v>
      </c>
      <c r="P54" s="148"/>
      <c r="Q54" s="148"/>
      <c r="R54" s="181"/>
    </row>
    <row r="55" spans="2:18">
      <c r="B55" s="179">
        <v>21</v>
      </c>
      <c r="C55" s="148"/>
      <c r="D55" s="24"/>
      <c r="E55" s="76" t="str">
        <f>IF($C55&lt;&gt;"","ALERT_" &amp; UPPER(Matrix!$D$6) &amp; "_" &amp; $C55,"")</f>
        <v/>
      </c>
      <c r="F55" s="181"/>
      <c r="G55" s="76" t="str">
        <f t="shared" si="1"/>
        <v/>
      </c>
      <c r="O55" s="179">
        <v>21</v>
      </c>
      <c r="P55" s="148"/>
      <c r="Q55" s="148"/>
      <c r="R55" s="181"/>
    </row>
    <row r="56" spans="2:18">
      <c r="B56" s="179">
        <v>22</v>
      </c>
      <c r="C56" s="148"/>
      <c r="D56" s="24"/>
      <c r="E56" s="76" t="str">
        <f>IF($C56&lt;&gt;"","ALERT_" &amp; UPPER(Matrix!$D$6) &amp; "_" &amp; $C56,"")</f>
        <v/>
      </c>
      <c r="F56" s="181"/>
      <c r="G56" s="76" t="str">
        <f t="shared" si="1"/>
        <v/>
      </c>
      <c r="O56" s="179">
        <v>22</v>
      </c>
      <c r="P56" s="148"/>
      <c r="Q56" s="148"/>
      <c r="R56" s="181"/>
    </row>
    <row r="57" spans="2:18">
      <c r="B57" s="179">
        <v>23</v>
      </c>
      <c r="C57" s="148"/>
      <c r="D57" s="24"/>
      <c r="E57" s="76" t="str">
        <f>IF($C57&lt;&gt;"","ALERT_" &amp; UPPER(Matrix!$D$6) &amp; "_" &amp; $C57,"")</f>
        <v/>
      </c>
      <c r="F57" s="181"/>
      <c r="G57" s="76" t="str">
        <f t="shared" si="1"/>
        <v/>
      </c>
      <c r="O57" s="179">
        <v>23</v>
      </c>
      <c r="P57" s="148"/>
      <c r="Q57" s="148"/>
      <c r="R57" s="181"/>
    </row>
    <row r="58" spans="2:18">
      <c r="B58" s="179">
        <v>24</v>
      </c>
      <c r="C58" s="148"/>
      <c r="D58" s="24"/>
      <c r="E58" s="76" t="str">
        <f>IF($C58&lt;&gt;"","ALERT_" &amp; UPPER(Matrix!$D$6) &amp; "_" &amp; $C58,"")</f>
        <v/>
      </c>
      <c r="F58" s="181"/>
      <c r="G58" s="76" t="str">
        <f t="shared" si="1"/>
        <v/>
      </c>
      <c r="O58" s="179">
        <v>24</v>
      </c>
      <c r="P58" s="148"/>
      <c r="Q58" s="148"/>
      <c r="R58" s="181"/>
    </row>
    <row r="59" spans="2:18" ht="13.5" thickBot="1">
      <c r="B59" s="180">
        <v>25</v>
      </c>
      <c r="C59" s="146"/>
      <c r="D59" s="62"/>
      <c r="E59" s="77" t="str">
        <f>IF($C59&lt;&gt;"","ALERT_" &amp; UPPER(Matrix!$D$6) &amp; "_" &amp; $C59,"")</f>
        <v/>
      </c>
      <c r="F59" s="182"/>
      <c r="G59" s="77" t="str">
        <f t="shared" si="1"/>
        <v/>
      </c>
      <c r="O59" s="180">
        <v>25</v>
      </c>
      <c r="P59" s="146"/>
      <c r="Q59" s="146"/>
      <c r="R59" s="182"/>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90625" customWidth="1"/>
    <col min="7" max="7" width="12.36328125" customWidth="1"/>
    <col min="8" max="8" width="33.26953125" bestFit="1" customWidth="1"/>
    <col min="9" max="9" width="12.36328125" customWidth="1"/>
    <col min="10" max="10" width="33.269531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100" t="s">
        <v>101</v>
      </c>
    </row>
    <row r="2" spans="2:21" ht="13.5" thickBot="1">
      <c r="B2" s="108" t="s">
        <v>58</v>
      </c>
      <c r="C2" s="109" t="s">
        <v>119</v>
      </c>
      <c r="D2" s="110" t="s">
        <v>52</v>
      </c>
      <c r="E2" s="111" t="s">
        <v>53</v>
      </c>
      <c r="F2" s="112" t="s">
        <v>24</v>
      </c>
      <c r="G2" s="111" t="s">
        <v>54</v>
      </c>
      <c r="H2" s="112" t="s">
        <v>26</v>
      </c>
      <c r="I2" s="111" t="s">
        <v>55</v>
      </c>
      <c r="J2" s="112" t="s">
        <v>160</v>
      </c>
      <c r="K2" s="111" t="s">
        <v>56</v>
      </c>
      <c r="L2" s="112" t="s">
        <v>27</v>
      </c>
      <c r="M2" s="109" t="s">
        <v>57</v>
      </c>
      <c r="N2" s="112" t="s">
        <v>114</v>
      </c>
      <c r="O2" s="127" t="s">
        <v>80</v>
      </c>
    </row>
    <row r="3" spans="2:21" ht="14" hidden="1" thickTop="1" thickBot="1">
      <c r="B3" s="25"/>
      <c r="C3" s="59" t="s">
        <v>105</v>
      </c>
      <c r="D3" s="121"/>
      <c r="E3" s="12"/>
      <c r="F3" s="14"/>
      <c r="G3" s="12"/>
      <c r="H3" s="14"/>
      <c r="I3" s="12"/>
      <c r="J3" s="14"/>
      <c r="K3" s="12"/>
      <c r="L3" s="14"/>
      <c r="M3" s="60"/>
      <c r="N3" s="119"/>
      <c r="O3" s="128"/>
      <c r="U3" s="104" t="s">
        <v>95</v>
      </c>
    </row>
    <row r="4" spans="2:21" ht="13.5" thickTop="1">
      <c r="B4" s="118" t="s">
        <v>308</v>
      </c>
      <c r="C4" s="207" t="s">
        <v>200</v>
      </c>
      <c r="D4" s="126">
        <v>0</v>
      </c>
      <c r="E4" s="208" t="s">
        <v>123</v>
      </c>
      <c r="F4" s="194" t="s">
        <v>201</v>
      </c>
      <c r="G4" s="208" t="s">
        <v>123</v>
      </c>
      <c r="H4" s="194" t="s">
        <v>202</v>
      </c>
      <c r="I4" s="208" t="s">
        <v>123</v>
      </c>
      <c r="J4" s="194" t="s">
        <v>290</v>
      </c>
      <c r="K4" s="208" t="s">
        <v>123</v>
      </c>
      <c r="L4" s="193" t="s">
        <v>31</v>
      </c>
      <c r="M4" s="60">
        <f>LEN(N4)</f>
        <v>30</v>
      </c>
      <c r="N4" s="119" t="str">
        <f>VLOOKUP($B4,Matrix!$H$13:$I$37,2,FALSE)&amp;"_"&amp;C4</f>
        <v>ALERT_REQ_C_BRLV_2_WRN_MALFUNC</v>
      </c>
      <c r="O4" s="128" t="str">
        <f t="shared" ref="O4:O35" si="0">"#define "&amp;N4&amp;REPT(" ",48-M4)&amp;"("&amp;D4&amp;"U)"</f>
        <v>#define ALERT_REQ_C_BRLV_2_WRN_MALFUNC                  (0U)</v>
      </c>
      <c r="U4" s="104" t="s">
        <v>95</v>
      </c>
    </row>
    <row r="5" spans="2:21">
      <c r="B5" s="118" t="s">
        <v>309</v>
      </c>
      <c r="C5" s="207" t="s">
        <v>200</v>
      </c>
      <c r="D5" s="126">
        <v>0</v>
      </c>
      <c r="E5" s="118" t="s">
        <v>123</v>
      </c>
      <c r="F5" s="193" t="s">
        <v>124</v>
      </c>
      <c r="G5" s="118" t="s">
        <v>123</v>
      </c>
      <c r="H5" s="193" t="s">
        <v>289</v>
      </c>
      <c r="I5" s="118" t="s">
        <v>123</v>
      </c>
      <c r="J5" s="193" t="s">
        <v>124</v>
      </c>
      <c r="K5" s="118" t="s">
        <v>123</v>
      </c>
      <c r="L5" s="193" t="s">
        <v>204</v>
      </c>
      <c r="M5" s="55">
        <f t="shared" ref="M5:M68" si="1">LEN(N5)</f>
        <v>29</v>
      </c>
      <c r="N5" s="119" t="str">
        <f>VLOOKUP($B5,Matrix!$H$13:$I$37,2,FALSE)&amp;"_"&amp;C5</f>
        <v>ALERT_REQ_C_BRLV_2_BC_MALFUNC</v>
      </c>
      <c r="O5" s="129" t="str">
        <f t="shared" si="0"/>
        <v>#define ALERT_REQ_C_BRLV_2_BC_MALFUNC                   (0U)</v>
      </c>
      <c r="U5" s="102" t="s">
        <v>96</v>
      </c>
    </row>
    <row r="6" spans="2:21">
      <c r="B6" s="118"/>
      <c r="C6" s="207"/>
      <c r="D6" s="126"/>
      <c r="E6" s="118"/>
      <c r="F6" s="193"/>
      <c r="G6" s="118"/>
      <c r="H6" s="193"/>
      <c r="I6" s="118"/>
      <c r="J6" s="193"/>
      <c r="K6" s="118"/>
      <c r="L6" s="193"/>
      <c r="M6" s="55" t="e">
        <f t="shared" si="1"/>
        <v>#N/A</v>
      </c>
      <c r="N6" s="119" t="e">
        <f>VLOOKUP($B6,Matrix!$H$13:$I$37,2,FALSE)&amp;"_"&amp;C6</f>
        <v>#N/A</v>
      </c>
      <c r="O6" s="129" t="e">
        <f t="shared" si="0"/>
        <v>#N/A</v>
      </c>
      <c r="U6" s="32" t="s">
        <v>97</v>
      </c>
    </row>
    <row r="7" spans="2:21">
      <c r="B7" s="118"/>
      <c r="C7" s="117"/>
      <c r="D7" s="126"/>
      <c r="E7" s="118"/>
      <c r="F7" s="193"/>
      <c r="G7" s="118"/>
      <c r="H7" s="193"/>
      <c r="I7" s="118"/>
      <c r="J7" s="193"/>
      <c r="K7" s="118"/>
      <c r="L7" s="193"/>
      <c r="M7" s="55" t="e">
        <f t="shared" si="1"/>
        <v>#N/A</v>
      </c>
      <c r="N7" s="119" t="e">
        <f>VLOOKUP($B7,Matrix!$H$13:$I$37,2,FALSE)&amp;"_"&amp;C7</f>
        <v>#N/A</v>
      </c>
      <c r="O7" s="129" t="e">
        <f t="shared" si="0"/>
        <v>#N/A</v>
      </c>
      <c r="U7" s="32" t="s">
        <v>98</v>
      </c>
    </row>
    <row r="8" spans="2:21">
      <c r="B8" s="118"/>
      <c r="C8" s="117"/>
      <c r="D8" s="126"/>
      <c r="E8" s="118"/>
      <c r="F8" s="193"/>
      <c r="G8" s="118"/>
      <c r="H8" s="193"/>
      <c r="I8" s="118"/>
      <c r="J8" s="193"/>
      <c r="K8" s="118"/>
      <c r="L8" s="193"/>
      <c r="M8" s="55" t="e">
        <f t="shared" si="1"/>
        <v>#N/A</v>
      </c>
      <c r="N8" s="119" t="e">
        <f>VLOOKUP($B8,Matrix!$H$13:$I$37,2,FALSE)&amp;"_"&amp;C8</f>
        <v>#N/A</v>
      </c>
      <c r="O8" s="129" t="e">
        <f t="shared" si="0"/>
        <v>#N/A</v>
      </c>
      <c r="U8" s="32" t="s">
        <v>99</v>
      </c>
    </row>
    <row r="9" spans="2:21">
      <c r="B9" s="118"/>
      <c r="C9" s="117"/>
      <c r="D9" s="126"/>
      <c r="E9" s="118"/>
      <c r="F9" s="193"/>
      <c r="G9" s="118"/>
      <c r="H9" s="193"/>
      <c r="I9" s="118"/>
      <c r="J9" s="193"/>
      <c r="K9" s="118"/>
      <c r="L9" s="193"/>
      <c r="M9" s="55" t="e">
        <f t="shared" si="1"/>
        <v>#N/A</v>
      </c>
      <c r="N9" s="119" t="e">
        <f>VLOOKUP($B9,Matrix!$H$13:$I$37,2,FALSE)&amp;"_"&amp;C9</f>
        <v>#N/A</v>
      </c>
      <c r="O9" s="129" t="e">
        <f t="shared" si="0"/>
        <v>#N/A</v>
      </c>
      <c r="U9" s="32" t="s">
        <v>100</v>
      </c>
    </row>
    <row r="10" spans="2:21">
      <c r="B10" s="118"/>
      <c r="C10" s="117"/>
      <c r="D10" s="126"/>
      <c r="E10" s="118"/>
      <c r="F10" s="193"/>
      <c r="G10" s="118"/>
      <c r="H10" s="193"/>
      <c r="I10" s="118"/>
      <c r="J10" s="193"/>
      <c r="K10" s="118"/>
      <c r="L10" s="193"/>
      <c r="M10" s="55" t="e">
        <f t="shared" si="1"/>
        <v>#N/A</v>
      </c>
      <c r="N10" s="119" t="e">
        <f>VLOOKUP($B10,Matrix!$H$13:$I$37,2,FALSE)&amp;"_"&amp;C10</f>
        <v>#N/A</v>
      </c>
      <c r="O10" s="129" t="e">
        <f t="shared" si="0"/>
        <v>#N/A</v>
      </c>
      <c r="U10" s="32"/>
    </row>
    <row r="11" spans="2:21">
      <c r="B11" s="118"/>
      <c r="C11" s="24"/>
      <c r="D11" s="126"/>
      <c r="E11" s="118"/>
      <c r="F11" s="193"/>
      <c r="G11" s="118"/>
      <c r="H11" s="193"/>
      <c r="I11" s="118"/>
      <c r="J11" s="193"/>
      <c r="K11" s="118"/>
      <c r="L11" s="193"/>
      <c r="M11" s="55" t="e">
        <f t="shared" si="1"/>
        <v>#N/A</v>
      </c>
      <c r="N11" s="119" t="e">
        <f>VLOOKUP($B11,Matrix!$H$13:$I$37,2,FALSE)&amp;"_"&amp;C11</f>
        <v>#N/A</v>
      </c>
      <c r="O11" s="129" t="e">
        <f t="shared" si="0"/>
        <v>#N/A</v>
      </c>
      <c r="U11" s="32"/>
    </row>
    <row r="12" spans="2:21">
      <c r="B12" s="118"/>
      <c r="C12" s="24"/>
      <c r="D12" s="126"/>
      <c r="E12" s="118"/>
      <c r="F12" s="193"/>
      <c r="G12" s="118"/>
      <c r="H12" s="193"/>
      <c r="I12" s="118"/>
      <c r="J12" s="193"/>
      <c r="K12" s="118"/>
      <c r="L12" s="193"/>
      <c r="M12" s="55" t="e">
        <f t="shared" si="1"/>
        <v>#N/A</v>
      </c>
      <c r="N12" s="119" t="e">
        <f>VLOOKUP($B12,Matrix!$H$13:$I$37,2,FALSE)&amp;"_"&amp;C12</f>
        <v>#N/A</v>
      </c>
      <c r="O12" s="129" t="e">
        <f t="shared" si="0"/>
        <v>#N/A</v>
      </c>
      <c r="U12" s="32"/>
    </row>
    <row r="13" spans="2:21" ht="13.5" thickBot="1">
      <c r="B13" s="118"/>
      <c r="C13" s="117"/>
      <c r="D13" s="126"/>
      <c r="E13" s="118"/>
      <c r="F13" s="193"/>
      <c r="G13" s="118"/>
      <c r="H13" s="193"/>
      <c r="I13" s="118"/>
      <c r="J13" s="193"/>
      <c r="K13" s="118"/>
      <c r="L13" s="193"/>
      <c r="M13" s="55" t="e">
        <f t="shared" si="1"/>
        <v>#N/A</v>
      </c>
      <c r="N13" s="119" t="e">
        <f>VLOOKUP($B13,Matrix!$H$13:$I$37,2,FALSE)&amp;"_"&amp;C13</f>
        <v>#N/A</v>
      </c>
      <c r="O13" s="129" t="e">
        <f t="shared" si="0"/>
        <v>#N/A</v>
      </c>
      <c r="U13" s="103"/>
    </row>
    <row r="14" spans="2:21">
      <c r="B14" s="118"/>
      <c r="C14" s="117"/>
      <c r="D14" s="126"/>
      <c r="E14" s="118"/>
      <c r="F14" s="193"/>
      <c r="G14" s="118"/>
      <c r="H14" s="193"/>
      <c r="I14" s="118"/>
      <c r="J14" s="193"/>
      <c r="K14" s="118"/>
      <c r="L14" s="193"/>
      <c r="M14" s="55" t="e">
        <f t="shared" si="1"/>
        <v>#N/A</v>
      </c>
      <c r="N14" s="119" t="e">
        <f>VLOOKUP($B14,Matrix!$H$13:$I$37,2,FALSE)&amp;"_"&amp;C14</f>
        <v>#N/A</v>
      </c>
      <c r="O14" s="129" t="e">
        <f t="shared" si="0"/>
        <v>#N/A</v>
      </c>
    </row>
    <row r="15" spans="2:21">
      <c r="B15" s="25"/>
      <c r="C15" s="24"/>
      <c r="D15" s="126"/>
      <c r="E15" s="118"/>
      <c r="F15" s="193"/>
      <c r="G15" s="118"/>
      <c r="H15" s="123"/>
      <c r="I15" s="118"/>
      <c r="J15" s="193"/>
      <c r="K15" s="118"/>
      <c r="L15" s="193"/>
      <c r="M15" s="55" t="e">
        <f t="shared" si="1"/>
        <v>#N/A</v>
      </c>
      <c r="N15" s="119" t="e">
        <f>VLOOKUP($B15,Matrix!$H$13:$I$37,2,FALSE)&amp;"_"&amp;C15</f>
        <v>#N/A</v>
      </c>
      <c r="O15" s="129" t="e">
        <f t="shared" si="0"/>
        <v>#N/A</v>
      </c>
    </row>
    <row r="16" spans="2:21">
      <c r="B16" s="118"/>
      <c r="C16" s="117"/>
      <c r="D16" s="126"/>
      <c r="E16" s="118"/>
      <c r="F16" s="193"/>
      <c r="G16" s="118"/>
      <c r="H16" s="193"/>
      <c r="I16" s="118"/>
      <c r="J16" s="193"/>
      <c r="K16" s="118"/>
      <c r="L16" s="193"/>
      <c r="M16" s="55" t="e">
        <f t="shared" si="1"/>
        <v>#N/A</v>
      </c>
      <c r="N16" s="119" t="e">
        <f>VLOOKUP($B16,Matrix!$H$13:$I$37,2,FALSE)&amp;"_"&amp;C16</f>
        <v>#N/A</v>
      </c>
      <c r="O16" s="129" t="e">
        <f t="shared" si="0"/>
        <v>#N/A</v>
      </c>
    </row>
    <row r="17" spans="2:15">
      <c r="B17" s="118"/>
      <c r="C17" s="24"/>
      <c r="D17" s="126"/>
      <c r="E17" s="118"/>
      <c r="F17" s="193"/>
      <c r="G17" s="118"/>
      <c r="H17" s="123"/>
      <c r="I17" s="118"/>
      <c r="J17" s="193"/>
      <c r="K17" s="118"/>
      <c r="L17" s="193"/>
      <c r="M17" s="55" t="e">
        <f t="shared" si="1"/>
        <v>#N/A</v>
      </c>
      <c r="N17" s="119" t="e">
        <f>VLOOKUP($B17,Matrix!$H$13:$I$37,2,FALSE)&amp;"_"&amp;C17</f>
        <v>#N/A</v>
      </c>
      <c r="O17" s="129" t="e">
        <f t="shared" si="0"/>
        <v>#N/A</v>
      </c>
    </row>
    <row r="18" spans="2:15">
      <c r="B18" s="118"/>
      <c r="C18" s="24"/>
      <c r="D18" s="126"/>
      <c r="E18" s="118"/>
      <c r="F18" s="193"/>
      <c r="G18" s="118"/>
      <c r="H18" s="193"/>
      <c r="I18" s="118"/>
      <c r="J18" s="193"/>
      <c r="K18" s="118"/>
      <c r="L18" s="193"/>
      <c r="M18" s="55" t="e">
        <f t="shared" si="1"/>
        <v>#N/A</v>
      </c>
      <c r="N18" s="119" t="e">
        <f>VLOOKUP($B18,Matrix!$H$13:$I$37,2,FALSE)&amp;"_"&amp;C18</f>
        <v>#N/A</v>
      </c>
      <c r="O18" s="129" t="e">
        <f t="shared" si="0"/>
        <v>#N/A</v>
      </c>
    </row>
    <row r="19" spans="2:15">
      <c r="B19" s="25"/>
      <c r="C19" s="24"/>
      <c r="D19" s="122"/>
      <c r="E19" s="25"/>
      <c r="F19" s="123"/>
      <c r="G19" s="25"/>
      <c r="H19" s="123"/>
      <c r="I19" s="25"/>
      <c r="J19" s="123"/>
      <c r="K19" s="25"/>
      <c r="L19" s="123"/>
      <c r="M19" s="55" t="e">
        <f t="shared" si="1"/>
        <v>#N/A</v>
      </c>
      <c r="N19" s="119" t="e">
        <f>VLOOKUP($B19,Matrix!$H$13:$I$37,2,FALSE)&amp;"_"&amp;C19</f>
        <v>#N/A</v>
      </c>
      <c r="O19" s="129" t="e">
        <f t="shared" si="0"/>
        <v>#N/A</v>
      </c>
    </row>
    <row r="20" spans="2:15">
      <c r="B20" s="25"/>
      <c r="C20" s="24"/>
      <c r="D20" s="122"/>
      <c r="E20" s="25"/>
      <c r="F20" s="123"/>
      <c r="G20" s="25"/>
      <c r="H20" s="123"/>
      <c r="I20" s="25"/>
      <c r="J20" s="123"/>
      <c r="K20" s="25"/>
      <c r="L20" s="123"/>
      <c r="M20" s="55" t="e">
        <f t="shared" si="1"/>
        <v>#N/A</v>
      </c>
      <c r="N20" s="119" t="e">
        <f>VLOOKUP($B20,Matrix!$H$13:$I$37,2,FALSE)&amp;"_"&amp;C20</f>
        <v>#N/A</v>
      </c>
      <c r="O20" s="129" t="e">
        <f t="shared" si="0"/>
        <v>#N/A</v>
      </c>
    </row>
    <row r="21" spans="2:15">
      <c r="B21" s="25"/>
      <c r="C21" s="24"/>
      <c r="D21" s="122"/>
      <c r="E21" s="25"/>
      <c r="F21" s="123"/>
      <c r="G21" s="25"/>
      <c r="H21" s="123"/>
      <c r="I21" s="25"/>
      <c r="J21" s="123"/>
      <c r="K21" s="25"/>
      <c r="L21" s="123"/>
      <c r="M21" s="55" t="e">
        <f t="shared" si="1"/>
        <v>#N/A</v>
      </c>
      <c r="N21" s="119" t="e">
        <f>VLOOKUP($B21,Matrix!$H$13:$I$37,2,FALSE)&amp;"_"&amp;C21</f>
        <v>#N/A</v>
      </c>
      <c r="O21" s="129" t="e">
        <f t="shared" si="0"/>
        <v>#N/A</v>
      </c>
    </row>
    <row r="22" spans="2:15">
      <c r="B22" s="25"/>
      <c r="C22" s="24"/>
      <c r="D22" s="122"/>
      <c r="E22" s="25"/>
      <c r="F22" s="123"/>
      <c r="G22" s="25"/>
      <c r="H22" s="123"/>
      <c r="I22" s="25"/>
      <c r="J22" s="123"/>
      <c r="K22" s="25"/>
      <c r="L22" s="123"/>
      <c r="M22" s="55" t="e">
        <f t="shared" si="1"/>
        <v>#N/A</v>
      </c>
      <c r="N22" s="119" t="e">
        <f>VLOOKUP($B22,Matrix!$H$13:$I$37,2,FALSE)&amp;"_"&amp;C22</f>
        <v>#N/A</v>
      </c>
      <c r="O22" s="129" t="e">
        <f t="shared" si="0"/>
        <v>#N/A</v>
      </c>
    </row>
    <row r="23" spans="2:15">
      <c r="B23" s="25"/>
      <c r="C23" s="24"/>
      <c r="D23" s="122"/>
      <c r="E23" s="25"/>
      <c r="F23" s="123"/>
      <c r="G23" s="25"/>
      <c r="H23" s="123"/>
      <c r="I23" s="25"/>
      <c r="J23" s="123"/>
      <c r="K23" s="25"/>
      <c r="L23" s="123"/>
      <c r="M23" s="55" t="e">
        <f t="shared" si="1"/>
        <v>#N/A</v>
      </c>
      <c r="N23" s="119" t="e">
        <f>VLOOKUP($B23,Matrix!$H$13:$I$37,2,FALSE)&amp;"_"&amp;C23</f>
        <v>#N/A</v>
      </c>
      <c r="O23" s="129" t="e">
        <f t="shared" si="0"/>
        <v>#N/A</v>
      </c>
    </row>
    <row r="24" spans="2:15">
      <c r="B24" s="25"/>
      <c r="C24" s="24"/>
      <c r="D24" s="122"/>
      <c r="E24" s="25"/>
      <c r="F24" s="123"/>
      <c r="G24" s="25"/>
      <c r="H24" s="123"/>
      <c r="I24" s="25"/>
      <c r="J24" s="123"/>
      <c r="K24" s="25"/>
      <c r="L24" s="123"/>
      <c r="M24" s="55" t="e">
        <f t="shared" si="1"/>
        <v>#N/A</v>
      </c>
      <c r="N24" s="119" t="e">
        <f>VLOOKUP($B24,Matrix!$H$13:$I$37,2,FALSE)&amp;"_"&amp;C24</f>
        <v>#N/A</v>
      </c>
      <c r="O24" s="129" t="e">
        <f t="shared" si="0"/>
        <v>#N/A</v>
      </c>
    </row>
    <row r="25" spans="2:15">
      <c r="B25" s="25"/>
      <c r="C25" s="24"/>
      <c r="D25" s="122"/>
      <c r="E25" s="25"/>
      <c r="F25" s="123"/>
      <c r="G25" s="25"/>
      <c r="H25" s="123"/>
      <c r="I25" s="25"/>
      <c r="J25" s="123"/>
      <c r="K25" s="25"/>
      <c r="L25" s="123"/>
      <c r="M25" s="55" t="e">
        <f t="shared" si="1"/>
        <v>#N/A</v>
      </c>
      <c r="N25" s="119" t="e">
        <f>VLOOKUP($B25,Matrix!$H$13:$I$37,2,FALSE)&amp;"_"&amp;C25</f>
        <v>#N/A</v>
      </c>
      <c r="O25" s="129" t="e">
        <f t="shared" si="0"/>
        <v>#N/A</v>
      </c>
    </row>
    <row r="26" spans="2:15">
      <c r="B26" s="25"/>
      <c r="C26" s="24"/>
      <c r="D26" s="122"/>
      <c r="E26" s="25"/>
      <c r="F26" s="123"/>
      <c r="G26" s="25"/>
      <c r="H26" s="123"/>
      <c r="I26" s="25"/>
      <c r="J26" s="123"/>
      <c r="K26" s="25"/>
      <c r="L26" s="123"/>
      <c r="M26" s="55" t="e">
        <f t="shared" si="1"/>
        <v>#N/A</v>
      </c>
      <c r="N26" s="119" t="e">
        <f>VLOOKUP($B26,Matrix!$H$13:$I$37,2,FALSE)&amp;"_"&amp;C26</f>
        <v>#N/A</v>
      </c>
      <c r="O26" s="129" t="e">
        <f t="shared" si="0"/>
        <v>#N/A</v>
      </c>
    </row>
    <row r="27" spans="2:15">
      <c r="B27" s="25"/>
      <c r="C27" s="24"/>
      <c r="D27" s="122"/>
      <c r="E27" s="25"/>
      <c r="F27" s="123"/>
      <c r="G27" s="25"/>
      <c r="H27" s="123"/>
      <c r="I27" s="25"/>
      <c r="J27" s="123"/>
      <c r="K27" s="25"/>
      <c r="L27" s="123"/>
      <c r="M27" s="55" t="e">
        <f t="shared" si="1"/>
        <v>#N/A</v>
      </c>
      <c r="N27" s="119" t="e">
        <f>VLOOKUP($B27,Matrix!$H$13:$I$37,2,FALSE)&amp;"_"&amp;C27</f>
        <v>#N/A</v>
      </c>
      <c r="O27" s="129" t="e">
        <f t="shared" si="0"/>
        <v>#N/A</v>
      </c>
    </row>
    <row r="28" spans="2:15">
      <c r="B28" s="25"/>
      <c r="C28" s="24"/>
      <c r="D28" s="122"/>
      <c r="E28" s="25"/>
      <c r="F28" s="123"/>
      <c r="G28" s="25"/>
      <c r="H28" s="123"/>
      <c r="I28" s="25"/>
      <c r="J28" s="123"/>
      <c r="K28" s="25"/>
      <c r="L28" s="123"/>
      <c r="M28" s="55" t="e">
        <f t="shared" si="1"/>
        <v>#N/A</v>
      </c>
      <c r="N28" s="119" t="e">
        <f>VLOOKUP($B28,Matrix!$H$13:$I$37,2,FALSE)&amp;"_"&amp;C28</f>
        <v>#N/A</v>
      </c>
      <c r="O28" s="129" t="e">
        <f t="shared" si="0"/>
        <v>#N/A</v>
      </c>
    </row>
    <row r="29" spans="2:15">
      <c r="B29" s="25"/>
      <c r="C29" s="24"/>
      <c r="D29" s="122"/>
      <c r="E29" s="25"/>
      <c r="F29" s="123"/>
      <c r="G29" s="25"/>
      <c r="H29" s="123"/>
      <c r="I29" s="25"/>
      <c r="J29" s="123"/>
      <c r="K29" s="25"/>
      <c r="L29" s="123"/>
      <c r="M29" s="55" t="e">
        <f t="shared" si="1"/>
        <v>#N/A</v>
      </c>
      <c r="N29" s="119" t="e">
        <f>VLOOKUP($B29,Matrix!$H$13:$I$37,2,FALSE)&amp;"_"&amp;C29</f>
        <v>#N/A</v>
      </c>
      <c r="O29" s="129" t="e">
        <f t="shared" si="0"/>
        <v>#N/A</v>
      </c>
    </row>
    <row r="30" spans="2:15">
      <c r="B30" s="25"/>
      <c r="C30" s="24"/>
      <c r="D30" s="122"/>
      <c r="E30" s="25"/>
      <c r="F30" s="123"/>
      <c r="G30" s="25"/>
      <c r="H30" s="123"/>
      <c r="I30" s="25"/>
      <c r="J30" s="123"/>
      <c r="K30" s="25"/>
      <c r="L30" s="123"/>
      <c r="M30" s="55" t="e">
        <f t="shared" si="1"/>
        <v>#N/A</v>
      </c>
      <c r="N30" s="119" t="e">
        <f>VLOOKUP($B30,Matrix!$H$13:$I$37,2,FALSE)&amp;"_"&amp;C30</f>
        <v>#N/A</v>
      </c>
      <c r="O30" s="129" t="e">
        <f t="shared" si="0"/>
        <v>#N/A</v>
      </c>
    </row>
    <row r="31" spans="2:15">
      <c r="B31" s="25"/>
      <c r="C31" s="24"/>
      <c r="D31" s="122"/>
      <c r="E31" s="25"/>
      <c r="F31" s="123"/>
      <c r="G31" s="25"/>
      <c r="H31" s="123"/>
      <c r="I31" s="25"/>
      <c r="J31" s="123"/>
      <c r="K31" s="25"/>
      <c r="L31" s="123"/>
      <c r="M31" s="55" t="e">
        <f t="shared" si="1"/>
        <v>#N/A</v>
      </c>
      <c r="N31" s="119" t="e">
        <f>VLOOKUP($B31,Matrix!$H$13:$I$37,2,FALSE)&amp;"_"&amp;C31</f>
        <v>#N/A</v>
      </c>
      <c r="O31" s="129" t="e">
        <f t="shared" si="0"/>
        <v>#N/A</v>
      </c>
    </row>
    <row r="32" spans="2:15">
      <c r="B32" s="25"/>
      <c r="C32" s="24"/>
      <c r="D32" s="122"/>
      <c r="E32" s="25"/>
      <c r="F32" s="123"/>
      <c r="G32" s="25"/>
      <c r="H32" s="123"/>
      <c r="I32" s="25"/>
      <c r="J32" s="123"/>
      <c r="K32" s="25"/>
      <c r="L32" s="123"/>
      <c r="M32" s="55" t="e">
        <f t="shared" si="1"/>
        <v>#N/A</v>
      </c>
      <c r="N32" s="119" t="e">
        <f>VLOOKUP($B32,Matrix!$H$13:$I$37,2,FALSE)&amp;"_"&amp;C32</f>
        <v>#N/A</v>
      </c>
      <c r="O32" s="129" t="e">
        <f t="shared" si="0"/>
        <v>#N/A</v>
      </c>
    </row>
    <row r="33" spans="2:15">
      <c r="B33" s="25"/>
      <c r="C33" s="24"/>
      <c r="D33" s="122"/>
      <c r="E33" s="25"/>
      <c r="F33" s="123"/>
      <c r="G33" s="25"/>
      <c r="H33" s="123"/>
      <c r="I33" s="25"/>
      <c r="J33" s="123"/>
      <c r="K33" s="25"/>
      <c r="L33" s="123"/>
      <c r="M33" s="55" t="e">
        <f t="shared" si="1"/>
        <v>#N/A</v>
      </c>
      <c r="N33" s="119" t="e">
        <f>VLOOKUP($B33,Matrix!$H$13:$I$37,2,FALSE)&amp;"_"&amp;C33</f>
        <v>#N/A</v>
      </c>
      <c r="O33" s="129" t="e">
        <f t="shared" si="0"/>
        <v>#N/A</v>
      </c>
    </row>
    <row r="34" spans="2:15">
      <c r="B34" s="25"/>
      <c r="C34" s="24"/>
      <c r="D34" s="122"/>
      <c r="E34" s="25"/>
      <c r="F34" s="123"/>
      <c r="G34" s="25"/>
      <c r="H34" s="123"/>
      <c r="I34" s="25"/>
      <c r="J34" s="123"/>
      <c r="K34" s="25"/>
      <c r="L34" s="123"/>
      <c r="M34" s="55" t="e">
        <f t="shared" si="1"/>
        <v>#N/A</v>
      </c>
      <c r="N34" s="119" t="e">
        <f>VLOOKUP($B34,Matrix!$H$13:$I$37,2,FALSE)&amp;"_"&amp;C34</f>
        <v>#N/A</v>
      </c>
      <c r="O34" s="129" t="e">
        <f t="shared" si="0"/>
        <v>#N/A</v>
      </c>
    </row>
    <row r="35" spans="2:15">
      <c r="B35" s="25"/>
      <c r="C35" s="24"/>
      <c r="D35" s="122"/>
      <c r="E35" s="25"/>
      <c r="F35" s="123"/>
      <c r="G35" s="25"/>
      <c r="H35" s="123"/>
      <c r="I35" s="25"/>
      <c r="J35" s="123"/>
      <c r="K35" s="25"/>
      <c r="L35" s="123"/>
      <c r="M35" s="55" t="e">
        <f t="shared" si="1"/>
        <v>#N/A</v>
      </c>
      <c r="N35" s="119" t="e">
        <f>VLOOKUP($B35,Matrix!$H$13:$I$37,2,FALSE)&amp;"_"&amp;C35</f>
        <v>#N/A</v>
      </c>
      <c r="O35" s="129" t="e">
        <f t="shared" si="0"/>
        <v>#N/A</v>
      </c>
    </row>
    <row r="36" spans="2:15">
      <c r="B36" s="25"/>
      <c r="C36" s="24"/>
      <c r="D36" s="122"/>
      <c r="E36" s="25"/>
      <c r="F36" s="123"/>
      <c r="G36" s="25"/>
      <c r="H36" s="123"/>
      <c r="I36" s="25"/>
      <c r="J36" s="123"/>
      <c r="K36" s="25"/>
      <c r="L36" s="123"/>
      <c r="M36" s="55" t="e">
        <f t="shared" si="1"/>
        <v>#N/A</v>
      </c>
      <c r="N36" s="119" t="e">
        <f>VLOOKUP($B36,Matrix!$H$13:$I$37,2,FALSE)&amp;"_"&amp;C36</f>
        <v>#N/A</v>
      </c>
      <c r="O36" s="129" t="e">
        <f t="shared" ref="O36:O67" si="2">"#define "&amp;N36&amp;REPT(" ",48-M36)&amp;"("&amp;D36&amp;"U)"</f>
        <v>#N/A</v>
      </c>
    </row>
    <row r="37" spans="2:15">
      <c r="B37" s="25"/>
      <c r="C37" s="24"/>
      <c r="D37" s="122"/>
      <c r="E37" s="25"/>
      <c r="F37" s="123"/>
      <c r="G37" s="25"/>
      <c r="H37" s="123"/>
      <c r="I37" s="25"/>
      <c r="J37" s="123"/>
      <c r="K37" s="25"/>
      <c r="L37" s="123"/>
      <c r="M37" s="55" t="e">
        <f t="shared" si="1"/>
        <v>#N/A</v>
      </c>
      <c r="N37" s="119" t="e">
        <f>VLOOKUP($B37,Matrix!$H$13:$I$37,2,FALSE)&amp;"_"&amp;C37</f>
        <v>#N/A</v>
      </c>
      <c r="O37" s="129" t="e">
        <f t="shared" si="2"/>
        <v>#N/A</v>
      </c>
    </row>
    <row r="38" spans="2:15">
      <c r="B38" s="25"/>
      <c r="C38" s="24"/>
      <c r="D38" s="122"/>
      <c r="E38" s="25"/>
      <c r="F38" s="123"/>
      <c r="G38" s="25"/>
      <c r="H38" s="123"/>
      <c r="I38" s="25"/>
      <c r="J38" s="123"/>
      <c r="K38" s="25"/>
      <c r="L38" s="123"/>
      <c r="M38" s="55" t="e">
        <f t="shared" si="1"/>
        <v>#N/A</v>
      </c>
      <c r="N38" s="119" t="e">
        <f>VLOOKUP($B38,Matrix!$H$13:$I$37,2,FALSE)&amp;"_"&amp;C38</f>
        <v>#N/A</v>
      </c>
      <c r="O38" s="129" t="e">
        <f t="shared" si="2"/>
        <v>#N/A</v>
      </c>
    </row>
    <row r="39" spans="2:15">
      <c r="B39" s="25"/>
      <c r="C39" s="24"/>
      <c r="D39" s="122"/>
      <c r="E39" s="25"/>
      <c r="F39" s="123"/>
      <c r="G39" s="25"/>
      <c r="H39" s="123"/>
      <c r="I39" s="25"/>
      <c r="J39" s="123"/>
      <c r="K39" s="25"/>
      <c r="L39" s="123"/>
      <c r="M39" s="55" t="e">
        <f t="shared" si="1"/>
        <v>#N/A</v>
      </c>
      <c r="N39" s="119" t="e">
        <f>VLOOKUP($B39,Matrix!$H$13:$I$37,2,FALSE)&amp;"_"&amp;C39</f>
        <v>#N/A</v>
      </c>
      <c r="O39" s="129" t="e">
        <f t="shared" si="2"/>
        <v>#N/A</v>
      </c>
    </row>
    <row r="40" spans="2:15">
      <c r="B40" s="25"/>
      <c r="C40" s="24"/>
      <c r="D40" s="122"/>
      <c r="E40" s="25"/>
      <c r="F40" s="123"/>
      <c r="G40" s="25"/>
      <c r="H40" s="123"/>
      <c r="I40" s="25"/>
      <c r="J40" s="123"/>
      <c r="K40" s="25"/>
      <c r="L40" s="123"/>
      <c r="M40" s="55" t="e">
        <f t="shared" si="1"/>
        <v>#N/A</v>
      </c>
      <c r="N40" s="119" t="e">
        <f>VLOOKUP($B40,Matrix!$H$13:$I$37,2,FALSE)&amp;"_"&amp;C40</f>
        <v>#N/A</v>
      </c>
      <c r="O40" s="129" t="e">
        <f t="shared" si="2"/>
        <v>#N/A</v>
      </c>
    </row>
    <row r="41" spans="2:15">
      <c r="B41" s="25"/>
      <c r="C41" s="24"/>
      <c r="D41" s="122"/>
      <c r="E41" s="25"/>
      <c r="F41" s="123"/>
      <c r="G41" s="25"/>
      <c r="H41" s="123"/>
      <c r="I41" s="25"/>
      <c r="J41" s="123"/>
      <c r="K41" s="25"/>
      <c r="L41" s="123"/>
      <c r="M41" s="55" t="e">
        <f t="shared" si="1"/>
        <v>#N/A</v>
      </c>
      <c r="N41" s="119" t="e">
        <f>VLOOKUP($B41,Matrix!$H$13:$I$37,2,FALSE)&amp;"_"&amp;C41</f>
        <v>#N/A</v>
      </c>
      <c r="O41" s="129" t="e">
        <f t="shared" si="2"/>
        <v>#N/A</v>
      </c>
    </row>
    <row r="42" spans="2:15">
      <c r="B42" s="25"/>
      <c r="C42" s="24"/>
      <c r="D42" s="122"/>
      <c r="E42" s="25"/>
      <c r="F42" s="123"/>
      <c r="G42" s="25"/>
      <c r="H42" s="123"/>
      <c r="I42" s="25"/>
      <c r="J42" s="123"/>
      <c r="K42" s="25"/>
      <c r="L42" s="123"/>
      <c r="M42" s="55" t="e">
        <f t="shared" si="1"/>
        <v>#N/A</v>
      </c>
      <c r="N42" s="119" t="e">
        <f>VLOOKUP($B42,Matrix!$H$13:$I$37,2,FALSE)&amp;"_"&amp;C42</f>
        <v>#N/A</v>
      </c>
      <c r="O42" s="129" t="e">
        <f t="shared" si="2"/>
        <v>#N/A</v>
      </c>
    </row>
    <row r="43" spans="2:15">
      <c r="B43" s="25"/>
      <c r="C43" s="24"/>
      <c r="D43" s="122"/>
      <c r="E43" s="25"/>
      <c r="F43" s="123"/>
      <c r="G43" s="25"/>
      <c r="H43" s="123"/>
      <c r="I43" s="25"/>
      <c r="J43" s="123"/>
      <c r="K43" s="25"/>
      <c r="L43" s="123"/>
      <c r="M43" s="55" t="e">
        <f t="shared" si="1"/>
        <v>#N/A</v>
      </c>
      <c r="N43" s="119" t="e">
        <f>VLOOKUP($B43,Matrix!$H$13:$I$37,2,FALSE)&amp;"_"&amp;C43</f>
        <v>#N/A</v>
      </c>
      <c r="O43" s="129" t="e">
        <f t="shared" si="2"/>
        <v>#N/A</v>
      </c>
    </row>
    <row r="44" spans="2:15">
      <c r="B44" s="25"/>
      <c r="C44" s="24"/>
      <c r="D44" s="122"/>
      <c r="E44" s="25"/>
      <c r="F44" s="123"/>
      <c r="G44" s="25"/>
      <c r="H44" s="123"/>
      <c r="I44" s="25"/>
      <c r="J44" s="123"/>
      <c r="K44" s="25"/>
      <c r="L44" s="123"/>
      <c r="M44" s="55" t="e">
        <f t="shared" si="1"/>
        <v>#N/A</v>
      </c>
      <c r="N44" s="119" t="e">
        <f>VLOOKUP($B44,Matrix!$H$13:$I$37,2,FALSE)&amp;"_"&amp;C44</f>
        <v>#N/A</v>
      </c>
      <c r="O44" s="129" t="e">
        <f t="shared" si="2"/>
        <v>#N/A</v>
      </c>
    </row>
    <row r="45" spans="2:15">
      <c r="B45" s="25"/>
      <c r="C45" s="24"/>
      <c r="D45" s="122"/>
      <c r="E45" s="25"/>
      <c r="F45" s="123"/>
      <c r="G45" s="25"/>
      <c r="H45" s="123"/>
      <c r="I45" s="25"/>
      <c r="J45" s="123"/>
      <c r="K45" s="25"/>
      <c r="L45" s="123"/>
      <c r="M45" s="55" t="e">
        <f t="shared" si="1"/>
        <v>#N/A</v>
      </c>
      <c r="N45" s="119" t="e">
        <f>VLOOKUP($B45,Matrix!$H$13:$I$37,2,FALSE)&amp;"_"&amp;C45</f>
        <v>#N/A</v>
      </c>
      <c r="O45" s="129" t="e">
        <f t="shared" si="2"/>
        <v>#N/A</v>
      </c>
    </row>
    <row r="46" spans="2:15">
      <c r="B46" s="25"/>
      <c r="C46" s="24"/>
      <c r="D46" s="122"/>
      <c r="E46" s="25"/>
      <c r="F46" s="123"/>
      <c r="G46" s="25"/>
      <c r="H46" s="123"/>
      <c r="I46" s="25"/>
      <c r="J46" s="123"/>
      <c r="K46" s="25"/>
      <c r="L46" s="123"/>
      <c r="M46" s="55" t="e">
        <f t="shared" si="1"/>
        <v>#N/A</v>
      </c>
      <c r="N46" s="119" t="e">
        <f>VLOOKUP($B46,Matrix!$H$13:$I$37,2,FALSE)&amp;"_"&amp;C46</f>
        <v>#N/A</v>
      </c>
      <c r="O46" s="129" t="e">
        <f t="shared" si="2"/>
        <v>#N/A</v>
      </c>
    </row>
    <row r="47" spans="2:15">
      <c r="B47" s="25"/>
      <c r="C47" s="24"/>
      <c r="D47" s="122"/>
      <c r="E47" s="25"/>
      <c r="F47" s="123"/>
      <c r="G47" s="25"/>
      <c r="H47" s="123"/>
      <c r="I47" s="25"/>
      <c r="J47" s="123"/>
      <c r="K47" s="25"/>
      <c r="L47" s="123"/>
      <c r="M47" s="55" t="e">
        <f t="shared" si="1"/>
        <v>#N/A</v>
      </c>
      <c r="N47" s="119" t="e">
        <f>VLOOKUP($B47,Matrix!$H$13:$I$37,2,FALSE)&amp;"_"&amp;C47</f>
        <v>#N/A</v>
      </c>
      <c r="O47" s="129" t="e">
        <f t="shared" si="2"/>
        <v>#N/A</v>
      </c>
    </row>
    <row r="48" spans="2:15">
      <c r="B48" s="25"/>
      <c r="C48" s="24"/>
      <c r="D48" s="122"/>
      <c r="E48" s="25"/>
      <c r="F48" s="123"/>
      <c r="G48" s="25"/>
      <c r="H48" s="123"/>
      <c r="I48" s="25"/>
      <c r="J48" s="123"/>
      <c r="K48" s="25"/>
      <c r="L48" s="123"/>
      <c r="M48" s="55" t="e">
        <f t="shared" si="1"/>
        <v>#N/A</v>
      </c>
      <c r="N48" s="119" t="e">
        <f>VLOOKUP($B48,Matrix!$H$13:$I$37,2,FALSE)&amp;"_"&amp;C48</f>
        <v>#N/A</v>
      </c>
      <c r="O48" s="129" t="e">
        <f t="shared" si="2"/>
        <v>#N/A</v>
      </c>
    </row>
    <row r="49" spans="2:15">
      <c r="B49" s="25"/>
      <c r="C49" s="24"/>
      <c r="D49" s="122"/>
      <c r="E49" s="25"/>
      <c r="F49" s="123"/>
      <c r="G49" s="25"/>
      <c r="H49" s="123"/>
      <c r="I49" s="25"/>
      <c r="J49" s="123"/>
      <c r="K49" s="25"/>
      <c r="L49" s="123"/>
      <c r="M49" s="55" t="e">
        <f t="shared" si="1"/>
        <v>#N/A</v>
      </c>
      <c r="N49" s="119" t="e">
        <f>VLOOKUP($B49,Matrix!$H$13:$I$37,2,FALSE)&amp;"_"&amp;C49</f>
        <v>#N/A</v>
      </c>
      <c r="O49" s="129" t="e">
        <f t="shared" si="2"/>
        <v>#N/A</v>
      </c>
    </row>
    <row r="50" spans="2:15">
      <c r="B50" s="25"/>
      <c r="C50" s="24"/>
      <c r="D50" s="122"/>
      <c r="E50" s="25"/>
      <c r="F50" s="123"/>
      <c r="G50" s="25"/>
      <c r="H50" s="123"/>
      <c r="I50" s="25"/>
      <c r="J50" s="123"/>
      <c r="K50" s="25"/>
      <c r="L50" s="123"/>
      <c r="M50" s="55" t="e">
        <f t="shared" si="1"/>
        <v>#N/A</v>
      </c>
      <c r="N50" s="119" t="e">
        <f>VLOOKUP($B50,Matrix!$H$13:$I$37,2,FALSE)&amp;"_"&amp;C50</f>
        <v>#N/A</v>
      </c>
      <c r="O50" s="129" t="e">
        <f t="shared" si="2"/>
        <v>#N/A</v>
      </c>
    </row>
    <row r="51" spans="2:15">
      <c r="B51" s="25"/>
      <c r="C51" s="24"/>
      <c r="D51" s="122"/>
      <c r="E51" s="25"/>
      <c r="F51" s="123"/>
      <c r="G51" s="25"/>
      <c r="H51" s="123"/>
      <c r="I51" s="25"/>
      <c r="J51" s="123"/>
      <c r="K51" s="25"/>
      <c r="L51" s="123"/>
      <c r="M51" s="55" t="e">
        <f t="shared" si="1"/>
        <v>#N/A</v>
      </c>
      <c r="N51" s="119" t="e">
        <f>VLOOKUP($B51,Matrix!$H$13:$I$37,2,FALSE)&amp;"_"&amp;C51</f>
        <v>#N/A</v>
      </c>
      <c r="O51" s="129" t="e">
        <f t="shared" si="2"/>
        <v>#N/A</v>
      </c>
    </row>
    <row r="52" spans="2:15">
      <c r="B52" s="25"/>
      <c r="C52" s="24"/>
      <c r="D52" s="122"/>
      <c r="E52" s="25"/>
      <c r="F52" s="123"/>
      <c r="G52" s="25"/>
      <c r="H52" s="123"/>
      <c r="I52" s="25"/>
      <c r="J52" s="123"/>
      <c r="K52" s="25"/>
      <c r="L52" s="123"/>
      <c r="M52" s="55" t="e">
        <f t="shared" si="1"/>
        <v>#N/A</v>
      </c>
      <c r="N52" s="119" t="e">
        <f>VLOOKUP($B52,Matrix!$H$13:$I$37,2,FALSE)&amp;"_"&amp;C52</f>
        <v>#N/A</v>
      </c>
      <c r="O52" s="129" t="e">
        <f t="shared" si="2"/>
        <v>#N/A</v>
      </c>
    </row>
    <row r="53" spans="2:15">
      <c r="B53" s="25"/>
      <c r="C53" s="24"/>
      <c r="D53" s="122"/>
      <c r="E53" s="25"/>
      <c r="F53" s="123"/>
      <c r="G53" s="25"/>
      <c r="H53" s="123"/>
      <c r="I53" s="25"/>
      <c r="J53" s="123"/>
      <c r="K53" s="25"/>
      <c r="L53" s="123"/>
      <c r="M53" s="55" t="e">
        <f t="shared" si="1"/>
        <v>#N/A</v>
      </c>
      <c r="N53" s="119" t="e">
        <f>VLOOKUP($B53,Matrix!$H$13:$I$37,2,FALSE)&amp;"_"&amp;C53</f>
        <v>#N/A</v>
      </c>
      <c r="O53" s="129" t="e">
        <f t="shared" si="2"/>
        <v>#N/A</v>
      </c>
    </row>
    <row r="54" spans="2:15">
      <c r="B54" s="25"/>
      <c r="C54" s="24"/>
      <c r="D54" s="122"/>
      <c r="E54" s="25"/>
      <c r="F54" s="123"/>
      <c r="G54" s="25"/>
      <c r="H54" s="123"/>
      <c r="I54" s="25"/>
      <c r="J54" s="123"/>
      <c r="K54" s="25"/>
      <c r="L54" s="123"/>
      <c r="M54" s="55" t="e">
        <f t="shared" si="1"/>
        <v>#N/A</v>
      </c>
      <c r="N54" s="119" t="e">
        <f>VLOOKUP($B54,Matrix!$H$13:$I$37,2,FALSE)&amp;"_"&amp;C54</f>
        <v>#N/A</v>
      </c>
      <c r="O54" s="129" t="e">
        <f t="shared" si="2"/>
        <v>#N/A</v>
      </c>
    </row>
    <row r="55" spans="2:15">
      <c r="B55" s="25"/>
      <c r="C55" s="24"/>
      <c r="D55" s="122"/>
      <c r="E55" s="25"/>
      <c r="F55" s="123"/>
      <c r="G55" s="25"/>
      <c r="H55" s="123"/>
      <c r="I55" s="25"/>
      <c r="J55" s="123"/>
      <c r="K55" s="25"/>
      <c r="L55" s="123"/>
      <c r="M55" s="55" t="e">
        <f t="shared" si="1"/>
        <v>#N/A</v>
      </c>
      <c r="N55" s="119" t="e">
        <f>VLOOKUP($B55,Matrix!$H$13:$I$37,2,FALSE)&amp;"_"&amp;C55</f>
        <v>#N/A</v>
      </c>
      <c r="O55" s="129" t="e">
        <f t="shared" si="2"/>
        <v>#N/A</v>
      </c>
    </row>
    <row r="56" spans="2:15">
      <c r="B56" s="25"/>
      <c r="C56" s="24"/>
      <c r="D56" s="122"/>
      <c r="E56" s="25"/>
      <c r="F56" s="123"/>
      <c r="G56" s="25"/>
      <c r="H56" s="123"/>
      <c r="I56" s="25"/>
      <c r="J56" s="123"/>
      <c r="K56" s="25"/>
      <c r="L56" s="123"/>
      <c r="M56" s="55" t="e">
        <f t="shared" si="1"/>
        <v>#N/A</v>
      </c>
      <c r="N56" s="119" t="e">
        <f>VLOOKUP($B56,Matrix!$H$13:$I$37,2,FALSE)&amp;"_"&amp;C56</f>
        <v>#N/A</v>
      </c>
      <c r="O56" s="129" t="e">
        <f t="shared" si="2"/>
        <v>#N/A</v>
      </c>
    </row>
    <row r="57" spans="2:15">
      <c r="B57" s="25"/>
      <c r="C57" s="24"/>
      <c r="D57" s="122"/>
      <c r="E57" s="25"/>
      <c r="F57" s="123"/>
      <c r="G57" s="25"/>
      <c r="H57" s="123"/>
      <c r="I57" s="25"/>
      <c r="J57" s="123"/>
      <c r="K57" s="25"/>
      <c r="L57" s="123"/>
      <c r="M57" s="55" t="e">
        <f t="shared" si="1"/>
        <v>#N/A</v>
      </c>
      <c r="N57" s="119" t="e">
        <f>VLOOKUP($B57,Matrix!$H$13:$I$37,2,FALSE)&amp;"_"&amp;C57</f>
        <v>#N/A</v>
      </c>
      <c r="O57" s="129" t="e">
        <f t="shared" si="2"/>
        <v>#N/A</v>
      </c>
    </row>
    <row r="58" spans="2:15">
      <c r="B58" s="25"/>
      <c r="C58" s="24"/>
      <c r="D58" s="122"/>
      <c r="E58" s="25"/>
      <c r="F58" s="123"/>
      <c r="G58" s="25"/>
      <c r="H58" s="123"/>
      <c r="I58" s="25"/>
      <c r="J58" s="123"/>
      <c r="K58" s="25"/>
      <c r="L58" s="123"/>
      <c r="M58" s="55" t="e">
        <f t="shared" si="1"/>
        <v>#N/A</v>
      </c>
      <c r="N58" s="119" t="e">
        <f>VLOOKUP($B58,Matrix!$H$13:$I$37,2,FALSE)&amp;"_"&amp;C58</f>
        <v>#N/A</v>
      </c>
      <c r="O58" s="129" t="e">
        <f t="shared" si="2"/>
        <v>#N/A</v>
      </c>
    </row>
    <row r="59" spans="2:15">
      <c r="B59" s="25"/>
      <c r="C59" s="24"/>
      <c r="D59" s="122"/>
      <c r="E59" s="25"/>
      <c r="F59" s="123"/>
      <c r="G59" s="25"/>
      <c r="H59" s="123"/>
      <c r="I59" s="25"/>
      <c r="J59" s="123"/>
      <c r="K59" s="25"/>
      <c r="L59" s="123"/>
      <c r="M59" s="55" t="e">
        <f t="shared" si="1"/>
        <v>#N/A</v>
      </c>
      <c r="N59" s="119" t="e">
        <f>VLOOKUP($B59,Matrix!$H$13:$I$37,2,FALSE)&amp;"_"&amp;C59</f>
        <v>#N/A</v>
      </c>
      <c r="O59" s="129" t="e">
        <f t="shared" si="2"/>
        <v>#N/A</v>
      </c>
    </row>
    <row r="60" spans="2:15">
      <c r="B60" s="25"/>
      <c r="C60" s="24"/>
      <c r="D60" s="122"/>
      <c r="E60" s="25"/>
      <c r="F60" s="123"/>
      <c r="G60" s="25"/>
      <c r="H60" s="123"/>
      <c r="I60" s="25"/>
      <c r="J60" s="123"/>
      <c r="K60" s="25"/>
      <c r="L60" s="123"/>
      <c r="M60" s="55" t="e">
        <f t="shared" si="1"/>
        <v>#N/A</v>
      </c>
      <c r="N60" s="119" t="e">
        <f>VLOOKUP($B60,Matrix!$H$13:$I$37,2,FALSE)&amp;"_"&amp;C60</f>
        <v>#N/A</v>
      </c>
      <c r="O60" s="129" t="e">
        <f t="shared" si="2"/>
        <v>#N/A</v>
      </c>
    </row>
    <row r="61" spans="2:15">
      <c r="B61" s="25"/>
      <c r="C61" s="24"/>
      <c r="D61" s="122"/>
      <c r="E61" s="25"/>
      <c r="F61" s="123"/>
      <c r="G61" s="25"/>
      <c r="H61" s="123"/>
      <c r="I61" s="25"/>
      <c r="J61" s="123"/>
      <c r="K61" s="25"/>
      <c r="L61" s="123"/>
      <c r="M61" s="55" t="e">
        <f t="shared" si="1"/>
        <v>#N/A</v>
      </c>
      <c r="N61" s="119" t="e">
        <f>VLOOKUP($B61,Matrix!$H$13:$I$37,2,FALSE)&amp;"_"&amp;C61</f>
        <v>#N/A</v>
      </c>
      <c r="O61" s="129" t="e">
        <f t="shared" si="2"/>
        <v>#N/A</v>
      </c>
    </row>
    <row r="62" spans="2:15">
      <c r="B62" s="25"/>
      <c r="C62" s="24"/>
      <c r="D62" s="122"/>
      <c r="E62" s="25"/>
      <c r="F62" s="123"/>
      <c r="G62" s="25"/>
      <c r="H62" s="123"/>
      <c r="I62" s="25"/>
      <c r="J62" s="123"/>
      <c r="K62" s="25"/>
      <c r="L62" s="123"/>
      <c r="M62" s="55" t="e">
        <f t="shared" si="1"/>
        <v>#N/A</v>
      </c>
      <c r="N62" s="119" t="e">
        <f>VLOOKUP($B62,Matrix!$H$13:$I$37,2,FALSE)&amp;"_"&amp;C62</f>
        <v>#N/A</v>
      </c>
      <c r="O62" s="129" t="e">
        <f t="shared" si="2"/>
        <v>#N/A</v>
      </c>
    </row>
    <row r="63" spans="2:15">
      <c r="B63" s="25"/>
      <c r="C63" s="24"/>
      <c r="D63" s="122"/>
      <c r="E63" s="25"/>
      <c r="F63" s="123"/>
      <c r="G63" s="25"/>
      <c r="H63" s="123"/>
      <c r="I63" s="25"/>
      <c r="J63" s="123"/>
      <c r="K63" s="25"/>
      <c r="L63" s="123"/>
      <c r="M63" s="55" t="e">
        <f t="shared" si="1"/>
        <v>#N/A</v>
      </c>
      <c r="N63" s="119" t="e">
        <f>VLOOKUP($B63,Matrix!$H$13:$I$37,2,FALSE)&amp;"_"&amp;C63</f>
        <v>#N/A</v>
      </c>
      <c r="O63" s="129" t="e">
        <f t="shared" si="2"/>
        <v>#N/A</v>
      </c>
    </row>
    <row r="64" spans="2:15">
      <c r="B64" s="25"/>
      <c r="C64" s="24"/>
      <c r="D64" s="122"/>
      <c r="E64" s="25"/>
      <c r="F64" s="123"/>
      <c r="G64" s="25"/>
      <c r="H64" s="123"/>
      <c r="I64" s="25"/>
      <c r="J64" s="123"/>
      <c r="K64" s="25"/>
      <c r="L64" s="123"/>
      <c r="M64" s="55" t="e">
        <f t="shared" si="1"/>
        <v>#N/A</v>
      </c>
      <c r="N64" s="119" t="e">
        <f>VLOOKUP($B64,Matrix!$H$13:$I$37,2,FALSE)&amp;"_"&amp;C64</f>
        <v>#N/A</v>
      </c>
      <c r="O64" s="129" t="e">
        <f t="shared" si="2"/>
        <v>#N/A</v>
      </c>
    </row>
    <row r="65" spans="2:15">
      <c r="B65" s="25"/>
      <c r="C65" s="24"/>
      <c r="D65" s="122"/>
      <c r="E65" s="25"/>
      <c r="F65" s="123"/>
      <c r="G65" s="25"/>
      <c r="H65" s="123"/>
      <c r="I65" s="25"/>
      <c r="J65" s="123"/>
      <c r="K65" s="25"/>
      <c r="L65" s="123"/>
      <c r="M65" s="55" t="e">
        <f t="shared" si="1"/>
        <v>#N/A</v>
      </c>
      <c r="N65" s="119" t="e">
        <f>VLOOKUP($B65,Matrix!$H$13:$I$37,2,FALSE)&amp;"_"&amp;C65</f>
        <v>#N/A</v>
      </c>
      <c r="O65" s="129" t="e">
        <f t="shared" si="2"/>
        <v>#N/A</v>
      </c>
    </row>
    <row r="66" spans="2:15">
      <c r="B66" s="25"/>
      <c r="C66" s="24"/>
      <c r="D66" s="122"/>
      <c r="E66" s="25"/>
      <c r="F66" s="123"/>
      <c r="G66" s="25"/>
      <c r="H66" s="123"/>
      <c r="I66" s="25"/>
      <c r="J66" s="123"/>
      <c r="K66" s="25"/>
      <c r="L66" s="123"/>
      <c r="M66" s="55" t="e">
        <f t="shared" si="1"/>
        <v>#N/A</v>
      </c>
      <c r="N66" s="119" t="e">
        <f>VLOOKUP($B66,Matrix!$H$13:$I$37,2,FALSE)&amp;"_"&amp;C66</f>
        <v>#N/A</v>
      </c>
      <c r="O66" s="129" t="e">
        <f t="shared" si="2"/>
        <v>#N/A</v>
      </c>
    </row>
    <row r="67" spans="2:15">
      <c r="B67" s="25"/>
      <c r="C67" s="24"/>
      <c r="D67" s="122"/>
      <c r="E67" s="25"/>
      <c r="F67" s="123"/>
      <c r="G67" s="25"/>
      <c r="H67" s="123"/>
      <c r="I67" s="25"/>
      <c r="J67" s="123"/>
      <c r="K67" s="25"/>
      <c r="L67" s="123"/>
      <c r="M67" s="55" t="e">
        <f t="shared" si="1"/>
        <v>#N/A</v>
      </c>
      <c r="N67" s="119" t="e">
        <f>VLOOKUP($B67,Matrix!$H$13:$I$37,2,FALSE)&amp;"_"&amp;C67</f>
        <v>#N/A</v>
      </c>
      <c r="O67" s="129" t="e">
        <f t="shared" si="2"/>
        <v>#N/A</v>
      </c>
    </row>
    <row r="68" spans="2:15">
      <c r="B68" s="25"/>
      <c r="C68" s="24"/>
      <c r="D68" s="122"/>
      <c r="E68" s="25"/>
      <c r="F68" s="123"/>
      <c r="G68" s="25"/>
      <c r="H68" s="123"/>
      <c r="I68" s="25"/>
      <c r="J68" s="123"/>
      <c r="K68" s="25"/>
      <c r="L68" s="123"/>
      <c r="M68" s="55" t="e">
        <f t="shared" si="1"/>
        <v>#N/A</v>
      </c>
      <c r="N68" s="119" t="e">
        <f>VLOOKUP($B68,Matrix!$H$13:$I$37,2,FALSE)&amp;"_"&amp;C68</f>
        <v>#N/A</v>
      </c>
      <c r="O68" s="129" t="e">
        <f t="shared" ref="O68:O99" si="3">"#define "&amp;N68&amp;REPT(" ",48-M68)&amp;"("&amp;D68&amp;"U)"</f>
        <v>#N/A</v>
      </c>
    </row>
    <row r="69" spans="2:15">
      <c r="B69" s="25"/>
      <c r="C69" s="24"/>
      <c r="D69" s="122"/>
      <c r="E69" s="25"/>
      <c r="F69" s="123"/>
      <c r="G69" s="25"/>
      <c r="H69" s="123"/>
      <c r="I69" s="25"/>
      <c r="J69" s="123"/>
      <c r="K69" s="25"/>
      <c r="L69" s="123"/>
      <c r="M69" s="55" t="e">
        <f t="shared" ref="M69:M103" si="4">LEN(N69)</f>
        <v>#N/A</v>
      </c>
      <c r="N69" s="119" t="e">
        <f>VLOOKUP($B69,Matrix!$H$13:$I$37,2,FALSE)&amp;"_"&amp;C69</f>
        <v>#N/A</v>
      </c>
      <c r="O69" s="129" t="e">
        <f t="shared" si="3"/>
        <v>#N/A</v>
      </c>
    </row>
    <row r="70" spans="2:15">
      <c r="B70" s="25"/>
      <c r="C70" s="24"/>
      <c r="D70" s="122"/>
      <c r="E70" s="25"/>
      <c r="F70" s="123"/>
      <c r="G70" s="25"/>
      <c r="H70" s="123"/>
      <c r="I70" s="25"/>
      <c r="J70" s="123"/>
      <c r="K70" s="25"/>
      <c r="L70" s="123"/>
      <c r="M70" s="55" t="e">
        <f t="shared" si="4"/>
        <v>#N/A</v>
      </c>
      <c r="N70" s="119" t="e">
        <f>VLOOKUP($B70,Matrix!$H$13:$I$37,2,FALSE)&amp;"_"&amp;C70</f>
        <v>#N/A</v>
      </c>
      <c r="O70" s="129" t="e">
        <f t="shared" si="3"/>
        <v>#N/A</v>
      </c>
    </row>
    <row r="71" spans="2:15">
      <c r="B71" s="25"/>
      <c r="C71" s="24"/>
      <c r="D71" s="122"/>
      <c r="E71" s="25"/>
      <c r="F71" s="123"/>
      <c r="G71" s="25"/>
      <c r="H71" s="123"/>
      <c r="I71" s="25"/>
      <c r="J71" s="123"/>
      <c r="K71" s="25"/>
      <c r="L71" s="123"/>
      <c r="M71" s="55" t="e">
        <f t="shared" si="4"/>
        <v>#N/A</v>
      </c>
      <c r="N71" s="119" t="e">
        <f>VLOOKUP($B71,Matrix!$H$13:$I$37,2,FALSE)&amp;"_"&amp;C71</f>
        <v>#N/A</v>
      </c>
      <c r="O71" s="129" t="e">
        <f t="shared" si="3"/>
        <v>#N/A</v>
      </c>
    </row>
    <row r="72" spans="2:15">
      <c r="B72" s="25"/>
      <c r="C72" s="24"/>
      <c r="D72" s="122"/>
      <c r="E72" s="25"/>
      <c r="F72" s="123"/>
      <c r="G72" s="25"/>
      <c r="H72" s="123"/>
      <c r="I72" s="25"/>
      <c r="J72" s="123"/>
      <c r="K72" s="25"/>
      <c r="L72" s="123"/>
      <c r="M72" s="55" t="e">
        <f t="shared" si="4"/>
        <v>#N/A</v>
      </c>
      <c r="N72" s="119" t="e">
        <f>VLOOKUP($B72,Matrix!$H$13:$I$37,2,FALSE)&amp;"_"&amp;C72</f>
        <v>#N/A</v>
      </c>
      <c r="O72" s="129" t="e">
        <f t="shared" si="3"/>
        <v>#N/A</v>
      </c>
    </row>
    <row r="73" spans="2:15">
      <c r="B73" s="25"/>
      <c r="C73" s="24"/>
      <c r="D73" s="122"/>
      <c r="E73" s="25"/>
      <c r="F73" s="123"/>
      <c r="G73" s="25"/>
      <c r="H73" s="123"/>
      <c r="I73" s="25"/>
      <c r="J73" s="123"/>
      <c r="K73" s="25"/>
      <c r="L73" s="123"/>
      <c r="M73" s="55" t="e">
        <f t="shared" si="4"/>
        <v>#N/A</v>
      </c>
      <c r="N73" s="119" t="e">
        <f>VLOOKUP($B73,Matrix!$H$13:$I$37,2,FALSE)&amp;"_"&amp;C73</f>
        <v>#N/A</v>
      </c>
      <c r="O73" s="129" t="e">
        <f t="shared" si="3"/>
        <v>#N/A</v>
      </c>
    </row>
    <row r="74" spans="2:15">
      <c r="B74" s="25"/>
      <c r="C74" s="24"/>
      <c r="D74" s="122"/>
      <c r="E74" s="25"/>
      <c r="F74" s="123"/>
      <c r="G74" s="25"/>
      <c r="H74" s="123"/>
      <c r="I74" s="25"/>
      <c r="J74" s="123"/>
      <c r="K74" s="25"/>
      <c r="L74" s="123"/>
      <c r="M74" s="55" t="e">
        <f t="shared" si="4"/>
        <v>#N/A</v>
      </c>
      <c r="N74" s="119" t="e">
        <f>VLOOKUP($B74,Matrix!$H$13:$I$37,2,FALSE)&amp;"_"&amp;C74</f>
        <v>#N/A</v>
      </c>
      <c r="O74" s="129" t="e">
        <f t="shared" si="3"/>
        <v>#N/A</v>
      </c>
    </row>
    <row r="75" spans="2:15">
      <c r="B75" s="25"/>
      <c r="C75" s="24"/>
      <c r="D75" s="122"/>
      <c r="E75" s="25"/>
      <c r="F75" s="123"/>
      <c r="G75" s="25"/>
      <c r="H75" s="123"/>
      <c r="I75" s="25"/>
      <c r="J75" s="123"/>
      <c r="K75" s="25"/>
      <c r="L75" s="123"/>
      <c r="M75" s="55" t="e">
        <f t="shared" si="4"/>
        <v>#N/A</v>
      </c>
      <c r="N75" s="119" t="e">
        <f>VLOOKUP($B75,Matrix!$H$13:$I$37,2,FALSE)&amp;"_"&amp;C75</f>
        <v>#N/A</v>
      </c>
      <c r="O75" s="129" t="e">
        <f t="shared" si="3"/>
        <v>#N/A</v>
      </c>
    </row>
    <row r="76" spans="2:15">
      <c r="B76" s="25"/>
      <c r="C76" s="24"/>
      <c r="D76" s="122"/>
      <c r="E76" s="25"/>
      <c r="F76" s="123"/>
      <c r="G76" s="25"/>
      <c r="H76" s="123"/>
      <c r="I76" s="25"/>
      <c r="J76" s="123"/>
      <c r="K76" s="25"/>
      <c r="L76" s="123"/>
      <c r="M76" s="55" t="e">
        <f t="shared" si="4"/>
        <v>#N/A</v>
      </c>
      <c r="N76" s="119" t="e">
        <f>VLOOKUP($B76,Matrix!$H$13:$I$37,2,FALSE)&amp;"_"&amp;C76</f>
        <v>#N/A</v>
      </c>
      <c r="O76" s="129" t="e">
        <f t="shared" si="3"/>
        <v>#N/A</v>
      </c>
    </row>
    <row r="77" spans="2:15">
      <c r="B77" s="25"/>
      <c r="C77" s="24"/>
      <c r="D77" s="122"/>
      <c r="E77" s="25"/>
      <c r="F77" s="123"/>
      <c r="G77" s="25"/>
      <c r="H77" s="123"/>
      <c r="I77" s="25"/>
      <c r="J77" s="123"/>
      <c r="K77" s="25"/>
      <c r="L77" s="123"/>
      <c r="M77" s="55" t="e">
        <f t="shared" si="4"/>
        <v>#N/A</v>
      </c>
      <c r="N77" s="119" t="e">
        <f>VLOOKUP($B77,Matrix!$H$13:$I$37,2,FALSE)&amp;"_"&amp;C77</f>
        <v>#N/A</v>
      </c>
      <c r="O77" s="129" t="e">
        <f t="shared" si="3"/>
        <v>#N/A</v>
      </c>
    </row>
    <row r="78" spans="2:15">
      <c r="B78" s="25"/>
      <c r="C78" s="24"/>
      <c r="D78" s="122"/>
      <c r="E78" s="25"/>
      <c r="F78" s="123"/>
      <c r="G78" s="25"/>
      <c r="H78" s="123"/>
      <c r="I78" s="25"/>
      <c r="J78" s="123"/>
      <c r="K78" s="25"/>
      <c r="L78" s="123"/>
      <c r="M78" s="55" t="e">
        <f t="shared" si="4"/>
        <v>#N/A</v>
      </c>
      <c r="N78" s="119" t="e">
        <f>VLOOKUP($B78,Matrix!$H$13:$I$37,2,FALSE)&amp;"_"&amp;C78</f>
        <v>#N/A</v>
      </c>
      <c r="O78" s="129" t="e">
        <f t="shared" si="3"/>
        <v>#N/A</v>
      </c>
    </row>
    <row r="79" spans="2:15">
      <c r="B79" s="25"/>
      <c r="C79" s="24"/>
      <c r="D79" s="122"/>
      <c r="E79" s="25"/>
      <c r="F79" s="123"/>
      <c r="G79" s="25"/>
      <c r="H79" s="123"/>
      <c r="I79" s="25"/>
      <c r="J79" s="123"/>
      <c r="K79" s="25"/>
      <c r="L79" s="123"/>
      <c r="M79" s="55" t="e">
        <f t="shared" si="4"/>
        <v>#N/A</v>
      </c>
      <c r="N79" s="119" t="e">
        <f>VLOOKUP($B79,Matrix!$H$13:$I$37,2,FALSE)&amp;"_"&amp;C79</f>
        <v>#N/A</v>
      </c>
      <c r="O79" s="129" t="e">
        <f t="shared" si="3"/>
        <v>#N/A</v>
      </c>
    </row>
    <row r="80" spans="2:15">
      <c r="B80" s="25"/>
      <c r="C80" s="24"/>
      <c r="D80" s="122"/>
      <c r="E80" s="25"/>
      <c r="F80" s="123"/>
      <c r="G80" s="25"/>
      <c r="H80" s="123"/>
      <c r="I80" s="25"/>
      <c r="J80" s="123"/>
      <c r="K80" s="25"/>
      <c r="L80" s="123"/>
      <c r="M80" s="55" t="e">
        <f t="shared" si="4"/>
        <v>#N/A</v>
      </c>
      <c r="N80" s="119" t="e">
        <f>VLOOKUP($B80,Matrix!$H$13:$I$37,2,FALSE)&amp;"_"&amp;C80</f>
        <v>#N/A</v>
      </c>
      <c r="O80" s="129" t="e">
        <f t="shared" si="3"/>
        <v>#N/A</v>
      </c>
    </row>
    <row r="81" spans="2:15">
      <c r="B81" s="25"/>
      <c r="C81" s="24"/>
      <c r="D81" s="122"/>
      <c r="E81" s="25"/>
      <c r="F81" s="123"/>
      <c r="G81" s="25"/>
      <c r="H81" s="123"/>
      <c r="I81" s="25"/>
      <c r="J81" s="123"/>
      <c r="K81" s="25"/>
      <c r="L81" s="123"/>
      <c r="M81" s="55" t="e">
        <f t="shared" si="4"/>
        <v>#N/A</v>
      </c>
      <c r="N81" s="119" t="e">
        <f>VLOOKUP($B81,Matrix!$H$13:$I$37,2,FALSE)&amp;"_"&amp;C81</f>
        <v>#N/A</v>
      </c>
      <c r="O81" s="129" t="e">
        <f t="shared" si="3"/>
        <v>#N/A</v>
      </c>
    </row>
    <row r="82" spans="2:15">
      <c r="B82" s="25"/>
      <c r="C82" s="24"/>
      <c r="D82" s="122"/>
      <c r="E82" s="25"/>
      <c r="F82" s="123"/>
      <c r="G82" s="25"/>
      <c r="H82" s="123"/>
      <c r="I82" s="25"/>
      <c r="J82" s="123"/>
      <c r="K82" s="25"/>
      <c r="L82" s="123"/>
      <c r="M82" s="55" t="e">
        <f t="shared" si="4"/>
        <v>#N/A</v>
      </c>
      <c r="N82" s="119" t="e">
        <f>VLOOKUP($B82,Matrix!$H$13:$I$37,2,FALSE)&amp;"_"&amp;C82</f>
        <v>#N/A</v>
      </c>
      <c r="O82" s="129" t="e">
        <f t="shared" si="3"/>
        <v>#N/A</v>
      </c>
    </row>
    <row r="83" spans="2:15">
      <c r="B83" s="25"/>
      <c r="C83" s="24"/>
      <c r="D83" s="122"/>
      <c r="E83" s="25"/>
      <c r="F83" s="123"/>
      <c r="G83" s="25"/>
      <c r="H83" s="123"/>
      <c r="I83" s="25"/>
      <c r="J83" s="123"/>
      <c r="K83" s="25"/>
      <c r="L83" s="123"/>
      <c r="M83" s="55" t="e">
        <f t="shared" si="4"/>
        <v>#N/A</v>
      </c>
      <c r="N83" s="119" t="e">
        <f>VLOOKUP($B83,Matrix!$H$13:$I$37,2,FALSE)&amp;"_"&amp;C83</f>
        <v>#N/A</v>
      </c>
      <c r="O83" s="129" t="e">
        <f t="shared" si="3"/>
        <v>#N/A</v>
      </c>
    </row>
    <row r="84" spans="2:15">
      <c r="B84" s="25"/>
      <c r="C84" s="24"/>
      <c r="D84" s="122"/>
      <c r="E84" s="25"/>
      <c r="F84" s="123"/>
      <c r="G84" s="25"/>
      <c r="H84" s="123"/>
      <c r="I84" s="25"/>
      <c r="J84" s="123"/>
      <c r="K84" s="25"/>
      <c r="L84" s="123"/>
      <c r="M84" s="55" t="e">
        <f t="shared" si="4"/>
        <v>#N/A</v>
      </c>
      <c r="N84" s="119" t="e">
        <f>VLOOKUP($B84,Matrix!$H$13:$I$37,2,FALSE)&amp;"_"&amp;C84</f>
        <v>#N/A</v>
      </c>
      <c r="O84" s="129" t="e">
        <f t="shared" si="3"/>
        <v>#N/A</v>
      </c>
    </row>
    <row r="85" spans="2:15">
      <c r="B85" s="25"/>
      <c r="C85" s="24"/>
      <c r="D85" s="122"/>
      <c r="E85" s="25"/>
      <c r="F85" s="123"/>
      <c r="G85" s="25"/>
      <c r="H85" s="123"/>
      <c r="I85" s="25"/>
      <c r="J85" s="123"/>
      <c r="K85" s="25"/>
      <c r="L85" s="123"/>
      <c r="M85" s="55" t="e">
        <f t="shared" si="4"/>
        <v>#N/A</v>
      </c>
      <c r="N85" s="119" t="e">
        <f>VLOOKUP($B85,Matrix!$H$13:$I$37,2,FALSE)&amp;"_"&amp;C85</f>
        <v>#N/A</v>
      </c>
      <c r="O85" s="129" t="e">
        <f t="shared" si="3"/>
        <v>#N/A</v>
      </c>
    </row>
    <row r="86" spans="2:15">
      <c r="B86" s="25"/>
      <c r="C86" s="24"/>
      <c r="D86" s="122"/>
      <c r="E86" s="25"/>
      <c r="F86" s="123"/>
      <c r="G86" s="25"/>
      <c r="H86" s="123"/>
      <c r="I86" s="25"/>
      <c r="J86" s="123"/>
      <c r="K86" s="25"/>
      <c r="L86" s="123"/>
      <c r="M86" s="55" t="e">
        <f t="shared" si="4"/>
        <v>#N/A</v>
      </c>
      <c r="N86" s="119" t="e">
        <f>VLOOKUP($B86,Matrix!$H$13:$I$37,2,FALSE)&amp;"_"&amp;C86</f>
        <v>#N/A</v>
      </c>
      <c r="O86" s="129" t="e">
        <f t="shared" si="3"/>
        <v>#N/A</v>
      </c>
    </row>
    <row r="87" spans="2:15">
      <c r="B87" s="25"/>
      <c r="C87" s="24"/>
      <c r="D87" s="122"/>
      <c r="E87" s="25"/>
      <c r="F87" s="123"/>
      <c r="G87" s="25"/>
      <c r="H87" s="123"/>
      <c r="I87" s="25"/>
      <c r="J87" s="123"/>
      <c r="K87" s="25"/>
      <c r="L87" s="123"/>
      <c r="M87" s="55" t="e">
        <f t="shared" si="4"/>
        <v>#N/A</v>
      </c>
      <c r="N87" s="76" t="e">
        <f>VLOOKUP($B87,Matrix!$H$13:$I$37,2,FALSE)&amp;"_"&amp;C87</f>
        <v>#N/A</v>
      </c>
      <c r="O87" s="129" t="e">
        <f t="shared" si="3"/>
        <v>#N/A</v>
      </c>
    </row>
    <row r="88" spans="2:15">
      <c r="B88" s="25"/>
      <c r="C88" s="24"/>
      <c r="D88" s="122"/>
      <c r="E88" s="25"/>
      <c r="F88" s="123"/>
      <c r="G88" s="25"/>
      <c r="H88" s="123"/>
      <c r="I88" s="25"/>
      <c r="J88" s="123"/>
      <c r="K88" s="25"/>
      <c r="L88" s="123"/>
      <c r="M88" s="55" t="e">
        <f t="shared" si="4"/>
        <v>#N/A</v>
      </c>
      <c r="N88" s="76" t="e">
        <f>VLOOKUP($B88,Matrix!$H$13:$I$37,2,FALSE)&amp;"_"&amp;C88</f>
        <v>#N/A</v>
      </c>
      <c r="O88" s="129" t="e">
        <f t="shared" si="3"/>
        <v>#N/A</v>
      </c>
    </row>
    <row r="89" spans="2:15">
      <c r="B89" s="25"/>
      <c r="C89" s="24"/>
      <c r="D89" s="122"/>
      <c r="E89" s="25"/>
      <c r="F89" s="123"/>
      <c r="G89" s="25"/>
      <c r="H89" s="123"/>
      <c r="I89" s="25"/>
      <c r="J89" s="123"/>
      <c r="K89" s="25"/>
      <c r="L89" s="123"/>
      <c r="M89" s="55" t="e">
        <f t="shared" si="4"/>
        <v>#N/A</v>
      </c>
      <c r="N89" s="76" t="e">
        <f>VLOOKUP($B89,Matrix!$H$13:$I$37,2,FALSE)&amp;"_"&amp;C89</f>
        <v>#N/A</v>
      </c>
      <c r="O89" s="129" t="e">
        <f t="shared" si="3"/>
        <v>#N/A</v>
      </c>
    </row>
    <row r="90" spans="2:15">
      <c r="B90" s="25"/>
      <c r="C90" s="24"/>
      <c r="D90" s="122"/>
      <c r="E90" s="25"/>
      <c r="F90" s="123"/>
      <c r="G90" s="25"/>
      <c r="H90" s="123"/>
      <c r="I90" s="25"/>
      <c r="J90" s="123"/>
      <c r="K90" s="25"/>
      <c r="L90" s="123"/>
      <c r="M90" s="55" t="e">
        <f t="shared" si="4"/>
        <v>#N/A</v>
      </c>
      <c r="N90" s="76" t="e">
        <f>VLOOKUP($B90,Matrix!$H$13:$I$37,2,FALSE)&amp;"_"&amp;C90</f>
        <v>#N/A</v>
      </c>
      <c r="O90" s="129" t="e">
        <f t="shared" si="3"/>
        <v>#N/A</v>
      </c>
    </row>
    <row r="91" spans="2:15">
      <c r="B91" s="25"/>
      <c r="C91" s="24"/>
      <c r="D91" s="122"/>
      <c r="E91" s="25"/>
      <c r="F91" s="123"/>
      <c r="G91" s="25"/>
      <c r="H91" s="123"/>
      <c r="I91" s="25"/>
      <c r="J91" s="123"/>
      <c r="K91" s="25"/>
      <c r="L91" s="123"/>
      <c r="M91" s="55" t="e">
        <f t="shared" si="4"/>
        <v>#N/A</v>
      </c>
      <c r="N91" s="76" t="e">
        <f>VLOOKUP($B91,Matrix!$H$13:$I$37,2,FALSE)&amp;"_"&amp;C91</f>
        <v>#N/A</v>
      </c>
      <c r="O91" s="129" t="e">
        <f t="shared" si="3"/>
        <v>#N/A</v>
      </c>
    </row>
    <row r="92" spans="2:15">
      <c r="B92" s="25"/>
      <c r="C92" s="24"/>
      <c r="D92" s="122"/>
      <c r="E92" s="25"/>
      <c r="F92" s="123"/>
      <c r="G92" s="25"/>
      <c r="H92" s="123"/>
      <c r="I92" s="25"/>
      <c r="J92" s="123"/>
      <c r="K92" s="25"/>
      <c r="L92" s="123"/>
      <c r="M92" s="55" t="e">
        <f t="shared" si="4"/>
        <v>#N/A</v>
      </c>
      <c r="N92" s="76" t="e">
        <f>VLOOKUP($B92,Matrix!$H$13:$I$37,2,FALSE)&amp;"_"&amp;C92</f>
        <v>#N/A</v>
      </c>
      <c r="O92" s="129" t="e">
        <f t="shared" si="3"/>
        <v>#N/A</v>
      </c>
    </row>
    <row r="93" spans="2:15">
      <c r="B93" s="25"/>
      <c r="C93" s="24"/>
      <c r="D93" s="122"/>
      <c r="E93" s="25"/>
      <c r="F93" s="123"/>
      <c r="G93" s="25"/>
      <c r="H93" s="123"/>
      <c r="I93" s="25"/>
      <c r="J93" s="123"/>
      <c r="K93" s="25"/>
      <c r="L93" s="123"/>
      <c r="M93" s="55" t="e">
        <f t="shared" si="4"/>
        <v>#N/A</v>
      </c>
      <c r="N93" s="76" t="e">
        <f>VLOOKUP($B93,Matrix!$H$13:$I$37,2,FALSE)&amp;"_"&amp;C93</f>
        <v>#N/A</v>
      </c>
      <c r="O93" s="129" t="e">
        <f t="shared" si="3"/>
        <v>#N/A</v>
      </c>
    </row>
    <row r="94" spans="2:15">
      <c r="B94" s="25"/>
      <c r="C94" s="24"/>
      <c r="D94" s="122"/>
      <c r="E94" s="25"/>
      <c r="F94" s="123"/>
      <c r="G94" s="25"/>
      <c r="H94" s="123"/>
      <c r="I94" s="25"/>
      <c r="J94" s="123"/>
      <c r="K94" s="25"/>
      <c r="L94" s="123"/>
      <c r="M94" s="55" t="e">
        <f t="shared" si="4"/>
        <v>#N/A</v>
      </c>
      <c r="N94" s="76" t="e">
        <f>VLOOKUP($B94,Matrix!$H$13:$I$37,2,FALSE)&amp;"_"&amp;C94</f>
        <v>#N/A</v>
      </c>
      <c r="O94" s="129" t="e">
        <f t="shared" si="3"/>
        <v>#N/A</v>
      </c>
    </row>
    <row r="95" spans="2:15">
      <c r="B95" s="25"/>
      <c r="C95" s="24"/>
      <c r="D95" s="122"/>
      <c r="E95" s="25"/>
      <c r="F95" s="123"/>
      <c r="G95" s="25"/>
      <c r="H95" s="123"/>
      <c r="I95" s="25"/>
      <c r="J95" s="123"/>
      <c r="K95" s="25"/>
      <c r="L95" s="123"/>
      <c r="M95" s="55" t="e">
        <f t="shared" si="4"/>
        <v>#N/A</v>
      </c>
      <c r="N95" s="76" t="e">
        <f>VLOOKUP($B95,Matrix!$H$13:$I$37,2,FALSE)&amp;"_"&amp;C95</f>
        <v>#N/A</v>
      </c>
      <c r="O95" s="129" t="e">
        <f t="shared" si="3"/>
        <v>#N/A</v>
      </c>
    </row>
    <row r="96" spans="2:15">
      <c r="B96" s="25"/>
      <c r="C96" s="24"/>
      <c r="D96" s="122"/>
      <c r="E96" s="25"/>
      <c r="F96" s="123"/>
      <c r="G96" s="25"/>
      <c r="H96" s="123"/>
      <c r="I96" s="25"/>
      <c r="J96" s="123"/>
      <c r="K96" s="25"/>
      <c r="L96" s="123"/>
      <c r="M96" s="55" t="e">
        <f t="shared" si="4"/>
        <v>#N/A</v>
      </c>
      <c r="N96" s="76" t="e">
        <f>VLOOKUP($B96,Matrix!$H$13:$I$37,2,FALSE)&amp;"_"&amp;C96</f>
        <v>#N/A</v>
      </c>
      <c r="O96" s="129" t="e">
        <f t="shared" si="3"/>
        <v>#N/A</v>
      </c>
    </row>
    <row r="97" spans="2:15">
      <c r="B97" s="25"/>
      <c r="C97" s="24"/>
      <c r="D97" s="122"/>
      <c r="E97" s="25"/>
      <c r="F97" s="123"/>
      <c r="G97" s="25"/>
      <c r="H97" s="123"/>
      <c r="I97" s="25"/>
      <c r="J97" s="123"/>
      <c r="K97" s="25"/>
      <c r="L97" s="123"/>
      <c r="M97" s="55" t="e">
        <f t="shared" si="4"/>
        <v>#N/A</v>
      </c>
      <c r="N97" s="76" t="e">
        <f>VLOOKUP($B97,Matrix!$H$13:$I$37,2,FALSE)&amp;"_"&amp;C97</f>
        <v>#N/A</v>
      </c>
      <c r="O97" s="129" t="e">
        <f t="shared" si="3"/>
        <v>#N/A</v>
      </c>
    </row>
    <row r="98" spans="2:15">
      <c r="B98" s="25"/>
      <c r="C98" s="24"/>
      <c r="D98" s="122"/>
      <c r="E98" s="25"/>
      <c r="F98" s="123"/>
      <c r="G98" s="25"/>
      <c r="H98" s="123"/>
      <c r="I98" s="25"/>
      <c r="J98" s="123"/>
      <c r="K98" s="25"/>
      <c r="L98" s="123"/>
      <c r="M98" s="55" t="e">
        <f t="shared" si="4"/>
        <v>#N/A</v>
      </c>
      <c r="N98" s="76" t="e">
        <f>VLOOKUP($B98,Matrix!$H$13:$I$37,2,FALSE)&amp;"_"&amp;C98</f>
        <v>#N/A</v>
      </c>
      <c r="O98" s="129" t="e">
        <f t="shared" si="3"/>
        <v>#N/A</v>
      </c>
    </row>
    <row r="99" spans="2:15">
      <c r="B99" s="25"/>
      <c r="C99" s="24"/>
      <c r="D99" s="122"/>
      <c r="E99" s="25"/>
      <c r="F99" s="123"/>
      <c r="G99" s="25"/>
      <c r="H99" s="123"/>
      <c r="I99" s="25"/>
      <c r="J99" s="123"/>
      <c r="K99" s="25"/>
      <c r="L99" s="123"/>
      <c r="M99" s="55" t="e">
        <f t="shared" si="4"/>
        <v>#N/A</v>
      </c>
      <c r="N99" s="76" t="e">
        <f>VLOOKUP($B99,Matrix!$H$13:$I$37,2,FALSE)&amp;"_"&amp;C99</f>
        <v>#N/A</v>
      </c>
      <c r="O99" s="129" t="e">
        <f t="shared" si="3"/>
        <v>#N/A</v>
      </c>
    </row>
    <row r="100" spans="2:15">
      <c r="B100" s="25"/>
      <c r="C100" s="24"/>
      <c r="D100" s="122"/>
      <c r="E100" s="25"/>
      <c r="F100" s="123"/>
      <c r="G100" s="25"/>
      <c r="H100" s="123"/>
      <c r="I100" s="25"/>
      <c r="J100" s="123"/>
      <c r="K100" s="25"/>
      <c r="L100" s="123"/>
      <c r="M100" s="55" t="e">
        <f t="shared" si="4"/>
        <v>#N/A</v>
      </c>
      <c r="N100" s="76" t="e">
        <f>VLOOKUP($B100,Matrix!$H$13:$I$37,2,FALSE)&amp;"_"&amp;C100</f>
        <v>#N/A</v>
      </c>
      <c r="O100" s="129" t="e">
        <f t="shared" ref="O100:O103" si="5">"#define "&amp;N100&amp;REPT(" ",48-M100)&amp;"("&amp;D100&amp;"U)"</f>
        <v>#N/A</v>
      </c>
    </row>
    <row r="101" spans="2:15">
      <c r="B101" s="25"/>
      <c r="C101" s="24"/>
      <c r="D101" s="122"/>
      <c r="E101" s="25"/>
      <c r="F101" s="123"/>
      <c r="G101" s="25"/>
      <c r="H101" s="123"/>
      <c r="I101" s="25"/>
      <c r="J101" s="123"/>
      <c r="K101" s="25"/>
      <c r="L101" s="123"/>
      <c r="M101" s="55" t="e">
        <f t="shared" si="4"/>
        <v>#N/A</v>
      </c>
      <c r="N101" s="76" t="e">
        <f>VLOOKUP($B101,Matrix!$H$13:$I$37,2,FALSE)&amp;"_"&amp;C101</f>
        <v>#N/A</v>
      </c>
      <c r="O101" s="129" t="e">
        <f t="shared" si="5"/>
        <v>#N/A</v>
      </c>
    </row>
    <row r="102" spans="2:15">
      <c r="B102" s="25"/>
      <c r="C102" s="24"/>
      <c r="D102" s="122"/>
      <c r="E102" s="25"/>
      <c r="F102" s="123"/>
      <c r="G102" s="25"/>
      <c r="H102" s="123"/>
      <c r="I102" s="25"/>
      <c r="J102" s="123"/>
      <c r="K102" s="25"/>
      <c r="L102" s="123"/>
      <c r="M102" s="55" t="e">
        <f t="shared" si="4"/>
        <v>#N/A</v>
      </c>
      <c r="N102" s="76" t="e">
        <f>VLOOKUP($B102,Matrix!$H$13:$I$37,2,FALSE)&amp;"_"&amp;C102</f>
        <v>#N/A</v>
      </c>
      <c r="O102" s="129" t="e">
        <f t="shared" si="5"/>
        <v>#N/A</v>
      </c>
    </row>
    <row r="103" spans="2:15" ht="13.5" thickBot="1">
      <c r="B103" s="61"/>
      <c r="C103" s="62"/>
      <c r="D103" s="124"/>
      <c r="E103" s="61"/>
      <c r="F103" s="125"/>
      <c r="G103" s="61"/>
      <c r="H103" s="125"/>
      <c r="I103" s="61"/>
      <c r="J103" s="125"/>
      <c r="K103" s="61"/>
      <c r="L103" s="125"/>
      <c r="M103" s="63" t="e">
        <f t="shared" si="4"/>
        <v>#N/A</v>
      </c>
      <c r="N103" s="77" t="e">
        <f>VLOOKUP($B103,Matrix!$H$13:$I$37,2,FALSE)&amp;"_"&amp;C103</f>
        <v>#N/A</v>
      </c>
      <c r="O103" s="130" t="e">
        <f t="shared"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9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31" t="s">
        <v>120</v>
      </c>
      <c r="C2" s="320" t="s">
        <v>81</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22" t="s">
        <v>51</v>
      </c>
    </row>
    <row r="3" spans="1:49" ht="213" customHeight="1" thickBot="1">
      <c r="B3" s="266" t="str">
        <f>IF(OR(IF(COUNTIF(D6:AC69,"0")&lt;&gt;0,TRUE,FALSE),IF(COUNTIF(D6:AC69,"1")&lt;&gt;0,TRUE,FALSE)),"Search Table","Index Table")</f>
        <v>Index Table</v>
      </c>
      <c r="C3" s="321"/>
      <c r="D3" s="133" t="s">
        <v>61</v>
      </c>
      <c r="E3" s="133" t="s">
        <v>66</v>
      </c>
      <c r="F3" s="133" t="s">
        <v>49</v>
      </c>
      <c r="G3" s="133" t="s">
        <v>48</v>
      </c>
      <c r="H3" s="133" t="s">
        <v>118</v>
      </c>
      <c r="I3" s="133" t="s">
        <v>117</v>
      </c>
      <c r="J3" s="133" t="s">
        <v>122</v>
      </c>
      <c r="K3" s="133" t="s">
        <v>121</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66</v>
      </c>
      <c r="AC3" s="134" t="s">
        <v>62</v>
      </c>
      <c r="AD3" s="134" t="s">
        <v>66</v>
      </c>
      <c r="AE3" s="134" t="s">
        <v>62</v>
      </c>
      <c r="AF3" s="134" t="s">
        <v>66</v>
      </c>
      <c r="AG3" s="134" t="s">
        <v>62</v>
      </c>
      <c r="AH3" s="257" t="s">
        <v>291</v>
      </c>
      <c r="AI3" s="258" t="s">
        <v>285</v>
      </c>
      <c r="AJ3" s="323"/>
      <c r="AR3" s="101" t="s">
        <v>93</v>
      </c>
    </row>
    <row r="4" spans="1:49" ht="13.5" thickBot="1">
      <c r="A4" s="324" t="s">
        <v>63</v>
      </c>
      <c r="B4" s="325"/>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36"/>
      <c r="AR4" s="89" t="s">
        <v>79</v>
      </c>
      <c r="AS4" s="90"/>
      <c r="AT4" s="90"/>
      <c r="AU4" s="90"/>
      <c r="AV4" s="90"/>
      <c r="AW4" s="91"/>
    </row>
    <row r="5" spans="1:49" ht="13.5" thickBot="1">
      <c r="A5" s="326"/>
      <c r="B5" s="32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37"/>
      <c r="AR5" s="92" t="str">
        <f ca="1">"static const U4  "&amp;AW8&amp;"["&amp;AW10&amp;"]"&amp;" = {"</f>
        <v>static const U4  u4_sp_ALERT_C_BRLV_2_WRN_CRIT[ALERT_C_BRLV_2_WRN_NUM_DST] = {</v>
      </c>
      <c r="AS5" s="92" t="str">
        <f ca="1">"static const U4  "&amp;$AW$9&amp;"["&amp;$AW$10&amp;"] = {"</f>
        <v>static const U4  u4_sp_ALERT_C_BRLV_2_WRN_MASK[ALERT_C_BRLV_2_WRN_NUM_DST] = {</v>
      </c>
      <c r="AT5" s="92" t="str">
        <f ca="1">"static const U1  "&amp;$AW$11&amp;"["&amp;$AW$10&amp;"] = {"</f>
        <v>static const U1  u1_sp_ALERT_C_BRLV_2_WRN_DST[ALERT_C_BRLV_2_WRN_NUM_DST] = {</v>
      </c>
      <c r="AU5" s="92" t="str">
        <f>"const ST_ALERT_MTRX "&amp;$AW$12&amp;" = {"</f>
        <v>const ST_ALERT_MTRX st_gp_ALERT_C_BRLV_2_MTRX[2] = {</v>
      </c>
      <c r="AV5" s="73" t="str">
        <f ca="1">"#define "&amp;AW10&amp;REPT(" ",41-LEN(AW10))&amp;"("&amp;AW13&amp;"U)"</f>
        <v>#define ALERT_C_BRLV_2_WRN_NUM_DST               (4U)</v>
      </c>
      <c r="AW5" s="74"/>
    </row>
    <row r="6" spans="1:49">
      <c r="B6" s="140" t="str">
        <f ca="1">"Table "&amp;$AW$6</f>
        <v>Table WRN</v>
      </c>
      <c r="C6" s="60">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67</v>
      </c>
      <c r="AD6" s="135" t="s">
        <v>67</v>
      </c>
      <c r="AE6" s="135" t="s">
        <v>67</v>
      </c>
      <c r="AF6" s="135" t="s">
        <v>67</v>
      </c>
      <c r="AG6" s="135" t="s">
        <v>67</v>
      </c>
      <c r="AH6" s="69">
        <v>0</v>
      </c>
      <c r="AI6" s="69">
        <v>0</v>
      </c>
      <c r="AJ6" s="59" t="s">
        <v>105</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(U4)0x00000003U,                                                           /* 00 UNKNOWN                                         */</v>
      </c>
      <c r="AT6" s="71" t="str">
        <f t="shared" ref="AT6:AT69" si="1">IF(AJ6&lt;&gt;"",AL6&amp;IF(AJ7&lt;&gt;"",","," ")&amp;REPT(" ",78-LEN(AL6))&amp;"/* "&amp;IF(C6&lt;10,"0"&amp;C6,C6)&amp;" "&amp;AJ6&amp;REPT(" ",48-LEN(AJ6))&amp;"*/",IF(AJ5&lt;&gt;"","};",""))</f>
        <v xml:space="preserve">    (U1)ALERT_REQ_UNKNOWN,                                                     /* 00 UNKNOWN                                         */</v>
      </c>
      <c r="AU6" s="71" t="s">
        <v>279</v>
      </c>
      <c r="AV6" s="56" t="s">
        <v>68</v>
      </c>
      <c r="AW6" s="75" t="str">
        <f ca="1">UPPER(RIGHT(CELL("filename",A1),LEN(CELL("filename",A1))-FIND("]",CELL("filename",A1))))</f>
        <v>WRN</v>
      </c>
    </row>
    <row r="7" spans="1:49">
      <c r="B7" s="140"/>
      <c r="C7" s="55">
        <f t="shared" ref="C7:C69" si="2">ROW()-ROW($C$6)</f>
        <v>1</v>
      </c>
      <c r="D7" s="69" t="s">
        <v>67</v>
      </c>
      <c r="E7" s="69" t="s">
        <v>67</v>
      </c>
      <c r="F7" s="69" t="s">
        <v>67</v>
      </c>
      <c r="G7" s="69" t="s">
        <v>67</v>
      </c>
      <c r="H7" s="69" t="s">
        <v>67</v>
      </c>
      <c r="I7" s="69" t="s">
        <v>67</v>
      </c>
      <c r="J7" s="69" t="s">
        <v>67</v>
      </c>
      <c r="K7" s="135"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t="s">
        <v>67</v>
      </c>
      <c r="AD7" s="135" t="s">
        <v>67</v>
      </c>
      <c r="AE7" s="135" t="s">
        <v>67</v>
      </c>
      <c r="AF7" s="135" t="s">
        <v>67</v>
      </c>
      <c r="AG7" s="135" t="s">
        <v>67</v>
      </c>
      <c r="AH7" s="69">
        <v>0</v>
      </c>
      <c r="AI7" s="69">
        <v>1</v>
      </c>
      <c r="AJ7" s="24" t="s">
        <v>234</v>
      </c>
      <c r="AL7" t="str">
        <f t="shared" ca="1" si="0"/>
        <v xml:space="preserve">    (U1)ALERT_REQ_C_BRLV_2_WRN_MALFUNC</v>
      </c>
      <c r="AR7" s="71" t="str">
        <f t="shared" ref="AR7:AR70" si="3">IF(AQ72&lt;&gt;"",AQ72,IF(AQ71&lt;&gt;"","};",""))</f>
        <v xml:space="preserve">    (U4)0x00000001U,                                                           /* 01 MALFUNC                                         */</v>
      </c>
      <c r="AS7" s="71" t="str">
        <f t="shared" ref="AS7:AS70" si="4">IF(AQ137&lt;&gt;"",AQ137,IF(AQ136&lt;&gt;"","};",""))</f>
        <v xml:space="preserve">    (U4)0x00000003U,                                                           /* 01 MALFUNC                                         */</v>
      </c>
      <c r="AT7" s="71" t="str">
        <f t="shared" ca="1" si="1"/>
        <v xml:space="preserve">    (U1)ALERT_REQ_C_BRLV_2_WRN_MALFUNC,                                        /* 01 MALFUNC                                         */</v>
      </c>
      <c r="AU7" s="71" t="str">
        <f ca="1">"        &amp;"&amp;$AW$14&amp;","&amp;REPT(" ",69-LEN($AW$14))&amp;"/* fp_u4_SRC_CHK                                      */"</f>
        <v xml:space="preserve">        &amp;u4_s_AlertC_brlv_2WrnSrcchk,                                          /* fp_u4_SRC_CHK                                      */</v>
      </c>
      <c r="AV7" s="57" t="s">
        <v>69</v>
      </c>
      <c r="AW7" s="139">
        <f>IF(B3="Search Table",1,0)</f>
        <v>0</v>
      </c>
    </row>
    <row r="8" spans="1:49">
      <c r="B8" s="140"/>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69" t="s">
        <v>67</v>
      </c>
      <c r="AG8" s="69" t="s">
        <v>67</v>
      </c>
      <c r="AH8" s="69">
        <v>1</v>
      </c>
      <c r="AI8" s="69">
        <v>0</v>
      </c>
      <c r="AJ8" s="24" t="s">
        <v>32</v>
      </c>
      <c r="AL8" t="str">
        <f t="shared" si="0"/>
        <v xml:space="preserve">    (U1)ALERT_REQ_UNKNOWN</v>
      </c>
      <c r="AR8" s="71" t="str">
        <f t="shared" si="3"/>
        <v xml:space="preserve">    (U4)0x00000002U,                                                           /* 02 UNKNOWN                                         */</v>
      </c>
      <c r="AS8" s="71" t="str">
        <f t="shared" si="4"/>
        <v xml:space="preserve">    (U4)0x00000003U,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7" t="s">
        <v>70</v>
      </c>
      <c r="AW8" s="76" t="str">
        <f ca="1">"u4_sp_ALERT_"&amp;IF(AW6&lt;&gt;AW17,$AW$17&amp;"_"&amp;$AW$6,AW17)&amp;"_CRIT"</f>
        <v>u4_sp_ALERT_C_BRLV_2_WRN_CRIT</v>
      </c>
    </row>
    <row r="9" spans="1:49">
      <c r="B9" s="140"/>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t="s">
        <v>67</v>
      </c>
      <c r="AG9" s="69" t="s">
        <v>67</v>
      </c>
      <c r="AH9" s="69">
        <v>1</v>
      </c>
      <c r="AI9" s="69">
        <v>1</v>
      </c>
      <c r="AJ9" s="24" t="s">
        <v>32</v>
      </c>
      <c r="AL9" t="str">
        <f t="shared" si="0"/>
        <v xml:space="preserve">    (U1)ALERT_REQ_UNKNOWN</v>
      </c>
      <c r="AR9" s="71" t="str">
        <f t="shared" si="3"/>
        <v xml:space="preserve">    (U4)0x00000003U                                                            /* 03 UNKNOWN                                         */</v>
      </c>
      <c r="AS9" s="71" t="str">
        <f t="shared" si="4"/>
        <v xml:space="preserve">    (U4)0x00000003U                                                            /* 03 UNKNOWN                                         */</v>
      </c>
      <c r="AT9" s="71" t="str">
        <f t="shared" si="1"/>
        <v xml:space="preserve">    (U1)ALERT_REQ_UNKNOWN                                                      /* 03 UNKNOWN                                         */</v>
      </c>
      <c r="AU9" s="71"/>
      <c r="AV9" s="57" t="s">
        <v>71</v>
      </c>
      <c r="AW9" s="76" t="str">
        <f ca="1">"u4_sp_ALERT_"&amp;IF(AW6&lt;&gt;AW17,$AW$17&amp;"_"&amp;$AW$6,AW17)&amp;"_MASK"</f>
        <v>u4_sp_ALERT_C_BRLV_2_WRN_MASK</v>
      </c>
    </row>
    <row r="10" spans="1:49">
      <c r="B10" s="140"/>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t="s">
        <v>67</v>
      </c>
      <c r="AG10" s="69" t="s">
        <v>67</v>
      </c>
      <c r="AH10" s="69" t="s">
        <v>67</v>
      </c>
      <c r="AI10" s="69" t="s">
        <v>67</v>
      </c>
      <c r="AJ10" s="24"/>
      <c r="AL10" t="str">
        <f t="shared" ca="1" si="0"/>
        <v xml:space="preserve">    (U1)ALERT_REQ_C_BRLV_2_WRN_</v>
      </c>
      <c r="AR10" s="71" t="str">
        <f t="shared" si="3"/>
        <v>};</v>
      </c>
      <c r="AS10" s="71" t="str">
        <f t="shared" si="4"/>
        <v>};</v>
      </c>
      <c r="AT10" s="71" t="str">
        <f t="shared" si="1"/>
        <v>};</v>
      </c>
      <c r="AU10" s="71" t="str">
        <f>IF($AW$7=1,"        &amp;"&amp;$AW$9&amp;"[0],"&amp;REPT(" ",66-LEN($AW$9))&amp;"/* u4p_MASK                                           */","        (const U4 *)vdp_PTR_NA,                                                /* u4p_MASK                                           */")</f>
        <v xml:space="preserve">        (const U4 *)vdp_PTR_NA,                                                /* u4p_MASK                                           */</v>
      </c>
      <c r="AV10" s="57" t="s">
        <v>72</v>
      </c>
      <c r="AW10" s="76" t="str">
        <f ca="1">"ALERT_"&amp;IF(AW6&lt;&gt;AW17,$AW$17&amp;"_"&amp;$AW$6,AW17)&amp;"_NUM_DST"</f>
        <v>ALERT_C_BRLV_2_WRN_NUM_DST</v>
      </c>
    </row>
    <row r="11" spans="1:49">
      <c r="B11" s="140"/>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t="s">
        <v>67</v>
      </c>
      <c r="AG11" s="69" t="s">
        <v>67</v>
      </c>
      <c r="AH11" s="69" t="s">
        <v>67</v>
      </c>
      <c r="AI11" s="69" t="s">
        <v>67</v>
      </c>
      <c r="AJ11" s="24"/>
      <c r="AL11" t="str">
        <f t="shared" ca="1" si="0"/>
        <v xml:space="preserve">    (U1)ALERT_REQ_C_BRLV_2_WRN_</v>
      </c>
      <c r="AR11" s="71" t="str">
        <f t="shared" si="3"/>
        <v/>
      </c>
      <c r="AS11" s="71" t="str">
        <f t="shared" si="4"/>
        <v/>
      </c>
      <c r="AT11" s="71" t="str">
        <f t="shared" si="1"/>
        <v/>
      </c>
      <c r="AU11" s="71" t="str">
        <f>IF($AW$7=1,"        &amp;"&amp;$AW$8&amp;"[0],"&amp;REPT(" ",66-LEN($AW$8))&amp;"/* u4p_CRIT                                           */","        (const U4 *)vdp_PTR_NA,                                                /* u4p_CRIT                                           */")</f>
        <v xml:space="preserve">        (const U4 *)vdp_PTR_NA,                                                /* u4p_CRIT                                           */</v>
      </c>
      <c r="AV11" s="57" t="s">
        <v>73</v>
      </c>
      <c r="AW11" s="76" t="str">
        <f ca="1">"u1_sp_ALERT_"&amp;IF(AW6&lt;&gt;AW17,$AW$17&amp;"_"&amp;$AW$6,AW17)&amp;"_DST"</f>
        <v>u1_sp_ALERT_C_BRLV_2_WRN_DST</v>
      </c>
    </row>
    <row r="12" spans="1:49">
      <c r="B12" s="140"/>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135" t="s">
        <v>67</v>
      </c>
      <c r="AF12" s="135" t="s">
        <v>67</v>
      </c>
      <c r="AG12" s="135" t="s">
        <v>67</v>
      </c>
      <c r="AH12" s="135" t="s">
        <v>67</v>
      </c>
      <c r="AI12" s="135" t="s">
        <v>67</v>
      </c>
      <c r="AJ12" s="24"/>
      <c r="AL12" t="str">
        <f t="shared" ca="1" si="0"/>
        <v xml:space="preserve">    (U1)ALERT_REQ_C_BRLV_2_WRN_</v>
      </c>
      <c r="AR12" s="71" t="str">
        <f t="shared" si="3"/>
        <v/>
      </c>
      <c r="AS12" s="71" t="str">
        <f t="shared" si="4"/>
        <v/>
      </c>
      <c r="AT12" s="71" t="str">
        <f t="shared" si="1"/>
        <v/>
      </c>
      <c r="AU12" s="71"/>
      <c r="AV12" s="57" t="s">
        <v>85</v>
      </c>
      <c r="AW12" s="76" t="str">
        <f>Matrix!D8&amp;"["&amp;Matrix!D7&amp;"]"</f>
        <v>st_gp_ALERT_C_BRLV_2_MTRX[2]</v>
      </c>
    </row>
    <row r="13" spans="1:49">
      <c r="B13" s="140"/>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t="s">
        <v>67</v>
      </c>
      <c r="AG13" s="69" t="s">
        <v>67</v>
      </c>
      <c r="AH13" s="69" t="s">
        <v>67</v>
      </c>
      <c r="AI13" s="69" t="s">
        <v>67</v>
      </c>
      <c r="AJ13" s="24"/>
      <c r="AL13" t="str">
        <f t="shared" ca="1" si="0"/>
        <v xml:space="preserve">    (U1)ALERT_REQ_C_BRLV_2_WRN_</v>
      </c>
      <c r="AR13" s="71" t="str">
        <f t="shared" si="3"/>
        <v/>
      </c>
      <c r="AS13" s="71" t="str">
        <f t="shared" si="4"/>
        <v/>
      </c>
      <c r="AT13" s="71" t="str">
        <f t="shared" si="1"/>
        <v/>
      </c>
      <c r="AU13" s="71" t="str">
        <f ca="1">"        &amp;"&amp;$AW$11&amp;"[0],"&amp;REPT(" ",66-LEN($AW$11))&amp;"/* u1p_DST                                            */"</f>
        <v xml:space="preserve">        &amp;u1_sp_ALERT_C_BRLV_2_WRN_DST[0],                                      /* u1p_DST                                            */</v>
      </c>
      <c r="AV13" s="57" t="s">
        <v>74</v>
      </c>
      <c r="AW13" s="139">
        <f>COUNTA($AJ$6:$AJ$69)</f>
        <v>4</v>
      </c>
    </row>
    <row r="14" spans="1:49">
      <c r="B14" s="140"/>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t="s">
        <v>67</v>
      </c>
      <c r="AG14" s="69" t="s">
        <v>67</v>
      </c>
      <c r="AH14" s="69" t="s">
        <v>67</v>
      </c>
      <c r="AI14" s="69" t="s">
        <v>67</v>
      </c>
      <c r="AJ14" s="24"/>
      <c r="AL14" t="str">
        <f t="shared" ca="1" si="0"/>
        <v xml:space="preserve">    (U1)ALERT_REQ_C_BRLV_2_WRN_</v>
      </c>
      <c r="AR14" s="71" t="str">
        <f t="shared" si="3"/>
        <v/>
      </c>
      <c r="AS14" s="71" t="str">
        <f t="shared" si="4"/>
        <v/>
      </c>
      <c r="AT14" s="71" t="str">
        <f t="shared" si="1"/>
        <v/>
      </c>
      <c r="AU14" s="71" t="str">
        <f ca="1">"        (U2)"&amp;$AW$10&amp;","&amp;REPT(" ",66-LEN($AW$10))&amp;"/* u2_num_srch                                        */"</f>
        <v xml:space="preserve">        (U2)ALERT_C_BRLV_2_WRN_NUM_DST,                                        /* u2_num_srch                                        */</v>
      </c>
      <c r="AV14" s="57" t="s">
        <v>75</v>
      </c>
      <c r="AW14" s="76" t="str">
        <f ca="1">IF(AW6&lt;&gt;AW17,VLOOKUP(AW6,Matrix!$C$13:$G$37,4,FALSE),Matrix!F13)</f>
        <v>u4_s_AlertC_brlv_2WrnSrcchk</v>
      </c>
    </row>
    <row r="15" spans="1:49">
      <c r="B15" s="140"/>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t="s">
        <v>67</v>
      </c>
      <c r="AG15" s="69" t="s">
        <v>67</v>
      </c>
      <c r="AH15" s="69" t="s">
        <v>67</v>
      </c>
      <c r="AI15" s="69" t="s">
        <v>67</v>
      </c>
      <c r="AJ15" s="24"/>
      <c r="AL15" t="str">
        <f t="shared" ca="1" si="0"/>
        <v xml:space="preserve">    (U1)ALERT_REQ_C_BRLV_2_WRN_</v>
      </c>
      <c r="AR15" s="71" t="str">
        <f t="shared" si="3"/>
        <v/>
      </c>
      <c r="AS15" s="71" t="str">
        <f t="shared" si="4"/>
        <v/>
      </c>
      <c r="AT15" s="71" t="str">
        <f t="shared" si="1"/>
        <v/>
      </c>
      <c r="AU15" s="71" t="str">
        <f ca="1">"        (U1)"&amp;$AW$16&amp;REPT(" ",67-LEN($AW$16))&amp;"/* u1_vom_act                                         */"</f>
        <v xml:space="preserve">        (U1)ALERT_VOM_IGN_ON                                                   /* u1_vom_act                                         */</v>
      </c>
      <c r="AV15" s="57" t="s">
        <v>78</v>
      </c>
      <c r="AW15" s="76" t="str">
        <f ca="1">IF(AW6&lt;&gt;AW17,VLOOKUP(AW6,Matrix!$C$13:$G$37,5,FALSE),Matrix!G13)</f>
        <v>NULL</v>
      </c>
    </row>
    <row r="16" spans="1:49">
      <c r="B16" s="140"/>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t="s">
        <v>67</v>
      </c>
      <c r="AG16" s="69" t="s">
        <v>67</v>
      </c>
      <c r="AH16" s="69" t="s">
        <v>67</v>
      </c>
      <c r="AI16" s="69" t="s">
        <v>67</v>
      </c>
      <c r="AJ16" s="24"/>
      <c r="AL16" t="str">
        <f t="shared" ca="1" si="0"/>
        <v xml:space="preserve">    (U1)ALERT_REQ_C_BRLV_2_WRN_</v>
      </c>
      <c r="AR16" s="71" t="str">
        <f t="shared" si="3"/>
        <v/>
      </c>
      <c r="AS16" s="71" t="str">
        <f t="shared" si="4"/>
        <v/>
      </c>
      <c r="AT16" s="71" t="str">
        <f t="shared" si="1"/>
        <v/>
      </c>
      <c r="AU16" s="71" t="s">
        <v>280</v>
      </c>
      <c r="AV16" s="57" t="s">
        <v>76</v>
      </c>
      <c r="AW16" s="76" t="str">
        <f ca="1">IF(AW6&lt;&gt;AW17,VLOOKUP(AW6,Matrix!$C$13:$G$37,2,FALSE),Matrix!D13)</f>
        <v>ALERT_VOM_IGN_ON</v>
      </c>
    </row>
    <row r="17" spans="2:49" ht="13.5" thickBot="1">
      <c r="B17" s="140"/>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t="s">
        <v>67</v>
      </c>
      <c r="AG17" s="69" t="s">
        <v>67</v>
      </c>
      <c r="AH17" s="69" t="s">
        <v>67</v>
      </c>
      <c r="AI17" s="69" t="s">
        <v>67</v>
      </c>
      <c r="AJ17" s="24"/>
      <c r="AL17" t="str">
        <f t="shared" ca="1" si="0"/>
        <v xml:space="preserve">    (U1)ALERT_REQ_C_BRLV_2_WRN_</v>
      </c>
      <c r="AR17" s="71" t="str">
        <f t="shared" si="3"/>
        <v/>
      </c>
      <c r="AS17" s="71" t="str">
        <f t="shared" si="4"/>
        <v/>
      </c>
      <c r="AT17" s="71" t="str">
        <f t="shared" si="1"/>
        <v/>
      </c>
      <c r="AU17" s="72" t="s">
        <v>281</v>
      </c>
      <c r="AV17" s="58" t="s">
        <v>77</v>
      </c>
      <c r="AW17" s="77" t="str">
        <f>UPPER(Matrix!$D$6)</f>
        <v>C_BRLV_2</v>
      </c>
    </row>
    <row r="18" spans="2:49">
      <c r="B18" s="140"/>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t="s">
        <v>67</v>
      </c>
      <c r="AG18" s="69" t="s">
        <v>67</v>
      </c>
      <c r="AH18" s="69" t="s">
        <v>67</v>
      </c>
      <c r="AI18" s="69" t="s">
        <v>67</v>
      </c>
      <c r="AJ18" s="24"/>
      <c r="AL18" t="str">
        <f t="shared" ca="1" si="0"/>
        <v xml:space="preserve">    (U1)ALERT_REQ_C_BRLV_2_WRN_</v>
      </c>
      <c r="AR18" s="71" t="str">
        <f t="shared" si="3"/>
        <v/>
      </c>
      <c r="AS18" s="71" t="str">
        <f t="shared" si="4"/>
        <v/>
      </c>
      <c r="AT18" s="71" t="str">
        <f t="shared" si="1"/>
        <v/>
      </c>
    </row>
    <row r="19" spans="2:49">
      <c r="B19" s="140"/>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t="s">
        <v>67</v>
      </c>
      <c r="AG19" s="69" t="s">
        <v>67</v>
      </c>
      <c r="AH19" s="69" t="s">
        <v>67</v>
      </c>
      <c r="AI19" s="69" t="s">
        <v>67</v>
      </c>
      <c r="AJ19" s="24"/>
      <c r="AL19" t="str">
        <f t="shared" ca="1" si="0"/>
        <v xml:space="preserve">    (U1)ALERT_REQ_C_BRLV_2_WRN_</v>
      </c>
      <c r="AR19" s="71" t="str">
        <f t="shared" si="3"/>
        <v/>
      </c>
      <c r="AS19" s="71" t="str">
        <f t="shared" si="4"/>
        <v/>
      </c>
      <c r="AT19" s="71" t="str">
        <f t="shared" si="1"/>
        <v/>
      </c>
    </row>
    <row r="20" spans="2:49">
      <c r="B20" s="140"/>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t="s">
        <v>67</v>
      </c>
      <c r="AG20" s="69" t="s">
        <v>67</v>
      </c>
      <c r="AH20" s="69" t="s">
        <v>67</v>
      </c>
      <c r="AI20" s="69" t="s">
        <v>67</v>
      </c>
      <c r="AJ20" s="24"/>
      <c r="AL20" t="str">
        <f t="shared" ca="1" si="0"/>
        <v xml:space="preserve">    (U1)ALERT_REQ_C_BRLV_2_WRN_</v>
      </c>
      <c r="AR20" s="71" t="str">
        <f t="shared" si="3"/>
        <v/>
      </c>
      <c r="AS20" s="71" t="str">
        <f t="shared" si="4"/>
        <v/>
      </c>
      <c r="AT20" s="71" t="str">
        <f t="shared" si="1"/>
        <v/>
      </c>
    </row>
    <row r="21" spans="2:49">
      <c r="B21" s="140"/>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t="s">
        <v>67</v>
      </c>
      <c r="AG21" s="69" t="s">
        <v>67</v>
      </c>
      <c r="AH21" s="69" t="s">
        <v>67</v>
      </c>
      <c r="AI21" s="69" t="s">
        <v>67</v>
      </c>
      <c r="AJ21" s="24"/>
      <c r="AL21" t="str">
        <f t="shared" ca="1" si="0"/>
        <v xml:space="preserve">    (U1)ALERT_REQ_C_BRLV_2_WRN_</v>
      </c>
      <c r="AR21" s="71" t="str">
        <f t="shared" si="3"/>
        <v/>
      </c>
      <c r="AS21" s="71" t="str">
        <f t="shared" si="4"/>
        <v/>
      </c>
      <c r="AT21" s="71" t="str">
        <f t="shared" si="1"/>
        <v/>
      </c>
    </row>
    <row r="22" spans="2:49">
      <c r="B22" s="140"/>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59"/>
      <c r="AL22" t="str">
        <f t="shared" ca="1" si="0"/>
        <v xml:space="preserve">    (U1)ALERT_REQ_C_BRLV_2_WRN_</v>
      </c>
      <c r="AR22" s="71" t="str">
        <f t="shared" si="3"/>
        <v/>
      </c>
      <c r="AS22" s="71" t="str">
        <f t="shared" si="4"/>
        <v/>
      </c>
      <c r="AT22" s="71" t="str">
        <f t="shared" si="1"/>
        <v/>
      </c>
    </row>
    <row r="23" spans="2:49">
      <c r="B23" s="140"/>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59"/>
      <c r="AL23" t="str">
        <f t="shared" ca="1" si="0"/>
        <v xml:space="preserve">    (U1)ALERT_REQ_C_BRLV_2_WRN_</v>
      </c>
      <c r="AR23" s="71" t="str">
        <f t="shared" si="3"/>
        <v/>
      </c>
      <c r="AS23" s="71" t="str">
        <f t="shared" si="4"/>
        <v/>
      </c>
      <c r="AT23" s="71" t="str">
        <f t="shared" si="1"/>
        <v/>
      </c>
    </row>
    <row r="24" spans="2:49">
      <c r="B24" s="140"/>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4"/>
      <c r="AL24" t="str">
        <f t="shared" ca="1" si="0"/>
        <v xml:space="preserve">    (U1)ALERT_REQ_C_BRLV_2_WRN_</v>
      </c>
      <c r="AR24" s="71" t="str">
        <f t="shared" si="3"/>
        <v/>
      </c>
      <c r="AS24" s="71" t="str">
        <f t="shared" si="4"/>
        <v/>
      </c>
      <c r="AT24" s="71" t="str">
        <f t="shared" si="1"/>
        <v/>
      </c>
    </row>
    <row r="25" spans="2:49">
      <c r="B25" s="140"/>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4"/>
      <c r="AL25" t="str">
        <f t="shared" ca="1" si="0"/>
        <v xml:space="preserve">    (U1)ALERT_REQ_C_BRLV_2_WRN_</v>
      </c>
      <c r="AR25" s="71" t="str">
        <f t="shared" si="3"/>
        <v/>
      </c>
      <c r="AS25" s="71" t="str">
        <f t="shared" si="4"/>
        <v/>
      </c>
      <c r="AT25" s="71" t="str">
        <f t="shared" si="1"/>
        <v/>
      </c>
    </row>
    <row r="26" spans="2:49">
      <c r="B26" s="140"/>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4"/>
      <c r="AL26" t="str">
        <f t="shared" ca="1" si="0"/>
        <v xml:space="preserve">    (U1)ALERT_REQ_C_BRLV_2_WRN_</v>
      </c>
      <c r="AR26" s="71" t="str">
        <f t="shared" si="3"/>
        <v/>
      </c>
      <c r="AS26" s="71" t="str">
        <f t="shared" si="4"/>
        <v/>
      </c>
      <c r="AT26" s="71" t="str">
        <f t="shared" si="1"/>
        <v/>
      </c>
    </row>
    <row r="27" spans="2:49">
      <c r="B27" s="140"/>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4"/>
      <c r="AL27" t="str">
        <f t="shared" ca="1" si="0"/>
        <v xml:space="preserve">    (U1)ALERT_REQ_C_BRLV_2_WRN_</v>
      </c>
      <c r="AR27" s="71" t="str">
        <f t="shared" si="3"/>
        <v/>
      </c>
      <c r="AS27" s="71" t="str">
        <f t="shared" si="4"/>
        <v/>
      </c>
      <c r="AT27" s="71" t="str">
        <f t="shared" si="1"/>
        <v/>
      </c>
    </row>
    <row r="28" spans="2:49">
      <c r="B28" s="140"/>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4"/>
      <c r="AL28" t="str">
        <f t="shared" ca="1" si="0"/>
        <v xml:space="preserve">    (U1)ALERT_REQ_C_BRLV_2_WRN_</v>
      </c>
      <c r="AR28" s="71" t="str">
        <f t="shared" si="3"/>
        <v/>
      </c>
      <c r="AS28" s="71" t="str">
        <f t="shared" si="4"/>
        <v/>
      </c>
      <c r="AT28" s="71" t="str">
        <f t="shared" si="1"/>
        <v/>
      </c>
    </row>
    <row r="29" spans="2:49">
      <c r="B29" s="140"/>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4"/>
      <c r="AL29" t="str">
        <f t="shared" ca="1" si="0"/>
        <v xml:space="preserve">    (U1)ALERT_REQ_C_BRLV_2_WRN_</v>
      </c>
      <c r="AR29" s="71" t="str">
        <f t="shared" si="3"/>
        <v/>
      </c>
      <c r="AS29" s="71" t="str">
        <f t="shared" si="4"/>
        <v/>
      </c>
      <c r="AT29" s="71" t="str">
        <f t="shared" si="1"/>
        <v/>
      </c>
    </row>
    <row r="30" spans="2:49">
      <c r="B30" s="140"/>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4"/>
      <c r="AL30" t="str">
        <f t="shared" ca="1" si="0"/>
        <v xml:space="preserve">    (U1)ALERT_REQ_C_BRLV_2_WRN_</v>
      </c>
      <c r="AR30" s="71" t="str">
        <f t="shared" si="3"/>
        <v/>
      </c>
      <c r="AS30" s="71" t="str">
        <f t="shared" si="4"/>
        <v/>
      </c>
      <c r="AT30" s="71" t="str">
        <f t="shared" si="1"/>
        <v/>
      </c>
    </row>
    <row r="31" spans="2:49">
      <c r="B31" s="140"/>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4"/>
      <c r="AL31" t="str">
        <f t="shared" ca="1" si="0"/>
        <v xml:space="preserve">    (U1)ALERT_REQ_C_BRLV_2_WRN_</v>
      </c>
      <c r="AR31" s="71" t="str">
        <f t="shared" si="3"/>
        <v/>
      </c>
      <c r="AS31" s="71" t="str">
        <f t="shared" si="4"/>
        <v/>
      </c>
      <c r="AT31" s="71" t="str">
        <f t="shared" si="1"/>
        <v/>
      </c>
    </row>
    <row r="32" spans="2:49">
      <c r="B32" s="140"/>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4"/>
      <c r="AL32" t="str">
        <f t="shared" ca="1" si="0"/>
        <v xml:space="preserve">    (U1)ALERT_REQ_C_BRLV_2_WRN_</v>
      </c>
      <c r="AR32" s="71" t="str">
        <f t="shared" si="3"/>
        <v/>
      </c>
      <c r="AS32" s="71" t="str">
        <f t="shared" si="4"/>
        <v/>
      </c>
      <c r="AT32" s="71" t="str">
        <f t="shared" si="1"/>
        <v/>
      </c>
    </row>
    <row r="33" spans="2:46">
      <c r="B33" s="140"/>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4"/>
      <c r="AL33" t="str">
        <f t="shared" ca="1" si="0"/>
        <v xml:space="preserve">    (U1)ALERT_REQ_C_BRLV_2_WRN_</v>
      </c>
      <c r="AR33" s="71" t="str">
        <f t="shared" si="3"/>
        <v/>
      </c>
      <c r="AS33" s="71" t="str">
        <f t="shared" si="4"/>
        <v/>
      </c>
      <c r="AT33" s="71" t="str">
        <f t="shared" si="1"/>
        <v/>
      </c>
    </row>
    <row r="34" spans="2:46">
      <c r="B34" s="140"/>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4"/>
      <c r="AL34" t="str">
        <f t="shared" ca="1" si="0"/>
        <v xml:space="preserve">    (U1)ALERT_REQ_C_BRLV_2_WRN_</v>
      </c>
      <c r="AR34" s="71" t="str">
        <f t="shared" si="3"/>
        <v/>
      </c>
      <c r="AS34" s="71" t="str">
        <f t="shared" si="4"/>
        <v/>
      </c>
      <c r="AT34" s="71" t="str">
        <f t="shared" si="1"/>
        <v/>
      </c>
    </row>
    <row r="35" spans="2:46">
      <c r="B35" s="140"/>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4"/>
      <c r="AL35" t="str">
        <f t="shared" ca="1" si="0"/>
        <v xml:space="preserve">    (U1)ALERT_REQ_C_BRLV_2_WRN_</v>
      </c>
      <c r="AR35" s="71" t="str">
        <f t="shared" si="3"/>
        <v/>
      </c>
      <c r="AS35" s="71" t="str">
        <f t="shared" si="4"/>
        <v/>
      </c>
      <c r="AT35" s="71" t="str">
        <f t="shared" si="1"/>
        <v/>
      </c>
    </row>
    <row r="36" spans="2:46">
      <c r="B36" s="140"/>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4"/>
      <c r="AL36" t="str">
        <f t="shared" ca="1" si="0"/>
        <v xml:space="preserve">    (U1)ALERT_REQ_C_BRLV_2_WRN_</v>
      </c>
      <c r="AR36" s="71" t="str">
        <f t="shared" si="3"/>
        <v/>
      </c>
      <c r="AS36" s="71" t="str">
        <f t="shared" si="4"/>
        <v/>
      </c>
      <c r="AT36" s="71" t="str">
        <f t="shared" si="1"/>
        <v/>
      </c>
    </row>
    <row r="37" spans="2:46">
      <c r="B37" s="140"/>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4"/>
      <c r="AL37" t="str">
        <f t="shared" ca="1" si="0"/>
        <v xml:space="preserve">    (U1)ALERT_REQ_C_BRLV_2_WRN_</v>
      </c>
      <c r="AR37" s="71" t="str">
        <f t="shared" si="3"/>
        <v/>
      </c>
      <c r="AS37" s="71" t="str">
        <f t="shared" si="4"/>
        <v/>
      </c>
      <c r="AT37" s="71" t="str">
        <f t="shared" si="1"/>
        <v/>
      </c>
    </row>
    <row r="38" spans="2:46">
      <c r="B38" s="140"/>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4"/>
      <c r="AL38" t="str">
        <f t="shared" ca="1" si="0"/>
        <v xml:space="preserve">    (U1)ALERT_REQ_C_BRLV_2_WRN_</v>
      </c>
      <c r="AR38" s="71" t="str">
        <f t="shared" si="3"/>
        <v/>
      </c>
      <c r="AS38" s="71" t="str">
        <f t="shared" si="4"/>
        <v/>
      </c>
      <c r="AT38" s="71" t="str">
        <f t="shared" si="1"/>
        <v/>
      </c>
    </row>
    <row r="39" spans="2:46">
      <c r="B39" s="140"/>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4"/>
      <c r="AL39" t="str">
        <f t="shared" ca="1" si="0"/>
        <v xml:space="preserve">    (U1)ALERT_REQ_C_BRLV_2_WRN_</v>
      </c>
      <c r="AR39" s="71" t="str">
        <f t="shared" si="3"/>
        <v/>
      </c>
      <c r="AS39" s="71" t="str">
        <f t="shared" si="4"/>
        <v/>
      </c>
      <c r="AT39" s="71" t="str">
        <f t="shared" si="1"/>
        <v/>
      </c>
    </row>
    <row r="40" spans="2:46">
      <c r="B40" s="140"/>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4"/>
      <c r="AL40" t="str">
        <f t="shared" ca="1" si="0"/>
        <v xml:space="preserve">    (U1)ALERT_REQ_C_BRLV_2_WRN_</v>
      </c>
      <c r="AR40" s="71" t="str">
        <f t="shared" si="3"/>
        <v/>
      </c>
      <c r="AS40" s="71" t="str">
        <f t="shared" si="4"/>
        <v/>
      </c>
      <c r="AT40" s="71" t="str">
        <f t="shared" si="1"/>
        <v/>
      </c>
    </row>
    <row r="41" spans="2:46">
      <c r="B41" s="140"/>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4"/>
      <c r="AL41" t="str">
        <f t="shared" ca="1" si="0"/>
        <v xml:space="preserve">    (U1)ALERT_REQ_C_BRLV_2_WRN_</v>
      </c>
      <c r="AR41" s="71" t="str">
        <f t="shared" si="3"/>
        <v/>
      </c>
      <c r="AS41" s="71" t="str">
        <f t="shared" si="4"/>
        <v/>
      </c>
      <c r="AT41" s="71" t="str">
        <f t="shared" si="1"/>
        <v/>
      </c>
    </row>
    <row r="42" spans="2:46">
      <c r="B42" s="140"/>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4"/>
      <c r="AL42" t="str">
        <f t="shared" ca="1" si="0"/>
        <v xml:space="preserve">    (U1)ALERT_REQ_C_BRLV_2_WRN_</v>
      </c>
      <c r="AR42" s="71" t="str">
        <f t="shared" si="3"/>
        <v/>
      </c>
      <c r="AS42" s="71" t="str">
        <f t="shared" si="4"/>
        <v/>
      </c>
      <c r="AT42" s="71" t="str">
        <f t="shared" si="1"/>
        <v/>
      </c>
    </row>
    <row r="43" spans="2:46">
      <c r="B43" s="140"/>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4"/>
      <c r="AL43" t="str">
        <f t="shared" ca="1" si="0"/>
        <v xml:space="preserve">    (U1)ALERT_REQ_C_BRLV_2_WRN_</v>
      </c>
      <c r="AR43" s="71" t="str">
        <f t="shared" si="3"/>
        <v/>
      </c>
      <c r="AS43" s="71" t="str">
        <f t="shared" si="4"/>
        <v/>
      </c>
      <c r="AT43" s="71" t="str">
        <f t="shared" si="1"/>
        <v/>
      </c>
    </row>
    <row r="44" spans="2:46">
      <c r="B44" s="140"/>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4"/>
      <c r="AL44" t="str">
        <f t="shared" ca="1" si="0"/>
        <v xml:space="preserve">    (U1)ALERT_REQ_C_BRLV_2_WRN_</v>
      </c>
      <c r="AR44" s="71" t="str">
        <f t="shared" si="3"/>
        <v/>
      </c>
      <c r="AS44" s="71" t="str">
        <f t="shared" si="4"/>
        <v/>
      </c>
      <c r="AT44" s="71" t="str">
        <f t="shared" si="1"/>
        <v/>
      </c>
    </row>
    <row r="45" spans="2:46">
      <c r="B45" s="140"/>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4"/>
      <c r="AL45" t="str">
        <f t="shared" ca="1" si="0"/>
        <v xml:space="preserve">    (U1)ALERT_REQ_C_BRLV_2_WRN_</v>
      </c>
      <c r="AR45" s="71" t="str">
        <f t="shared" si="3"/>
        <v/>
      </c>
      <c r="AS45" s="71" t="str">
        <f t="shared" si="4"/>
        <v/>
      </c>
      <c r="AT45" s="71" t="str">
        <f t="shared" si="1"/>
        <v/>
      </c>
    </row>
    <row r="46" spans="2:46">
      <c r="B46" s="140"/>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4"/>
      <c r="AL46" t="str">
        <f t="shared" ca="1" si="0"/>
        <v xml:space="preserve">    (U1)ALERT_REQ_C_BRLV_2_WRN_</v>
      </c>
      <c r="AR46" s="71" t="str">
        <f t="shared" si="3"/>
        <v/>
      </c>
      <c r="AS46" s="71" t="str">
        <f t="shared" si="4"/>
        <v/>
      </c>
      <c r="AT46" s="71" t="str">
        <f t="shared" si="1"/>
        <v/>
      </c>
    </row>
    <row r="47" spans="2:46">
      <c r="B47" s="140"/>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4"/>
      <c r="AL47" t="str">
        <f t="shared" ca="1" si="0"/>
        <v xml:space="preserve">    (U1)ALERT_REQ_C_BRLV_2_WRN_</v>
      </c>
      <c r="AR47" s="71" t="str">
        <f t="shared" si="3"/>
        <v/>
      </c>
      <c r="AS47" s="71" t="str">
        <f t="shared" si="4"/>
        <v/>
      </c>
      <c r="AT47" s="71" t="str">
        <f t="shared" si="1"/>
        <v/>
      </c>
    </row>
    <row r="48" spans="2:46">
      <c r="B48" s="140"/>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4"/>
      <c r="AL48" t="str">
        <f t="shared" ca="1" si="0"/>
        <v xml:space="preserve">    (U1)ALERT_REQ_C_BRLV_2_WRN_</v>
      </c>
      <c r="AR48" s="71" t="str">
        <f t="shared" si="3"/>
        <v/>
      </c>
      <c r="AS48" s="71" t="str">
        <f t="shared" si="4"/>
        <v/>
      </c>
      <c r="AT48" s="71" t="str">
        <f t="shared" si="1"/>
        <v/>
      </c>
    </row>
    <row r="49" spans="2:46">
      <c r="B49" s="140"/>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4"/>
      <c r="AL49" t="str">
        <f t="shared" ca="1" si="0"/>
        <v xml:space="preserve">    (U1)ALERT_REQ_C_BRLV_2_WRN_</v>
      </c>
      <c r="AR49" s="71" t="str">
        <f t="shared" si="3"/>
        <v/>
      </c>
      <c r="AS49" s="71" t="str">
        <f t="shared" si="4"/>
        <v/>
      </c>
      <c r="AT49" s="71" t="str">
        <f t="shared" si="1"/>
        <v/>
      </c>
    </row>
    <row r="50" spans="2:46">
      <c r="B50" s="140"/>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4"/>
      <c r="AL50" t="str">
        <f t="shared" ca="1" si="0"/>
        <v xml:space="preserve">    (U1)ALERT_REQ_C_BRLV_2_WRN_</v>
      </c>
      <c r="AR50" s="71" t="str">
        <f t="shared" si="3"/>
        <v/>
      </c>
      <c r="AS50" s="71" t="str">
        <f t="shared" si="4"/>
        <v/>
      </c>
      <c r="AT50" s="71" t="str">
        <f t="shared" si="1"/>
        <v/>
      </c>
    </row>
    <row r="51" spans="2:46">
      <c r="B51" s="140"/>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4"/>
      <c r="AL51" t="str">
        <f t="shared" ca="1" si="0"/>
        <v xml:space="preserve">    (U1)ALERT_REQ_C_BRLV_2_WRN_</v>
      </c>
      <c r="AR51" s="71" t="str">
        <f t="shared" si="3"/>
        <v/>
      </c>
      <c r="AS51" s="71" t="str">
        <f t="shared" si="4"/>
        <v/>
      </c>
      <c r="AT51" s="71" t="str">
        <f t="shared" si="1"/>
        <v/>
      </c>
    </row>
    <row r="52" spans="2:46">
      <c r="B52" s="140"/>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4"/>
      <c r="AL52" t="str">
        <f t="shared" ca="1" si="0"/>
        <v xml:space="preserve">    (U1)ALERT_REQ_C_BRLV_2_WRN_</v>
      </c>
      <c r="AR52" s="71" t="str">
        <f t="shared" si="3"/>
        <v/>
      </c>
      <c r="AS52" s="71" t="str">
        <f t="shared" si="4"/>
        <v/>
      </c>
      <c r="AT52" s="71" t="str">
        <f t="shared" si="1"/>
        <v/>
      </c>
    </row>
    <row r="53" spans="2:46">
      <c r="B53" s="140"/>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4"/>
      <c r="AL53" t="str">
        <f t="shared" ca="1" si="0"/>
        <v xml:space="preserve">    (U1)ALERT_REQ_C_BRLV_2_WRN_</v>
      </c>
      <c r="AR53" s="71" t="str">
        <f t="shared" si="3"/>
        <v/>
      </c>
      <c r="AS53" s="71" t="str">
        <f t="shared" si="4"/>
        <v/>
      </c>
      <c r="AT53" s="71" t="str">
        <f t="shared" si="1"/>
        <v/>
      </c>
    </row>
    <row r="54" spans="2:46">
      <c r="B54" s="140"/>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4"/>
      <c r="AL54" t="str">
        <f t="shared" ca="1" si="0"/>
        <v xml:space="preserve">    (U1)ALERT_REQ_C_BRLV_2_WRN_</v>
      </c>
      <c r="AR54" s="71" t="str">
        <f t="shared" si="3"/>
        <v/>
      </c>
      <c r="AS54" s="71" t="str">
        <f t="shared" si="4"/>
        <v/>
      </c>
      <c r="AT54" s="71" t="str">
        <f t="shared" si="1"/>
        <v/>
      </c>
    </row>
    <row r="55" spans="2:46">
      <c r="B55" s="140"/>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4"/>
      <c r="AL55" t="str">
        <f t="shared" ca="1" si="0"/>
        <v xml:space="preserve">    (U1)ALERT_REQ_C_BRLV_2_WRN_</v>
      </c>
      <c r="AR55" s="71" t="str">
        <f t="shared" si="3"/>
        <v/>
      </c>
      <c r="AS55" s="71" t="str">
        <f t="shared" si="4"/>
        <v/>
      </c>
      <c r="AT55" s="71" t="str">
        <f t="shared" si="1"/>
        <v/>
      </c>
    </row>
    <row r="56" spans="2:46">
      <c r="B56" s="140"/>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4"/>
      <c r="AL56" t="str">
        <f t="shared" ca="1" si="0"/>
        <v xml:space="preserve">    (U1)ALERT_REQ_C_BRLV_2_WRN_</v>
      </c>
      <c r="AR56" s="71" t="str">
        <f t="shared" si="3"/>
        <v/>
      </c>
      <c r="AS56" s="71" t="str">
        <f t="shared" si="4"/>
        <v/>
      </c>
      <c r="AT56" s="71" t="str">
        <f t="shared" si="1"/>
        <v/>
      </c>
    </row>
    <row r="57" spans="2:46">
      <c r="B57" s="140"/>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4"/>
      <c r="AL57" t="str">
        <f t="shared" ca="1" si="0"/>
        <v xml:space="preserve">    (U1)ALERT_REQ_C_BRLV_2_WRN_</v>
      </c>
      <c r="AR57" s="71" t="str">
        <f t="shared" si="3"/>
        <v/>
      </c>
      <c r="AS57" s="71" t="str">
        <f t="shared" si="4"/>
        <v/>
      </c>
      <c r="AT57" s="71" t="str">
        <f t="shared" si="1"/>
        <v/>
      </c>
    </row>
    <row r="58" spans="2:46">
      <c r="B58" s="140"/>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4"/>
      <c r="AL58" t="str">
        <f t="shared" ca="1" si="0"/>
        <v xml:space="preserve">    (U1)ALERT_REQ_C_BRLV_2_WRN_</v>
      </c>
      <c r="AR58" s="71" t="str">
        <f t="shared" si="3"/>
        <v/>
      </c>
      <c r="AS58" s="71" t="str">
        <f t="shared" si="4"/>
        <v/>
      </c>
      <c r="AT58" s="71" t="str">
        <f t="shared" si="1"/>
        <v/>
      </c>
    </row>
    <row r="59" spans="2:46">
      <c r="B59" s="140"/>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4"/>
      <c r="AL59" t="str">
        <f t="shared" ca="1" si="0"/>
        <v xml:space="preserve">    (U1)ALERT_REQ_C_BRLV_2_WRN_</v>
      </c>
      <c r="AR59" s="71" t="str">
        <f t="shared" si="3"/>
        <v/>
      </c>
      <c r="AS59" s="71" t="str">
        <f t="shared" si="4"/>
        <v/>
      </c>
      <c r="AT59" s="71" t="str">
        <f t="shared" si="1"/>
        <v/>
      </c>
    </row>
    <row r="60" spans="2:46">
      <c r="B60" s="140"/>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4"/>
      <c r="AL60" t="str">
        <f t="shared" ca="1" si="0"/>
        <v xml:space="preserve">    (U1)ALERT_REQ_C_BRLV_2_WRN_</v>
      </c>
      <c r="AR60" s="71" t="str">
        <f t="shared" si="3"/>
        <v/>
      </c>
      <c r="AS60" s="71" t="str">
        <f t="shared" si="4"/>
        <v/>
      </c>
      <c r="AT60" s="71" t="str">
        <f t="shared" si="1"/>
        <v/>
      </c>
    </row>
    <row r="61" spans="2:46">
      <c r="B61" s="140"/>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4"/>
      <c r="AL61" t="str">
        <f t="shared" ca="1" si="0"/>
        <v xml:space="preserve">    (U1)ALERT_REQ_C_BRLV_2_WRN_</v>
      </c>
      <c r="AR61" s="71" t="str">
        <f t="shared" si="3"/>
        <v/>
      </c>
      <c r="AS61" s="71" t="str">
        <f t="shared" si="4"/>
        <v/>
      </c>
      <c r="AT61" s="71" t="str">
        <f t="shared" si="1"/>
        <v/>
      </c>
    </row>
    <row r="62" spans="2:46">
      <c r="B62" s="140"/>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4"/>
      <c r="AL62" t="str">
        <f t="shared" ca="1" si="0"/>
        <v xml:space="preserve">    (U1)ALERT_REQ_C_BRLV_2_WRN_</v>
      </c>
      <c r="AR62" s="71" t="str">
        <f t="shared" si="3"/>
        <v/>
      </c>
      <c r="AS62" s="71" t="str">
        <f t="shared" si="4"/>
        <v/>
      </c>
      <c r="AT62" s="71" t="str">
        <f t="shared" si="1"/>
        <v/>
      </c>
    </row>
    <row r="63" spans="2:46">
      <c r="B63" s="140"/>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4"/>
      <c r="AL63" t="str">
        <f t="shared" ca="1" si="0"/>
        <v xml:space="preserve">    (U1)ALERT_REQ_C_BRLV_2_WRN_</v>
      </c>
      <c r="AR63" s="71" t="str">
        <f t="shared" si="3"/>
        <v/>
      </c>
      <c r="AS63" s="71" t="str">
        <f t="shared" si="4"/>
        <v/>
      </c>
      <c r="AT63" s="71" t="str">
        <f t="shared" si="1"/>
        <v/>
      </c>
    </row>
    <row r="64" spans="2:46">
      <c r="B64" s="140"/>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4"/>
      <c r="AL64" t="str">
        <f t="shared" ca="1" si="0"/>
        <v xml:space="preserve">    (U1)ALERT_REQ_C_BRLV_2_WRN_</v>
      </c>
      <c r="AR64" s="71" t="str">
        <f t="shared" si="3"/>
        <v/>
      </c>
      <c r="AS64" s="71" t="str">
        <f t="shared" si="4"/>
        <v/>
      </c>
      <c r="AT64" s="71" t="str">
        <f t="shared" si="1"/>
        <v/>
      </c>
    </row>
    <row r="65" spans="1:46">
      <c r="B65" s="140"/>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4"/>
      <c r="AL65" t="str">
        <f t="shared" ca="1" si="0"/>
        <v xml:space="preserve">    (U1)ALERT_REQ_C_BRLV_2_WRN_</v>
      </c>
      <c r="AR65" s="71" t="str">
        <f t="shared" si="3"/>
        <v/>
      </c>
      <c r="AS65" s="71" t="str">
        <f t="shared" si="4"/>
        <v/>
      </c>
      <c r="AT65" s="71" t="str">
        <f t="shared" si="1"/>
        <v/>
      </c>
    </row>
    <row r="66" spans="1:46">
      <c r="B66" s="140"/>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4"/>
      <c r="AL66" t="str">
        <f t="shared" ca="1" si="0"/>
        <v xml:space="preserve">    (U1)ALERT_REQ_C_BRLV_2_WRN_</v>
      </c>
      <c r="AR66" s="71" t="str">
        <f t="shared" si="3"/>
        <v/>
      </c>
      <c r="AS66" s="71" t="str">
        <f t="shared" si="4"/>
        <v/>
      </c>
      <c r="AT66" s="71" t="str">
        <f t="shared" si="1"/>
        <v/>
      </c>
    </row>
    <row r="67" spans="1:46">
      <c r="B67" s="140"/>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4"/>
      <c r="AL67" t="str">
        <f t="shared" ca="1" si="0"/>
        <v xml:space="preserve">    (U1)ALERT_REQ_C_BRLV_2_WRN_</v>
      </c>
      <c r="AR67" s="71" t="str">
        <f t="shared" si="3"/>
        <v/>
      </c>
      <c r="AS67" s="71" t="str">
        <f t="shared" si="4"/>
        <v/>
      </c>
      <c r="AT67" s="71" t="str">
        <f t="shared" si="1"/>
        <v/>
      </c>
    </row>
    <row r="68" spans="1:46">
      <c r="B68" s="140"/>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4"/>
      <c r="AL68" t="str">
        <f t="shared" ca="1" si="0"/>
        <v xml:space="preserve">    (U1)ALERT_REQ_C_BRLV_2_WRN_</v>
      </c>
      <c r="AR68" s="71" t="str">
        <f t="shared" si="3"/>
        <v/>
      </c>
      <c r="AS68" s="71" t="str">
        <f t="shared" si="4"/>
        <v/>
      </c>
      <c r="AT68" s="71" t="str">
        <f t="shared" si="1"/>
        <v/>
      </c>
    </row>
    <row r="69" spans="1:46">
      <c r="B69" s="141"/>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4"/>
      <c r="AL69" t="str">
        <f t="shared" ca="1" si="0"/>
        <v xml:space="preserve">    (U1)ALERT_REQ_C_BRLV_2_WRN_</v>
      </c>
      <c r="AR69" s="71" t="str">
        <f t="shared" si="3"/>
        <v/>
      </c>
      <c r="AS69" s="71" t="str">
        <f t="shared" si="4"/>
        <v/>
      </c>
      <c r="AT69" s="71" t="str">
        <f t="shared" si="1"/>
        <v/>
      </c>
    </row>
    <row r="70" spans="1:46" ht="13.5"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2" t="str">
        <f ca="1">IF(B6&lt;&gt;"",B6,"")</f>
        <v>Table WRN</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MALFUNC</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MALFUNC                                         */</v>
      </c>
    </row>
    <row r="73" spans="1:46">
      <c r="B73" s="140"/>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70" t="str">
        <f t="shared" si="11"/>
        <v>00</v>
      </c>
      <c r="AN73" s="70" t="str">
        <f t="shared" si="12"/>
        <v>00</v>
      </c>
      <c r="AO73" s="70" t="str">
        <f t="shared" si="13"/>
        <v>00</v>
      </c>
      <c r="AQ73" t="str">
        <f t="shared" si="8"/>
        <v xml:space="preserve">    (U4)0x00000002U,                                                           /* 02 UNKNOWN                                         */</v>
      </c>
    </row>
    <row r="74" spans="1:46">
      <c r="B74" s="140"/>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70" t="str">
        <f t="shared" si="11"/>
        <v>00</v>
      </c>
      <c r="AN74" s="70" t="str">
        <f t="shared" si="12"/>
        <v>00</v>
      </c>
      <c r="AO74" s="70" t="str">
        <f t="shared" si="13"/>
        <v>00</v>
      </c>
      <c r="AQ74" t="str">
        <f t="shared" si="8"/>
        <v xml:space="preserve">    (U4)0x00000003U                                                            /* 03 UNKNOWN                                         */</v>
      </c>
    </row>
    <row r="75" spans="1:46">
      <c r="B75" s="140"/>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0</v>
      </c>
      <c r="AH75" s="132">
        <f t="shared" si="6"/>
        <v>0</v>
      </c>
      <c r="AI75" s="132">
        <f t="shared" si="6"/>
        <v>0</v>
      </c>
      <c r="AJ75" s="55" t="str">
        <f t="shared" si="7"/>
        <v/>
      </c>
      <c r="AK75" s="68"/>
      <c r="AL75" s="68" t="str">
        <f t="shared" si="10"/>
        <v>00</v>
      </c>
      <c r="AM75" s="70" t="str">
        <f t="shared" si="11"/>
        <v>00</v>
      </c>
      <c r="AN75" s="70" t="str">
        <f t="shared" si="12"/>
        <v>00</v>
      </c>
      <c r="AO75" s="70" t="str">
        <f t="shared" si="13"/>
        <v>00</v>
      </c>
      <c r="AQ75" t="str">
        <f t="shared" si="8"/>
        <v/>
      </c>
    </row>
    <row r="76" spans="1:46">
      <c r="B76" s="140"/>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0</v>
      </c>
      <c r="AH76" s="132">
        <f t="shared" si="6"/>
        <v>0</v>
      </c>
      <c r="AI76" s="132">
        <f t="shared" si="6"/>
        <v>0</v>
      </c>
      <c r="AJ76" s="55" t="str">
        <f t="shared" si="7"/>
        <v/>
      </c>
      <c r="AK76" s="68"/>
      <c r="AL76" s="68" t="str">
        <f t="shared" si="10"/>
        <v>00</v>
      </c>
      <c r="AM76" s="70" t="str">
        <f t="shared" si="11"/>
        <v>00</v>
      </c>
      <c r="AN76" s="70" t="str">
        <f t="shared" si="12"/>
        <v>00</v>
      </c>
      <c r="AO76" s="70" t="str">
        <f t="shared" si="13"/>
        <v>00</v>
      </c>
      <c r="AQ76" t="str">
        <f t="shared" si="8"/>
        <v/>
      </c>
    </row>
    <row r="77" spans="1:46">
      <c r="B77" s="140"/>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0</v>
      </c>
      <c r="AH77" s="132">
        <f t="shared" si="6"/>
        <v>0</v>
      </c>
      <c r="AI77" s="132">
        <f t="shared" si="6"/>
        <v>0</v>
      </c>
      <c r="AJ77" s="55" t="str">
        <f t="shared" si="7"/>
        <v/>
      </c>
      <c r="AK77" s="68"/>
      <c r="AL77" s="68" t="str">
        <f t="shared" si="10"/>
        <v>00</v>
      </c>
      <c r="AM77" s="70" t="str">
        <f t="shared" si="11"/>
        <v>00</v>
      </c>
      <c r="AN77" s="70" t="str">
        <f t="shared" si="12"/>
        <v>00</v>
      </c>
      <c r="AO77" s="70" t="str">
        <f t="shared" si="13"/>
        <v>00</v>
      </c>
      <c r="AQ77" t="str">
        <f t="shared" si="8"/>
        <v/>
      </c>
    </row>
    <row r="78" spans="1:46">
      <c r="B78" s="140"/>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0</v>
      </c>
      <c r="AH78" s="132">
        <f t="shared" si="6"/>
        <v>0</v>
      </c>
      <c r="AI78" s="132">
        <f t="shared" ref="AI78" si="14">IF(AI13=1,1,0)</f>
        <v>0</v>
      </c>
      <c r="AJ78" s="55" t="str">
        <f t="shared" si="7"/>
        <v/>
      </c>
      <c r="AK78" s="68"/>
      <c r="AL78" s="68" t="str">
        <f t="shared" si="10"/>
        <v>00</v>
      </c>
      <c r="AM78" s="70" t="str">
        <f t="shared" si="11"/>
        <v>00</v>
      </c>
      <c r="AN78" s="70" t="str">
        <f t="shared" si="12"/>
        <v>00</v>
      </c>
      <c r="AO78" s="70" t="str">
        <f t="shared" si="13"/>
        <v>00</v>
      </c>
      <c r="AQ78" t="str">
        <f t="shared" si="8"/>
        <v/>
      </c>
    </row>
    <row r="79" spans="1:46">
      <c r="B79" s="140"/>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5" t="str">
        <f t="shared" si="7"/>
        <v/>
      </c>
      <c r="AK79" s="68"/>
      <c r="AL79" s="68" t="str">
        <f t="shared" si="10"/>
        <v>00</v>
      </c>
      <c r="AM79" s="70" t="str">
        <f t="shared" si="11"/>
        <v>00</v>
      </c>
      <c r="AN79" s="70" t="str">
        <f t="shared" si="12"/>
        <v>00</v>
      </c>
      <c r="AO79" s="70" t="str">
        <f t="shared" si="13"/>
        <v>00</v>
      </c>
      <c r="AQ79" t="str">
        <f t="shared" si="8"/>
        <v/>
      </c>
    </row>
    <row r="80" spans="1:46">
      <c r="B80" s="140"/>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5" t="str">
        <f t="shared" si="7"/>
        <v/>
      </c>
      <c r="AK80" s="68"/>
      <c r="AL80" s="68" t="str">
        <f t="shared" si="10"/>
        <v>00</v>
      </c>
      <c r="AM80" s="70" t="str">
        <f t="shared" si="11"/>
        <v>00</v>
      </c>
      <c r="AN80" s="70" t="str">
        <f t="shared" si="12"/>
        <v>00</v>
      </c>
      <c r="AO80" s="70" t="str">
        <f t="shared" si="13"/>
        <v>00</v>
      </c>
      <c r="AQ80" t="str">
        <f t="shared" si="8"/>
        <v/>
      </c>
    </row>
    <row r="81" spans="2:43">
      <c r="B81" s="140"/>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5" t="str">
        <f t="shared" si="7"/>
        <v/>
      </c>
      <c r="AK81" s="68"/>
      <c r="AL81" s="68" t="str">
        <f t="shared" si="10"/>
        <v>00</v>
      </c>
      <c r="AM81" s="70" t="str">
        <f t="shared" si="11"/>
        <v>00</v>
      </c>
      <c r="AN81" s="70" t="str">
        <f t="shared" si="12"/>
        <v>00</v>
      </c>
      <c r="AO81" s="70" t="str">
        <f t="shared" si="13"/>
        <v>00</v>
      </c>
      <c r="AQ81" t="str">
        <f t="shared" si="8"/>
        <v/>
      </c>
    </row>
    <row r="82" spans="2:43">
      <c r="B82" s="140"/>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5" t="str">
        <f t="shared" si="7"/>
        <v/>
      </c>
      <c r="AK82" s="68"/>
      <c r="AL82" s="68" t="str">
        <f t="shared" si="10"/>
        <v>00</v>
      </c>
      <c r="AM82" s="70" t="str">
        <f t="shared" si="11"/>
        <v>00</v>
      </c>
      <c r="AN82" s="70" t="str">
        <f t="shared" si="12"/>
        <v>00</v>
      </c>
      <c r="AO82" s="70" t="str">
        <f t="shared" si="13"/>
        <v>00</v>
      </c>
      <c r="AQ82" t="str">
        <f t="shared" si="8"/>
        <v/>
      </c>
    </row>
    <row r="83" spans="2:43">
      <c r="B83" s="140"/>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5" t="str">
        <f t="shared" si="7"/>
        <v/>
      </c>
      <c r="AK83" s="68"/>
      <c r="AL83" s="68" t="str">
        <f t="shared" si="10"/>
        <v>00</v>
      </c>
      <c r="AM83" s="70" t="str">
        <f t="shared" si="11"/>
        <v>00</v>
      </c>
      <c r="AN83" s="70" t="str">
        <f t="shared" si="12"/>
        <v>00</v>
      </c>
      <c r="AO83" s="70" t="str">
        <f t="shared" si="13"/>
        <v>00</v>
      </c>
      <c r="AQ83" t="str">
        <f t="shared" si="8"/>
        <v/>
      </c>
    </row>
    <row r="84" spans="2:43">
      <c r="B84" s="140"/>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5" t="str">
        <f t="shared" si="7"/>
        <v/>
      </c>
      <c r="AK84" s="68"/>
      <c r="AL84" s="68" t="str">
        <f t="shared" si="10"/>
        <v>00</v>
      </c>
      <c r="AM84" s="70" t="str">
        <f t="shared" si="11"/>
        <v>00</v>
      </c>
      <c r="AN84" s="70" t="str">
        <f t="shared" si="12"/>
        <v>00</v>
      </c>
      <c r="AO84" s="70" t="str">
        <f t="shared" si="13"/>
        <v>00</v>
      </c>
      <c r="AQ84" t="str">
        <f t="shared" si="8"/>
        <v/>
      </c>
    </row>
    <row r="85" spans="2:43">
      <c r="B85" s="140"/>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5" t="str">
        <f t="shared" si="7"/>
        <v/>
      </c>
      <c r="AK85" s="68"/>
      <c r="AL85" s="68" t="str">
        <f t="shared" si="10"/>
        <v>00</v>
      </c>
      <c r="AM85" s="70" t="str">
        <f t="shared" si="11"/>
        <v>00</v>
      </c>
      <c r="AN85" s="70" t="str">
        <f t="shared" si="12"/>
        <v>00</v>
      </c>
      <c r="AO85" s="70" t="str">
        <f t="shared" si="13"/>
        <v>00</v>
      </c>
      <c r="AQ85" t="str">
        <f t="shared" si="8"/>
        <v/>
      </c>
    </row>
    <row r="86" spans="2:43">
      <c r="B86" s="140"/>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5" t="str">
        <f t="shared" si="7"/>
        <v/>
      </c>
      <c r="AK86" s="68"/>
      <c r="AL86" s="68" t="str">
        <f t="shared" si="10"/>
        <v>00</v>
      </c>
      <c r="AM86" s="70" t="str">
        <f t="shared" si="11"/>
        <v>00</v>
      </c>
      <c r="AN86" s="70" t="str">
        <f t="shared" si="12"/>
        <v>00</v>
      </c>
      <c r="AO86" s="70" t="str">
        <f t="shared" si="13"/>
        <v>00</v>
      </c>
      <c r="AQ86" t="str">
        <f t="shared" si="8"/>
        <v/>
      </c>
    </row>
    <row r="87" spans="2:43">
      <c r="B87" s="140"/>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0"/>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0"/>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0"/>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0"/>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0"/>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0"/>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0"/>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0"/>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0"/>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0"/>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0"/>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0"/>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0"/>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0"/>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0"/>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0"/>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0"/>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0"/>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0"/>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0"/>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0"/>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0"/>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0"/>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0"/>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0"/>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0"/>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0"/>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0"/>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0"/>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0"/>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0"/>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0"/>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0"/>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0"/>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0"/>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0"/>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0"/>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0"/>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0"/>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0"/>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0"/>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0"/>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0"/>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0"/>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0"/>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0"/>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1"/>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2" t="str">
        <f ca="1">IF(B6&lt;&gt;"",B6,"")</f>
        <v>Table WRN</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0</v>
      </c>
      <c r="AG136" s="132">
        <f t="shared" si="29"/>
        <v>0</v>
      </c>
      <c r="AH136" s="132">
        <f t="shared" si="29"/>
        <v>1</v>
      </c>
      <c r="AI136" s="132">
        <f t="shared" si="29"/>
        <v>1</v>
      </c>
      <c r="AJ136" s="55" t="str">
        <f t="shared" ref="AJ136:AJ199" si="30">IF(AJ6&lt;&gt;"",AJ6,"")</f>
        <v>UNKNOWN</v>
      </c>
      <c r="AK136" s="68"/>
      <c r="AL136" s="68" t="str">
        <f>BIN2HEX(AB136&amp;AC136&amp;AD136&amp;AE136&amp;AF136&amp;AG136&amp;AH136&amp;AI136,2)</f>
        <v>03</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0"/>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0</v>
      </c>
      <c r="AG137" s="132">
        <f t="shared" si="29"/>
        <v>0</v>
      </c>
      <c r="AH137" s="132">
        <f t="shared" si="29"/>
        <v>1</v>
      </c>
      <c r="AI137" s="132">
        <f t="shared" si="29"/>
        <v>1</v>
      </c>
      <c r="AJ137" s="55" t="str">
        <f t="shared" si="30"/>
        <v>MALFUNC</v>
      </c>
      <c r="AK137" s="68"/>
      <c r="AL137" s="68" t="str">
        <f t="shared" ref="AL137:AL199" si="33">BIN2HEX(AB137&amp;AC137&amp;AD137&amp;AE137&amp;AF137&amp;AG137&amp;AH137&amp;AI137,2)</f>
        <v>03</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(U4)0x00000003U,                                                           /* 01 MALFUNC                                         */</v>
      </c>
    </row>
    <row r="138" spans="1:43">
      <c r="B138" s="140"/>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0</v>
      </c>
      <c r="AH138" s="132">
        <f t="shared" si="29"/>
        <v>1</v>
      </c>
      <c r="AI138" s="132">
        <f t="shared" si="29"/>
        <v>1</v>
      </c>
      <c r="AJ138" s="55" t="str">
        <f t="shared" si="30"/>
        <v>UNKNOWN</v>
      </c>
      <c r="AK138" s="68"/>
      <c r="AL138" s="68" t="str">
        <f t="shared" si="33"/>
        <v>03</v>
      </c>
      <c r="AM138" s="70" t="str">
        <f t="shared" si="34"/>
        <v>00</v>
      </c>
      <c r="AN138" s="70" t="str">
        <f t="shared" si="35"/>
        <v>00</v>
      </c>
      <c r="AO138" s="70" t="str">
        <f t="shared" si="36"/>
        <v>00</v>
      </c>
      <c r="AQ138" t="str">
        <f t="shared" si="31"/>
        <v xml:space="preserve">    (U4)0x00000003U,                                                           /* 02 UNKNOWN                                         */</v>
      </c>
    </row>
    <row r="139" spans="1:43">
      <c r="B139" s="140"/>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0</v>
      </c>
      <c r="AH139" s="132">
        <f t="shared" si="29"/>
        <v>1</v>
      </c>
      <c r="AI139" s="132">
        <f t="shared" si="29"/>
        <v>1</v>
      </c>
      <c r="AJ139" s="55" t="str">
        <f t="shared" si="30"/>
        <v>UNKNOWN</v>
      </c>
      <c r="AK139" s="68"/>
      <c r="AL139" s="68" t="str">
        <f t="shared" si="33"/>
        <v>03</v>
      </c>
      <c r="AM139" s="70" t="str">
        <f t="shared" si="34"/>
        <v>00</v>
      </c>
      <c r="AN139" s="70" t="str">
        <f t="shared" si="35"/>
        <v>00</v>
      </c>
      <c r="AO139" s="70" t="str">
        <f t="shared" si="36"/>
        <v>00</v>
      </c>
      <c r="AQ139" t="str">
        <f t="shared" si="31"/>
        <v xml:space="preserve">    (U4)0x00000003U                                                            /* 03 UNKNOWN                                         */</v>
      </c>
    </row>
    <row r="140" spans="1:43">
      <c r="B140" s="140"/>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0</v>
      </c>
      <c r="AH140" s="132">
        <f t="shared" si="29"/>
        <v>0</v>
      </c>
      <c r="AI140" s="132">
        <f t="shared" si="29"/>
        <v>0</v>
      </c>
      <c r="AJ140" s="55" t="str">
        <f t="shared" si="30"/>
        <v/>
      </c>
      <c r="AK140" s="68"/>
      <c r="AL140" s="68" t="str">
        <f t="shared" si="33"/>
        <v>00</v>
      </c>
      <c r="AM140" s="70" t="str">
        <f t="shared" si="34"/>
        <v>00</v>
      </c>
      <c r="AN140" s="70" t="str">
        <f t="shared" si="35"/>
        <v>00</v>
      </c>
      <c r="AO140" s="70" t="str">
        <f t="shared" si="36"/>
        <v>00</v>
      </c>
      <c r="AQ140" t="str">
        <f t="shared" si="31"/>
        <v/>
      </c>
    </row>
    <row r="141" spans="1:43">
      <c r="B141" s="140"/>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0</v>
      </c>
      <c r="AH141" s="132">
        <f t="shared" si="29"/>
        <v>0</v>
      </c>
      <c r="AI141" s="132">
        <f t="shared" si="29"/>
        <v>0</v>
      </c>
      <c r="AJ141" s="55" t="str">
        <f t="shared" si="30"/>
        <v/>
      </c>
      <c r="AK141" s="68"/>
      <c r="AL141" s="68" t="str">
        <f t="shared" si="33"/>
        <v>00</v>
      </c>
      <c r="AM141" s="70" t="str">
        <f t="shared" si="34"/>
        <v>00</v>
      </c>
      <c r="AN141" s="70" t="str">
        <f t="shared" si="35"/>
        <v>00</v>
      </c>
      <c r="AO141" s="70" t="str">
        <f t="shared" si="36"/>
        <v>00</v>
      </c>
      <c r="AQ141" t="str">
        <f t="shared" si="31"/>
        <v/>
      </c>
    </row>
    <row r="142" spans="1:43">
      <c r="B142" s="140"/>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0</v>
      </c>
      <c r="AH142" s="132">
        <f t="shared" si="29"/>
        <v>0</v>
      </c>
      <c r="AI142" s="132">
        <f t="shared" si="29"/>
        <v>0</v>
      </c>
      <c r="AJ142" s="55" t="str">
        <f t="shared" si="30"/>
        <v/>
      </c>
      <c r="AK142" s="68"/>
      <c r="AL142" s="68" t="str">
        <f t="shared" si="33"/>
        <v>00</v>
      </c>
      <c r="AM142" s="70" t="str">
        <f t="shared" si="34"/>
        <v>00</v>
      </c>
      <c r="AN142" s="70" t="str">
        <f t="shared" si="35"/>
        <v>00</v>
      </c>
      <c r="AO142" s="70" t="str">
        <f t="shared" si="36"/>
        <v>00</v>
      </c>
      <c r="AQ142" t="str">
        <f t="shared" si="31"/>
        <v/>
      </c>
    </row>
    <row r="143" spans="1:43">
      <c r="B143" s="140"/>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0</v>
      </c>
      <c r="AH143" s="132">
        <f t="shared" si="29"/>
        <v>0</v>
      </c>
      <c r="AI143" s="132">
        <f t="shared" ref="AI143" si="37">IF(OR(AI13=0,AI13=1),1,0)</f>
        <v>0</v>
      </c>
      <c r="AJ143" s="55" t="str">
        <f t="shared" si="30"/>
        <v/>
      </c>
      <c r="AK143" s="68"/>
      <c r="AL143" s="68" t="str">
        <f t="shared" si="33"/>
        <v>00</v>
      </c>
      <c r="AM143" s="70" t="str">
        <f t="shared" si="34"/>
        <v>00</v>
      </c>
      <c r="AN143" s="70" t="str">
        <f t="shared" si="35"/>
        <v>00</v>
      </c>
      <c r="AO143" s="70" t="str">
        <f t="shared" si="36"/>
        <v>00</v>
      </c>
      <c r="AQ143" t="str">
        <f t="shared" si="31"/>
        <v/>
      </c>
    </row>
    <row r="144" spans="1:43">
      <c r="B144" s="140"/>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5" t="str">
        <f t="shared" si="30"/>
        <v/>
      </c>
      <c r="AK144" s="68"/>
      <c r="AL144" s="68" t="str">
        <f t="shared" si="33"/>
        <v>00</v>
      </c>
      <c r="AM144" s="70" t="str">
        <f t="shared" si="34"/>
        <v>00</v>
      </c>
      <c r="AN144" s="70" t="str">
        <f t="shared" si="35"/>
        <v>00</v>
      </c>
      <c r="AO144" s="70" t="str">
        <f t="shared" si="36"/>
        <v>00</v>
      </c>
      <c r="AQ144" t="str">
        <f t="shared" si="31"/>
        <v/>
      </c>
    </row>
    <row r="145" spans="2:43">
      <c r="B145" s="140"/>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5" t="str">
        <f t="shared" si="30"/>
        <v/>
      </c>
      <c r="AK145" s="68"/>
      <c r="AL145" s="68" t="str">
        <f t="shared" si="33"/>
        <v>00</v>
      </c>
      <c r="AM145" s="70" t="str">
        <f t="shared" si="34"/>
        <v>00</v>
      </c>
      <c r="AN145" s="70" t="str">
        <f t="shared" si="35"/>
        <v>00</v>
      </c>
      <c r="AO145" s="70" t="str">
        <f t="shared" si="36"/>
        <v>00</v>
      </c>
      <c r="AQ145" t="str">
        <f t="shared" si="31"/>
        <v/>
      </c>
    </row>
    <row r="146" spans="2:43">
      <c r="B146" s="140"/>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5" t="str">
        <f t="shared" si="30"/>
        <v/>
      </c>
      <c r="AK146" s="68"/>
      <c r="AL146" s="68" t="str">
        <f t="shared" si="33"/>
        <v>00</v>
      </c>
      <c r="AM146" s="70" t="str">
        <f t="shared" si="34"/>
        <v>00</v>
      </c>
      <c r="AN146" s="70" t="str">
        <f t="shared" si="35"/>
        <v>00</v>
      </c>
      <c r="AO146" s="70" t="str">
        <f t="shared" si="36"/>
        <v>00</v>
      </c>
      <c r="AQ146" t="str">
        <f t="shared" si="31"/>
        <v/>
      </c>
    </row>
    <row r="147" spans="2:43">
      <c r="B147" s="140"/>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5" t="str">
        <f t="shared" si="30"/>
        <v/>
      </c>
      <c r="AK147" s="68"/>
      <c r="AL147" s="68" t="str">
        <f t="shared" si="33"/>
        <v>00</v>
      </c>
      <c r="AM147" s="70" t="str">
        <f t="shared" si="34"/>
        <v>00</v>
      </c>
      <c r="AN147" s="70" t="str">
        <f t="shared" si="35"/>
        <v>00</v>
      </c>
      <c r="AO147" s="70" t="str">
        <f t="shared" si="36"/>
        <v>00</v>
      </c>
      <c r="AQ147" t="str">
        <f t="shared" si="31"/>
        <v/>
      </c>
    </row>
    <row r="148" spans="2:43">
      <c r="B148" s="140"/>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5" t="str">
        <f t="shared" si="30"/>
        <v/>
      </c>
      <c r="AK148" s="68"/>
      <c r="AL148" s="68" t="str">
        <f t="shared" si="33"/>
        <v>00</v>
      </c>
      <c r="AM148" s="70" t="str">
        <f t="shared" si="34"/>
        <v>00</v>
      </c>
      <c r="AN148" s="70" t="str">
        <f t="shared" si="35"/>
        <v>00</v>
      </c>
      <c r="AO148" s="70" t="str">
        <f t="shared" si="36"/>
        <v>00</v>
      </c>
      <c r="AQ148" t="str">
        <f t="shared" si="31"/>
        <v/>
      </c>
    </row>
    <row r="149" spans="2:43">
      <c r="B149" s="140"/>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5" t="str">
        <f t="shared" si="30"/>
        <v/>
      </c>
      <c r="AK149" s="68"/>
      <c r="AL149" s="68" t="str">
        <f t="shared" si="33"/>
        <v>00</v>
      </c>
      <c r="AM149" s="70" t="str">
        <f t="shared" si="34"/>
        <v>00</v>
      </c>
      <c r="AN149" s="70" t="str">
        <f t="shared" si="35"/>
        <v>00</v>
      </c>
      <c r="AO149" s="70" t="str">
        <f t="shared" si="36"/>
        <v>00</v>
      </c>
      <c r="AQ149" t="str">
        <f t="shared" si="31"/>
        <v/>
      </c>
    </row>
    <row r="150" spans="2:43">
      <c r="B150" s="140"/>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5" t="str">
        <f t="shared" si="30"/>
        <v/>
      </c>
      <c r="AK150" s="68"/>
      <c r="AL150" s="68" t="str">
        <f t="shared" si="33"/>
        <v>00</v>
      </c>
      <c r="AM150" s="70" t="str">
        <f t="shared" si="34"/>
        <v>00</v>
      </c>
      <c r="AN150" s="70" t="str">
        <f t="shared" si="35"/>
        <v>00</v>
      </c>
      <c r="AO150" s="70" t="str">
        <f t="shared" si="36"/>
        <v>00</v>
      </c>
      <c r="AQ150" t="str">
        <f t="shared" si="31"/>
        <v/>
      </c>
    </row>
    <row r="151" spans="2:43">
      <c r="B151" s="140"/>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5" t="str">
        <f t="shared" si="30"/>
        <v/>
      </c>
      <c r="AK151" s="68"/>
      <c r="AL151" s="68" t="str">
        <f t="shared" si="33"/>
        <v>00</v>
      </c>
      <c r="AM151" s="70" t="str">
        <f t="shared" si="34"/>
        <v>00</v>
      </c>
      <c r="AN151" s="70" t="str">
        <f t="shared" si="35"/>
        <v>00</v>
      </c>
      <c r="AO151" s="70" t="str">
        <f t="shared" si="36"/>
        <v>00</v>
      </c>
      <c r="AQ151" t="str">
        <f t="shared" si="31"/>
        <v/>
      </c>
    </row>
    <row r="152" spans="2:43">
      <c r="B152" s="140"/>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0"/>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0"/>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0"/>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0"/>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0"/>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0"/>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0"/>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0"/>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0"/>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0"/>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0"/>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0"/>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0"/>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0"/>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0"/>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0"/>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0"/>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0"/>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0"/>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0"/>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0"/>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0"/>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0"/>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0"/>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0"/>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0"/>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0"/>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0"/>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0"/>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0"/>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0"/>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0"/>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0"/>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0"/>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0"/>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0"/>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0"/>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0"/>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0"/>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0"/>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0"/>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0"/>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0"/>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0"/>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0"/>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0"/>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1"/>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D22:AJ69 L3:AG3 D6:AG21 AH10:AI21" name="Table作成編集範囲"/>
    <protectedRange sqref="AH3:AI3" name="Table作成編集範囲_3"/>
    <protectedRange sqref="AH6:AJ9 AJ10:AJ21" name="Table作成編集範囲_4"/>
    <protectedRange sqref="B3" name="Table作成編集範囲_1"/>
  </protectedRanges>
  <mergeCells count="3">
    <mergeCell ref="C2:C3"/>
    <mergeCell ref="AJ2:AJ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25">
      <formula>$B$3="Index Table"</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9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31" t="s">
        <v>120</v>
      </c>
      <c r="C2" s="320" t="s">
        <v>81</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22" t="s">
        <v>51</v>
      </c>
    </row>
    <row r="3" spans="1:49" ht="213" customHeight="1" thickBot="1">
      <c r="B3" s="266" t="str">
        <f>IF(OR(IF(COUNTIF(D6:AC69,"0")&lt;&gt;0,TRUE,FALSE),IF(COUNTIF(D6:AC69,"1")&lt;&gt;0,TRUE,FALSE)),"Search Table","Index Table")</f>
        <v>Index Table</v>
      </c>
      <c r="C3" s="321"/>
      <c r="D3" s="133" t="s">
        <v>61</v>
      </c>
      <c r="E3" s="133" t="s">
        <v>66</v>
      </c>
      <c r="F3" s="133" t="s">
        <v>49</v>
      </c>
      <c r="G3" s="133" t="s">
        <v>48</v>
      </c>
      <c r="H3" s="133" t="s">
        <v>118</v>
      </c>
      <c r="I3" s="133" t="s">
        <v>117</v>
      </c>
      <c r="J3" s="133" t="s">
        <v>122</v>
      </c>
      <c r="K3" s="133" t="s">
        <v>121</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66</v>
      </c>
      <c r="AC3" s="134" t="s">
        <v>66</v>
      </c>
      <c r="AD3" s="134" t="s">
        <v>66</v>
      </c>
      <c r="AE3" s="134" t="s">
        <v>66</v>
      </c>
      <c r="AF3" s="328" t="s">
        <v>291</v>
      </c>
      <c r="AG3" s="329"/>
      <c r="AH3" s="258" t="s">
        <v>285</v>
      </c>
      <c r="AI3" s="259" t="s">
        <v>274</v>
      </c>
      <c r="AJ3" s="323"/>
      <c r="AR3" s="101" t="s">
        <v>93</v>
      </c>
    </row>
    <row r="4" spans="1:49" ht="13.5" thickBot="1">
      <c r="A4" s="324" t="s">
        <v>63</v>
      </c>
      <c r="B4" s="325"/>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136"/>
      <c r="AR4" s="89" t="s">
        <v>79</v>
      </c>
      <c r="AS4" s="90"/>
      <c r="AT4" s="90"/>
      <c r="AU4" s="90"/>
      <c r="AV4" s="90"/>
      <c r="AW4" s="91"/>
    </row>
    <row r="5" spans="1:49" ht="13.5" thickBot="1">
      <c r="A5" s="326"/>
      <c r="B5" s="327"/>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137"/>
      <c r="AR5" s="92" t="str">
        <f ca="1">"static const U4  "&amp;AW8&amp;"["&amp;AW10&amp;"]"&amp;" = {"</f>
        <v>static const U4  u4_sp_ALERT_C_BRLV_2_BC_CRIT[ALERT_C_BRLV_2_BC_NUM_DST] = {</v>
      </c>
      <c r="AS5" s="92" t="str">
        <f ca="1">"static const U4  "&amp;$AW$9&amp;"["&amp;$AW$10&amp;"] = {"</f>
        <v>static const U4  u4_sp_ALERT_C_BRLV_2_BC_MASK[ALERT_C_BRLV_2_BC_NUM_DST] = {</v>
      </c>
      <c r="AT5" s="92" t="str">
        <f ca="1">"static const U1  "&amp;$AW$11&amp;"["&amp;$AW$10&amp;"] = {"</f>
        <v>static const U1  u1_sp_ALERT_C_BRLV_2_BC_DST[ALERT_C_BRLV_2_BC_NUM_DST] = {</v>
      </c>
      <c r="AU5" s="92" t="str">
        <f>"const ST_ALERT_MTRX "&amp;$AW$12&amp;" = {"</f>
        <v>const ST_ALERT_MTRX st_gp_ALERT_C_BRLV_2_MTRX[2] = {</v>
      </c>
      <c r="AV5" s="73" t="str">
        <f ca="1">"#define "&amp;AW10&amp;REPT(" ",41-LEN(AW10))&amp;"("&amp;AW13&amp;"U)"</f>
        <v>#define ALERT_C_BRLV_2_BC_NUM_DST                (16U)</v>
      </c>
      <c r="AW5" s="74"/>
    </row>
    <row r="6" spans="1:49">
      <c r="B6" s="140" t="str">
        <f ca="1">"Table "&amp;$AW$6</f>
        <v>Table BC</v>
      </c>
      <c r="C6" s="60">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199</v>
      </c>
      <c r="AD6" s="135" t="s">
        <v>199</v>
      </c>
      <c r="AE6" s="135" t="s">
        <v>199</v>
      </c>
      <c r="AF6" s="138">
        <v>0</v>
      </c>
      <c r="AG6" s="138">
        <v>0</v>
      </c>
      <c r="AH6" s="138">
        <v>0</v>
      </c>
      <c r="AI6" s="138">
        <v>0</v>
      </c>
      <c r="AJ6" s="59" t="s">
        <v>105</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(U4)0x0000000FU,                                                           /* 00 UNKNOWN                                         */</v>
      </c>
      <c r="AT6" s="71" t="str">
        <f t="shared" ref="AT6:AT69" si="1">IF(AJ6&lt;&gt;"",AL6&amp;IF(AJ7&lt;&gt;"",","," ")&amp;REPT(" ",78-LEN(AL6))&amp;"/* "&amp;IF(C6&lt;10,"0"&amp;C6,C6)&amp;" "&amp;AJ6&amp;REPT(" ",48-LEN(AJ6))&amp;"*/",IF(AJ5&lt;&gt;"","};",""))</f>
        <v xml:space="preserve">    (U1)ALERT_REQ_UNKNOWN,                                                     /* 00 UNKNOWN                                         */</v>
      </c>
      <c r="AU6" s="71" t="s">
        <v>279</v>
      </c>
      <c r="AV6" s="56" t="s">
        <v>68</v>
      </c>
      <c r="AW6" s="75" t="str">
        <f ca="1">UPPER(RIGHT(CELL("filename",A1),LEN(CELL("filename",A1))-FIND("]",CELL("filename",A1))))</f>
        <v>BC</v>
      </c>
    </row>
    <row r="7" spans="1:49">
      <c r="B7" s="140"/>
      <c r="C7" s="55">
        <f t="shared" ref="C7:C69" si="2">ROW()-ROW($C$6)</f>
        <v>1</v>
      </c>
      <c r="D7" s="69" t="s">
        <v>67</v>
      </c>
      <c r="E7" s="69" t="s">
        <v>67</v>
      </c>
      <c r="F7" s="69" t="s">
        <v>67</v>
      </c>
      <c r="G7" s="69" t="s">
        <v>67</v>
      </c>
      <c r="H7" s="69" t="s">
        <v>67</v>
      </c>
      <c r="I7" s="69" t="s">
        <v>67</v>
      </c>
      <c r="J7" s="69" t="s">
        <v>67</v>
      </c>
      <c r="K7" s="135"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t="s">
        <v>67</v>
      </c>
      <c r="AD7" s="69" t="s">
        <v>67</v>
      </c>
      <c r="AE7" s="69" t="s">
        <v>67</v>
      </c>
      <c r="AF7" s="138">
        <v>0</v>
      </c>
      <c r="AG7" s="138">
        <v>0</v>
      </c>
      <c r="AH7" s="138">
        <v>0</v>
      </c>
      <c r="AI7" s="138">
        <v>1</v>
      </c>
      <c r="AJ7" s="59" t="s">
        <v>105</v>
      </c>
      <c r="AL7" t="str">
        <f t="shared" si="0"/>
        <v xml:space="preserve">    (U1)ALERT_REQ_UNKNOWN</v>
      </c>
      <c r="AR7" s="71" t="str">
        <f t="shared" ref="AR7:AR70" si="3">IF(AQ72&lt;&gt;"",AQ72,IF(AQ71&lt;&gt;"","};",""))</f>
        <v xml:space="preserve">    (U4)0x00000001U,                                                           /* 01 UNKNOWN                                         */</v>
      </c>
      <c r="AS7" s="71" t="str">
        <f t="shared" ref="AS7:AS70" si="4">IF(AQ137&lt;&gt;"",AQ137,IF(AQ136&lt;&gt;"","};",""))</f>
        <v xml:space="preserve">    (U4)0x0000000FU,                                                           /* 01 UNKNOWN                                         */</v>
      </c>
      <c r="AT7" s="71" t="str">
        <f t="shared" si="1"/>
        <v xml:space="preserve">    (U1)ALERT_REQ_UNKNOWN,                                                     /* 01 UNKNOWN                                         */</v>
      </c>
      <c r="AU7" s="71" t="str">
        <f ca="1">"        &amp;"&amp;$AW$14&amp;","&amp;REPT(" ",69-LEN($AW$14))&amp;"/* fp_u4_SRC_CHK                                      */"</f>
        <v xml:space="preserve">        &amp;u4_s_AlertC_brlv_2BcSrcchk,                                           /* fp_u4_SRC_CHK                                      */</v>
      </c>
      <c r="AV7" s="57" t="s">
        <v>69</v>
      </c>
      <c r="AW7" s="139">
        <f>IF(B3="Search Table",1,0)</f>
        <v>0</v>
      </c>
    </row>
    <row r="8" spans="1:49">
      <c r="B8" s="140"/>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69">
        <v>0</v>
      </c>
      <c r="AG8" s="69">
        <v>0</v>
      </c>
      <c r="AH8" s="69">
        <v>1</v>
      </c>
      <c r="AI8" s="69">
        <v>0</v>
      </c>
      <c r="AJ8" s="59" t="s">
        <v>105</v>
      </c>
      <c r="AL8" t="str">
        <f t="shared" si="0"/>
        <v xml:space="preserve">    (U1)ALERT_REQ_UNKNOWN</v>
      </c>
      <c r="AR8" s="71" t="str">
        <f t="shared" si="3"/>
        <v xml:space="preserve">    (U4)0x00000002U,                                                           /* 02 UNKNOWN                                         */</v>
      </c>
      <c r="AS8" s="71" t="str">
        <f t="shared" si="4"/>
        <v xml:space="preserve">    (U4)0x0000000FU,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7" t="s">
        <v>70</v>
      </c>
      <c r="AW8" s="76" t="str">
        <f ca="1">"u4_sp_ALERT_"&amp;IF(AW6&lt;&gt;AW17,$AW$17&amp;"_"&amp;$AW$6,AW17)&amp;"_CRIT"</f>
        <v>u4_sp_ALERT_C_BRLV_2_BC_CRIT</v>
      </c>
    </row>
    <row r="9" spans="1:49">
      <c r="B9" s="140"/>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v>0</v>
      </c>
      <c r="AG9" s="69">
        <v>0</v>
      </c>
      <c r="AH9" s="69">
        <v>1</v>
      </c>
      <c r="AI9" s="69">
        <v>1</v>
      </c>
      <c r="AJ9" s="59" t="s">
        <v>234</v>
      </c>
      <c r="AL9" t="str">
        <f t="shared" ca="1" si="0"/>
        <v xml:space="preserve">    (U1)ALERT_REQ_C_BRLV_2_BC_MALFUNC</v>
      </c>
      <c r="AR9" s="71" t="str">
        <f t="shared" si="3"/>
        <v xml:space="preserve">    (U4)0x00000003U,                                                           /* 03 MALFUNC                                         */</v>
      </c>
      <c r="AS9" s="71" t="str">
        <f t="shared" si="4"/>
        <v xml:space="preserve">    (U4)0x0000000FU,                                                           /* 03 MALFUNC                                         */</v>
      </c>
      <c r="AT9" s="71" t="str">
        <f t="shared" ca="1" si="1"/>
        <v xml:space="preserve">    (U1)ALERT_REQ_C_BRLV_2_BC_MALFUNC,                                         /* 03 MALFUNC                                         */</v>
      </c>
      <c r="AU9" s="71"/>
      <c r="AV9" s="57" t="s">
        <v>71</v>
      </c>
      <c r="AW9" s="76" t="str">
        <f ca="1">"u4_sp_ALERT_"&amp;IF(AW6&lt;&gt;AW17,$AW$17&amp;"_"&amp;$AW$6,AW17)&amp;"_MASK"</f>
        <v>u4_sp_ALERT_C_BRLV_2_BC_MASK</v>
      </c>
    </row>
    <row r="10" spans="1:49">
      <c r="B10" s="140"/>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v>0</v>
      </c>
      <c r="AG10" s="69">
        <v>1</v>
      </c>
      <c r="AH10" s="69">
        <v>0</v>
      </c>
      <c r="AI10" s="69">
        <v>0</v>
      </c>
      <c r="AJ10" s="59" t="s">
        <v>105</v>
      </c>
      <c r="AL10" t="str">
        <f t="shared" si="0"/>
        <v xml:space="preserve">    (U1)ALERT_REQ_UNKNOWN</v>
      </c>
      <c r="AR10" s="71" t="str">
        <f t="shared" si="3"/>
        <v xml:space="preserve">    (U4)0x00000004U,                                                           /* 04 UNKNOWN                                         */</v>
      </c>
      <c r="AS10" s="71" t="str">
        <f t="shared" si="4"/>
        <v xml:space="preserve">    (U4)0x0000000FU,                                                           /* 04 UNKNOWN                                         */</v>
      </c>
      <c r="AT10" s="71" t="str">
        <f t="shared" si="1"/>
        <v xml:space="preserve">    (U1)ALERT_REQ_UNKNOWN,                                                     /* 04 UNKNOWN                                         */</v>
      </c>
      <c r="AU10" s="71" t="str">
        <f>IF($AW$7=1,"        &amp;"&amp;$AW$9&amp;"[0],"&amp;REPT(" ",66-LEN($AW$9))&amp;"/* u4p_MASK                                           */","        (const U4 *)vdp_PTR_NA,                                                /* u4p_MASK                                           */")</f>
        <v xml:space="preserve">        (const U4 *)vdp_PTR_NA,                                                /* u4p_MASK                                           */</v>
      </c>
      <c r="AV10" s="57" t="s">
        <v>72</v>
      </c>
      <c r="AW10" s="76" t="str">
        <f ca="1">"ALERT_"&amp;IF(AW6&lt;&gt;AW17,$AW$17&amp;"_"&amp;$AW$6,AW17)&amp;"_NUM_DST"</f>
        <v>ALERT_C_BRLV_2_BC_NUM_DST</v>
      </c>
    </row>
    <row r="11" spans="1:49">
      <c r="B11" s="140"/>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v>0</v>
      </c>
      <c r="AG11" s="69">
        <v>1</v>
      </c>
      <c r="AH11" s="69">
        <v>0</v>
      </c>
      <c r="AI11" s="69">
        <v>1</v>
      </c>
      <c r="AJ11" s="59" t="s">
        <v>105</v>
      </c>
      <c r="AL11" t="str">
        <f t="shared" si="0"/>
        <v xml:space="preserve">    (U1)ALERT_REQ_UNKNOWN</v>
      </c>
      <c r="AR11" s="71" t="str">
        <f t="shared" si="3"/>
        <v xml:space="preserve">    (U4)0x00000005U,                                                           /* 05 UNKNOWN                                         */</v>
      </c>
      <c r="AS11" s="71" t="str">
        <f t="shared" si="4"/>
        <v xml:space="preserve">    (U4)0x0000000FU,                                                           /* 05 UNKNOWN                                         */</v>
      </c>
      <c r="AT11" s="71" t="str">
        <f t="shared" si="1"/>
        <v xml:space="preserve">    (U1)ALERT_REQ_UNKNOWN,                                                     /* 05 UNKNOWN                                         */</v>
      </c>
      <c r="AU11" s="71" t="str">
        <f>IF($AW$7=1,"        &amp;"&amp;$AW$8&amp;"[0],"&amp;REPT(" ",66-LEN($AW$8))&amp;"/* u4p_CRIT                                           */","        (const U4 *)vdp_PTR_NA,                                                /* u4p_CRIT                                           */")</f>
        <v xml:space="preserve">        (const U4 *)vdp_PTR_NA,                                                /* u4p_CRIT                                           */</v>
      </c>
      <c r="AV11" s="57" t="s">
        <v>73</v>
      </c>
      <c r="AW11" s="76" t="str">
        <f ca="1">"u1_sp_ALERT_"&amp;IF(AW6&lt;&gt;AW17,$AW$17&amp;"_"&amp;$AW$6,AW17)&amp;"_DST"</f>
        <v>u1_sp_ALERT_C_BRLV_2_BC_DST</v>
      </c>
    </row>
    <row r="12" spans="1:49">
      <c r="B12" s="140"/>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69" t="s">
        <v>67</v>
      </c>
      <c r="AF12" s="69">
        <v>0</v>
      </c>
      <c r="AG12" s="69">
        <v>1</v>
      </c>
      <c r="AH12" s="69">
        <v>1</v>
      </c>
      <c r="AI12" s="69">
        <v>0</v>
      </c>
      <c r="AJ12" s="59" t="s">
        <v>105</v>
      </c>
      <c r="AL12" t="str">
        <f t="shared" si="0"/>
        <v xml:space="preserve">    (U1)ALERT_REQ_UNKNOWN</v>
      </c>
      <c r="AR12" s="71" t="str">
        <f t="shared" si="3"/>
        <v xml:space="preserve">    (U4)0x00000006U,                                                           /* 06 UNKNOWN                                         */</v>
      </c>
      <c r="AS12" s="71" t="str">
        <f t="shared" si="4"/>
        <v xml:space="preserve">    (U4)0x0000000FU,                                                           /* 06 UNKNOWN                                         */</v>
      </c>
      <c r="AT12" s="71" t="str">
        <f t="shared" si="1"/>
        <v xml:space="preserve">    (U1)ALERT_REQ_UNKNOWN,                                                     /* 06 UNKNOWN                                         */</v>
      </c>
      <c r="AU12" s="71"/>
      <c r="AV12" s="57" t="s">
        <v>85</v>
      </c>
      <c r="AW12" s="76" t="str">
        <f>Matrix!D8&amp;"["&amp;Matrix!D7&amp;"]"</f>
        <v>st_gp_ALERT_C_BRLV_2_MTRX[2]</v>
      </c>
    </row>
    <row r="13" spans="1:49">
      <c r="B13" s="140"/>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v>0</v>
      </c>
      <c r="AG13" s="69">
        <v>1</v>
      </c>
      <c r="AH13" s="69">
        <v>1</v>
      </c>
      <c r="AI13" s="69">
        <v>1</v>
      </c>
      <c r="AJ13" s="59" t="s">
        <v>105</v>
      </c>
      <c r="AL13" t="str">
        <f t="shared" si="0"/>
        <v xml:space="preserve">    (U1)ALERT_REQ_UNKNOWN</v>
      </c>
      <c r="AR13" s="71" t="str">
        <f t="shared" si="3"/>
        <v xml:space="preserve">    (U4)0x00000007U,                                                           /* 07 UNKNOWN                                         */</v>
      </c>
      <c r="AS13" s="71" t="str">
        <f t="shared" si="4"/>
        <v xml:space="preserve">    (U4)0x0000000FU,                                                           /* 07 UNKNOWN                                         */</v>
      </c>
      <c r="AT13" s="71" t="str">
        <f t="shared" si="1"/>
        <v xml:space="preserve">    (U1)ALERT_REQ_UNKNOWN,                                                     /* 07 UNKNOWN                                         */</v>
      </c>
      <c r="AU13" s="71" t="str">
        <f ca="1">"        &amp;"&amp;$AW$11&amp;"[0],"&amp;REPT(" ",66-LEN($AW$11))&amp;"/* u1p_DST                                            */"</f>
        <v xml:space="preserve">        &amp;u1_sp_ALERT_C_BRLV_2_BC_DST[0],                                       /* u1p_DST                                            */</v>
      </c>
      <c r="AV13" s="57" t="s">
        <v>74</v>
      </c>
      <c r="AW13" s="139">
        <f>COUNTA($AJ$6:$AJ$69)</f>
        <v>16</v>
      </c>
    </row>
    <row r="14" spans="1:49">
      <c r="B14" s="140"/>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v>1</v>
      </c>
      <c r="AG14" s="69">
        <v>0</v>
      </c>
      <c r="AH14" s="69">
        <v>0</v>
      </c>
      <c r="AI14" s="69">
        <v>0</v>
      </c>
      <c r="AJ14" s="59" t="s">
        <v>105</v>
      </c>
      <c r="AL14" t="str">
        <f t="shared" si="0"/>
        <v xml:space="preserve">    (U1)ALERT_REQ_UNKNOWN</v>
      </c>
      <c r="AR14" s="71" t="str">
        <f t="shared" si="3"/>
        <v xml:space="preserve">    (U4)0x00000008U,                                                           /* 08 UNKNOWN                                         */</v>
      </c>
      <c r="AS14" s="71" t="str">
        <f t="shared" si="4"/>
        <v xml:space="preserve">    (U4)0x0000000FU,                                                           /* 08 UNKNOWN                                         */</v>
      </c>
      <c r="AT14" s="71" t="str">
        <f t="shared" si="1"/>
        <v xml:space="preserve">    (U1)ALERT_REQ_UNKNOWN,                                                     /* 08 UNKNOWN                                         */</v>
      </c>
      <c r="AU14" s="71" t="str">
        <f ca="1">"        (U2)"&amp;$AW$10&amp;","&amp;REPT(" ",66-LEN($AW$10))&amp;"/* u2_num_srch                                        */"</f>
        <v xml:space="preserve">        (U2)ALERT_C_BRLV_2_BC_NUM_DST,                                         /* u2_num_srch                                        */</v>
      </c>
      <c r="AV14" s="57" t="s">
        <v>75</v>
      </c>
      <c r="AW14" s="76" t="str">
        <f ca="1">IF(AW6&lt;&gt;AW17,VLOOKUP(AW6,Matrix!$C$13:$G$37,4,FALSE),Matrix!F13)</f>
        <v>u4_s_AlertC_brlv_2BcSrcchk</v>
      </c>
    </row>
    <row r="15" spans="1:49">
      <c r="B15" s="140"/>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v>1</v>
      </c>
      <c r="AG15" s="69">
        <v>0</v>
      </c>
      <c r="AH15" s="69">
        <v>0</v>
      </c>
      <c r="AI15" s="69">
        <v>1</v>
      </c>
      <c r="AJ15" s="59" t="s">
        <v>105</v>
      </c>
      <c r="AL15" t="str">
        <f t="shared" si="0"/>
        <v xml:space="preserve">    (U1)ALERT_REQ_UNKNOWN</v>
      </c>
      <c r="AR15" s="71" t="str">
        <f t="shared" si="3"/>
        <v xml:space="preserve">    (U4)0x00000009U,                                                           /* 09 UNKNOWN                                         */</v>
      </c>
      <c r="AS15" s="71" t="str">
        <f t="shared" si="4"/>
        <v xml:space="preserve">    (U4)0x0000000FU,                                                           /* 09 UNKNOWN                                         */</v>
      </c>
      <c r="AT15" s="71" t="str">
        <f t="shared" si="1"/>
        <v xml:space="preserve">    (U1)ALERT_REQ_UNKNOWN,                                                     /* 09 UNKNOWN                                         */</v>
      </c>
      <c r="AU15" s="71" t="str">
        <f ca="1">"        (U1)"&amp;$AW$16&amp;REPT(" ",67-LEN($AW$16))&amp;"/* u1_vom_act                                         */"</f>
        <v xml:space="preserve">        (U1)ALERT_VOM_IGN_ON                                                   /* u1_vom_act                                         */</v>
      </c>
      <c r="AV15" s="57" t="s">
        <v>78</v>
      </c>
      <c r="AW15" s="76" t="str">
        <f ca="1">IF(AW6&lt;&gt;AW17,VLOOKUP(AW6,Matrix!$C$13:$G$37,5,FALSE),Matrix!G13)</f>
        <v>NULL</v>
      </c>
    </row>
    <row r="16" spans="1:49">
      <c r="B16" s="140"/>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v>1</v>
      </c>
      <c r="AG16" s="69">
        <v>0</v>
      </c>
      <c r="AH16" s="69">
        <v>1</v>
      </c>
      <c r="AI16" s="69">
        <v>0</v>
      </c>
      <c r="AJ16" s="59" t="s">
        <v>105</v>
      </c>
      <c r="AL16" t="str">
        <f t="shared" si="0"/>
        <v xml:space="preserve">    (U1)ALERT_REQ_UNKNOWN</v>
      </c>
      <c r="AR16" s="71" t="str">
        <f t="shared" si="3"/>
        <v xml:space="preserve">    (U4)0x0000000AU,                                                           /* 10 UNKNOWN                                         */</v>
      </c>
      <c r="AS16" s="71" t="str">
        <f t="shared" si="4"/>
        <v xml:space="preserve">    (U4)0x0000000FU,                                                           /* 10 UNKNOWN                                         */</v>
      </c>
      <c r="AT16" s="71" t="str">
        <f t="shared" si="1"/>
        <v xml:space="preserve">    (U1)ALERT_REQ_UNKNOWN,                                                     /* 10 UNKNOWN                                         */</v>
      </c>
      <c r="AU16" s="71" t="s">
        <v>310</v>
      </c>
      <c r="AV16" s="57" t="s">
        <v>76</v>
      </c>
      <c r="AW16" s="76" t="str">
        <f ca="1">IF(AW6&lt;&gt;AW17,VLOOKUP(AW6,Matrix!$C$13:$G$37,2,FALSE),Matrix!D13)</f>
        <v>ALERT_VOM_IGN_ON</v>
      </c>
    </row>
    <row r="17" spans="2:49" ht="13.5" thickBot="1">
      <c r="B17" s="140"/>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v>1</v>
      </c>
      <c r="AG17" s="69">
        <v>0</v>
      </c>
      <c r="AH17" s="69">
        <v>1</v>
      </c>
      <c r="AI17" s="69">
        <v>1</v>
      </c>
      <c r="AJ17" s="59" t="s">
        <v>105</v>
      </c>
      <c r="AL17" t="str">
        <f t="shared" si="0"/>
        <v xml:space="preserve">    (U1)ALERT_REQ_UNKNOWN</v>
      </c>
      <c r="AR17" s="71" t="str">
        <f t="shared" si="3"/>
        <v xml:space="preserve">    (U4)0x0000000BU,                                                           /* 11 UNKNOWN                                         */</v>
      </c>
      <c r="AS17" s="71" t="str">
        <f t="shared" si="4"/>
        <v xml:space="preserve">    (U4)0x0000000FU,                                                           /* 11 UNKNOWN                                         */</v>
      </c>
      <c r="AT17" s="71" t="str">
        <f t="shared" si="1"/>
        <v xml:space="preserve">    (U1)ALERT_REQ_UNKNOWN,                                                     /* 11 UNKNOWN                                         */</v>
      </c>
      <c r="AU17" s="72" t="s">
        <v>281</v>
      </c>
      <c r="AV17" s="58" t="s">
        <v>77</v>
      </c>
      <c r="AW17" s="77" t="str">
        <f>UPPER(Matrix!$D$6)</f>
        <v>C_BRLV_2</v>
      </c>
    </row>
    <row r="18" spans="2:49">
      <c r="B18" s="140"/>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v>1</v>
      </c>
      <c r="AG18" s="69">
        <v>1</v>
      </c>
      <c r="AH18" s="69">
        <v>0</v>
      </c>
      <c r="AI18" s="69">
        <v>0</v>
      </c>
      <c r="AJ18" s="59" t="s">
        <v>105</v>
      </c>
      <c r="AL18" t="str">
        <f t="shared" si="0"/>
        <v xml:space="preserve">    (U1)ALERT_REQ_UNKNOWN</v>
      </c>
      <c r="AR18" s="71" t="str">
        <f t="shared" si="3"/>
        <v xml:space="preserve">    (U4)0x0000000CU,                                                           /* 12 UNKNOWN                                         */</v>
      </c>
      <c r="AS18" s="71" t="str">
        <f t="shared" si="4"/>
        <v xml:space="preserve">    (U4)0x0000000FU,                                                           /* 12 UNKNOWN                                         */</v>
      </c>
      <c r="AT18" s="71" t="str">
        <f t="shared" si="1"/>
        <v xml:space="preserve">    (U1)ALERT_REQ_UNKNOWN,                                                     /* 12 UNKNOWN                                         */</v>
      </c>
    </row>
    <row r="19" spans="2:49">
      <c r="B19" s="140"/>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v>1</v>
      </c>
      <c r="AG19" s="69">
        <v>1</v>
      </c>
      <c r="AH19" s="69">
        <v>0</v>
      </c>
      <c r="AI19" s="69">
        <v>1</v>
      </c>
      <c r="AJ19" s="59" t="s">
        <v>105</v>
      </c>
      <c r="AL19" t="str">
        <f t="shared" si="0"/>
        <v xml:space="preserve">    (U1)ALERT_REQ_UNKNOWN</v>
      </c>
      <c r="AR19" s="71" t="str">
        <f t="shared" si="3"/>
        <v xml:space="preserve">    (U4)0x0000000DU,                                                           /* 13 UNKNOWN                                         */</v>
      </c>
      <c r="AS19" s="71" t="str">
        <f t="shared" si="4"/>
        <v xml:space="preserve">    (U4)0x0000000FU,                                                           /* 13 UNKNOWN                                         */</v>
      </c>
      <c r="AT19" s="71" t="str">
        <f t="shared" si="1"/>
        <v xml:space="preserve">    (U1)ALERT_REQ_UNKNOWN,                                                     /* 13 UNKNOWN                                         */</v>
      </c>
    </row>
    <row r="20" spans="2:49">
      <c r="B20" s="140"/>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v>1</v>
      </c>
      <c r="AG20" s="69">
        <v>1</v>
      </c>
      <c r="AH20" s="69">
        <v>1</v>
      </c>
      <c r="AI20" s="69">
        <v>0</v>
      </c>
      <c r="AJ20" s="59" t="s">
        <v>105</v>
      </c>
      <c r="AL20" t="str">
        <f t="shared" si="0"/>
        <v xml:space="preserve">    (U1)ALERT_REQ_UNKNOWN</v>
      </c>
      <c r="AR20" s="71" t="str">
        <f t="shared" si="3"/>
        <v xml:space="preserve">    (U4)0x0000000EU,                                                           /* 14 UNKNOWN                                         */</v>
      </c>
      <c r="AS20" s="71" t="str">
        <f t="shared" si="4"/>
        <v xml:space="preserve">    (U4)0x0000000FU,                                                           /* 14 UNKNOWN                                         */</v>
      </c>
      <c r="AT20" s="71" t="str">
        <f t="shared" si="1"/>
        <v xml:space="preserve">    (U1)ALERT_REQ_UNKNOWN,                                                     /* 14 UNKNOWN                                         */</v>
      </c>
    </row>
    <row r="21" spans="2:49">
      <c r="B21" s="140"/>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v>1</v>
      </c>
      <c r="AG21" s="69">
        <v>1</v>
      </c>
      <c r="AH21" s="69">
        <v>1</v>
      </c>
      <c r="AI21" s="69">
        <v>1</v>
      </c>
      <c r="AJ21" s="59" t="s">
        <v>105</v>
      </c>
      <c r="AL21" t="str">
        <f t="shared" si="0"/>
        <v xml:space="preserve">    (U1)ALERT_REQ_UNKNOWN</v>
      </c>
      <c r="AR21" s="71" t="str">
        <f t="shared" si="3"/>
        <v xml:space="preserve">    (U4)0x0000000FU                                                            /* 15 UNKNOWN                                         */</v>
      </c>
      <c r="AS21" s="71" t="str">
        <f t="shared" si="4"/>
        <v xml:space="preserve">    (U4)0x0000000FU                                                            /* 15 UNKNOWN                                         */</v>
      </c>
      <c r="AT21" s="71" t="str">
        <f t="shared" si="1"/>
        <v xml:space="preserve">    (U1)ALERT_REQ_UNKNOWN                                                      /* 15 UNKNOWN                                         */</v>
      </c>
    </row>
    <row r="22" spans="2:49">
      <c r="B22" s="140"/>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59"/>
      <c r="AL22" t="str">
        <f t="shared" ca="1" si="0"/>
        <v xml:space="preserve">    (U1)ALERT_REQ_C_BRLV_2_BC_</v>
      </c>
      <c r="AR22" s="71" t="str">
        <f t="shared" si="3"/>
        <v>};</v>
      </c>
      <c r="AS22" s="71" t="str">
        <f t="shared" si="4"/>
        <v>};</v>
      </c>
      <c r="AT22" s="71" t="str">
        <f t="shared" si="1"/>
        <v>};</v>
      </c>
    </row>
    <row r="23" spans="2:49">
      <c r="B23" s="140"/>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59"/>
      <c r="AL23" t="str">
        <f t="shared" ca="1" si="0"/>
        <v xml:space="preserve">    (U1)ALERT_REQ_C_BRLV_2_BC_</v>
      </c>
      <c r="AR23" s="71" t="str">
        <f t="shared" si="3"/>
        <v/>
      </c>
      <c r="AS23" s="71" t="str">
        <f t="shared" si="4"/>
        <v/>
      </c>
      <c r="AT23" s="71" t="str">
        <f t="shared" si="1"/>
        <v/>
      </c>
    </row>
    <row r="24" spans="2:49">
      <c r="B24" s="140"/>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4"/>
      <c r="AL24" t="str">
        <f t="shared" ca="1" si="0"/>
        <v xml:space="preserve">    (U1)ALERT_REQ_C_BRLV_2_BC_</v>
      </c>
      <c r="AR24" s="71" t="str">
        <f t="shared" si="3"/>
        <v/>
      </c>
      <c r="AS24" s="71" t="str">
        <f t="shared" si="4"/>
        <v/>
      </c>
      <c r="AT24" s="71" t="str">
        <f t="shared" si="1"/>
        <v/>
      </c>
    </row>
    <row r="25" spans="2:49">
      <c r="B25" s="140"/>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4"/>
      <c r="AL25" t="str">
        <f t="shared" ca="1" si="0"/>
        <v xml:space="preserve">    (U1)ALERT_REQ_C_BRLV_2_BC_</v>
      </c>
      <c r="AR25" s="71" t="str">
        <f t="shared" si="3"/>
        <v/>
      </c>
      <c r="AS25" s="71" t="str">
        <f t="shared" si="4"/>
        <v/>
      </c>
      <c r="AT25" s="71" t="str">
        <f t="shared" si="1"/>
        <v/>
      </c>
    </row>
    <row r="26" spans="2:49">
      <c r="B26" s="140"/>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4"/>
      <c r="AL26" t="str">
        <f t="shared" ca="1" si="0"/>
        <v xml:space="preserve">    (U1)ALERT_REQ_C_BRLV_2_BC_</v>
      </c>
      <c r="AR26" s="71" t="str">
        <f t="shared" si="3"/>
        <v/>
      </c>
      <c r="AS26" s="71" t="str">
        <f t="shared" si="4"/>
        <v/>
      </c>
      <c r="AT26" s="71" t="str">
        <f t="shared" si="1"/>
        <v/>
      </c>
    </row>
    <row r="27" spans="2:49">
      <c r="B27" s="140"/>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4"/>
      <c r="AL27" t="str">
        <f t="shared" ca="1" si="0"/>
        <v xml:space="preserve">    (U1)ALERT_REQ_C_BRLV_2_BC_</v>
      </c>
      <c r="AR27" s="71" t="str">
        <f t="shared" si="3"/>
        <v/>
      </c>
      <c r="AS27" s="71" t="str">
        <f t="shared" si="4"/>
        <v/>
      </c>
      <c r="AT27" s="71" t="str">
        <f t="shared" si="1"/>
        <v/>
      </c>
    </row>
    <row r="28" spans="2:49">
      <c r="B28" s="140"/>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4"/>
      <c r="AL28" t="str">
        <f t="shared" ca="1" si="0"/>
        <v xml:space="preserve">    (U1)ALERT_REQ_C_BRLV_2_BC_</v>
      </c>
      <c r="AR28" s="71" t="str">
        <f t="shared" si="3"/>
        <v/>
      </c>
      <c r="AS28" s="71" t="str">
        <f t="shared" si="4"/>
        <v/>
      </c>
      <c r="AT28" s="71" t="str">
        <f t="shared" si="1"/>
        <v/>
      </c>
    </row>
    <row r="29" spans="2:49">
      <c r="B29" s="140"/>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4"/>
      <c r="AL29" t="str">
        <f t="shared" ca="1" si="0"/>
        <v xml:space="preserve">    (U1)ALERT_REQ_C_BRLV_2_BC_</v>
      </c>
      <c r="AR29" s="71" t="str">
        <f t="shared" si="3"/>
        <v/>
      </c>
      <c r="AS29" s="71" t="str">
        <f t="shared" si="4"/>
        <v/>
      </c>
      <c r="AT29" s="71" t="str">
        <f t="shared" si="1"/>
        <v/>
      </c>
    </row>
    <row r="30" spans="2:49">
      <c r="B30" s="140"/>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4"/>
      <c r="AL30" t="str">
        <f t="shared" ca="1" si="0"/>
        <v xml:space="preserve">    (U1)ALERT_REQ_C_BRLV_2_BC_</v>
      </c>
      <c r="AR30" s="71" t="str">
        <f t="shared" si="3"/>
        <v/>
      </c>
      <c r="AS30" s="71" t="str">
        <f t="shared" si="4"/>
        <v/>
      </c>
      <c r="AT30" s="71" t="str">
        <f t="shared" si="1"/>
        <v/>
      </c>
    </row>
    <row r="31" spans="2:49">
      <c r="B31" s="140"/>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4"/>
      <c r="AL31" t="str">
        <f t="shared" ca="1" si="0"/>
        <v xml:space="preserve">    (U1)ALERT_REQ_C_BRLV_2_BC_</v>
      </c>
      <c r="AR31" s="71" t="str">
        <f t="shared" si="3"/>
        <v/>
      </c>
      <c r="AS31" s="71" t="str">
        <f t="shared" si="4"/>
        <v/>
      </c>
      <c r="AT31" s="71" t="str">
        <f t="shared" si="1"/>
        <v/>
      </c>
    </row>
    <row r="32" spans="2:49">
      <c r="B32" s="140"/>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4"/>
      <c r="AL32" t="str">
        <f t="shared" ca="1" si="0"/>
        <v xml:space="preserve">    (U1)ALERT_REQ_C_BRLV_2_BC_</v>
      </c>
      <c r="AR32" s="71" t="str">
        <f t="shared" si="3"/>
        <v/>
      </c>
      <c r="AS32" s="71" t="str">
        <f t="shared" si="4"/>
        <v/>
      </c>
      <c r="AT32" s="71" t="str">
        <f t="shared" si="1"/>
        <v/>
      </c>
    </row>
    <row r="33" spans="2:46">
      <c r="B33" s="140"/>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4"/>
      <c r="AL33" t="str">
        <f t="shared" ca="1" si="0"/>
        <v xml:space="preserve">    (U1)ALERT_REQ_C_BRLV_2_BC_</v>
      </c>
      <c r="AR33" s="71" t="str">
        <f t="shared" si="3"/>
        <v/>
      </c>
      <c r="AS33" s="71" t="str">
        <f t="shared" si="4"/>
        <v/>
      </c>
      <c r="AT33" s="71" t="str">
        <f t="shared" si="1"/>
        <v/>
      </c>
    </row>
    <row r="34" spans="2:46">
      <c r="B34" s="140"/>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4"/>
      <c r="AL34" t="str">
        <f t="shared" ca="1" si="0"/>
        <v xml:space="preserve">    (U1)ALERT_REQ_C_BRLV_2_BC_</v>
      </c>
      <c r="AR34" s="71" t="str">
        <f t="shared" si="3"/>
        <v/>
      </c>
      <c r="AS34" s="71" t="str">
        <f t="shared" si="4"/>
        <v/>
      </c>
      <c r="AT34" s="71" t="str">
        <f t="shared" si="1"/>
        <v/>
      </c>
    </row>
    <row r="35" spans="2:46">
      <c r="B35" s="140"/>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4"/>
      <c r="AL35" t="str">
        <f t="shared" ca="1" si="0"/>
        <v xml:space="preserve">    (U1)ALERT_REQ_C_BRLV_2_BC_</v>
      </c>
      <c r="AR35" s="71" t="str">
        <f t="shared" si="3"/>
        <v/>
      </c>
      <c r="AS35" s="71" t="str">
        <f t="shared" si="4"/>
        <v/>
      </c>
      <c r="AT35" s="71" t="str">
        <f t="shared" si="1"/>
        <v/>
      </c>
    </row>
    <row r="36" spans="2:46">
      <c r="B36" s="140"/>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4"/>
      <c r="AL36" t="str">
        <f t="shared" ca="1" si="0"/>
        <v xml:space="preserve">    (U1)ALERT_REQ_C_BRLV_2_BC_</v>
      </c>
      <c r="AR36" s="71" t="str">
        <f t="shared" si="3"/>
        <v/>
      </c>
      <c r="AS36" s="71" t="str">
        <f t="shared" si="4"/>
        <v/>
      </c>
      <c r="AT36" s="71" t="str">
        <f t="shared" si="1"/>
        <v/>
      </c>
    </row>
    <row r="37" spans="2:46">
      <c r="B37" s="140"/>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4"/>
      <c r="AL37" t="str">
        <f t="shared" ca="1" si="0"/>
        <v xml:space="preserve">    (U1)ALERT_REQ_C_BRLV_2_BC_</v>
      </c>
      <c r="AR37" s="71" t="str">
        <f t="shared" si="3"/>
        <v/>
      </c>
      <c r="AS37" s="71" t="str">
        <f t="shared" si="4"/>
        <v/>
      </c>
      <c r="AT37" s="71" t="str">
        <f t="shared" si="1"/>
        <v/>
      </c>
    </row>
    <row r="38" spans="2:46">
      <c r="B38" s="140"/>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4"/>
      <c r="AL38" t="str">
        <f t="shared" ca="1" si="0"/>
        <v xml:space="preserve">    (U1)ALERT_REQ_C_BRLV_2_BC_</v>
      </c>
      <c r="AR38" s="71" t="str">
        <f t="shared" si="3"/>
        <v/>
      </c>
      <c r="AS38" s="71" t="str">
        <f t="shared" si="4"/>
        <v/>
      </c>
      <c r="AT38" s="71" t="str">
        <f t="shared" si="1"/>
        <v/>
      </c>
    </row>
    <row r="39" spans="2:46">
      <c r="B39" s="140"/>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4"/>
      <c r="AL39" t="str">
        <f t="shared" ca="1" si="0"/>
        <v xml:space="preserve">    (U1)ALERT_REQ_C_BRLV_2_BC_</v>
      </c>
      <c r="AR39" s="71" t="str">
        <f t="shared" si="3"/>
        <v/>
      </c>
      <c r="AS39" s="71" t="str">
        <f t="shared" si="4"/>
        <v/>
      </c>
      <c r="AT39" s="71" t="str">
        <f t="shared" si="1"/>
        <v/>
      </c>
    </row>
    <row r="40" spans="2:46">
      <c r="B40" s="140"/>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4"/>
      <c r="AL40" t="str">
        <f t="shared" ca="1" si="0"/>
        <v xml:space="preserve">    (U1)ALERT_REQ_C_BRLV_2_BC_</v>
      </c>
      <c r="AR40" s="71" t="str">
        <f t="shared" si="3"/>
        <v/>
      </c>
      <c r="AS40" s="71" t="str">
        <f t="shared" si="4"/>
        <v/>
      </c>
      <c r="AT40" s="71" t="str">
        <f t="shared" si="1"/>
        <v/>
      </c>
    </row>
    <row r="41" spans="2:46">
      <c r="B41" s="140"/>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4"/>
      <c r="AL41" t="str">
        <f t="shared" ca="1" si="0"/>
        <v xml:space="preserve">    (U1)ALERT_REQ_C_BRLV_2_BC_</v>
      </c>
      <c r="AR41" s="71" t="str">
        <f t="shared" si="3"/>
        <v/>
      </c>
      <c r="AS41" s="71" t="str">
        <f t="shared" si="4"/>
        <v/>
      </c>
      <c r="AT41" s="71" t="str">
        <f t="shared" si="1"/>
        <v/>
      </c>
    </row>
    <row r="42" spans="2:46">
      <c r="B42" s="140"/>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4"/>
      <c r="AL42" t="str">
        <f t="shared" ca="1" si="0"/>
        <v xml:space="preserve">    (U1)ALERT_REQ_C_BRLV_2_BC_</v>
      </c>
      <c r="AR42" s="71" t="str">
        <f t="shared" si="3"/>
        <v/>
      </c>
      <c r="AS42" s="71" t="str">
        <f t="shared" si="4"/>
        <v/>
      </c>
      <c r="AT42" s="71" t="str">
        <f t="shared" si="1"/>
        <v/>
      </c>
    </row>
    <row r="43" spans="2:46">
      <c r="B43" s="140"/>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4"/>
      <c r="AL43" t="str">
        <f t="shared" ca="1" si="0"/>
        <v xml:space="preserve">    (U1)ALERT_REQ_C_BRLV_2_BC_</v>
      </c>
      <c r="AR43" s="71" t="str">
        <f t="shared" si="3"/>
        <v/>
      </c>
      <c r="AS43" s="71" t="str">
        <f t="shared" si="4"/>
        <v/>
      </c>
      <c r="AT43" s="71" t="str">
        <f t="shared" si="1"/>
        <v/>
      </c>
    </row>
    <row r="44" spans="2:46">
      <c r="B44" s="140"/>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4"/>
      <c r="AL44" t="str">
        <f t="shared" ca="1" si="0"/>
        <v xml:space="preserve">    (U1)ALERT_REQ_C_BRLV_2_BC_</v>
      </c>
      <c r="AR44" s="71" t="str">
        <f t="shared" si="3"/>
        <v/>
      </c>
      <c r="AS44" s="71" t="str">
        <f t="shared" si="4"/>
        <v/>
      </c>
      <c r="AT44" s="71" t="str">
        <f t="shared" si="1"/>
        <v/>
      </c>
    </row>
    <row r="45" spans="2:46">
      <c r="B45" s="140"/>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4"/>
      <c r="AL45" t="str">
        <f t="shared" ca="1" si="0"/>
        <v xml:space="preserve">    (U1)ALERT_REQ_C_BRLV_2_BC_</v>
      </c>
      <c r="AR45" s="71" t="str">
        <f t="shared" si="3"/>
        <v/>
      </c>
      <c r="AS45" s="71" t="str">
        <f t="shared" si="4"/>
        <v/>
      </c>
      <c r="AT45" s="71" t="str">
        <f t="shared" si="1"/>
        <v/>
      </c>
    </row>
    <row r="46" spans="2:46">
      <c r="B46" s="140"/>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4"/>
      <c r="AL46" t="str">
        <f t="shared" ca="1" si="0"/>
        <v xml:space="preserve">    (U1)ALERT_REQ_C_BRLV_2_BC_</v>
      </c>
      <c r="AR46" s="71" t="str">
        <f t="shared" si="3"/>
        <v/>
      </c>
      <c r="AS46" s="71" t="str">
        <f t="shared" si="4"/>
        <v/>
      </c>
      <c r="AT46" s="71" t="str">
        <f t="shared" si="1"/>
        <v/>
      </c>
    </row>
    <row r="47" spans="2:46">
      <c r="B47" s="140"/>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4"/>
      <c r="AL47" t="str">
        <f t="shared" ca="1" si="0"/>
        <v xml:space="preserve">    (U1)ALERT_REQ_C_BRLV_2_BC_</v>
      </c>
      <c r="AR47" s="71" t="str">
        <f t="shared" si="3"/>
        <v/>
      </c>
      <c r="AS47" s="71" t="str">
        <f t="shared" si="4"/>
        <v/>
      </c>
      <c r="AT47" s="71" t="str">
        <f t="shared" si="1"/>
        <v/>
      </c>
    </row>
    <row r="48" spans="2:46">
      <c r="B48" s="140"/>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4"/>
      <c r="AL48" t="str">
        <f t="shared" ca="1" si="0"/>
        <v xml:space="preserve">    (U1)ALERT_REQ_C_BRLV_2_BC_</v>
      </c>
      <c r="AR48" s="71" t="str">
        <f t="shared" si="3"/>
        <v/>
      </c>
      <c r="AS48" s="71" t="str">
        <f t="shared" si="4"/>
        <v/>
      </c>
      <c r="AT48" s="71" t="str">
        <f t="shared" si="1"/>
        <v/>
      </c>
    </row>
    <row r="49" spans="2:46">
      <c r="B49" s="140"/>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4"/>
      <c r="AL49" t="str">
        <f t="shared" ca="1" si="0"/>
        <v xml:space="preserve">    (U1)ALERT_REQ_C_BRLV_2_BC_</v>
      </c>
      <c r="AR49" s="71" t="str">
        <f t="shared" si="3"/>
        <v/>
      </c>
      <c r="AS49" s="71" t="str">
        <f t="shared" si="4"/>
        <v/>
      </c>
      <c r="AT49" s="71" t="str">
        <f t="shared" si="1"/>
        <v/>
      </c>
    </row>
    <row r="50" spans="2:46">
      <c r="B50" s="140"/>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4"/>
      <c r="AL50" t="str">
        <f t="shared" ca="1" si="0"/>
        <v xml:space="preserve">    (U1)ALERT_REQ_C_BRLV_2_BC_</v>
      </c>
      <c r="AR50" s="71" t="str">
        <f t="shared" si="3"/>
        <v/>
      </c>
      <c r="AS50" s="71" t="str">
        <f t="shared" si="4"/>
        <v/>
      </c>
      <c r="AT50" s="71" t="str">
        <f t="shared" si="1"/>
        <v/>
      </c>
    </row>
    <row r="51" spans="2:46">
      <c r="B51" s="140"/>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4"/>
      <c r="AL51" t="str">
        <f t="shared" ca="1" si="0"/>
        <v xml:space="preserve">    (U1)ALERT_REQ_C_BRLV_2_BC_</v>
      </c>
      <c r="AR51" s="71" t="str">
        <f t="shared" si="3"/>
        <v/>
      </c>
      <c r="AS51" s="71" t="str">
        <f t="shared" si="4"/>
        <v/>
      </c>
      <c r="AT51" s="71" t="str">
        <f t="shared" si="1"/>
        <v/>
      </c>
    </row>
    <row r="52" spans="2:46">
      <c r="B52" s="140"/>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4"/>
      <c r="AL52" t="str">
        <f t="shared" ca="1" si="0"/>
        <v xml:space="preserve">    (U1)ALERT_REQ_C_BRLV_2_BC_</v>
      </c>
      <c r="AR52" s="71" t="str">
        <f t="shared" si="3"/>
        <v/>
      </c>
      <c r="AS52" s="71" t="str">
        <f t="shared" si="4"/>
        <v/>
      </c>
      <c r="AT52" s="71" t="str">
        <f t="shared" si="1"/>
        <v/>
      </c>
    </row>
    <row r="53" spans="2:46">
      <c r="B53" s="140"/>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4"/>
      <c r="AL53" t="str">
        <f t="shared" ca="1" si="0"/>
        <v xml:space="preserve">    (U1)ALERT_REQ_C_BRLV_2_BC_</v>
      </c>
      <c r="AR53" s="71" t="str">
        <f t="shared" si="3"/>
        <v/>
      </c>
      <c r="AS53" s="71" t="str">
        <f t="shared" si="4"/>
        <v/>
      </c>
      <c r="AT53" s="71" t="str">
        <f t="shared" si="1"/>
        <v/>
      </c>
    </row>
    <row r="54" spans="2:46">
      <c r="B54" s="140"/>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4"/>
      <c r="AL54" t="str">
        <f t="shared" ca="1" si="0"/>
        <v xml:space="preserve">    (U1)ALERT_REQ_C_BRLV_2_BC_</v>
      </c>
      <c r="AR54" s="71" t="str">
        <f t="shared" si="3"/>
        <v/>
      </c>
      <c r="AS54" s="71" t="str">
        <f t="shared" si="4"/>
        <v/>
      </c>
      <c r="AT54" s="71" t="str">
        <f t="shared" si="1"/>
        <v/>
      </c>
    </row>
    <row r="55" spans="2:46">
      <c r="B55" s="140"/>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4"/>
      <c r="AL55" t="str">
        <f t="shared" ca="1" si="0"/>
        <v xml:space="preserve">    (U1)ALERT_REQ_C_BRLV_2_BC_</v>
      </c>
      <c r="AR55" s="71" t="str">
        <f t="shared" si="3"/>
        <v/>
      </c>
      <c r="AS55" s="71" t="str">
        <f t="shared" si="4"/>
        <v/>
      </c>
      <c r="AT55" s="71" t="str">
        <f t="shared" si="1"/>
        <v/>
      </c>
    </row>
    <row r="56" spans="2:46">
      <c r="B56" s="140"/>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4"/>
      <c r="AL56" t="str">
        <f t="shared" ca="1" si="0"/>
        <v xml:space="preserve">    (U1)ALERT_REQ_C_BRLV_2_BC_</v>
      </c>
      <c r="AR56" s="71" t="str">
        <f t="shared" si="3"/>
        <v/>
      </c>
      <c r="AS56" s="71" t="str">
        <f t="shared" si="4"/>
        <v/>
      </c>
      <c r="AT56" s="71" t="str">
        <f t="shared" si="1"/>
        <v/>
      </c>
    </row>
    <row r="57" spans="2:46">
      <c r="B57" s="140"/>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4"/>
      <c r="AL57" t="str">
        <f t="shared" ca="1" si="0"/>
        <v xml:space="preserve">    (U1)ALERT_REQ_C_BRLV_2_BC_</v>
      </c>
      <c r="AR57" s="71" t="str">
        <f t="shared" si="3"/>
        <v/>
      </c>
      <c r="AS57" s="71" t="str">
        <f t="shared" si="4"/>
        <v/>
      </c>
      <c r="AT57" s="71" t="str">
        <f t="shared" si="1"/>
        <v/>
      </c>
    </row>
    <row r="58" spans="2:46">
      <c r="B58" s="140"/>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4"/>
      <c r="AL58" t="str">
        <f t="shared" ca="1" si="0"/>
        <v xml:space="preserve">    (U1)ALERT_REQ_C_BRLV_2_BC_</v>
      </c>
      <c r="AR58" s="71" t="str">
        <f t="shared" si="3"/>
        <v/>
      </c>
      <c r="AS58" s="71" t="str">
        <f t="shared" si="4"/>
        <v/>
      </c>
      <c r="AT58" s="71" t="str">
        <f t="shared" si="1"/>
        <v/>
      </c>
    </row>
    <row r="59" spans="2:46">
      <c r="B59" s="140"/>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4"/>
      <c r="AL59" t="str">
        <f t="shared" ca="1" si="0"/>
        <v xml:space="preserve">    (U1)ALERT_REQ_C_BRLV_2_BC_</v>
      </c>
      <c r="AR59" s="71" t="str">
        <f t="shared" si="3"/>
        <v/>
      </c>
      <c r="AS59" s="71" t="str">
        <f t="shared" si="4"/>
        <v/>
      </c>
      <c r="AT59" s="71" t="str">
        <f t="shared" si="1"/>
        <v/>
      </c>
    </row>
    <row r="60" spans="2:46">
      <c r="B60" s="140"/>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4"/>
      <c r="AL60" t="str">
        <f t="shared" ca="1" si="0"/>
        <v xml:space="preserve">    (U1)ALERT_REQ_C_BRLV_2_BC_</v>
      </c>
      <c r="AR60" s="71" t="str">
        <f t="shared" si="3"/>
        <v/>
      </c>
      <c r="AS60" s="71" t="str">
        <f t="shared" si="4"/>
        <v/>
      </c>
      <c r="AT60" s="71" t="str">
        <f t="shared" si="1"/>
        <v/>
      </c>
    </row>
    <row r="61" spans="2:46">
      <c r="B61" s="140"/>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4"/>
      <c r="AL61" t="str">
        <f t="shared" ca="1" si="0"/>
        <v xml:space="preserve">    (U1)ALERT_REQ_C_BRLV_2_BC_</v>
      </c>
      <c r="AR61" s="71" t="str">
        <f t="shared" si="3"/>
        <v/>
      </c>
      <c r="AS61" s="71" t="str">
        <f t="shared" si="4"/>
        <v/>
      </c>
      <c r="AT61" s="71" t="str">
        <f t="shared" si="1"/>
        <v/>
      </c>
    </row>
    <row r="62" spans="2:46">
      <c r="B62" s="140"/>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4"/>
      <c r="AL62" t="str">
        <f t="shared" ca="1" si="0"/>
        <v xml:space="preserve">    (U1)ALERT_REQ_C_BRLV_2_BC_</v>
      </c>
      <c r="AR62" s="71" t="str">
        <f t="shared" si="3"/>
        <v/>
      </c>
      <c r="AS62" s="71" t="str">
        <f t="shared" si="4"/>
        <v/>
      </c>
      <c r="AT62" s="71" t="str">
        <f t="shared" si="1"/>
        <v/>
      </c>
    </row>
    <row r="63" spans="2:46">
      <c r="B63" s="140"/>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4"/>
      <c r="AL63" t="str">
        <f t="shared" ca="1" si="0"/>
        <v xml:space="preserve">    (U1)ALERT_REQ_C_BRLV_2_BC_</v>
      </c>
      <c r="AR63" s="71" t="str">
        <f t="shared" si="3"/>
        <v/>
      </c>
      <c r="AS63" s="71" t="str">
        <f t="shared" si="4"/>
        <v/>
      </c>
      <c r="AT63" s="71" t="str">
        <f t="shared" si="1"/>
        <v/>
      </c>
    </row>
    <row r="64" spans="2:46">
      <c r="B64" s="140"/>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4"/>
      <c r="AL64" t="str">
        <f t="shared" ca="1" si="0"/>
        <v xml:space="preserve">    (U1)ALERT_REQ_C_BRLV_2_BC_</v>
      </c>
      <c r="AR64" s="71" t="str">
        <f t="shared" si="3"/>
        <v/>
      </c>
      <c r="AS64" s="71" t="str">
        <f t="shared" si="4"/>
        <v/>
      </c>
      <c r="AT64" s="71" t="str">
        <f t="shared" si="1"/>
        <v/>
      </c>
    </row>
    <row r="65" spans="1:46">
      <c r="B65" s="140"/>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4"/>
      <c r="AL65" t="str">
        <f t="shared" ca="1" si="0"/>
        <v xml:space="preserve">    (U1)ALERT_REQ_C_BRLV_2_BC_</v>
      </c>
      <c r="AR65" s="71" t="str">
        <f t="shared" si="3"/>
        <v/>
      </c>
      <c r="AS65" s="71" t="str">
        <f t="shared" si="4"/>
        <v/>
      </c>
      <c r="AT65" s="71" t="str">
        <f t="shared" si="1"/>
        <v/>
      </c>
    </row>
    <row r="66" spans="1:46">
      <c r="B66" s="140"/>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4"/>
      <c r="AL66" t="str">
        <f t="shared" ca="1" si="0"/>
        <v xml:space="preserve">    (U1)ALERT_REQ_C_BRLV_2_BC_</v>
      </c>
      <c r="AR66" s="71" t="str">
        <f t="shared" si="3"/>
        <v/>
      </c>
      <c r="AS66" s="71" t="str">
        <f t="shared" si="4"/>
        <v/>
      </c>
      <c r="AT66" s="71" t="str">
        <f t="shared" si="1"/>
        <v/>
      </c>
    </row>
    <row r="67" spans="1:46">
      <c r="B67" s="140"/>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4"/>
      <c r="AL67" t="str">
        <f t="shared" ca="1" si="0"/>
        <v xml:space="preserve">    (U1)ALERT_REQ_C_BRLV_2_BC_</v>
      </c>
      <c r="AR67" s="71" t="str">
        <f t="shared" si="3"/>
        <v/>
      </c>
      <c r="AS67" s="71" t="str">
        <f t="shared" si="4"/>
        <v/>
      </c>
      <c r="AT67" s="71" t="str">
        <f t="shared" si="1"/>
        <v/>
      </c>
    </row>
    <row r="68" spans="1:46">
      <c r="B68" s="140"/>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4"/>
      <c r="AL68" t="str">
        <f t="shared" ca="1" si="0"/>
        <v xml:space="preserve">    (U1)ALERT_REQ_C_BRLV_2_BC_</v>
      </c>
      <c r="AR68" s="71" t="str">
        <f t="shared" si="3"/>
        <v/>
      </c>
      <c r="AS68" s="71" t="str">
        <f t="shared" si="4"/>
        <v/>
      </c>
      <c r="AT68" s="71" t="str">
        <f t="shared" si="1"/>
        <v/>
      </c>
    </row>
    <row r="69" spans="1:46">
      <c r="B69" s="141"/>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4"/>
      <c r="AL69" t="str">
        <f t="shared" ca="1" si="0"/>
        <v xml:space="preserve">    (U1)ALERT_REQ_C_BRLV_2_BC_</v>
      </c>
      <c r="AR69" s="71" t="str">
        <f t="shared" si="3"/>
        <v/>
      </c>
      <c r="AS69" s="71" t="str">
        <f t="shared" si="4"/>
        <v/>
      </c>
      <c r="AT69" s="71" t="str">
        <f t="shared" si="1"/>
        <v/>
      </c>
    </row>
    <row r="70" spans="1:46" ht="13.5"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2" t="str">
        <f ca="1">IF(B6&lt;&gt;"",B6,"")</f>
        <v>Table BC</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UNKNOWN</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UNKNOWN                                         */</v>
      </c>
    </row>
    <row r="73" spans="1:46">
      <c r="B73" s="140"/>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70" t="str">
        <f t="shared" si="11"/>
        <v>00</v>
      </c>
      <c r="AN73" s="70" t="str">
        <f t="shared" si="12"/>
        <v>00</v>
      </c>
      <c r="AO73" s="70" t="str">
        <f t="shared" si="13"/>
        <v>00</v>
      </c>
      <c r="AQ73" t="str">
        <f t="shared" si="8"/>
        <v xml:space="preserve">    (U4)0x00000002U,                                                           /* 02 UNKNOWN                                         */</v>
      </c>
    </row>
    <row r="74" spans="1:46">
      <c r="B74" s="140"/>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MALFUNC</v>
      </c>
      <c r="AK74" s="68"/>
      <c r="AL74" s="68" t="str">
        <f t="shared" si="10"/>
        <v>03</v>
      </c>
      <c r="AM74" s="70" t="str">
        <f t="shared" si="11"/>
        <v>00</v>
      </c>
      <c r="AN74" s="70" t="str">
        <f t="shared" si="12"/>
        <v>00</v>
      </c>
      <c r="AO74" s="70" t="str">
        <f t="shared" si="13"/>
        <v>00</v>
      </c>
      <c r="AQ74" t="str">
        <f t="shared" si="8"/>
        <v xml:space="preserve">    (U4)0x00000003U,                                                           /* 03 MALFUNC                                         */</v>
      </c>
    </row>
    <row r="75" spans="1:46">
      <c r="B75" s="140"/>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70" t="str">
        <f t="shared" si="11"/>
        <v>00</v>
      </c>
      <c r="AN75" s="70" t="str">
        <f t="shared" si="12"/>
        <v>00</v>
      </c>
      <c r="AO75" s="70" t="str">
        <f t="shared" si="13"/>
        <v>00</v>
      </c>
      <c r="AQ75" t="str">
        <f t="shared" si="8"/>
        <v xml:space="preserve">    (U4)0x00000004U,                                                           /* 04 UNKNOWN                                         */</v>
      </c>
    </row>
    <row r="76" spans="1:46">
      <c r="B76" s="140"/>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70" t="str">
        <f t="shared" si="11"/>
        <v>00</v>
      </c>
      <c r="AN76" s="70" t="str">
        <f t="shared" si="12"/>
        <v>00</v>
      </c>
      <c r="AO76" s="70" t="str">
        <f t="shared" si="13"/>
        <v>00</v>
      </c>
      <c r="AQ76" t="str">
        <f t="shared" si="8"/>
        <v xml:space="preserve">    (U4)0x00000005U,                                                           /* 05 UNKNOWN                                         */</v>
      </c>
    </row>
    <row r="77" spans="1:46">
      <c r="B77" s="140"/>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70" t="str">
        <f t="shared" si="11"/>
        <v>00</v>
      </c>
      <c r="AN77" s="70" t="str">
        <f t="shared" si="12"/>
        <v>00</v>
      </c>
      <c r="AO77" s="70" t="str">
        <f t="shared" si="13"/>
        <v>00</v>
      </c>
      <c r="AQ77" t="str">
        <f t="shared" si="8"/>
        <v xml:space="preserve">    (U4)0x00000006U,                                                           /* 06 UNKNOWN                                         */</v>
      </c>
    </row>
    <row r="78" spans="1:46">
      <c r="B78" s="140"/>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70" t="str">
        <f t="shared" si="11"/>
        <v>00</v>
      </c>
      <c r="AN78" s="70" t="str">
        <f t="shared" si="12"/>
        <v>00</v>
      </c>
      <c r="AO78" s="70" t="str">
        <f t="shared" si="13"/>
        <v>00</v>
      </c>
      <c r="AQ78" t="str">
        <f t="shared" si="8"/>
        <v xml:space="preserve">    (U4)0x00000007U,                                                           /* 07 UNKNOWN                                         */</v>
      </c>
    </row>
    <row r="79" spans="1:46">
      <c r="B79" s="140"/>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70" t="str">
        <f t="shared" si="11"/>
        <v>00</v>
      </c>
      <c r="AN79" s="70" t="str">
        <f t="shared" si="12"/>
        <v>00</v>
      </c>
      <c r="AO79" s="70" t="str">
        <f t="shared" si="13"/>
        <v>00</v>
      </c>
      <c r="AQ79" t="str">
        <f t="shared" si="8"/>
        <v xml:space="preserve">    (U4)0x00000008U,                                                           /* 08 UNKNOWN                                         */</v>
      </c>
    </row>
    <row r="80" spans="1:46">
      <c r="B80" s="140"/>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70" t="str">
        <f t="shared" si="11"/>
        <v>00</v>
      </c>
      <c r="AN80" s="70" t="str">
        <f t="shared" si="12"/>
        <v>00</v>
      </c>
      <c r="AO80" s="70" t="str">
        <f t="shared" si="13"/>
        <v>00</v>
      </c>
      <c r="AQ80" t="str">
        <f t="shared" si="8"/>
        <v xml:space="preserve">    (U4)0x00000009U,                                                           /* 09 UNKNOWN                                         */</v>
      </c>
    </row>
    <row r="81" spans="2:43">
      <c r="B81" s="140"/>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70" t="str">
        <f t="shared" si="11"/>
        <v>00</v>
      </c>
      <c r="AN81" s="70" t="str">
        <f t="shared" si="12"/>
        <v>00</v>
      </c>
      <c r="AO81" s="70" t="str">
        <f t="shared" si="13"/>
        <v>00</v>
      </c>
      <c r="AQ81" t="str">
        <f t="shared" si="8"/>
        <v xml:space="preserve">    (U4)0x0000000AU,                                                           /* 10 UNKNOWN                                         */</v>
      </c>
    </row>
    <row r="82" spans="2:43">
      <c r="B82" s="140"/>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70" t="str">
        <f t="shared" si="11"/>
        <v>00</v>
      </c>
      <c r="AN82" s="70" t="str">
        <f t="shared" si="12"/>
        <v>00</v>
      </c>
      <c r="AO82" s="70" t="str">
        <f t="shared" si="13"/>
        <v>00</v>
      </c>
      <c r="AQ82" t="str">
        <f t="shared" si="8"/>
        <v xml:space="preserve">    (U4)0x0000000BU,                                                           /* 11 UNKNOWN                                         */</v>
      </c>
    </row>
    <row r="83" spans="2:43">
      <c r="B83" s="140"/>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70" t="str">
        <f t="shared" si="11"/>
        <v>00</v>
      </c>
      <c r="AN83" s="70" t="str">
        <f t="shared" si="12"/>
        <v>00</v>
      </c>
      <c r="AO83" s="70" t="str">
        <f t="shared" si="13"/>
        <v>00</v>
      </c>
      <c r="AQ83" t="str">
        <f t="shared" si="8"/>
        <v xml:space="preserve">    (U4)0x0000000CU,                                                           /* 12 UNKNOWN                                         */</v>
      </c>
    </row>
    <row r="84" spans="2:43">
      <c r="B84" s="140"/>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70" t="str">
        <f t="shared" si="11"/>
        <v>00</v>
      </c>
      <c r="AN84" s="70" t="str">
        <f t="shared" si="12"/>
        <v>00</v>
      </c>
      <c r="AO84" s="70" t="str">
        <f t="shared" si="13"/>
        <v>00</v>
      </c>
      <c r="AQ84" t="str">
        <f t="shared" si="8"/>
        <v xml:space="preserve">    (U4)0x0000000DU,                                                           /* 13 UNKNOWN                                         */</v>
      </c>
    </row>
    <row r="85" spans="2:43">
      <c r="B85" s="140"/>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70" t="str">
        <f t="shared" si="11"/>
        <v>00</v>
      </c>
      <c r="AN85" s="70" t="str">
        <f t="shared" si="12"/>
        <v>00</v>
      </c>
      <c r="AO85" s="70" t="str">
        <f t="shared" si="13"/>
        <v>00</v>
      </c>
      <c r="AQ85" t="str">
        <f t="shared" si="8"/>
        <v xml:space="preserve">    (U4)0x0000000EU,                                                           /* 14 UNKNOWN                                         */</v>
      </c>
    </row>
    <row r="86" spans="2:43">
      <c r="B86" s="140"/>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70" t="str">
        <f t="shared" si="11"/>
        <v>00</v>
      </c>
      <c r="AN86" s="70" t="str">
        <f t="shared" si="12"/>
        <v>00</v>
      </c>
      <c r="AO86" s="70" t="str">
        <f t="shared" si="13"/>
        <v>00</v>
      </c>
      <c r="AQ86" t="str">
        <f t="shared" si="8"/>
        <v xml:space="preserve">    (U4)0x0000000FU                                                            /* 15 UNKNOWN                                         */</v>
      </c>
    </row>
    <row r="87" spans="2:43">
      <c r="B87" s="140"/>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0"/>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0"/>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0"/>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0"/>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0"/>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0"/>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0"/>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0"/>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0"/>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0"/>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0"/>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0"/>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0"/>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0"/>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0"/>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0"/>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0"/>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0"/>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0"/>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0"/>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0"/>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0"/>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0"/>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0"/>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0"/>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0"/>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0"/>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0"/>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0"/>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0"/>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0"/>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0"/>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0"/>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0"/>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0"/>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0"/>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0"/>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0"/>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0"/>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0"/>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0"/>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0"/>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0"/>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0"/>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0"/>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0"/>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1"/>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2" t="str">
        <f ca="1">IF(B6&lt;&gt;"",B6,"")</f>
        <v>Table BC</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0"/>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UNKNOWN</v>
      </c>
      <c r="AK137" s="68"/>
      <c r="AL137" s="68" t="str">
        <f t="shared" ref="AL137:AL199" si="33">BIN2HEX(AB137&amp;AC137&amp;AD137&amp;AE137&amp;AF137&amp;AG137&amp;AH137&amp;AI137,2)</f>
        <v>0F</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(U4)0x0000000FU,                                                           /* 01 UNKNOWN                                         */</v>
      </c>
    </row>
    <row r="138" spans="1:43">
      <c r="B138" s="140"/>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70" t="str">
        <f t="shared" si="34"/>
        <v>00</v>
      </c>
      <c r="AN138" s="70" t="str">
        <f t="shared" si="35"/>
        <v>00</v>
      </c>
      <c r="AO138" s="70" t="str">
        <f t="shared" si="36"/>
        <v>00</v>
      </c>
      <c r="AQ138" t="str">
        <f t="shared" si="31"/>
        <v xml:space="preserve">    (U4)0x0000000FU,                                                           /* 02 UNKNOWN                                         */</v>
      </c>
    </row>
    <row r="139" spans="1:43">
      <c r="B139" s="140"/>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MALFUNC</v>
      </c>
      <c r="AK139" s="68"/>
      <c r="AL139" s="68" t="str">
        <f t="shared" si="33"/>
        <v>0F</v>
      </c>
      <c r="AM139" s="70" t="str">
        <f t="shared" si="34"/>
        <v>00</v>
      </c>
      <c r="AN139" s="70" t="str">
        <f t="shared" si="35"/>
        <v>00</v>
      </c>
      <c r="AO139" s="70" t="str">
        <f t="shared" si="36"/>
        <v>00</v>
      </c>
      <c r="AQ139" t="str">
        <f t="shared" si="31"/>
        <v xml:space="preserve">    (U4)0x0000000FU,                                                           /* 03 MALFUNC                                         */</v>
      </c>
    </row>
    <row r="140" spans="1:43">
      <c r="B140" s="140"/>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55" t="str">
        <f t="shared" si="30"/>
        <v>UNKNOWN</v>
      </c>
      <c r="AK140" s="68"/>
      <c r="AL140" s="68" t="str">
        <f t="shared" si="33"/>
        <v>0F</v>
      </c>
      <c r="AM140" s="70" t="str">
        <f t="shared" si="34"/>
        <v>00</v>
      </c>
      <c r="AN140" s="70" t="str">
        <f t="shared" si="35"/>
        <v>00</v>
      </c>
      <c r="AO140" s="70" t="str">
        <f t="shared" si="36"/>
        <v>00</v>
      </c>
      <c r="AQ140" t="str">
        <f t="shared" si="31"/>
        <v xml:space="preserve">    (U4)0x0000000FU,                                                           /* 04 UNKNOWN                                         */</v>
      </c>
    </row>
    <row r="141" spans="1:43">
      <c r="B141" s="140"/>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55" t="str">
        <f t="shared" si="30"/>
        <v>UNKNOWN</v>
      </c>
      <c r="AK141" s="68"/>
      <c r="AL141" s="68" t="str">
        <f t="shared" si="33"/>
        <v>0F</v>
      </c>
      <c r="AM141" s="70" t="str">
        <f t="shared" si="34"/>
        <v>00</v>
      </c>
      <c r="AN141" s="70" t="str">
        <f t="shared" si="35"/>
        <v>00</v>
      </c>
      <c r="AO141" s="70" t="str">
        <f t="shared" si="36"/>
        <v>00</v>
      </c>
      <c r="AQ141" t="str">
        <f t="shared" si="31"/>
        <v xml:space="preserve">    (U4)0x0000000FU,                                                           /* 05 UNKNOWN                                         */</v>
      </c>
    </row>
    <row r="142" spans="1:43">
      <c r="B142" s="140"/>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55" t="str">
        <f t="shared" si="30"/>
        <v>UNKNOWN</v>
      </c>
      <c r="AK142" s="68"/>
      <c r="AL142" s="68" t="str">
        <f t="shared" si="33"/>
        <v>0F</v>
      </c>
      <c r="AM142" s="70" t="str">
        <f t="shared" si="34"/>
        <v>00</v>
      </c>
      <c r="AN142" s="70" t="str">
        <f t="shared" si="35"/>
        <v>00</v>
      </c>
      <c r="AO142" s="70" t="str">
        <f t="shared" si="36"/>
        <v>00</v>
      </c>
      <c r="AQ142" t="str">
        <f t="shared" si="31"/>
        <v xml:space="preserve">    (U4)0x0000000FU,                                                           /* 06 UNKNOWN                                         */</v>
      </c>
    </row>
    <row r="143" spans="1:43">
      <c r="B143" s="140"/>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55" t="str">
        <f t="shared" si="30"/>
        <v>UNKNOWN</v>
      </c>
      <c r="AK143" s="68"/>
      <c r="AL143" s="68" t="str">
        <f t="shared" si="33"/>
        <v>0F</v>
      </c>
      <c r="AM143" s="70" t="str">
        <f t="shared" si="34"/>
        <v>00</v>
      </c>
      <c r="AN143" s="70" t="str">
        <f t="shared" si="35"/>
        <v>00</v>
      </c>
      <c r="AO143" s="70" t="str">
        <f t="shared" si="36"/>
        <v>00</v>
      </c>
      <c r="AQ143" t="str">
        <f t="shared" si="31"/>
        <v xml:space="preserve">    (U4)0x0000000FU,                                                           /* 07 UNKNOWN                                         */</v>
      </c>
    </row>
    <row r="144" spans="1:43">
      <c r="B144" s="140"/>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55" t="str">
        <f t="shared" si="30"/>
        <v>UNKNOWN</v>
      </c>
      <c r="AK144" s="68"/>
      <c r="AL144" s="68" t="str">
        <f t="shared" si="33"/>
        <v>0F</v>
      </c>
      <c r="AM144" s="70" t="str">
        <f t="shared" si="34"/>
        <v>00</v>
      </c>
      <c r="AN144" s="70" t="str">
        <f t="shared" si="35"/>
        <v>00</v>
      </c>
      <c r="AO144" s="70" t="str">
        <f t="shared" si="36"/>
        <v>00</v>
      </c>
      <c r="AQ144" t="str">
        <f t="shared" si="31"/>
        <v xml:space="preserve">    (U4)0x0000000FU,                                                           /* 08 UNKNOWN                                         */</v>
      </c>
    </row>
    <row r="145" spans="2:43">
      <c r="B145" s="140"/>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55" t="str">
        <f t="shared" si="30"/>
        <v>UNKNOWN</v>
      </c>
      <c r="AK145" s="68"/>
      <c r="AL145" s="68" t="str">
        <f t="shared" si="33"/>
        <v>0F</v>
      </c>
      <c r="AM145" s="70" t="str">
        <f t="shared" si="34"/>
        <v>00</v>
      </c>
      <c r="AN145" s="70" t="str">
        <f t="shared" si="35"/>
        <v>00</v>
      </c>
      <c r="AO145" s="70" t="str">
        <f t="shared" si="36"/>
        <v>00</v>
      </c>
      <c r="AQ145" t="str">
        <f t="shared" si="31"/>
        <v xml:space="preserve">    (U4)0x0000000FU,                                                           /* 09 UNKNOWN                                         */</v>
      </c>
    </row>
    <row r="146" spans="2:43">
      <c r="B146" s="140"/>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55" t="str">
        <f t="shared" si="30"/>
        <v>UNKNOWN</v>
      </c>
      <c r="AK146" s="68"/>
      <c r="AL146" s="68" t="str">
        <f t="shared" si="33"/>
        <v>0F</v>
      </c>
      <c r="AM146" s="70" t="str">
        <f t="shared" si="34"/>
        <v>00</v>
      </c>
      <c r="AN146" s="70" t="str">
        <f t="shared" si="35"/>
        <v>00</v>
      </c>
      <c r="AO146" s="70" t="str">
        <f t="shared" si="36"/>
        <v>00</v>
      </c>
      <c r="AQ146" t="str">
        <f t="shared" si="31"/>
        <v xml:space="preserve">    (U4)0x0000000FU,                                                           /* 10 UNKNOWN                                         */</v>
      </c>
    </row>
    <row r="147" spans="2:43">
      <c r="B147" s="140"/>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70" t="str">
        <f t="shared" si="34"/>
        <v>00</v>
      </c>
      <c r="AN147" s="70" t="str">
        <f t="shared" si="35"/>
        <v>00</v>
      </c>
      <c r="AO147" s="70" t="str">
        <f t="shared" si="36"/>
        <v>00</v>
      </c>
      <c r="AQ147" t="str">
        <f t="shared" si="31"/>
        <v xml:space="preserve">    (U4)0x0000000FU,                                                           /* 11 UNKNOWN                                         */</v>
      </c>
    </row>
    <row r="148" spans="2:43">
      <c r="B148" s="140"/>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70" t="str">
        <f t="shared" si="34"/>
        <v>00</v>
      </c>
      <c r="AN148" s="70" t="str">
        <f t="shared" si="35"/>
        <v>00</v>
      </c>
      <c r="AO148" s="70" t="str">
        <f t="shared" si="36"/>
        <v>00</v>
      </c>
      <c r="AQ148" t="str">
        <f t="shared" si="31"/>
        <v xml:space="preserve">    (U4)0x0000000FU,                                                           /* 12 UNKNOWN                                         */</v>
      </c>
    </row>
    <row r="149" spans="2:43">
      <c r="B149" s="140"/>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70" t="str">
        <f t="shared" si="34"/>
        <v>00</v>
      </c>
      <c r="AN149" s="70" t="str">
        <f t="shared" si="35"/>
        <v>00</v>
      </c>
      <c r="AO149" s="70" t="str">
        <f t="shared" si="36"/>
        <v>00</v>
      </c>
      <c r="AQ149" t="str">
        <f t="shared" si="31"/>
        <v xml:space="preserve">    (U4)0x0000000FU,                                                           /* 13 UNKNOWN                                         */</v>
      </c>
    </row>
    <row r="150" spans="2:43">
      <c r="B150" s="140"/>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70" t="str">
        <f t="shared" si="34"/>
        <v>00</v>
      </c>
      <c r="AN150" s="70" t="str">
        <f t="shared" si="35"/>
        <v>00</v>
      </c>
      <c r="AO150" s="70" t="str">
        <f t="shared" si="36"/>
        <v>00</v>
      </c>
      <c r="AQ150" t="str">
        <f t="shared" si="31"/>
        <v xml:space="preserve">    (U4)0x0000000FU,                                                           /* 14 UNKNOWN                                         */</v>
      </c>
    </row>
    <row r="151" spans="2:43">
      <c r="B151" s="140"/>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70" t="str">
        <f t="shared" si="34"/>
        <v>00</v>
      </c>
      <c r="AN151" s="70" t="str">
        <f t="shared" si="35"/>
        <v>00</v>
      </c>
      <c r="AO151" s="70" t="str">
        <f t="shared" si="36"/>
        <v>00</v>
      </c>
      <c r="AQ151" t="str">
        <f t="shared" si="31"/>
        <v xml:space="preserve">    (U4)0x0000000FU                                                            /* 15 UNKNOWN                                         */</v>
      </c>
    </row>
    <row r="152" spans="2:43">
      <c r="B152" s="140"/>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0"/>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0"/>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0"/>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0"/>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0"/>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0"/>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0"/>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0"/>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0"/>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0"/>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0"/>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0"/>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0"/>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0"/>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0"/>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0"/>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0"/>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0"/>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0"/>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0"/>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0"/>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0"/>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0"/>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0"/>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0"/>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0"/>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0"/>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0"/>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0"/>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0"/>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0"/>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0"/>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0"/>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0"/>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0"/>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0"/>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0"/>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0"/>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0"/>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0"/>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0"/>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0"/>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0"/>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0"/>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0"/>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0"/>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1"/>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D6:AB7 L3:AE3 AC7:AE7 D22:AJ69 D8:AI21" name="Table作成編集範囲"/>
    <protectedRange sqref="AI3" name="Table作成編集範囲_7"/>
    <protectedRange sqref="AF3:AH3" name="Table作成編集範囲_8"/>
    <protectedRange sqref="AC6:AI6 AF7:AI7" name="Table作成編集範囲_9"/>
    <protectedRange sqref="AJ7:AJ21" name="Table作成編集範囲_10"/>
    <protectedRange sqref="AJ6" name="Table作成編集範囲_11"/>
    <protectedRange sqref="B3" name="Table作成編集範囲_1"/>
  </protectedRanges>
  <mergeCells count="4">
    <mergeCell ref="C2:C3"/>
    <mergeCell ref="AJ2:AJ3"/>
    <mergeCell ref="A4:B5"/>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6:AV153"/>
  <sheetViews>
    <sheetView zoomScaleNormal="100" workbookViewId="0"/>
  </sheetViews>
  <sheetFormatPr defaultRowHeight="13"/>
  <cols>
    <col min="2" max="2" width="83.08984375" bestFit="1" customWidth="1"/>
    <col min="3" max="10" width="3.36328125" customWidth="1"/>
    <col min="11" max="14" width="17" customWidth="1"/>
    <col min="15" max="15" width="24.08984375" bestFit="1" customWidth="1"/>
    <col min="16" max="16" width="21.08984375" bestFit="1" customWidth="1"/>
    <col min="17" max="17" width="11.6328125" customWidth="1"/>
    <col min="18" max="19" width="10.90625" customWidth="1"/>
    <col min="20" max="20" width="13.453125" customWidth="1"/>
  </cols>
  <sheetData>
    <row r="6" spans="2:17" ht="14.5" thickBot="1">
      <c r="B6" s="26" t="s">
        <v>205</v>
      </c>
    </row>
    <row r="7" spans="2:17" ht="14.5" thickBot="1">
      <c r="B7" s="105" t="s">
        <v>120</v>
      </c>
      <c r="C7" s="333" t="s">
        <v>193</v>
      </c>
      <c r="D7" s="334"/>
      <c r="E7" s="334"/>
      <c r="F7" s="334"/>
      <c r="G7" s="334"/>
      <c r="H7" s="334"/>
      <c r="I7" s="334"/>
      <c r="J7" s="335"/>
      <c r="K7" s="172"/>
      <c r="L7" s="172"/>
      <c r="M7" s="175"/>
      <c r="N7" s="173"/>
      <c r="O7" s="173"/>
      <c r="P7" s="173"/>
      <c r="Q7" s="174"/>
    </row>
    <row r="8" spans="2:17">
      <c r="B8" s="78"/>
      <c r="C8" s="35" t="s">
        <v>157</v>
      </c>
      <c r="D8" s="35"/>
      <c r="E8" s="35"/>
      <c r="F8" s="35"/>
      <c r="G8" s="35"/>
      <c r="H8" s="35"/>
      <c r="I8" s="35"/>
      <c r="J8" s="35"/>
      <c r="K8" s="35"/>
      <c r="L8" s="35"/>
      <c r="M8" s="31" t="s">
        <v>51</v>
      </c>
      <c r="N8" s="51" t="s">
        <v>21</v>
      </c>
      <c r="O8" s="52"/>
      <c r="P8" s="52"/>
      <c r="Q8" s="53"/>
    </row>
    <row r="9" spans="2:17" ht="59.25" customHeight="1">
      <c r="B9" s="79" t="s">
        <v>22</v>
      </c>
      <c r="C9" s="336" t="s">
        <v>165</v>
      </c>
      <c r="D9" s="331"/>
      <c r="E9" s="331"/>
      <c r="F9" s="331"/>
      <c r="G9" s="331"/>
      <c r="H9" s="331"/>
      <c r="I9" s="331"/>
      <c r="J9" s="332"/>
      <c r="K9" s="209" t="s">
        <v>23</v>
      </c>
      <c r="L9" s="209" t="s">
        <v>23</v>
      </c>
      <c r="M9" s="32" t="s">
        <v>277</v>
      </c>
      <c r="N9" s="29" t="s">
        <v>24</v>
      </c>
      <c r="O9" s="1" t="s">
        <v>25</v>
      </c>
      <c r="P9" s="85" t="s">
        <v>26</v>
      </c>
      <c r="Q9" s="190" t="s">
        <v>27</v>
      </c>
    </row>
    <row r="10" spans="2:17" ht="26">
      <c r="B10" s="79" t="s">
        <v>33</v>
      </c>
      <c r="C10" s="166" t="s">
        <v>124</v>
      </c>
      <c r="D10" s="166" t="s">
        <v>124</v>
      </c>
      <c r="E10" s="166" t="s">
        <v>124</v>
      </c>
      <c r="F10" s="166" t="s">
        <v>124</v>
      </c>
      <c r="G10" s="166" t="s">
        <v>124</v>
      </c>
      <c r="H10" s="166" t="s">
        <v>124</v>
      </c>
      <c r="I10" s="166" t="s">
        <v>124</v>
      </c>
      <c r="J10" s="166" t="s">
        <v>124</v>
      </c>
      <c r="K10" s="1" t="s">
        <v>208</v>
      </c>
      <c r="L10" s="27" t="s">
        <v>208</v>
      </c>
      <c r="M10" s="32" t="s">
        <v>287</v>
      </c>
      <c r="N10" s="47"/>
      <c r="O10" s="210"/>
      <c r="P10" s="86"/>
      <c r="Q10" s="99" t="s">
        <v>209</v>
      </c>
    </row>
    <row r="11" spans="2:17" ht="26">
      <c r="B11" s="80" t="s">
        <v>28</v>
      </c>
      <c r="C11" s="270" t="s">
        <v>35</v>
      </c>
      <c r="D11" s="271"/>
      <c r="E11" s="271"/>
      <c r="F11" s="271"/>
      <c r="G11" s="271"/>
      <c r="H11" s="271"/>
      <c r="I11" s="271"/>
      <c r="J11" s="272"/>
      <c r="K11" s="1" t="s">
        <v>296</v>
      </c>
      <c r="L11" s="27" t="s">
        <v>296</v>
      </c>
      <c r="M11" s="33"/>
      <c r="N11" s="47"/>
      <c r="O11" s="210"/>
      <c r="P11" s="86"/>
      <c r="Q11" s="83" t="s">
        <v>276</v>
      </c>
    </row>
    <row r="12" spans="2:17" ht="131">
      <c r="B12" s="79" t="s">
        <v>29</v>
      </c>
      <c r="C12" s="167" t="s">
        <v>211</v>
      </c>
      <c r="D12" s="167" t="s">
        <v>62</v>
      </c>
      <c r="E12" s="167" t="s">
        <v>212</v>
      </c>
      <c r="F12" s="167" t="s">
        <v>213</v>
      </c>
      <c r="G12" s="167" t="s">
        <v>214</v>
      </c>
      <c r="H12" s="167" t="s">
        <v>158</v>
      </c>
      <c r="I12" s="167" t="s">
        <v>215</v>
      </c>
      <c r="J12" s="167" t="s">
        <v>216</v>
      </c>
      <c r="K12" s="1" t="s">
        <v>291</v>
      </c>
      <c r="L12" s="27" t="s">
        <v>285</v>
      </c>
      <c r="M12" s="32" t="s">
        <v>217</v>
      </c>
      <c r="N12" s="47"/>
      <c r="O12" s="210"/>
      <c r="P12" s="86"/>
      <c r="Q12" s="211" t="s">
        <v>203</v>
      </c>
    </row>
    <row r="13" spans="2:17" ht="39.5" thickBot="1">
      <c r="B13" s="81" t="s">
        <v>30</v>
      </c>
      <c r="C13" s="168" t="s">
        <v>218</v>
      </c>
      <c r="D13" s="168" t="s">
        <v>124</v>
      </c>
      <c r="E13" s="168" t="s">
        <v>218</v>
      </c>
      <c r="F13" s="168" t="s">
        <v>218</v>
      </c>
      <c r="G13" s="168" t="s">
        <v>218</v>
      </c>
      <c r="H13" s="168" t="s">
        <v>218</v>
      </c>
      <c r="I13" s="168" t="s">
        <v>218</v>
      </c>
      <c r="J13" s="168" t="s">
        <v>218</v>
      </c>
      <c r="K13" s="28" t="s">
        <v>221</v>
      </c>
      <c r="L13" s="28" t="s">
        <v>222</v>
      </c>
      <c r="M13" s="34" t="s">
        <v>260</v>
      </c>
      <c r="N13" s="30" t="s">
        <v>223</v>
      </c>
      <c r="O13" s="212" t="s">
        <v>262</v>
      </c>
      <c r="P13" s="84"/>
      <c r="Q13" s="213" t="s">
        <v>224</v>
      </c>
    </row>
    <row r="14" spans="2:17" ht="13.5" thickTop="1">
      <c r="B14" s="82" t="s">
        <v>292</v>
      </c>
      <c r="C14" s="169" t="s">
        <v>159</v>
      </c>
      <c r="D14" s="169" t="s">
        <v>159</v>
      </c>
      <c r="E14" s="169" t="s">
        <v>159</v>
      </c>
      <c r="F14" s="169" t="s">
        <v>159</v>
      </c>
      <c r="G14" s="169" t="s">
        <v>159</v>
      </c>
      <c r="H14" s="169" t="s">
        <v>159</v>
      </c>
      <c r="I14" s="169" t="s">
        <v>159</v>
      </c>
      <c r="J14" s="169" t="s">
        <v>159</v>
      </c>
      <c r="K14" s="38" t="s">
        <v>196</v>
      </c>
      <c r="L14" s="39" t="s">
        <v>196</v>
      </c>
      <c r="M14" s="40" t="s">
        <v>32</v>
      </c>
      <c r="N14" s="41" t="s">
        <v>31</v>
      </c>
      <c r="O14" s="38" t="s">
        <v>31</v>
      </c>
      <c r="P14" s="48"/>
      <c r="Q14" s="214" t="s">
        <v>124</v>
      </c>
    </row>
    <row r="15" spans="2:17">
      <c r="B15" s="82" t="s">
        <v>293</v>
      </c>
      <c r="C15" s="170" t="s">
        <v>159</v>
      </c>
      <c r="D15" s="170" t="s">
        <v>159</v>
      </c>
      <c r="E15" s="170" t="s">
        <v>159</v>
      </c>
      <c r="F15" s="170" t="s">
        <v>159</v>
      </c>
      <c r="G15" s="170" t="s">
        <v>159</v>
      </c>
      <c r="H15" s="170" t="s">
        <v>159</v>
      </c>
      <c r="I15" s="170" t="s">
        <v>159</v>
      </c>
      <c r="J15" s="170" t="s">
        <v>159</v>
      </c>
      <c r="K15" s="274" t="s">
        <v>196</v>
      </c>
      <c r="L15" s="37" t="s">
        <v>228</v>
      </c>
      <c r="M15" s="42" t="s">
        <v>200</v>
      </c>
      <c r="N15" s="43" t="s">
        <v>229</v>
      </c>
      <c r="O15" s="269" t="s">
        <v>230</v>
      </c>
      <c r="P15" s="49"/>
      <c r="Q15" s="215" t="s">
        <v>233</v>
      </c>
    </row>
    <row r="16" spans="2:17">
      <c r="B16" s="82" t="s">
        <v>294</v>
      </c>
      <c r="C16" s="170" t="s">
        <v>159</v>
      </c>
      <c r="D16" s="170" t="s">
        <v>159</v>
      </c>
      <c r="E16" s="170" t="s">
        <v>159</v>
      </c>
      <c r="F16" s="170" t="s">
        <v>159</v>
      </c>
      <c r="G16" s="170" t="s">
        <v>159</v>
      </c>
      <c r="H16" s="170" t="s">
        <v>159</v>
      </c>
      <c r="I16" s="170" t="s">
        <v>159</v>
      </c>
      <c r="J16" s="170" t="s">
        <v>159</v>
      </c>
      <c r="K16" s="274" t="s">
        <v>228</v>
      </c>
      <c r="L16" s="37" t="s">
        <v>196</v>
      </c>
      <c r="M16" s="42" t="s">
        <v>32</v>
      </c>
      <c r="N16" s="43" t="s">
        <v>31</v>
      </c>
      <c r="O16" s="269" t="s">
        <v>31</v>
      </c>
      <c r="P16" s="49"/>
      <c r="Q16" s="215" t="s">
        <v>124</v>
      </c>
    </row>
    <row r="17" spans="2:17">
      <c r="B17" s="82" t="s">
        <v>295</v>
      </c>
      <c r="C17" s="170" t="s">
        <v>159</v>
      </c>
      <c r="D17" s="170" t="s">
        <v>159</v>
      </c>
      <c r="E17" s="170" t="s">
        <v>159</v>
      </c>
      <c r="F17" s="170" t="s">
        <v>159</v>
      </c>
      <c r="G17" s="170" t="s">
        <v>159</v>
      </c>
      <c r="H17" s="170" t="s">
        <v>159</v>
      </c>
      <c r="I17" s="170" t="s">
        <v>159</v>
      </c>
      <c r="J17" s="170" t="s">
        <v>159</v>
      </c>
      <c r="K17" s="274" t="s">
        <v>228</v>
      </c>
      <c r="L17" s="37" t="s">
        <v>228</v>
      </c>
      <c r="M17" s="42" t="s">
        <v>32</v>
      </c>
      <c r="N17" s="43" t="s">
        <v>124</v>
      </c>
      <c r="O17" s="269" t="s">
        <v>31</v>
      </c>
      <c r="P17" s="49"/>
      <c r="Q17" s="215" t="s">
        <v>124</v>
      </c>
    </row>
    <row r="18" spans="2:17" ht="13.5" thickBot="1">
      <c r="B18" s="22" t="s">
        <v>261</v>
      </c>
      <c r="C18" s="171" t="s">
        <v>159</v>
      </c>
      <c r="D18" s="171" t="s">
        <v>159</v>
      </c>
      <c r="E18" s="171" t="s">
        <v>159</v>
      </c>
      <c r="F18" s="171" t="s">
        <v>159</v>
      </c>
      <c r="G18" s="171" t="s">
        <v>159</v>
      </c>
      <c r="H18" s="171" t="s">
        <v>159</v>
      </c>
      <c r="I18" s="171" t="s">
        <v>159</v>
      </c>
      <c r="J18" s="171" t="s">
        <v>159</v>
      </c>
      <c r="K18" s="44" t="s">
        <v>255</v>
      </c>
      <c r="L18" s="44" t="s">
        <v>255</v>
      </c>
      <c r="M18" s="45" t="s">
        <v>32</v>
      </c>
      <c r="N18" s="46" t="s">
        <v>31</v>
      </c>
      <c r="O18" s="44" t="s">
        <v>124</v>
      </c>
      <c r="P18" s="50"/>
      <c r="Q18" s="216" t="s">
        <v>124</v>
      </c>
    </row>
    <row r="41" spans="2:18" ht="14.5" thickBot="1">
      <c r="B41" s="26" t="s">
        <v>237</v>
      </c>
    </row>
    <row r="42" spans="2:18" ht="14.5" thickBot="1">
      <c r="B42" s="105" t="s">
        <v>238</v>
      </c>
      <c r="C42" s="333" t="s">
        <v>239</v>
      </c>
      <c r="D42" s="334"/>
      <c r="E42" s="334"/>
      <c r="F42" s="334"/>
      <c r="G42" s="334"/>
      <c r="H42" s="334"/>
      <c r="I42" s="334"/>
      <c r="J42" s="335"/>
      <c r="K42" s="172"/>
      <c r="L42" s="172"/>
      <c r="M42" s="172"/>
      <c r="N42" s="175"/>
      <c r="O42" s="173"/>
      <c r="P42" s="173"/>
      <c r="Q42" s="173"/>
      <c r="R42" s="174"/>
    </row>
    <row r="43" spans="2:18">
      <c r="B43" s="78"/>
      <c r="C43" s="35" t="s">
        <v>240</v>
      </c>
      <c r="D43" s="35"/>
      <c r="E43" s="35"/>
      <c r="F43" s="35"/>
      <c r="G43" s="35"/>
      <c r="H43" s="35"/>
      <c r="I43" s="35"/>
      <c r="J43" s="35"/>
      <c r="K43" s="35"/>
      <c r="L43" s="35"/>
      <c r="M43" s="36"/>
      <c r="N43" s="31" t="s">
        <v>241</v>
      </c>
      <c r="O43" s="51" t="s">
        <v>21</v>
      </c>
      <c r="P43" s="52"/>
      <c r="Q43" s="52"/>
      <c r="R43" s="53"/>
    </row>
    <row r="44" spans="2:18">
      <c r="B44" s="79" t="s">
        <v>22</v>
      </c>
      <c r="C44" s="336" t="s">
        <v>242</v>
      </c>
      <c r="D44" s="331"/>
      <c r="E44" s="331"/>
      <c r="F44" s="331"/>
      <c r="G44" s="331"/>
      <c r="H44" s="331"/>
      <c r="I44" s="331"/>
      <c r="J44" s="332"/>
      <c r="K44" s="209" t="s">
        <v>23</v>
      </c>
      <c r="L44" s="209" t="s">
        <v>23</v>
      </c>
      <c r="M44" s="255" t="s">
        <v>270</v>
      </c>
      <c r="N44" s="32" t="s">
        <v>278</v>
      </c>
      <c r="O44" s="217" t="s">
        <v>24</v>
      </c>
      <c r="P44" s="218" t="s">
        <v>25</v>
      </c>
      <c r="Q44" s="219" t="s">
        <v>26</v>
      </c>
      <c r="R44" s="143" t="s">
        <v>27</v>
      </c>
    </row>
    <row r="45" spans="2:18">
      <c r="B45" s="79" t="s">
        <v>33</v>
      </c>
      <c r="C45" s="166" t="s">
        <v>235</v>
      </c>
      <c r="D45" s="166" t="s">
        <v>235</v>
      </c>
      <c r="E45" s="166" t="s">
        <v>206</v>
      </c>
      <c r="F45" s="166" t="s">
        <v>206</v>
      </c>
      <c r="G45" s="166" t="s">
        <v>207</v>
      </c>
      <c r="H45" s="166" t="s">
        <v>207</v>
      </c>
      <c r="I45" s="166" t="s">
        <v>206</v>
      </c>
      <c r="J45" s="166" t="s">
        <v>207</v>
      </c>
      <c r="K45" s="1" t="s">
        <v>208</v>
      </c>
      <c r="L45" s="27" t="s">
        <v>208</v>
      </c>
      <c r="M45" s="256" t="s">
        <v>271</v>
      </c>
      <c r="N45" s="32" t="s">
        <v>287</v>
      </c>
      <c r="O45" s="220"/>
      <c r="P45" s="221"/>
      <c r="Q45" s="222"/>
      <c r="R45" s="86"/>
    </row>
    <row r="46" spans="2:18" ht="26">
      <c r="B46" s="80" t="s">
        <v>28</v>
      </c>
      <c r="C46" s="330" t="s">
        <v>210</v>
      </c>
      <c r="D46" s="331"/>
      <c r="E46" s="331"/>
      <c r="F46" s="331"/>
      <c r="G46" s="331"/>
      <c r="H46" s="331"/>
      <c r="I46" s="331"/>
      <c r="J46" s="332"/>
      <c r="K46" s="1" t="s">
        <v>296</v>
      </c>
      <c r="L46" s="27" t="s">
        <v>296</v>
      </c>
      <c r="M46" s="256" t="s">
        <v>124</v>
      </c>
      <c r="N46" s="33"/>
      <c r="O46" s="220"/>
      <c r="P46" s="221"/>
      <c r="Q46" s="222"/>
      <c r="R46" s="86"/>
    </row>
    <row r="47" spans="2:18" ht="131">
      <c r="B47" s="79" t="s">
        <v>29</v>
      </c>
      <c r="C47" s="167" t="s">
        <v>243</v>
      </c>
      <c r="D47" s="167" t="s">
        <v>62</v>
      </c>
      <c r="E47" s="167" t="s">
        <v>244</v>
      </c>
      <c r="F47" s="167" t="s">
        <v>213</v>
      </c>
      <c r="G47" s="167" t="s">
        <v>214</v>
      </c>
      <c r="H47" s="167" t="s">
        <v>245</v>
      </c>
      <c r="I47" s="167" t="s">
        <v>246</v>
      </c>
      <c r="J47" s="167" t="s">
        <v>247</v>
      </c>
      <c r="K47" s="1" t="s">
        <v>291</v>
      </c>
      <c r="L47" s="27" t="s">
        <v>285</v>
      </c>
      <c r="M47" s="27" t="s">
        <v>273</v>
      </c>
      <c r="N47" s="32" t="s">
        <v>217</v>
      </c>
      <c r="O47" s="220"/>
      <c r="P47" s="221"/>
      <c r="Q47" s="222"/>
      <c r="R47" s="86"/>
    </row>
    <row r="48" spans="2:18" ht="65.5" thickBot="1">
      <c r="B48" s="81" t="s">
        <v>30</v>
      </c>
      <c r="C48" s="168" t="s">
        <v>220</v>
      </c>
      <c r="D48" s="168" t="s">
        <v>206</v>
      </c>
      <c r="E48" s="168" t="s">
        <v>218</v>
      </c>
      <c r="F48" s="168" t="s">
        <v>219</v>
      </c>
      <c r="G48" s="168" t="s">
        <v>219</v>
      </c>
      <c r="H48" s="168" t="s">
        <v>218</v>
      </c>
      <c r="I48" s="168" t="s">
        <v>219</v>
      </c>
      <c r="J48" s="168" t="s">
        <v>218</v>
      </c>
      <c r="K48" s="28" t="s">
        <v>248</v>
      </c>
      <c r="L48" s="28" t="s">
        <v>222</v>
      </c>
      <c r="M48" s="28" t="s">
        <v>272</v>
      </c>
      <c r="N48" s="34" t="s">
        <v>263</v>
      </c>
      <c r="O48" s="223"/>
      <c r="P48" s="224"/>
      <c r="Q48" s="225" t="s">
        <v>197</v>
      </c>
      <c r="R48" s="226"/>
    </row>
    <row r="49" spans="2:18" ht="13.5" thickTop="1">
      <c r="B49" s="82" t="s">
        <v>297</v>
      </c>
      <c r="C49" s="169" t="s">
        <v>159</v>
      </c>
      <c r="D49" s="169" t="s">
        <v>159</v>
      </c>
      <c r="E49" s="169" t="s">
        <v>159</v>
      </c>
      <c r="F49" s="169" t="s">
        <v>159</v>
      </c>
      <c r="G49" s="169" t="s">
        <v>159</v>
      </c>
      <c r="H49" s="169" t="s">
        <v>159</v>
      </c>
      <c r="I49" s="169" t="s">
        <v>159</v>
      </c>
      <c r="J49" s="169" t="s">
        <v>159</v>
      </c>
      <c r="K49" s="38" t="s">
        <v>249</v>
      </c>
      <c r="L49" s="39" t="s">
        <v>226</v>
      </c>
      <c r="M49" s="227" t="s">
        <v>226</v>
      </c>
      <c r="N49" s="228" t="s">
        <v>32</v>
      </c>
      <c r="O49" s="229"/>
      <c r="P49" s="230"/>
      <c r="Q49" s="135" t="s">
        <v>124</v>
      </c>
      <c r="R49" s="199"/>
    </row>
    <row r="50" spans="2:18">
      <c r="B50" s="82" t="s">
        <v>298</v>
      </c>
      <c r="C50" s="170" t="s">
        <v>159</v>
      </c>
      <c r="D50" s="170" t="s">
        <v>159</v>
      </c>
      <c r="E50" s="170" t="s">
        <v>159</v>
      </c>
      <c r="F50" s="170" t="s">
        <v>159</v>
      </c>
      <c r="G50" s="170" t="s">
        <v>159</v>
      </c>
      <c r="H50" s="170" t="s">
        <v>159</v>
      </c>
      <c r="I50" s="170" t="s">
        <v>159</v>
      </c>
      <c r="J50" s="170" t="s">
        <v>159</v>
      </c>
      <c r="K50" s="203" t="s">
        <v>250</v>
      </c>
      <c r="L50" s="37" t="s">
        <v>225</v>
      </c>
      <c r="M50" s="231" t="s">
        <v>232</v>
      </c>
      <c r="N50" s="42" t="s">
        <v>251</v>
      </c>
      <c r="O50" s="232"/>
      <c r="P50" s="233"/>
      <c r="Q50" s="135" t="s">
        <v>124</v>
      </c>
      <c r="R50" s="200"/>
    </row>
    <row r="51" spans="2:18">
      <c r="B51" s="82" t="s">
        <v>299</v>
      </c>
      <c r="C51" s="170" t="s">
        <v>159</v>
      </c>
      <c r="D51" s="170" t="s">
        <v>159</v>
      </c>
      <c r="E51" s="170" t="s">
        <v>159</v>
      </c>
      <c r="F51" s="170" t="s">
        <v>159</v>
      </c>
      <c r="G51" s="170" t="s">
        <v>159</v>
      </c>
      <c r="H51" s="170" t="s">
        <v>159</v>
      </c>
      <c r="I51" s="170" t="s">
        <v>159</v>
      </c>
      <c r="J51" s="170" t="s">
        <v>159</v>
      </c>
      <c r="K51" s="203" t="s">
        <v>250</v>
      </c>
      <c r="L51" s="37" t="s">
        <v>228</v>
      </c>
      <c r="M51" s="231" t="s">
        <v>226</v>
      </c>
      <c r="N51" s="42" t="s">
        <v>32</v>
      </c>
      <c r="O51" s="232"/>
      <c r="P51" s="233"/>
      <c r="Q51" s="135" t="s">
        <v>124</v>
      </c>
      <c r="R51" s="200"/>
    </row>
    <row r="52" spans="2:18">
      <c r="B52" s="82" t="s">
        <v>300</v>
      </c>
      <c r="C52" s="170" t="s">
        <v>159</v>
      </c>
      <c r="D52" s="170" t="s">
        <v>159</v>
      </c>
      <c r="E52" s="170" t="s">
        <v>159</v>
      </c>
      <c r="F52" s="170" t="s">
        <v>159</v>
      </c>
      <c r="G52" s="170" t="s">
        <v>159</v>
      </c>
      <c r="H52" s="170" t="s">
        <v>159</v>
      </c>
      <c r="I52" s="170" t="s">
        <v>159</v>
      </c>
      <c r="J52" s="170" t="s">
        <v>159</v>
      </c>
      <c r="K52" s="69" t="s">
        <v>250</v>
      </c>
      <c r="L52" s="234" t="s">
        <v>231</v>
      </c>
      <c r="M52" s="215" t="s">
        <v>231</v>
      </c>
      <c r="N52" s="235" t="s">
        <v>252</v>
      </c>
      <c r="O52" s="232"/>
      <c r="P52" s="233"/>
      <c r="Q52" s="69" t="s">
        <v>253</v>
      </c>
      <c r="R52" s="200"/>
    </row>
    <row r="53" spans="2:18">
      <c r="B53" s="82" t="s">
        <v>301</v>
      </c>
      <c r="C53" s="170" t="s">
        <v>159</v>
      </c>
      <c r="D53" s="170" t="s">
        <v>159</v>
      </c>
      <c r="E53" s="170" t="s">
        <v>159</v>
      </c>
      <c r="F53" s="170" t="s">
        <v>159</v>
      </c>
      <c r="G53" s="170" t="s">
        <v>159</v>
      </c>
      <c r="H53" s="170" t="s">
        <v>159</v>
      </c>
      <c r="I53" s="170" t="s">
        <v>159</v>
      </c>
      <c r="J53" s="170" t="s">
        <v>159</v>
      </c>
      <c r="K53" s="69" t="s">
        <v>254</v>
      </c>
      <c r="L53" s="234" t="s">
        <v>255</v>
      </c>
      <c r="M53" s="215" t="s">
        <v>226</v>
      </c>
      <c r="N53" s="235" t="s">
        <v>236</v>
      </c>
      <c r="O53" s="232"/>
      <c r="P53" s="233"/>
      <c r="Q53" s="135" t="s">
        <v>124</v>
      </c>
      <c r="R53" s="200"/>
    </row>
    <row r="54" spans="2:18">
      <c r="B54" s="82" t="s">
        <v>302</v>
      </c>
      <c r="C54" s="170" t="s">
        <v>159</v>
      </c>
      <c r="D54" s="170" t="s">
        <v>159</v>
      </c>
      <c r="E54" s="170" t="s">
        <v>159</v>
      </c>
      <c r="F54" s="170" t="s">
        <v>159</v>
      </c>
      <c r="G54" s="170" t="s">
        <v>159</v>
      </c>
      <c r="H54" s="170" t="s">
        <v>159</v>
      </c>
      <c r="I54" s="170" t="s">
        <v>159</v>
      </c>
      <c r="J54" s="170" t="s">
        <v>159</v>
      </c>
      <c r="K54" s="69" t="s">
        <v>254</v>
      </c>
      <c r="L54" s="234" t="s">
        <v>255</v>
      </c>
      <c r="M54" s="215" t="s">
        <v>228</v>
      </c>
      <c r="N54" s="235" t="s">
        <v>105</v>
      </c>
      <c r="O54" s="232"/>
      <c r="P54" s="233"/>
      <c r="Q54" s="135" t="s">
        <v>124</v>
      </c>
      <c r="R54" s="200"/>
    </row>
    <row r="55" spans="2:18">
      <c r="B55" s="82" t="s">
        <v>303</v>
      </c>
      <c r="C55" s="170" t="s">
        <v>159</v>
      </c>
      <c r="D55" s="170" t="s">
        <v>159</v>
      </c>
      <c r="E55" s="170" t="s">
        <v>159</v>
      </c>
      <c r="F55" s="170" t="s">
        <v>159</v>
      </c>
      <c r="G55" s="170" t="s">
        <v>159</v>
      </c>
      <c r="H55" s="170" t="s">
        <v>159</v>
      </c>
      <c r="I55" s="170" t="s">
        <v>159</v>
      </c>
      <c r="J55" s="170" t="s">
        <v>159</v>
      </c>
      <c r="K55" s="69" t="s">
        <v>256</v>
      </c>
      <c r="L55" s="234" t="s">
        <v>255</v>
      </c>
      <c r="M55" s="215" t="s">
        <v>226</v>
      </c>
      <c r="N55" s="235" t="s">
        <v>105</v>
      </c>
      <c r="O55" s="232"/>
      <c r="P55" s="233"/>
      <c r="Q55" s="135" t="s">
        <v>124</v>
      </c>
      <c r="R55" s="200"/>
    </row>
    <row r="56" spans="2:18">
      <c r="B56" s="82" t="s">
        <v>304</v>
      </c>
      <c r="C56" s="170" t="s">
        <v>159</v>
      </c>
      <c r="D56" s="170" t="s">
        <v>159</v>
      </c>
      <c r="E56" s="170" t="s">
        <v>159</v>
      </c>
      <c r="F56" s="170" t="s">
        <v>159</v>
      </c>
      <c r="G56" s="170" t="s">
        <v>159</v>
      </c>
      <c r="H56" s="170" t="s">
        <v>159</v>
      </c>
      <c r="I56" s="170" t="s">
        <v>159</v>
      </c>
      <c r="J56" s="170" t="s">
        <v>159</v>
      </c>
      <c r="K56" s="69" t="s">
        <v>256</v>
      </c>
      <c r="L56" s="234" t="s">
        <v>255</v>
      </c>
      <c r="M56" s="215" t="s">
        <v>231</v>
      </c>
      <c r="N56" s="235" t="s">
        <v>105</v>
      </c>
      <c r="O56" s="232"/>
      <c r="P56" s="233"/>
      <c r="Q56" s="135" t="s">
        <v>124</v>
      </c>
      <c r="R56" s="200"/>
    </row>
    <row r="57" spans="2:18">
      <c r="B57" s="82" t="s">
        <v>305</v>
      </c>
      <c r="C57" s="170" t="s">
        <v>159</v>
      </c>
      <c r="D57" s="170" t="s">
        <v>159</v>
      </c>
      <c r="E57" s="170" t="s">
        <v>159</v>
      </c>
      <c r="F57" s="170" t="s">
        <v>159</v>
      </c>
      <c r="G57" s="170" t="s">
        <v>159</v>
      </c>
      <c r="H57" s="170" t="s">
        <v>159</v>
      </c>
      <c r="I57" s="170" t="s">
        <v>159</v>
      </c>
      <c r="J57" s="170" t="s">
        <v>159</v>
      </c>
      <c r="K57" s="135" t="s">
        <v>258</v>
      </c>
      <c r="L57" s="234" t="s">
        <v>255</v>
      </c>
      <c r="M57" s="214" t="s">
        <v>227</v>
      </c>
      <c r="N57" s="235" t="s">
        <v>105</v>
      </c>
      <c r="O57" s="232"/>
      <c r="P57" s="233"/>
      <c r="Q57" s="135" t="s">
        <v>124</v>
      </c>
      <c r="R57" s="200"/>
    </row>
    <row r="58" spans="2:18">
      <c r="B58" s="82" t="s">
        <v>306</v>
      </c>
      <c r="C58" s="170" t="s">
        <v>159</v>
      </c>
      <c r="D58" s="170" t="s">
        <v>159</v>
      </c>
      <c r="E58" s="170" t="s">
        <v>159</v>
      </c>
      <c r="F58" s="170" t="s">
        <v>159</v>
      </c>
      <c r="G58" s="170" t="s">
        <v>159</v>
      </c>
      <c r="H58" s="170" t="s">
        <v>159</v>
      </c>
      <c r="I58" s="170" t="s">
        <v>159</v>
      </c>
      <c r="J58" s="170" t="s">
        <v>159</v>
      </c>
      <c r="K58" s="69" t="s">
        <v>258</v>
      </c>
      <c r="L58" s="234" t="s">
        <v>255</v>
      </c>
      <c r="M58" s="215" t="s">
        <v>231</v>
      </c>
      <c r="N58" s="235" t="s">
        <v>105</v>
      </c>
      <c r="O58" s="232"/>
      <c r="P58" s="233"/>
      <c r="Q58" s="135" t="s">
        <v>124</v>
      </c>
      <c r="R58" s="200"/>
    </row>
    <row r="59" spans="2:18" ht="13.5" thickBot="1">
      <c r="B59" s="22" t="s">
        <v>264</v>
      </c>
      <c r="C59" s="171" t="s">
        <v>159</v>
      </c>
      <c r="D59" s="171" t="s">
        <v>159</v>
      </c>
      <c r="E59" s="171" t="s">
        <v>159</v>
      </c>
      <c r="F59" s="171" t="s">
        <v>159</v>
      </c>
      <c r="G59" s="171" t="s">
        <v>159</v>
      </c>
      <c r="H59" s="171" t="s">
        <v>159</v>
      </c>
      <c r="I59" s="171" t="s">
        <v>159</v>
      </c>
      <c r="J59" s="171" t="s">
        <v>159</v>
      </c>
      <c r="K59" s="44" t="s">
        <v>259</v>
      </c>
      <c r="L59" s="202" t="s">
        <v>255</v>
      </c>
      <c r="M59" s="236" t="s">
        <v>257</v>
      </c>
      <c r="N59" s="45" t="s">
        <v>32</v>
      </c>
      <c r="O59" s="237"/>
      <c r="P59" s="238"/>
      <c r="Q59" s="239" t="s">
        <v>124</v>
      </c>
      <c r="R59" s="201"/>
    </row>
    <row r="145" spans="43:48" ht="13.5" thickBot="1"/>
    <row r="146" spans="43:48">
      <c r="AQ146" s="240"/>
      <c r="AR146" s="241"/>
      <c r="AS146" s="241"/>
      <c r="AT146" s="241"/>
      <c r="AU146" s="241"/>
      <c r="AV146" s="242"/>
    </row>
    <row r="147" spans="43:48">
      <c r="AQ147" s="243"/>
      <c r="AR147" s="244" t="s">
        <v>265</v>
      </c>
      <c r="AS147" s="245"/>
      <c r="AT147" s="245"/>
      <c r="AU147" s="244"/>
      <c r="AV147" s="155"/>
    </row>
    <row r="148" spans="43:48">
      <c r="AQ148" s="246"/>
      <c r="AR148" s="244"/>
      <c r="AS148" s="244"/>
      <c r="AT148" s="244"/>
      <c r="AU148" s="244"/>
      <c r="AV148" s="155"/>
    </row>
    <row r="149" spans="43:48">
      <c r="AQ149" s="243"/>
      <c r="AR149" s="244"/>
      <c r="AS149" s="244"/>
      <c r="AT149" s="244"/>
      <c r="AU149" s="244"/>
      <c r="AV149" s="155"/>
    </row>
    <row r="150" spans="43:48">
      <c r="AQ150" s="243"/>
      <c r="AR150" s="244" t="s">
        <v>266</v>
      </c>
      <c r="AS150" s="244"/>
      <c r="AT150" s="244"/>
      <c r="AU150" s="244"/>
      <c r="AV150" s="155"/>
    </row>
    <row r="151" spans="43:48">
      <c r="AQ151" s="243"/>
      <c r="AS151" s="247" t="s">
        <v>267</v>
      </c>
      <c r="AT151" s="248"/>
      <c r="AU151" s="249" t="s">
        <v>268</v>
      </c>
      <c r="AV151" s="155"/>
    </row>
    <row r="152" spans="43:48" ht="13.5" thickBot="1">
      <c r="AQ152" s="250"/>
      <c r="AR152" s="251"/>
      <c r="AS152" s="252"/>
      <c r="AT152" s="251" t="s">
        <v>269</v>
      </c>
      <c r="AU152" s="251"/>
      <c r="AV152" s="253"/>
    </row>
    <row r="153" spans="43:48">
      <c r="AS153" s="254"/>
      <c r="AT153" s="244"/>
      <c r="AU153" s="244"/>
    </row>
  </sheetData>
  <mergeCells count="5">
    <mergeCell ref="C46:J46"/>
    <mergeCell ref="C7:J7"/>
    <mergeCell ref="C42:J42"/>
    <mergeCell ref="C44:J44"/>
    <mergeCell ref="C9:J9"/>
  </mergeCells>
  <phoneticPr fontId="2"/>
  <dataValidations disablePrompts="1" count="1">
    <dataValidation type="list" allowBlank="1" showInputMessage="1" showErrorMessage="1" sqref="C7 C42"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93" t="s">
        <v>82</v>
      </c>
      <c r="C2" s="94">
        <f>MAX(B4:B28)</f>
        <v>19</v>
      </c>
      <c r="D2" s="94"/>
    </row>
    <row r="3" spans="2:4" ht="13.5" thickBot="1">
      <c r="B3" s="87" t="s">
        <v>82</v>
      </c>
      <c r="C3" s="95" t="s">
        <v>86</v>
      </c>
      <c r="D3" s="88" t="s">
        <v>83</v>
      </c>
    </row>
    <row r="4" spans="2:4" ht="13.5" thickTop="1">
      <c r="B4" s="12">
        <v>0</v>
      </c>
      <c r="C4" s="96" t="s">
        <v>87</v>
      </c>
      <c r="D4" s="14" t="s">
        <v>20</v>
      </c>
    </row>
    <row r="5" spans="2:4" ht="39">
      <c r="B5" s="2">
        <v>1</v>
      </c>
      <c r="C5" s="97" t="s">
        <v>87</v>
      </c>
      <c r="D5" s="99" t="s">
        <v>88</v>
      </c>
    </row>
    <row r="6" spans="2:4" ht="26">
      <c r="B6" s="2">
        <v>2</v>
      </c>
      <c r="C6" s="97" t="s">
        <v>90</v>
      </c>
      <c r="D6" s="99" t="s">
        <v>91</v>
      </c>
    </row>
    <row r="7" spans="2:4" ht="52">
      <c r="B7" s="2">
        <v>3</v>
      </c>
      <c r="C7" s="97" t="s">
        <v>87</v>
      </c>
      <c r="D7" s="99" t="s">
        <v>94</v>
      </c>
    </row>
    <row r="8" spans="2:4" ht="78">
      <c r="B8" s="2">
        <v>4</v>
      </c>
      <c r="C8" s="97" t="s">
        <v>102</v>
      </c>
      <c r="D8" s="99" t="s">
        <v>108</v>
      </c>
    </row>
    <row r="9" spans="2:4" ht="41.25" customHeight="1">
      <c r="B9" s="2">
        <v>5</v>
      </c>
      <c r="C9" s="97" t="s">
        <v>103</v>
      </c>
      <c r="D9" s="99" t="s">
        <v>104</v>
      </c>
    </row>
    <row r="10" spans="2:4" ht="26">
      <c r="B10" s="2">
        <v>6</v>
      </c>
      <c r="C10" s="97" t="s">
        <v>87</v>
      </c>
      <c r="D10" s="99" t="s">
        <v>107</v>
      </c>
    </row>
    <row r="11" spans="2:4" ht="26">
      <c r="B11" s="2">
        <v>7</v>
      </c>
      <c r="C11" s="97" t="s">
        <v>102</v>
      </c>
      <c r="D11" s="99" t="s">
        <v>106</v>
      </c>
    </row>
    <row r="12" spans="2:4" ht="26">
      <c r="B12" s="2">
        <v>8</v>
      </c>
      <c r="C12" s="97" t="s">
        <v>87</v>
      </c>
      <c r="D12" s="99" t="s">
        <v>109</v>
      </c>
    </row>
    <row r="13" spans="2:4" ht="26">
      <c r="B13" s="2">
        <v>9</v>
      </c>
      <c r="C13" s="97" t="s">
        <v>87</v>
      </c>
      <c r="D13" s="99" t="s">
        <v>110</v>
      </c>
    </row>
    <row r="14" spans="2:4" ht="26">
      <c r="B14" s="2">
        <v>10</v>
      </c>
      <c r="C14" s="97" t="s">
        <v>111</v>
      </c>
      <c r="D14" s="99" t="s">
        <v>112</v>
      </c>
    </row>
    <row r="15" spans="2:4" ht="130">
      <c r="B15" s="2">
        <v>11</v>
      </c>
      <c r="C15" s="97" t="s">
        <v>87</v>
      </c>
      <c r="D15" s="99" t="s">
        <v>125</v>
      </c>
    </row>
    <row r="16" spans="2:4" ht="191.25" customHeight="1">
      <c r="B16" s="2">
        <v>12</v>
      </c>
      <c r="C16" s="97" t="s">
        <v>153</v>
      </c>
      <c r="D16" s="99" t="s">
        <v>163</v>
      </c>
    </row>
    <row r="17" spans="2:4" ht="26">
      <c r="B17" s="2">
        <v>13</v>
      </c>
      <c r="C17" s="97" t="s">
        <v>90</v>
      </c>
      <c r="D17" s="99" t="s">
        <v>166</v>
      </c>
    </row>
    <row r="18" spans="2:4" ht="91">
      <c r="B18" s="2">
        <v>14</v>
      </c>
      <c r="C18" s="97" t="s">
        <v>90</v>
      </c>
      <c r="D18" s="99" t="s">
        <v>168</v>
      </c>
    </row>
    <row r="19" spans="2:4" ht="39">
      <c r="B19" s="2">
        <v>15</v>
      </c>
      <c r="C19" s="97" t="s">
        <v>103</v>
      </c>
      <c r="D19" s="99" t="s">
        <v>172</v>
      </c>
    </row>
    <row r="20" spans="2:4" ht="64.5" customHeight="1">
      <c r="B20" s="2">
        <v>16</v>
      </c>
      <c r="C20" s="97" t="s">
        <v>103</v>
      </c>
      <c r="D20" s="99" t="s">
        <v>176</v>
      </c>
    </row>
    <row r="21" spans="2:4" ht="66.75" customHeight="1">
      <c r="B21" s="2">
        <v>17</v>
      </c>
      <c r="C21" s="97" t="s">
        <v>102</v>
      </c>
      <c r="D21" s="99" t="s">
        <v>191</v>
      </c>
    </row>
    <row r="22" spans="2:4" ht="26">
      <c r="B22" s="2">
        <v>18</v>
      </c>
      <c r="C22" s="97" t="s">
        <v>282</v>
      </c>
      <c r="D22" s="99" t="s">
        <v>283</v>
      </c>
    </row>
    <row r="23" spans="2:4" ht="26">
      <c r="B23" s="2">
        <v>19</v>
      </c>
      <c r="C23" s="97" t="s">
        <v>282</v>
      </c>
      <c r="D23" s="99" t="s">
        <v>284</v>
      </c>
    </row>
    <row r="24" spans="2:4">
      <c r="B24" s="2"/>
      <c r="C24" s="97"/>
      <c r="D24" s="99"/>
    </row>
    <row r="25" spans="2:4">
      <c r="B25" s="2"/>
      <c r="C25" s="97"/>
      <c r="D25" s="83"/>
    </row>
    <row r="26" spans="2:4">
      <c r="B26" s="2"/>
      <c r="C26" s="97"/>
      <c r="D26" s="83"/>
    </row>
    <row r="27" spans="2:4" ht="13.5" thickBot="1">
      <c r="B27" s="3"/>
      <c r="C27" s="9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2024-11-07T12:07:07Z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6d39d429-751b-4d20-abc3-540c301ec0bf</vt:lpwstr>
  </property>
  <property fmtid="{D5CDD505-2E9C-101B-9397-08002B2CF9AE}" pid="8" name="MSIP_Label_6add209e-37c4-4e15-ab1b-f9befe71def1_ContentBits">
    <vt:lpwstr>0</vt:lpwstr>
  </property>
</Properties>
</file>