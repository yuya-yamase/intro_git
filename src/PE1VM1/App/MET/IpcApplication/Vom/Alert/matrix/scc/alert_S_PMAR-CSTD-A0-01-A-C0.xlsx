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Z10035B22030582\dn-cdc-mcu-AA_BEVS3_CDC_MCU_020_削除対応\src\PE1VM1\App\MET\IpcApplication\Vom\Alert\matrix\scc\"/>
    </mc:Choice>
  </mc:AlternateContent>
  <xr:revisionPtr revIDLastSave="0" documentId="13_ncr:1_{9E735B8B-6805-4B82-8059-77232BFFF4D8}" xr6:coauthVersionLast="47" xr6:coauthVersionMax="47" xr10:uidLastSave="{00000000-0000-0000-0000-000000000000}"/>
  <bookViews>
    <workbookView xWindow="-120" yWindow="-120" windowWidth="29040" windowHeight="15720" tabRatio="673" activeTab="2" xr2:uid="{00000000-000D-0000-FFFF-FFFF00000000}"/>
  </bookViews>
  <sheets>
    <sheet name="表紙" sheetId="1" r:id="rId1"/>
    <sheet name="はじめに" sheetId="10" r:id="rId2"/>
    <sheet name="Matrix" sheetId="14" r:id="rId3"/>
    <sheet name="Config_IF" sheetId="13" r:id="rId4"/>
    <sheet name="CH_Design" sheetId="5" r:id="rId5"/>
    <sheet name="S_PMAR" sheetId="8" r:id="rId6"/>
    <sheet name="Reference" sheetId="12" r:id="rId7"/>
    <sheet name="History" sheetId="7" r:id="rId8"/>
  </sheets>
  <definedNames>
    <definedName name="Z_835E1E8D_859C_4113_A3E5_0B83A29207D2_.wvu.Cols" localSheetId="2" hidden="1">Matrix!$I:$N</definedName>
    <definedName name="Z_835E1E8D_859C_4113_A3E5_0B83A29207D2_.wvu.Rows" localSheetId="3" hidden="1">Config_IF!#REF!,Config_IF!$34:$34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8" l="1"/>
  <c r="AU10" i="8"/>
  <c r="E36" i="13" l="1"/>
  <c r="E37" i="13"/>
  <c r="E38" i="13"/>
  <c r="E39" i="13"/>
  <c r="E40" i="13"/>
  <c r="E41" i="13"/>
  <c r="E42" i="13"/>
  <c r="E43" i="13"/>
  <c r="E44" i="13"/>
  <c r="E45" i="13"/>
  <c r="E46" i="13"/>
  <c r="E47" i="13"/>
  <c r="E48" i="13"/>
  <c r="E49" i="13"/>
  <c r="E50" i="13"/>
  <c r="E51" i="13"/>
  <c r="E52" i="13"/>
  <c r="E53" i="13"/>
  <c r="E54" i="13"/>
  <c r="E55" i="13"/>
  <c r="E56" i="13"/>
  <c r="E57" i="13"/>
  <c r="E58" i="13"/>
  <c r="E59" i="13"/>
  <c r="E35" i="13"/>
  <c r="E6" i="13"/>
  <c r="E7" i="13"/>
  <c r="E8" i="13"/>
  <c r="E9" i="13"/>
  <c r="E10" i="13"/>
  <c r="E11" i="13"/>
  <c r="E12" i="13"/>
  <c r="E13" i="13"/>
  <c r="E14" i="13"/>
  <c r="E15" i="13"/>
  <c r="E16" i="13"/>
  <c r="E17" i="13"/>
  <c r="E18" i="13"/>
  <c r="E19" i="13"/>
  <c r="E20" i="13"/>
  <c r="E21" i="13"/>
  <c r="E22" i="13"/>
  <c r="E23" i="13"/>
  <c r="E24" i="13"/>
  <c r="E25" i="13"/>
  <c r="E26" i="13"/>
  <c r="E27" i="13"/>
  <c r="E28" i="13"/>
  <c r="E29" i="13"/>
  <c r="C2" i="7" l="1"/>
  <c r="B3" i="8"/>
  <c r="AW6" i="8" l="1"/>
  <c r="AW7" i="8"/>
  <c r="AW13" i="8"/>
  <c r="M37" i="14" l="1"/>
  <c r="N37" i="14" s="1"/>
  <c r="I37" i="14"/>
  <c r="H37" i="14"/>
  <c r="G37" i="14"/>
  <c r="F37" i="14"/>
  <c r="M36" i="14"/>
  <c r="N36" i="14" s="1"/>
  <c r="I36" i="14"/>
  <c r="H36" i="14"/>
  <c r="G36" i="14"/>
  <c r="F36" i="14"/>
  <c r="M35" i="14"/>
  <c r="N35" i="14" s="1"/>
  <c r="I35" i="14"/>
  <c r="H35" i="14"/>
  <c r="G35" i="14"/>
  <c r="F35" i="14"/>
  <c r="M34" i="14"/>
  <c r="N34" i="14" s="1"/>
  <c r="I34" i="14"/>
  <c r="H34" i="14"/>
  <c r="G34" i="14"/>
  <c r="F34" i="14"/>
  <c r="M33" i="14"/>
  <c r="N33" i="14" s="1"/>
  <c r="I33" i="14"/>
  <c r="H33" i="14"/>
  <c r="G33" i="14"/>
  <c r="F33" i="14"/>
  <c r="M32" i="14"/>
  <c r="N32" i="14" s="1"/>
  <c r="I32" i="14"/>
  <c r="H32" i="14"/>
  <c r="G32" i="14"/>
  <c r="F32" i="14"/>
  <c r="M31" i="14"/>
  <c r="N31" i="14" s="1"/>
  <c r="I31" i="14"/>
  <c r="H31" i="14"/>
  <c r="G31" i="14"/>
  <c r="F31" i="14"/>
  <c r="N30" i="14"/>
  <c r="M30" i="14"/>
  <c r="I30" i="14"/>
  <c r="H30" i="14"/>
  <c r="G30" i="14"/>
  <c r="F30" i="14"/>
  <c r="M29" i="14"/>
  <c r="N29" i="14" s="1"/>
  <c r="I29" i="14"/>
  <c r="H29" i="14"/>
  <c r="G29" i="14"/>
  <c r="F29" i="14"/>
  <c r="M28" i="14"/>
  <c r="N28" i="14" s="1"/>
  <c r="I28" i="14"/>
  <c r="H28" i="14"/>
  <c r="G28" i="14"/>
  <c r="F28" i="14"/>
  <c r="N27" i="14"/>
  <c r="M27" i="14"/>
  <c r="I27" i="14"/>
  <c r="H27" i="14"/>
  <c r="G27" i="14"/>
  <c r="F27" i="14"/>
  <c r="N26" i="14"/>
  <c r="M26" i="14"/>
  <c r="I26" i="14"/>
  <c r="H26" i="14"/>
  <c r="G26" i="14"/>
  <c r="F26" i="14"/>
  <c r="M25" i="14"/>
  <c r="N25" i="14" s="1"/>
  <c r="I25" i="14"/>
  <c r="H25" i="14"/>
  <c r="G25" i="14"/>
  <c r="F25" i="14"/>
  <c r="M24" i="14"/>
  <c r="N24" i="14" s="1"/>
  <c r="I24" i="14"/>
  <c r="H24" i="14"/>
  <c r="G24" i="14"/>
  <c r="F24" i="14"/>
  <c r="N23" i="14"/>
  <c r="M23" i="14"/>
  <c r="I23" i="14"/>
  <c r="H23" i="14"/>
  <c r="G23" i="14"/>
  <c r="F23" i="14"/>
  <c r="M22" i="14"/>
  <c r="N22" i="14" s="1"/>
  <c r="I22" i="14"/>
  <c r="H22" i="14"/>
  <c r="G22" i="14"/>
  <c r="F22" i="14"/>
  <c r="M21" i="14"/>
  <c r="N21" i="14" s="1"/>
  <c r="I21" i="14"/>
  <c r="H21" i="14"/>
  <c r="G21" i="14"/>
  <c r="F21" i="14"/>
  <c r="M20" i="14"/>
  <c r="N20" i="14" s="1"/>
  <c r="I20" i="14"/>
  <c r="H20" i="14"/>
  <c r="G20" i="14"/>
  <c r="F20" i="14"/>
  <c r="M19" i="14"/>
  <c r="N19" i="14" s="1"/>
  <c r="I19" i="14"/>
  <c r="H19" i="14"/>
  <c r="G19" i="14"/>
  <c r="F19" i="14"/>
  <c r="M18" i="14"/>
  <c r="N18" i="14" s="1"/>
  <c r="I18" i="14"/>
  <c r="H18" i="14"/>
  <c r="G18" i="14"/>
  <c r="F18" i="14"/>
  <c r="M17" i="14"/>
  <c r="N17" i="14" s="1"/>
  <c r="I17" i="14"/>
  <c r="H17" i="14"/>
  <c r="G17" i="14"/>
  <c r="F17" i="14"/>
  <c r="M16" i="14"/>
  <c r="N16" i="14" s="1"/>
  <c r="I16" i="14"/>
  <c r="H16" i="14"/>
  <c r="G16" i="14"/>
  <c r="F16" i="14"/>
  <c r="M15" i="14"/>
  <c r="N15" i="14" s="1"/>
  <c r="G15" i="14"/>
  <c r="M14" i="14"/>
  <c r="N14" i="14" s="1"/>
  <c r="M13" i="14"/>
  <c r="N13" i="14" s="1"/>
  <c r="G13" i="14"/>
  <c r="D7" i="14"/>
  <c r="G37" i="13" l="1"/>
  <c r="G38" i="13"/>
  <c r="G39" i="13"/>
  <c r="G42" i="13"/>
  <c r="G43" i="13"/>
  <c r="G44" i="13"/>
  <c r="G45" i="13"/>
  <c r="G46" i="13"/>
  <c r="G47" i="13"/>
  <c r="G50" i="13"/>
  <c r="G52" i="13"/>
  <c r="G53" i="13"/>
  <c r="G54" i="13"/>
  <c r="G55" i="13"/>
  <c r="G58" i="13"/>
  <c r="G40" i="13"/>
  <c r="G48" i="13"/>
  <c r="G56" i="13"/>
  <c r="G6" i="13"/>
  <c r="G7" i="13"/>
  <c r="G8" i="13"/>
  <c r="G9" i="13"/>
  <c r="G11" i="13"/>
  <c r="G15" i="13"/>
  <c r="G16" i="13"/>
  <c r="G17" i="13"/>
  <c r="G18" i="13"/>
  <c r="G19" i="13"/>
  <c r="G21" i="13"/>
  <c r="G22" i="13"/>
  <c r="G23" i="13"/>
  <c r="G24" i="13"/>
  <c r="G25" i="13"/>
  <c r="G27" i="13"/>
  <c r="G28" i="13"/>
  <c r="G59" i="13"/>
  <c r="G57" i="13"/>
  <c r="G51" i="13"/>
  <c r="G49" i="13"/>
  <c r="G41" i="13"/>
  <c r="G36" i="13"/>
  <c r="G35" i="13"/>
  <c r="G29" i="13"/>
  <c r="G26" i="13"/>
  <c r="G20" i="13"/>
  <c r="G14" i="13"/>
  <c r="G13" i="13"/>
  <c r="G12" i="13"/>
  <c r="G10" i="13"/>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S6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S6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L192" i="8" s="1"/>
  <c r="AA192" i="8"/>
  <c r="Z192" i="8"/>
  <c r="Y192" i="8"/>
  <c r="X192" i="8"/>
  <c r="W192" i="8"/>
  <c r="V192" i="8"/>
  <c r="U192" i="8"/>
  <c r="T192" i="8"/>
  <c r="S192" i="8"/>
  <c r="R192" i="8"/>
  <c r="Q192" i="8"/>
  <c r="P192" i="8"/>
  <c r="O192" i="8"/>
  <c r="N192" i="8"/>
  <c r="M192" i="8"/>
  <c r="L192" i="8"/>
  <c r="K192" i="8"/>
  <c r="J192" i="8"/>
  <c r="I192" i="8"/>
  <c r="H192" i="8"/>
  <c r="G192" i="8"/>
  <c r="F192" i="8"/>
  <c r="E192" i="8"/>
  <c r="D192" i="8"/>
  <c r="AO192" i="8" s="1"/>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S52" i="8" s="1"/>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L179" i="8" s="1"/>
  <c r="AA179" i="8"/>
  <c r="Z179" i="8"/>
  <c r="Y179" i="8"/>
  <c r="X179" i="8"/>
  <c r="W179" i="8"/>
  <c r="V179" i="8"/>
  <c r="U179" i="8"/>
  <c r="T179" i="8"/>
  <c r="AM179" i="8" s="1"/>
  <c r="S179" i="8"/>
  <c r="R179" i="8"/>
  <c r="Q179" i="8"/>
  <c r="P179" i="8"/>
  <c r="O179" i="8"/>
  <c r="N179" i="8"/>
  <c r="M179" i="8"/>
  <c r="L179" i="8"/>
  <c r="AN179" i="8" s="1"/>
  <c r="K179" i="8"/>
  <c r="J179" i="8"/>
  <c r="I179" i="8"/>
  <c r="H179" i="8"/>
  <c r="G179" i="8"/>
  <c r="F179" i="8"/>
  <c r="E179" i="8"/>
  <c r="D179" i="8"/>
  <c r="AO179" i="8" s="1"/>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S39"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AM163" i="8" s="1"/>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AM156" i="8" s="1"/>
  <c r="S156" i="8"/>
  <c r="R156" i="8"/>
  <c r="Q156" i="8"/>
  <c r="P156" i="8"/>
  <c r="O156" i="8"/>
  <c r="N156" i="8"/>
  <c r="M156" i="8"/>
  <c r="L156" i="8"/>
  <c r="AN156" i="8" s="1"/>
  <c r="K156" i="8"/>
  <c r="J156" i="8"/>
  <c r="I156" i="8"/>
  <c r="H156" i="8"/>
  <c r="G156" i="8"/>
  <c r="F156" i="8"/>
  <c r="E156" i="8"/>
  <c r="D156" i="8"/>
  <c r="AO156" i="8" s="1"/>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Q116"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C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AM95" i="8" s="1"/>
  <c r="S95" i="8"/>
  <c r="R95" i="8"/>
  <c r="Q95" i="8"/>
  <c r="P95" i="8"/>
  <c r="O95" i="8"/>
  <c r="N95" i="8"/>
  <c r="M95" i="8"/>
  <c r="L95" i="8"/>
  <c r="K95" i="8"/>
  <c r="J95" i="8"/>
  <c r="I95" i="8"/>
  <c r="H95" i="8"/>
  <c r="G95" i="8"/>
  <c r="F95" i="8"/>
  <c r="E95" i="8"/>
  <c r="D95" i="8"/>
  <c r="AO95" i="8" s="1"/>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C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AS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AR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C13" i="8"/>
  <c r="C12" i="8"/>
  <c r="C142" i="8" s="1"/>
  <c r="C11" i="8"/>
  <c r="C141" i="8" s="1"/>
  <c r="C10" i="8"/>
  <c r="C140" i="8" s="1"/>
  <c r="C9" i="8"/>
  <c r="C139" i="8" s="1"/>
  <c r="C8" i="8"/>
  <c r="C138" i="8" s="1"/>
  <c r="C7" i="8"/>
  <c r="C6" i="8"/>
  <c r="C136" i="8" s="1"/>
  <c r="AO104" i="8" l="1"/>
  <c r="AN104" i="8"/>
  <c r="AM104" i="8"/>
  <c r="AL104" i="8"/>
  <c r="AO173" i="8"/>
  <c r="AM117" i="8"/>
  <c r="AO127" i="8"/>
  <c r="AN127" i="8"/>
  <c r="AM127" i="8"/>
  <c r="AL127" i="8"/>
  <c r="AN172" i="8"/>
  <c r="AM113" i="8"/>
  <c r="AL182" i="8"/>
  <c r="AO189" i="8"/>
  <c r="AM159" i="8"/>
  <c r="AO99" i="8"/>
  <c r="AR51" i="8"/>
  <c r="AM121" i="8"/>
  <c r="AN122" i="8"/>
  <c r="AR57" i="8"/>
  <c r="AS40" i="8"/>
  <c r="AM195" i="8"/>
  <c r="AO196" i="8"/>
  <c r="AM196" i="8"/>
  <c r="AL196" i="8"/>
  <c r="AN130" i="8"/>
  <c r="AO170" i="8"/>
  <c r="AN170" i="8"/>
  <c r="AM170" i="8"/>
  <c r="AL170" i="8"/>
  <c r="AS48" i="8"/>
  <c r="AS62" i="8"/>
  <c r="AR52" i="8"/>
  <c r="AR48" i="8"/>
  <c r="AS46" i="8"/>
  <c r="AR39" i="8"/>
  <c r="AR47" i="8"/>
  <c r="AS47" i="8"/>
  <c r="AR45" i="8"/>
  <c r="AS44" i="8"/>
  <c r="AO141" i="8"/>
  <c r="AO78" i="8"/>
  <c r="AN78" i="8"/>
  <c r="AM78" i="8"/>
  <c r="AL78" i="8"/>
  <c r="AN71" i="8"/>
  <c r="AM71" i="8"/>
  <c r="AM72" i="8"/>
  <c r="AO88" i="8"/>
  <c r="AN136" i="8"/>
  <c r="AO138" i="8"/>
  <c r="AN138" i="8"/>
  <c r="AM138" i="8"/>
  <c r="AL138" i="8"/>
  <c r="AO146" i="8"/>
  <c r="AN146" i="8"/>
  <c r="AM146" i="8"/>
  <c r="AL146" i="8"/>
  <c r="AQ146" i="8" s="1"/>
  <c r="AO87" i="8"/>
  <c r="AM89"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Q97" i="8" s="1"/>
  <c r="AR32"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L166" i="8"/>
  <c r="AQ166" i="8" s="1"/>
  <c r="AS45" i="8"/>
  <c r="AN189" i="8"/>
  <c r="AM189" i="8"/>
  <c r="AL189" i="8"/>
  <c r="AS60" i="8"/>
  <c r="AN192" i="8"/>
  <c r="AM192" i="8"/>
  <c r="AO193" i="8"/>
  <c r="AN193" i="8"/>
  <c r="AM193" i="8"/>
  <c r="AL193" i="8"/>
  <c r="AS63" i="8"/>
  <c r="AN196" i="8"/>
  <c r="AO81" i="8"/>
  <c r="AO84" i="8"/>
  <c r="AN84" i="8"/>
  <c r="AM84" i="8"/>
  <c r="AL84" i="8"/>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O167" i="8"/>
  <c r="AN167" i="8"/>
  <c r="AL167" i="8"/>
  <c r="AQ167" i="8" s="1"/>
  <c r="AN184" i="8"/>
  <c r="AM184" i="8"/>
  <c r="AO185" i="8"/>
  <c r="AN185" i="8"/>
  <c r="AM185" i="8"/>
  <c r="AL185" i="8"/>
  <c r="AS56" i="8"/>
  <c r="AN194" i="8"/>
  <c r="AM194" i="8"/>
  <c r="AN171" i="8"/>
  <c r="AL174" i="8"/>
  <c r="AO74" i="8"/>
  <c r="AN73" i="8"/>
  <c r="AL75" i="8"/>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S3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N100" i="8"/>
  <c r="AL100" i="8"/>
  <c r="AQ100" i="8" s="1"/>
  <c r="AR35" i="8" s="1"/>
  <c r="AO108" i="8"/>
  <c r="AN108" i="8"/>
  <c r="AM108" i="8"/>
  <c r="AN118" i="8"/>
  <c r="AN123" i="8"/>
  <c r="AM123" i="8"/>
  <c r="AL123" i="8"/>
  <c r="AM134" i="8"/>
  <c r="AL134" i="8"/>
  <c r="AL142" i="8"/>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N105" i="8"/>
  <c r="AL105" i="8"/>
  <c r="AL108" i="8"/>
  <c r="AO116" i="8"/>
  <c r="AM116" i="8"/>
  <c r="AN126" i="8"/>
  <c r="AN131" i="8"/>
  <c r="AM131" i="8"/>
  <c r="AL131" i="8"/>
  <c r="AO143" i="8"/>
  <c r="AN143" i="8"/>
  <c r="AL143" i="8"/>
  <c r="AO147" i="8"/>
  <c r="AN147" i="8"/>
  <c r="AL147" i="8"/>
  <c r="AQ14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S25" i="8" s="1"/>
  <c r="AL158" i="8"/>
  <c r="AQ158" i="8" s="1"/>
  <c r="AO166" i="8"/>
  <c r="AN166" i="8"/>
  <c r="AM166" i="8"/>
  <c r="AN173" i="8"/>
  <c r="AM173" i="8"/>
  <c r="AL173" i="8"/>
  <c r="AM176" i="8"/>
  <c r="AL180" i="8"/>
  <c r="AO188" i="8"/>
  <c r="AM188" i="8"/>
  <c r="AL188" i="8"/>
  <c r="AO199" i="8"/>
  <c r="AN199" i="8"/>
  <c r="AM199" i="8"/>
  <c r="AL199" i="8"/>
  <c r="AQ149" i="8" l="1"/>
  <c r="AQ144" i="8"/>
  <c r="AQ145" i="8"/>
  <c r="AS15" i="8" s="1"/>
  <c r="AQ85" i="8"/>
  <c r="AR20" i="8" s="1"/>
  <c r="AQ84" i="8"/>
  <c r="AQ86" i="8"/>
  <c r="AR21" i="8" s="1"/>
  <c r="AQ83" i="8"/>
  <c r="AR18" i="8" s="1"/>
  <c r="AQ79" i="8"/>
  <c r="AR15" i="8" s="1"/>
  <c r="AQ82" i="8"/>
  <c r="AR17" i="8" s="1"/>
  <c r="AS33" i="8"/>
  <c r="AR23" i="8"/>
  <c r="AR27" i="8"/>
  <c r="AS35" i="8"/>
  <c r="AR30" i="8"/>
  <c r="AR33" i="8"/>
  <c r="AS17" i="8"/>
  <c r="AS19" i="8"/>
  <c r="AS21" i="8"/>
  <c r="AR16" i="8"/>
  <c r="AQ74" i="8"/>
  <c r="AR9" i="8" s="1"/>
  <c r="AQ75" i="8"/>
  <c r="AQ142" i="8"/>
  <c r="AR29" i="8"/>
  <c r="AR31" i="8"/>
  <c r="AS18" i="8"/>
  <c r="AS22" i="8"/>
  <c r="AS34" i="8"/>
  <c r="AS36" i="8"/>
  <c r="AS23" i="8"/>
  <c r="AS32" i="8"/>
  <c r="AR25" i="8"/>
  <c r="AS20" i="8"/>
  <c r="AR36" i="8"/>
  <c r="AR24" i="8"/>
  <c r="AR34" i="8"/>
  <c r="AS24" i="8"/>
  <c r="AS16" i="8"/>
  <c r="AS26" i="8"/>
  <c r="AS31" i="8"/>
  <c r="AQ143" i="8"/>
  <c r="AR37" i="8"/>
  <c r="AR38" i="8"/>
  <c r="AS38" i="8"/>
  <c r="AS37" i="8"/>
  <c r="AS29" i="8"/>
  <c r="AS28" i="8"/>
  <c r="AQ140" i="8"/>
  <c r="AQ77" i="8"/>
  <c r="AQ141" i="8"/>
  <c r="AQ139" i="8"/>
  <c r="AS9" i="8" s="1"/>
  <c r="AQ78" i="8"/>
  <c r="AQ76" i="8"/>
  <c r="AQ73" i="8"/>
  <c r="AQ138" i="8"/>
  <c r="AS8" i="8" s="1"/>
  <c r="AQ137" i="8"/>
  <c r="AS7" i="8" s="1"/>
  <c r="AQ72" i="8"/>
  <c r="AQ71" i="8"/>
  <c r="AR6" i="8" s="1"/>
  <c r="AQ136" i="8"/>
  <c r="AS6" i="8" s="1"/>
  <c r="B136" i="8"/>
  <c r="B71" i="8"/>
  <c r="AR19" i="8" l="1"/>
  <c r="AR14" i="8"/>
  <c r="AR22" i="8"/>
  <c r="AS14" i="8"/>
  <c r="AS11" i="8"/>
  <c r="AR11" i="8"/>
  <c r="AR12" i="8"/>
  <c r="AS12" i="8"/>
  <c r="AR10" i="8"/>
  <c r="AS10" i="8"/>
  <c r="AR8" i="8"/>
  <c r="AS13" i="8"/>
  <c r="AR13" i="8"/>
  <c r="AR7" i="8"/>
  <c r="D3" i="1"/>
  <c r="D4" i="14" l="1"/>
  <c r="D6" i="14" s="1"/>
  <c r="D5" i="14"/>
  <c r="G14" i="14" l="1"/>
  <c r="E5" i="13"/>
  <c r="G5" i="13" s="1"/>
  <c r="H13" i="14"/>
  <c r="AW17" i="8"/>
  <c r="AL66" i="8" s="1"/>
  <c r="F13" i="14"/>
  <c r="H14" i="14"/>
  <c r="H15" i="14"/>
  <c r="F14" i="14"/>
  <c r="I15" i="14"/>
  <c r="L14" i="14"/>
  <c r="I14" i="14"/>
  <c r="I13" i="14"/>
  <c r="F15" i="14"/>
  <c r="D8" i="14"/>
  <c r="N4" i="5" l="1"/>
  <c r="N84" i="5"/>
  <c r="AW12" i="8"/>
  <c r="AU5" i="8" s="1"/>
  <c r="AW16" i="8"/>
  <c r="AU15" i="8" s="1"/>
  <c r="AW8" i="8"/>
  <c r="AW15" i="8"/>
  <c r="AU8" i="8" s="1"/>
  <c r="AW14" i="8"/>
  <c r="AU7" i="8" s="1"/>
  <c r="AW11" i="8"/>
  <c r="AU13" i="8" s="1"/>
  <c r="AW10" i="8"/>
  <c r="AU14" i="8" s="1"/>
  <c r="AW9" i="8"/>
  <c r="N54" i="5"/>
  <c r="N14" i="5"/>
  <c r="N29" i="5"/>
  <c r="N10" i="5"/>
  <c r="N55" i="5"/>
  <c r="N85" i="5"/>
  <c r="N27" i="5"/>
  <c r="N86" i="5"/>
  <c r="N65" i="5"/>
  <c r="N12" i="5"/>
  <c r="N49" i="5"/>
  <c r="N74" i="5"/>
  <c r="N79" i="5"/>
  <c r="N26" i="5"/>
  <c r="N100" i="5"/>
  <c r="N64" i="5"/>
  <c r="N91" i="5"/>
  <c r="N76" i="5"/>
  <c r="N24" i="5"/>
  <c r="N90" i="5"/>
  <c r="N51" i="5"/>
  <c r="N13" i="5"/>
  <c r="N102" i="5"/>
  <c r="N7" i="5"/>
  <c r="N75" i="5"/>
  <c r="N96" i="5"/>
  <c r="N77" i="5"/>
  <c r="N43" i="5"/>
  <c r="N48" i="5"/>
  <c r="N38" i="5"/>
  <c r="N89" i="5"/>
  <c r="N25" i="5"/>
  <c r="N56" i="5"/>
  <c r="N22" i="5"/>
  <c r="N63" i="5"/>
  <c r="N44" i="5"/>
  <c r="N50" i="5"/>
  <c r="N39" i="5"/>
  <c r="N53" i="5"/>
  <c r="N28" i="5"/>
  <c r="N11" i="5"/>
  <c r="N42" i="5"/>
  <c r="N32" i="5"/>
  <c r="N30" i="5"/>
  <c r="N83" i="5"/>
  <c r="N81" i="5"/>
  <c r="N17" i="5"/>
  <c r="N16" i="5"/>
  <c r="N93" i="5"/>
  <c r="N15" i="5"/>
  <c r="N37" i="5"/>
  <c r="N20" i="5"/>
  <c r="N98" i="5"/>
  <c r="N34" i="5"/>
  <c r="N87" i="5"/>
  <c r="N6" i="5"/>
  <c r="N67" i="5"/>
  <c r="N73" i="5"/>
  <c r="N9" i="5"/>
  <c r="N71" i="5"/>
  <c r="N69" i="5"/>
  <c r="N8" i="5"/>
  <c r="N47" i="5"/>
  <c r="N45" i="5"/>
  <c r="N80" i="5"/>
  <c r="N70" i="5"/>
  <c r="N21" i="5"/>
  <c r="N99" i="5"/>
  <c r="N82" i="5"/>
  <c r="N18" i="5"/>
  <c r="N23" i="5"/>
  <c r="N61" i="5"/>
  <c r="N35" i="5"/>
  <c r="N57" i="5"/>
  <c r="N40" i="5"/>
  <c r="N31" i="5"/>
  <c r="N5" i="5"/>
  <c r="N68" i="5"/>
  <c r="N66" i="5"/>
  <c r="N78" i="5"/>
  <c r="N60" i="5"/>
  <c r="N19" i="5"/>
  <c r="N41" i="5"/>
  <c r="N95" i="5"/>
  <c r="N94" i="5"/>
  <c r="N92" i="5"/>
  <c r="N103" i="5"/>
  <c r="N101" i="5"/>
  <c r="N52" i="5"/>
  <c r="N59" i="5"/>
  <c r="N58" i="5"/>
  <c r="N72" i="5"/>
  <c r="N46" i="5"/>
  <c r="N36" i="5"/>
  <c r="N97" i="5"/>
  <c r="N33" i="5"/>
  <c r="N88" i="5"/>
  <c r="N62" i="5"/>
  <c r="AL33" i="8"/>
  <c r="AT33" i="8" s="1"/>
  <c r="AL28" i="8"/>
  <c r="AT28" i="8" s="1"/>
  <c r="AL68" i="8"/>
  <c r="AL8" i="8"/>
  <c r="AT8" i="8" s="1"/>
  <c r="AL50" i="8"/>
  <c r="AL24" i="8"/>
  <c r="AT24" i="8" s="1"/>
  <c r="AL26" i="8"/>
  <c r="AT26" i="8" s="1"/>
  <c r="AL27" i="8"/>
  <c r="AT27" i="8" s="1"/>
  <c r="AL20" i="8"/>
  <c r="AT20" i="8" s="1"/>
  <c r="AL59" i="8"/>
  <c r="AL56" i="8"/>
  <c r="AL49" i="8"/>
  <c r="AL25" i="8"/>
  <c r="AT25" i="8" s="1"/>
  <c r="AL65" i="8"/>
  <c r="AL37" i="8"/>
  <c r="AT37" i="8" s="1"/>
  <c r="AL42" i="8"/>
  <c r="AL15" i="8"/>
  <c r="AT15" i="8" s="1"/>
  <c r="AL12" i="8"/>
  <c r="AT12" i="8" s="1"/>
  <c r="AL52" i="8"/>
  <c r="AL43" i="8"/>
  <c r="AL44" i="8"/>
  <c r="AL32" i="8"/>
  <c r="AT32" i="8" s="1"/>
  <c r="AL16" i="8"/>
  <c r="AT16" i="8" s="1"/>
  <c r="AL62" i="8"/>
  <c r="AL19" i="8"/>
  <c r="AT19" i="8" s="1"/>
  <c r="AL7" i="8"/>
  <c r="AT7" i="8" s="1"/>
  <c r="AL57" i="8"/>
  <c r="AL38"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L14" i="8"/>
  <c r="AT14" i="8" s="1"/>
  <c r="AL63" i="8"/>
  <c r="AL55" i="8"/>
  <c r="AL46" i="8"/>
  <c r="AL35" i="8"/>
  <c r="AT35" i="8" s="1"/>
  <c r="AL36" i="8"/>
  <c r="AT36" i="8" s="1"/>
  <c r="AL9" i="8"/>
  <c r="AT9" i="8" s="1"/>
  <c r="AL23" i="8"/>
  <c r="AT23" i="8" s="1"/>
  <c r="AL64" i="8"/>
  <c r="AL69" i="8"/>
  <c r="AL61" i="8"/>
  <c r="AL53" i="8"/>
  <c r="AL18" i="8"/>
  <c r="AT18" i="8" s="1"/>
  <c r="AL47" i="8"/>
  <c r="AV5" i="8" l="1"/>
  <c r="AR5" i="8"/>
  <c r="AT5" i="8"/>
  <c r="AS5" i="8"/>
  <c r="B13" i="1"/>
  <c r="B12" i="1"/>
  <c r="B11" i="1"/>
  <c r="B9" i="1"/>
  <c r="H5" i="1" s="1"/>
  <c r="E4" i="1" s="1"/>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433A2693-4BC8-4989-B9DD-9450F73863DF}">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C61B8E3E-DFC1-407A-96B3-810290699A06}">
      <text>
        <r>
          <rPr>
            <b/>
            <sz val="9"/>
            <color indexed="81"/>
            <rFont val="MS P ゴシック"/>
            <family val="3"/>
            <charset val="128"/>
          </rPr>
          <t xml:space="preserve">リモート送信条件成立：IG ON 且つ PTS ONが15[s]以上
</t>
        </r>
      </text>
    </comment>
    <comment ref="E10" authorId="1" shapeId="0" xr:uid="{BE1A8F80-CC00-4908-9D7D-EF9DA84AE057}">
      <text>
        <r>
          <rPr>
            <b/>
            <sz val="9"/>
            <color indexed="81"/>
            <rFont val="MS P ゴシック"/>
            <family val="3"/>
            <charset val="128"/>
          </rPr>
          <t xml:space="preserve">IG ON 且つ ST OFF
</t>
        </r>
      </text>
    </comment>
    <comment ref="F10" authorId="1" shapeId="0" xr:uid="{519620EC-AED6-41CB-9AF0-17DC7D35112F}">
      <text>
        <r>
          <rPr>
            <b/>
            <sz val="9"/>
            <color indexed="81"/>
            <rFont val="MS P ゴシック"/>
            <family val="3"/>
            <charset val="128"/>
          </rPr>
          <t>IG ON</t>
        </r>
      </text>
    </comment>
    <comment ref="G10" authorId="1" shapeId="0" xr:uid="{CC8B7800-818F-46CB-A256-A0E261D2F94C}">
      <text>
        <r>
          <rPr>
            <b/>
            <sz val="9"/>
            <color indexed="81"/>
            <rFont val="MS P ゴシック"/>
            <family val="3"/>
            <charset val="128"/>
          </rPr>
          <t xml:space="preserve">IG OFF 且つ IG OFF後25[m]未満
</t>
        </r>
      </text>
    </comment>
    <comment ref="H10" authorId="1" shapeId="0" xr:uid="{D656DA28-854A-48D6-9F70-D74938E9B78E}">
      <text>
        <r>
          <rPr>
            <b/>
            <sz val="9"/>
            <color indexed="81"/>
            <rFont val="MS P ゴシック"/>
            <family val="3"/>
            <charset val="128"/>
          </rPr>
          <t xml:space="preserve">IG OFF
</t>
        </r>
      </text>
    </comment>
    <comment ref="I10" authorId="1" shapeId="0" xr:uid="{E5143CB0-8B84-45DD-A82E-366833A66D1D}">
      <text>
        <r>
          <rPr>
            <b/>
            <sz val="9"/>
            <color indexed="81"/>
            <rFont val="MS P ゴシック"/>
            <family val="3"/>
            <charset val="128"/>
          </rPr>
          <t xml:space="preserve">IG ON 又は IG OFF後25[m]未満
</t>
        </r>
      </text>
    </comment>
    <comment ref="J10" authorId="1" shapeId="0" xr:uid="{C78FD3A5-203F-4B00-925F-179B84B8D7E5}">
      <text>
        <r>
          <rPr>
            <b/>
            <sz val="9"/>
            <color indexed="81"/>
            <rFont val="MS P ゴシック"/>
            <family val="3"/>
            <charset val="128"/>
          </rPr>
          <t>+B ON 又は ACC ON</t>
        </r>
      </text>
    </comment>
  </commentList>
</comments>
</file>

<file path=xl/sharedStrings.xml><?xml version="1.0" encoding="utf-8"?>
<sst xmlns="http://schemas.openxmlformats.org/spreadsheetml/2006/main" count="2488" uniqueCount="251">
  <si>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</si>
  <si>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</si>
  <si>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</si>
  <si>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</si>
  <si>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</si>
  <si>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</si>
  <si>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</si>
  <si>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</si>
  <si>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</si>
  <si>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</si>
  <si>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</si>
  <si>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</si>
  <si>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</si>
  <si>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</si>
  <si>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</si>
  <si>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</si>
  <si>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</si>
  <si>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</si>
  <si>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</si>
  <si>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</si>
  <si>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</si>
  <si>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</si>
  <si>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</si>
  <si>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</si>
  <si>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</si>
  <si>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</si>
  <si>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</si>
  <si>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</si>
  <si>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</si>
  <si>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</si>
  <si>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</si>
  <si>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</si>
  <si>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</si>
  <si>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</si>
  <si>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</si>
  <si>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</si>
  <si>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</si>
  <si>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</si>
  <si>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</si>
  <si>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</si>
  <si>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</si>
  <si>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</si>
  <si>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</si>
  <si>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</si>
  <si>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</si>
  <si>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</si>
  <si>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</si>
  <si>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</si>
  <si>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</si>
  <si>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</si>
  <si>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</si>
  <si>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</si>
  <si>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</si>
  <si>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</si>
  <si>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</si>
  <si>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</si>
  <si>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</si>
  <si>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</si>
  <si>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</si>
  <si>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</si>
  <si>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</si>
  <si>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</si>
  <si>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</si>
  <si>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</si>
  <si>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</si>
  <si>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</si>
  <si>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</si>
  <si>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</si>
  <si>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</si>
  <si>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</si>
  <si>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</si>
  <si>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</si>
  <si>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</si>
  <si>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</si>
  <si>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</si>
  <si>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</si>
  <si>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</si>
  <si>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</si>
  <si>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</si>
  <si>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</si>
  <si>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</si>
  <si>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</si>
  <si>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</si>
  <si>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</si>
  <si>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</si>
  <si>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</si>
  <si>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</si>
  <si>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</si>
  <si>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</si>
  <si>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</si>
  <si>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</si>
  <si>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</si>
  <si>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</si>
  <si>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</si>
  <si>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</si>
  <si>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</si>
  <si>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</si>
  <si>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</si>
  <si>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</si>
  <si>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</si>
  <si>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</si>
  <si>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</si>
  <si>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</si>
  <si>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</si>
  <si>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</si>
  <si>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</si>
  <si>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</si>
  <si>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</si>
  <si>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</si>
  <si>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</si>
  <si>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</si>
  <si>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</si>
  <si>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</si>
  <si>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</si>
  <si>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</si>
  <si>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</si>
  <si>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</si>
  <si>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</si>
  <si>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</si>
  <si>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</si>
  <si>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</si>
  <si>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</si>
  <si>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</si>
  <si>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</si>
  <si>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</si>
  <si>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</si>
  <si>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</si>
  <si>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</si>
  <si>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</si>
  <si>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</si>
  <si>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</si>
  <si>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</si>
  <si>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</si>
  <si>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</si>
  <si>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</si>
  <si>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</si>
  <si>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</si>
  <si>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</si>
  <si>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</si>
  <si>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</si>
  <si>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</si>
  <si>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</si>
  <si>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</si>
  <si>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</si>
  <si>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</si>
  <si>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</si>
  <si>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</si>
  <si>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</si>
  <si>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</si>
  <si>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</si>
  <si>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</si>
  <si>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</si>
  <si>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</si>
  <si>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</si>
  <si>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</si>
  <si>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</si>
  <si>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</si>
  <si>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</si>
  <si>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</si>
  <si>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</si>
  <si>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</si>
  <si>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</si>
  <si>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</si>
  <si>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</si>
  <si>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</si>
  <si>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</si>
  <si>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</si>
  <si>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</si>
  <si>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</si>
  <si>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</si>
  <si>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</si>
  <si>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</si>
  <si>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</si>
  <si>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</si>
  <si>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</si>
  <si>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</si>
  <si>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</si>
  <si>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</si>
  <si>
    <t>×</t>
    <phoneticPr fontId="2"/>
  </si>
  <si>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</si>
  <si>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</si>
  <si>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</si>
  <si>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</si>
  <si>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</si>
  <si>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</si>
  <si>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</si>
  <si>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</si>
  <si>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</si>
  <si>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</si>
  <si>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</si>
  <si>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</si>
  <si>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</si>
  <si>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</si>
  <si>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REQ</t>
    <phoneticPr fontId="2"/>
  </si>
  <si>
    <t>1.0.0</t>
    <phoneticPr fontId="2"/>
  </si>
  <si>
    <t>－</t>
  </si>
  <si>
    <t>なし</t>
  </si>
  <si>
    <t>NULL</t>
  </si>
  <si>
    <t>-</t>
  </si>
  <si>
    <t>ON</t>
    <phoneticPr fontId="2"/>
  </si>
  <si>
    <t>Index</t>
  </si>
  <si>
    <t>0b</t>
    <phoneticPr fontId="2"/>
  </si>
  <si>
    <t>1b</t>
    <phoneticPr fontId="2"/>
  </si>
  <si>
    <t>*b</t>
    <phoneticPr fontId="2"/>
  </si>
  <si>
    <t>×</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</si>
  <si>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</si>
  <si>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</si>
  <si>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処理時間</t>
    <rPh sb="0" eb="2">
      <t>ショリ</t>
    </rPh>
    <rPh sb="2" eb="4">
      <t>ジカン</t>
    </rPh>
    <phoneticPr fontId="2"/>
  </si>
  <si>
    <t>CSR1S04</t>
    <phoneticPr fontId="2"/>
  </si>
  <si>
    <t>CSR1S04_STS</t>
    <phoneticPr fontId="2"/>
  </si>
  <si>
    <t>};</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</si>
  <si>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</si>
  <si>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</si>
  <si>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</si>
  <si>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5.5.0</t>
  </si>
  <si>
    <t>承認欄 [DT]</t>
    <phoneticPr fontId="2"/>
  </si>
  <si>
    <t>承認者</t>
    <phoneticPr fontId="2"/>
  </si>
  <si>
    <t>DT南部志門</t>
    <rPh sb="2" eb="6">
      <t>ナンブシモン</t>
    </rPh>
    <phoneticPr fontId="2"/>
  </si>
  <si>
    <t>BC</t>
    <phoneticPr fontId="2"/>
  </si>
  <si>
    <t>S_PMAR-CSTD-A0-BZR01-REQ02-</t>
  </si>
  <si>
    <t>ON</t>
  </si>
  <si>
    <t>WACS_BUZ_SIG</t>
    <phoneticPr fontId="2"/>
  </si>
  <si>
    <t>ALERT_CH_S_PMAR_BC判定</t>
    <rPh sb="18" eb="20">
      <t>ハンテイ</t>
    </rPh>
    <phoneticPr fontId="2"/>
  </si>
  <si>
    <t>CAN</t>
    <phoneticPr fontId="2"/>
  </si>
  <si>
    <t>IG-ON</t>
  </si>
  <si>
    <t>ALERT_VOM_IGN_ON</t>
    <phoneticPr fontId="2"/>
  </si>
  <si>
    <t>通常(00b)/
未受信(01b)/
通信途絶(10b)/
未受信通信途絶(11b)</t>
  </si>
  <si>
    <t>00b</t>
  </si>
  <si>
    <t>IG-ON + 未受信 + *</t>
  </si>
  <si>
    <t>01b</t>
  </si>
  <si>
    <t>**b</t>
  </si>
  <si>
    <t>IG-ON + 通信途絶 + *</t>
  </si>
  <si>
    <t>10b</t>
  </si>
  <si>
    <t>IG-ON + 未受信通信途絶 + *</t>
  </si>
  <si>
    <t>11b</t>
  </si>
  <si>
    <t>IG-OFF + * + *</t>
  </si>
  <si>
    <t>UNKNOWN/
ON</t>
    <phoneticPr fontId="2"/>
  </si>
  <si>
    <t>ALERT_CH_S_PMAR_BC</t>
    <phoneticPr fontId="2"/>
  </si>
  <si>
    <t>REQ02</t>
    <phoneticPr fontId="2"/>
  </si>
  <si>
    <t>-/
REQ02</t>
    <phoneticPr fontId="2"/>
  </si>
  <si>
    <t>正常(0b)/
断続(1b)</t>
    <rPh sb="0" eb="2">
      <t>セイジョウ</t>
    </rPh>
    <phoneticPr fontId="2"/>
  </si>
  <si>
    <t>IG-ON + 通常 + 正常</t>
    <phoneticPr fontId="2"/>
  </si>
  <si>
    <t>IG-ON + 通常 + 断続</t>
    <phoneticPr fontId="2"/>
  </si>
  <si>
    <t xml:space="preserve">    {</t>
    <phoneticPr fontId="2"/>
  </si>
  <si>
    <t xml:space="preserve">    }</t>
    <phoneticPr fontId="2"/>
  </si>
  <si>
    <t>KSE八木春樹</t>
    <rPh sb="3" eb="7">
      <t>ヤギハルキ</t>
    </rPh>
    <phoneticPr fontId="2"/>
  </si>
  <si>
    <t>1.1.0</t>
    <phoneticPr fontId="2"/>
  </si>
  <si>
    <t>MET-S_ADBZR-CSTD-0-02-A-C0</t>
  </si>
  <si>
    <t>https://svn.geniie.net/bevs3/bevs3cdc/仕様書/MET/#1/tags/00.Product/v0.2.1</t>
  </si>
  <si>
    <t>ALERT_CH_S_PMAR</t>
  </si>
  <si>
    <t>BEV シス検#2(流用元：alert_S_PMAR-CSTD-A0-01-A-C0.c)
[Matrix]シート
CH削除
[CH_Design]シート
CH削除に伴い、REQ・機能判定等削除
[PD_WACSP]シート
CH削除に伴い、シート削除
[PD_DISP]シート
CH削除に伴い、シート削除
[Reference]シート
CH削除に伴い、真理値表の修正</t>
    <rPh sb="6" eb="7">
      <t>ケン</t>
    </rPh>
    <rPh sb="54" eb="56">
      <t>ツイカ</t>
    </rPh>
    <rPh sb="60" eb="62">
      <t>サクジョ</t>
    </rPh>
    <rPh sb="90" eb="95">
      <t>キノウハンテイトウ</t>
    </rPh>
    <rPh sb="95" eb="97">
      <t>サクジョ</t>
    </rPh>
    <rPh sb="114" eb="118">
      <t>シンリチヒョウ</t>
    </rPh>
    <rPh sb="118" eb="120">
      <t>ツイカ</t>
    </rPh>
    <rPh sb="123" eb="125">
      <t>サクジョ</t>
    </rPh>
    <rPh sb="153" eb="154">
      <t>トモナ</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</si>
</sst>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solid">
        <fgColor theme="0" tint="-0.24994659260841701"/>
        <bgColor indexed="64"/>
      </patternFill>
    </fill>
  </fills>
  <borders count="78">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double">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8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0" borderId="34"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3"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9"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5" borderId="26"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0" fillId="12" borderId="14" xfId="0" applyFill="1" applyBorder="1" applyAlignment="1" applyProtection="1">
      <alignment horizontal="lef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0" fillId="12" borderId="13" xfId="0" applyFill="1" applyBorder="1" applyProtection="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0" xfId="0" applyFill="1" applyBorder="1" applyAlignment="1" applyProtection="1">
      <alignment horizontal="left" vertical="center"/>
    </xf>
    <xf numFmtId="0" fontId="0" fillId="0" borderId="14" xfId="0" applyBorder="1">
      <alignment vertical="center"/>
    </xf>
    <xf numFmtId="0" fontId="15" fillId="7" borderId="61" xfId="0" applyFont="1" applyFill="1" applyBorder="1" applyAlignment="1">
      <alignment vertical="center"/>
    </xf>
    <xf numFmtId="0" fontId="18" fillId="20" borderId="2" xfId="0" applyFont="1" applyFill="1" applyBorder="1">
      <alignment vertical="center"/>
    </xf>
    <xf numFmtId="0" fontId="18" fillId="15" borderId="16" xfId="0" applyFont="1" applyFill="1" applyBorder="1">
      <alignment vertical="center"/>
    </xf>
    <xf numFmtId="0" fontId="18" fillId="15" borderId="14" xfId="0" applyFont="1" applyFill="1" applyBorder="1" applyAlignment="1">
      <alignment horizontal="center" vertical="center"/>
    </xf>
    <xf numFmtId="0" fontId="18" fillId="15" borderId="2" xfId="0" applyFont="1" applyFill="1" applyBorder="1" applyAlignment="1">
      <alignment horizontal="center" vertical="center"/>
    </xf>
    <xf numFmtId="0" fontId="18" fillId="15" borderId="9" xfId="0" applyFont="1" applyFill="1" applyBorder="1" applyAlignment="1">
      <alignment horizontal="center" vertical="center"/>
    </xf>
    <xf numFmtId="0" fontId="19" fillId="0" borderId="0" xfId="0" applyFont="1">
      <alignment vertical="center"/>
    </xf>
    <xf numFmtId="0" fontId="0" fillId="0" borderId="14" xfId="0" applyBorder="1" applyAlignment="1">
      <alignment vertical="center" wrapText="1"/>
    </xf>
    <xf numFmtId="0" fontId="0" fillId="12" borderId="76" xfId="0" applyFill="1" applyBorder="1">
      <alignment vertical="center"/>
    </xf>
    <xf numFmtId="0" fontId="0" fillId="0" borderId="2" xfId="0" applyBorder="1" applyAlignment="1">
      <alignment horizontal="center" vertical="center"/>
    </xf>
    <xf numFmtId="0" fontId="0" fillId="10" borderId="2" xfId="0" applyFill="1" applyBorder="1">
      <alignment vertical="center"/>
    </xf>
    <xf numFmtId="0" fontId="0" fillId="4" borderId="2" xfId="0" applyFill="1" applyBorder="1">
      <alignment vertical="center"/>
    </xf>
    <xf numFmtId="0" fontId="0" fillId="4" borderId="7" xfId="0" applyFill="1" applyBorder="1">
      <alignment vertical="center"/>
    </xf>
    <xf numFmtId="14" fontId="0" fillId="0" borderId="2" xfId="0" applyNumberFormat="1" applyBorder="1">
      <alignment vertical="center"/>
    </xf>
    <xf numFmtId="0" fontId="0" fillId="22" borderId="30" xfId="0" applyFill="1" applyBorder="1" applyAlignment="1">
      <alignment vertical="center" textRotation="90"/>
    </xf>
    <xf numFmtId="0" fontId="0" fillId="12" borderId="23" xfId="0" applyFill="1" applyBorder="1">
      <alignment vertical="center"/>
    </xf>
    <xf numFmtId="0" fontId="0" fillId="13" borderId="35"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27" xfId="0" quotePrefix="1" applyBorder="1">
      <alignment vertical="center"/>
    </xf>
    <xf numFmtId="0" fontId="0" fillId="15" borderId="7" xfId="0" applyFill="1" applyBorder="1" applyAlignment="1">
      <alignment vertical="center" wrapText="1"/>
    </xf>
    <xf numFmtId="0" fontId="0" fillId="0" borderId="27" xfId="0" applyBorder="1">
      <alignment vertical="center"/>
    </xf>
    <xf numFmtId="0" fontId="0" fillId="18" borderId="30" xfId="0" applyFill="1" applyBorder="1" applyAlignment="1">
      <alignment vertical="center" textRotation="90"/>
    </xf>
    <xf numFmtId="0" fontId="0" fillId="0" borderId="77" xfId="0" applyBorder="1" applyAlignment="1">
      <alignment vertical="center" wrapText="1"/>
    </xf>
    <xf numFmtId="0" fontId="0" fillId="0" borderId="28" xfId="0" applyBorder="1" applyAlignment="1">
      <alignment horizontal="center" vertical="center"/>
    </xf>
    <xf numFmtId="0" fontId="0" fillId="0" borderId="27" xfId="0" applyBorder="1" applyAlignment="1">
      <alignment horizontal="center" vertical="center"/>
    </xf>
    <xf numFmtId="0" fontId="0" fillId="24" borderId="2" xfId="0" applyFill="1" applyBorder="1">
      <alignment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24" borderId="9" xfId="0" applyFill="1" applyBorder="1">
      <alignment vertical="center"/>
    </xf>
    <xf numFmtId="0" fontId="0" fillId="0" borderId="30" xfId="0" applyBorder="1">
      <alignment vertical="center"/>
    </xf>
    <xf numFmtId="0" fontId="0" fillId="14" borderId="30" xfId="0" applyFill="1" applyBorder="1">
      <alignment vertical="center"/>
    </xf>
    <xf numFmtId="0" fontId="0" fillId="0" borderId="31" xfId="0" quotePrefix="1" applyBorder="1" applyAlignment="1">
      <alignment vertical="center" wrapText="1"/>
    </xf>
    <xf numFmtId="0" fontId="0" fillId="0" borderId="25" xfId="0" applyBorder="1" applyAlignment="1">
      <alignment horizontal="center" vertical="center"/>
    </xf>
    <xf numFmtId="0" fontId="15" fillId="0" borderId="25" xfId="0"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6" xfId="0" applyFill="1" applyBorder="1" applyAlignment="1" applyProtection="1">
      <alignment horizontal="left" vertical="center"/>
    </xf>
    <xf numFmtId="0" fontId="0" fillId="12" borderId="23" xfId="0" applyFill="1" applyBorder="1" applyAlignment="1" applyProtection="1">
      <alignment horizontal="left" vertical="center"/>
    </xf>
    <xf numFmtId="0" fontId="0" fillId="12" borderId="18" xfId="0" applyFill="1" applyBorder="1" applyAlignment="1" applyProtection="1">
      <alignment horizontal="left" vertical="center"/>
    </xf>
    <xf numFmtId="0" fontId="3" fillId="12" borderId="67"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0" xfId="0" applyFill="1" applyBorder="1" applyAlignment="1">
      <alignment horizontal="center" vertical="center" textRotation="90"/>
    </xf>
    <xf numFmtId="0" fontId="14" fillId="0" borderId="72" xfId="0" applyFont="1" applyBorder="1" applyAlignment="1">
      <alignment horizontal="center"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cellXfs>
  <cellStyles count="2">
    <cellStyle name="ハイパーリンク" xfId="1" builtinId="8"/>
    <cellStyle name="標準" xfId="0" builtinId="0"/>
  </cellStyles>
  <dxfs count="9">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CCECFF"/>
      <color rgb="FFCCFDB1"/>
      <color rgb="FF0000FF"/>
      <color rgb="FFFBBDBD"/>
      <color rgb="FFFFCC99"/>
      <color rgb="FF79DCFF"/>
      <color rgb="FF66FF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1</xdr:colOff>
      <xdr:row>2</xdr:row>
      <xdr:rowOff>0</xdr:rowOff>
    </xdr:from>
    <xdr:to>
      <xdr:col>35</xdr:col>
      <xdr:colOff>571501</xdr:colOff>
      <xdr:row>24</xdr:row>
      <xdr:rowOff>153324</xdr:rowOff>
    </xdr:to>
    <xdr:pic>
      <xdr:nvPicPr>
        <xdr:cNvPr id="4" name="図 3">
          <a:extLst>
            <a:ext uri="{FF2B5EF4-FFF2-40B4-BE49-F238E27FC236}">
              <a16:creationId xmlns:a16="http://schemas.microsoft.com/office/drawing/2014/main" id="{28340C9E-1581-A6F8-9F81-87D96A4C474E}"/>
            </a:ext>
          </a:extLst>
        </xdr:cNvPr>
        <xdr:cNvPicPr>
          <a:picLocks noChangeAspect="1"/>
        </xdr:cNvPicPr>
      </xdr:nvPicPr>
      <xdr:blipFill>
        <a:blip xmlns:r="http://schemas.openxmlformats.org/officeDocument/2006/relationships" r:embed="rId1"/>
        <a:stretch>
          <a:fillRect/>
        </a:stretch>
      </xdr:blipFill>
      <xdr:spPr>
        <a:xfrm>
          <a:off x="17626854" y="336176"/>
          <a:ext cx="10824882" cy="5263207"/>
        </a:xfrm>
        <a:prstGeom prst="rect">
          <a:avLst/>
        </a:prstGeom>
      </xdr:spPr>
    </xdr:pic>
    <xdr:clientData/>
  </xdr:twoCellAnchor>
  <xdr:twoCellAnchor>
    <xdr:from>
      <xdr:col>7</xdr:col>
      <xdr:colOff>185814</xdr:colOff>
      <xdr:row>22</xdr:row>
      <xdr:rowOff>4074</xdr:rowOff>
    </xdr:from>
    <xdr:to>
      <xdr:col>11</xdr:col>
      <xdr:colOff>705300</xdr:colOff>
      <xdr:row>24</xdr:row>
      <xdr:rowOff>31564</xdr:rowOff>
    </xdr:to>
    <xdr:sp macro="" textlink="">
      <xdr:nvSpPr>
        <xdr:cNvPr id="71" name="線吹き出し 1 (枠付き) 70">
          <a:extLst>
            <a:ext uri="{FF2B5EF4-FFF2-40B4-BE49-F238E27FC236}">
              <a16:creationId xmlns:a16="http://schemas.microsoft.com/office/drawing/2014/main" id="{00000000-0008-0000-0700-000047000000}"/>
            </a:ext>
          </a:extLst>
        </xdr:cNvPr>
        <xdr:cNvSpPr/>
      </xdr:nvSpPr>
      <xdr:spPr>
        <a:xfrm>
          <a:off x="5460283" y="6504887"/>
          <a:ext cx="3043611" cy="360865"/>
        </a:xfrm>
        <a:prstGeom prst="borderCallout1">
          <a:avLst>
            <a:gd name="adj1" fmla="val 47144"/>
            <a:gd name="adj2" fmla="val -921"/>
            <a:gd name="adj3" fmla="val -303053"/>
            <a:gd name="adj4" fmla="val -183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5602</xdr:colOff>
      <xdr:row>10</xdr:row>
      <xdr:rowOff>18115</xdr:rowOff>
    </xdr:from>
    <xdr:to>
      <xdr:col>35</xdr:col>
      <xdr:colOff>675554</xdr:colOff>
      <xdr:row>10</xdr:row>
      <xdr:rowOff>165128</xdr:rowOff>
    </xdr:to>
    <xdr:sp macro="" textlink="">
      <xdr:nvSpPr>
        <xdr:cNvPr id="78" name="正方形/長方形 77">
          <a:extLst>
            <a:ext uri="{FF2B5EF4-FFF2-40B4-BE49-F238E27FC236}">
              <a16:creationId xmlns:a16="http://schemas.microsoft.com/office/drawing/2014/main" id="{00000000-0008-0000-0700-00004E000000}"/>
            </a:ext>
          </a:extLst>
        </xdr:cNvPr>
        <xdr:cNvSpPr/>
      </xdr:nvSpPr>
      <xdr:spPr>
        <a:xfrm>
          <a:off x="17632455" y="3088527"/>
          <a:ext cx="10923334" cy="1470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244930</xdr:colOff>
      <xdr:row>9</xdr:row>
      <xdr:rowOff>382121</xdr:rowOff>
    </xdr:from>
    <xdr:to>
      <xdr:col>41</xdr:col>
      <xdr:colOff>568120</xdr:colOff>
      <xdr:row>13</xdr:row>
      <xdr:rowOff>44824</xdr:rowOff>
    </xdr:to>
    <xdr:sp macro="" textlink="">
      <xdr:nvSpPr>
        <xdr:cNvPr id="84" name="線吹き出し 1 (枠付き) 83">
          <a:extLst>
            <a:ext uri="{FF2B5EF4-FFF2-40B4-BE49-F238E27FC236}">
              <a16:creationId xmlns:a16="http://schemas.microsoft.com/office/drawing/2014/main" id="{00000000-0008-0000-0700-000054000000}"/>
            </a:ext>
          </a:extLst>
        </xdr:cNvPr>
        <xdr:cNvSpPr/>
      </xdr:nvSpPr>
      <xdr:spPr>
        <a:xfrm>
          <a:off x="28808724" y="2757768"/>
          <a:ext cx="3740984" cy="872938"/>
        </a:xfrm>
        <a:prstGeom prst="borderCallout1">
          <a:avLst>
            <a:gd name="adj1" fmla="val 41573"/>
            <a:gd name="adj2" fmla="val -911"/>
            <a:gd name="adj3" fmla="val 51326"/>
            <a:gd name="adj4" fmla="val -63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RW_</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送信信号対応表に</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WACSPMID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PMARDISP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の記載がない為、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なし</a:t>
          </a:r>
        </a:p>
        <a:p>
          <a:pPr algn="l"/>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19</xdr:col>
      <xdr:colOff>612321</xdr:colOff>
      <xdr:row>28</xdr:row>
      <xdr:rowOff>81643</xdr:rowOff>
    </xdr:from>
    <xdr:to>
      <xdr:col>42</xdr:col>
      <xdr:colOff>652373</xdr:colOff>
      <xdr:row>55</xdr:row>
      <xdr:rowOff>23917</xdr:rowOff>
    </xdr:to>
    <xdr:pic>
      <xdr:nvPicPr>
        <xdr:cNvPr id="18" name="図 17">
          <a:extLst>
            <a:ext uri="{FF2B5EF4-FFF2-40B4-BE49-F238E27FC236}">
              <a16:creationId xmlns:a16="http://schemas.microsoft.com/office/drawing/2014/main" id="{63D4CBFE-7280-CA70-F970-237A225463FB}"/>
            </a:ext>
          </a:extLst>
        </xdr:cNvPr>
        <xdr:cNvPicPr>
          <a:picLocks noChangeAspect="1"/>
        </xdr:cNvPicPr>
      </xdr:nvPicPr>
      <xdr:blipFill>
        <a:blip xmlns:r="http://schemas.openxmlformats.org/officeDocument/2006/relationships" r:embed="rId2"/>
        <a:stretch>
          <a:fillRect/>
        </a:stretch>
      </xdr:blipFill>
      <xdr:spPr>
        <a:xfrm>
          <a:off x="17566821" y="6368143"/>
          <a:ext cx="15688266" cy="4718381"/>
        </a:xfrm>
        <a:prstGeom prst="rect">
          <a:avLst/>
        </a:prstGeom>
      </xdr:spPr>
    </xdr:pic>
    <xdr:clientData/>
  </xdr:twoCellAnchor>
  <xdr:twoCellAnchor editAs="absolute">
    <xdr:from>
      <xdr:col>28</xdr:col>
      <xdr:colOff>458640</xdr:colOff>
      <xdr:row>33</xdr:row>
      <xdr:rowOff>48026</xdr:rowOff>
    </xdr:from>
    <xdr:to>
      <xdr:col>30</xdr:col>
      <xdr:colOff>119436</xdr:colOff>
      <xdr:row>41</xdr:row>
      <xdr:rowOff>42422</xdr:rowOff>
    </xdr:to>
    <xdr:sp macro="" textlink="">
      <xdr:nvSpPr>
        <xdr:cNvPr id="19" name="正方形/長方形 18">
          <a:extLst>
            <a:ext uri="{FF2B5EF4-FFF2-40B4-BE49-F238E27FC236}">
              <a16:creationId xmlns:a16="http://schemas.microsoft.com/office/drawing/2014/main" id="{F7691A11-CAAF-46B7-A57E-5628AAFF765E}"/>
            </a:ext>
          </a:extLst>
        </xdr:cNvPr>
        <xdr:cNvSpPr/>
      </xdr:nvSpPr>
      <xdr:spPr>
        <a:xfrm>
          <a:off x="23536354" y="7218990"/>
          <a:ext cx="1021511" cy="14095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D16" sqref="D16"/>
    </sheetView>
  </sheetViews>
  <sheetFormatPr defaultRowHeight="13.5"/>
  <cols>
    <col min="1" max="1" width="4.5" customWidth="1"/>
    <col min="2" max="2" width="9" style="9" hidden="1" customWidth="1"/>
    <col min="4" max="4" width="69.5" customWidth="1"/>
    <col min="5" max="6" width="12.75" customWidth="1"/>
    <col min="7" max="18" width="13.125" customWidth="1"/>
  </cols>
  <sheetData>
    <row r="2" spans="2:24" ht="25.5" customHeight="1">
      <c r="C2" s="6"/>
      <c r="D2" s="6"/>
      <c r="E2" s="6"/>
      <c r="F2" s="6"/>
      <c r="H2" s="7" t="s">
        <v>13</v>
      </c>
      <c r="I2" s="225" t="s">
        <v>14</v>
      </c>
      <c r="J2" s="225"/>
      <c r="K2" s="225"/>
      <c r="L2" s="225"/>
      <c r="M2" s="225"/>
      <c r="N2" s="225"/>
      <c r="O2" s="225"/>
      <c r="P2" s="225"/>
      <c r="Q2" s="225"/>
      <c r="R2" s="225"/>
    </row>
    <row r="3" spans="2:24" ht="25.5" customHeight="1">
      <c r="C3" s="6"/>
      <c r="D3" s="10" t="str">
        <f ca="1">REPLACE(LEFT(CELL("filename",$B$1),FIND(".xls",CELL("filename",$B$1))-1),1,FIND("[",CELL("filename",$B$1)),)</f>
        <v>alert_S_PMAR-CSTD-A0-01-A-C0</v>
      </c>
      <c r="E3" s="6"/>
      <c r="F3" s="6"/>
      <c r="H3" s="8" t="s">
        <v>164</v>
      </c>
      <c r="I3" s="226" t="s">
        <v>163</v>
      </c>
      <c r="J3" s="227"/>
      <c r="K3" s="227"/>
      <c r="L3" s="227"/>
      <c r="M3" s="227"/>
      <c r="N3" s="227"/>
      <c r="O3" s="227"/>
      <c r="P3" s="227"/>
      <c r="Q3" s="227"/>
      <c r="R3" s="227"/>
    </row>
    <row r="4" spans="2:24" ht="25.5" customHeight="1">
      <c r="C4" s="6"/>
      <c r="D4" s="6"/>
      <c r="E4" s="21" t="str">
        <f>DGET(B8:C14,"Ver.",H4:H5)</f>
        <v>1.0.0</v>
      </c>
      <c r="F4" s="6"/>
      <c r="H4" s="9" t="s">
        <v>15</v>
      </c>
    </row>
    <row r="5" spans="2:24" ht="25.5" customHeight="1">
      <c r="C5" s="6"/>
      <c r="D5" s="6"/>
      <c r="E5" s="6"/>
      <c r="F5" s="6"/>
      <c r="H5" s="11">
        <f>MAX(B9:B14)</f>
        <v>1</v>
      </c>
    </row>
    <row r="6" spans="2:24" ht="14.25" thickBot="1"/>
    <row r="7" spans="2:24">
      <c r="C7" s="230" t="s">
        <v>0</v>
      </c>
      <c r="D7" s="231"/>
      <c r="E7" s="232" t="s">
        <v>2</v>
      </c>
      <c r="F7" s="232"/>
      <c r="G7" s="233" t="s">
        <v>5</v>
      </c>
      <c r="H7" s="233"/>
      <c r="I7" s="233"/>
      <c r="J7" s="233"/>
      <c r="K7" s="233"/>
      <c r="L7" s="233"/>
      <c r="M7" s="234" t="s">
        <v>12</v>
      </c>
      <c r="N7" s="234"/>
      <c r="O7" s="234"/>
      <c r="P7" s="234"/>
      <c r="Q7" s="234"/>
      <c r="R7" s="234"/>
      <c r="S7" s="228" t="s">
        <v>215</v>
      </c>
      <c r="T7" s="228"/>
      <c r="U7" s="228"/>
      <c r="V7" s="228"/>
      <c r="W7" s="228"/>
      <c r="X7" s="229"/>
    </row>
    <row r="8" spans="2:24" ht="27.75" thickBot="1">
      <c r="B8" s="9" t="s">
        <v>85</v>
      </c>
      <c r="C8" s="14" t="s">
        <v>16</v>
      </c>
      <c r="D8" s="15" t="s">
        <v>1</v>
      </c>
      <c r="E8" s="16" t="s">
        <v>3</v>
      </c>
      <c r="F8" s="17" t="s">
        <v>4</v>
      </c>
      <c r="G8" s="18" t="s">
        <v>6</v>
      </c>
      <c r="H8" s="18" t="s">
        <v>7</v>
      </c>
      <c r="I8" s="18" t="s">
        <v>8</v>
      </c>
      <c r="J8" s="18" t="s">
        <v>9</v>
      </c>
      <c r="K8" s="18" t="s">
        <v>10</v>
      </c>
      <c r="L8" s="18" t="s">
        <v>11</v>
      </c>
      <c r="M8" s="200" t="s">
        <v>6</v>
      </c>
      <c r="N8" s="200" t="s">
        <v>7</v>
      </c>
      <c r="O8" s="200" t="s">
        <v>8</v>
      </c>
      <c r="P8" s="200" t="s">
        <v>9</v>
      </c>
      <c r="Q8" s="200" t="s">
        <v>10</v>
      </c>
      <c r="R8" s="200" t="s">
        <v>11</v>
      </c>
      <c r="S8" s="201" t="s">
        <v>216</v>
      </c>
      <c r="T8" s="201" t="s">
        <v>7</v>
      </c>
      <c r="U8" s="201" t="s">
        <v>8</v>
      </c>
      <c r="V8" s="201" t="s">
        <v>9</v>
      </c>
      <c r="W8" s="201" t="s">
        <v>10</v>
      </c>
      <c r="X8" s="202" t="s">
        <v>11</v>
      </c>
    </row>
    <row r="9" spans="2:24" ht="14.25" thickTop="1">
      <c r="B9" s="9">
        <f>IF(C9=0,0,ROW()-ROW($B$8))</f>
        <v>1</v>
      </c>
      <c r="C9" s="12" t="s">
        <v>194</v>
      </c>
      <c r="D9" s="197" t="s">
        <v>19</v>
      </c>
      <c r="E9" s="189" t="s">
        <v>198</v>
      </c>
      <c r="F9" s="189" t="s">
        <v>214</v>
      </c>
      <c r="G9" s="189" t="s">
        <v>198</v>
      </c>
      <c r="H9" s="189" t="s">
        <v>198</v>
      </c>
      <c r="I9" s="189" t="s">
        <v>198</v>
      </c>
      <c r="J9" s="189" t="s">
        <v>198</v>
      </c>
      <c r="K9" s="189" t="s">
        <v>198</v>
      </c>
      <c r="L9" s="189" t="s">
        <v>198</v>
      </c>
      <c r="M9" s="1"/>
      <c r="N9" s="203"/>
      <c r="O9" s="1"/>
      <c r="P9" s="203"/>
      <c r="Q9" s="1"/>
      <c r="R9" s="203"/>
      <c r="S9" s="1"/>
      <c r="T9" s="1"/>
      <c r="U9" s="1"/>
      <c r="V9" s="1"/>
      <c r="W9" s="1" t="s">
        <v>217</v>
      </c>
      <c r="X9" s="169">
        <v>45302</v>
      </c>
    </row>
    <row r="10" spans="2:24" ht="148.5">
      <c r="C10" s="12" t="s">
        <v>246</v>
      </c>
      <c r="D10" s="168" t="s">
        <v>250</v>
      </c>
      <c r="E10" s="1" t="s">
        <v>198</v>
      </c>
      <c r="F10" s="1" t="s">
        <v>214</v>
      </c>
      <c r="G10" s="1"/>
      <c r="H10" s="1"/>
      <c r="I10" s="1"/>
      <c r="J10" s="1"/>
      <c r="K10" s="1" t="s">
        <v>245</v>
      </c>
      <c r="L10" s="203">
        <v>45839</v>
      </c>
      <c r="M10" s="1" t="s">
        <v>198</v>
      </c>
      <c r="N10" s="1" t="s">
        <v>198</v>
      </c>
      <c r="O10" s="1" t="s">
        <v>198</v>
      </c>
      <c r="P10" s="1" t="s">
        <v>198</v>
      </c>
      <c r="Q10" s="1" t="s">
        <v>198</v>
      </c>
      <c r="R10" s="1" t="s">
        <v>198</v>
      </c>
      <c r="S10" s="1" t="s">
        <v>198</v>
      </c>
      <c r="T10" s="1" t="s">
        <v>198</v>
      </c>
      <c r="U10" s="1" t="s">
        <v>198</v>
      </c>
      <c r="V10" s="1" t="s">
        <v>198</v>
      </c>
      <c r="W10" s="1" t="s">
        <v>198</v>
      </c>
      <c r="X10" s="169" t="s">
        <v>198</v>
      </c>
    </row>
    <row r="11" spans="2:24">
      <c r="B11" s="9">
        <f>IF(C11=0,0,ROW()-ROW($B$8))</f>
        <v>0</v>
      </c>
      <c r="C11" s="2"/>
      <c r="D11" s="1"/>
      <c r="E11" s="1"/>
      <c r="F11" s="1"/>
      <c r="G11" s="1"/>
      <c r="H11" s="1"/>
      <c r="I11" s="1"/>
      <c r="J11" s="1"/>
      <c r="K11" s="1"/>
      <c r="L11" s="1"/>
      <c r="M11" s="1"/>
      <c r="N11" s="1"/>
      <c r="O11" s="1"/>
      <c r="P11" s="1"/>
      <c r="Q11" s="1"/>
      <c r="R11" s="1"/>
      <c r="S11" s="1"/>
      <c r="T11" s="1"/>
      <c r="U11" s="1"/>
      <c r="V11" s="1"/>
      <c r="W11" s="1"/>
      <c r="X11" s="64"/>
    </row>
    <row r="12" spans="2:24">
      <c r="B12" s="9">
        <f>IF(C12=0,0,ROW()-ROW($B$8))</f>
        <v>0</v>
      </c>
      <c r="C12" s="2"/>
      <c r="D12" s="1"/>
      <c r="E12" s="1"/>
      <c r="F12" s="1"/>
      <c r="G12" s="1"/>
      <c r="H12" s="1"/>
      <c r="I12" s="1"/>
      <c r="J12" s="1"/>
      <c r="K12" s="1"/>
      <c r="L12" s="1"/>
      <c r="M12" s="1"/>
      <c r="N12" s="1"/>
      <c r="O12" s="1"/>
      <c r="P12" s="1"/>
      <c r="Q12" s="1"/>
      <c r="R12" s="1"/>
      <c r="S12" s="1"/>
      <c r="T12" s="1"/>
      <c r="U12" s="1"/>
      <c r="V12" s="1"/>
      <c r="W12" s="1"/>
      <c r="X12" s="64"/>
    </row>
    <row r="13" spans="2:24" ht="14.25" thickBot="1">
      <c r="B13" s="9">
        <f>IF(C13=0,0,ROW()-ROW($B$8))</f>
        <v>0</v>
      </c>
      <c r="C13" s="3"/>
      <c r="D13" s="4"/>
      <c r="E13" s="4"/>
      <c r="F13" s="4"/>
      <c r="G13" s="4"/>
      <c r="H13" s="4"/>
      <c r="I13" s="4"/>
      <c r="J13" s="4"/>
      <c r="K13" s="4"/>
      <c r="L13" s="4"/>
      <c r="M13" s="4"/>
      <c r="N13" s="4"/>
      <c r="O13" s="4"/>
      <c r="P13" s="4"/>
      <c r="Q13" s="4"/>
      <c r="R13" s="4"/>
      <c r="S13" s="4"/>
      <c r="T13" s="4"/>
      <c r="U13" s="4"/>
      <c r="V13" s="4"/>
      <c r="W13" s="4"/>
      <c r="X13"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6" t="s">
        <v>120</v>
      </c>
    </row>
    <row r="3" spans="2:5">
      <c r="C3" t="s">
        <v>130</v>
      </c>
    </row>
    <row r="6" spans="2:5" ht="14.25" thickBot="1">
      <c r="B6" s="146" t="s">
        <v>121</v>
      </c>
      <c r="C6" s="146"/>
    </row>
    <row r="7" spans="2:5" ht="14.25" thickBot="1">
      <c r="C7" s="68" t="s">
        <v>123</v>
      </c>
      <c r="D7" s="76"/>
      <c r="E7" s="69" t="s">
        <v>131</v>
      </c>
    </row>
    <row r="8" spans="2:5" ht="20.25" customHeight="1" thickTop="1">
      <c r="C8" s="150">
        <v>0</v>
      </c>
      <c r="D8" s="77" t="s">
        <v>132</v>
      </c>
      <c r="E8" s="149" t="s">
        <v>133</v>
      </c>
    </row>
    <row r="9" spans="2:5" ht="27">
      <c r="C9" s="156">
        <v>1</v>
      </c>
      <c r="D9" s="158" t="s">
        <v>150</v>
      </c>
      <c r="E9" s="157" t="s">
        <v>149</v>
      </c>
    </row>
    <row r="10" spans="2:5" ht="14.25" thickBot="1">
      <c r="C10" s="154"/>
      <c r="D10" s="79"/>
      <c r="E10" s="5"/>
    </row>
    <row r="11" spans="2:5">
      <c r="C11" s="152"/>
    </row>
    <row r="12" spans="2:5" ht="14.25" thickBot="1">
      <c r="B12" s="147" t="s">
        <v>122</v>
      </c>
      <c r="C12" s="75"/>
      <c r="D12" s="75"/>
    </row>
    <row r="13" spans="2:5" ht="14.25" thickBot="1">
      <c r="B13" s="148"/>
      <c r="C13" s="153" t="s">
        <v>123</v>
      </c>
      <c r="D13" s="76" t="s">
        <v>124</v>
      </c>
      <c r="E13" s="69" t="s">
        <v>125</v>
      </c>
    </row>
    <row r="14" spans="2:5" ht="14.25" thickTop="1">
      <c r="C14" s="150">
        <v>0</v>
      </c>
      <c r="D14" s="77" t="s">
        <v>138</v>
      </c>
      <c r="E14" s="155" t="s">
        <v>139</v>
      </c>
    </row>
    <row r="15" spans="2:5">
      <c r="C15" s="151">
        <v>1</v>
      </c>
      <c r="D15" s="78" t="s">
        <v>22</v>
      </c>
      <c r="E15" s="64" t="s">
        <v>126</v>
      </c>
    </row>
    <row r="16" spans="2:5">
      <c r="C16" s="151">
        <v>2</v>
      </c>
      <c r="D16" s="78" t="s">
        <v>23</v>
      </c>
      <c r="E16" s="64" t="s">
        <v>127</v>
      </c>
    </row>
    <row r="17" spans="2:5">
      <c r="C17" s="151">
        <v>3</v>
      </c>
      <c r="D17" s="78" t="s">
        <v>24</v>
      </c>
      <c r="E17" s="64" t="s">
        <v>128</v>
      </c>
    </row>
    <row r="18" spans="2:5">
      <c r="C18" s="151">
        <v>4</v>
      </c>
      <c r="D18" s="78" t="s">
        <v>25</v>
      </c>
      <c r="E18" s="64" t="s">
        <v>129</v>
      </c>
    </row>
    <row r="19" spans="2:5">
      <c r="C19" s="151">
        <v>5</v>
      </c>
      <c r="D19" s="78" t="s">
        <v>140</v>
      </c>
      <c r="E19" s="64" t="s">
        <v>142</v>
      </c>
    </row>
    <row r="20" spans="2:5">
      <c r="C20" s="151">
        <v>6</v>
      </c>
      <c r="D20" s="78" t="s">
        <v>146</v>
      </c>
      <c r="E20" s="64" t="s">
        <v>158</v>
      </c>
    </row>
    <row r="21" spans="2:5" ht="14.25" thickBot="1">
      <c r="C21" s="154"/>
      <c r="D21" s="79"/>
      <c r="E21" s="5"/>
    </row>
    <row r="24" spans="2:5" ht="14.25" thickBot="1">
      <c r="B24" s="146" t="s">
        <v>134</v>
      </c>
    </row>
    <row r="25" spans="2:5" ht="14.25" thickBot="1">
      <c r="C25" s="153" t="s">
        <v>123</v>
      </c>
      <c r="D25" s="76" t="s">
        <v>124</v>
      </c>
      <c r="E25" s="69" t="s">
        <v>125</v>
      </c>
    </row>
    <row r="26" spans="2:5" ht="30.75" customHeight="1" thickTop="1">
      <c r="C26" s="150">
        <v>0</v>
      </c>
      <c r="D26" s="77" t="s">
        <v>135</v>
      </c>
      <c r="E26" s="155" t="s">
        <v>143</v>
      </c>
    </row>
    <row r="27" spans="2:5" ht="120" customHeight="1">
      <c r="C27" s="151">
        <v>1</v>
      </c>
      <c r="D27" s="78" t="s">
        <v>160</v>
      </c>
      <c r="E27" s="80" t="s">
        <v>162</v>
      </c>
    </row>
    <row r="28" spans="2:5" ht="81" customHeight="1">
      <c r="C28" s="151">
        <v>2</v>
      </c>
      <c r="D28" s="78" t="s">
        <v>157</v>
      </c>
      <c r="E28" s="80" t="s">
        <v>166</v>
      </c>
    </row>
    <row r="29" spans="2:5" ht="45" customHeight="1">
      <c r="C29" s="151">
        <v>3</v>
      </c>
      <c r="D29" s="78" t="s">
        <v>141</v>
      </c>
      <c r="E29" s="80" t="s">
        <v>144</v>
      </c>
    </row>
    <row r="30" spans="2:5" ht="16.5" customHeight="1">
      <c r="C30" s="151">
        <v>4</v>
      </c>
      <c r="D30" s="78" t="s">
        <v>136</v>
      </c>
      <c r="E30" s="64" t="s">
        <v>148</v>
      </c>
    </row>
    <row r="31" spans="2:5" ht="16.5" customHeight="1">
      <c r="C31" s="151">
        <v>5</v>
      </c>
      <c r="D31" s="78" t="s">
        <v>137</v>
      </c>
      <c r="E31" s="64" t="s">
        <v>145</v>
      </c>
    </row>
    <row r="32" spans="2:5">
      <c r="C32" s="151"/>
      <c r="D32" s="78"/>
      <c r="E32" s="64"/>
    </row>
    <row r="33" spans="2:5">
      <c r="C33" s="151"/>
      <c r="D33" s="78"/>
      <c r="E33" s="64"/>
    </row>
    <row r="34" spans="2:5" ht="14.25" thickBot="1">
      <c r="C34" s="154"/>
      <c r="D34" s="79"/>
      <c r="E34" s="5"/>
    </row>
    <row r="37" spans="2:5" ht="14.25" thickBot="1">
      <c r="B37" s="146" t="s">
        <v>154</v>
      </c>
    </row>
    <row r="38" spans="2:5">
      <c r="C38" s="235"/>
      <c r="D38" s="236"/>
      <c r="E38" s="104" t="s">
        <v>111</v>
      </c>
    </row>
    <row r="39" spans="2:5" ht="14.25" thickBot="1">
      <c r="C39" s="237"/>
      <c r="D39" s="238"/>
      <c r="E39" s="5" t="s">
        <v>112</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FFCC"/>
  </sheetPr>
  <dimension ref="B1:N37"/>
  <sheetViews>
    <sheetView tabSelected="1" workbookViewId="0">
      <selection activeCell="A7" sqref="A7"/>
    </sheetView>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249" t="s">
        <v>18</v>
      </c>
      <c r="C2" s="250"/>
      <c r="D2" s="257" t="s">
        <v>247</v>
      </c>
      <c r="E2" s="258"/>
      <c r="F2" s="258"/>
      <c r="G2" s="258"/>
      <c r="H2" s="259"/>
    </row>
    <row r="3" spans="2:14">
      <c r="B3" s="239" t="s">
        <v>109</v>
      </c>
      <c r="C3" s="240"/>
      <c r="D3" s="260" t="s">
        <v>248</v>
      </c>
      <c r="E3" s="261"/>
      <c r="F3" s="261"/>
      <c r="G3" s="261"/>
      <c r="H3" s="262"/>
    </row>
    <row r="4" spans="2:14" ht="14.25" thickBot="1">
      <c r="B4" s="244" t="s">
        <v>17</v>
      </c>
      <c r="C4" s="245"/>
      <c r="D4" s="263" t="str">
        <f ca="1">表紙!D3&amp;".c"</f>
        <v>alert_S_PMAR-CSTD-A0-01-A-C0.c</v>
      </c>
      <c r="E4" s="264"/>
      <c r="F4" s="264"/>
      <c r="G4" s="264"/>
      <c r="H4" s="265"/>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49" t="s">
        <v>34</v>
      </c>
      <c r="C6" s="250"/>
      <c r="D6" s="251" t="str">
        <f ca="1">MID(D4, LEN("alert_") + 1, FIND("-",D4,1) - LEN("alert_") - 1)</f>
        <v>S_PMAR</v>
      </c>
      <c r="E6" s="252"/>
      <c r="F6" s="252"/>
      <c r="G6" s="252"/>
      <c r="H6" s="253"/>
    </row>
    <row r="7" spans="2:14">
      <c r="B7" s="239" t="s">
        <v>35</v>
      </c>
      <c r="C7" s="240"/>
      <c r="D7" s="254">
        <f>COUNTA($D$13:$D$37)</f>
        <v>1</v>
      </c>
      <c r="E7" s="255"/>
      <c r="F7" s="255"/>
      <c r="G7" s="255"/>
      <c r="H7" s="256"/>
    </row>
    <row r="8" spans="2:14">
      <c r="B8" s="239" t="s">
        <v>88</v>
      </c>
      <c r="C8" s="240"/>
      <c r="D8" s="254" t="str">
        <f ca="1">"st_gp_ALERT_"&amp;UPPER(D6)&amp;"_MTRX"</f>
        <v>st_gp_ALERT_S_PMAR_MTRX</v>
      </c>
      <c r="E8" s="255"/>
      <c r="F8" s="255"/>
      <c r="G8" s="255"/>
      <c r="H8" s="256"/>
    </row>
    <row r="9" spans="2:14">
      <c r="B9" s="239" t="s">
        <v>36</v>
      </c>
      <c r="C9" s="240"/>
      <c r="D9" s="241" t="s">
        <v>197</v>
      </c>
      <c r="E9" s="242"/>
      <c r="F9" s="242"/>
      <c r="G9" s="242"/>
      <c r="H9" s="243"/>
    </row>
    <row r="10" spans="2:14" ht="14.25" thickBot="1">
      <c r="B10" s="244" t="s">
        <v>207</v>
      </c>
      <c r="C10" s="245"/>
      <c r="D10" s="246"/>
      <c r="E10" s="247"/>
      <c r="F10" s="247"/>
      <c r="G10" s="247"/>
      <c r="H10" s="248"/>
    </row>
    <row r="11" spans="2:14" ht="14.25" thickBot="1"/>
    <row r="12" spans="2:14" ht="14.25" thickBot="1">
      <c r="B12" s="137" t="s">
        <v>32</v>
      </c>
      <c r="C12" s="94" t="s">
        <v>41</v>
      </c>
      <c r="D12" s="95" t="s">
        <v>33</v>
      </c>
      <c r="E12" s="95" t="s">
        <v>37</v>
      </c>
      <c r="F12" s="95" t="s">
        <v>38</v>
      </c>
      <c r="G12" s="95" t="s">
        <v>39</v>
      </c>
      <c r="H12" s="96" t="s">
        <v>40</v>
      </c>
      <c r="I12" s="142" t="s">
        <v>47</v>
      </c>
      <c r="K12" s="35" t="s">
        <v>33</v>
      </c>
      <c r="L12" s="35" t="s">
        <v>36</v>
      </c>
      <c r="M12" t="s">
        <v>80</v>
      </c>
    </row>
    <row r="13" spans="2:14" ht="14.25" thickTop="1">
      <c r="B13" s="97">
        <v>1</v>
      </c>
      <c r="C13" s="102" t="s">
        <v>195</v>
      </c>
      <c r="D13" s="187" t="s">
        <v>44</v>
      </c>
      <c r="E13" s="103" t="s">
        <v>195</v>
      </c>
      <c r="F13" s="41" t="str">
        <f t="shared" ref="F13:F37" ca="1" si="0">IF($D13&lt;&gt;"","u4_s_Alert"&amp;UPPER(LEFT($D$6,1))&amp;LOWER(MID($D$6,2,100))&amp;IF($D$7=1,"",N13)&amp;"Srcchk","")</f>
        <v>u4_s_AlertS_pmarSrcchk</v>
      </c>
      <c r="G13" s="41" t="str">
        <f t="shared" ref="G13:G37" si="1">IF($D13&lt;&gt;"",IF($E13="○","vd_s_Alert"&amp;UPPER(LEFT($D$6,1))&amp;LOWER(MID($D$6,2,100))&amp;IF($D$7=1,"",N13)&amp;"RwTx","NULL"),"")</f>
        <v>NULL</v>
      </c>
      <c r="H13" s="101" t="str">
        <f ca="1">IF($D13&lt;&gt;"","ALERT_CH_"&amp;UPPER($D$6)&amp;IF($D$7=1,"","_"&amp;UPPER($C13)),"")</f>
        <v>ALERT_CH_S_PMAR</v>
      </c>
      <c r="I13" s="143" t="str">
        <f ca="1">IF($D13&lt;&gt;"","ALERT_REQ_"&amp;UPPER($D$6)&amp;IF($D$7=1,"","_"&amp;UPPER($C13)),"")</f>
        <v>ALERT_REQ_S_PMAR</v>
      </c>
      <c r="K13" t="s">
        <v>42</v>
      </c>
      <c r="L13" t="s">
        <v>46</v>
      </c>
      <c r="M13" t="e">
        <f t="shared" ref="M13:M37" si="2">FIND("_",C13,1)</f>
        <v>#VALUE!</v>
      </c>
      <c r="N13" t="str">
        <f t="shared" ref="N13:N37" si="3">IF(IFERROR(M13,0),UPPER(LEFT(C13,1))&amp;LOWER(MID(C13,2,M13-2))&amp;UPPER(MID(C13,M13+1,1))&amp;LOWER(MID(C13,M13+2,100)),UPPER(LEFT(C13,1))&amp;LOWER(MID(C13,2,100)))</f>
        <v>－</v>
      </c>
    </row>
    <row r="14" spans="2:14">
      <c r="B14" s="87">
        <v>2</v>
      </c>
      <c r="C14" s="188"/>
      <c r="D14" s="187"/>
      <c r="E14" s="178"/>
      <c r="F14" s="36" t="str">
        <f t="shared" si="0"/>
        <v/>
      </c>
      <c r="G14" s="36" t="str">
        <f t="shared" si="1"/>
        <v/>
      </c>
      <c r="H14" s="57" t="str">
        <f t="shared" ref="H14:H37" si="4">IF($D14&lt;&gt;"","ALERT_CH_"&amp;UPPER($D$6)&amp;IF($D$7=1,"","_"&amp;UPPER($C14)),"")</f>
        <v/>
      </c>
      <c r="I14" s="144" t="str">
        <f t="shared" ref="I14:I37" si="5">IF($D14&lt;&gt;"","ALERT_REQ_"&amp;UPPER($D$6)&amp;IF($D$7=1,"","_"&amp;UPPER($C14)),"")</f>
        <v/>
      </c>
      <c r="K14" t="s">
        <v>43</v>
      </c>
      <c r="L14" t="str">
        <f ca="1">"vd_g_Alert"&amp;UPPER(LEFT(D6,1))&amp;LOWER(MID(D6,2,100))&amp;"Init"</f>
        <v>vd_g_AlertS_pmarInit</v>
      </c>
      <c r="M14" t="e">
        <f t="shared" si="2"/>
        <v>#VALUE!</v>
      </c>
      <c r="N14" t="str">
        <f t="shared" si="3"/>
        <v/>
      </c>
    </row>
    <row r="15" spans="2:14">
      <c r="B15" s="87">
        <v>3</v>
      </c>
      <c r="C15" s="140"/>
      <c r="D15" s="187"/>
      <c r="E15" s="178"/>
      <c r="F15" s="36" t="str">
        <f t="shared" si="0"/>
        <v/>
      </c>
      <c r="G15" s="36" t="str">
        <f t="shared" si="1"/>
        <v/>
      </c>
      <c r="H15" s="57" t="str">
        <f t="shared" si="4"/>
        <v/>
      </c>
      <c r="I15" s="144" t="str">
        <f t="shared" si="5"/>
        <v/>
      </c>
      <c r="K15" t="s">
        <v>113</v>
      </c>
      <c r="M15" t="e">
        <f t="shared" si="2"/>
        <v>#VALUE!</v>
      </c>
      <c r="N15" t="str">
        <f t="shared" si="3"/>
        <v/>
      </c>
    </row>
    <row r="16" spans="2:14">
      <c r="B16" s="87">
        <v>4</v>
      </c>
      <c r="C16" s="140"/>
      <c r="D16" s="141"/>
      <c r="E16" s="141"/>
      <c r="F16" s="36" t="str">
        <f t="shared" si="0"/>
        <v/>
      </c>
      <c r="G16" s="36" t="str">
        <f t="shared" si="1"/>
        <v/>
      </c>
      <c r="H16" s="57" t="str">
        <f t="shared" si="4"/>
        <v/>
      </c>
      <c r="I16" s="144" t="str">
        <f t="shared" si="5"/>
        <v/>
      </c>
      <c r="K16" t="s">
        <v>114</v>
      </c>
      <c r="M16" t="e">
        <f t="shared" si="2"/>
        <v>#VALUE!</v>
      </c>
      <c r="N16" t="str">
        <f t="shared" si="3"/>
        <v/>
      </c>
    </row>
    <row r="17" spans="2:14">
      <c r="B17" s="87">
        <v>5</v>
      </c>
      <c r="C17" s="140"/>
      <c r="D17" s="141"/>
      <c r="E17" s="141"/>
      <c r="F17" s="36" t="str">
        <f t="shared" si="0"/>
        <v/>
      </c>
      <c r="G17" s="36" t="str">
        <f t="shared" si="1"/>
        <v/>
      </c>
      <c r="H17" s="57" t="str">
        <f t="shared" si="4"/>
        <v/>
      </c>
      <c r="I17" s="144" t="str">
        <f t="shared" si="5"/>
        <v/>
      </c>
      <c r="K17" t="s">
        <v>44</v>
      </c>
      <c r="M17" t="e">
        <f t="shared" si="2"/>
        <v>#VALUE!</v>
      </c>
      <c r="N17" t="str">
        <f t="shared" si="3"/>
        <v/>
      </c>
    </row>
    <row r="18" spans="2:14">
      <c r="B18" s="87">
        <v>6</v>
      </c>
      <c r="C18" s="140"/>
      <c r="D18" s="141"/>
      <c r="E18" s="141"/>
      <c r="F18" s="36" t="str">
        <f t="shared" si="0"/>
        <v/>
      </c>
      <c r="G18" s="36" t="str">
        <f t="shared" si="1"/>
        <v/>
      </c>
      <c r="H18" s="57" t="str">
        <f t="shared" si="4"/>
        <v/>
      </c>
      <c r="I18" s="144" t="str">
        <f t="shared" si="5"/>
        <v/>
      </c>
      <c r="K18" t="s">
        <v>45</v>
      </c>
      <c r="M18" t="e">
        <f t="shared" si="2"/>
        <v>#VALUE!</v>
      </c>
      <c r="N18" t="str">
        <f t="shared" si="3"/>
        <v/>
      </c>
    </row>
    <row r="19" spans="2:14">
      <c r="B19" s="87">
        <v>7</v>
      </c>
      <c r="C19" s="140"/>
      <c r="D19" s="141"/>
      <c r="E19" s="141"/>
      <c r="F19" s="36" t="str">
        <f t="shared" si="0"/>
        <v/>
      </c>
      <c r="G19" s="36" t="str">
        <f t="shared" si="1"/>
        <v/>
      </c>
      <c r="H19" s="57" t="str">
        <f t="shared" si="4"/>
        <v/>
      </c>
      <c r="I19" s="144" t="str">
        <f t="shared" si="5"/>
        <v/>
      </c>
      <c r="K19" t="s">
        <v>45</v>
      </c>
      <c r="M19" t="e">
        <f t="shared" si="2"/>
        <v>#VALUE!</v>
      </c>
      <c r="N19" t="str">
        <f t="shared" si="3"/>
        <v/>
      </c>
    </row>
    <row r="20" spans="2:14">
      <c r="B20" s="87">
        <v>8</v>
      </c>
      <c r="C20" s="140"/>
      <c r="D20" s="141"/>
      <c r="E20" s="141"/>
      <c r="F20" s="36" t="str">
        <f t="shared" si="0"/>
        <v/>
      </c>
      <c r="G20" s="36" t="str">
        <f t="shared" si="1"/>
        <v/>
      </c>
      <c r="H20" s="57" t="str">
        <f t="shared" si="4"/>
        <v/>
      </c>
      <c r="I20" s="144" t="str">
        <f t="shared" si="5"/>
        <v/>
      </c>
      <c r="K20" t="s">
        <v>45</v>
      </c>
      <c r="M20" t="e">
        <f t="shared" si="2"/>
        <v>#VALUE!</v>
      </c>
      <c r="N20" t="str">
        <f t="shared" si="3"/>
        <v/>
      </c>
    </row>
    <row r="21" spans="2:14">
      <c r="B21" s="87">
        <v>9</v>
      </c>
      <c r="C21" s="140"/>
      <c r="D21" s="141"/>
      <c r="E21" s="141"/>
      <c r="F21" s="36" t="str">
        <f t="shared" si="0"/>
        <v/>
      </c>
      <c r="G21" s="36" t="str">
        <f t="shared" si="1"/>
        <v/>
      </c>
      <c r="H21" s="57" t="str">
        <f t="shared" si="4"/>
        <v/>
      </c>
      <c r="I21" s="144" t="str">
        <f t="shared" si="5"/>
        <v/>
      </c>
      <c r="K21" t="s">
        <v>45</v>
      </c>
      <c r="M21" t="e">
        <f t="shared" si="2"/>
        <v>#VALUE!</v>
      </c>
      <c r="N21" t="str">
        <f t="shared" si="3"/>
        <v/>
      </c>
    </row>
    <row r="22" spans="2:14">
      <c r="B22" s="87">
        <v>10</v>
      </c>
      <c r="C22" s="140"/>
      <c r="D22" s="141"/>
      <c r="E22" s="141"/>
      <c r="F22" s="36" t="str">
        <f t="shared" si="0"/>
        <v/>
      </c>
      <c r="G22" s="36" t="str">
        <f t="shared" si="1"/>
        <v/>
      </c>
      <c r="H22" s="57" t="str">
        <f t="shared" si="4"/>
        <v/>
      </c>
      <c r="I22" s="144" t="str">
        <f t="shared" si="5"/>
        <v/>
      </c>
      <c r="K22" t="s">
        <v>45</v>
      </c>
      <c r="M22" t="e">
        <f t="shared" si="2"/>
        <v>#VALUE!</v>
      </c>
      <c r="N22" t="str">
        <f t="shared" si="3"/>
        <v/>
      </c>
    </row>
    <row r="23" spans="2:14">
      <c r="B23" s="87">
        <v>11</v>
      </c>
      <c r="C23" s="140"/>
      <c r="D23" s="141"/>
      <c r="E23" s="141"/>
      <c r="F23" s="36" t="str">
        <f t="shared" si="0"/>
        <v/>
      </c>
      <c r="G23" s="36" t="str">
        <f t="shared" si="1"/>
        <v/>
      </c>
      <c r="H23" s="57" t="str">
        <f t="shared" si="4"/>
        <v/>
      </c>
      <c r="I23" s="144" t="str">
        <f t="shared" si="5"/>
        <v/>
      </c>
      <c r="K23" t="s">
        <v>45</v>
      </c>
      <c r="M23" t="e">
        <f t="shared" si="2"/>
        <v>#VALUE!</v>
      </c>
      <c r="N23" t="str">
        <f t="shared" si="3"/>
        <v/>
      </c>
    </row>
    <row r="24" spans="2:14">
      <c r="B24" s="87">
        <v>12</v>
      </c>
      <c r="C24" s="140"/>
      <c r="D24" s="141"/>
      <c r="E24" s="141"/>
      <c r="F24" s="36" t="str">
        <f t="shared" si="0"/>
        <v/>
      </c>
      <c r="G24" s="36" t="str">
        <f t="shared" si="1"/>
        <v/>
      </c>
      <c r="H24" s="57" t="str">
        <f t="shared" si="4"/>
        <v/>
      </c>
      <c r="I24" s="144" t="str">
        <f t="shared" si="5"/>
        <v/>
      </c>
      <c r="K24" t="s">
        <v>45</v>
      </c>
      <c r="M24" t="e">
        <f t="shared" si="2"/>
        <v>#VALUE!</v>
      </c>
      <c r="N24" t="str">
        <f t="shared" si="3"/>
        <v/>
      </c>
    </row>
    <row r="25" spans="2:14">
      <c r="B25" s="87">
        <v>13</v>
      </c>
      <c r="C25" s="140"/>
      <c r="D25" s="141"/>
      <c r="E25" s="141"/>
      <c r="F25" s="36" t="str">
        <f t="shared" si="0"/>
        <v/>
      </c>
      <c r="G25" s="36" t="str">
        <f t="shared" si="1"/>
        <v/>
      </c>
      <c r="H25" s="57" t="str">
        <f t="shared" si="4"/>
        <v/>
      </c>
      <c r="I25" s="144" t="str">
        <f t="shared" si="5"/>
        <v/>
      </c>
      <c r="K25" t="s">
        <v>45</v>
      </c>
      <c r="M25" t="e">
        <f t="shared" si="2"/>
        <v>#VALUE!</v>
      </c>
      <c r="N25" t="str">
        <f t="shared" si="3"/>
        <v/>
      </c>
    </row>
    <row r="26" spans="2:14">
      <c r="B26" s="87">
        <v>14</v>
      </c>
      <c r="C26" s="140"/>
      <c r="D26" s="141"/>
      <c r="E26" s="141"/>
      <c r="F26" s="36" t="str">
        <f t="shared" si="0"/>
        <v/>
      </c>
      <c r="G26" s="36" t="str">
        <f t="shared" si="1"/>
        <v/>
      </c>
      <c r="H26" s="57" t="str">
        <f t="shared" si="4"/>
        <v/>
      </c>
      <c r="I26" s="144" t="str">
        <f t="shared" si="5"/>
        <v/>
      </c>
      <c r="K26" t="s">
        <v>45</v>
      </c>
      <c r="M26" t="e">
        <f t="shared" si="2"/>
        <v>#VALUE!</v>
      </c>
      <c r="N26" t="str">
        <f t="shared" si="3"/>
        <v/>
      </c>
    </row>
    <row r="27" spans="2:14">
      <c r="B27" s="87">
        <v>15</v>
      </c>
      <c r="C27" s="140"/>
      <c r="D27" s="141"/>
      <c r="E27" s="141"/>
      <c r="F27" s="36" t="str">
        <f t="shared" si="0"/>
        <v/>
      </c>
      <c r="G27" s="36" t="str">
        <f t="shared" si="1"/>
        <v/>
      </c>
      <c r="H27" s="57" t="str">
        <f t="shared" si="4"/>
        <v/>
      </c>
      <c r="I27" s="144" t="str">
        <f t="shared" si="5"/>
        <v/>
      </c>
      <c r="K27" t="s">
        <v>45</v>
      </c>
      <c r="M27" t="e">
        <f t="shared" si="2"/>
        <v>#VALUE!</v>
      </c>
      <c r="N27" t="str">
        <f t="shared" si="3"/>
        <v/>
      </c>
    </row>
    <row r="28" spans="2:14">
      <c r="B28" s="87">
        <v>16</v>
      </c>
      <c r="C28" s="140"/>
      <c r="D28" s="141"/>
      <c r="E28" s="141"/>
      <c r="F28" s="36" t="str">
        <f t="shared" si="0"/>
        <v/>
      </c>
      <c r="G28" s="36" t="str">
        <f t="shared" si="1"/>
        <v/>
      </c>
      <c r="H28" s="57" t="str">
        <f t="shared" si="4"/>
        <v/>
      </c>
      <c r="I28" s="144" t="str">
        <f t="shared" si="5"/>
        <v/>
      </c>
      <c r="K28" t="s">
        <v>45</v>
      </c>
      <c r="M28" t="e">
        <f t="shared" si="2"/>
        <v>#VALUE!</v>
      </c>
      <c r="N28" t="str">
        <f t="shared" si="3"/>
        <v/>
      </c>
    </row>
    <row r="29" spans="2:14">
      <c r="B29" s="87">
        <v>17</v>
      </c>
      <c r="C29" s="140"/>
      <c r="D29" s="141"/>
      <c r="E29" s="141"/>
      <c r="F29" s="36" t="str">
        <f t="shared" si="0"/>
        <v/>
      </c>
      <c r="G29" s="36" t="str">
        <f t="shared" si="1"/>
        <v/>
      </c>
      <c r="H29" s="57" t="str">
        <f t="shared" si="4"/>
        <v/>
      </c>
      <c r="I29" s="144" t="str">
        <f t="shared" si="5"/>
        <v/>
      </c>
      <c r="K29" t="s">
        <v>45</v>
      </c>
      <c r="M29" t="e">
        <f t="shared" si="2"/>
        <v>#VALUE!</v>
      </c>
      <c r="N29" t="str">
        <f t="shared" si="3"/>
        <v/>
      </c>
    </row>
    <row r="30" spans="2:14">
      <c r="B30" s="87">
        <v>18</v>
      </c>
      <c r="C30" s="140"/>
      <c r="D30" s="141"/>
      <c r="E30" s="141"/>
      <c r="F30" s="36" t="str">
        <f t="shared" si="0"/>
        <v/>
      </c>
      <c r="G30" s="36" t="str">
        <f t="shared" si="1"/>
        <v/>
      </c>
      <c r="H30" s="57" t="str">
        <f t="shared" si="4"/>
        <v/>
      </c>
      <c r="I30" s="144" t="str">
        <f t="shared" si="5"/>
        <v/>
      </c>
      <c r="K30" t="s">
        <v>45</v>
      </c>
      <c r="M30" t="e">
        <f t="shared" si="2"/>
        <v>#VALUE!</v>
      </c>
      <c r="N30" t="str">
        <f t="shared" si="3"/>
        <v/>
      </c>
    </row>
    <row r="31" spans="2:14">
      <c r="B31" s="87">
        <v>19</v>
      </c>
      <c r="C31" s="140"/>
      <c r="D31" s="141"/>
      <c r="E31" s="141"/>
      <c r="F31" s="36" t="str">
        <f t="shared" si="0"/>
        <v/>
      </c>
      <c r="G31" s="36" t="str">
        <f t="shared" si="1"/>
        <v/>
      </c>
      <c r="H31" s="57" t="str">
        <f t="shared" si="4"/>
        <v/>
      </c>
      <c r="I31" s="144" t="str">
        <f t="shared" si="5"/>
        <v/>
      </c>
      <c r="K31" t="s">
        <v>45</v>
      </c>
      <c r="M31" t="e">
        <f t="shared" si="2"/>
        <v>#VALUE!</v>
      </c>
      <c r="N31" t="str">
        <f t="shared" si="3"/>
        <v/>
      </c>
    </row>
    <row r="32" spans="2:14">
      <c r="B32" s="87">
        <v>20</v>
      </c>
      <c r="C32" s="140"/>
      <c r="D32" s="141"/>
      <c r="E32" s="141"/>
      <c r="F32" s="36" t="str">
        <f t="shared" si="0"/>
        <v/>
      </c>
      <c r="G32" s="36" t="str">
        <f t="shared" si="1"/>
        <v/>
      </c>
      <c r="H32" s="57" t="str">
        <f t="shared" si="4"/>
        <v/>
      </c>
      <c r="I32" s="144" t="str">
        <f t="shared" si="5"/>
        <v/>
      </c>
      <c r="K32" t="s">
        <v>45</v>
      </c>
      <c r="M32" t="e">
        <f t="shared" si="2"/>
        <v>#VALUE!</v>
      </c>
      <c r="N32" t="str">
        <f t="shared" si="3"/>
        <v/>
      </c>
    </row>
    <row r="33" spans="2:14">
      <c r="B33" s="87">
        <v>21</v>
      </c>
      <c r="C33" s="140"/>
      <c r="D33" s="141"/>
      <c r="E33" s="141"/>
      <c r="F33" s="36" t="str">
        <f t="shared" si="0"/>
        <v/>
      </c>
      <c r="G33" s="36" t="str">
        <f t="shared" si="1"/>
        <v/>
      </c>
      <c r="H33" s="57" t="str">
        <f t="shared" si="4"/>
        <v/>
      </c>
      <c r="I33" s="144" t="str">
        <f t="shared" si="5"/>
        <v/>
      </c>
      <c r="K33" t="s">
        <v>45</v>
      </c>
      <c r="M33" t="e">
        <f t="shared" si="2"/>
        <v>#VALUE!</v>
      </c>
      <c r="N33" t="str">
        <f t="shared" si="3"/>
        <v/>
      </c>
    </row>
    <row r="34" spans="2:14">
      <c r="B34" s="87">
        <v>22</v>
      </c>
      <c r="C34" s="140"/>
      <c r="D34" s="141"/>
      <c r="E34" s="141"/>
      <c r="F34" s="36" t="str">
        <f t="shared" si="0"/>
        <v/>
      </c>
      <c r="G34" s="36" t="str">
        <f t="shared" si="1"/>
        <v/>
      </c>
      <c r="H34" s="57" t="str">
        <f t="shared" si="4"/>
        <v/>
      </c>
      <c r="I34" s="144" t="str">
        <f t="shared" si="5"/>
        <v/>
      </c>
      <c r="K34" t="s">
        <v>45</v>
      </c>
      <c r="M34" t="e">
        <f t="shared" si="2"/>
        <v>#VALUE!</v>
      </c>
      <c r="N34" t="str">
        <f t="shared" si="3"/>
        <v/>
      </c>
    </row>
    <row r="35" spans="2:14">
      <c r="B35" s="87">
        <v>23</v>
      </c>
      <c r="C35" s="140"/>
      <c r="D35" s="141"/>
      <c r="E35" s="141"/>
      <c r="F35" s="36" t="str">
        <f t="shared" si="0"/>
        <v/>
      </c>
      <c r="G35" s="36" t="str">
        <f t="shared" si="1"/>
        <v/>
      </c>
      <c r="H35" s="57" t="str">
        <f t="shared" si="4"/>
        <v/>
      </c>
      <c r="I35" s="144" t="str">
        <f t="shared" si="5"/>
        <v/>
      </c>
      <c r="K35" t="s">
        <v>45</v>
      </c>
      <c r="M35" t="e">
        <f t="shared" si="2"/>
        <v>#VALUE!</v>
      </c>
      <c r="N35" t="str">
        <f t="shared" si="3"/>
        <v/>
      </c>
    </row>
    <row r="36" spans="2:14">
      <c r="B36" s="87">
        <v>24</v>
      </c>
      <c r="C36" s="140"/>
      <c r="D36" s="141"/>
      <c r="E36" s="141"/>
      <c r="F36" s="36" t="str">
        <f t="shared" si="0"/>
        <v/>
      </c>
      <c r="G36" s="36" t="str">
        <f t="shared" si="1"/>
        <v/>
      </c>
      <c r="H36" s="57" t="str">
        <f t="shared" si="4"/>
        <v/>
      </c>
      <c r="I36" s="144" t="str">
        <f t="shared" si="5"/>
        <v/>
      </c>
      <c r="K36" t="s">
        <v>45</v>
      </c>
      <c r="M36" t="e">
        <f t="shared" si="2"/>
        <v>#VALUE!</v>
      </c>
      <c r="N36" t="str">
        <f t="shared" si="3"/>
        <v/>
      </c>
    </row>
    <row r="37" spans="2:14" ht="14.25" thickBot="1">
      <c r="B37" s="88">
        <v>25</v>
      </c>
      <c r="C37" s="138"/>
      <c r="D37" s="139"/>
      <c r="E37" s="139"/>
      <c r="F37" s="44" t="str">
        <f t="shared" si="0"/>
        <v/>
      </c>
      <c r="G37" s="44" t="str">
        <f t="shared" si="1"/>
        <v/>
      </c>
      <c r="H37" s="58" t="str">
        <f t="shared" si="4"/>
        <v/>
      </c>
      <c r="I37" s="145" t="str">
        <f t="shared" si="5"/>
        <v/>
      </c>
      <c r="K37" t="s">
        <v>45</v>
      </c>
      <c r="M37" t="e">
        <f t="shared" si="2"/>
        <v>#VALUE!</v>
      </c>
      <c r="N37" t="str">
        <f t="shared" si="3"/>
        <v/>
      </c>
    </row>
  </sheetData>
  <sheetProtection sheet="1" objects="1" scenarios="1"/>
  <protectedRanges>
    <protectedRange sqref="D2:H3 D9:H10 C13:E37" name="編集許可"/>
  </protectedRanges>
  <mergeCells count="16">
    <mergeCell ref="B2:C2"/>
    <mergeCell ref="D2:H2"/>
    <mergeCell ref="B3:C3"/>
    <mergeCell ref="D3:H3"/>
    <mergeCell ref="B4:C4"/>
    <mergeCell ref="D4:H4"/>
    <mergeCell ref="B9:C9"/>
    <mergeCell ref="D9:H9"/>
    <mergeCell ref="B10:C10"/>
    <mergeCell ref="D10:H10"/>
    <mergeCell ref="B6:C6"/>
    <mergeCell ref="D6:H6"/>
    <mergeCell ref="B7:C7"/>
    <mergeCell ref="D7:H7"/>
    <mergeCell ref="B8:C8"/>
    <mergeCell ref="D8:H8"/>
  </mergeCells>
  <phoneticPr fontId="2"/>
  <conditionalFormatting sqref="C13:C37">
    <cfRule type="expression" dxfId="8" priority="3">
      <formula>14&lt;LEN($D$6)+LEN($C13)</formula>
    </cfRule>
  </conditionalFormatting>
  <conditionalFormatting sqref="D5">
    <cfRule type="containsText" dxfId="7" priority="1" operator="containsText" text="NG">
      <formula>NOT(ISERROR(SEARCH("NG",D5)))</formula>
    </cfRule>
  </conditionalFormatting>
  <conditionalFormatting sqref="D6">
    <cfRule type="expression" dxfId="6" priority="2">
      <formula>14 &lt; LEN($D$6)</formula>
    </cfRule>
  </conditionalFormatting>
  <dataValidations count="3">
    <dataValidation type="list" allowBlank="1" showInputMessage="1" showErrorMessage="1" sqref="D9" xr:uid="{00000000-0002-0000-0200-000000000000}">
      <formula1>$L$13:$L$14</formula1>
    </dataValidation>
    <dataValidation type="list" allowBlank="1" showInputMessage="1" showErrorMessage="1" sqref="D13:D37" xr:uid="{00000000-0002-0000-0200-000001000000}">
      <formula1>$K$13:$K$37</formula1>
    </dataValidation>
    <dataValidation type="list" allowBlank="1" showInputMessage="1" showErrorMessage="1" sqref="E13:E37" xr:uid="{00000000-0002-0000-0200-000002000000}">
      <formula1>"○,－"</formula1>
    </dataValidation>
  </dataValidations>
  <pageMargins left="0.7" right="0.7" top="0.75" bottom="0.75" header="0.3" footer="0.3"/>
  <headerFooter>
    <oddHeader>&amp;C&amp;"Calibri"&amp;10&amp;KFF0000 CONFIDENTIAL&amp;1#_x000D_</oddHead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FFCC"/>
  </sheetPr>
  <dimension ref="B2:R59"/>
  <sheetViews>
    <sheetView zoomScaleNormal="100" workbookViewId="0">
      <selection activeCell="D16" sqref="D16"/>
    </sheetView>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179</v>
      </c>
      <c r="O2" t="s">
        <v>180</v>
      </c>
    </row>
    <row r="3" spans="2:18" ht="14.25" thickBot="1">
      <c r="B3" s="137" t="s">
        <v>32</v>
      </c>
      <c r="C3" s="95" t="s">
        <v>181</v>
      </c>
      <c r="D3" s="95" t="s">
        <v>182</v>
      </c>
      <c r="E3" s="96" t="s">
        <v>183</v>
      </c>
      <c r="F3" s="184" t="s">
        <v>184</v>
      </c>
      <c r="G3" s="170" t="s">
        <v>206</v>
      </c>
      <c r="H3" s="35"/>
      <c r="I3" s="35"/>
      <c r="J3" s="35"/>
      <c r="K3" s="35"/>
      <c r="L3" s="35"/>
      <c r="M3" s="35"/>
      <c r="O3" s="137" t="s">
        <v>32</v>
      </c>
      <c r="P3" s="171" t="s">
        <v>185</v>
      </c>
      <c r="Q3" s="171" t="s">
        <v>186</v>
      </c>
      <c r="R3" s="170" t="s">
        <v>184</v>
      </c>
    </row>
    <row r="4" spans="2:18" ht="14.25" hidden="1" thickTop="1">
      <c r="B4" s="172">
        <v>0</v>
      </c>
      <c r="C4" s="173" t="s">
        <v>155</v>
      </c>
      <c r="D4" s="173"/>
      <c r="E4" s="174"/>
      <c r="F4" s="185"/>
      <c r="G4" s="186"/>
      <c r="H4" s="35"/>
      <c r="I4" s="35"/>
      <c r="J4" s="35"/>
      <c r="K4" s="35"/>
      <c r="L4" s="35"/>
      <c r="M4" s="35"/>
      <c r="O4" s="175">
        <v>0</v>
      </c>
      <c r="P4" s="176" t="s">
        <v>155</v>
      </c>
      <c r="Q4" s="176" t="s">
        <v>155</v>
      </c>
      <c r="R4" s="132"/>
    </row>
    <row r="5" spans="2:18" ht="14.25" thickTop="1">
      <c r="B5" s="177">
        <v>1</v>
      </c>
      <c r="C5" s="141"/>
      <c r="D5" s="22"/>
      <c r="E5" s="57" t="str">
        <f>IF($C5&lt;&gt;"","ALERT_" &amp; D5 &amp; "_ID_"&amp;UPPER(Matrix!$D$6) &amp; "_" &amp; $C5,"")</f>
        <v/>
      </c>
      <c r="F5" s="108"/>
      <c r="G5" s="57" t="str">
        <f>IF(E5&lt;&gt;"",LEN(E5),"")</f>
        <v/>
      </c>
      <c r="O5" s="177">
        <v>1</v>
      </c>
      <c r="P5" s="141"/>
      <c r="Q5" s="141"/>
      <c r="R5" s="109"/>
    </row>
    <row r="6" spans="2:18">
      <c r="B6" s="177">
        <v>2</v>
      </c>
      <c r="C6" s="141"/>
      <c r="D6" s="22"/>
      <c r="E6" s="57" t="str">
        <f>IF($C6&lt;&gt;"","ALERT_" &amp; D6 &amp; "_ID_"&amp;UPPER(Matrix!$D$6) &amp; "_" &amp; $C6,"")</f>
        <v/>
      </c>
      <c r="F6" s="108"/>
      <c r="G6" s="57" t="str">
        <f t="shared" ref="G6:G29" si="0">IF(E6&lt;&gt;"",LEN(E6),"")</f>
        <v/>
      </c>
      <c r="O6" s="177">
        <v>2</v>
      </c>
      <c r="P6" s="141"/>
      <c r="Q6" s="141"/>
      <c r="R6" s="109"/>
    </row>
    <row r="7" spans="2:18">
      <c r="B7" s="177">
        <v>3</v>
      </c>
      <c r="C7" s="141"/>
      <c r="D7" s="22"/>
      <c r="E7" s="57" t="str">
        <f>IF($C7&lt;&gt;"","ALERT_" &amp; D7 &amp; "_ID_"&amp;UPPER(Matrix!$D$6) &amp; "_" &amp; $C7,"")</f>
        <v/>
      </c>
      <c r="F7" s="108"/>
      <c r="G7" s="57" t="str">
        <f t="shared" si="0"/>
        <v/>
      </c>
      <c r="O7" s="177">
        <v>3</v>
      </c>
      <c r="P7" s="141"/>
      <c r="Q7" s="141"/>
      <c r="R7" s="109"/>
    </row>
    <row r="8" spans="2:18">
      <c r="B8" s="177">
        <v>4</v>
      </c>
      <c r="C8" s="141"/>
      <c r="D8" s="22"/>
      <c r="E8" s="57" t="str">
        <f>IF($C8&lt;&gt;"","ALERT_" &amp; D8 &amp; "_ID_"&amp;UPPER(Matrix!$D$6) &amp; "_" &amp; $C8,"")</f>
        <v/>
      </c>
      <c r="F8" s="108"/>
      <c r="G8" s="57" t="str">
        <f t="shared" si="0"/>
        <v/>
      </c>
      <c r="O8" s="177">
        <v>4</v>
      </c>
      <c r="P8" s="141"/>
      <c r="Q8" s="141"/>
      <c r="R8" s="109"/>
    </row>
    <row r="9" spans="2:18">
      <c r="B9" s="177">
        <v>5</v>
      </c>
      <c r="C9" s="141"/>
      <c r="D9" s="22"/>
      <c r="E9" s="57" t="str">
        <f>IF($C9&lt;&gt;"","ALERT_" &amp; D9 &amp; "_ID_"&amp;UPPER(Matrix!$D$6) &amp; "_" &amp; $C9,"")</f>
        <v/>
      </c>
      <c r="F9" s="108"/>
      <c r="G9" s="57" t="str">
        <f t="shared" si="0"/>
        <v/>
      </c>
      <c r="O9" s="177">
        <v>5</v>
      </c>
      <c r="P9" s="141"/>
      <c r="Q9" s="141"/>
      <c r="R9" s="109"/>
    </row>
    <row r="10" spans="2:18">
      <c r="B10" s="177">
        <v>6</v>
      </c>
      <c r="C10" s="141"/>
      <c r="D10" s="22"/>
      <c r="E10" s="57" t="str">
        <f>IF($C10&lt;&gt;"","ALERT_" &amp; D10 &amp; "_ID_"&amp;UPPER(Matrix!$D$6) &amp; "_" &amp; $C10,"")</f>
        <v/>
      </c>
      <c r="F10" s="108"/>
      <c r="G10" s="57" t="str">
        <f t="shared" si="0"/>
        <v/>
      </c>
      <c r="O10" s="177">
        <v>6</v>
      </c>
      <c r="P10" s="141"/>
      <c r="Q10" s="141"/>
      <c r="R10" s="109"/>
    </row>
    <row r="11" spans="2:18">
      <c r="B11" s="177">
        <v>7</v>
      </c>
      <c r="C11" s="141"/>
      <c r="D11" s="22"/>
      <c r="E11" s="57" t="str">
        <f>IF($C11&lt;&gt;"","ALERT_" &amp; D11 &amp; "_ID_"&amp;UPPER(Matrix!$D$6) &amp; "_" &amp; $C11,"")</f>
        <v/>
      </c>
      <c r="F11" s="108"/>
      <c r="G11" s="57" t="str">
        <f t="shared" si="0"/>
        <v/>
      </c>
      <c r="O11" s="177">
        <v>7</v>
      </c>
      <c r="P11" s="141"/>
      <c r="Q11" s="141"/>
      <c r="R11" s="109"/>
    </row>
    <row r="12" spans="2:18">
      <c r="B12" s="177">
        <v>8</v>
      </c>
      <c r="C12" s="141"/>
      <c r="D12" s="22"/>
      <c r="E12" s="57" t="str">
        <f>IF($C12&lt;&gt;"","ALERT_" &amp; D12 &amp; "_ID_"&amp;UPPER(Matrix!$D$6) &amp; "_" &amp; $C12,"")</f>
        <v/>
      </c>
      <c r="F12" s="108"/>
      <c r="G12" s="57" t="str">
        <f t="shared" si="0"/>
        <v/>
      </c>
      <c r="O12" s="177">
        <v>8</v>
      </c>
      <c r="P12" s="141"/>
      <c r="Q12" s="141"/>
      <c r="R12" s="109"/>
    </row>
    <row r="13" spans="2:18">
      <c r="B13" s="177">
        <v>9</v>
      </c>
      <c r="C13" s="141"/>
      <c r="D13" s="22"/>
      <c r="E13" s="57" t="str">
        <f>IF($C13&lt;&gt;"","ALERT_" &amp; D13 &amp; "_ID_"&amp;UPPER(Matrix!$D$6) &amp; "_" &amp; $C13,"")</f>
        <v/>
      </c>
      <c r="F13" s="108"/>
      <c r="G13" s="57" t="str">
        <f t="shared" si="0"/>
        <v/>
      </c>
      <c r="O13" s="177">
        <v>9</v>
      </c>
      <c r="P13" s="141"/>
      <c r="Q13" s="141"/>
      <c r="R13" s="109"/>
    </row>
    <row r="14" spans="2:18">
      <c r="B14" s="177">
        <v>10</v>
      </c>
      <c r="C14" s="141"/>
      <c r="D14" s="22"/>
      <c r="E14" s="57" t="str">
        <f>IF($C14&lt;&gt;"","ALERT_" &amp; D14 &amp; "_ID_"&amp;UPPER(Matrix!$D$6) &amp; "_" &amp; $C14,"")</f>
        <v/>
      </c>
      <c r="F14" s="108"/>
      <c r="G14" s="57" t="str">
        <f t="shared" si="0"/>
        <v/>
      </c>
      <c r="O14" s="177">
        <v>10</v>
      </c>
      <c r="P14" s="141"/>
      <c r="Q14" s="141"/>
      <c r="R14" s="109"/>
    </row>
    <row r="15" spans="2:18">
      <c r="B15" s="177">
        <v>11</v>
      </c>
      <c r="C15" s="141"/>
      <c r="D15" s="22"/>
      <c r="E15" s="57" t="str">
        <f>IF($C15&lt;&gt;"","ALERT_" &amp; D15 &amp; "_ID_"&amp;UPPER(Matrix!$D$6) &amp; "_" &amp; $C15,"")</f>
        <v/>
      </c>
      <c r="F15" s="108"/>
      <c r="G15" s="57" t="str">
        <f t="shared" si="0"/>
        <v/>
      </c>
      <c r="O15" s="177">
        <v>11</v>
      </c>
      <c r="P15" s="141"/>
      <c r="Q15" s="141"/>
      <c r="R15" s="109"/>
    </row>
    <row r="16" spans="2:18">
      <c r="B16" s="177">
        <v>12</v>
      </c>
      <c r="C16" s="141"/>
      <c r="D16" s="22"/>
      <c r="E16" s="57" t="str">
        <f>IF($C16&lt;&gt;"","ALERT_" &amp; D16 &amp; "_ID_"&amp;UPPER(Matrix!$D$6) &amp; "_" &amp; $C16,"")</f>
        <v/>
      </c>
      <c r="F16" s="108"/>
      <c r="G16" s="57" t="str">
        <f t="shared" si="0"/>
        <v/>
      </c>
      <c r="O16" s="177">
        <v>12</v>
      </c>
      <c r="P16" s="141"/>
      <c r="Q16" s="141"/>
      <c r="R16" s="109"/>
    </row>
    <row r="17" spans="2:18">
      <c r="B17" s="177">
        <v>13</v>
      </c>
      <c r="C17" s="141"/>
      <c r="D17" s="22"/>
      <c r="E17" s="57" t="str">
        <f>IF($C17&lt;&gt;"","ALERT_" &amp; D17 &amp; "_ID_"&amp;UPPER(Matrix!$D$6) &amp; "_" &amp; $C17,"")</f>
        <v/>
      </c>
      <c r="F17" s="108"/>
      <c r="G17" s="57" t="str">
        <f t="shared" si="0"/>
        <v/>
      </c>
      <c r="O17" s="177">
        <v>13</v>
      </c>
      <c r="P17" s="141"/>
      <c r="Q17" s="141"/>
      <c r="R17" s="109"/>
    </row>
    <row r="18" spans="2:18">
      <c r="B18" s="177">
        <v>14</v>
      </c>
      <c r="C18" s="141"/>
      <c r="D18" s="22"/>
      <c r="E18" s="57" t="str">
        <f>IF($C18&lt;&gt;"","ALERT_" &amp; D18 &amp; "_ID_"&amp;UPPER(Matrix!$D$6) &amp; "_" &amp; $C18,"")</f>
        <v/>
      </c>
      <c r="F18" s="108"/>
      <c r="G18" s="57" t="str">
        <f t="shared" si="0"/>
        <v/>
      </c>
      <c r="O18" s="177">
        <v>14</v>
      </c>
      <c r="P18" s="141"/>
      <c r="Q18" s="141"/>
      <c r="R18" s="109"/>
    </row>
    <row r="19" spans="2:18">
      <c r="B19" s="177">
        <v>15</v>
      </c>
      <c r="C19" s="141"/>
      <c r="D19" s="22"/>
      <c r="E19" s="57" t="str">
        <f>IF($C19&lt;&gt;"","ALERT_" &amp; D19 &amp; "_ID_"&amp;UPPER(Matrix!$D$6) &amp; "_" &amp; $C19,"")</f>
        <v/>
      </c>
      <c r="F19" s="108"/>
      <c r="G19" s="57" t="str">
        <f t="shared" si="0"/>
        <v/>
      </c>
      <c r="O19" s="177">
        <v>15</v>
      </c>
      <c r="P19" s="141"/>
      <c r="Q19" s="141"/>
      <c r="R19" s="109"/>
    </row>
    <row r="20" spans="2:18">
      <c r="B20" s="177">
        <v>16</v>
      </c>
      <c r="C20" s="141"/>
      <c r="D20" s="22"/>
      <c r="E20" s="57" t="str">
        <f>IF($C20&lt;&gt;"","ALERT_" &amp; D20 &amp; "_ID_"&amp;UPPER(Matrix!$D$6) &amp; "_" &amp; $C20,"")</f>
        <v/>
      </c>
      <c r="F20" s="108"/>
      <c r="G20" s="57" t="str">
        <f t="shared" si="0"/>
        <v/>
      </c>
      <c r="O20" s="177">
        <v>16</v>
      </c>
      <c r="P20" s="141"/>
      <c r="Q20" s="141"/>
      <c r="R20" s="109"/>
    </row>
    <row r="21" spans="2:18">
      <c r="B21" s="177">
        <v>17</v>
      </c>
      <c r="C21" s="141"/>
      <c r="D21" s="22"/>
      <c r="E21" s="57" t="str">
        <f>IF($C21&lt;&gt;"","ALERT_" &amp; D21 &amp; "_ID_"&amp;UPPER(Matrix!$D$6) &amp; "_" &amp; $C21,"")</f>
        <v/>
      </c>
      <c r="F21" s="108"/>
      <c r="G21" s="57" t="str">
        <f t="shared" si="0"/>
        <v/>
      </c>
      <c r="O21" s="177">
        <v>17</v>
      </c>
      <c r="P21" s="141"/>
      <c r="Q21" s="141"/>
      <c r="R21" s="109"/>
    </row>
    <row r="22" spans="2:18">
      <c r="B22" s="177">
        <v>18</v>
      </c>
      <c r="C22" s="141"/>
      <c r="D22" s="22"/>
      <c r="E22" s="57" t="str">
        <f>IF($C22&lt;&gt;"","ALERT_" &amp; D22 &amp; "_ID_"&amp;UPPER(Matrix!$D$6) &amp; "_" &amp; $C22,"")</f>
        <v/>
      </c>
      <c r="F22" s="108"/>
      <c r="G22" s="57" t="str">
        <f t="shared" si="0"/>
        <v/>
      </c>
      <c r="O22" s="177">
        <v>18</v>
      </c>
      <c r="P22" s="141"/>
      <c r="Q22" s="141"/>
      <c r="R22" s="109"/>
    </row>
    <row r="23" spans="2:18">
      <c r="B23" s="177">
        <v>19</v>
      </c>
      <c r="C23" s="141"/>
      <c r="D23" s="22"/>
      <c r="E23" s="57" t="str">
        <f>IF($C23&lt;&gt;"","ALERT_" &amp; D23 &amp; "_ID_"&amp;UPPER(Matrix!$D$6) &amp; "_" &amp; $C23,"")</f>
        <v/>
      </c>
      <c r="F23" s="108"/>
      <c r="G23" s="57" t="str">
        <f t="shared" si="0"/>
        <v/>
      </c>
      <c r="O23" s="177">
        <v>19</v>
      </c>
      <c r="P23" s="141"/>
      <c r="Q23" s="141"/>
      <c r="R23" s="109"/>
    </row>
    <row r="24" spans="2:18">
      <c r="B24" s="177">
        <v>20</v>
      </c>
      <c r="C24" s="141"/>
      <c r="D24" s="22"/>
      <c r="E24" s="57" t="str">
        <f>IF($C24&lt;&gt;"","ALERT_" &amp; D24 &amp; "_ID_"&amp;UPPER(Matrix!$D$6) &amp; "_" &amp; $C24,"")</f>
        <v/>
      </c>
      <c r="F24" s="108"/>
      <c r="G24" s="57" t="str">
        <f t="shared" si="0"/>
        <v/>
      </c>
      <c r="O24" s="177">
        <v>20</v>
      </c>
      <c r="P24" s="141"/>
      <c r="Q24" s="141"/>
      <c r="R24" s="109"/>
    </row>
    <row r="25" spans="2:18">
      <c r="B25" s="177">
        <v>21</v>
      </c>
      <c r="C25" s="141"/>
      <c r="D25" s="22"/>
      <c r="E25" s="57" t="str">
        <f>IF($C25&lt;&gt;"","ALERT_" &amp; D25 &amp; "_ID_"&amp;UPPER(Matrix!$D$6) &amp; "_" &amp; $C25,"")</f>
        <v/>
      </c>
      <c r="F25" s="108"/>
      <c r="G25" s="57" t="str">
        <f t="shared" si="0"/>
        <v/>
      </c>
      <c r="O25" s="177">
        <v>21</v>
      </c>
      <c r="P25" s="141"/>
      <c r="Q25" s="141"/>
      <c r="R25" s="109"/>
    </row>
    <row r="26" spans="2:18">
      <c r="B26" s="177">
        <v>22</v>
      </c>
      <c r="C26" s="141"/>
      <c r="D26" s="22"/>
      <c r="E26" s="57" t="str">
        <f>IF($C26&lt;&gt;"","ALERT_" &amp; D26 &amp; "_ID_"&amp;UPPER(Matrix!$D$6) &amp; "_" &amp; $C26,"")</f>
        <v/>
      </c>
      <c r="F26" s="108"/>
      <c r="G26" s="57" t="str">
        <f t="shared" si="0"/>
        <v/>
      </c>
      <c r="O26" s="177">
        <v>22</v>
      </c>
      <c r="P26" s="141"/>
      <c r="Q26" s="141"/>
      <c r="R26" s="109"/>
    </row>
    <row r="27" spans="2:18">
      <c r="B27" s="177">
        <v>23</v>
      </c>
      <c r="C27" s="141"/>
      <c r="D27" s="22"/>
      <c r="E27" s="57" t="str">
        <f>IF($C27&lt;&gt;"","ALERT_" &amp; D27 &amp; "_ID_"&amp;UPPER(Matrix!$D$6) &amp; "_" &amp; $C27,"")</f>
        <v/>
      </c>
      <c r="F27" s="108"/>
      <c r="G27" s="57" t="str">
        <f t="shared" si="0"/>
        <v/>
      </c>
      <c r="O27" s="177">
        <v>23</v>
      </c>
      <c r="P27" s="141"/>
      <c r="Q27" s="141"/>
      <c r="R27" s="109"/>
    </row>
    <row r="28" spans="2:18">
      <c r="B28" s="177">
        <v>24</v>
      </c>
      <c r="C28" s="141"/>
      <c r="D28" s="22"/>
      <c r="E28" s="57" t="str">
        <f>IF($C28&lt;&gt;"","ALERT_" &amp; D28 &amp; "_ID_"&amp;UPPER(Matrix!$D$6) &amp; "_" &amp; $C28,"")</f>
        <v/>
      </c>
      <c r="F28" s="108"/>
      <c r="G28" s="57" t="str">
        <f t="shared" si="0"/>
        <v/>
      </c>
      <c r="O28" s="177">
        <v>24</v>
      </c>
      <c r="P28" s="141"/>
      <c r="Q28" s="141"/>
      <c r="R28" s="109"/>
    </row>
    <row r="29" spans="2:18" ht="14.25" thickBot="1">
      <c r="B29" s="179">
        <v>25</v>
      </c>
      <c r="C29" s="139"/>
      <c r="D29" s="43"/>
      <c r="E29" s="58" t="str">
        <f>IF($C29&lt;&gt;"","ALERT_" &amp; D29 &amp; "_ID_"&amp;UPPER(Matrix!$D$6) &amp; "_" &amp; $C29,"")</f>
        <v/>
      </c>
      <c r="F29" s="110"/>
      <c r="G29" s="58" t="str">
        <f t="shared" si="0"/>
        <v/>
      </c>
      <c r="O29" s="179">
        <v>25</v>
      </c>
      <c r="P29" s="139"/>
      <c r="Q29" s="139"/>
      <c r="R29" s="111"/>
    </row>
    <row r="32" spans="2:18" ht="14.25" thickBot="1">
      <c r="B32" t="s">
        <v>187</v>
      </c>
      <c r="O32" t="s">
        <v>188</v>
      </c>
    </row>
    <row r="33" spans="2:18" ht="14.25" thickBot="1">
      <c r="B33" s="137" t="s">
        <v>32</v>
      </c>
      <c r="C33" s="95" t="s">
        <v>181</v>
      </c>
      <c r="D33" s="95" t="s">
        <v>189</v>
      </c>
      <c r="E33" s="96" t="s">
        <v>183</v>
      </c>
      <c r="F33" s="170" t="s">
        <v>190</v>
      </c>
      <c r="G33" s="170" t="s">
        <v>206</v>
      </c>
      <c r="O33" s="137" t="s">
        <v>32</v>
      </c>
      <c r="P33" s="171" t="s">
        <v>191</v>
      </c>
      <c r="Q33" s="171" t="s">
        <v>192</v>
      </c>
      <c r="R33" s="170" t="s">
        <v>184</v>
      </c>
    </row>
    <row r="34" spans="2:18" ht="14.25" hidden="1" thickTop="1">
      <c r="B34" s="172">
        <v>0</v>
      </c>
      <c r="C34" s="173" t="s">
        <v>155</v>
      </c>
      <c r="D34" s="173"/>
      <c r="E34" s="174"/>
      <c r="F34" s="180" t="s">
        <v>155</v>
      </c>
      <c r="G34" s="186"/>
      <c r="O34" s="175">
        <v>0</v>
      </c>
      <c r="P34" s="176" t="s">
        <v>155</v>
      </c>
      <c r="Q34" s="176" t="s">
        <v>155</v>
      </c>
      <c r="R34" s="180" t="s">
        <v>155</v>
      </c>
    </row>
    <row r="35" spans="2:18" ht="14.25" thickTop="1">
      <c r="B35" s="177">
        <v>1</v>
      </c>
      <c r="C35" s="141"/>
      <c r="D35" s="22"/>
      <c r="E35" s="57" t="str">
        <f>IF($C35&lt;&gt;"","ALERT_" &amp; UPPER(Matrix!$D$6) &amp; "_" &amp; $C35,"")</f>
        <v/>
      </c>
      <c r="F35" s="181"/>
      <c r="G35" s="57" t="str">
        <f>IF(E35&lt;&gt;"",LEN(E35),"")</f>
        <v/>
      </c>
      <c r="O35" s="177">
        <v>1</v>
      </c>
      <c r="P35" s="141"/>
      <c r="Q35" s="141"/>
      <c r="R35" s="181"/>
    </row>
    <row r="36" spans="2:18">
      <c r="B36" s="177">
        <v>2</v>
      </c>
      <c r="C36" s="141"/>
      <c r="D36" s="22"/>
      <c r="E36" s="57" t="str">
        <f>IF($C36&lt;&gt;"","ALERT_" &amp; UPPER(Matrix!$D$6) &amp; "_" &amp; $C36,"")</f>
        <v/>
      </c>
      <c r="F36" s="181"/>
      <c r="G36" s="57" t="str">
        <f>IF(E36&lt;&gt;"",LEN(E36),"")</f>
        <v/>
      </c>
      <c r="O36" s="177">
        <v>2</v>
      </c>
      <c r="P36" s="141"/>
      <c r="Q36" s="141"/>
      <c r="R36" s="181"/>
    </row>
    <row r="37" spans="2:18">
      <c r="B37" s="177">
        <v>3</v>
      </c>
      <c r="C37" s="141"/>
      <c r="D37" s="22"/>
      <c r="E37" s="57" t="str">
        <f>IF($C37&lt;&gt;"","ALERT_" &amp; UPPER(Matrix!$D$6) &amp; "_" &amp; $C37,"")</f>
        <v/>
      </c>
      <c r="F37" s="181"/>
      <c r="G37" s="57" t="str">
        <f>IF(E37&lt;&gt;"",LEN(E37),"")</f>
        <v/>
      </c>
      <c r="O37" s="177">
        <v>3</v>
      </c>
      <c r="P37" s="141"/>
      <c r="Q37" s="141"/>
      <c r="R37" s="181"/>
    </row>
    <row r="38" spans="2:18">
      <c r="B38" s="177">
        <v>4</v>
      </c>
      <c r="C38" s="141"/>
      <c r="D38" s="22"/>
      <c r="E38" s="57" t="str">
        <f>IF($C38&lt;&gt;"","ALERT_" &amp; UPPER(Matrix!$D$6) &amp; "_" &amp; $C38,"")</f>
        <v/>
      </c>
      <c r="F38" s="181"/>
      <c r="G38" s="57" t="str">
        <f t="shared" ref="G38:G59" si="1">IF(E38&lt;&gt;"",LEN(E38),"")</f>
        <v/>
      </c>
      <c r="O38" s="177">
        <v>4</v>
      </c>
      <c r="P38" s="141"/>
      <c r="Q38" s="141"/>
      <c r="R38" s="181"/>
    </row>
    <row r="39" spans="2:18">
      <c r="B39" s="177">
        <v>5</v>
      </c>
      <c r="C39" s="141"/>
      <c r="D39" s="22"/>
      <c r="E39" s="57" t="str">
        <f>IF($C39&lt;&gt;"","ALERT_" &amp; UPPER(Matrix!$D$6) &amp; "_" &amp; $C39,"")</f>
        <v/>
      </c>
      <c r="F39" s="181"/>
      <c r="G39" s="57" t="str">
        <f t="shared" si="1"/>
        <v/>
      </c>
      <c r="O39" s="177">
        <v>5</v>
      </c>
      <c r="P39" s="141"/>
      <c r="Q39" s="141"/>
      <c r="R39" s="181"/>
    </row>
    <row r="40" spans="2:18">
      <c r="B40" s="177">
        <v>6</v>
      </c>
      <c r="C40" s="141"/>
      <c r="D40" s="22"/>
      <c r="E40" s="57" t="str">
        <f>IF($C40&lt;&gt;"","ALERT_" &amp; UPPER(Matrix!$D$6) &amp; "_" &amp; $C40,"")</f>
        <v/>
      </c>
      <c r="F40" s="181"/>
      <c r="G40" s="57" t="str">
        <f t="shared" si="1"/>
        <v/>
      </c>
      <c r="O40" s="177">
        <v>6</v>
      </c>
      <c r="P40" s="141"/>
      <c r="Q40" s="141"/>
      <c r="R40" s="181"/>
    </row>
    <row r="41" spans="2:18">
      <c r="B41" s="177">
        <v>7</v>
      </c>
      <c r="C41" s="141"/>
      <c r="D41" s="22"/>
      <c r="E41" s="57" t="str">
        <f>IF($C41&lt;&gt;"","ALERT_" &amp; UPPER(Matrix!$D$6) &amp; "_" &amp; $C41,"")</f>
        <v/>
      </c>
      <c r="F41" s="181"/>
      <c r="G41" s="57" t="str">
        <f t="shared" si="1"/>
        <v/>
      </c>
      <c r="O41" s="177">
        <v>7</v>
      </c>
      <c r="P41" s="141"/>
      <c r="Q41" s="141"/>
      <c r="R41" s="181"/>
    </row>
    <row r="42" spans="2:18">
      <c r="B42" s="177">
        <v>8</v>
      </c>
      <c r="C42" s="141"/>
      <c r="D42" s="22"/>
      <c r="E42" s="57" t="str">
        <f>IF($C42&lt;&gt;"","ALERT_" &amp; UPPER(Matrix!$D$6) &amp; "_" &amp; $C42,"")</f>
        <v/>
      </c>
      <c r="F42" s="181"/>
      <c r="G42" s="57" t="str">
        <f t="shared" si="1"/>
        <v/>
      </c>
      <c r="O42" s="177">
        <v>8</v>
      </c>
      <c r="P42" s="141"/>
      <c r="Q42" s="141"/>
      <c r="R42" s="181"/>
    </row>
    <row r="43" spans="2:18">
      <c r="B43" s="177">
        <v>9</v>
      </c>
      <c r="C43" s="141"/>
      <c r="D43" s="22"/>
      <c r="E43" s="57" t="str">
        <f>IF($C43&lt;&gt;"","ALERT_" &amp; UPPER(Matrix!$D$6) &amp; "_" &amp; $C43,"")</f>
        <v/>
      </c>
      <c r="F43" s="181"/>
      <c r="G43" s="57" t="str">
        <f t="shared" si="1"/>
        <v/>
      </c>
      <c r="O43" s="177">
        <v>9</v>
      </c>
      <c r="P43" s="141"/>
      <c r="Q43" s="141"/>
      <c r="R43" s="181"/>
    </row>
    <row r="44" spans="2:18">
      <c r="B44" s="177">
        <v>10</v>
      </c>
      <c r="C44" s="141"/>
      <c r="D44" s="22"/>
      <c r="E44" s="57" t="str">
        <f>IF($C44&lt;&gt;"","ALERT_" &amp; UPPER(Matrix!$D$6) &amp; "_" &amp; $C44,"")</f>
        <v/>
      </c>
      <c r="F44" s="181"/>
      <c r="G44" s="57" t="str">
        <f t="shared" si="1"/>
        <v/>
      </c>
      <c r="O44" s="177">
        <v>10</v>
      </c>
      <c r="P44" s="141"/>
      <c r="Q44" s="141"/>
      <c r="R44" s="181"/>
    </row>
    <row r="45" spans="2:18">
      <c r="B45" s="177">
        <v>11</v>
      </c>
      <c r="C45" s="141"/>
      <c r="D45" s="22"/>
      <c r="E45" s="57" t="str">
        <f>IF($C45&lt;&gt;"","ALERT_" &amp; UPPER(Matrix!$D$6) &amp; "_" &amp; $C45,"")</f>
        <v/>
      </c>
      <c r="F45" s="181"/>
      <c r="G45" s="57" t="str">
        <f t="shared" si="1"/>
        <v/>
      </c>
      <c r="O45" s="177">
        <v>11</v>
      </c>
      <c r="P45" s="141"/>
      <c r="Q45" s="141"/>
      <c r="R45" s="181"/>
    </row>
    <row r="46" spans="2:18">
      <c r="B46" s="177">
        <v>12</v>
      </c>
      <c r="C46" s="141"/>
      <c r="D46" s="22"/>
      <c r="E46" s="57" t="str">
        <f>IF($C46&lt;&gt;"","ALERT_" &amp; UPPER(Matrix!$D$6) &amp; "_" &amp; $C46,"")</f>
        <v/>
      </c>
      <c r="F46" s="181"/>
      <c r="G46" s="57" t="str">
        <f t="shared" si="1"/>
        <v/>
      </c>
      <c r="O46" s="177">
        <v>12</v>
      </c>
      <c r="P46" s="141"/>
      <c r="Q46" s="141"/>
      <c r="R46" s="181"/>
    </row>
    <row r="47" spans="2:18">
      <c r="B47" s="177">
        <v>13</v>
      </c>
      <c r="C47" s="141"/>
      <c r="D47" s="22"/>
      <c r="E47" s="57" t="str">
        <f>IF($C47&lt;&gt;"","ALERT_" &amp; UPPER(Matrix!$D$6) &amp; "_" &amp; $C47,"")</f>
        <v/>
      </c>
      <c r="F47" s="181"/>
      <c r="G47" s="57" t="str">
        <f t="shared" si="1"/>
        <v/>
      </c>
      <c r="O47" s="177">
        <v>13</v>
      </c>
      <c r="P47" s="141"/>
      <c r="Q47" s="141"/>
      <c r="R47" s="181"/>
    </row>
    <row r="48" spans="2:18">
      <c r="B48" s="177">
        <v>14</v>
      </c>
      <c r="C48" s="141"/>
      <c r="D48" s="22"/>
      <c r="E48" s="57" t="str">
        <f>IF($C48&lt;&gt;"","ALERT_" &amp; UPPER(Matrix!$D$6) &amp; "_" &amp; $C48,"")</f>
        <v/>
      </c>
      <c r="F48" s="181"/>
      <c r="G48" s="57" t="str">
        <f t="shared" si="1"/>
        <v/>
      </c>
      <c r="O48" s="177">
        <v>14</v>
      </c>
      <c r="P48" s="141"/>
      <c r="Q48" s="141"/>
      <c r="R48" s="181"/>
    </row>
    <row r="49" spans="2:18">
      <c r="B49" s="177">
        <v>15</v>
      </c>
      <c r="C49" s="141"/>
      <c r="D49" s="22"/>
      <c r="E49" s="57" t="str">
        <f>IF($C49&lt;&gt;"","ALERT_" &amp; UPPER(Matrix!$D$6) &amp; "_" &amp; $C49,"")</f>
        <v/>
      </c>
      <c r="F49" s="181"/>
      <c r="G49" s="57" t="str">
        <f t="shared" si="1"/>
        <v/>
      </c>
      <c r="O49" s="177">
        <v>15</v>
      </c>
      <c r="P49" s="141"/>
      <c r="Q49" s="141"/>
      <c r="R49" s="181"/>
    </row>
    <row r="50" spans="2:18">
      <c r="B50" s="177">
        <v>16</v>
      </c>
      <c r="C50" s="141"/>
      <c r="D50" s="22"/>
      <c r="E50" s="57" t="str">
        <f>IF($C50&lt;&gt;"","ALERT_" &amp; UPPER(Matrix!$D$6) &amp; "_" &amp; $C50,"")</f>
        <v/>
      </c>
      <c r="F50" s="181"/>
      <c r="G50" s="57" t="str">
        <f t="shared" si="1"/>
        <v/>
      </c>
      <c r="O50" s="177">
        <v>16</v>
      </c>
      <c r="P50" s="141"/>
      <c r="Q50" s="141"/>
      <c r="R50" s="181"/>
    </row>
    <row r="51" spans="2:18">
      <c r="B51" s="177">
        <v>17</v>
      </c>
      <c r="C51" s="141"/>
      <c r="D51" s="22"/>
      <c r="E51" s="57" t="str">
        <f>IF($C51&lt;&gt;"","ALERT_" &amp; UPPER(Matrix!$D$6) &amp; "_" &amp; $C51,"")</f>
        <v/>
      </c>
      <c r="F51" s="181"/>
      <c r="G51" s="57" t="str">
        <f t="shared" si="1"/>
        <v/>
      </c>
      <c r="O51" s="177">
        <v>17</v>
      </c>
      <c r="P51" s="141"/>
      <c r="Q51" s="141"/>
      <c r="R51" s="181"/>
    </row>
    <row r="52" spans="2:18">
      <c r="B52" s="177">
        <v>18</v>
      </c>
      <c r="C52" s="141"/>
      <c r="D52" s="22"/>
      <c r="E52" s="57" t="str">
        <f>IF($C52&lt;&gt;"","ALERT_" &amp; UPPER(Matrix!$D$6) &amp; "_" &amp; $C52,"")</f>
        <v/>
      </c>
      <c r="F52" s="181"/>
      <c r="G52" s="57" t="str">
        <f t="shared" si="1"/>
        <v/>
      </c>
      <c r="O52" s="177">
        <v>18</v>
      </c>
      <c r="P52" s="141"/>
      <c r="Q52" s="141"/>
      <c r="R52" s="181"/>
    </row>
    <row r="53" spans="2:18">
      <c r="B53" s="177">
        <v>19</v>
      </c>
      <c r="C53" s="141"/>
      <c r="D53" s="22"/>
      <c r="E53" s="57" t="str">
        <f>IF($C53&lt;&gt;"","ALERT_" &amp; UPPER(Matrix!$D$6) &amp; "_" &amp; $C53,"")</f>
        <v/>
      </c>
      <c r="F53" s="181"/>
      <c r="G53" s="57" t="str">
        <f t="shared" si="1"/>
        <v/>
      </c>
      <c r="O53" s="177">
        <v>19</v>
      </c>
      <c r="P53" s="141"/>
      <c r="Q53" s="141"/>
      <c r="R53" s="181"/>
    </row>
    <row r="54" spans="2:18">
      <c r="B54" s="177">
        <v>20</v>
      </c>
      <c r="C54" s="141"/>
      <c r="D54" s="22"/>
      <c r="E54" s="57" t="str">
        <f>IF($C54&lt;&gt;"","ALERT_" &amp; UPPER(Matrix!$D$6) &amp; "_" &amp; $C54,"")</f>
        <v/>
      </c>
      <c r="F54" s="181"/>
      <c r="G54" s="57" t="str">
        <f t="shared" si="1"/>
        <v/>
      </c>
      <c r="O54" s="177">
        <v>20</v>
      </c>
      <c r="P54" s="141"/>
      <c r="Q54" s="141"/>
      <c r="R54" s="181"/>
    </row>
    <row r="55" spans="2:18">
      <c r="B55" s="177">
        <v>21</v>
      </c>
      <c r="C55" s="141"/>
      <c r="D55" s="22"/>
      <c r="E55" s="57" t="str">
        <f>IF($C55&lt;&gt;"","ALERT_" &amp; UPPER(Matrix!$D$6) &amp; "_" &amp; $C55,"")</f>
        <v/>
      </c>
      <c r="F55" s="181"/>
      <c r="G55" s="57" t="str">
        <f t="shared" si="1"/>
        <v/>
      </c>
      <c r="O55" s="177">
        <v>21</v>
      </c>
      <c r="P55" s="141"/>
      <c r="Q55" s="141"/>
      <c r="R55" s="181"/>
    </row>
    <row r="56" spans="2:18">
      <c r="B56" s="177">
        <v>22</v>
      </c>
      <c r="C56" s="141"/>
      <c r="D56" s="22"/>
      <c r="E56" s="57" t="str">
        <f>IF($C56&lt;&gt;"","ALERT_" &amp; UPPER(Matrix!$D$6) &amp; "_" &amp; $C56,"")</f>
        <v/>
      </c>
      <c r="F56" s="181"/>
      <c r="G56" s="57" t="str">
        <f t="shared" si="1"/>
        <v/>
      </c>
      <c r="O56" s="177">
        <v>22</v>
      </c>
      <c r="P56" s="141"/>
      <c r="Q56" s="141"/>
      <c r="R56" s="181"/>
    </row>
    <row r="57" spans="2:18">
      <c r="B57" s="177">
        <v>23</v>
      </c>
      <c r="C57" s="141"/>
      <c r="D57" s="22"/>
      <c r="E57" s="57" t="str">
        <f>IF($C57&lt;&gt;"","ALERT_" &amp; UPPER(Matrix!$D$6) &amp; "_" &amp; $C57,"")</f>
        <v/>
      </c>
      <c r="F57" s="181"/>
      <c r="G57" s="57" t="str">
        <f t="shared" si="1"/>
        <v/>
      </c>
      <c r="O57" s="177">
        <v>23</v>
      </c>
      <c r="P57" s="141"/>
      <c r="Q57" s="141"/>
      <c r="R57" s="181"/>
    </row>
    <row r="58" spans="2:18">
      <c r="B58" s="177">
        <v>24</v>
      </c>
      <c r="C58" s="141"/>
      <c r="D58" s="22"/>
      <c r="E58" s="57" t="str">
        <f>IF($C58&lt;&gt;"","ALERT_" &amp; UPPER(Matrix!$D$6) &amp; "_" &amp; $C58,"")</f>
        <v/>
      </c>
      <c r="F58" s="181"/>
      <c r="G58" s="57" t="str">
        <f t="shared" si="1"/>
        <v/>
      </c>
      <c r="O58" s="177">
        <v>24</v>
      </c>
      <c r="P58" s="141"/>
      <c r="Q58" s="141"/>
      <c r="R58" s="181"/>
    </row>
    <row r="59" spans="2:18" ht="14.25" thickBot="1">
      <c r="B59" s="179">
        <v>25</v>
      </c>
      <c r="C59" s="139"/>
      <c r="D59" s="43"/>
      <c r="E59" s="58" t="str">
        <f>IF($C59&lt;&gt;"","ALERT_" &amp; UPPER(Matrix!$D$6) &amp; "_" &amp; $C59,"")</f>
        <v/>
      </c>
      <c r="F59" s="182"/>
      <c r="G59" s="58" t="str">
        <f t="shared" si="1"/>
        <v/>
      </c>
      <c r="O59" s="179">
        <v>25</v>
      </c>
      <c r="P59" s="139"/>
      <c r="Q59" s="139"/>
      <c r="R59" s="182"/>
    </row>
  </sheetData>
  <sheetProtection sheet="1" objects="1" scenarios="1"/>
  <protectedRanges>
    <protectedRange sqref="C5:D29 P5:R29 F5:F29 C35:D59 F35:F59 P35:R59" name="編集許可_1"/>
  </protectedRanges>
  <phoneticPr fontId="2"/>
  <dataValidations count="2">
    <dataValidation type="list" allowBlank="1" showInputMessage="1" showErrorMessage="1" sqref="D35:D59" xr:uid="{00000000-0002-0000-0300-000000000000}">
      <formula1>"DEF"</formula1>
    </dataValidation>
    <dataValidation type="list" allowBlank="1" showInputMessage="1" showErrorMessage="1" sqref="D5:D29" xr:uid="{00000000-0002-0000-0300-000001000000}">
      <formula1>"OPT,HW"</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B5" sqref="B5"/>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1" t="s">
        <v>97</v>
      </c>
    </row>
    <row r="2" spans="2:21" ht="14.25" thickBot="1">
      <c r="B2" s="89" t="s">
        <v>54</v>
      </c>
      <c r="C2" s="90" t="s">
        <v>115</v>
      </c>
      <c r="D2" s="91" t="s">
        <v>48</v>
      </c>
      <c r="E2" s="92" t="s">
        <v>49</v>
      </c>
      <c r="F2" s="93" t="s">
        <v>22</v>
      </c>
      <c r="G2" s="92" t="s">
        <v>50</v>
      </c>
      <c r="H2" s="93" t="s">
        <v>24</v>
      </c>
      <c r="I2" s="92" t="s">
        <v>51</v>
      </c>
      <c r="J2" s="93" t="s">
        <v>153</v>
      </c>
      <c r="K2" s="92" t="s">
        <v>52</v>
      </c>
      <c r="L2" s="93" t="s">
        <v>25</v>
      </c>
      <c r="M2" s="90" t="s">
        <v>53</v>
      </c>
      <c r="N2" s="93" t="s">
        <v>110</v>
      </c>
      <c r="O2" s="114" t="s">
        <v>76</v>
      </c>
    </row>
    <row r="3" spans="2:21" ht="15" hidden="1" thickTop="1" thickBot="1">
      <c r="B3" s="23"/>
      <c r="C3" s="40" t="s">
        <v>101</v>
      </c>
      <c r="D3" s="105"/>
      <c r="E3" s="12"/>
      <c r="F3" s="13"/>
      <c r="G3" s="12"/>
      <c r="H3" s="13"/>
      <c r="I3" s="12"/>
      <c r="J3" s="13"/>
      <c r="K3" s="12"/>
      <c r="L3" s="13"/>
      <c r="M3" s="41"/>
      <c r="N3" s="101"/>
      <c r="O3" s="115"/>
      <c r="U3" s="85" t="s">
        <v>91</v>
      </c>
    </row>
    <row r="4" spans="2:21" ht="14.25" thickTop="1">
      <c r="B4" s="23" t="s">
        <v>249</v>
      </c>
      <c r="C4" s="40" t="s">
        <v>199</v>
      </c>
      <c r="D4" s="105">
        <v>0</v>
      </c>
      <c r="E4" s="106" t="s">
        <v>196</v>
      </c>
      <c r="F4" s="107" t="s">
        <v>198</v>
      </c>
      <c r="G4" s="106" t="s">
        <v>196</v>
      </c>
      <c r="H4" s="107" t="s">
        <v>219</v>
      </c>
      <c r="I4" s="106" t="s">
        <v>196</v>
      </c>
      <c r="J4" s="107" t="s">
        <v>198</v>
      </c>
      <c r="K4" s="106" t="s">
        <v>196</v>
      </c>
      <c r="L4" s="107" t="s">
        <v>198</v>
      </c>
      <c r="M4" s="41">
        <f ca="1">LEN(N4)</f>
        <v>19</v>
      </c>
      <c r="N4" s="101" t="str">
        <f ca="1">VLOOKUP($B4,Matrix!$H$13:$I$37,2,FALSE)&amp;"_"&amp;C4</f>
        <v>ALERT_REQ_S_PMAR_ON</v>
      </c>
      <c r="O4" s="115" t="str">
        <f t="shared" ref="O4:O35" ca="1" si="0">"#define "&amp;N4&amp;REPT(" ",48-M4)&amp;"("&amp;D4&amp;"U)"</f>
        <v>#define ALERT_REQ_S_PMAR_ON                             (0U)</v>
      </c>
      <c r="U4" s="85" t="s">
        <v>91</v>
      </c>
    </row>
    <row r="5" spans="2:21">
      <c r="B5" s="100"/>
      <c r="C5" s="22"/>
      <c r="D5" s="108"/>
      <c r="E5" s="183"/>
      <c r="F5" s="109"/>
      <c r="G5" s="183"/>
      <c r="H5" s="109"/>
      <c r="I5" s="183"/>
      <c r="J5" s="109"/>
      <c r="K5" s="106"/>
      <c r="L5" s="109"/>
      <c r="M5" s="36" t="e">
        <f t="shared" ref="M5:M68" ca="1" si="1">LEN(N5)</f>
        <v>#N/A</v>
      </c>
      <c r="N5" s="101" t="e">
        <f ca="1">VLOOKUP($B5,Matrix!$H$13:$I$37,2,FALSE)&amp;"_"&amp;C5</f>
        <v>#N/A</v>
      </c>
      <c r="O5" s="116" t="e">
        <f t="shared" ca="1" si="0"/>
        <v>#N/A</v>
      </c>
      <c r="U5" s="83" t="s">
        <v>92</v>
      </c>
    </row>
    <row r="6" spans="2:21">
      <c r="B6" s="23"/>
      <c r="C6" s="98"/>
      <c r="D6" s="112"/>
      <c r="E6" s="23"/>
      <c r="F6" s="109"/>
      <c r="G6" s="23"/>
      <c r="H6" s="109"/>
      <c r="I6" s="23"/>
      <c r="J6" s="109"/>
      <c r="K6" s="23"/>
      <c r="L6" s="109"/>
      <c r="M6" s="36" t="e">
        <f t="shared" ca="1" si="1"/>
        <v>#N/A</v>
      </c>
      <c r="N6" s="101" t="e">
        <f ca="1">VLOOKUP($B6,Matrix!$H$13:$I$37,2,FALSE)&amp;"_"&amp;C6</f>
        <v>#N/A</v>
      </c>
      <c r="O6" s="116" t="e">
        <f t="shared" ca="1" si="0"/>
        <v>#N/A</v>
      </c>
      <c r="U6" s="26" t="s">
        <v>93</v>
      </c>
    </row>
    <row r="7" spans="2:21">
      <c r="B7" s="100"/>
      <c r="C7" s="99"/>
      <c r="D7" s="113"/>
      <c r="E7" s="23"/>
      <c r="F7" s="109"/>
      <c r="G7" s="23"/>
      <c r="H7" s="109"/>
      <c r="I7" s="23"/>
      <c r="J7" s="109"/>
      <c r="K7" s="106"/>
      <c r="L7" s="109"/>
      <c r="M7" s="36" t="e">
        <f t="shared" ca="1" si="1"/>
        <v>#N/A</v>
      </c>
      <c r="N7" s="101" t="e">
        <f ca="1">VLOOKUP($B7,Matrix!$H$13:$I$37,2,FALSE)&amp;"_"&amp;C7</f>
        <v>#N/A</v>
      </c>
      <c r="O7" s="116" t="e">
        <f t="shared" ca="1" si="0"/>
        <v>#N/A</v>
      </c>
      <c r="U7" s="26" t="s">
        <v>94</v>
      </c>
    </row>
    <row r="8" spans="2:21">
      <c r="B8" s="100"/>
      <c r="C8" s="99"/>
      <c r="D8" s="113"/>
      <c r="E8" s="23"/>
      <c r="F8" s="109"/>
      <c r="G8" s="23"/>
      <c r="H8" s="109"/>
      <c r="I8" s="23"/>
      <c r="J8" s="109"/>
      <c r="K8" s="106"/>
      <c r="L8" s="109"/>
      <c r="M8" s="36" t="e">
        <f t="shared" ca="1" si="1"/>
        <v>#N/A</v>
      </c>
      <c r="N8" s="101" t="e">
        <f ca="1">VLOOKUP($B8,Matrix!$H$13:$I$37,2,FALSE)&amp;"_"&amp;C8</f>
        <v>#N/A</v>
      </c>
      <c r="O8" s="116" t="e">
        <f t="shared" ca="1" si="0"/>
        <v>#N/A</v>
      </c>
      <c r="U8" s="26" t="s">
        <v>95</v>
      </c>
    </row>
    <row r="9" spans="2:21">
      <c r="B9" s="23"/>
      <c r="C9" s="22"/>
      <c r="D9" s="108"/>
      <c r="E9" s="23"/>
      <c r="F9" s="109"/>
      <c r="G9" s="23"/>
      <c r="H9" s="109"/>
      <c r="I9" s="23"/>
      <c r="J9" s="109"/>
      <c r="K9" s="106"/>
      <c r="L9" s="109"/>
      <c r="M9" s="36" t="e">
        <f t="shared" ca="1" si="1"/>
        <v>#N/A</v>
      </c>
      <c r="N9" s="101" t="e">
        <f ca="1">VLOOKUP($B9,Matrix!$H$13:$I$37,2,FALSE)&amp;"_"&amp;C9</f>
        <v>#N/A</v>
      </c>
      <c r="O9" s="116" t="e">
        <f t="shared" ca="1" si="0"/>
        <v>#N/A</v>
      </c>
      <c r="U9" s="26" t="s">
        <v>96</v>
      </c>
    </row>
    <row r="10" spans="2:21">
      <c r="B10" s="23"/>
      <c r="C10" s="22"/>
      <c r="D10" s="108"/>
      <c r="E10" s="23"/>
      <c r="F10" s="109"/>
      <c r="G10" s="23"/>
      <c r="H10" s="109"/>
      <c r="I10" s="23"/>
      <c r="J10" s="109"/>
      <c r="K10" s="106"/>
      <c r="L10" s="109"/>
      <c r="M10" s="36" t="e">
        <f t="shared" ca="1" si="1"/>
        <v>#N/A</v>
      </c>
      <c r="N10" s="101" t="e">
        <f ca="1">VLOOKUP($B10,Matrix!$H$13:$I$37,2,FALSE)&amp;"_"&amp;C10</f>
        <v>#N/A</v>
      </c>
      <c r="O10" s="116" t="e">
        <f t="shared" ca="1" si="0"/>
        <v>#N/A</v>
      </c>
      <c r="U10" s="26"/>
    </row>
    <row r="11" spans="2:21">
      <c r="B11" s="23"/>
      <c r="C11" s="22"/>
      <c r="D11" s="108"/>
      <c r="E11" s="23"/>
      <c r="F11" s="109"/>
      <c r="G11" s="23"/>
      <c r="H11" s="109"/>
      <c r="I11" s="23"/>
      <c r="J11" s="109"/>
      <c r="K11" s="106"/>
      <c r="L11" s="109"/>
      <c r="M11" s="36" t="e">
        <f t="shared" ca="1" si="1"/>
        <v>#N/A</v>
      </c>
      <c r="N11" s="101" t="e">
        <f ca="1">VLOOKUP($B11,Matrix!$H$13:$I$37,2,FALSE)&amp;"_"&amp;C11</f>
        <v>#N/A</v>
      </c>
      <c r="O11" s="116" t="e">
        <f t="shared" ca="1" si="0"/>
        <v>#N/A</v>
      </c>
      <c r="U11" s="26"/>
    </row>
    <row r="12" spans="2:21">
      <c r="B12" s="23"/>
      <c r="C12" s="22"/>
      <c r="D12" s="108"/>
      <c r="E12" s="23"/>
      <c r="F12" s="109"/>
      <c r="G12" s="23"/>
      <c r="H12" s="109"/>
      <c r="I12" s="23"/>
      <c r="J12" s="109"/>
      <c r="K12" s="106"/>
      <c r="L12" s="109"/>
      <c r="M12" s="36" t="e">
        <f t="shared" ca="1" si="1"/>
        <v>#N/A</v>
      </c>
      <c r="N12" s="101" t="e">
        <f ca="1">VLOOKUP($B12,Matrix!$H$13:$I$37,2,FALSE)&amp;"_"&amp;C12</f>
        <v>#N/A</v>
      </c>
      <c r="O12" s="116" t="e">
        <f t="shared" ca="1" si="0"/>
        <v>#N/A</v>
      </c>
      <c r="U12" s="26"/>
    </row>
    <row r="13" spans="2:21" ht="14.25" thickBot="1">
      <c r="B13" s="23"/>
      <c r="C13" s="22"/>
      <c r="D13" s="108"/>
      <c r="E13" s="23"/>
      <c r="F13" s="109"/>
      <c r="G13" s="23"/>
      <c r="H13" s="109"/>
      <c r="I13" s="23"/>
      <c r="J13" s="109"/>
      <c r="K13" s="106"/>
      <c r="L13" s="109"/>
      <c r="M13" s="36" t="e">
        <f t="shared" ca="1" si="1"/>
        <v>#N/A</v>
      </c>
      <c r="N13" s="101" t="e">
        <f ca="1">VLOOKUP($B13,Matrix!$H$13:$I$37,2,FALSE)&amp;"_"&amp;C13</f>
        <v>#N/A</v>
      </c>
      <c r="O13" s="116" t="e">
        <f t="shared" ca="1" si="0"/>
        <v>#N/A</v>
      </c>
      <c r="U13" s="84"/>
    </row>
    <row r="14" spans="2:21">
      <c r="B14" s="23"/>
      <c r="C14" s="22"/>
      <c r="D14" s="108"/>
      <c r="E14" s="23"/>
      <c r="F14" s="109"/>
      <c r="G14" s="23"/>
      <c r="H14" s="109"/>
      <c r="I14" s="23"/>
      <c r="J14" s="109"/>
      <c r="K14" s="106"/>
      <c r="L14" s="109"/>
      <c r="M14" s="36" t="e">
        <f t="shared" ca="1" si="1"/>
        <v>#N/A</v>
      </c>
      <c r="N14" s="101" t="e">
        <f ca="1">VLOOKUP($B14,Matrix!$H$13:$I$37,2,FALSE)&amp;"_"&amp;C14</f>
        <v>#N/A</v>
      </c>
      <c r="O14" s="116" t="e">
        <f t="shared" ca="1" si="0"/>
        <v>#N/A</v>
      </c>
    </row>
    <row r="15" spans="2:21">
      <c r="B15" s="23"/>
      <c r="C15" s="22"/>
      <c r="D15" s="108"/>
      <c r="E15" s="23"/>
      <c r="F15" s="109"/>
      <c r="G15" s="23"/>
      <c r="H15" s="109"/>
      <c r="I15" s="23"/>
      <c r="J15" s="109"/>
      <c r="K15" s="106"/>
      <c r="L15" s="109"/>
      <c r="M15" s="36" t="e">
        <f t="shared" ca="1" si="1"/>
        <v>#N/A</v>
      </c>
      <c r="N15" s="101" t="e">
        <f ca="1">VLOOKUP($B15,Matrix!$H$13:$I$37,2,FALSE)&amp;"_"&amp;C15</f>
        <v>#N/A</v>
      </c>
      <c r="O15" s="116" t="e">
        <f t="shared" ca="1" si="0"/>
        <v>#N/A</v>
      </c>
    </row>
    <row r="16" spans="2:21">
      <c r="B16" s="23"/>
      <c r="C16" s="22"/>
      <c r="D16" s="108"/>
      <c r="E16" s="23"/>
      <c r="F16" s="109"/>
      <c r="G16" s="23"/>
      <c r="H16" s="109"/>
      <c r="I16" s="23"/>
      <c r="J16" s="109"/>
      <c r="K16" s="106"/>
      <c r="L16" s="109"/>
      <c r="M16" s="36" t="e">
        <f t="shared" ca="1" si="1"/>
        <v>#N/A</v>
      </c>
      <c r="N16" s="101" t="e">
        <f ca="1">VLOOKUP($B16,Matrix!$H$13:$I$37,2,FALSE)&amp;"_"&amp;C16</f>
        <v>#N/A</v>
      </c>
      <c r="O16" s="116" t="e">
        <f t="shared" ca="1" si="0"/>
        <v>#N/A</v>
      </c>
    </row>
    <row r="17" spans="2:15">
      <c r="B17" s="23"/>
      <c r="C17" s="22"/>
      <c r="D17" s="108"/>
      <c r="E17" s="23"/>
      <c r="F17" s="109"/>
      <c r="G17" s="23"/>
      <c r="H17" s="109"/>
      <c r="I17" s="23"/>
      <c r="J17" s="109"/>
      <c r="K17" s="106"/>
      <c r="L17" s="109"/>
      <c r="M17" s="36" t="e">
        <f t="shared" ca="1" si="1"/>
        <v>#N/A</v>
      </c>
      <c r="N17" s="101" t="e">
        <f ca="1">VLOOKUP($B17,Matrix!$H$13:$I$37,2,FALSE)&amp;"_"&amp;C17</f>
        <v>#N/A</v>
      </c>
      <c r="O17" s="116" t="e">
        <f t="shared" ca="1" si="0"/>
        <v>#N/A</v>
      </c>
    </row>
    <row r="18" spans="2:15">
      <c r="B18" s="23"/>
      <c r="C18" s="22"/>
      <c r="D18" s="108"/>
      <c r="E18" s="23"/>
      <c r="F18" s="109"/>
      <c r="G18" s="23"/>
      <c r="H18" s="109"/>
      <c r="I18" s="23"/>
      <c r="J18" s="109"/>
      <c r="K18" s="106"/>
      <c r="L18" s="109"/>
      <c r="M18" s="36" t="e">
        <f t="shared" ca="1" si="1"/>
        <v>#N/A</v>
      </c>
      <c r="N18" s="101" t="e">
        <f ca="1">VLOOKUP($B18,Matrix!$H$13:$I$37,2,FALSE)&amp;"_"&amp;C18</f>
        <v>#N/A</v>
      </c>
      <c r="O18" s="116" t="e">
        <f t="shared" ca="1" si="0"/>
        <v>#N/A</v>
      </c>
    </row>
    <row r="19" spans="2:15">
      <c r="B19" s="23"/>
      <c r="C19" s="22"/>
      <c r="D19" s="108"/>
      <c r="E19" s="23"/>
      <c r="F19" s="109"/>
      <c r="G19" s="23"/>
      <c r="H19" s="109"/>
      <c r="I19" s="23"/>
      <c r="J19" s="109"/>
      <c r="K19" s="106"/>
      <c r="L19" s="109"/>
      <c r="M19" s="36" t="e">
        <f t="shared" ca="1" si="1"/>
        <v>#N/A</v>
      </c>
      <c r="N19" s="101" t="e">
        <f ca="1">VLOOKUP($B19,Matrix!$H$13:$I$37,2,FALSE)&amp;"_"&amp;C19</f>
        <v>#N/A</v>
      </c>
      <c r="O19" s="116" t="e">
        <f t="shared" ca="1" si="0"/>
        <v>#N/A</v>
      </c>
    </row>
    <row r="20" spans="2:15">
      <c r="B20" s="23"/>
      <c r="C20" s="22"/>
      <c r="D20" s="108"/>
      <c r="E20" s="23"/>
      <c r="F20" s="109"/>
      <c r="G20" s="23"/>
      <c r="H20" s="109"/>
      <c r="I20" s="23"/>
      <c r="J20" s="109"/>
      <c r="K20" s="106"/>
      <c r="L20" s="109"/>
      <c r="M20" s="36" t="e">
        <f t="shared" ca="1" si="1"/>
        <v>#N/A</v>
      </c>
      <c r="N20" s="101" t="e">
        <f ca="1">VLOOKUP($B20,Matrix!$H$13:$I$37,2,FALSE)&amp;"_"&amp;C20</f>
        <v>#N/A</v>
      </c>
      <c r="O20" s="116" t="e">
        <f t="shared" ca="1" si="0"/>
        <v>#N/A</v>
      </c>
    </row>
    <row r="21" spans="2:15">
      <c r="B21" s="23"/>
      <c r="C21" s="22"/>
      <c r="D21" s="108"/>
      <c r="E21" s="23"/>
      <c r="F21" s="109"/>
      <c r="G21" s="23"/>
      <c r="H21" s="109"/>
      <c r="I21" s="23"/>
      <c r="J21" s="109"/>
      <c r="K21" s="106"/>
      <c r="L21" s="109"/>
      <c r="M21" s="36" t="e">
        <f t="shared" ca="1" si="1"/>
        <v>#N/A</v>
      </c>
      <c r="N21" s="101" t="e">
        <f ca="1">VLOOKUP($B21,Matrix!$H$13:$I$37,2,FALSE)&amp;"_"&amp;C21</f>
        <v>#N/A</v>
      </c>
      <c r="O21" s="116" t="e">
        <f t="shared" ca="1" si="0"/>
        <v>#N/A</v>
      </c>
    </row>
    <row r="22" spans="2:15">
      <c r="B22" s="23"/>
      <c r="C22" s="22"/>
      <c r="D22" s="108"/>
      <c r="E22" s="23"/>
      <c r="F22" s="109"/>
      <c r="G22" s="23"/>
      <c r="H22" s="109"/>
      <c r="I22" s="23"/>
      <c r="J22" s="109"/>
      <c r="K22" s="106"/>
      <c r="L22" s="109"/>
      <c r="M22" s="36" t="e">
        <f t="shared" ca="1" si="1"/>
        <v>#N/A</v>
      </c>
      <c r="N22" s="101" t="e">
        <f ca="1">VLOOKUP($B22,Matrix!$H$13:$I$37,2,FALSE)&amp;"_"&amp;C22</f>
        <v>#N/A</v>
      </c>
      <c r="O22" s="116" t="e">
        <f t="shared" ca="1" si="0"/>
        <v>#N/A</v>
      </c>
    </row>
    <row r="23" spans="2:15">
      <c r="B23" s="23"/>
      <c r="C23" s="22"/>
      <c r="D23" s="108"/>
      <c r="E23" s="23"/>
      <c r="F23" s="109"/>
      <c r="G23" s="23"/>
      <c r="H23" s="109"/>
      <c r="I23" s="23"/>
      <c r="J23" s="109"/>
      <c r="K23" s="106"/>
      <c r="L23" s="109"/>
      <c r="M23" s="36" t="e">
        <f t="shared" ca="1" si="1"/>
        <v>#N/A</v>
      </c>
      <c r="N23" s="101" t="e">
        <f ca="1">VLOOKUP($B23,Matrix!$H$13:$I$37,2,FALSE)&amp;"_"&amp;C23</f>
        <v>#N/A</v>
      </c>
      <c r="O23" s="116" t="e">
        <f t="shared" ca="1" si="0"/>
        <v>#N/A</v>
      </c>
    </row>
    <row r="24" spans="2:15">
      <c r="B24" s="23"/>
      <c r="C24" s="22"/>
      <c r="D24" s="108"/>
      <c r="E24" s="23"/>
      <c r="F24" s="109"/>
      <c r="G24" s="23"/>
      <c r="H24" s="109"/>
      <c r="I24" s="23"/>
      <c r="J24" s="109"/>
      <c r="K24" s="106"/>
      <c r="L24" s="109"/>
      <c r="M24" s="36" t="e">
        <f t="shared" ca="1" si="1"/>
        <v>#N/A</v>
      </c>
      <c r="N24" s="101" t="e">
        <f ca="1">VLOOKUP($B24,Matrix!$H$13:$I$37,2,FALSE)&amp;"_"&amp;C24</f>
        <v>#N/A</v>
      </c>
      <c r="O24" s="116" t="e">
        <f t="shared" ca="1" si="0"/>
        <v>#N/A</v>
      </c>
    </row>
    <row r="25" spans="2:15">
      <c r="B25" s="23"/>
      <c r="C25" s="22"/>
      <c r="D25" s="108"/>
      <c r="E25" s="23"/>
      <c r="F25" s="109"/>
      <c r="G25" s="23"/>
      <c r="H25" s="109"/>
      <c r="I25" s="23"/>
      <c r="J25" s="109"/>
      <c r="K25" s="106"/>
      <c r="L25" s="109"/>
      <c r="M25" s="36" t="e">
        <f t="shared" ca="1" si="1"/>
        <v>#N/A</v>
      </c>
      <c r="N25" s="101" t="e">
        <f ca="1">VLOOKUP($B25,Matrix!$H$13:$I$37,2,FALSE)&amp;"_"&amp;C25</f>
        <v>#N/A</v>
      </c>
      <c r="O25" s="116" t="e">
        <f t="shared" ca="1" si="0"/>
        <v>#N/A</v>
      </c>
    </row>
    <row r="26" spans="2:15">
      <c r="B26" s="23"/>
      <c r="C26" s="22"/>
      <c r="D26" s="108"/>
      <c r="E26" s="23"/>
      <c r="F26" s="109"/>
      <c r="G26" s="23"/>
      <c r="H26" s="109"/>
      <c r="I26" s="23"/>
      <c r="J26" s="109"/>
      <c r="K26" s="106"/>
      <c r="L26" s="109"/>
      <c r="M26" s="36" t="e">
        <f t="shared" ca="1" si="1"/>
        <v>#N/A</v>
      </c>
      <c r="N26" s="101" t="e">
        <f ca="1">VLOOKUP($B26,Matrix!$H$13:$I$37,2,FALSE)&amp;"_"&amp;C26</f>
        <v>#N/A</v>
      </c>
      <c r="O26" s="116" t="e">
        <f t="shared" ca="1" si="0"/>
        <v>#N/A</v>
      </c>
    </row>
    <row r="27" spans="2:15">
      <c r="B27" s="23"/>
      <c r="C27" s="22"/>
      <c r="D27" s="108"/>
      <c r="E27" s="23"/>
      <c r="F27" s="109"/>
      <c r="G27" s="23"/>
      <c r="H27" s="109"/>
      <c r="I27" s="23"/>
      <c r="J27" s="109"/>
      <c r="K27" s="106"/>
      <c r="L27" s="109"/>
      <c r="M27" s="36" t="e">
        <f t="shared" ca="1" si="1"/>
        <v>#N/A</v>
      </c>
      <c r="N27" s="101" t="e">
        <f ca="1">VLOOKUP($B27,Matrix!$H$13:$I$37,2,FALSE)&amp;"_"&amp;C27</f>
        <v>#N/A</v>
      </c>
      <c r="O27" s="116" t="e">
        <f t="shared" ca="1" si="0"/>
        <v>#N/A</v>
      </c>
    </row>
    <row r="28" spans="2:15">
      <c r="B28" s="23"/>
      <c r="C28" s="22"/>
      <c r="D28" s="108"/>
      <c r="E28" s="23"/>
      <c r="F28" s="109"/>
      <c r="G28" s="23"/>
      <c r="H28" s="109"/>
      <c r="I28" s="23"/>
      <c r="J28" s="109"/>
      <c r="K28" s="106"/>
      <c r="L28" s="109"/>
      <c r="M28" s="36" t="e">
        <f t="shared" ca="1" si="1"/>
        <v>#N/A</v>
      </c>
      <c r="N28" s="101" t="e">
        <f ca="1">VLOOKUP($B28,Matrix!$H$13:$I$37,2,FALSE)&amp;"_"&amp;C28</f>
        <v>#N/A</v>
      </c>
      <c r="O28" s="116" t="e">
        <f t="shared" ca="1" si="0"/>
        <v>#N/A</v>
      </c>
    </row>
    <row r="29" spans="2:15">
      <c r="B29" s="23"/>
      <c r="C29" s="22"/>
      <c r="D29" s="108"/>
      <c r="E29" s="23"/>
      <c r="F29" s="109"/>
      <c r="G29" s="23"/>
      <c r="H29" s="109"/>
      <c r="I29" s="23"/>
      <c r="J29" s="109"/>
      <c r="K29" s="106"/>
      <c r="L29" s="109"/>
      <c r="M29" s="36" t="e">
        <f t="shared" ca="1" si="1"/>
        <v>#N/A</v>
      </c>
      <c r="N29" s="101" t="e">
        <f ca="1">VLOOKUP($B29,Matrix!$H$13:$I$37,2,FALSE)&amp;"_"&amp;C29</f>
        <v>#N/A</v>
      </c>
      <c r="O29" s="116" t="e">
        <f t="shared" ca="1" si="0"/>
        <v>#N/A</v>
      </c>
    </row>
    <row r="30" spans="2:15">
      <c r="B30" s="23"/>
      <c r="C30" s="22"/>
      <c r="D30" s="108"/>
      <c r="E30" s="23"/>
      <c r="F30" s="109"/>
      <c r="G30" s="23"/>
      <c r="H30" s="109"/>
      <c r="I30" s="23"/>
      <c r="J30" s="109"/>
      <c r="K30" s="106"/>
      <c r="L30" s="109"/>
      <c r="M30" s="36" t="e">
        <f t="shared" ca="1" si="1"/>
        <v>#N/A</v>
      </c>
      <c r="N30" s="101" t="e">
        <f ca="1">VLOOKUP($B30,Matrix!$H$13:$I$37,2,FALSE)&amp;"_"&amp;C30</f>
        <v>#N/A</v>
      </c>
      <c r="O30" s="116" t="e">
        <f t="shared" ca="1" si="0"/>
        <v>#N/A</v>
      </c>
    </row>
    <row r="31" spans="2:15">
      <c r="B31" s="23"/>
      <c r="C31" s="22"/>
      <c r="D31" s="108"/>
      <c r="E31" s="23"/>
      <c r="F31" s="109"/>
      <c r="G31" s="23"/>
      <c r="H31" s="109"/>
      <c r="I31" s="23"/>
      <c r="J31" s="109"/>
      <c r="K31" s="106"/>
      <c r="L31" s="109"/>
      <c r="M31" s="36" t="e">
        <f t="shared" ca="1" si="1"/>
        <v>#N/A</v>
      </c>
      <c r="N31" s="101" t="e">
        <f ca="1">VLOOKUP($B31,Matrix!$H$13:$I$37,2,FALSE)&amp;"_"&amp;C31</f>
        <v>#N/A</v>
      </c>
      <c r="O31" s="116" t="e">
        <f t="shared" ca="1" si="0"/>
        <v>#N/A</v>
      </c>
    </row>
    <row r="32" spans="2:15">
      <c r="B32" s="23"/>
      <c r="C32" s="22"/>
      <c r="D32" s="108"/>
      <c r="E32" s="23"/>
      <c r="F32" s="109"/>
      <c r="G32" s="23"/>
      <c r="H32" s="109"/>
      <c r="I32" s="23"/>
      <c r="J32" s="109"/>
      <c r="K32" s="106"/>
      <c r="L32" s="109"/>
      <c r="M32" s="36" t="e">
        <f t="shared" ca="1" si="1"/>
        <v>#N/A</v>
      </c>
      <c r="N32" s="101" t="e">
        <f ca="1">VLOOKUP($B32,Matrix!$H$13:$I$37,2,FALSE)&amp;"_"&amp;C32</f>
        <v>#N/A</v>
      </c>
      <c r="O32" s="116" t="e">
        <f t="shared" ca="1" si="0"/>
        <v>#N/A</v>
      </c>
    </row>
    <row r="33" spans="2:15">
      <c r="B33" s="23"/>
      <c r="C33" s="22"/>
      <c r="D33" s="108"/>
      <c r="E33" s="23"/>
      <c r="F33" s="109"/>
      <c r="G33" s="23"/>
      <c r="H33" s="109"/>
      <c r="I33" s="23"/>
      <c r="J33" s="109"/>
      <c r="K33" s="106"/>
      <c r="L33" s="109"/>
      <c r="M33" s="36" t="e">
        <f t="shared" ca="1" si="1"/>
        <v>#N/A</v>
      </c>
      <c r="N33" s="101" t="e">
        <f ca="1">VLOOKUP($B33,Matrix!$H$13:$I$37,2,FALSE)&amp;"_"&amp;C33</f>
        <v>#N/A</v>
      </c>
      <c r="O33" s="116" t="e">
        <f t="shared" ca="1" si="0"/>
        <v>#N/A</v>
      </c>
    </row>
    <row r="34" spans="2:15">
      <c r="B34" s="23"/>
      <c r="C34" s="22"/>
      <c r="D34" s="108"/>
      <c r="E34" s="23"/>
      <c r="F34" s="109"/>
      <c r="G34" s="23"/>
      <c r="H34" s="109"/>
      <c r="I34" s="23"/>
      <c r="J34" s="109"/>
      <c r="K34" s="106"/>
      <c r="L34" s="109"/>
      <c r="M34" s="36" t="e">
        <f t="shared" ca="1" si="1"/>
        <v>#N/A</v>
      </c>
      <c r="N34" s="101" t="e">
        <f ca="1">VLOOKUP($B34,Matrix!$H$13:$I$37,2,FALSE)&amp;"_"&amp;C34</f>
        <v>#N/A</v>
      </c>
      <c r="O34" s="116" t="e">
        <f t="shared" ca="1" si="0"/>
        <v>#N/A</v>
      </c>
    </row>
    <row r="35" spans="2:15">
      <c r="B35" s="23"/>
      <c r="C35" s="22"/>
      <c r="D35" s="108"/>
      <c r="E35" s="23"/>
      <c r="F35" s="109"/>
      <c r="G35" s="23"/>
      <c r="H35" s="109"/>
      <c r="I35" s="23"/>
      <c r="J35" s="109"/>
      <c r="K35" s="106"/>
      <c r="L35" s="109"/>
      <c r="M35" s="36" t="e">
        <f t="shared" ca="1" si="1"/>
        <v>#N/A</v>
      </c>
      <c r="N35" s="101" t="e">
        <f ca="1">VLOOKUP($B35,Matrix!$H$13:$I$37,2,FALSE)&amp;"_"&amp;C35</f>
        <v>#N/A</v>
      </c>
      <c r="O35" s="116" t="e">
        <f t="shared" ca="1" si="0"/>
        <v>#N/A</v>
      </c>
    </row>
    <row r="36" spans="2:15">
      <c r="B36" s="23"/>
      <c r="C36" s="22"/>
      <c r="D36" s="108"/>
      <c r="E36" s="23"/>
      <c r="F36" s="109"/>
      <c r="G36" s="23"/>
      <c r="H36" s="109"/>
      <c r="I36" s="23"/>
      <c r="J36" s="109"/>
      <c r="K36" s="106"/>
      <c r="L36" s="109"/>
      <c r="M36" s="36" t="e">
        <f t="shared" ca="1" si="1"/>
        <v>#N/A</v>
      </c>
      <c r="N36" s="101" t="e">
        <f ca="1">VLOOKUP($B36,Matrix!$H$13:$I$37,2,FALSE)&amp;"_"&amp;C36</f>
        <v>#N/A</v>
      </c>
      <c r="O36" s="116" t="e">
        <f t="shared" ref="O36:O67" ca="1" si="2">"#define "&amp;N36&amp;REPT(" ",48-M36)&amp;"("&amp;D36&amp;"U)"</f>
        <v>#N/A</v>
      </c>
    </row>
    <row r="37" spans="2:15">
      <c r="B37" s="23"/>
      <c r="C37" s="22"/>
      <c r="D37" s="108"/>
      <c r="E37" s="23"/>
      <c r="F37" s="109"/>
      <c r="G37" s="23"/>
      <c r="H37" s="109"/>
      <c r="I37" s="23"/>
      <c r="J37" s="109"/>
      <c r="K37" s="106"/>
      <c r="L37" s="109"/>
      <c r="M37" s="36" t="e">
        <f t="shared" ca="1" si="1"/>
        <v>#N/A</v>
      </c>
      <c r="N37" s="101" t="e">
        <f ca="1">VLOOKUP($B37,Matrix!$H$13:$I$37,2,FALSE)&amp;"_"&amp;C37</f>
        <v>#N/A</v>
      </c>
      <c r="O37" s="116" t="e">
        <f t="shared" ca="1" si="2"/>
        <v>#N/A</v>
      </c>
    </row>
    <row r="38" spans="2:15">
      <c r="B38" s="23"/>
      <c r="C38" s="22"/>
      <c r="D38" s="108"/>
      <c r="E38" s="23"/>
      <c r="F38" s="109"/>
      <c r="G38" s="23"/>
      <c r="H38" s="109"/>
      <c r="I38" s="23"/>
      <c r="J38" s="109"/>
      <c r="K38" s="106"/>
      <c r="L38" s="109"/>
      <c r="M38" s="36" t="e">
        <f t="shared" ca="1" si="1"/>
        <v>#N/A</v>
      </c>
      <c r="N38" s="101" t="e">
        <f ca="1">VLOOKUP($B38,Matrix!$H$13:$I$37,2,FALSE)&amp;"_"&amp;C38</f>
        <v>#N/A</v>
      </c>
      <c r="O38" s="116" t="e">
        <f t="shared" ca="1" si="2"/>
        <v>#N/A</v>
      </c>
    </row>
    <row r="39" spans="2:15">
      <c r="B39" s="23"/>
      <c r="C39" s="22"/>
      <c r="D39" s="108"/>
      <c r="E39" s="23"/>
      <c r="F39" s="109"/>
      <c r="G39" s="23"/>
      <c r="H39" s="109"/>
      <c r="I39" s="23"/>
      <c r="J39" s="109"/>
      <c r="K39" s="106"/>
      <c r="L39" s="109"/>
      <c r="M39" s="36" t="e">
        <f t="shared" ca="1" si="1"/>
        <v>#N/A</v>
      </c>
      <c r="N39" s="101" t="e">
        <f ca="1">VLOOKUP($B39,Matrix!$H$13:$I$37,2,FALSE)&amp;"_"&amp;C39</f>
        <v>#N/A</v>
      </c>
      <c r="O39" s="116" t="e">
        <f t="shared" ca="1" si="2"/>
        <v>#N/A</v>
      </c>
    </row>
    <row r="40" spans="2:15">
      <c r="B40" s="23"/>
      <c r="C40" s="22"/>
      <c r="D40" s="108"/>
      <c r="E40" s="23"/>
      <c r="F40" s="109"/>
      <c r="G40" s="23"/>
      <c r="H40" s="109"/>
      <c r="I40" s="23"/>
      <c r="J40" s="109"/>
      <c r="K40" s="106"/>
      <c r="L40" s="109"/>
      <c r="M40" s="36" t="e">
        <f t="shared" ca="1" si="1"/>
        <v>#N/A</v>
      </c>
      <c r="N40" s="101" t="e">
        <f ca="1">VLOOKUP($B40,Matrix!$H$13:$I$37,2,FALSE)&amp;"_"&amp;C40</f>
        <v>#N/A</v>
      </c>
      <c r="O40" s="116" t="e">
        <f t="shared" ca="1" si="2"/>
        <v>#N/A</v>
      </c>
    </row>
    <row r="41" spans="2:15">
      <c r="B41" s="23"/>
      <c r="C41" s="22"/>
      <c r="D41" s="108"/>
      <c r="E41" s="23"/>
      <c r="F41" s="109"/>
      <c r="G41" s="23"/>
      <c r="H41" s="109"/>
      <c r="I41" s="23"/>
      <c r="J41" s="109"/>
      <c r="K41" s="106"/>
      <c r="L41" s="109"/>
      <c r="M41" s="36" t="e">
        <f t="shared" ca="1" si="1"/>
        <v>#N/A</v>
      </c>
      <c r="N41" s="101" t="e">
        <f ca="1">VLOOKUP($B41,Matrix!$H$13:$I$37,2,FALSE)&amp;"_"&amp;C41</f>
        <v>#N/A</v>
      </c>
      <c r="O41" s="116" t="e">
        <f t="shared" ca="1" si="2"/>
        <v>#N/A</v>
      </c>
    </row>
    <row r="42" spans="2:15">
      <c r="B42" s="23"/>
      <c r="C42" s="22"/>
      <c r="D42" s="108"/>
      <c r="E42" s="23"/>
      <c r="F42" s="109"/>
      <c r="G42" s="23"/>
      <c r="H42" s="109"/>
      <c r="I42" s="23"/>
      <c r="J42" s="109"/>
      <c r="K42" s="106"/>
      <c r="L42" s="109"/>
      <c r="M42" s="36" t="e">
        <f t="shared" ca="1" si="1"/>
        <v>#N/A</v>
      </c>
      <c r="N42" s="101" t="e">
        <f ca="1">VLOOKUP($B42,Matrix!$H$13:$I$37,2,FALSE)&amp;"_"&amp;C42</f>
        <v>#N/A</v>
      </c>
      <c r="O42" s="116" t="e">
        <f t="shared" ca="1" si="2"/>
        <v>#N/A</v>
      </c>
    </row>
    <row r="43" spans="2:15">
      <c r="B43" s="23"/>
      <c r="C43" s="22"/>
      <c r="D43" s="108"/>
      <c r="E43" s="23"/>
      <c r="F43" s="109"/>
      <c r="G43" s="23"/>
      <c r="H43" s="109"/>
      <c r="I43" s="23"/>
      <c r="J43" s="109"/>
      <c r="K43" s="106"/>
      <c r="L43" s="109"/>
      <c r="M43" s="36" t="e">
        <f t="shared" ca="1" si="1"/>
        <v>#N/A</v>
      </c>
      <c r="N43" s="101" t="e">
        <f ca="1">VLOOKUP($B43,Matrix!$H$13:$I$37,2,FALSE)&amp;"_"&amp;C43</f>
        <v>#N/A</v>
      </c>
      <c r="O43" s="116" t="e">
        <f t="shared" ca="1" si="2"/>
        <v>#N/A</v>
      </c>
    </row>
    <row r="44" spans="2:15">
      <c r="B44" s="23"/>
      <c r="C44" s="22"/>
      <c r="D44" s="108"/>
      <c r="E44" s="23"/>
      <c r="F44" s="109"/>
      <c r="G44" s="23"/>
      <c r="H44" s="109"/>
      <c r="I44" s="23"/>
      <c r="J44" s="109"/>
      <c r="K44" s="106"/>
      <c r="L44" s="109"/>
      <c r="M44" s="36" t="e">
        <f t="shared" ca="1" si="1"/>
        <v>#N/A</v>
      </c>
      <c r="N44" s="101" t="e">
        <f ca="1">VLOOKUP($B44,Matrix!$H$13:$I$37,2,FALSE)&amp;"_"&amp;C44</f>
        <v>#N/A</v>
      </c>
      <c r="O44" s="116" t="e">
        <f t="shared" ca="1" si="2"/>
        <v>#N/A</v>
      </c>
    </row>
    <row r="45" spans="2:15">
      <c r="B45" s="23"/>
      <c r="C45" s="22"/>
      <c r="D45" s="108"/>
      <c r="E45" s="23"/>
      <c r="F45" s="109"/>
      <c r="G45" s="23"/>
      <c r="H45" s="109"/>
      <c r="I45" s="23"/>
      <c r="J45" s="109"/>
      <c r="K45" s="106"/>
      <c r="L45" s="109"/>
      <c r="M45" s="36" t="e">
        <f t="shared" ca="1" si="1"/>
        <v>#N/A</v>
      </c>
      <c r="N45" s="101" t="e">
        <f ca="1">VLOOKUP($B45,Matrix!$H$13:$I$37,2,FALSE)&amp;"_"&amp;C45</f>
        <v>#N/A</v>
      </c>
      <c r="O45" s="116" t="e">
        <f t="shared" ca="1" si="2"/>
        <v>#N/A</v>
      </c>
    </row>
    <row r="46" spans="2:15">
      <c r="B46" s="23"/>
      <c r="C46" s="22"/>
      <c r="D46" s="108"/>
      <c r="E46" s="23"/>
      <c r="F46" s="109"/>
      <c r="G46" s="23"/>
      <c r="H46" s="109"/>
      <c r="I46" s="23"/>
      <c r="J46" s="109"/>
      <c r="K46" s="106"/>
      <c r="L46" s="109"/>
      <c r="M46" s="36" t="e">
        <f t="shared" ca="1" si="1"/>
        <v>#N/A</v>
      </c>
      <c r="N46" s="101" t="e">
        <f ca="1">VLOOKUP($B46,Matrix!$H$13:$I$37,2,FALSE)&amp;"_"&amp;C46</f>
        <v>#N/A</v>
      </c>
      <c r="O46" s="116" t="e">
        <f t="shared" ca="1" si="2"/>
        <v>#N/A</v>
      </c>
    </row>
    <row r="47" spans="2:15">
      <c r="B47" s="23"/>
      <c r="C47" s="22"/>
      <c r="D47" s="108"/>
      <c r="E47" s="23"/>
      <c r="F47" s="109"/>
      <c r="G47" s="23"/>
      <c r="H47" s="109"/>
      <c r="I47" s="23"/>
      <c r="J47" s="109"/>
      <c r="K47" s="106"/>
      <c r="L47" s="109"/>
      <c r="M47" s="36" t="e">
        <f t="shared" ca="1" si="1"/>
        <v>#N/A</v>
      </c>
      <c r="N47" s="101" t="e">
        <f ca="1">VLOOKUP($B47,Matrix!$H$13:$I$37,2,FALSE)&amp;"_"&amp;C47</f>
        <v>#N/A</v>
      </c>
      <c r="O47" s="116" t="e">
        <f t="shared" ca="1" si="2"/>
        <v>#N/A</v>
      </c>
    </row>
    <row r="48" spans="2:15">
      <c r="B48" s="23"/>
      <c r="C48" s="22"/>
      <c r="D48" s="108"/>
      <c r="E48" s="23"/>
      <c r="F48" s="109"/>
      <c r="G48" s="23"/>
      <c r="H48" s="109"/>
      <c r="I48" s="23"/>
      <c r="J48" s="109"/>
      <c r="K48" s="106"/>
      <c r="L48" s="109"/>
      <c r="M48" s="36" t="e">
        <f t="shared" ca="1" si="1"/>
        <v>#N/A</v>
      </c>
      <c r="N48" s="101" t="e">
        <f ca="1">VLOOKUP($B48,Matrix!$H$13:$I$37,2,FALSE)&amp;"_"&amp;C48</f>
        <v>#N/A</v>
      </c>
      <c r="O48" s="116" t="e">
        <f t="shared" ca="1" si="2"/>
        <v>#N/A</v>
      </c>
    </row>
    <row r="49" spans="2:15">
      <c r="B49" s="23"/>
      <c r="C49" s="22"/>
      <c r="D49" s="108"/>
      <c r="E49" s="23"/>
      <c r="F49" s="109"/>
      <c r="G49" s="23"/>
      <c r="H49" s="109"/>
      <c r="I49" s="23"/>
      <c r="J49" s="109"/>
      <c r="K49" s="106"/>
      <c r="L49" s="109"/>
      <c r="M49" s="36" t="e">
        <f t="shared" ca="1" si="1"/>
        <v>#N/A</v>
      </c>
      <c r="N49" s="101" t="e">
        <f ca="1">VLOOKUP($B49,Matrix!$H$13:$I$37,2,FALSE)&amp;"_"&amp;C49</f>
        <v>#N/A</v>
      </c>
      <c r="O49" s="116" t="e">
        <f t="shared" ca="1" si="2"/>
        <v>#N/A</v>
      </c>
    </row>
    <row r="50" spans="2:15">
      <c r="B50" s="23"/>
      <c r="C50" s="22"/>
      <c r="D50" s="108"/>
      <c r="E50" s="23"/>
      <c r="F50" s="109"/>
      <c r="G50" s="23"/>
      <c r="H50" s="109"/>
      <c r="I50" s="23"/>
      <c r="J50" s="109"/>
      <c r="K50" s="106"/>
      <c r="L50" s="109"/>
      <c r="M50" s="36" t="e">
        <f t="shared" ca="1" si="1"/>
        <v>#N/A</v>
      </c>
      <c r="N50" s="101" t="e">
        <f ca="1">VLOOKUP($B50,Matrix!$H$13:$I$37,2,FALSE)&amp;"_"&amp;C50</f>
        <v>#N/A</v>
      </c>
      <c r="O50" s="116" t="e">
        <f t="shared" ca="1" si="2"/>
        <v>#N/A</v>
      </c>
    </row>
    <row r="51" spans="2:15">
      <c r="B51" s="23"/>
      <c r="C51" s="22"/>
      <c r="D51" s="108"/>
      <c r="E51" s="23"/>
      <c r="F51" s="109"/>
      <c r="G51" s="23"/>
      <c r="H51" s="109"/>
      <c r="I51" s="23"/>
      <c r="J51" s="109"/>
      <c r="K51" s="106"/>
      <c r="L51" s="109"/>
      <c r="M51" s="36" t="e">
        <f t="shared" ca="1" si="1"/>
        <v>#N/A</v>
      </c>
      <c r="N51" s="101" t="e">
        <f ca="1">VLOOKUP($B51,Matrix!$H$13:$I$37,2,FALSE)&amp;"_"&amp;C51</f>
        <v>#N/A</v>
      </c>
      <c r="O51" s="116" t="e">
        <f t="shared" ca="1" si="2"/>
        <v>#N/A</v>
      </c>
    </row>
    <row r="52" spans="2:15">
      <c r="B52" s="23"/>
      <c r="C52" s="22"/>
      <c r="D52" s="108"/>
      <c r="E52" s="23"/>
      <c r="F52" s="109"/>
      <c r="G52" s="23"/>
      <c r="H52" s="109"/>
      <c r="I52" s="23"/>
      <c r="J52" s="109"/>
      <c r="K52" s="106"/>
      <c r="L52" s="109"/>
      <c r="M52" s="36" t="e">
        <f t="shared" ca="1" si="1"/>
        <v>#N/A</v>
      </c>
      <c r="N52" s="101" t="e">
        <f ca="1">VLOOKUP($B52,Matrix!$H$13:$I$37,2,FALSE)&amp;"_"&amp;C52</f>
        <v>#N/A</v>
      </c>
      <c r="O52" s="116" t="e">
        <f t="shared" ca="1" si="2"/>
        <v>#N/A</v>
      </c>
    </row>
    <row r="53" spans="2:15">
      <c r="B53" s="23"/>
      <c r="C53" s="22"/>
      <c r="D53" s="108"/>
      <c r="E53" s="23"/>
      <c r="F53" s="109"/>
      <c r="G53" s="23"/>
      <c r="H53" s="109"/>
      <c r="I53" s="23"/>
      <c r="J53" s="109"/>
      <c r="K53" s="106"/>
      <c r="L53" s="109"/>
      <c r="M53" s="36" t="e">
        <f t="shared" ca="1" si="1"/>
        <v>#N/A</v>
      </c>
      <c r="N53" s="101" t="e">
        <f ca="1">VLOOKUP($B53,Matrix!$H$13:$I$37,2,FALSE)&amp;"_"&amp;C53</f>
        <v>#N/A</v>
      </c>
      <c r="O53" s="116" t="e">
        <f t="shared" ca="1" si="2"/>
        <v>#N/A</v>
      </c>
    </row>
    <row r="54" spans="2:15">
      <c r="B54" s="23"/>
      <c r="C54" s="22"/>
      <c r="D54" s="108"/>
      <c r="E54" s="23"/>
      <c r="F54" s="109"/>
      <c r="G54" s="23"/>
      <c r="H54" s="109"/>
      <c r="I54" s="23"/>
      <c r="J54" s="109"/>
      <c r="K54" s="106"/>
      <c r="L54" s="109"/>
      <c r="M54" s="36" t="e">
        <f t="shared" ca="1" si="1"/>
        <v>#N/A</v>
      </c>
      <c r="N54" s="101" t="e">
        <f ca="1">VLOOKUP($B54,Matrix!$H$13:$I$37,2,FALSE)&amp;"_"&amp;C54</f>
        <v>#N/A</v>
      </c>
      <c r="O54" s="116" t="e">
        <f t="shared" ca="1" si="2"/>
        <v>#N/A</v>
      </c>
    </row>
    <row r="55" spans="2:15">
      <c r="B55" s="23"/>
      <c r="C55" s="22"/>
      <c r="D55" s="108"/>
      <c r="E55" s="23"/>
      <c r="F55" s="109"/>
      <c r="G55" s="23"/>
      <c r="H55" s="109"/>
      <c r="I55" s="23"/>
      <c r="J55" s="109"/>
      <c r="K55" s="106"/>
      <c r="L55" s="109"/>
      <c r="M55" s="36" t="e">
        <f t="shared" ca="1" si="1"/>
        <v>#N/A</v>
      </c>
      <c r="N55" s="101" t="e">
        <f ca="1">VLOOKUP($B55,Matrix!$H$13:$I$37,2,FALSE)&amp;"_"&amp;C55</f>
        <v>#N/A</v>
      </c>
      <c r="O55" s="116" t="e">
        <f t="shared" ca="1" si="2"/>
        <v>#N/A</v>
      </c>
    </row>
    <row r="56" spans="2:15">
      <c r="B56" s="23"/>
      <c r="C56" s="22"/>
      <c r="D56" s="108"/>
      <c r="E56" s="23"/>
      <c r="F56" s="109"/>
      <c r="G56" s="23"/>
      <c r="H56" s="109"/>
      <c r="I56" s="23"/>
      <c r="J56" s="109"/>
      <c r="K56" s="106"/>
      <c r="L56" s="109"/>
      <c r="M56" s="36" t="e">
        <f t="shared" ca="1" si="1"/>
        <v>#N/A</v>
      </c>
      <c r="N56" s="101" t="e">
        <f ca="1">VLOOKUP($B56,Matrix!$H$13:$I$37,2,FALSE)&amp;"_"&amp;C56</f>
        <v>#N/A</v>
      </c>
      <c r="O56" s="116" t="e">
        <f t="shared" ca="1" si="2"/>
        <v>#N/A</v>
      </c>
    </row>
    <row r="57" spans="2:15">
      <c r="B57" s="23"/>
      <c r="C57" s="22"/>
      <c r="D57" s="108"/>
      <c r="E57" s="23"/>
      <c r="F57" s="109"/>
      <c r="G57" s="23"/>
      <c r="H57" s="109"/>
      <c r="I57" s="23"/>
      <c r="J57" s="109"/>
      <c r="K57" s="106"/>
      <c r="L57" s="109"/>
      <c r="M57" s="36" t="e">
        <f t="shared" ca="1" si="1"/>
        <v>#N/A</v>
      </c>
      <c r="N57" s="101" t="e">
        <f ca="1">VLOOKUP($B57,Matrix!$H$13:$I$37,2,FALSE)&amp;"_"&amp;C57</f>
        <v>#N/A</v>
      </c>
      <c r="O57" s="116" t="e">
        <f t="shared" ca="1" si="2"/>
        <v>#N/A</v>
      </c>
    </row>
    <row r="58" spans="2:15">
      <c r="B58" s="23"/>
      <c r="C58" s="22"/>
      <c r="D58" s="108"/>
      <c r="E58" s="23"/>
      <c r="F58" s="109"/>
      <c r="G58" s="23"/>
      <c r="H58" s="109"/>
      <c r="I58" s="23"/>
      <c r="J58" s="109"/>
      <c r="K58" s="106"/>
      <c r="L58" s="109"/>
      <c r="M58" s="36" t="e">
        <f t="shared" ca="1" si="1"/>
        <v>#N/A</v>
      </c>
      <c r="N58" s="101" t="e">
        <f ca="1">VLOOKUP($B58,Matrix!$H$13:$I$37,2,FALSE)&amp;"_"&amp;C58</f>
        <v>#N/A</v>
      </c>
      <c r="O58" s="116" t="e">
        <f t="shared" ca="1" si="2"/>
        <v>#N/A</v>
      </c>
    </row>
    <row r="59" spans="2:15">
      <c r="B59" s="23"/>
      <c r="C59" s="22"/>
      <c r="D59" s="108"/>
      <c r="E59" s="23"/>
      <c r="F59" s="109"/>
      <c r="G59" s="23"/>
      <c r="H59" s="109"/>
      <c r="I59" s="23"/>
      <c r="J59" s="109"/>
      <c r="K59" s="106"/>
      <c r="L59" s="109"/>
      <c r="M59" s="36" t="e">
        <f t="shared" ca="1" si="1"/>
        <v>#N/A</v>
      </c>
      <c r="N59" s="101" t="e">
        <f ca="1">VLOOKUP($B59,Matrix!$H$13:$I$37,2,FALSE)&amp;"_"&amp;C59</f>
        <v>#N/A</v>
      </c>
      <c r="O59" s="116" t="e">
        <f t="shared" ca="1" si="2"/>
        <v>#N/A</v>
      </c>
    </row>
    <row r="60" spans="2:15">
      <c r="B60" s="23"/>
      <c r="C60" s="22"/>
      <c r="D60" s="108"/>
      <c r="E60" s="23"/>
      <c r="F60" s="109"/>
      <c r="G60" s="23"/>
      <c r="H60" s="109"/>
      <c r="I60" s="23"/>
      <c r="J60" s="109"/>
      <c r="K60" s="106"/>
      <c r="L60" s="109"/>
      <c r="M60" s="36" t="e">
        <f t="shared" ca="1" si="1"/>
        <v>#N/A</v>
      </c>
      <c r="N60" s="101" t="e">
        <f ca="1">VLOOKUP($B60,Matrix!$H$13:$I$37,2,FALSE)&amp;"_"&amp;C60</f>
        <v>#N/A</v>
      </c>
      <c r="O60" s="116" t="e">
        <f t="shared" ca="1" si="2"/>
        <v>#N/A</v>
      </c>
    </row>
    <row r="61" spans="2:15">
      <c r="B61" s="23"/>
      <c r="C61" s="22"/>
      <c r="D61" s="108"/>
      <c r="E61" s="23"/>
      <c r="F61" s="109"/>
      <c r="G61" s="23"/>
      <c r="H61" s="109"/>
      <c r="I61" s="23"/>
      <c r="J61" s="109"/>
      <c r="K61" s="106"/>
      <c r="L61" s="109"/>
      <c r="M61" s="36" t="e">
        <f t="shared" ca="1" si="1"/>
        <v>#N/A</v>
      </c>
      <c r="N61" s="101" t="e">
        <f ca="1">VLOOKUP($B61,Matrix!$H$13:$I$37,2,FALSE)&amp;"_"&amp;C61</f>
        <v>#N/A</v>
      </c>
      <c r="O61" s="116" t="e">
        <f t="shared" ca="1" si="2"/>
        <v>#N/A</v>
      </c>
    </row>
    <row r="62" spans="2:15">
      <c r="B62" s="23"/>
      <c r="C62" s="22"/>
      <c r="D62" s="108"/>
      <c r="E62" s="23"/>
      <c r="F62" s="109"/>
      <c r="G62" s="23"/>
      <c r="H62" s="109"/>
      <c r="I62" s="23"/>
      <c r="J62" s="109"/>
      <c r="K62" s="106"/>
      <c r="L62" s="109"/>
      <c r="M62" s="36" t="e">
        <f t="shared" ca="1" si="1"/>
        <v>#N/A</v>
      </c>
      <c r="N62" s="101" t="e">
        <f ca="1">VLOOKUP($B62,Matrix!$H$13:$I$37,2,FALSE)&amp;"_"&amp;C62</f>
        <v>#N/A</v>
      </c>
      <c r="O62" s="116" t="e">
        <f t="shared" ca="1" si="2"/>
        <v>#N/A</v>
      </c>
    </row>
    <row r="63" spans="2:15">
      <c r="B63" s="23"/>
      <c r="C63" s="22"/>
      <c r="D63" s="108"/>
      <c r="E63" s="23"/>
      <c r="F63" s="109"/>
      <c r="G63" s="23"/>
      <c r="H63" s="109"/>
      <c r="I63" s="23"/>
      <c r="J63" s="109"/>
      <c r="K63" s="106"/>
      <c r="L63" s="109"/>
      <c r="M63" s="36" t="e">
        <f t="shared" ca="1" si="1"/>
        <v>#N/A</v>
      </c>
      <c r="N63" s="101" t="e">
        <f ca="1">VLOOKUP($B63,Matrix!$H$13:$I$37,2,FALSE)&amp;"_"&amp;C63</f>
        <v>#N/A</v>
      </c>
      <c r="O63" s="116" t="e">
        <f t="shared" ca="1" si="2"/>
        <v>#N/A</v>
      </c>
    </row>
    <row r="64" spans="2:15">
      <c r="B64" s="23"/>
      <c r="C64" s="22"/>
      <c r="D64" s="108"/>
      <c r="E64" s="23"/>
      <c r="F64" s="109"/>
      <c r="G64" s="23"/>
      <c r="H64" s="109"/>
      <c r="I64" s="23"/>
      <c r="J64" s="109"/>
      <c r="K64" s="106"/>
      <c r="L64" s="109"/>
      <c r="M64" s="36" t="e">
        <f t="shared" ca="1" si="1"/>
        <v>#N/A</v>
      </c>
      <c r="N64" s="101" t="e">
        <f ca="1">VLOOKUP($B64,Matrix!$H$13:$I$37,2,FALSE)&amp;"_"&amp;C64</f>
        <v>#N/A</v>
      </c>
      <c r="O64" s="116" t="e">
        <f t="shared" ca="1" si="2"/>
        <v>#N/A</v>
      </c>
    </row>
    <row r="65" spans="2:15">
      <c r="B65" s="23"/>
      <c r="C65" s="22"/>
      <c r="D65" s="108"/>
      <c r="E65" s="23"/>
      <c r="F65" s="109"/>
      <c r="G65" s="23"/>
      <c r="H65" s="109"/>
      <c r="I65" s="23"/>
      <c r="J65" s="109"/>
      <c r="K65" s="106"/>
      <c r="L65" s="109"/>
      <c r="M65" s="36" t="e">
        <f t="shared" ca="1" si="1"/>
        <v>#N/A</v>
      </c>
      <c r="N65" s="101" t="e">
        <f ca="1">VLOOKUP($B65,Matrix!$H$13:$I$37,2,FALSE)&amp;"_"&amp;C65</f>
        <v>#N/A</v>
      </c>
      <c r="O65" s="116" t="e">
        <f t="shared" ca="1" si="2"/>
        <v>#N/A</v>
      </c>
    </row>
    <row r="66" spans="2:15">
      <c r="B66" s="23"/>
      <c r="C66" s="22"/>
      <c r="D66" s="108"/>
      <c r="E66" s="23"/>
      <c r="F66" s="109"/>
      <c r="G66" s="23"/>
      <c r="H66" s="109"/>
      <c r="I66" s="23"/>
      <c r="J66" s="109"/>
      <c r="K66" s="106"/>
      <c r="L66" s="109"/>
      <c r="M66" s="36" t="e">
        <f t="shared" ca="1" si="1"/>
        <v>#N/A</v>
      </c>
      <c r="N66" s="101" t="e">
        <f ca="1">VLOOKUP($B66,Matrix!$H$13:$I$37,2,FALSE)&amp;"_"&amp;C66</f>
        <v>#N/A</v>
      </c>
      <c r="O66" s="116" t="e">
        <f t="shared" ca="1" si="2"/>
        <v>#N/A</v>
      </c>
    </row>
    <row r="67" spans="2:15">
      <c r="B67" s="23"/>
      <c r="C67" s="22"/>
      <c r="D67" s="108"/>
      <c r="E67" s="23"/>
      <c r="F67" s="109"/>
      <c r="G67" s="23"/>
      <c r="H67" s="109"/>
      <c r="I67" s="23"/>
      <c r="J67" s="109"/>
      <c r="K67" s="106"/>
      <c r="L67" s="109"/>
      <c r="M67" s="36" t="e">
        <f t="shared" ca="1" si="1"/>
        <v>#N/A</v>
      </c>
      <c r="N67" s="101" t="e">
        <f ca="1">VLOOKUP($B67,Matrix!$H$13:$I$37,2,FALSE)&amp;"_"&amp;C67</f>
        <v>#N/A</v>
      </c>
      <c r="O67" s="116" t="e">
        <f t="shared" ca="1" si="2"/>
        <v>#N/A</v>
      </c>
    </row>
    <row r="68" spans="2:15">
      <c r="B68" s="23"/>
      <c r="C68" s="22"/>
      <c r="D68" s="108"/>
      <c r="E68" s="23"/>
      <c r="F68" s="109"/>
      <c r="G68" s="23"/>
      <c r="H68" s="109"/>
      <c r="I68" s="23"/>
      <c r="J68" s="109"/>
      <c r="K68" s="106"/>
      <c r="L68" s="109"/>
      <c r="M68" s="36" t="e">
        <f t="shared" ca="1" si="1"/>
        <v>#N/A</v>
      </c>
      <c r="N68" s="101" t="e">
        <f ca="1">VLOOKUP($B68,Matrix!$H$13:$I$37,2,FALSE)&amp;"_"&amp;C68</f>
        <v>#N/A</v>
      </c>
      <c r="O68" s="116" t="e">
        <f t="shared" ref="O68:O99" ca="1" si="3">"#define "&amp;N68&amp;REPT(" ",48-M68)&amp;"("&amp;D68&amp;"U)"</f>
        <v>#N/A</v>
      </c>
    </row>
    <row r="69" spans="2:15">
      <c r="B69" s="23"/>
      <c r="C69" s="22"/>
      <c r="D69" s="108"/>
      <c r="E69" s="23"/>
      <c r="F69" s="109"/>
      <c r="G69" s="23"/>
      <c r="H69" s="109"/>
      <c r="I69" s="23"/>
      <c r="J69" s="109"/>
      <c r="K69" s="106"/>
      <c r="L69" s="109"/>
      <c r="M69" s="36" t="e">
        <f t="shared" ref="M69:M103" ca="1" si="4">LEN(N69)</f>
        <v>#N/A</v>
      </c>
      <c r="N69" s="101" t="e">
        <f ca="1">VLOOKUP($B69,Matrix!$H$13:$I$37,2,FALSE)&amp;"_"&amp;C69</f>
        <v>#N/A</v>
      </c>
      <c r="O69" s="116" t="e">
        <f t="shared" ca="1" si="3"/>
        <v>#N/A</v>
      </c>
    </row>
    <row r="70" spans="2:15">
      <c r="B70" s="23"/>
      <c r="C70" s="22"/>
      <c r="D70" s="108"/>
      <c r="E70" s="23"/>
      <c r="F70" s="109"/>
      <c r="G70" s="23"/>
      <c r="H70" s="109"/>
      <c r="I70" s="23"/>
      <c r="J70" s="109"/>
      <c r="K70" s="106"/>
      <c r="L70" s="109"/>
      <c r="M70" s="36" t="e">
        <f t="shared" ca="1" si="4"/>
        <v>#N/A</v>
      </c>
      <c r="N70" s="101" t="e">
        <f ca="1">VLOOKUP($B70,Matrix!$H$13:$I$37,2,FALSE)&amp;"_"&amp;C70</f>
        <v>#N/A</v>
      </c>
      <c r="O70" s="116" t="e">
        <f t="shared" ca="1" si="3"/>
        <v>#N/A</v>
      </c>
    </row>
    <row r="71" spans="2:15">
      <c r="B71" s="23"/>
      <c r="C71" s="22"/>
      <c r="D71" s="108"/>
      <c r="E71" s="23"/>
      <c r="F71" s="109"/>
      <c r="G71" s="23"/>
      <c r="H71" s="109"/>
      <c r="I71" s="23"/>
      <c r="J71" s="109"/>
      <c r="K71" s="106"/>
      <c r="L71" s="109"/>
      <c r="M71" s="36" t="e">
        <f t="shared" ca="1" si="4"/>
        <v>#N/A</v>
      </c>
      <c r="N71" s="101" t="e">
        <f ca="1">VLOOKUP($B71,Matrix!$H$13:$I$37,2,FALSE)&amp;"_"&amp;C71</f>
        <v>#N/A</v>
      </c>
      <c r="O71" s="116" t="e">
        <f t="shared" ca="1" si="3"/>
        <v>#N/A</v>
      </c>
    </row>
    <row r="72" spans="2:15">
      <c r="B72" s="23"/>
      <c r="C72" s="22"/>
      <c r="D72" s="108"/>
      <c r="E72" s="23"/>
      <c r="F72" s="109"/>
      <c r="G72" s="23"/>
      <c r="H72" s="109"/>
      <c r="I72" s="23"/>
      <c r="J72" s="109"/>
      <c r="K72" s="106"/>
      <c r="L72" s="109"/>
      <c r="M72" s="36" t="e">
        <f t="shared" ca="1" si="4"/>
        <v>#N/A</v>
      </c>
      <c r="N72" s="101" t="e">
        <f ca="1">VLOOKUP($B72,Matrix!$H$13:$I$37,2,FALSE)&amp;"_"&amp;C72</f>
        <v>#N/A</v>
      </c>
      <c r="O72" s="116" t="e">
        <f t="shared" ca="1" si="3"/>
        <v>#N/A</v>
      </c>
    </row>
    <row r="73" spans="2:15">
      <c r="B73" s="23"/>
      <c r="C73" s="22"/>
      <c r="D73" s="108"/>
      <c r="E73" s="23"/>
      <c r="F73" s="109"/>
      <c r="G73" s="23"/>
      <c r="H73" s="109"/>
      <c r="I73" s="23"/>
      <c r="J73" s="109"/>
      <c r="K73" s="106"/>
      <c r="L73" s="109"/>
      <c r="M73" s="36" t="e">
        <f t="shared" ca="1" si="4"/>
        <v>#N/A</v>
      </c>
      <c r="N73" s="101" t="e">
        <f ca="1">VLOOKUP($B73,Matrix!$H$13:$I$37,2,FALSE)&amp;"_"&amp;C73</f>
        <v>#N/A</v>
      </c>
      <c r="O73" s="116" t="e">
        <f t="shared" ca="1" si="3"/>
        <v>#N/A</v>
      </c>
    </row>
    <row r="74" spans="2:15">
      <c r="B74" s="23"/>
      <c r="C74" s="22"/>
      <c r="D74" s="108"/>
      <c r="E74" s="23"/>
      <c r="F74" s="109"/>
      <c r="G74" s="23"/>
      <c r="H74" s="109"/>
      <c r="I74" s="23"/>
      <c r="J74" s="109"/>
      <c r="K74" s="106"/>
      <c r="L74" s="109"/>
      <c r="M74" s="36" t="e">
        <f t="shared" ca="1" si="4"/>
        <v>#N/A</v>
      </c>
      <c r="N74" s="101" t="e">
        <f ca="1">VLOOKUP($B74,Matrix!$H$13:$I$37,2,FALSE)&amp;"_"&amp;C74</f>
        <v>#N/A</v>
      </c>
      <c r="O74" s="116" t="e">
        <f t="shared" ca="1" si="3"/>
        <v>#N/A</v>
      </c>
    </row>
    <row r="75" spans="2:15">
      <c r="B75" s="23"/>
      <c r="C75" s="22"/>
      <c r="D75" s="108"/>
      <c r="E75" s="23"/>
      <c r="F75" s="109"/>
      <c r="G75" s="23"/>
      <c r="H75" s="109"/>
      <c r="I75" s="23"/>
      <c r="J75" s="109"/>
      <c r="K75" s="106"/>
      <c r="L75" s="109"/>
      <c r="M75" s="36" t="e">
        <f t="shared" ca="1" si="4"/>
        <v>#N/A</v>
      </c>
      <c r="N75" s="101" t="e">
        <f ca="1">VLOOKUP($B75,Matrix!$H$13:$I$37,2,FALSE)&amp;"_"&amp;C75</f>
        <v>#N/A</v>
      </c>
      <c r="O75" s="116" t="e">
        <f t="shared" ca="1" si="3"/>
        <v>#N/A</v>
      </c>
    </row>
    <row r="76" spans="2:15">
      <c r="B76" s="23"/>
      <c r="C76" s="22"/>
      <c r="D76" s="108"/>
      <c r="E76" s="23"/>
      <c r="F76" s="109"/>
      <c r="G76" s="23"/>
      <c r="H76" s="109"/>
      <c r="I76" s="23"/>
      <c r="J76" s="109"/>
      <c r="K76" s="106"/>
      <c r="L76" s="109"/>
      <c r="M76" s="36" t="e">
        <f t="shared" ca="1" si="4"/>
        <v>#N/A</v>
      </c>
      <c r="N76" s="101" t="e">
        <f ca="1">VLOOKUP($B76,Matrix!$H$13:$I$37,2,FALSE)&amp;"_"&amp;C76</f>
        <v>#N/A</v>
      </c>
      <c r="O76" s="116" t="e">
        <f t="shared" ca="1" si="3"/>
        <v>#N/A</v>
      </c>
    </row>
    <row r="77" spans="2:15">
      <c r="B77" s="23"/>
      <c r="C77" s="22"/>
      <c r="D77" s="108"/>
      <c r="E77" s="23"/>
      <c r="F77" s="109"/>
      <c r="G77" s="23"/>
      <c r="H77" s="109"/>
      <c r="I77" s="23"/>
      <c r="J77" s="109"/>
      <c r="K77" s="106"/>
      <c r="L77" s="109"/>
      <c r="M77" s="36" t="e">
        <f t="shared" ca="1" si="4"/>
        <v>#N/A</v>
      </c>
      <c r="N77" s="101" t="e">
        <f ca="1">VLOOKUP($B77,Matrix!$H$13:$I$37,2,FALSE)&amp;"_"&amp;C77</f>
        <v>#N/A</v>
      </c>
      <c r="O77" s="116" t="e">
        <f t="shared" ca="1" si="3"/>
        <v>#N/A</v>
      </c>
    </row>
    <row r="78" spans="2:15">
      <c r="B78" s="23"/>
      <c r="C78" s="22"/>
      <c r="D78" s="108"/>
      <c r="E78" s="23"/>
      <c r="F78" s="109"/>
      <c r="G78" s="23"/>
      <c r="H78" s="109"/>
      <c r="I78" s="23"/>
      <c r="J78" s="109"/>
      <c r="K78" s="106"/>
      <c r="L78" s="109"/>
      <c r="M78" s="36" t="e">
        <f t="shared" ca="1" si="4"/>
        <v>#N/A</v>
      </c>
      <c r="N78" s="101" t="e">
        <f ca="1">VLOOKUP($B78,Matrix!$H$13:$I$37,2,FALSE)&amp;"_"&amp;C78</f>
        <v>#N/A</v>
      </c>
      <c r="O78" s="116" t="e">
        <f t="shared" ca="1" si="3"/>
        <v>#N/A</v>
      </c>
    </row>
    <row r="79" spans="2:15">
      <c r="B79" s="23"/>
      <c r="C79" s="22"/>
      <c r="D79" s="108"/>
      <c r="E79" s="23"/>
      <c r="F79" s="109"/>
      <c r="G79" s="23"/>
      <c r="H79" s="109"/>
      <c r="I79" s="23"/>
      <c r="J79" s="109"/>
      <c r="K79" s="106"/>
      <c r="L79" s="109"/>
      <c r="M79" s="36" t="e">
        <f t="shared" ca="1" si="4"/>
        <v>#N/A</v>
      </c>
      <c r="N79" s="101" t="e">
        <f ca="1">VLOOKUP($B79,Matrix!$H$13:$I$37,2,FALSE)&amp;"_"&amp;C79</f>
        <v>#N/A</v>
      </c>
      <c r="O79" s="116" t="e">
        <f t="shared" ca="1" si="3"/>
        <v>#N/A</v>
      </c>
    </row>
    <row r="80" spans="2:15">
      <c r="B80" s="23"/>
      <c r="C80" s="22"/>
      <c r="D80" s="108"/>
      <c r="E80" s="23"/>
      <c r="F80" s="109"/>
      <c r="G80" s="23"/>
      <c r="H80" s="109"/>
      <c r="I80" s="23"/>
      <c r="J80" s="109"/>
      <c r="K80" s="106"/>
      <c r="L80" s="109"/>
      <c r="M80" s="36" t="e">
        <f t="shared" ca="1" si="4"/>
        <v>#N/A</v>
      </c>
      <c r="N80" s="101" t="e">
        <f ca="1">VLOOKUP($B80,Matrix!$H$13:$I$37,2,FALSE)&amp;"_"&amp;C80</f>
        <v>#N/A</v>
      </c>
      <c r="O80" s="116" t="e">
        <f t="shared" ca="1" si="3"/>
        <v>#N/A</v>
      </c>
    </row>
    <row r="81" spans="2:15">
      <c r="B81" s="23"/>
      <c r="C81" s="22"/>
      <c r="D81" s="108"/>
      <c r="E81" s="23"/>
      <c r="F81" s="109"/>
      <c r="G81" s="23"/>
      <c r="H81" s="109"/>
      <c r="I81" s="23"/>
      <c r="J81" s="109"/>
      <c r="K81" s="106"/>
      <c r="L81" s="109"/>
      <c r="M81" s="36" t="e">
        <f t="shared" ca="1" si="4"/>
        <v>#N/A</v>
      </c>
      <c r="N81" s="101" t="e">
        <f ca="1">VLOOKUP($B81,Matrix!$H$13:$I$37,2,FALSE)&amp;"_"&amp;C81</f>
        <v>#N/A</v>
      </c>
      <c r="O81" s="116" t="e">
        <f t="shared" ca="1" si="3"/>
        <v>#N/A</v>
      </c>
    </row>
    <row r="82" spans="2:15">
      <c r="B82" s="23"/>
      <c r="C82" s="22"/>
      <c r="D82" s="108"/>
      <c r="E82" s="23"/>
      <c r="F82" s="109"/>
      <c r="G82" s="23"/>
      <c r="H82" s="109"/>
      <c r="I82" s="23"/>
      <c r="J82" s="109"/>
      <c r="K82" s="106"/>
      <c r="L82" s="109"/>
      <c r="M82" s="36" t="e">
        <f t="shared" ca="1" si="4"/>
        <v>#N/A</v>
      </c>
      <c r="N82" s="101" t="e">
        <f ca="1">VLOOKUP($B82,Matrix!$H$13:$I$37,2,FALSE)&amp;"_"&amp;C82</f>
        <v>#N/A</v>
      </c>
      <c r="O82" s="116" t="e">
        <f t="shared" ca="1" si="3"/>
        <v>#N/A</v>
      </c>
    </row>
    <row r="83" spans="2:15">
      <c r="B83" s="23"/>
      <c r="C83" s="22"/>
      <c r="D83" s="108"/>
      <c r="E83" s="23"/>
      <c r="F83" s="109"/>
      <c r="G83" s="23"/>
      <c r="H83" s="109"/>
      <c r="I83" s="23"/>
      <c r="J83" s="109"/>
      <c r="K83" s="106"/>
      <c r="L83" s="109"/>
      <c r="M83" s="36" t="e">
        <f t="shared" ca="1" si="4"/>
        <v>#N/A</v>
      </c>
      <c r="N83" s="101" t="e">
        <f ca="1">VLOOKUP($B83,Matrix!$H$13:$I$37,2,FALSE)&amp;"_"&amp;C83</f>
        <v>#N/A</v>
      </c>
      <c r="O83" s="116" t="e">
        <f t="shared" ca="1" si="3"/>
        <v>#N/A</v>
      </c>
    </row>
    <row r="84" spans="2:15">
      <c r="B84" s="23"/>
      <c r="C84" s="22"/>
      <c r="D84" s="108"/>
      <c r="E84" s="23"/>
      <c r="F84" s="109"/>
      <c r="G84" s="23"/>
      <c r="H84" s="109"/>
      <c r="I84" s="23"/>
      <c r="J84" s="109"/>
      <c r="K84" s="106"/>
      <c r="L84" s="109"/>
      <c r="M84" s="36" t="e">
        <f t="shared" ca="1" si="4"/>
        <v>#N/A</v>
      </c>
      <c r="N84" s="101" t="e">
        <f ca="1">VLOOKUP($B84,Matrix!$H$13:$I$37,2,FALSE)&amp;"_"&amp;C84</f>
        <v>#N/A</v>
      </c>
      <c r="O84" s="116" t="e">
        <f t="shared" ca="1" si="3"/>
        <v>#N/A</v>
      </c>
    </row>
    <row r="85" spans="2:15">
      <c r="B85" s="23"/>
      <c r="C85" s="22"/>
      <c r="D85" s="108"/>
      <c r="E85" s="23"/>
      <c r="F85" s="109"/>
      <c r="G85" s="23"/>
      <c r="H85" s="109"/>
      <c r="I85" s="23"/>
      <c r="J85" s="109"/>
      <c r="K85" s="106"/>
      <c r="L85" s="109"/>
      <c r="M85" s="36" t="e">
        <f t="shared" ca="1" si="4"/>
        <v>#N/A</v>
      </c>
      <c r="N85" s="101" t="e">
        <f ca="1">VLOOKUP($B85,Matrix!$H$13:$I$37,2,FALSE)&amp;"_"&amp;C85</f>
        <v>#N/A</v>
      </c>
      <c r="O85" s="116" t="e">
        <f t="shared" ca="1" si="3"/>
        <v>#N/A</v>
      </c>
    </row>
    <row r="86" spans="2:15">
      <c r="B86" s="23"/>
      <c r="C86" s="22"/>
      <c r="D86" s="108"/>
      <c r="E86" s="23"/>
      <c r="F86" s="109"/>
      <c r="G86" s="23"/>
      <c r="H86" s="109"/>
      <c r="I86" s="23"/>
      <c r="J86" s="109"/>
      <c r="K86" s="106"/>
      <c r="L86" s="109"/>
      <c r="M86" s="36" t="e">
        <f t="shared" ca="1" si="4"/>
        <v>#N/A</v>
      </c>
      <c r="N86" s="101" t="e">
        <f ca="1">VLOOKUP($B86,Matrix!$H$13:$I$37,2,FALSE)&amp;"_"&amp;C86</f>
        <v>#N/A</v>
      </c>
      <c r="O86" s="116" t="e">
        <f t="shared" ca="1" si="3"/>
        <v>#N/A</v>
      </c>
    </row>
    <row r="87" spans="2:15">
      <c r="B87" s="23"/>
      <c r="C87" s="22"/>
      <c r="D87" s="108"/>
      <c r="E87" s="23"/>
      <c r="F87" s="109"/>
      <c r="G87" s="23"/>
      <c r="H87" s="109"/>
      <c r="I87" s="23"/>
      <c r="J87" s="109"/>
      <c r="K87" s="106"/>
      <c r="L87" s="109"/>
      <c r="M87" s="36" t="e">
        <f t="shared" ca="1" si="4"/>
        <v>#N/A</v>
      </c>
      <c r="N87" s="57" t="e">
        <f ca="1">VLOOKUP($B87,Matrix!$H$13:$I$37,2,FALSE)&amp;"_"&amp;C87</f>
        <v>#N/A</v>
      </c>
      <c r="O87" s="116" t="e">
        <f t="shared" ca="1" si="3"/>
        <v>#N/A</v>
      </c>
    </row>
    <row r="88" spans="2:15">
      <c r="B88" s="23"/>
      <c r="C88" s="22"/>
      <c r="D88" s="108"/>
      <c r="E88" s="23"/>
      <c r="F88" s="109"/>
      <c r="G88" s="23"/>
      <c r="H88" s="109"/>
      <c r="I88" s="23"/>
      <c r="J88" s="109"/>
      <c r="K88" s="106"/>
      <c r="L88" s="109"/>
      <c r="M88" s="36" t="e">
        <f t="shared" ca="1" si="4"/>
        <v>#N/A</v>
      </c>
      <c r="N88" s="57" t="e">
        <f ca="1">VLOOKUP($B88,Matrix!$H$13:$I$37,2,FALSE)&amp;"_"&amp;C88</f>
        <v>#N/A</v>
      </c>
      <c r="O88" s="116" t="e">
        <f t="shared" ca="1" si="3"/>
        <v>#N/A</v>
      </c>
    </row>
    <row r="89" spans="2:15">
      <c r="B89" s="23"/>
      <c r="C89" s="22"/>
      <c r="D89" s="108"/>
      <c r="E89" s="23"/>
      <c r="F89" s="109"/>
      <c r="G89" s="23"/>
      <c r="H89" s="109"/>
      <c r="I89" s="23"/>
      <c r="J89" s="109"/>
      <c r="K89" s="106"/>
      <c r="L89" s="109"/>
      <c r="M89" s="36" t="e">
        <f t="shared" ca="1" si="4"/>
        <v>#N/A</v>
      </c>
      <c r="N89" s="57" t="e">
        <f ca="1">VLOOKUP($B89,Matrix!$H$13:$I$37,2,FALSE)&amp;"_"&amp;C89</f>
        <v>#N/A</v>
      </c>
      <c r="O89" s="116" t="e">
        <f t="shared" ca="1" si="3"/>
        <v>#N/A</v>
      </c>
    </row>
    <row r="90" spans="2:15">
      <c r="B90" s="23"/>
      <c r="C90" s="22"/>
      <c r="D90" s="108"/>
      <c r="E90" s="23"/>
      <c r="F90" s="109"/>
      <c r="G90" s="23"/>
      <c r="H90" s="109"/>
      <c r="I90" s="23"/>
      <c r="J90" s="109"/>
      <c r="K90" s="106"/>
      <c r="L90" s="109"/>
      <c r="M90" s="36" t="e">
        <f t="shared" ca="1" si="4"/>
        <v>#N/A</v>
      </c>
      <c r="N90" s="57" t="e">
        <f ca="1">VLOOKUP($B90,Matrix!$H$13:$I$37,2,FALSE)&amp;"_"&amp;C90</f>
        <v>#N/A</v>
      </c>
      <c r="O90" s="116" t="e">
        <f t="shared" ca="1" si="3"/>
        <v>#N/A</v>
      </c>
    </row>
    <row r="91" spans="2:15">
      <c r="B91" s="23"/>
      <c r="C91" s="22"/>
      <c r="D91" s="108"/>
      <c r="E91" s="23"/>
      <c r="F91" s="109"/>
      <c r="G91" s="23"/>
      <c r="H91" s="109"/>
      <c r="I91" s="23"/>
      <c r="J91" s="109"/>
      <c r="K91" s="106"/>
      <c r="L91" s="109"/>
      <c r="M91" s="36" t="e">
        <f t="shared" ca="1" si="4"/>
        <v>#N/A</v>
      </c>
      <c r="N91" s="57" t="e">
        <f ca="1">VLOOKUP($B91,Matrix!$H$13:$I$37,2,FALSE)&amp;"_"&amp;C91</f>
        <v>#N/A</v>
      </c>
      <c r="O91" s="116" t="e">
        <f t="shared" ca="1" si="3"/>
        <v>#N/A</v>
      </c>
    </row>
    <row r="92" spans="2:15">
      <c r="B92" s="23"/>
      <c r="C92" s="22"/>
      <c r="D92" s="108"/>
      <c r="E92" s="23"/>
      <c r="F92" s="109"/>
      <c r="G92" s="23"/>
      <c r="H92" s="109"/>
      <c r="I92" s="23"/>
      <c r="J92" s="109"/>
      <c r="K92" s="106"/>
      <c r="L92" s="109"/>
      <c r="M92" s="36" t="e">
        <f t="shared" ca="1" si="4"/>
        <v>#N/A</v>
      </c>
      <c r="N92" s="57" t="e">
        <f ca="1">VLOOKUP($B92,Matrix!$H$13:$I$37,2,FALSE)&amp;"_"&amp;C92</f>
        <v>#N/A</v>
      </c>
      <c r="O92" s="116" t="e">
        <f t="shared" ca="1" si="3"/>
        <v>#N/A</v>
      </c>
    </row>
    <row r="93" spans="2:15">
      <c r="B93" s="23"/>
      <c r="C93" s="22"/>
      <c r="D93" s="108"/>
      <c r="E93" s="23"/>
      <c r="F93" s="109"/>
      <c r="G93" s="23"/>
      <c r="H93" s="109"/>
      <c r="I93" s="23"/>
      <c r="J93" s="109"/>
      <c r="K93" s="106"/>
      <c r="L93" s="109"/>
      <c r="M93" s="36" t="e">
        <f t="shared" ca="1" si="4"/>
        <v>#N/A</v>
      </c>
      <c r="N93" s="57" t="e">
        <f ca="1">VLOOKUP($B93,Matrix!$H$13:$I$37,2,FALSE)&amp;"_"&amp;C93</f>
        <v>#N/A</v>
      </c>
      <c r="O93" s="116" t="e">
        <f t="shared" ca="1" si="3"/>
        <v>#N/A</v>
      </c>
    </row>
    <row r="94" spans="2:15">
      <c r="B94" s="23"/>
      <c r="C94" s="22"/>
      <c r="D94" s="108"/>
      <c r="E94" s="23"/>
      <c r="F94" s="109"/>
      <c r="G94" s="23"/>
      <c r="H94" s="109"/>
      <c r="I94" s="23"/>
      <c r="J94" s="109"/>
      <c r="K94" s="106"/>
      <c r="L94" s="109"/>
      <c r="M94" s="36" t="e">
        <f t="shared" ca="1" si="4"/>
        <v>#N/A</v>
      </c>
      <c r="N94" s="57" t="e">
        <f ca="1">VLOOKUP($B94,Matrix!$H$13:$I$37,2,FALSE)&amp;"_"&amp;C94</f>
        <v>#N/A</v>
      </c>
      <c r="O94" s="116" t="e">
        <f t="shared" ca="1" si="3"/>
        <v>#N/A</v>
      </c>
    </row>
    <row r="95" spans="2:15">
      <c r="B95" s="23"/>
      <c r="C95" s="22"/>
      <c r="D95" s="108"/>
      <c r="E95" s="23"/>
      <c r="F95" s="109"/>
      <c r="G95" s="23"/>
      <c r="H95" s="109"/>
      <c r="I95" s="23"/>
      <c r="J95" s="109"/>
      <c r="K95" s="106"/>
      <c r="L95" s="109"/>
      <c r="M95" s="36" t="e">
        <f t="shared" ca="1" si="4"/>
        <v>#N/A</v>
      </c>
      <c r="N95" s="57" t="e">
        <f ca="1">VLOOKUP($B95,Matrix!$H$13:$I$37,2,FALSE)&amp;"_"&amp;C95</f>
        <v>#N/A</v>
      </c>
      <c r="O95" s="116" t="e">
        <f t="shared" ca="1" si="3"/>
        <v>#N/A</v>
      </c>
    </row>
    <row r="96" spans="2:15">
      <c r="B96" s="23"/>
      <c r="C96" s="22"/>
      <c r="D96" s="108"/>
      <c r="E96" s="23"/>
      <c r="F96" s="109"/>
      <c r="G96" s="23"/>
      <c r="H96" s="109"/>
      <c r="I96" s="23"/>
      <c r="J96" s="109"/>
      <c r="K96" s="106"/>
      <c r="L96" s="109"/>
      <c r="M96" s="36" t="e">
        <f t="shared" ca="1" si="4"/>
        <v>#N/A</v>
      </c>
      <c r="N96" s="57" t="e">
        <f ca="1">VLOOKUP($B96,Matrix!$H$13:$I$37,2,FALSE)&amp;"_"&amp;C96</f>
        <v>#N/A</v>
      </c>
      <c r="O96" s="116" t="e">
        <f t="shared" ca="1" si="3"/>
        <v>#N/A</v>
      </c>
    </row>
    <row r="97" spans="2:15">
      <c r="B97" s="23"/>
      <c r="C97" s="22"/>
      <c r="D97" s="108"/>
      <c r="E97" s="23"/>
      <c r="F97" s="109"/>
      <c r="G97" s="23"/>
      <c r="H97" s="109"/>
      <c r="I97" s="23"/>
      <c r="J97" s="109"/>
      <c r="K97" s="106"/>
      <c r="L97" s="109"/>
      <c r="M97" s="36" t="e">
        <f t="shared" ca="1" si="4"/>
        <v>#N/A</v>
      </c>
      <c r="N97" s="57" t="e">
        <f ca="1">VLOOKUP($B97,Matrix!$H$13:$I$37,2,FALSE)&amp;"_"&amp;C97</f>
        <v>#N/A</v>
      </c>
      <c r="O97" s="116" t="e">
        <f t="shared" ca="1" si="3"/>
        <v>#N/A</v>
      </c>
    </row>
    <row r="98" spans="2:15">
      <c r="B98" s="23"/>
      <c r="C98" s="22"/>
      <c r="D98" s="108"/>
      <c r="E98" s="23"/>
      <c r="F98" s="109"/>
      <c r="G98" s="23"/>
      <c r="H98" s="109"/>
      <c r="I98" s="23"/>
      <c r="J98" s="109"/>
      <c r="K98" s="106"/>
      <c r="L98" s="109"/>
      <c r="M98" s="36" t="e">
        <f t="shared" ca="1" si="4"/>
        <v>#N/A</v>
      </c>
      <c r="N98" s="57" t="e">
        <f ca="1">VLOOKUP($B98,Matrix!$H$13:$I$37,2,FALSE)&amp;"_"&amp;C98</f>
        <v>#N/A</v>
      </c>
      <c r="O98" s="116" t="e">
        <f t="shared" ca="1" si="3"/>
        <v>#N/A</v>
      </c>
    </row>
    <row r="99" spans="2:15">
      <c r="B99" s="23"/>
      <c r="C99" s="22"/>
      <c r="D99" s="108"/>
      <c r="E99" s="23"/>
      <c r="F99" s="109"/>
      <c r="G99" s="23"/>
      <c r="H99" s="109"/>
      <c r="I99" s="23"/>
      <c r="J99" s="109"/>
      <c r="K99" s="106"/>
      <c r="L99" s="109"/>
      <c r="M99" s="36" t="e">
        <f t="shared" ca="1" si="4"/>
        <v>#N/A</v>
      </c>
      <c r="N99" s="57" t="e">
        <f ca="1">VLOOKUP($B99,Matrix!$H$13:$I$37,2,FALSE)&amp;"_"&amp;C99</f>
        <v>#N/A</v>
      </c>
      <c r="O99" s="116" t="e">
        <f t="shared" ca="1" si="3"/>
        <v>#N/A</v>
      </c>
    </row>
    <row r="100" spans="2:15">
      <c r="B100" s="23"/>
      <c r="C100" s="22"/>
      <c r="D100" s="108"/>
      <c r="E100" s="23"/>
      <c r="F100" s="109"/>
      <c r="G100" s="23"/>
      <c r="H100" s="109"/>
      <c r="I100" s="23"/>
      <c r="J100" s="109"/>
      <c r="K100" s="106"/>
      <c r="L100" s="109"/>
      <c r="M100" s="36" t="e">
        <f t="shared" ca="1" si="4"/>
        <v>#N/A</v>
      </c>
      <c r="N100" s="57" t="e">
        <f ca="1">VLOOKUP($B100,Matrix!$H$13:$I$37,2,FALSE)&amp;"_"&amp;C100</f>
        <v>#N/A</v>
      </c>
      <c r="O100" s="116" t="e">
        <f ca="1">"#define "&amp;N100&amp;REPT(" ",48-M100)&amp;"("&amp;D100&amp;"U)"</f>
        <v>#N/A</v>
      </c>
    </row>
    <row r="101" spans="2:15">
      <c r="B101" s="23"/>
      <c r="C101" s="22"/>
      <c r="D101" s="108"/>
      <c r="E101" s="23"/>
      <c r="F101" s="109"/>
      <c r="G101" s="23"/>
      <c r="H101" s="109"/>
      <c r="I101" s="23"/>
      <c r="J101" s="109"/>
      <c r="K101" s="106"/>
      <c r="L101" s="109"/>
      <c r="M101" s="36" t="e">
        <f t="shared" ca="1" si="4"/>
        <v>#N/A</v>
      </c>
      <c r="N101" s="57" t="e">
        <f ca="1">VLOOKUP($B101,Matrix!$H$13:$I$37,2,FALSE)&amp;"_"&amp;C101</f>
        <v>#N/A</v>
      </c>
      <c r="O101" s="116" t="e">
        <f ca="1">"#define "&amp;N101&amp;REPT(" ",48-M101)&amp;"("&amp;D101&amp;"U)"</f>
        <v>#N/A</v>
      </c>
    </row>
    <row r="102" spans="2:15">
      <c r="B102" s="23"/>
      <c r="C102" s="22"/>
      <c r="D102" s="108"/>
      <c r="E102" s="23"/>
      <c r="F102" s="109"/>
      <c r="G102" s="23"/>
      <c r="H102" s="109"/>
      <c r="I102" s="23"/>
      <c r="J102" s="109"/>
      <c r="K102" s="106"/>
      <c r="L102" s="109"/>
      <c r="M102" s="36" t="e">
        <f t="shared" ca="1" si="4"/>
        <v>#N/A</v>
      </c>
      <c r="N102" s="57" t="e">
        <f ca="1">VLOOKUP($B102,Matrix!$H$13:$I$37,2,FALSE)&amp;"_"&amp;C102</f>
        <v>#N/A</v>
      </c>
      <c r="O102" s="116" t="e">
        <f ca="1">"#define "&amp;N102&amp;REPT(" ",48-M102)&amp;"("&amp;D102&amp;"U)"</f>
        <v>#N/A</v>
      </c>
    </row>
    <row r="103" spans="2:15" ht="14.25" thickBot="1">
      <c r="B103" s="42"/>
      <c r="C103" s="43"/>
      <c r="D103" s="110"/>
      <c r="E103" s="42"/>
      <c r="F103" s="111"/>
      <c r="G103" s="42"/>
      <c r="H103" s="111"/>
      <c r="I103" s="42"/>
      <c r="J103" s="111"/>
      <c r="K103" s="198"/>
      <c r="L103" s="111"/>
      <c r="M103" s="44" t="e">
        <f t="shared" ca="1" si="4"/>
        <v>#N/A</v>
      </c>
      <c r="N103" s="58" t="e">
        <f ca="1">VLOOKUP($B103,Matrix!$H$13:$I$37,2,FALSE)&amp;"_"&amp;C103</f>
        <v>#N/A</v>
      </c>
      <c r="O103" s="117" t="e">
        <f ca="1">"#define "&amp;N103&amp;REPT(" ",48-M103)&amp;"("&amp;D103&amp;"U)"</f>
        <v>#N/A</v>
      </c>
    </row>
  </sheetData>
  <sheetProtection sheet="1" objects="1" scenarios="1"/>
  <protectedRanges>
    <protectedRange sqref="B4:L103" name="範囲1"/>
  </protectedRanges>
  <phoneticPr fontId="2"/>
  <conditionalFormatting sqref="M3:M103">
    <cfRule type="cellIs" dxfId="5" priority="1" operator="greaterThan">
      <formula>32</formula>
    </cfRule>
  </conditionalFormatting>
  <dataValidations count="2">
    <dataValidation type="list" allowBlank="1" showInputMessage="1" showErrorMessage="1" sqref="K3 G3 I3 E3" xr:uid="{00000000-0002-0000-0400-000000000000}">
      <formula1>"あり,なし"</formula1>
    </dataValidation>
    <dataValidation type="list" allowBlank="1" showInputMessage="1" showErrorMessage="1" sqref="B3" xr:uid="{00000000-0002-0000-0400-000001000000}">
      <formula1>#REF!</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Matrix!$H$13:$H$37</xm:f>
          </x14:formula1>
          <xm:sqref>B4:B103</xm:sqref>
        </x14:dataValidation>
        <x14:dataValidation type="list" allowBlank="1" showInputMessage="1" showErrorMessage="1" xr:uid="{00000000-0002-0000-0400-000003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CCECFF"/>
  </sheetPr>
  <dimension ref="A1:AW199"/>
  <sheetViews>
    <sheetView zoomScaleNormal="100" workbookViewId="0">
      <pane ySplit="3" topLeftCell="A4" activePane="bottomLeft" state="frozen"/>
      <selection pane="bottomLeft" activeCell="AG3" sqref="AG3:AH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55</v>
      </c>
      <c r="AI1" t="s">
        <v>56</v>
      </c>
    </row>
    <row r="2" spans="1:49">
      <c r="B2" s="118" t="s">
        <v>116</v>
      </c>
      <c r="C2" s="266" t="s">
        <v>77</v>
      </c>
      <c r="D2" s="47">
        <v>31</v>
      </c>
      <c r="E2" s="47">
        <v>30</v>
      </c>
      <c r="F2" s="47">
        <v>29</v>
      </c>
      <c r="G2" s="47">
        <v>28</v>
      </c>
      <c r="H2" s="47">
        <v>27</v>
      </c>
      <c r="I2" s="47">
        <v>26</v>
      </c>
      <c r="J2" s="47">
        <v>25</v>
      </c>
      <c r="K2" s="47">
        <v>24</v>
      </c>
      <c r="L2" s="47">
        <v>23</v>
      </c>
      <c r="M2" s="47">
        <v>22</v>
      </c>
      <c r="N2" s="47">
        <v>21</v>
      </c>
      <c r="O2" s="47">
        <v>20</v>
      </c>
      <c r="P2" s="47">
        <v>19</v>
      </c>
      <c r="Q2" s="47">
        <v>18</v>
      </c>
      <c r="R2" s="47">
        <v>17</v>
      </c>
      <c r="S2" s="47">
        <v>16</v>
      </c>
      <c r="T2" s="47">
        <v>15</v>
      </c>
      <c r="U2" s="47">
        <v>14</v>
      </c>
      <c r="V2" s="47">
        <v>13</v>
      </c>
      <c r="W2" s="47">
        <v>12</v>
      </c>
      <c r="X2" s="47">
        <v>11</v>
      </c>
      <c r="Y2" s="47">
        <v>10</v>
      </c>
      <c r="Z2" s="47">
        <v>9</v>
      </c>
      <c r="AA2" s="47">
        <v>8</v>
      </c>
      <c r="AB2" s="47">
        <v>7</v>
      </c>
      <c r="AC2" s="47">
        <v>6</v>
      </c>
      <c r="AD2" s="47">
        <v>5</v>
      </c>
      <c r="AE2" s="47">
        <v>4</v>
      </c>
      <c r="AF2" s="47">
        <v>3</v>
      </c>
      <c r="AG2" s="47">
        <v>2</v>
      </c>
      <c r="AH2" s="47">
        <v>1</v>
      </c>
      <c r="AI2" s="47">
        <v>0</v>
      </c>
      <c r="AJ2" s="268" t="s">
        <v>193</v>
      </c>
    </row>
    <row r="3" spans="1:49" ht="213" customHeight="1" thickBot="1">
      <c r="B3" s="190" t="str">
        <f>IF(OR(IF(COUNTIF(D6:AC69,"0")&lt;&gt;0,TRUE,FALSE),IF(COUNTIF(D6:AC69,"1")&lt;&gt;0,TRUE,FALSE)),"Search Table","Index Table")</f>
        <v>Index Table</v>
      </c>
      <c r="C3" s="267"/>
      <c r="D3" s="120" t="s">
        <v>57</v>
      </c>
      <c r="E3" s="120" t="s">
        <v>62</v>
      </c>
      <c r="F3" s="120" t="s">
        <v>45</v>
      </c>
      <c r="G3" s="120" t="s">
        <v>44</v>
      </c>
      <c r="H3" s="120" t="s">
        <v>114</v>
      </c>
      <c r="I3" s="120" t="s">
        <v>113</v>
      </c>
      <c r="J3" s="120" t="s">
        <v>118</v>
      </c>
      <c r="K3" s="120" t="s">
        <v>117</v>
      </c>
      <c r="L3" s="121" t="s">
        <v>62</v>
      </c>
      <c r="M3" s="121" t="s">
        <v>58</v>
      </c>
      <c r="N3" s="121" t="s">
        <v>58</v>
      </c>
      <c r="O3" s="121" t="s">
        <v>58</v>
      </c>
      <c r="P3" s="121" t="s">
        <v>58</v>
      </c>
      <c r="Q3" s="121" t="s">
        <v>58</v>
      </c>
      <c r="R3" s="121" t="s">
        <v>58</v>
      </c>
      <c r="S3" s="121" t="s">
        <v>58</v>
      </c>
      <c r="T3" s="121" t="s">
        <v>58</v>
      </c>
      <c r="U3" s="121" t="s">
        <v>58</v>
      </c>
      <c r="V3" s="121" t="s">
        <v>58</v>
      </c>
      <c r="W3" s="121" t="s">
        <v>58</v>
      </c>
      <c r="X3" s="121" t="s">
        <v>58</v>
      </c>
      <c r="Y3" s="121" t="s">
        <v>58</v>
      </c>
      <c r="Z3" s="121" t="s">
        <v>58</v>
      </c>
      <c r="AA3" s="121" t="s">
        <v>58</v>
      </c>
      <c r="AB3" s="121" t="s">
        <v>58</v>
      </c>
      <c r="AC3" s="121" t="s">
        <v>58</v>
      </c>
      <c r="AD3" s="121" t="s">
        <v>58</v>
      </c>
      <c r="AE3" s="121" t="s">
        <v>58</v>
      </c>
      <c r="AF3" s="121" t="s">
        <v>58</v>
      </c>
      <c r="AG3" s="274" t="s">
        <v>209</v>
      </c>
      <c r="AH3" s="275"/>
      <c r="AI3" s="204" t="s">
        <v>221</v>
      </c>
      <c r="AJ3" s="269"/>
      <c r="AR3" s="82" t="s">
        <v>89</v>
      </c>
    </row>
    <row r="4" spans="1:49" ht="14.25" thickBot="1">
      <c r="A4" s="270" t="s">
        <v>59</v>
      </c>
      <c r="B4" s="271"/>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3"/>
      <c r="AR4" s="70" t="s">
        <v>75</v>
      </c>
      <c r="AS4" s="71"/>
      <c r="AT4" s="71"/>
      <c r="AU4" s="71"/>
      <c r="AV4" s="71"/>
      <c r="AW4" s="72"/>
    </row>
    <row r="5" spans="1:49" ht="14.25" thickBot="1">
      <c r="A5" s="272"/>
      <c r="B5" s="273"/>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24"/>
      <c r="AR5" s="73" t="str">
        <f ca="1">"static const U4  "&amp;AW8&amp;"["&amp;AW10&amp;"]"&amp;" = {"</f>
        <v>static const U4  u4_sp_ALERT_S_PMAR_CRIT[ALERT_S_PMAR_NUM_DST] = {</v>
      </c>
      <c r="AS5" s="73" t="str">
        <f ca="1">"static const U4  "&amp;$AW$9&amp;"["&amp;$AW$10&amp;"] = {"</f>
        <v>static const U4  u4_sp_ALERT_S_PMAR_MASK[ALERT_S_PMAR_NUM_DST] = {</v>
      </c>
      <c r="AT5" s="73" t="str">
        <f ca="1">"static const U1  "&amp;$AW$11&amp;"["&amp;$AW$10&amp;"] = {"</f>
        <v>static const U1  u1_sp_ALERT_S_PMAR_DST[ALERT_S_PMAR_NUM_DST] = {</v>
      </c>
      <c r="AU5" s="73" t="str">
        <f ca="1">"const ST_ALERT_MTRX "&amp;$AW$12&amp;" = {"</f>
        <v>const ST_ALERT_MTRX st_gp_ALERT_S_PMAR_MTRX[1] = {</v>
      </c>
      <c r="AV5" s="54" t="str">
        <f ca="1">"#define "&amp;AW10&amp;REPT(" ",41-LEN(AW10))&amp;"("&amp;AW13&amp;"U)"</f>
        <v>#define ALERT_S_PMAR_NUM_DST                     (8U)</v>
      </c>
      <c r="AW5" s="55"/>
    </row>
    <row r="6" spans="1:49">
      <c r="B6" s="126" t="str">
        <f ca="1">"Table "&amp;$AW$6</f>
        <v>Table S_PMAR</v>
      </c>
      <c r="C6" s="41">
        <f>ROW()-ROW($C$6)</f>
        <v>0</v>
      </c>
      <c r="D6" s="122" t="s">
        <v>177</v>
      </c>
      <c r="E6" s="122" t="s">
        <v>177</v>
      </c>
      <c r="F6" s="122" t="s">
        <v>177</v>
      </c>
      <c r="G6" s="122" t="s">
        <v>178</v>
      </c>
      <c r="H6" s="122" t="s">
        <v>178</v>
      </c>
      <c r="I6" s="122" t="s">
        <v>178</v>
      </c>
      <c r="J6" s="122" t="s">
        <v>178</v>
      </c>
      <c r="K6" s="122" t="s">
        <v>178</v>
      </c>
      <c r="L6" s="122" t="s">
        <v>178</v>
      </c>
      <c r="M6" s="122" t="s">
        <v>178</v>
      </c>
      <c r="N6" s="122" t="s">
        <v>178</v>
      </c>
      <c r="O6" s="122" t="s">
        <v>178</v>
      </c>
      <c r="P6" s="122" t="s">
        <v>177</v>
      </c>
      <c r="Q6" s="122" t="s">
        <v>177</v>
      </c>
      <c r="R6" s="122" t="s">
        <v>177</v>
      </c>
      <c r="S6" s="122" t="s">
        <v>177</v>
      </c>
      <c r="T6" s="122" t="s">
        <v>177</v>
      </c>
      <c r="U6" s="122" t="s">
        <v>177</v>
      </c>
      <c r="V6" s="122" t="s">
        <v>177</v>
      </c>
      <c r="W6" s="122" t="s">
        <v>177</v>
      </c>
      <c r="X6" s="122" t="s">
        <v>177</v>
      </c>
      <c r="Y6" s="122" t="s">
        <v>177</v>
      </c>
      <c r="Z6" s="122" t="s">
        <v>177</v>
      </c>
      <c r="AA6" s="122" t="s">
        <v>177</v>
      </c>
      <c r="AB6" s="122" t="s">
        <v>177</v>
      </c>
      <c r="AC6" s="122" t="s">
        <v>177</v>
      </c>
      <c r="AD6" s="122" t="s">
        <v>177</v>
      </c>
      <c r="AE6" s="122" t="s">
        <v>177</v>
      </c>
      <c r="AF6" s="122" t="s">
        <v>177</v>
      </c>
      <c r="AG6" s="199">
        <v>0</v>
      </c>
      <c r="AH6" s="199">
        <v>0</v>
      </c>
      <c r="AI6" s="199">
        <v>0</v>
      </c>
      <c r="AJ6" s="40" t="s">
        <v>30</v>
      </c>
      <c r="AL6" t="str">
        <f t="shared" ref="AL6:AL69" si="0">IF($AJ6="UNKNOWN","    (U1)ALERT_REQ_UNKNOWN","    (U1)"&amp;"ALERT_REQ_"&amp;$AW$17&amp;"_"&amp;IF($AW$6&lt;&gt;$AW$17,$AW$6&amp;"_","")&amp;AJ6)</f>
        <v xml:space="preserve">    (U1)ALERT_REQ_UNKNOWN</v>
      </c>
      <c r="AR6" s="52" t="str">
        <f>IF(AQ71&lt;&gt;"",AQ71,IF(AQ70&lt;&gt;"","};",""))</f>
        <v xml:space="preserve">    (U4)0x00000000U,                                                           /* 00 UNKNOWN                                         */</v>
      </c>
      <c r="AS6" s="52" t="str">
        <f>IF(AQ136&lt;&gt;"",AQ136,IF(AQ135&lt;&gt;"","};",""))</f>
        <v xml:space="preserve">    (U4)0x00000007U,                                                           /* 00 UNKNOWN                                         */</v>
      </c>
      <c r="AT6" s="52" t="str">
        <f t="shared" ref="AT6:AT69" si="1">IF(AJ6&lt;&gt;"",AL6&amp;IF(AJ7&lt;&gt;"",","," ")&amp;REPT(" ",78-LEN(AL6))&amp;"/* "&amp;IF(C6&lt;10,"0"&amp;C6,C6)&amp;" "&amp;AJ6&amp;REPT(" ",48-LEN(AJ6))&amp;"*/",IF(AJ5&lt;&gt;"","};",""))</f>
        <v xml:space="preserve">    (U1)ALERT_REQ_UNKNOWN,                                                     /* 00 UNKNOWN                                         */</v>
      </c>
      <c r="AU6" s="52" t="s">
        <v>243</v>
      </c>
      <c r="AV6" s="37" t="s">
        <v>64</v>
      </c>
      <c r="AW6" s="56" t="str">
        <f ca="1">UPPER(RIGHT(CELL("filename",A1),LEN(CELL("filename",A1))-FIND("]",CELL("filename",A1))))</f>
        <v>S_PMAR</v>
      </c>
    </row>
    <row r="7" spans="1:49">
      <c r="B7" s="126"/>
      <c r="C7" s="36">
        <f t="shared" ref="C7:C69" si="2">ROW()-ROW($C$6)</f>
        <v>1</v>
      </c>
      <c r="D7" s="50" t="s">
        <v>177</v>
      </c>
      <c r="E7" s="50" t="s">
        <v>177</v>
      </c>
      <c r="F7" s="50" t="s">
        <v>177</v>
      </c>
      <c r="G7" s="50" t="s">
        <v>178</v>
      </c>
      <c r="H7" s="50" t="s">
        <v>178</v>
      </c>
      <c r="I7" s="50" t="s">
        <v>178</v>
      </c>
      <c r="J7" s="50" t="s">
        <v>178</v>
      </c>
      <c r="K7" s="50" t="s">
        <v>178</v>
      </c>
      <c r="L7" s="50" t="s">
        <v>178</v>
      </c>
      <c r="M7" s="50" t="s">
        <v>178</v>
      </c>
      <c r="N7" s="50" t="s">
        <v>178</v>
      </c>
      <c r="O7" s="50" t="s">
        <v>178</v>
      </c>
      <c r="P7" s="50" t="s">
        <v>177</v>
      </c>
      <c r="Q7" s="50" t="s">
        <v>177</v>
      </c>
      <c r="R7" s="50" t="s">
        <v>177</v>
      </c>
      <c r="S7" s="50" t="s">
        <v>177</v>
      </c>
      <c r="T7" s="50" t="s">
        <v>177</v>
      </c>
      <c r="U7" s="50" t="s">
        <v>177</v>
      </c>
      <c r="V7" s="50" t="s">
        <v>177</v>
      </c>
      <c r="W7" s="50" t="s">
        <v>177</v>
      </c>
      <c r="X7" s="50" t="s">
        <v>177</v>
      </c>
      <c r="Y7" s="50" t="s">
        <v>177</v>
      </c>
      <c r="Z7" s="122" t="s">
        <v>177</v>
      </c>
      <c r="AA7" s="122" t="s">
        <v>177</v>
      </c>
      <c r="AB7" s="122" t="s">
        <v>177</v>
      </c>
      <c r="AC7" s="122" t="s">
        <v>177</v>
      </c>
      <c r="AD7" s="122" t="s">
        <v>177</v>
      </c>
      <c r="AE7" s="122" t="s">
        <v>177</v>
      </c>
      <c r="AF7" s="122" t="s">
        <v>177</v>
      </c>
      <c r="AG7" s="199">
        <v>0</v>
      </c>
      <c r="AH7" s="199">
        <v>0</v>
      </c>
      <c r="AI7" s="199">
        <v>1</v>
      </c>
      <c r="AJ7" s="22" t="s">
        <v>220</v>
      </c>
      <c r="AL7" t="str">
        <f t="shared" ca="1" si="0"/>
        <v xml:space="preserve">    (U1)ALERT_REQ_S_PMAR_ON</v>
      </c>
      <c r="AR7" s="52" t="str">
        <f t="shared" ref="AR7:AR70" si="3">IF(AQ72&lt;&gt;"",AQ72,IF(AQ71&lt;&gt;"","};",""))</f>
        <v xml:space="preserve">    (U4)0x00000001U,                                                           /* 01 ON                                              */</v>
      </c>
      <c r="AS7" s="52" t="str">
        <f t="shared" ref="AS7:AS70" si="4">IF(AQ137&lt;&gt;"",AQ137,IF(AQ136&lt;&gt;"","};",""))</f>
        <v xml:space="preserve">    (U4)0x00000007U,                                                           /* 01 ON                                              */</v>
      </c>
      <c r="AT7" s="52" t="str">
        <f t="shared" ca="1" si="1"/>
        <v xml:space="preserve">    (U1)ALERT_REQ_S_PMAR_ON,                                                   /* 01 ON                                              */</v>
      </c>
      <c r="AU7" s="52" t="str">
        <f ca="1">"        &amp;"&amp;$AW$14&amp;","&amp;REPT(" ",69-LEN($AW$14))&amp;"/* fp_u4_SRC_CHK                                      */"</f>
        <v xml:space="preserve">        &amp;u4_s_AlertS_pmarSrcchk,                                               /* fp_u4_SRC_CHK                                      */</v>
      </c>
      <c r="AV7" s="38" t="s">
        <v>65</v>
      </c>
      <c r="AW7" s="125">
        <f>IF(B3="Search Table",1,0)</f>
        <v>0</v>
      </c>
    </row>
    <row r="8" spans="1:49">
      <c r="B8" s="126"/>
      <c r="C8" s="36">
        <f t="shared" si="2"/>
        <v>2</v>
      </c>
      <c r="D8" s="50" t="s">
        <v>204</v>
      </c>
      <c r="E8" s="50" t="s">
        <v>177</v>
      </c>
      <c r="F8" s="50" t="s">
        <v>177</v>
      </c>
      <c r="G8" s="50" t="s">
        <v>178</v>
      </c>
      <c r="H8" s="50" t="s">
        <v>178</v>
      </c>
      <c r="I8" s="50" t="s">
        <v>178</v>
      </c>
      <c r="J8" s="50" t="s">
        <v>178</v>
      </c>
      <c r="K8" s="50" t="s">
        <v>178</v>
      </c>
      <c r="L8" s="50" t="s">
        <v>178</v>
      </c>
      <c r="M8" s="50" t="s">
        <v>178</v>
      </c>
      <c r="N8" s="50" t="s">
        <v>178</v>
      </c>
      <c r="O8" s="50" t="s">
        <v>178</v>
      </c>
      <c r="P8" s="50" t="s">
        <v>177</v>
      </c>
      <c r="Q8" s="50" t="s">
        <v>177</v>
      </c>
      <c r="R8" s="50" t="s">
        <v>177</v>
      </c>
      <c r="S8" s="50" t="s">
        <v>177</v>
      </c>
      <c r="T8" s="50" t="s">
        <v>177</v>
      </c>
      <c r="U8" s="50" t="s">
        <v>177</v>
      </c>
      <c r="V8" s="50" t="s">
        <v>177</v>
      </c>
      <c r="W8" s="50" t="s">
        <v>177</v>
      </c>
      <c r="X8" s="50" t="s">
        <v>177</v>
      </c>
      <c r="Y8" s="50" t="s">
        <v>177</v>
      </c>
      <c r="Z8" s="122" t="s">
        <v>177</v>
      </c>
      <c r="AA8" s="122" t="s">
        <v>177</v>
      </c>
      <c r="AB8" s="122" t="s">
        <v>177</v>
      </c>
      <c r="AC8" s="122" t="s">
        <v>177</v>
      </c>
      <c r="AD8" s="122" t="s">
        <v>177</v>
      </c>
      <c r="AE8" s="122" t="s">
        <v>177</v>
      </c>
      <c r="AF8" s="122" t="s">
        <v>177</v>
      </c>
      <c r="AG8" s="199">
        <v>0</v>
      </c>
      <c r="AH8" s="199">
        <v>1</v>
      </c>
      <c r="AI8" s="199">
        <v>0</v>
      </c>
      <c r="AJ8" s="22" t="s">
        <v>30</v>
      </c>
      <c r="AL8" t="str">
        <f t="shared" si="0"/>
        <v xml:space="preserve">    (U1)ALERT_REQ_UNKNOWN</v>
      </c>
      <c r="AR8" s="52" t="str">
        <f t="shared" si="3"/>
        <v xml:space="preserve">    (U4)0x00000002U,                                                           /* 02 UNKNOWN                                         */</v>
      </c>
      <c r="AS8" s="52" t="str">
        <f t="shared" si="4"/>
        <v xml:space="preserve">    (U4)0x00000007U,                                                           /* 02 UNKNOWN                                         */</v>
      </c>
      <c r="AT8" s="52" t="str">
        <f>IF(AJ8&lt;&gt;"",AL8&amp;IF(AJ9&lt;&gt;"",","," ")&amp;REPT(" ",78-LEN(AL8))&amp;"/* "&amp;IF(C8&lt;10,"0"&amp;C8,C8)&amp;" "&amp;AJ8&amp;REPT(" ",48-LEN(AJ8))&amp;"*/",IF(AJ7&lt;&gt;"","};",""))</f>
        <v xml:space="preserve">    (U1)ALERT_REQ_UNKNOWN,                                                     /* 02 UNKNOWN                                         */</v>
      </c>
      <c r="AU8" s="52" t="str">
        <f ca="1">IF($AW$15&lt;&gt;"NULL","        &amp;"&amp;$AW$15&amp;","&amp;REPT(" ",69-LEN($AW$15))&amp;"/* fp_vd_XDST                                         */","        vdp_PTR_NA,                                                            /* fp_vd_XDST                                         */")</f>
        <v xml:space="preserve">        vdp_PTR_NA,                                                            /* fp_vd_XDST                                         */</v>
      </c>
      <c r="AV8" s="38" t="s">
        <v>66</v>
      </c>
      <c r="AW8" s="57" t="str">
        <f ca="1">"u4_sp_ALERT_"&amp;IF(AW6&lt;&gt;AW17,$AW$17&amp;"_"&amp;$AW$6,AW17)&amp;"_CRIT"</f>
        <v>u4_sp_ALERT_S_PMAR_CRIT</v>
      </c>
    </row>
    <row r="9" spans="1:49">
      <c r="B9" s="126"/>
      <c r="C9" s="36">
        <f t="shared" si="2"/>
        <v>3</v>
      </c>
      <c r="D9" s="50" t="s">
        <v>177</v>
      </c>
      <c r="E9" s="50" t="s">
        <v>177</v>
      </c>
      <c r="F9" s="50" t="s">
        <v>177</v>
      </c>
      <c r="G9" s="50" t="s">
        <v>178</v>
      </c>
      <c r="H9" s="50" t="s">
        <v>178</v>
      </c>
      <c r="I9" s="50" t="s">
        <v>178</v>
      </c>
      <c r="J9" s="50" t="s">
        <v>178</v>
      </c>
      <c r="K9" s="50" t="s">
        <v>178</v>
      </c>
      <c r="L9" s="50" t="s">
        <v>178</v>
      </c>
      <c r="M9" s="50" t="s">
        <v>178</v>
      </c>
      <c r="N9" s="50" t="s">
        <v>178</v>
      </c>
      <c r="O9" s="50" t="s">
        <v>178</v>
      </c>
      <c r="P9" s="50" t="s">
        <v>177</v>
      </c>
      <c r="Q9" s="50" t="s">
        <v>177</v>
      </c>
      <c r="R9" s="50" t="s">
        <v>177</v>
      </c>
      <c r="S9" s="50" t="s">
        <v>177</v>
      </c>
      <c r="T9" s="50" t="s">
        <v>177</v>
      </c>
      <c r="U9" s="50" t="s">
        <v>177</v>
      </c>
      <c r="V9" s="50" t="s">
        <v>177</v>
      </c>
      <c r="W9" s="50" t="s">
        <v>177</v>
      </c>
      <c r="X9" s="50" t="s">
        <v>177</v>
      </c>
      <c r="Y9" s="50" t="s">
        <v>177</v>
      </c>
      <c r="Z9" s="122" t="s">
        <v>177</v>
      </c>
      <c r="AA9" s="122" t="s">
        <v>177</v>
      </c>
      <c r="AB9" s="122" t="s">
        <v>177</v>
      </c>
      <c r="AC9" s="122" t="s">
        <v>177</v>
      </c>
      <c r="AD9" s="122" t="s">
        <v>177</v>
      </c>
      <c r="AE9" s="122" t="s">
        <v>177</v>
      </c>
      <c r="AF9" s="122" t="s">
        <v>177</v>
      </c>
      <c r="AG9" s="199">
        <v>0</v>
      </c>
      <c r="AH9" s="199">
        <v>1</v>
      </c>
      <c r="AI9" s="199">
        <v>1</v>
      </c>
      <c r="AJ9" s="40" t="s">
        <v>30</v>
      </c>
      <c r="AL9" t="str">
        <f t="shared" si="0"/>
        <v xml:space="preserve">    (U1)ALERT_REQ_UNKNOWN</v>
      </c>
      <c r="AR9" s="52" t="str">
        <f t="shared" si="3"/>
        <v xml:space="preserve">    (U4)0x00000003U,                                                           /* 03 UNKNOWN                                         */</v>
      </c>
      <c r="AS9" s="52" t="str">
        <f t="shared" si="4"/>
        <v xml:space="preserve">    (U4)0x00000007U,                                                           /* 03 UNKNOWN                                         */</v>
      </c>
      <c r="AT9" s="52" t="str">
        <f t="shared" si="1"/>
        <v xml:space="preserve">    (U1)ALERT_REQ_UNKNOWN,                                                     /* 03 UNKNOWN                                         */</v>
      </c>
      <c r="AU9" s="52"/>
      <c r="AV9" s="38" t="s">
        <v>67</v>
      </c>
      <c r="AW9" s="57" t="str">
        <f ca="1">"u4_sp_ALERT_"&amp;IF(AW6&lt;&gt;AW17,$AW$17&amp;"_"&amp;$AW$6,AW17)&amp;"_MASK"</f>
        <v>u4_sp_ALERT_S_PMAR_MASK</v>
      </c>
    </row>
    <row r="10" spans="1:49">
      <c r="B10" s="126"/>
      <c r="C10" s="36">
        <f t="shared" si="2"/>
        <v>4</v>
      </c>
      <c r="D10" s="50" t="s">
        <v>177</v>
      </c>
      <c r="E10" s="50" t="s">
        <v>177</v>
      </c>
      <c r="F10" s="50" t="s">
        <v>177</v>
      </c>
      <c r="G10" s="50" t="s">
        <v>178</v>
      </c>
      <c r="H10" s="50" t="s">
        <v>178</v>
      </c>
      <c r="I10" s="50" t="s">
        <v>178</v>
      </c>
      <c r="J10" s="50" t="s">
        <v>178</v>
      </c>
      <c r="K10" s="50" t="s">
        <v>178</v>
      </c>
      <c r="L10" s="50" t="s">
        <v>178</v>
      </c>
      <c r="M10" s="50" t="s">
        <v>178</v>
      </c>
      <c r="N10" s="50" t="s">
        <v>178</v>
      </c>
      <c r="O10" s="50" t="s">
        <v>178</v>
      </c>
      <c r="P10" s="50" t="s">
        <v>177</v>
      </c>
      <c r="Q10" s="50" t="s">
        <v>177</v>
      </c>
      <c r="R10" s="50" t="s">
        <v>177</v>
      </c>
      <c r="S10" s="50" t="s">
        <v>177</v>
      </c>
      <c r="T10" s="50" t="s">
        <v>177</v>
      </c>
      <c r="U10" s="50" t="s">
        <v>177</v>
      </c>
      <c r="V10" s="50" t="s">
        <v>177</v>
      </c>
      <c r="W10" s="50" t="s">
        <v>177</v>
      </c>
      <c r="X10" s="50" t="s">
        <v>177</v>
      </c>
      <c r="Y10" s="50" t="s">
        <v>177</v>
      </c>
      <c r="Z10" s="122" t="s">
        <v>177</v>
      </c>
      <c r="AA10" s="122" t="s">
        <v>177</v>
      </c>
      <c r="AB10" s="122" t="s">
        <v>177</v>
      </c>
      <c r="AC10" s="122" t="s">
        <v>177</v>
      </c>
      <c r="AD10" s="122" t="s">
        <v>177</v>
      </c>
      <c r="AE10" s="122" t="s">
        <v>177</v>
      </c>
      <c r="AF10" s="122" t="s">
        <v>177</v>
      </c>
      <c r="AG10" s="199">
        <v>1</v>
      </c>
      <c r="AH10" s="199">
        <v>0</v>
      </c>
      <c r="AI10" s="199">
        <v>0</v>
      </c>
      <c r="AJ10" s="40" t="s">
        <v>30</v>
      </c>
      <c r="AL10" t="str">
        <f t="shared" si="0"/>
        <v xml:space="preserve">    (U1)ALERT_REQ_UNKNOWN</v>
      </c>
      <c r="AR10" s="52" t="str">
        <f t="shared" si="3"/>
        <v xml:space="preserve">    (U4)0x00000004U,                                                           /* 04 UNKNOWN                                         */</v>
      </c>
      <c r="AS10" s="52" t="str">
        <f t="shared" si="4"/>
        <v xml:space="preserve">    (U4)0x00000007U,                                                           /* 04 UNKNOWN                                         */</v>
      </c>
      <c r="AT10" s="52" t="str">
        <f t="shared" si="1"/>
        <v xml:space="preserve">    (U1)ALERT_REQ_UNKNOWN,                                                     /* 04 UNKNOWN                                         */</v>
      </c>
      <c r="AU10" s="52" t="str">
        <f>IF($AW$7=1,"        &amp;"&amp;$AW$9&amp;"[0],"&amp;REPT(" ",66-LEN($AW$9))&amp;"/* u4p_MASK                                           */","        (const U4 *)vdp_PTR_NA,                                                /* u4p_MASK                                           */")</f>
        <v xml:space="preserve">        (const U4 *)vdp_PTR_NA,                                                /* u4p_MASK                                           */</v>
      </c>
      <c r="AV10" s="38" t="s">
        <v>68</v>
      </c>
      <c r="AW10" s="57" t="str">
        <f ca="1">"ALERT_"&amp;IF(AW6&lt;&gt;AW17,$AW$17&amp;"_"&amp;$AW$6,AW17)&amp;"_NUM_DST"</f>
        <v>ALERT_S_PMAR_NUM_DST</v>
      </c>
    </row>
    <row r="11" spans="1:49">
      <c r="B11" s="126"/>
      <c r="C11" s="36">
        <f t="shared" si="2"/>
        <v>5</v>
      </c>
      <c r="D11" s="50" t="s">
        <v>177</v>
      </c>
      <c r="E11" s="50" t="s">
        <v>177</v>
      </c>
      <c r="F11" s="50" t="s">
        <v>177</v>
      </c>
      <c r="G11" s="50" t="s">
        <v>178</v>
      </c>
      <c r="H11" s="50" t="s">
        <v>178</v>
      </c>
      <c r="I11" s="50" t="s">
        <v>178</v>
      </c>
      <c r="J11" s="50" t="s">
        <v>178</v>
      </c>
      <c r="K11" s="50" t="s">
        <v>178</v>
      </c>
      <c r="L11" s="50" t="s">
        <v>178</v>
      </c>
      <c r="M11" s="50" t="s">
        <v>178</v>
      </c>
      <c r="N11" s="50" t="s">
        <v>178</v>
      </c>
      <c r="O11" s="50" t="s">
        <v>178</v>
      </c>
      <c r="P11" s="50" t="s">
        <v>177</v>
      </c>
      <c r="Q11" s="50" t="s">
        <v>177</v>
      </c>
      <c r="R11" s="50" t="s">
        <v>177</v>
      </c>
      <c r="S11" s="50" t="s">
        <v>177</v>
      </c>
      <c r="T11" s="50" t="s">
        <v>177</v>
      </c>
      <c r="U11" s="50" t="s">
        <v>177</v>
      </c>
      <c r="V11" s="50" t="s">
        <v>177</v>
      </c>
      <c r="W11" s="50" t="s">
        <v>177</v>
      </c>
      <c r="X11" s="50" t="s">
        <v>177</v>
      </c>
      <c r="Y11" s="50" t="s">
        <v>177</v>
      </c>
      <c r="Z11" s="50" t="s">
        <v>177</v>
      </c>
      <c r="AA11" s="50" t="s">
        <v>177</v>
      </c>
      <c r="AB11" s="50" t="s">
        <v>177</v>
      </c>
      <c r="AC11" s="50" t="s">
        <v>177</v>
      </c>
      <c r="AD11" s="122" t="s">
        <v>177</v>
      </c>
      <c r="AE11" s="122" t="s">
        <v>177</v>
      </c>
      <c r="AF11" s="122" t="s">
        <v>177</v>
      </c>
      <c r="AG11" s="199">
        <v>1</v>
      </c>
      <c r="AH11" s="199">
        <v>0</v>
      </c>
      <c r="AI11" s="199">
        <v>1</v>
      </c>
      <c r="AJ11" s="40" t="s">
        <v>30</v>
      </c>
      <c r="AL11" t="str">
        <f t="shared" si="0"/>
        <v xml:space="preserve">    (U1)ALERT_REQ_UNKNOWN</v>
      </c>
      <c r="AR11" s="52" t="str">
        <f t="shared" si="3"/>
        <v xml:space="preserve">    (U4)0x00000005U,                                                           /* 05 UNKNOWN                                         */</v>
      </c>
      <c r="AS11" s="52" t="str">
        <f t="shared" si="4"/>
        <v xml:space="preserve">    (U4)0x00000007U,                                                           /* 05 UNKNOWN                                         */</v>
      </c>
      <c r="AT11" s="52" t="str">
        <f t="shared" si="1"/>
        <v xml:space="preserve">    (U1)ALERT_REQ_UNKNOWN,                                                     /* 05 UNKNOWN                                         */</v>
      </c>
      <c r="AU11" s="52" t="str">
        <f>IF($AW$7=1,"        &amp;"&amp;$AW$8&amp;"[0],"&amp;REPT(" ",66-LEN($AW$8))&amp;"/* u4p_CRIT                                           */","        (const U4 *)vdp_PTR_NA,                                                /* u4p_CRIT                                           */")</f>
        <v xml:space="preserve">        (const U4 *)vdp_PTR_NA,                                                /* u4p_CRIT                                           */</v>
      </c>
      <c r="AV11" s="38" t="s">
        <v>69</v>
      </c>
      <c r="AW11" s="57" t="str">
        <f ca="1">"u1_sp_ALERT_"&amp;IF(AW6&lt;&gt;AW17,$AW$17&amp;"_"&amp;$AW$6,AW17)&amp;"_DST"</f>
        <v>u1_sp_ALERT_S_PMAR_DST</v>
      </c>
    </row>
    <row r="12" spans="1:49">
      <c r="B12" s="126"/>
      <c r="C12" s="36">
        <f t="shared" si="2"/>
        <v>6</v>
      </c>
      <c r="D12" s="50" t="s">
        <v>177</v>
      </c>
      <c r="E12" s="50" t="s">
        <v>177</v>
      </c>
      <c r="F12" s="50" t="s">
        <v>177</v>
      </c>
      <c r="G12" s="50" t="s">
        <v>178</v>
      </c>
      <c r="H12" s="50" t="s">
        <v>178</v>
      </c>
      <c r="I12" s="50" t="s">
        <v>178</v>
      </c>
      <c r="J12" s="50" t="s">
        <v>178</v>
      </c>
      <c r="K12" s="50" t="s">
        <v>178</v>
      </c>
      <c r="L12" s="50" t="s">
        <v>178</v>
      </c>
      <c r="M12" s="50" t="s">
        <v>178</v>
      </c>
      <c r="N12" s="50" t="s">
        <v>178</v>
      </c>
      <c r="O12" s="50" t="s">
        <v>178</v>
      </c>
      <c r="P12" s="50" t="s">
        <v>177</v>
      </c>
      <c r="Q12" s="50" t="s">
        <v>177</v>
      </c>
      <c r="R12" s="50" t="s">
        <v>177</v>
      </c>
      <c r="S12" s="50" t="s">
        <v>177</v>
      </c>
      <c r="T12" s="50" t="s">
        <v>177</v>
      </c>
      <c r="U12" s="50" t="s">
        <v>177</v>
      </c>
      <c r="V12" s="50" t="s">
        <v>177</v>
      </c>
      <c r="W12" s="50" t="s">
        <v>177</v>
      </c>
      <c r="X12" s="50" t="s">
        <v>177</v>
      </c>
      <c r="Y12" s="50" t="s">
        <v>177</v>
      </c>
      <c r="Z12" s="50" t="s">
        <v>177</v>
      </c>
      <c r="AA12" s="50" t="s">
        <v>177</v>
      </c>
      <c r="AB12" s="50" t="s">
        <v>177</v>
      </c>
      <c r="AC12" s="50" t="s">
        <v>177</v>
      </c>
      <c r="AD12" s="122" t="s">
        <v>177</v>
      </c>
      <c r="AE12" s="122" t="s">
        <v>177</v>
      </c>
      <c r="AF12" s="122" t="s">
        <v>177</v>
      </c>
      <c r="AG12" s="199">
        <v>1</v>
      </c>
      <c r="AH12" s="199">
        <v>1</v>
      </c>
      <c r="AI12" s="199">
        <v>0</v>
      </c>
      <c r="AJ12" s="40" t="s">
        <v>30</v>
      </c>
      <c r="AL12" t="str">
        <f t="shared" si="0"/>
        <v xml:space="preserve">    (U1)ALERT_REQ_UNKNOWN</v>
      </c>
      <c r="AR12" s="52" t="str">
        <f t="shared" si="3"/>
        <v xml:space="preserve">    (U4)0x00000006U,                                                           /* 06 UNKNOWN                                         */</v>
      </c>
      <c r="AS12" s="52" t="str">
        <f t="shared" si="4"/>
        <v xml:space="preserve">    (U4)0x00000007U,                                                           /* 06 UNKNOWN                                         */</v>
      </c>
      <c r="AT12" s="52" t="str">
        <f t="shared" si="1"/>
        <v xml:space="preserve">    (U1)ALERT_REQ_UNKNOWN,                                                     /* 06 UNKNOWN                                         */</v>
      </c>
      <c r="AU12" s="52"/>
      <c r="AV12" s="38" t="s">
        <v>81</v>
      </c>
      <c r="AW12" s="57" t="str">
        <f ca="1">Matrix!D8&amp;"["&amp;Matrix!D7&amp;"]"</f>
        <v>st_gp_ALERT_S_PMAR_MTRX[1]</v>
      </c>
    </row>
    <row r="13" spans="1:49">
      <c r="B13" s="126"/>
      <c r="C13" s="36">
        <f t="shared" si="2"/>
        <v>7</v>
      </c>
      <c r="D13" s="50" t="s">
        <v>177</v>
      </c>
      <c r="E13" s="50" t="s">
        <v>177</v>
      </c>
      <c r="F13" s="50" t="s">
        <v>177</v>
      </c>
      <c r="G13" s="50" t="s">
        <v>178</v>
      </c>
      <c r="H13" s="50" t="s">
        <v>178</v>
      </c>
      <c r="I13" s="50" t="s">
        <v>178</v>
      </c>
      <c r="J13" s="50" t="s">
        <v>178</v>
      </c>
      <c r="K13" s="50" t="s">
        <v>178</v>
      </c>
      <c r="L13" s="50" t="s">
        <v>178</v>
      </c>
      <c r="M13" s="50" t="s">
        <v>178</v>
      </c>
      <c r="N13" s="50" t="s">
        <v>178</v>
      </c>
      <c r="O13" s="50" t="s">
        <v>178</v>
      </c>
      <c r="P13" s="50" t="s">
        <v>177</v>
      </c>
      <c r="Q13" s="50" t="s">
        <v>177</v>
      </c>
      <c r="R13" s="50" t="s">
        <v>177</v>
      </c>
      <c r="S13" s="50" t="s">
        <v>177</v>
      </c>
      <c r="T13" s="50" t="s">
        <v>177</v>
      </c>
      <c r="U13" s="50" t="s">
        <v>177</v>
      </c>
      <c r="V13" s="50" t="s">
        <v>177</v>
      </c>
      <c r="W13" s="50" t="s">
        <v>177</v>
      </c>
      <c r="X13" s="50" t="s">
        <v>177</v>
      </c>
      <c r="Y13" s="50" t="s">
        <v>177</v>
      </c>
      <c r="Z13" s="50" t="s">
        <v>177</v>
      </c>
      <c r="AA13" s="50" t="s">
        <v>177</v>
      </c>
      <c r="AB13" s="50" t="s">
        <v>177</v>
      </c>
      <c r="AC13" s="50" t="s">
        <v>177</v>
      </c>
      <c r="AD13" s="122" t="s">
        <v>177</v>
      </c>
      <c r="AE13" s="122" t="s">
        <v>177</v>
      </c>
      <c r="AF13" s="122" t="s">
        <v>177</v>
      </c>
      <c r="AG13" s="199">
        <v>1</v>
      </c>
      <c r="AH13" s="199">
        <v>1</v>
      </c>
      <c r="AI13" s="199">
        <v>1</v>
      </c>
      <c r="AJ13" s="40" t="s">
        <v>30</v>
      </c>
      <c r="AL13" t="str">
        <f t="shared" si="0"/>
        <v xml:space="preserve">    (U1)ALERT_REQ_UNKNOWN</v>
      </c>
      <c r="AR13" s="52" t="str">
        <f t="shared" si="3"/>
        <v xml:space="preserve">    (U4)0x00000007U                                                            /* 07 UNKNOWN                                         */</v>
      </c>
      <c r="AS13" s="52" t="str">
        <f t="shared" si="4"/>
        <v xml:space="preserve">    (U4)0x00000007U                                                            /* 07 UNKNOWN                                         */</v>
      </c>
      <c r="AT13" s="52" t="str">
        <f t="shared" si="1"/>
        <v xml:space="preserve">    (U1)ALERT_REQ_UNKNOWN                                                      /* 07 UNKNOWN                                         */</v>
      </c>
      <c r="AU13" s="52" t="str">
        <f ca="1">"        &amp;"&amp;$AW$11&amp;"[0],"&amp;REPT(" ",66-LEN($AW$11))&amp;"/* u1p_DST                                            */"</f>
        <v xml:space="preserve">        &amp;u1_sp_ALERT_S_PMAR_DST[0],                                            /* u1p_DST                                            */</v>
      </c>
      <c r="AV13" s="38" t="s">
        <v>70</v>
      </c>
      <c r="AW13" s="125">
        <f>COUNTA($AJ$6:$AJ$69)</f>
        <v>8</v>
      </c>
    </row>
    <row r="14" spans="1:49">
      <c r="B14" s="126"/>
      <c r="C14" s="36">
        <f t="shared" si="2"/>
        <v>8</v>
      </c>
      <c r="D14" s="50" t="s">
        <v>177</v>
      </c>
      <c r="E14" s="50" t="s">
        <v>177</v>
      </c>
      <c r="F14" s="50" t="s">
        <v>177</v>
      </c>
      <c r="G14" s="50" t="s">
        <v>178</v>
      </c>
      <c r="H14" s="50" t="s">
        <v>178</v>
      </c>
      <c r="I14" s="50" t="s">
        <v>178</v>
      </c>
      <c r="J14" s="50" t="s">
        <v>178</v>
      </c>
      <c r="K14" s="50" t="s">
        <v>178</v>
      </c>
      <c r="L14" s="50" t="s">
        <v>178</v>
      </c>
      <c r="M14" s="50" t="s">
        <v>178</v>
      </c>
      <c r="N14" s="50" t="s">
        <v>178</v>
      </c>
      <c r="O14" s="50" t="s">
        <v>178</v>
      </c>
      <c r="P14" s="50" t="s">
        <v>177</v>
      </c>
      <c r="Q14" s="50" t="s">
        <v>177</v>
      </c>
      <c r="R14" s="50" t="s">
        <v>177</v>
      </c>
      <c r="S14" s="50" t="s">
        <v>177</v>
      </c>
      <c r="T14" s="50" t="s">
        <v>177</v>
      </c>
      <c r="U14" s="50" t="s">
        <v>177</v>
      </c>
      <c r="V14" s="50" t="s">
        <v>177</v>
      </c>
      <c r="W14" s="50" t="s">
        <v>177</v>
      </c>
      <c r="X14" s="50" t="s">
        <v>177</v>
      </c>
      <c r="Y14" s="50" t="s">
        <v>177</v>
      </c>
      <c r="Z14" s="50" t="s">
        <v>177</v>
      </c>
      <c r="AA14" s="50" t="s">
        <v>177</v>
      </c>
      <c r="AB14" s="50" t="s">
        <v>177</v>
      </c>
      <c r="AC14" s="50" t="s">
        <v>177</v>
      </c>
      <c r="AD14" s="122" t="s">
        <v>177</v>
      </c>
      <c r="AE14" s="122" t="s">
        <v>177</v>
      </c>
      <c r="AF14" s="122" t="s">
        <v>177</v>
      </c>
      <c r="AG14" s="122" t="s">
        <v>177</v>
      </c>
      <c r="AH14" s="122" t="s">
        <v>177</v>
      </c>
      <c r="AI14" s="122" t="s">
        <v>177</v>
      </c>
      <c r="AJ14" s="40"/>
      <c r="AL14" t="str">
        <f t="shared" ca="1" si="0"/>
        <v xml:space="preserve">    (U1)ALERT_REQ_S_PMAR_</v>
      </c>
      <c r="AR14" s="52" t="str">
        <f t="shared" si="3"/>
        <v>};</v>
      </c>
      <c r="AS14" s="52" t="str">
        <f t="shared" si="4"/>
        <v>};</v>
      </c>
      <c r="AT14" s="52" t="str">
        <f t="shared" si="1"/>
        <v>};</v>
      </c>
      <c r="AU14" s="52" t="str">
        <f ca="1">"        (U2)"&amp;$AW$10&amp;","&amp;REPT(" ",66-LEN($AW$10))&amp;"/* u2_num_srch                                        */"</f>
        <v xml:space="preserve">        (U2)ALERT_S_PMAR_NUM_DST,                                              /* u2_num_srch                                        */</v>
      </c>
      <c r="AV14" s="38" t="s">
        <v>71</v>
      </c>
      <c r="AW14" s="57" t="str">
        <f ca="1">IF(AW6&lt;&gt;AW17,VLOOKUP(AW6,Matrix!$C$13:$G$37,4,FALSE),Matrix!F13)</f>
        <v>u4_s_AlertS_pmarSrcchk</v>
      </c>
    </row>
    <row r="15" spans="1:49">
      <c r="B15" s="126"/>
      <c r="C15" s="36">
        <f t="shared" si="2"/>
        <v>9</v>
      </c>
      <c r="D15" s="50" t="s">
        <v>177</v>
      </c>
      <c r="E15" s="50" t="s">
        <v>177</v>
      </c>
      <c r="F15" s="50" t="s">
        <v>177</v>
      </c>
      <c r="G15" s="50" t="s">
        <v>178</v>
      </c>
      <c r="H15" s="50" t="s">
        <v>178</v>
      </c>
      <c r="I15" s="50" t="s">
        <v>178</v>
      </c>
      <c r="J15" s="50" t="s">
        <v>178</v>
      </c>
      <c r="K15" s="50" t="s">
        <v>178</v>
      </c>
      <c r="L15" s="50" t="s">
        <v>178</v>
      </c>
      <c r="M15" s="50" t="s">
        <v>178</v>
      </c>
      <c r="N15" s="50" t="s">
        <v>178</v>
      </c>
      <c r="O15" s="50" t="s">
        <v>178</v>
      </c>
      <c r="P15" s="50" t="s">
        <v>177</v>
      </c>
      <c r="Q15" s="50" t="s">
        <v>177</v>
      </c>
      <c r="R15" s="50" t="s">
        <v>177</v>
      </c>
      <c r="S15" s="50" t="s">
        <v>177</v>
      </c>
      <c r="T15" s="50" t="s">
        <v>177</v>
      </c>
      <c r="U15" s="50" t="s">
        <v>177</v>
      </c>
      <c r="V15" s="50" t="s">
        <v>177</v>
      </c>
      <c r="W15" s="50" t="s">
        <v>177</v>
      </c>
      <c r="X15" s="50" t="s">
        <v>177</v>
      </c>
      <c r="Y15" s="50" t="s">
        <v>177</v>
      </c>
      <c r="Z15" s="50" t="s">
        <v>177</v>
      </c>
      <c r="AA15" s="50" t="s">
        <v>177</v>
      </c>
      <c r="AB15" s="50" t="s">
        <v>177</v>
      </c>
      <c r="AC15" s="50" t="s">
        <v>177</v>
      </c>
      <c r="AD15" s="122" t="s">
        <v>177</v>
      </c>
      <c r="AE15" s="122" t="s">
        <v>177</v>
      </c>
      <c r="AF15" s="122" t="s">
        <v>177</v>
      </c>
      <c r="AG15" s="122" t="s">
        <v>177</v>
      </c>
      <c r="AH15" s="122" t="s">
        <v>177</v>
      </c>
      <c r="AI15" s="122" t="s">
        <v>177</v>
      </c>
      <c r="AJ15" s="40"/>
      <c r="AL15" t="str">
        <f t="shared" ca="1" si="0"/>
        <v xml:space="preserve">    (U1)ALERT_REQ_S_PMAR_</v>
      </c>
      <c r="AR15" s="52" t="str">
        <f t="shared" si="3"/>
        <v/>
      </c>
      <c r="AS15" s="52" t="str">
        <f t="shared" si="4"/>
        <v/>
      </c>
      <c r="AT15" s="52" t="str">
        <f t="shared" si="1"/>
        <v/>
      </c>
      <c r="AU15" s="52" t="str">
        <f ca="1">"        (U1)"&amp;$AW$16&amp;REPT(" ",67-LEN($AW$16))&amp;"/* u1_vom_act                                         */"</f>
        <v xml:space="preserve">        (U1)ALERT_VOM_IGN_ON                                                   /* u1_vom_act                                         */</v>
      </c>
      <c r="AV15" s="38" t="s">
        <v>74</v>
      </c>
      <c r="AW15" s="57" t="str">
        <f ca="1">IF(AW6&lt;&gt;AW17,VLOOKUP(AW6,Matrix!$C$13:$G$37,5,FALSE),Matrix!G13)</f>
        <v>NULL</v>
      </c>
    </row>
    <row r="16" spans="1:49">
      <c r="B16" s="126"/>
      <c r="C16" s="36">
        <f t="shared" si="2"/>
        <v>10</v>
      </c>
      <c r="D16" s="50" t="s">
        <v>177</v>
      </c>
      <c r="E16" s="50" t="s">
        <v>177</v>
      </c>
      <c r="F16" s="50" t="s">
        <v>177</v>
      </c>
      <c r="G16" s="50" t="s">
        <v>178</v>
      </c>
      <c r="H16" s="50" t="s">
        <v>178</v>
      </c>
      <c r="I16" s="50" t="s">
        <v>178</v>
      </c>
      <c r="J16" s="50" t="s">
        <v>178</v>
      </c>
      <c r="K16" s="50" t="s">
        <v>178</v>
      </c>
      <c r="L16" s="50" t="s">
        <v>178</v>
      </c>
      <c r="M16" s="50" t="s">
        <v>178</v>
      </c>
      <c r="N16" s="50" t="s">
        <v>178</v>
      </c>
      <c r="O16" s="50" t="s">
        <v>178</v>
      </c>
      <c r="P16" s="50" t="s">
        <v>177</v>
      </c>
      <c r="Q16" s="50" t="s">
        <v>177</v>
      </c>
      <c r="R16" s="50" t="s">
        <v>177</v>
      </c>
      <c r="S16" s="50" t="s">
        <v>177</v>
      </c>
      <c r="T16" s="50" t="s">
        <v>177</v>
      </c>
      <c r="U16" s="50" t="s">
        <v>177</v>
      </c>
      <c r="V16" s="50" t="s">
        <v>177</v>
      </c>
      <c r="W16" s="50" t="s">
        <v>177</v>
      </c>
      <c r="X16" s="50" t="s">
        <v>177</v>
      </c>
      <c r="Y16" s="50" t="s">
        <v>177</v>
      </c>
      <c r="Z16" s="50" t="s">
        <v>177</v>
      </c>
      <c r="AA16" s="50" t="s">
        <v>177</v>
      </c>
      <c r="AB16" s="50" t="s">
        <v>177</v>
      </c>
      <c r="AC16" s="50" t="s">
        <v>177</v>
      </c>
      <c r="AD16" s="122" t="s">
        <v>177</v>
      </c>
      <c r="AE16" s="122" t="s">
        <v>177</v>
      </c>
      <c r="AF16" s="122" t="s">
        <v>177</v>
      </c>
      <c r="AG16" s="122" t="s">
        <v>177</v>
      </c>
      <c r="AH16" s="122" t="s">
        <v>177</v>
      </c>
      <c r="AI16" s="122" t="s">
        <v>177</v>
      </c>
      <c r="AJ16" s="40"/>
      <c r="AL16" t="str">
        <f t="shared" ca="1" si="0"/>
        <v xml:space="preserve">    (U1)ALERT_REQ_S_PMAR_</v>
      </c>
      <c r="AR16" s="52" t="str">
        <f t="shared" si="3"/>
        <v/>
      </c>
      <c r="AS16" s="52" t="str">
        <f t="shared" si="4"/>
        <v/>
      </c>
      <c r="AT16" s="52" t="str">
        <f t="shared" si="1"/>
        <v/>
      </c>
      <c r="AU16" s="52" t="s">
        <v>244</v>
      </c>
      <c r="AV16" s="38" t="s">
        <v>72</v>
      </c>
      <c r="AW16" s="57" t="str">
        <f ca="1">IF(AW6&lt;&gt;AW17,VLOOKUP(AW6,Matrix!$C$13:$G$37,2,FALSE),Matrix!D13)</f>
        <v>ALERT_VOM_IGN_ON</v>
      </c>
    </row>
    <row r="17" spans="2:49" ht="14.25" thickBot="1">
      <c r="B17" s="126"/>
      <c r="C17" s="36">
        <f t="shared" si="2"/>
        <v>11</v>
      </c>
      <c r="D17" s="50" t="s">
        <v>177</v>
      </c>
      <c r="E17" s="50" t="s">
        <v>177</v>
      </c>
      <c r="F17" s="50" t="s">
        <v>177</v>
      </c>
      <c r="G17" s="50" t="s">
        <v>178</v>
      </c>
      <c r="H17" s="50" t="s">
        <v>178</v>
      </c>
      <c r="I17" s="50" t="s">
        <v>178</v>
      </c>
      <c r="J17" s="50" t="s">
        <v>178</v>
      </c>
      <c r="K17" s="50" t="s">
        <v>178</v>
      </c>
      <c r="L17" s="50" t="s">
        <v>178</v>
      </c>
      <c r="M17" s="50" t="s">
        <v>178</v>
      </c>
      <c r="N17" s="50" t="s">
        <v>178</v>
      </c>
      <c r="O17" s="50" t="s">
        <v>178</v>
      </c>
      <c r="P17" s="50" t="s">
        <v>177</v>
      </c>
      <c r="Q17" s="50" t="s">
        <v>177</v>
      </c>
      <c r="R17" s="50" t="s">
        <v>177</v>
      </c>
      <c r="S17" s="50" t="s">
        <v>177</v>
      </c>
      <c r="T17" s="50" t="s">
        <v>177</v>
      </c>
      <c r="U17" s="50" t="s">
        <v>177</v>
      </c>
      <c r="V17" s="50" t="s">
        <v>177</v>
      </c>
      <c r="W17" s="50" t="s">
        <v>177</v>
      </c>
      <c r="X17" s="50" t="s">
        <v>177</v>
      </c>
      <c r="Y17" s="50" t="s">
        <v>177</v>
      </c>
      <c r="Z17" s="50" t="s">
        <v>177</v>
      </c>
      <c r="AA17" s="50" t="s">
        <v>177</v>
      </c>
      <c r="AB17" s="50" t="s">
        <v>177</v>
      </c>
      <c r="AC17" s="50" t="s">
        <v>177</v>
      </c>
      <c r="AD17" s="122" t="s">
        <v>177</v>
      </c>
      <c r="AE17" s="122" t="s">
        <v>177</v>
      </c>
      <c r="AF17" s="122" t="s">
        <v>177</v>
      </c>
      <c r="AG17" s="122" t="s">
        <v>177</v>
      </c>
      <c r="AH17" s="122" t="s">
        <v>177</v>
      </c>
      <c r="AI17" s="122" t="s">
        <v>177</v>
      </c>
      <c r="AJ17" s="40"/>
      <c r="AL17" t="str">
        <f t="shared" ca="1" si="0"/>
        <v xml:space="preserve">    (U1)ALERT_REQ_S_PMAR_</v>
      </c>
      <c r="AR17" s="52" t="str">
        <f t="shared" si="3"/>
        <v/>
      </c>
      <c r="AS17" s="52" t="str">
        <f t="shared" si="4"/>
        <v/>
      </c>
      <c r="AT17" s="52" t="str">
        <f t="shared" si="1"/>
        <v/>
      </c>
      <c r="AU17" s="53" t="s">
        <v>210</v>
      </c>
      <c r="AV17" s="39" t="s">
        <v>73</v>
      </c>
      <c r="AW17" s="58" t="str">
        <f ca="1">UPPER(Matrix!$D$6)</f>
        <v>S_PMAR</v>
      </c>
    </row>
    <row r="18" spans="2:49">
      <c r="B18" s="126"/>
      <c r="C18" s="36">
        <f t="shared" si="2"/>
        <v>12</v>
      </c>
      <c r="D18" s="50" t="s">
        <v>177</v>
      </c>
      <c r="E18" s="50" t="s">
        <v>177</v>
      </c>
      <c r="F18" s="50" t="s">
        <v>177</v>
      </c>
      <c r="G18" s="50" t="s">
        <v>178</v>
      </c>
      <c r="H18" s="50" t="s">
        <v>178</v>
      </c>
      <c r="I18" s="50" t="s">
        <v>178</v>
      </c>
      <c r="J18" s="50" t="s">
        <v>178</v>
      </c>
      <c r="K18" s="50" t="s">
        <v>178</v>
      </c>
      <c r="L18" s="50" t="s">
        <v>178</v>
      </c>
      <c r="M18" s="50" t="s">
        <v>178</v>
      </c>
      <c r="N18" s="50" t="s">
        <v>178</v>
      </c>
      <c r="O18" s="50" t="s">
        <v>178</v>
      </c>
      <c r="P18" s="50" t="s">
        <v>177</v>
      </c>
      <c r="Q18" s="50" t="s">
        <v>177</v>
      </c>
      <c r="R18" s="50" t="s">
        <v>177</v>
      </c>
      <c r="S18" s="50" t="s">
        <v>177</v>
      </c>
      <c r="T18" s="50" t="s">
        <v>177</v>
      </c>
      <c r="U18" s="50" t="s">
        <v>177</v>
      </c>
      <c r="V18" s="50" t="s">
        <v>177</v>
      </c>
      <c r="W18" s="50" t="s">
        <v>177</v>
      </c>
      <c r="X18" s="50" t="s">
        <v>177</v>
      </c>
      <c r="Y18" s="50" t="s">
        <v>177</v>
      </c>
      <c r="Z18" s="50" t="s">
        <v>177</v>
      </c>
      <c r="AA18" s="50" t="s">
        <v>177</v>
      </c>
      <c r="AB18" s="50" t="s">
        <v>177</v>
      </c>
      <c r="AC18" s="50" t="s">
        <v>177</v>
      </c>
      <c r="AD18" s="122" t="s">
        <v>177</v>
      </c>
      <c r="AE18" s="122" t="s">
        <v>177</v>
      </c>
      <c r="AF18" s="122" t="s">
        <v>177</v>
      </c>
      <c r="AG18" s="122" t="s">
        <v>177</v>
      </c>
      <c r="AH18" s="122" t="s">
        <v>177</v>
      </c>
      <c r="AI18" s="122" t="s">
        <v>177</v>
      </c>
      <c r="AJ18" s="40"/>
      <c r="AL18" t="str">
        <f t="shared" ca="1" si="0"/>
        <v xml:space="preserve">    (U1)ALERT_REQ_S_PMAR_</v>
      </c>
      <c r="AR18" s="52" t="str">
        <f t="shared" si="3"/>
        <v/>
      </c>
      <c r="AS18" s="52" t="str">
        <f t="shared" si="4"/>
        <v/>
      </c>
      <c r="AT18" s="52" t="str">
        <f t="shared" si="1"/>
        <v/>
      </c>
    </row>
    <row r="19" spans="2:49">
      <c r="B19" s="126"/>
      <c r="C19" s="36">
        <f t="shared" si="2"/>
        <v>13</v>
      </c>
      <c r="D19" s="50" t="s">
        <v>177</v>
      </c>
      <c r="E19" s="50" t="s">
        <v>177</v>
      </c>
      <c r="F19" s="50" t="s">
        <v>177</v>
      </c>
      <c r="G19" s="50" t="s">
        <v>178</v>
      </c>
      <c r="H19" s="50" t="s">
        <v>178</v>
      </c>
      <c r="I19" s="50" t="s">
        <v>178</v>
      </c>
      <c r="J19" s="50" t="s">
        <v>178</v>
      </c>
      <c r="K19" s="50" t="s">
        <v>178</v>
      </c>
      <c r="L19" s="50" t="s">
        <v>178</v>
      </c>
      <c r="M19" s="50" t="s">
        <v>178</v>
      </c>
      <c r="N19" s="50" t="s">
        <v>178</v>
      </c>
      <c r="O19" s="50" t="s">
        <v>178</v>
      </c>
      <c r="P19" s="50" t="s">
        <v>177</v>
      </c>
      <c r="Q19" s="50" t="s">
        <v>177</v>
      </c>
      <c r="R19" s="50" t="s">
        <v>177</v>
      </c>
      <c r="S19" s="50" t="s">
        <v>177</v>
      </c>
      <c r="T19" s="50" t="s">
        <v>177</v>
      </c>
      <c r="U19" s="50" t="s">
        <v>177</v>
      </c>
      <c r="V19" s="50" t="s">
        <v>177</v>
      </c>
      <c r="W19" s="50" t="s">
        <v>177</v>
      </c>
      <c r="X19" s="50" t="s">
        <v>177</v>
      </c>
      <c r="Y19" s="50" t="s">
        <v>177</v>
      </c>
      <c r="Z19" s="50" t="s">
        <v>177</v>
      </c>
      <c r="AA19" s="50" t="s">
        <v>177</v>
      </c>
      <c r="AB19" s="50" t="s">
        <v>177</v>
      </c>
      <c r="AC19" s="50" t="s">
        <v>177</v>
      </c>
      <c r="AD19" s="122" t="s">
        <v>177</v>
      </c>
      <c r="AE19" s="122" t="s">
        <v>177</v>
      </c>
      <c r="AF19" s="122" t="s">
        <v>177</v>
      </c>
      <c r="AG19" s="122" t="s">
        <v>177</v>
      </c>
      <c r="AH19" s="122" t="s">
        <v>177</v>
      </c>
      <c r="AI19" s="122" t="s">
        <v>177</v>
      </c>
      <c r="AJ19" s="40"/>
      <c r="AL19" t="str">
        <f t="shared" ca="1" si="0"/>
        <v xml:space="preserve">    (U1)ALERT_REQ_S_PMAR_</v>
      </c>
      <c r="AR19" s="52" t="str">
        <f t="shared" si="3"/>
        <v/>
      </c>
      <c r="AS19" s="52" t="str">
        <f t="shared" si="4"/>
        <v/>
      </c>
      <c r="AT19" s="52" t="str">
        <f t="shared" si="1"/>
        <v/>
      </c>
    </row>
    <row r="20" spans="2:49">
      <c r="B20" s="126"/>
      <c r="C20" s="36">
        <f t="shared" si="2"/>
        <v>14</v>
      </c>
      <c r="D20" s="50" t="s">
        <v>177</v>
      </c>
      <c r="E20" s="50" t="s">
        <v>177</v>
      </c>
      <c r="F20" s="50" t="s">
        <v>177</v>
      </c>
      <c r="G20" s="50" t="s">
        <v>177</v>
      </c>
      <c r="H20" s="50" t="s">
        <v>177</v>
      </c>
      <c r="I20" s="50" t="s">
        <v>177</v>
      </c>
      <c r="J20" s="50" t="s">
        <v>177</v>
      </c>
      <c r="K20" s="50" t="s">
        <v>177</v>
      </c>
      <c r="L20" s="50" t="s">
        <v>177</v>
      </c>
      <c r="M20" s="50" t="s">
        <v>177</v>
      </c>
      <c r="N20" s="50" t="s">
        <v>177</v>
      </c>
      <c r="O20" s="50" t="s">
        <v>177</v>
      </c>
      <c r="P20" s="50" t="s">
        <v>177</v>
      </c>
      <c r="Q20" s="50" t="s">
        <v>177</v>
      </c>
      <c r="R20" s="50" t="s">
        <v>177</v>
      </c>
      <c r="S20" s="50" t="s">
        <v>177</v>
      </c>
      <c r="T20" s="50" t="s">
        <v>177</v>
      </c>
      <c r="U20" s="50" t="s">
        <v>177</v>
      </c>
      <c r="V20" s="50" t="s">
        <v>177</v>
      </c>
      <c r="W20" s="50" t="s">
        <v>177</v>
      </c>
      <c r="X20" s="50" t="s">
        <v>177</v>
      </c>
      <c r="Y20" s="50" t="s">
        <v>177</v>
      </c>
      <c r="Z20" s="50" t="s">
        <v>177</v>
      </c>
      <c r="AA20" s="50" t="s">
        <v>177</v>
      </c>
      <c r="AB20" s="50" t="s">
        <v>177</v>
      </c>
      <c r="AC20" s="50" t="s">
        <v>177</v>
      </c>
      <c r="AD20" s="122" t="s">
        <v>177</v>
      </c>
      <c r="AE20" s="122" t="s">
        <v>177</v>
      </c>
      <c r="AF20" s="122" t="s">
        <v>177</v>
      </c>
      <c r="AG20" s="122" t="s">
        <v>177</v>
      </c>
      <c r="AH20" s="122" t="s">
        <v>177</v>
      </c>
      <c r="AI20" s="122" t="s">
        <v>177</v>
      </c>
      <c r="AJ20" s="40"/>
      <c r="AL20" t="str">
        <f t="shared" ca="1" si="0"/>
        <v xml:space="preserve">    (U1)ALERT_REQ_S_PMAR_</v>
      </c>
      <c r="AR20" s="52" t="str">
        <f t="shared" si="3"/>
        <v/>
      </c>
      <c r="AS20" s="52" t="str">
        <f t="shared" si="4"/>
        <v/>
      </c>
      <c r="AT20" s="52" t="str">
        <f t="shared" si="1"/>
        <v/>
      </c>
    </row>
    <row r="21" spans="2:49">
      <c r="B21" s="126"/>
      <c r="C21" s="36">
        <f t="shared" si="2"/>
        <v>15</v>
      </c>
      <c r="D21" s="50" t="s">
        <v>177</v>
      </c>
      <c r="E21" s="50" t="s">
        <v>177</v>
      </c>
      <c r="F21" s="50" t="s">
        <v>177</v>
      </c>
      <c r="G21" s="50" t="s">
        <v>177</v>
      </c>
      <c r="H21" s="50" t="s">
        <v>177</v>
      </c>
      <c r="I21" s="50" t="s">
        <v>177</v>
      </c>
      <c r="J21" s="50" t="s">
        <v>177</v>
      </c>
      <c r="K21" s="50" t="s">
        <v>177</v>
      </c>
      <c r="L21" s="50" t="s">
        <v>177</v>
      </c>
      <c r="M21" s="50" t="s">
        <v>177</v>
      </c>
      <c r="N21" s="50" t="s">
        <v>177</v>
      </c>
      <c r="O21" s="50" t="s">
        <v>177</v>
      </c>
      <c r="P21" s="50" t="s">
        <v>177</v>
      </c>
      <c r="Q21" s="50" t="s">
        <v>177</v>
      </c>
      <c r="R21" s="50" t="s">
        <v>177</v>
      </c>
      <c r="S21" s="50" t="s">
        <v>177</v>
      </c>
      <c r="T21" s="50" t="s">
        <v>177</v>
      </c>
      <c r="U21" s="50" t="s">
        <v>177</v>
      </c>
      <c r="V21" s="50" t="s">
        <v>177</v>
      </c>
      <c r="W21" s="50" t="s">
        <v>177</v>
      </c>
      <c r="X21" s="50" t="s">
        <v>177</v>
      </c>
      <c r="Y21" s="50" t="s">
        <v>177</v>
      </c>
      <c r="Z21" s="50" t="s">
        <v>177</v>
      </c>
      <c r="AA21" s="50" t="s">
        <v>177</v>
      </c>
      <c r="AB21" s="50" t="s">
        <v>177</v>
      </c>
      <c r="AC21" s="50" t="s">
        <v>177</v>
      </c>
      <c r="AD21" s="122" t="s">
        <v>177</v>
      </c>
      <c r="AE21" s="122" t="s">
        <v>177</v>
      </c>
      <c r="AF21" s="122" t="s">
        <v>177</v>
      </c>
      <c r="AG21" s="122" t="s">
        <v>177</v>
      </c>
      <c r="AH21" s="122" t="s">
        <v>177</v>
      </c>
      <c r="AI21" s="122" t="s">
        <v>177</v>
      </c>
      <c r="AJ21" s="40"/>
      <c r="AL21" t="str">
        <f t="shared" ca="1" si="0"/>
        <v xml:space="preserve">    (U1)ALERT_REQ_S_PMAR_</v>
      </c>
      <c r="AR21" s="52" t="str">
        <f t="shared" si="3"/>
        <v/>
      </c>
      <c r="AS21" s="52" t="str">
        <f t="shared" si="4"/>
        <v/>
      </c>
      <c r="AT21" s="52" t="str">
        <f t="shared" si="1"/>
        <v/>
      </c>
    </row>
    <row r="22" spans="2:49">
      <c r="B22" s="126"/>
      <c r="C22" s="36">
        <f t="shared" si="2"/>
        <v>16</v>
      </c>
      <c r="D22" s="50" t="s">
        <v>177</v>
      </c>
      <c r="E22" s="50" t="s">
        <v>177</v>
      </c>
      <c r="F22" s="50" t="s">
        <v>177</v>
      </c>
      <c r="G22" s="50" t="s">
        <v>177</v>
      </c>
      <c r="H22" s="50" t="s">
        <v>177</v>
      </c>
      <c r="I22" s="50" t="s">
        <v>177</v>
      </c>
      <c r="J22" s="50" t="s">
        <v>177</v>
      </c>
      <c r="K22" s="50" t="s">
        <v>177</v>
      </c>
      <c r="L22" s="50" t="s">
        <v>177</v>
      </c>
      <c r="M22" s="50" t="s">
        <v>177</v>
      </c>
      <c r="N22" s="50" t="s">
        <v>177</v>
      </c>
      <c r="O22" s="50" t="s">
        <v>177</v>
      </c>
      <c r="P22" s="50" t="s">
        <v>177</v>
      </c>
      <c r="Q22" s="50" t="s">
        <v>177</v>
      </c>
      <c r="R22" s="50" t="s">
        <v>177</v>
      </c>
      <c r="S22" s="50" t="s">
        <v>177</v>
      </c>
      <c r="T22" s="50" t="s">
        <v>177</v>
      </c>
      <c r="U22" s="50" t="s">
        <v>177</v>
      </c>
      <c r="V22" s="50" t="s">
        <v>177</v>
      </c>
      <c r="W22" s="50" t="s">
        <v>177</v>
      </c>
      <c r="X22" s="50" t="s">
        <v>177</v>
      </c>
      <c r="Y22" s="50" t="s">
        <v>177</v>
      </c>
      <c r="Z22" s="50" t="s">
        <v>177</v>
      </c>
      <c r="AA22" s="50" t="s">
        <v>177</v>
      </c>
      <c r="AB22" s="50" t="s">
        <v>177</v>
      </c>
      <c r="AC22" s="50" t="s">
        <v>177</v>
      </c>
      <c r="AD22" s="122" t="s">
        <v>177</v>
      </c>
      <c r="AE22" s="122" t="s">
        <v>177</v>
      </c>
      <c r="AF22" s="50" t="s">
        <v>177</v>
      </c>
      <c r="AG22" s="122" t="s">
        <v>177</v>
      </c>
      <c r="AH22" s="122" t="s">
        <v>177</v>
      </c>
      <c r="AI22" s="122" t="s">
        <v>177</v>
      </c>
      <c r="AJ22" s="40"/>
      <c r="AL22" t="str">
        <f t="shared" ca="1" si="0"/>
        <v xml:space="preserve">    (U1)ALERT_REQ_S_PMAR_</v>
      </c>
      <c r="AR22" s="52" t="str">
        <f t="shared" si="3"/>
        <v/>
      </c>
      <c r="AS22" s="52" t="str">
        <f t="shared" si="4"/>
        <v/>
      </c>
      <c r="AT22" s="52" t="str">
        <f t="shared" si="1"/>
        <v/>
      </c>
    </row>
    <row r="23" spans="2:49">
      <c r="B23" s="126"/>
      <c r="C23" s="36">
        <f t="shared" si="2"/>
        <v>17</v>
      </c>
      <c r="D23" s="50" t="s">
        <v>177</v>
      </c>
      <c r="E23" s="50" t="s">
        <v>177</v>
      </c>
      <c r="F23" s="50" t="s">
        <v>177</v>
      </c>
      <c r="G23" s="50" t="s">
        <v>177</v>
      </c>
      <c r="H23" s="50" t="s">
        <v>177</v>
      </c>
      <c r="I23" s="50" t="s">
        <v>177</v>
      </c>
      <c r="J23" s="50" t="s">
        <v>177</v>
      </c>
      <c r="K23" s="50" t="s">
        <v>177</v>
      </c>
      <c r="L23" s="50" t="s">
        <v>177</v>
      </c>
      <c r="M23" s="50" t="s">
        <v>177</v>
      </c>
      <c r="N23" s="50" t="s">
        <v>177</v>
      </c>
      <c r="O23" s="50" t="s">
        <v>177</v>
      </c>
      <c r="P23" s="50" t="s">
        <v>177</v>
      </c>
      <c r="Q23" s="50" t="s">
        <v>177</v>
      </c>
      <c r="R23" s="50" t="s">
        <v>177</v>
      </c>
      <c r="S23" s="50" t="s">
        <v>177</v>
      </c>
      <c r="T23" s="50" t="s">
        <v>177</v>
      </c>
      <c r="U23" s="50" t="s">
        <v>177</v>
      </c>
      <c r="V23" s="50" t="s">
        <v>177</v>
      </c>
      <c r="W23" s="50" t="s">
        <v>177</v>
      </c>
      <c r="X23" s="50" t="s">
        <v>177</v>
      </c>
      <c r="Y23" s="50" t="s">
        <v>177</v>
      </c>
      <c r="Z23" s="50" t="s">
        <v>177</v>
      </c>
      <c r="AA23" s="50" t="s">
        <v>177</v>
      </c>
      <c r="AB23" s="50" t="s">
        <v>177</v>
      </c>
      <c r="AC23" s="50" t="s">
        <v>177</v>
      </c>
      <c r="AD23" s="50" t="s">
        <v>177</v>
      </c>
      <c r="AE23" s="50" t="s">
        <v>177</v>
      </c>
      <c r="AF23" s="50" t="s">
        <v>177</v>
      </c>
      <c r="AG23" s="122" t="s">
        <v>177</v>
      </c>
      <c r="AH23" s="122" t="s">
        <v>177</v>
      </c>
      <c r="AI23" s="122" t="s">
        <v>177</v>
      </c>
      <c r="AJ23" s="40"/>
      <c r="AL23" t="str">
        <f t="shared" ca="1" si="0"/>
        <v xml:space="preserve">    (U1)ALERT_REQ_S_PMAR_</v>
      </c>
      <c r="AR23" s="52" t="str">
        <f t="shared" si="3"/>
        <v/>
      </c>
      <c r="AS23" s="52" t="str">
        <f t="shared" si="4"/>
        <v/>
      </c>
      <c r="AT23" s="52" t="str">
        <f t="shared" si="1"/>
        <v/>
      </c>
    </row>
    <row r="24" spans="2:49">
      <c r="B24" s="126"/>
      <c r="C24" s="36">
        <f t="shared" si="2"/>
        <v>18</v>
      </c>
      <c r="D24" s="50" t="s">
        <v>177</v>
      </c>
      <c r="E24" s="50" t="s">
        <v>177</v>
      </c>
      <c r="F24" s="50" t="s">
        <v>177</v>
      </c>
      <c r="G24" s="50" t="s">
        <v>177</v>
      </c>
      <c r="H24" s="50" t="s">
        <v>177</v>
      </c>
      <c r="I24" s="50" t="s">
        <v>177</v>
      </c>
      <c r="J24" s="50" t="s">
        <v>177</v>
      </c>
      <c r="K24" s="50" t="s">
        <v>177</v>
      </c>
      <c r="L24" s="50" t="s">
        <v>177</v>
      </c>
      <c r="M24" s="50" t="s">
        <v>177</v>
      </c>
      <c r="N24" s="50" t="s">
        <v>177</v>
      </c>
      <c r="O24" s="50" t="s">
        <v>177</v>
      </c>
      <c r="P24" s="50" t="s">
        <v>177</v>
      </c>
      <c r="Q24" s="50" t="s">
        <v>177</v>
      </c>
      <c r="R24" s="50" t="s">
        <v>177</v>
      </c>
      <c r="S24" s="50" t="s">
        <v>177</v>
      </c>
      <c r="T24" s="50" t="s">
        <v>177</v>
      </c>
      <c r="U24" s="50" t="s">
        <v>177</v>
      </c>
      <c r="V24" s="50" t="s">
        <v>177</v>
      </c>
      <c r="W24" s="50" t="s">
        <v>177</v>
      </c>
      <c r="X24" s="50" t="s">
        <v>177</v>
      </c>
      <c r="Y24" s="50" t="s">
        <v>177</v>
      </c>
      <c r="Z24" s="50" t="s">
        <v>177</v>
      </c>
      <c r="AA24" s="50" t="s">
        <v>177</v>
      </c>
      <c r="AB24" s="50" t="s">
        <v>177</v>
      </c>
      <c r="AC24" s="50" t="s">
        <v>177</v>
      </c>
      <c r="AD24" s="50" t="s">
        <v>177</v>
      </c>
      <c r="AE24" s="50" t="s">
        <v>177</v>
      </c>
      <c r="AF24" s="50" t="s">
        <v>177</v>
      </c>
      <c r="AG24" s="122" t="s">
        <v>177</v>
      </c>
      <c r="AH24" s="122" t="s">
        <v>177</v>
      </c>
      <c r="AI24" s="122" t="s">
        <v>177</v>
      </c>
      <c r="AJ24" s="40"/>
      <c r="AL24" t="str">
        <f t="shared" ca="1" si="0"/>
        <v xml:space="preserve">    (U1)ALERT_REQ_S_PMAR_</v>
      </c>
      <c r="AR24" s="52" t="str">
        <f t="shared" si="3"/>
        <v/>
      </c>
      <c r="AS24" s="52" t="str">
        <f t="shared" si="4"/>
        <v/>
      </c>
      <c r="AT24" s="52" t="str">
        <f t="shared" si="1"/>
        <v/>
      </c>
    </row>
    <row r="25" spans="2:49">
      <c r="B25" s="126"/>
      <c r="C25" s="36">
        <f t="shared" si="2"/>
        <v>19</v>
      </c>
      <c r="D25" s="50" t="s">
        <v>177</v>
      </c>
      <c r="E25" s="50" t="s">
        <v>177</v>
      </c>
      <c r="F25" s="50" t="s">
        <v>177</v>
      </c>
      <c r="G25" s="50" t="s">
        <v>177</v>
      </c>
      <c r="H25" s="50" t="s">
        <v>177</v>
      </c>
      <c r="I25" s="50" t="s">
        <v>177</v>
      </c>
      <c r="J25" s="50" t="s">
        <v>177</v>
      </c>
      <c r="K25" s="50" t="s">
        <v>177</v>
      </c>
      <c r="L25" s="50" t="s">
        <v>177</v>
      </c>
      <c r="M25" s="50" t="s">
        <v>177</v>
      </c>
      <c r="N25" s="50" t="s">
        <v>177</v>
      </c>
      <c r="O25" s="50" t="s">
        <v>177</v>
      </c>
      <c r="P25" s="50" t="s">
        <v>177</v>
      </c>
      <c r="Q25" s="50" t="s">
        <v>177</v>
      </c>
      <c r="R25" s="50" t="s">
        <v>177</v>
      </c>
      <c r="S25" s="50" t="s">
        <v>177</v>
      </c>
      <c r="T25" s="50" t="s">
        <v>177</v>
      </c>
      <c r="U25" s="50" t="s">
        <v>177</v>
      </c>
      <c r="V25" s="50" t="s">
        <v>177</v>
      </c>
      <c r="W25" s="50" t="s">
        <v>177</v>
      </c>
      <c r="X25" s="50" t="s">
        <v>177</v>
      </c>
      <c r="Y25" s="50" t="s">
        <v>177</v>
      </c>
      <c r="Z25" s="50" t="s">
        <v>177</v>
      </c>
      <c r="AA25" s="50" t="s">
        <v>177</v>
      </c>
      <c r="AB25" s="50" t="s">
        <v>177</v>
      </c>
      <c r="AC25" s="50" t="s">
        <v>177</v>
      </c>
      <c r="AD25" s="50" t="s">
        <v>177</v>
      </c>
      <c r="AE25" s="50" t="s">
        <v>177</v>
      </c>
      <c r="AF25" s="50" t="s">
        <v>177</v>
      </c>
      <c r="AG25" s="122" t="s">
        <v>177</v>
      </c>
      <c r="AH25" s="122" t="s">
        <v>177</v>
      </c>
      <c r="AI25" s="122" t="s">
        <v>177</v>
      </c>
      <c r="AJ25" s="40"/>
      <c r="AL25" t="str">
        <f t="shared" ca="1" si="0"/>
        <v xml:space="preserve">    (U1)ALERT_REQ_S_PMAR_</v>
      </c>
      <c r="AR25" s="52" t="str">
        <f t="shared" si="3"/>
        <v/>
      </c>
      <c r="AS25" s="52" t="str">
        <f t="shared" si="4"/>
        <v/>
      </c>
      <c r="AT25" s="52" t="str">
        <f t="shared" si="1"/>
        <v/>
      </c>
    </row>
    <row r="26" spans="2:49">
      <c r="B26" s="126"/>
      <c r="C26" s="36">
        <f t="shared" si="2"/>
        <v>20</v>
      </c>
      <c r="D26" s="50" t="s">
        <v>63</v>
      </c>
      <c r="E26" s="50" t="s">
        <v>63</v>
      </c>
      <c r="F26" s="50" t="s">
        <v>63</v>
      </c>
      <c r="G26" s="50" t="s">
        <v>63</v>
      </c>
      <c r="H26" s="50" t="s">
        <v>63</v>
      </c>
      <c r="I26" s="50" t="s">
        <v>63</v>
      </c>
      <c r="J26" s="50" t="s">
        <v>63</v>
      </c>
      <c r="K26" s="50" t="s">
        <v>63</v>
      </c>
      <c r="L26" s="50" t="s">
        <v>63</v>
      </c>
      <c r="M26" s="50" t="s">
        <v>63</v>
      </c>
      <c r="N26" s="50" t="s">
        <v>63</v>
      </c>
      <c r="O26" s="50" t="s">
        <v>63</v>
      </c>
      <c r="P26" s="50" t="s">
        <v>63</v>
      </c>
      <c r="Q26" s="50" t="s">
        <v>63</v>
      </c>
      <c r="R26" s="50" t="s">
        <v>63</v>
      </c>
      <c r="S26" s="50" t="s">
        <v>63</v>
      </c>
      <c r="T26" s="50" t="s">
        <v>63</v>
      </c>
      <c r="U26" s="50" t="s">
        <v>63</v>
      </c>
      <c r="V26" s="50" t="s">
        <v>63</v>
      </c>
      <c r="W26" s="50" t="s">
        <v>63</v>
      </c>
      <c r="X26" s="50" t="s">
        <v>63</v>
      </c>
      <c r="Y26" s="50" t="s">
        <v>63</v>
      </c>
      <c r="Z26" s="50" t="s">
        <v>63</v>
      </c>
      <c r="AA26" s="50" t="s">
        <v>63</v>
      </c>
      <c r="AB26" s="50" t="s">
        <v>63</v>
      </c>
      <c r="AC26" s="50" t="s">
        <v>63</v>
      </c>
      <c r="AD26" s="50" t="s">
        <v>177</v>
      </c>
      <c r="AE26" s="50" t="s">
        <v>177</v>
      </c>
      <c r="AF26" s="50" t="s">
        <v>177</v>
      </c>
      <c r="AG26" s="50" t="s">
        <v>177</v>
      </c>
      <c r="AH26" s="50" t="s">
        <v>177</v>
      </c>
      <c r="AI26" s="50" t="s">
        <v>177</v>
      </c>
      <c r="AJ26" s="40"/>
      <c r="AL26" t="str">
        <f t="shared" ca="1" si="0"/>
        <v xml:space="preserve">    (U1)ALERT_REQ_S_PMAR_</v>
      </c>
      <c r="AR26" s="52" t="str">
        <f t="shared" si="3"/>
        <v/>
      </c>
      <c r="AS26" s="52" t="str">
        <f t="shared" si="4"/>
        <v/>
      </c>
      <c r="AT26" s="52" t="str">
        <f t="shared" si="1"/>
        <v/>
      </c>
    </row>
    <row r="27" spans="2:49">
      <c r="B27" s="126"/>
      <c r="C27" s="36">
        <f t="shared" si="2"/>
        <v>21</v>
      </c>
      <c r="D27" s="50" t="s">
        <v>63</v>
      </c>
      <c r="E27" s="50" t="s">
        <v>63</v>
      </c>
      <c r="F27" s="50" t="s">
        <v>63</v>
      </c>
      <c r="G27" s="50" t="s">
        <v>63</v>
      </c>
      <c r="H27" s="50" t="s">
        <v>63</v>
      </c>
      <c r="I27" s="50" t="s">
        <v>63</v>
      </c>
      <c r="J27" s="50" t="s">
        <v>63</v>
      </c>
      <c r="K27" s="50" t="s">
        <v>63</v>
      </c>
      <c r="L27" s="50" t="s">
        <v>63</v>
      </c>
      <c r="M27" s="50" t="s">
        <v>63</v>
      </c>
      <c r="N27" s="50" t="s">
        <v>63</v>
      </c>
      <c r="O27" s="50" t="s">
        <v>63</v>
      </c>
      <c r="P27" s="50" t="s">
        <v>63</v>
      </c>
      <c r="Q27" s="50" t="s">
        <v>63</v>
      </c>
      <c r="R27" s="50" t="s">
        <v>63</v>
      </c>
      <c r="S27" s="50" t="s">
        <v>63</v>
      </c>
      <c r="T27" s="50" t="s">
        <v>63</v>
      </c>
      <c r="U27" s="50" t="s">
        <v>63</v>
      </c>
      <c r="V27" s="50" t="s">
        <v>63</v>
      </c>
      <c r="W27" s="50" t="s">
        <v>63</v>
      </c>
      <c r="X27" s="50" t="s">
        <v>63</v>
      </c>
      <c r="Y27" s="50" t="s">
        <v>63</v>
      </c>
      <c r="Z27" s="50" t="s">
        <v>63</v>
      </c>
      <c r="AA27" s="50" t="s">
        <v>63</v>
      </c>
      <c r="AB27" s="50" t="s">
        <v>63</v>
      </c>
      <c r="AC27" s="50" t="s">
        <v>63</v>
      </c>
      <c r="AD27" s="50" t="s">
        <v>177</v>
      </c>
      <c r="AE27" s="50" t="s">
        <v>177</v>
      </c>
      <c r="AF27" s="50" t="s">
        <v>177</v>
      </c>
      <c r="AG27" s="50" t="s">
        <v>177</v>
      </c>
      <c r="AH27" s="50" t="s">
        <v>177</v>
      </c>
      <c r="AI27" s="50" t="s">
        <v>177</v>
      </c>
      <c r="AJ27" s="40"/>
      <c r="AL27" t="str">
        <f t="shared" ca="1" si="0"/>
        <v xml:space="preserve">    (U1)ALERT_REQ_S_PMAR_</v>
      </c>
      <c r="AR27" s="52" t="str">
        <f t="shared" si="3"/>
        <v/>
      </c>
      <c r="AS27" s="52" t="str">
        <f t="shared" si="4"/>
        <v/>
      </c>
      <c r="AT27" s="52" t="str">
        <f t="shared" si="1"/>
        <v/>
      </c>
    </row>
    <row r="28" spans="2:49">
      <c r="B28" s="126"/>
      <c r="C28" s="36">
        <f t="shared" si="2"/>
        <v>22</v>
      </c>
      <c r="D28" s="50" t="s">
        <v>63</v>
      </c>
      <c r="E28" s="50" t="s">
        <v>63</v>
      </c>
      <c r="F28" s="50" t="s">
        <v>63</v>
      </c>
      <c r="G28" s="50" t="s">
        <v>63</v>
      </c>
      <c r="H28" s="50" t="s">
        <v>63</v>
      </c>
      <c r="I28" s="50" t="s">
        <v>63</v>
      </c>
      <c r="J28" s="50" t="s">
        <v>63</v>
      </c>
      <c r="K28" s="50" t="s">
        <v>63</v>
      </c>
      <c r="L28" s="50" t="s">
        <v>63</v>
      </c>
      <c r="M28" s="50" t="s">
        <v>63</v>
      </c>
      <c r="N28" s="50" t="s">
        <v>63</v>
      </c>
      <c r="O28" s="50" t="s">
        <v>63</v>
      </c>
      <c r="P28" s="50" t="s">
        <v>63</v>
      </c>
      <c r="Q28" s="50" t="s">
        <v>63</v>
      </c>
      <c r="R28" s="50" t="s">
        <v>63</v>
      </c>
      <c r="S28" s="50" t="s">
        <v>63</v>
      </c>
      <c r="T28" s="50" t="s">
        <v>63</v>
      </c>
      <c r="U28" s="50" t="s">
        <v>63</v>
      </c>
      <c r="V28" s="50" t="s">
        <v>63</v>
      </c>
      <c r="W28" s="50" t="s">
        <v>63</v>
      </c>
      <c r="X28" s="50" t="s">
        <v>63</v>
      </c>
      <c r="Y28" s="50" t="s">
        <v>63</v>
      </c>
      <c r="Z28" s="50" t="s">
        <v>63</v>
      </c>
      <c r="AA28" s="50" t="s">
        <v>63</v>
      </c>
      <c r="AB28" s="50" t="s">
        <v>63</v>
      </c>
      <c r="AC28" s="50" t="s">
        <v>63</v>
      </c>
      <c r="AD28" s="50" t="s">
        <v>177</v>
      </c>
      <c r="AE28" s="50" t="s">
        <v>177</v>
      </c>
      <c r="AF28" s="50" t="s">
        <v>177</v>
      </c>
      <c r="AG28" s="50" t="s">
        <v>177</v>
      </c>
      <c r="AH28" s="50" t="s">
        <v>177</v>
      </c>
      <c r="AI28" s="50" t="s">
        <v>177</v>
      </c>
      <c r="AJ28" s="40"/>
      <c r="AL28" t="str">
        <f t="shared" ca="1" si="0"/>
        <v xml:space="preserve">    (U1)ALERT_REQ_S_PMAR_</v>
      </c>
      <c r="AR28" s="52" t="str">
        <f t="shared" si="3"/>
        <v/>
      </c>
      <c r="AS28" s="52" t="str">
        <f t="shared" si="4"/>
        <v/>
      </c>
      <c r="AT28" s="52" t="str">
        <f t="shared" si="1"/>
        <v/>
      </c>
    </row>
    <row r="29" spans="2:49">
      <c r="B29" s="126"/>
      <c r="C29" s="36">
        <f t="shared" si="2"/>
        <v>23</v>
      </c>
      <c r="D29" s="50" t="s">
        <v>63</v>
      </c>
      <c r="E29" s="50" t="s">
        <v>63</v>
      </c>
      <c r="F29" s="50" t="s">
        <v>63</v>
      </c>
      <c r="G29" s="50" t="s">
        <v>63</v>
      </c>
      <c r="H29" s="50" t="s">
        <v>63</v>
      </c>
      <c r="I29" s="50" t="s">
        <v>63</v>
      </c>
      <c r="J29" s="50" t="s">
        <v>63</v>
      </c>
      <c r="K29" s="50" t="s">
        <v>63</v>
      </c>
      <c r="L29" s="50" t="s">
        <v>63</v>
      </c>
      <c r="M29" s="50" t="s">
        <v>63</v>
      </c>
      <c r="N29" s="50" t="s">
        <v>63</v>
      </c>
      <c r="O29" s="50" t="s">
        <v>63</v>
      </c>
      <c r="P29" s="50" t="s">
        <v>63</v>
      </c>
      <c r="Q29" s="50" t="s">
        <v>63</v>
      </c>
      <c r="R29" s="50" t="s">
        <v>63</v>
      </c>
      <c r="S29" s="50" t="s">
        <v>63</v>
      </c>
      <c r="T29" s="50" t="s">
        <v>63</v>
      </c>
      <c r="U29" s="50" t="s">
        <v>63</v>
      </c>
      <c r="V29" s="50" t="s">
        <v>63</v>
      </c>
      <c r="W29" s="50" t="s">
        <v>63</v>
      </c>
      <c r="X29" s="50" t="s">
        <v>63</v>
      </c>
      <c r="Y29" s="50" t="s">
        <v>63</v>
      </c>
      <c r="Z29" s="50" t="s">
        <v>63</v>
      </c>
      <c r="AA29" s="50" t="s">
        <v>63</v>
      </c>
      <c r="AB29" s="50" t="s">
        <v>63</v>
      </c>
      <c r="AC29" s="50" t="s">
        <v>63</v>
      </c>
      <c r="AD29" s="50" t="s">
        <v>177</v>
      </c>
      <c r="AE29" s="50" t="s">
        <v>177</v>
      </c>
      <c r="AF29" s="50" t="s">
        <v>177</v>
      </c>
      <c r="AG29" s="50" t="s">
        <v>177</v>
      </c>
      <c r="AH29" s="50" t="s">
        <v>177</v>
      </c>
      <c r="AI29" s="50" t="s">
        <v>177</v>
      </c>
      <c r="AJ29" s="40"/>
      <c r="AL29" t="str">
        <f t="shared" ca="1" si="0"/>
        <v xml:space="preserve">    (U1)ALERT_REQ_S_PMAR_</v>
      </c>
      <c r="AR29" s="52" t="str">
        <f t="shared" si="3"/>
        <v/>
      </c>
      <c r="AS29" s="52" t="str">
        <f t="shared" si="4"/>
        <v/>
      </c>
      <c r="AT29" s="52" t="str">
        <f t="shared" si="1"/>
        <v/>
      </c>
    </row>
    <row r="30" spans="2:49">
      <c r="B30" s="126"/>
      <c r="C30" s="36">
        <f t="shared" si="2"/>
        <v>24</v>
      </c>
      <c r="D30" s="50" t="s">
        <v>63</v>
      </c>
      <c r="E30" s="50" t="s">
        <v>63</v>
      </c>
      <c r="F30" s="50" t="s">
        <v>63</v>
      </c>
      <c r="G30" s="50" t="s">
        <v>63</v>
      </c>
      <c r="H30" s="50" t="s">
        <v>63</v>
      </c>
      <c r="I30" s="50" t="s">
        <v>63</v>
      </c>
      <c r="J30" s="50" t="s">
        <v>63</v>
      </c>
      <c r="K30" s="50" t="s">
        <v>63</v>
      </c>
      <c r="L30" s="50" t="s">
        <v>63</v>
      </c>
      <c r="M30" s="50" t="s">
        <v>63</v>
      </c>
      <c r="N30" s="50" t="s">
        <v>63</v>
      </c>
      <c r="O30" s="50" t="s">
        <v>63</v>
      </c>
      <c r="P30" s="50" t="s">
        <v>63</v>
      </c>
      <c r="Q30" s="50" t="s">
        <v>63</v>
      </c>
      <c r="R30" s="50" t="s">
        <v>63</v>
      </c>
      <c r="S30" s="50" t="s">
        <v>63</v>
      </c>
      <c r="T30" s="50" t="s">
        <v>63</v>
      </c>
      <c r="U30" s="50" t="s">
        <v>63</v>
      </c>
      <c r="V30" s="50" t="s">
        <v>63</v>
      </c>
      <c r="W30" s="50" t="s">
        <v>63</v>
      </c>
      <c r="X30" s="50" t="s">
        <v>63</v>
      </c>
      <c r="Y30" s="50" t="s">
        <v>63</v>
      </c>
      <c r="Z30" s="50" t="s">
        <v>63</v>
      </c>
      <c r="AA30" s="50" t="s">
        <v>63</v>
      </c>
      <c r="AB30" s="50" t="s">
        <v>63</v>
      </c>
      <c r="AC30" s="50" t="s">
        <v>63</v>
      </c>
      <c r="AD30" s="50" t="s">
        <v>177</v>
      </c>
      <c r="AE30" s="50" t="s">
        <v>177</v>
      </c>
      <c r="AF30" s="50" t="s">
        <v>177</v>
      </c>
      <c r="AG30" s="50" t="s">
        <v>177</v>
      </c>
      <c r="AH30" s="50" t="s">
        <v>177</v>
      </c>
      <c r="AI30" s="50" t="s">
        <v>177</v>
      </c>
      <c r="AJ30" s="40"/>
      <c r="AL30" t="str">
        <f t="shared" ca="1" si="0"/>
        <v xml:space="preserve">    (U1)ALERT_REQ_S_PMAR_</v>
      </c>
      <c r="AR30" s="52" t="str">
        <f t="shared" si="3"/>
        <v/>
      </c>
      <c r="AS30" s="52" t="str">
        <f t="shared" si="4"/>
        <v/>
      </c>
      <c r="AT30" s="52" t="str">
        <f t="shared" si="1"/>
        <v/>
      </c>
    </row>
    <row r="31" spans="2:49">
      <c r="B31" s="126"/>
      <c r="C31" s="36">
        <f t="shared" si="2"/>
        <v>25</v>
      </c>
      <c r="D31" s="50" t="s">
        <v>63</v>
      </c>
      <c r="E31" s="50" t="s">
        <v>63</v>
      </c>
      <c r="F31" s="50" t="s">
        <v>63</v>
      </c>
      <c r="G31" s="50" t="s">
        <v>63</v>
      </c>
      <c r="H31" s="50" t="s">
        <v>63</v>
      </c>
      <c r="I31" s="50" t="s">
        <v>63</v>
      </c>
      <c r="J31" s="50" t="s">
        <v>63</v>
      </c>
      <c r="K31" s="50" t="s">
        <v>63</v>
      </c>
      <c r="L31" s="50" t="s">
        <v>63</v>
      </c>
      <c r="M31" s="50" t="s">
        <v>63</v>
      </c>
      <c r="N31" s="50" t="s">
        <v>63</v>
      </c>
      <c r="O31" s="50" t="s">
        <v>63</v>
      </c>
      <c r="P31" s="50" t="s">
        <v>63</v>
      </c>
      <c r="Q31" s="50" t="s">
        <v>63</v>
      </c>
      <c r="R31" s="50" t="s">
        <v>63</v>
      </c>
      <c r="S31" s="50" t="s">
        <v>63</v>
      </c>
      <c r="T31" s="50" t="s">
        <v>63</v>
      </c>
      <c r="U31" s="50" t="s">
        <v>63</v>
      </c>
      <c r="V31" s="50" t="s">
        <v>63</v>
      </c>
      <c r="W31" s="50" t="s">
        <v>63</v>
      </c>
      <c r="X31" s="50" t="s">
        <v>63</v>
      </c>
      <c r="Y31" s="50" t="s">
        <v>63</v>
      </c>
      <c r="Z31" s="50" t="s">
        <v>63</v>
      </c>
      <c r="AA31" s="50" t="s">
        <v>63</v>
      </c>
      <c r="AB31" s="50" t="s">
        <v>63</v>
      </c>
      <c r="AC31" s="50" t="s">
        <v>63</v>
      </c>
      <c r="AD31" s="50" t="s">
        <v>177</v>
      </c>
      <c r="AE31" s="50" t="s">
        <v>177</v>
      </c>
      <c r="AF31" s="50" t="s">
        <v>177</v>
      </c>
      <c r="AG31" s="50" t="s">
        <v>177</v>
      </c>
      <c r="AH31" s="50" t="s">
        <v>177</v>
      </c>
      <c r="AI31" s="50" t="s">
        <v>177</v>
      </c>
      <c r="AJ31" s="40"/>
      <c r="AL31" t="str">
        <f t="shared" ca="1" si="0"/>
        <v xml:space="preserve">    (U1)ALERT_REQ_S_PMAR_</v>
      </c>
      <c r="AR31" s="52" t="str">
        <f t="shared" si="3"/>
        <v/>
      </c>
      <c r="AS31" s="52" t="str">
        <f t="shared" si="4"/>
        <v/>
      </c>
      <c r="AT31" s="52" t="str">
        <f t="shared" si="1"/>
        <v/>
      </c>
    </row>
    <row r="32" spans="2:49">
      <c r="B32" s="126"/>
      <c r="C32" s="36">
        <f t="shared" si="2"/>
        <v>26</v>
      </c>
      <c r="D32" s="50" t="s">
        <v>63</v>
      </c>
      <c r="E32" s="50" t="s">
        <v>63</v>
      </c>
      <c r="F32" s="50" t="s">
        <v>63</v>
      </c>
      <c r="G32" s="50" t="s">
        <v>63</v>
      </c>
      <c r="H32" s="50" t="s">
        <v>63</v>
      </c>
      <c r="I32" s="50" t="s">
        <v>63</v>
      </c>
      <c r="J32" s="50" t="s">
        <v>63</v>
      </c>
      <c r="K32" s="50" t="s">
        <v>63</v>
      </c>
      <c r="L32" s="50" t="s">
        <v>63</v>
      </c>
      <c r="M32" s="50" t="s">
        <v>63</v>
      </c>
      <c r="N32" s="50" t="s">
        <v>63</v>
      </c>
      <c r="O32" s="50" t="s">
        <v>63</v>
      </c>
      <c r="P32" s="50" t="s">
        <v>63</v>
      </c>
      <c r="Q32" s="50" t="s">
        <v>63</v>
      </c>
      <c r="R32" s="50" t="s">
        <v>63</v>
      </c>
      <c r="S32" s="50" t="s">
        <v>63</v>
      </c>
      <c r="T32" s="50" t="s">
        <v>63</v>
      </c>
      <c r="U32" s="50" t="s">
        <v>63</v>
      </c>
      <c r="V32" s="50" t="s">
        <v>63</v>
      </c>
      <c r="W32" s="50" t="s">
        <v>63</v>
      </c>
      <c r="X32" s="50" t="s">
        <v>63</v>
      </c>
      <c r="Y32" s="50" t="s">
        <v>63</v>
      </c>
      <c r="Z32" s="50" t="s">
        <v>63</v>
      </c>
      <c r="AA32" s="50" t="s">
        <v>63</v>
      </c>
      <c r="AB32" s="50" t="s">
        <v>63</v>
      </c>
      <c r="AC32" s="50" t="s">
        <v>63</v>
      </c>
      <c r="AD32" s="50" t="s">
        <v>177</v>
      </c>
      <c r="AE32" s="50" t="s">
        <v>177</v>
      </c>
      <c r="AF32" s="50" t="s">
        <v>177</v>
      </c>
      <c r="AG32" s="50" t="s">
        <v>177</v>
      </c>
      <c r="AH32" s="50" t="s">
        <v>177</v>
      </c>
      <c r="AI32" s="50" t="s">
        <v>177</v>
      </c>
      <c r="AJ32" s="40"/>
      <c r="AL32" t="str">
        <f t="shared" ca="1" si="0"/>
        <v xml:space="preserve">    (U1)ALERT_REQ_S_PMAR_</v>
      </c>
      <c r="AR32" s="52" t="str">
        <f t="shared" si="3"/>
        <v/>
      </c>
      <c r="AS32" s="52" t="str">
        <f t="shared" si="4"/>
        <v/>
      </c>
      <c r="AT32" s="52" t="str">
        <f t="shared" si="1"/>
        <v/>
      </c>
    </row>
    <row r="33" spans="2:46">
      <c r="B33" s="126"/>
      <c r="C33" s="36">
        <f t="shared" si="2"/>
        <v>27</v>
      </c>
      <c r="D33" s="50" t="s">
        <v>63</v>
      </c>
      <c r="E33" s="50" t="s">
        <v>63</v>
      </c>
      <c r="F33" s="50" t="s">
        <v>63</v>
      </c>
      <c r="G33" s="50" t="s">
        <v>63</v>
      </c>
      <c r="H33" s="50" t="s">
        <v>63</v>
      </c>
      <c r="I33" s="50" t="s">
        <v>63</v>
      </c>
      <c r="J33" s="50" t="s">
        <v>63</v>
      </c>
      <c r="K33" s="50" t="s">
        <v>63</v>
      </c>
      <c r="L33" s="50" t="s">
        <v>63</v>
      </c>
      <c r="M33" s="50" t="s">
        <v>63</v>
      </c>
      <c r="N33" s="50" t="s">
        <v>63</v>
      </c>
      <c r="O33" s="50" t="s">
        <v>63</v>
      </c>
      <c r="P33" s="50" t="s">
        <v>63</v>
      </c>
      <c r="Q33" s="50" t="s">
        <v>63</v>
      </c>
      <c r="R33" s="50" t="s">
        <v>63</v>
      </c>
      <c r="S33" s="50" t="s">
        <v>63</v>
      </c>
      <c r="T33" s="50" t="s">
        <v>63</v>
      </c>
      <c r="U33" s="50" t="s">
        <v>63</v>
      </c>
      <c r="V33" s="50" t="s">
        <v>63</v>
      </c>
      <c r="W33" s="50" t="s">
        <v>63</v>
      </c>
      <c r="X33" s="50" t="s">
        <v>63</v>
      </c>
      <c r="Y33" s="50" t="s">
        <v>63</v>
      </c>
      <c r="Z33" s="50" t="s">
        <v>63</v>
      </c>
      <c r="AA33" s="50" t="s">
        <v>63</v>
      </c>
      <c r="AB33" s="50" t="s">
        <v>63</v>
      </c>
      <c r="AC33" s="50" t="s">
        <v>63</v>
      </c>
      <c r="AD33" s="50" t="s">
        <v>177</v>
      </c>
      <c r="AE33" s="50" t="s">
        <v>177</v>
      </c>
      <c r="AF33" s="50" t="s">
        <v>177</v>
      </c>
      <c r="AG33" s="50" t="s">
        <v>177</v>
      </c>
      <c r="AH33" s="50" t="s">
        <v>177</v>
      </c>
      <c r="AI33" s="50" t="s">
        <v>177</v>
      </c>
      <c r="AJ33" s="40"/>
      <c r="AL33" t="str">
        <f t="shared" ca="1" si="0"/>
        <v xml:space="preserve">    (U1)ALERT_REQ_S_PMAR_</v>
      </c>
      <c r="AR33" s="52" t="str">
        <f t="shared" si="3"/>
        <v/>
      </c>
      <c r="AS33" s="52" t="str">
        <f t="shared" si="4"/>
        <v/>
      </c>
      <c r="AT33" s="52" t="str">
        <f t="shared" si="1"/>
        <v/>
      </c>
    </row>
    <row r="34" spans="2:46">
      <c r="B34" s="126"/>
      <c r="C34" s="36">
        <f t="shared" si="2"/>
        <v>28</v>
      </c>
      <c r="D34" s="50" t="s">
        <v>63</v>
      </c>
      <c r="E34" s="50" t="s">
        <v>63</v>
      </c>
      <c r="F34" s="50" t="s">
        <v>63</v>
      </c>
      <c r="G34" s="50" t="s">
        <v>63</v>
      </c>
      <c r="H34" s="50" t="s">
        <v>63</v>
      </c>
      <c r="I34" s="50" t="s">
        <v>63</v>
      </c>
      <c r="J34" s="50" t="s">
        <v>63</v>
      </c>
      <c r="K34" s="50" t="s">
        <v>63</v>
      </c>
      <c r="L34" s="50" t="s">
        <v>63</v>
      </c>
      <c r="M34" s="50" t="s">
        <v>63</v>
      </c>
      <c r="N34" s="50" t="s">
        <v>63</v>
      </c>
      <c r="O34" s="50" t="s">
        <v>63</v>
      </c>
      <c r="P34" s="50" t="s">
        <v>63</v>
      </c>
      <c r="Q34" s="50" t="s">
        <v>63</v>
      </c>
      <c r="R34" s="50" t="s">
        <v>63</v>
      </c>
      <c r="S34" s="50" t="s">
        <v>63</v>
      </c>
      <c r="T34" s="50" t="s">
        <v>63</v>
      </c>
      <c r="U34" s="50" t="s">
        <v>63</v>
      </c>
      <c r="V34" s="50" t="s">
        <v>63</v>
      </c>
      <c r="W34" s="50" t="s">
        <v>63</v>
      </c>
      <c r="X34" s="50" t="s">
        <v>63</v>
      </c>
      <c r="Y34" s="50" t="s">
        <v>63</v>
      </c>
      <c r="Z34" s="50" t="s">
        <v>63</v>
      </c>
      <c r="AA34" s="50" t="s">
        <v>63</v>
      </c>
      <c r="AB34" s="50" t="s">
        <v>63</v>
      </c>
      <c r="AC34" s="50" t="s">
        <v>63</v>
      </c>
      <c r="AD34" s="50" t="s">
        <v>177</v>
      </c>
      <c r="AE34" s="50" t="s">
        <v>177</v>
      </c>
      <c r="AF34" s="50" t="s">
        <v>177</v>
      </c>
      <c r="AG34" s="50" t="s">
        <v>177</v>
      </c>
      <c r="AH34" s="50" t="s">
        <v>177</v>
      </c>
      <c r="AI34" s="50" t="s">
        <v>177</v>
      </c>
      <c r="AJ34" s="40"/>
      <c r="AL34" t="str">
        <f t="shared" ca="1" si="0"/>
        <v xml:space="preserve">    (U1)ALERT_REQ_S_PMAR_</v>
      </c>
      <c r="AR34" s="52" t="str">
        <f t="shared" si="3"/>
        <v/>
      </c>
      <c r="AS34" s="52" t="str">
        <f t="shared" si="4"/>
        <v/>
      </c>
      <c r="AT34" s="52" t="str">
        <f t="shared" si="1"/>
        <v/>
      </c>
    </row>
    <row r="35" spans="2:46">
      <c r="B35" s="126"/>
      <c r="C35" s="36">
        <f t="shared" si="2"/>
        <v>29</v>
      </c>
      <c r="D35" s="50" t="s">
        <v>63</v>
      </c>
      <c r="E35" s="50" t="s">
        <v>63</v>
      </c>
      <c r="F35" s="50" t="s">
        <v>63</v>
      </c>
      <c r="G35" s="50" t="s">
        <v>63</v>
      </c>
      <c r="H35" s="50" t="s">
        <v>63</v>
      </c>
      <c r="I35" s="50" t="s">
        <v>63</v>
      </c>
      <c r="J35" s="50" t="s">
        <v>63</v>
      </c>
      <c r="K35" s="50" t="s">
        <v>63</v>
      </c>
      <c r="L35" s="50" t="s">
        <v>63</v>
      </c>
      <c r="M35" s="50" t="s">
        <v>63</v>
      </c>
      <c r="N35" s="50" t="s">
        <v>63</v>
      </c>
      <c r="O35" s="50" t="s">
        <v>63</v>
      </c>
      <c r="P35" s="50" t="s">
        <v>63</v>
      </c>
      <c r="Q35" s="50" t="s">
        <v>63</v>
      </c>
      <c r="R35" s="50" t="s">
        <v>63</v>
      </c>
      <c r="S35" s="50" t="s">
        <v>63</v>
      </c>
      <c r="T35" s="50" t="s">
        <v>63</v>
      </c>
      <c r="U35" s="50" t="s">
        <v>63</v>
      </c>
      <c r="V35" s="50" t="s">
        <v>63</v>
      </c>
      <c r="W35" s="50" t="s">
        <v>63</v>
      </c>
      <c r="X35" s="50" t="s">
        <v>63</v>
      </c>
      <c r="Y35" s="50" t="s">
        <v>63</v>
      </c>
      <c r="Z35" s="50" t="s">
        <v>63</v>
      </c>
      <c r="AA35" s="50" t="s">
        <v>63</v>
      </c>
      <c r="AB35" s="50" t="s">
        <v>63</v>
      </c>
      <c r="AC35" s="50" t="s">
        <v>63</v>
      </c>
      <c r="AD35" s="50" t="s">
        <v>177</v>
      </c>
      <c r="AE35" s="50" t="s">
        <v>177</v>
      </c>
      <c r="AF35" s="50" t="s">
        <v>177</v>
      </c>
      <c r="AG35" s="50" t="s">
        <v>177</v>
      </c>
      <c r="AH35" s="50" t="s">
        <v>177</v>
      </c>
      <c r="AI35" s="50" t="s">
        <v>177</v>
      </c>
      <c r="AJ35" s="40"/>
      <c r="AL35" t="str">
        <f t="shared" ca="1" si="0"/>
        <v xml:space="preserve">    (U1)ALERT_REQ_S_PMAR_</v>
      </c>
      <c r="AR35" s="52" t="str">
        <f t="shared" si="3"/>
        <v/>
      </c>
      <c r="AS35" s="52" t="str">
        <f t="shared" si="4"/>
        <v/>
      </c>
      <c r="AT35" s="52" t="str">
        <f t="shared" si="1"/>
        <v/>
      </c>
    </row>
    <row r="36" spans="2:46">
      <c r="B36" s="126"/>
      <c r="C36" s="36">
        <f t="shared" si="2"/>
        <v>30</v>
      </c>
      <c r="D36" s="50" t="s">
        <v>63</v>
      </c>
      <c r="E36" s="50" t="s">
        <v>63</v>
      </c>
      <c r="F36" s="50" t="s">
        <v>63</v>
      </c>
      <c r="G36" s="50" t="s">
        <v>63</v>
      </c>
      <c r="H36" s="50" t="s">
        <v>63</v>
      </c>
      <c r="I36" s="50" t="s">
        <v>63</v>
      </c>
      <c r="J36" s="50" t="s">
        <v>63</v>
      </c>
      <c r="K36" s="50" t="s">
        <v>63</v>
      </c>
      <c r="L36" s="50" t="s">
        <v>63</v>
      </c>
      <c r="M36" s="50" t="s">
        <v>63</v>
      </c>
      <c r="N36" s="50" t="s">
        <v>63</v>
      </c>
      <c r="O36" s="50" t="s">
        <v>63</v>
      </c>
      <c r="P36" s="50" t="s">
        <v>63</v>
      </c>
      <c r="Q36" s="50" t="s">
        <v>63</v>
      </c>
      <c r="R36" s="50" t="s">
        <v>63</v>
      </c>
      <c r="S36" s="50" t="s">
        <v>63</v>
      </c>
      <c r="T36" s="50" t="s">
        <v>63</v>
      </c>
      <c r="U36" s="50" t="s">
        <v>63</v>
      </c>
      <c r="V36" s="50" t="s">
        <v>63</v>
      </c>
      <c r="W36" s="50" t="s">
        <v>63</v>
      </c>
      <c r="X36" s="50" t="s">
        <v>63</v>
      </c>
      <c r="Y36" s="50" t="s">
        <v>63</v>
      </c>
      <c r="Z36" s="50" t="s">
        <v>63</v>
      </c>
      <c r="AA36" s="50" t="s">
        <v>63</v>
      </c>
      <c r="AB36" s="50" t="s">
        <v>63</v>
      </c>
      <c r="AC36" s="50" t="s">
        <v>63</v>
      </c>
      <c r="AD36" s="50" t="s">
        <v>177</v>
      </c>
      <c r="AE36" s="50" t="s">
        <v>177</v>
      </c>
      <c r="AF36" s="50" t="s">
        <v>177</v>
      </c>
      <c r="AG36" s="50" t="s">
        <v>177</v>
      </c>
      <c r="AH36" s="50" t="s">
        <v>177</v>
      </c>
      <c r="AI36" s="50" t="s">
        <v>177</v>
      </c>
      <c r="AJ36" s="40"/>
      <c r="AL36" t="str">
        <f t="shared" ca="1" si="0"/>
        <v xml:space="preserve">    (U1)ALERT_REQ_S_PMAR_</v>
      </c>
      <c r="AR36" s="52" t="str">
        <f t="shared" si="3"/>
        <v/>
      </c>
      <c r="AS36" s="52" t="str">
        <f t="shared" si="4"/>
        <v/>
      </c>
      <c r="AT36" s="52" t="str">
        <f t="shared" si="1"/>
        <v/>
      </c>
    </row>
    <row r="37" spans="2:46">
      <c r="B37" s="126"/>
      <c r="C37" s="36">
        <f t="shared" si="2"/>
        <v>31</v>
      </c>
      <c r="D37" s="50" t="s">
        <v>63</v>
      </c>
      <c r="E37" s="50" t="s">
        <v>63</v>
      </c>
      <c r="F37" s="50" t="s">
        <v>63</v>
      </c>
      <c r="G37" s="50" t="s">
        <v>63</v>
      </c>
      <c r="H37" s="50" t="s">
        <v>63</v>
      </c>
      <c r="I37" s="50" t="s">
        <v>63</v>
      </c>
      <c r="J37" s="50" t="s">
        <v>63</v>
      </c>
      <c r="K37" s="50" t="s">
        <v>63</v>
      </c>
      <c r="L37" s="50" t="s">
        <v>63</v>
      </c>
      <c r="M37" s="50" t="s">
        <v>63</v>
      </c>
      <c r="N37" s="50" t="s">
        <v>63</v>
      </c>
      <c r="O37" s="50" t="s">
        <v>63</v>
      </c>
      <c r="P37" s="50" t="s">
        <v>63</v>
      </c>
      <c r="Q37" s="50" t="s">
        <v>63</v>
      </c>
      <c r="R37" s="50" t="s">
        <v>63</v>
      </c>
      <c r="S37" s="50" t="s">
        <v>63</v>
      </c>
      <c r="T37" s="50" t="s">
        <v>63</v>
      </c>
      <c r="U37" s="50" t="s">
        <v>63</v>
      </c>
      <c r="V37" s="50" t="s">
        <v>63</v>
      </c>
      <c r="W37" s="50" t="s">
        <v>63</v>
      </c>
      <c r="X37" s="50" t="s">
        <v>63</v>
      </c>
      <c r="Y37" s="50" t="s">
        <v>63</v>
      </c>
      <c r="Z37" s="50" t="s">
        <v>63</v>
      </c>
      <c r="AA37" s="50" t="s">
        <v>63</v>
      </c>
      <c r="AB37" s="50" t="s">
        <v>63</v>
      </c>
      <c r="AC37" s="50" t="s">
        <v>63</v>
      </c>
      <c r="AD37" s="50" t="s">
        <v>177</v>
      </c>
      <c r="AE37" s="50" t="s">
        <v>177</v>
      </c>
      <c r="AF37" s="50" t="s">
        <v>177</v>
      </c>
      <c r="AG37" s="50" t="s">
        <v>177</v>
      </c>
      <c r="AH37" s="50" t="s">
        <v>177</v>
      </c>
      <c r="AI37" s="50" t="s">
        <v>177</v>
      </c>
      <c r="AJ37" s="40"/>
      <c r="AL37" t="str">
        <f t="shared" ca="1" si="0"/>
        <v xml:space="preserve">    (U1)ALERT_REQ_S_PMAR_</v>
      </c>
      <c r="AR37" s="52" t="str">
        <f t="shared" si="3"/>
        <v/>
      </c>
      <c r="AS37" s="52" t="str">
        <f t="shared" si="4"/>
        <v/>
      </c>
      <c r="AT37" s="52" t="str">
        <f t="shared" si="1"/>
        <v/>
      </c>
    </row>
    <row r="38" spans="2:46">
      <c r="B38" s="126"/>
      <c r="C38" s="36">
        <f t="shared" si="2"/>
        <v>32</v>
      </c>
      <c r="D38" s="50" t="s">
        <v>63</v>
      </c>
      <c r="E38" s="50" t="s">
        <v>63</v>
      </c>
      <c r="F38" s="50" t="s">
        <v>63</v>
      </c>
      <c r="G38" s="50" t="s">
        <v>63</v>
      </c>
      <c r="H38" s="50" t="s">
        <v>63</v>
      </c>
      <c r="I38" s="50" t="s">
        <v>63</v>
      </c>
      <c r="J38" s="50" t="s">
        <v>63</v>
      </c>
      <c r="K38" s="50" t="s">
        <v>63</v>
      </c>
      <c r="L38" s="50" t="s">
        <v>63</v>
      </c>
      <c r="M38" s="50" t="s">
        <v>63</v>
      </c>
      <c r="N38" s="50" t="s">
        <v>63</v>
      </c>
      <c r="O38" s="50" t="s">
        <v>63</v>
      </c>
      <c r="P38" s="50" t="s">
        <v>63</v>
      </c>
      <c r="Q38" s="50" t="s">
        <v>63</v>
      </c>
      <c r="R38" s="50" t="s">
        <v>63</v>
      </c>
      <c r="S38" s="50" t="s">
        <v>63</v>
      </c>
      <c r="T38" s="50" t="s">
        <v>63</v>
      </c>
      <c r="U38" s="50" t="s">
        <v>63</v>
      </c>
      <c r="V38" s="50" t="s">
        <v>63</v>
      </c>
      <c r="W38" s="50" t="s">
        <v>63</v>
      </c>
      <c r="X38" s="50" t="s">
        <v>63</v>
      </c>
      <c r="Y38" s="50" t="s">
        <v>63</v>
      </c>
      <c r="Z38" s="50" t="s">
        <v>63</v>
      </c>
      <c r="AA38" s="50" t="s">
        <v>63</v>
      </c>
      <c r="AB38" s="50" t="s">
        <v>63</v>
      </c>
      <c r="AC38" s="50" t="s">
        <v>63</v>
      </c>
      <c r="AD38" s="50" t="s">
        <v>63</v>
      </c>
      <c r="AE38" s="50" t="s">
        <v>63</v>
      </c>
      <c r="AF38" s="50" t="s">
        <v>63</v>
      </c>
      <c r="AG38" s="50" t="s">
        <v>63</v>
      </c>
      <c r="AH38" s="50" t="s">
        <v>63</v>
      </c>
      <c r="AI38" s="50" t="s">
        <v>63</v>
      </c>
      <c r="AJ38" s="40"/>
      <c r="AL38" t="str">
        <f t="shared" ca="1" si="0"/>
        <v xml:space="preserve">    (U1)ALERT_REQ_S_PMAR_</v>
      </c>
      <c r="AR38" s="52" t="str">
        <f t="shared" si="3"/>
        <v/>
      </c>
      <c r="AS38" s="52" t="str">
        <f t="shared" si="4"/>
        <v/>
      </c>
      <c r="AT38" s="52" t="str">
        <f t="shared" si="1"/>
        <v/>
      </c>
    </row>
    <row r="39" spans="2:46">
      <c r="B39" s="126"/>
      <c r="C39" s="36">
        <f t="shared" si="2"/>
        <v>33</v>
      </c>
      <c r="D39" s="50" t="s">
        <v>63</v>
      </c>
      <c r="E39" s="50" t="s">
        <v>63</v>
      </c>
      <c r="F39" s="50" t="s">
        <v>63</v>
      </c>
      <c r="G39" s="50" t="s">
        <v>63</v>
      </c>
      <c r="H39" s="50" t="s">
        <v>63</v>
      </c>
      <c r="I39" s="50" t="s">
        <v>63</v>
      </c>
      <c r="J39" s="50" t="s">
        <v>63</v>
      </c>
      <c r="K39" s="50" t="s">
        <v>63</v>
      </c>
      <c r="L39" s="50" t="s">
        <v>63</v>
      </c>
      <c r="M39" s="50" t="s">
        <v>63</v>
      </c>
      <c r="N39" s="50" t="s">
        <v>63</v>
      </c>
      <c r="O39" s="50" t="s">
        <v>63</v>
      </c>
      <c r="P39" s="50" t="s">
        <v>63</v>
      </c>
      <c r="Q39" s="50" t="s">
        <v>63</v>
      </c>
      <c r="R39" s="50" t="s">
        <v>63</v>
      </c>
      <c r="S39" s="50" t="s">
        <v>63</v>
      </c>
      <c r="T39" s="50" t="s">
        <v>63</v>
      </c>
      <c r="U39" s="50" t="s">
        <v>63</v>
      </c>
      <c r="V39" s="50" t="s">
        <v>63</v>
      </c>
      <c r="W39" s="50" t="s">
        <v>63</v>
      </c>
      <c r="X39" s="50" t="s">
        <v>63</v>
      </c>
      <c r="Y39" s="50" t="s">
        <v>63</v>
      </c>
      <c r="Z39" s="50" t="s">
        <v>63</v>
      </c>
      <c r="AA39" s="50" t="s">
        <v>63</v>
      </c>
      <c r="AB39" s="50" t="s">
        <v>63</v>
      </c>
      <c r="AC39" s="50" t="s">
        <v>63</v>
      </c>
      <c r="AD39" s="50" t="s">
        <v>63</v>
      </c>
      <c r="AE39" s="50" t="s">
        <v>63</v>
      </c>
      <c r="AF39" s="50" t="s">
        <v>63</v>
      </c>
      <c r="AG39" s="50" t="s">
        <v>63</v>
      </c>
      <c r="AH39" s="50" t="s">
        <v>63</v>
      </c>
      <c r="AI39" s="50" t="s">
        <v>63</v>
      </c>
      <c r="AJ39" s="40"/>
      <c r="AL39" t="str">
        <f t="shared" ca="1" si="0"/>
        <v xml:space="preserve">    (U1)ALERT_REQ_S_PMAR_</v>
      </c>
      <c r="AR39" s="52" t="str">
        <f t="shared" si="3"/>
        <v/>
      </c>
      <c r="AS39" s="52" t="str">
        <f t="shared" si="4"/>
        <v/>
      </c>
      <c r="AT39" s="52" t="str">
        <f t="shared" si="1"/>
        <v/>
      </c>
    </row>
    <row r="40" spans="2:46">
      <c r="B40" s="126"/>
      <c r="C40" s="36">
        <f t="shared" si="2"/>
        <v>34</v>
      </c>
      <c r="D40" s="50" t="s">
        <v>63</v>
      </c>
      <c r="E40" s="50" t="s">
        <v>63</v>
      </c>
      <c r="F40" s="50" t="s">
        <v>63</v>
      </c>
      <c r="G40" s="50" t="s">
        <v>63</v>
      </c>
      <c r="H40" s="50" t="s">
        <v>63</v>
      </c>
      <c r="I40" s="50" t="s">
        <v>63</v>
      </c>
      <c r="J40" s="50" t="s">
        <v>63</v>
      </c>
      <c r="K40" s="50" t="s">
        <v>63</v>
      </c>
      <c r="L40" s="50" t="s">
        <v>63</v>
      </c>
      <c r="M40" s="50" t="s">
        <v>63</v>
      </c>
      <c r="N40" s="50" t="s">
        <v>63</v>
      </c>
      <c r="O40" s="50" t="s">
        <v>63</v>
      </c>
      <c r="P40" s="50" t="s">
        <v>63</v>
      </c>
      <c r="Q40" s="50" t="s">
        <v>63</v>
      </c>
      <c r="R40" s="50" t="s">
        <v>63</v>
      </c>
      <c r="S40" s="50" t="s">
        <v>63</v>
      </c>
      <c r="T40" s="50" t="s">
        <v>63</v>
      </c>
      <c r="U40" s="50" t="s">
        <v>63</v>
      </c>
      <c r="V40" s="50" t="s">
        <v>63</v>
      </c>
      <c r="W40" s="50" t="s">
        <v>63</v>
      </c>
      <c r="X40" s="50" t="s">
        <v>63</v>
      </c>
      <c r="Y40" s="50" t="s">
        <v>63</v>
      </c>
      <c r="Z40" s="50" t="s">
        <v>63</v>
      </c>
      <c r="AA40" s="50" t="s">
        <v>63</v>
      </c>
      <c r="AB40" s="50" t="s">
        <v>63</v>
      </c>
      <c r="AC40" s="50" t="s">
        <v>63</v>
      </c>
      <c r="AD40" s="50" t="s">
        <v>63</v>
      </c>
      <c r="AE40" s="50" t="s">
        <v>63</v>
      </c>
      <c r="AF40" s="50" t="s">
        <v>63</v>
      </c>
      <c r="AG40" s="50" t="s">
        <v>63</v>
      </c>
      <c r="AH40" s="50" t="s">
        <v>63</v>
      </c>
      <c r="AI40" s="50" t="s">
        <v>63</v>
      </c>
      <c r="AJ40" s="40"/>
      <c r="AL40" t="str">
        <f t="shared" ca="1" si="0"/>
        <v xml:space="preserve">    (U1)ALERT_REQ_S_PMAR_</v>
      </c>
      <c r="AR40" s="52" t="str">
        <f t="shared" si="3"/>
        <v/>
      </c>
      <c r="AS40" s="52" t="str">
        <f t="shared" si="4"/>
        <v/>
      </c>
      <c r="AT40" s="52" t="str">
        <f t="shared" si="1"/>
        <v/>
      </c>
    </row>
    <row r="41" spans="2:46">
      <c r="B41" s="126"/>
      <c r="C41" s="36">
        <f t="shared" si="2"/>
        <v>35</v>
      </c>
      <c r="D41" s="50" t="s">
        <v>63</v>
      </c>
      <c r="E41" s="50" t="s">
        <v>63</v>
      </c>
      <c r="F41" s="50" t="s">
        <v>63</v>
      </c>
      <c r="G41" s="50" t="s">
        <v>63</v>
      </c>
      <c r="H41" s="50" t="s">
        <v>63</v>
      </c>
      <c r="I41" s="50" t="s">
        <v>63</v>
      </c>
      <c r="J41" s="50" t="s">
        <v>63</v>
      </c>
      <c r="K41" s="50" t="s">
        <v>63</v>
      </c>
      <c r="L41" s="50" t="s">
        <v>63</v>
      </c>
      <c r="M41" s="50" t="s">
        <v>63</v>
      </c>
      <c r="N41" s="50" t="s">
        <v>63</v>
      </c>
      <c r="O41" s="50" t="s">
        <v>63</v>
      </c>
      <c r="P41" s="50" t="s">
        <v>63</v>
      </c>
      <c r="Q41" s="50" t="s">
        <v>63</v>
      </c>
      <c r="R41" s="50" t="s">
        <v>63</v>
      </c>
      <c r="S41" s="50" t="s">
        <v>63</v>
      </c>
      <c r="T41" s="50" t="s">
        <v>63</v>
      </c>
      <c r="U41" s="50" t="s">
        <v>63</v>
      </c>
      <c r="V41" s="50" t="s">
        <v>63</v>
      </c>
      <c r="W41" s="50" t="s">
        <v>63</v>
      </c>
      <c r="X41" s="50" t="s">
        <v>63</v>
      </c>
      <c r="Y41" s="50" t="s">
        <v>63</v>
      </c>
      <c r="Z41" s="50" t="s">
        <v>63</v>
      </c>
      <c r="AA41" s="50" t="s">
        <v>63</v>
      </c>
      <c r="AB41" s="50" t="s">
        <v>63</v>
      </c>
      <c r="AC41" s="50" t="s">
        <v>63</v>
      </c>
      <c r="AD41" s="50" t="s">
        <v>63</v>
      </c>
      <c r="AE41" s="50" t="s">
        <v>63</v>
      </c>
      <c r="AF41" s="50" t="s">
        <v>63</v>
      </c>
      <c r="AG41" s="50" t="s">
        <v>63</v>
      </c>
      <c r="AH41" s="50" t="s">
        <v>63</v>
      </c>
      <c r="AI41" s="50" t="s">
        <v>63</v>
      </c>
      <c r="AJ41" s="40"/>
      <c r="AL41" t="str">
        <f t="shared" ca="1" si="0"/>
        <v xml:space="preserve">    (U1)ALERT_REQ_S_PMAR_</v>
      </c>
      <c r="AR41" s="52" t="str">
        <f t="shared" si="3"/>
        <v/>
      </c>
      <c r="AS41" s="52" t="str">
        <f t="shared" si="4"/>
        <v/>
      </c>
      <c r="AT41" s="52" t="str">
        <f t="shared" si="1"/>
        <v/>
      </c>
    </row>
    <row r="42" spans="2:46">
      <c r="B42" s="126"/>
      <c r="C42" s="36">
        <f t="shared" si="2"/>
        <v>36</v>
      </c>
      <c r="D42" s="50" t="s">
        <v>63</v>
      </c>
      <c r="E42" s="50" t="s">
        <v>63</v>
      </c>
      <c r="F42" s="50" t="s">
        <v>63</v>
      </c>
      <c r="G42" s="50" t="s">
        <v>63</v>
      </c>
      <c r="H42" s="50" t="s">
        <v>63</v>
      </c>
      <c r="I42" s="50" t="s">
        <v>63</v>
      </c>
      <c r="J42" s="50" t="s">
        <v>63</v>
      </c>
      <c r="K42" s="50" t="s">
        <v>63</v>
      </c>
      <c r="L42" s="50" t="s">
        <v>63</v>
      </c>
      <c r="M42" s="50" t="s">
        <v>63</v>
      </c>
      <c r="N42" s="50" t="s">
        <v>63</v>
      </c>
      <c r="O42" s="50" t="s">
        <v>63</v>
      </c>
      <c r="P42" s="50" t="s">
        <v>63</v>
      </c>
      <c r="Q42" s="50" t="s">
        <v>63</v>
      </c>
      <c r="R42" s="50" t="s">
        <v>63</v>
      </c>
      <c r="S42" s="50" t="s">
        <v>63</v>
      </c>
      <c r="T42" s="50" t="s">
        <v>63</v>
      </c>
      <c r="U42" s="50" t="s">
        <v>63</v>
      </c>
      <c r="V42" s="50" t="s">
        <v>63</v>
      </c>
      <c r="W42" s="50" t="s">
        <v>63</v>
      </c>
      <c r="X42" s="50" t="s">
        <v>63</v>
      </c>
      <c r="Y42" s="50" t="s">
        <v>63</v>
      </c>
      <c r="Z42" s="50" t="s">
        <v>63</v>
      </c>
      <c r="AA42" s="50" t="s">
        <v>63</v>
      </c>
      <c r="AB42" s="50" t="s">
        <v>63</v>
      </c>
      <c r="AC42" s="50" t="s">
        <v>63</v>
      </c>
      <c r="AD42" s="50" t="s">
        <v>63</v>
      </c>
      <c r="AE42" s="50" t="s">
        <v>63</v>
      </c>
      <c r="AF42" s="50" t="s">
        <v>63</v>
      </c>
      <c r="AG42" s="50" t="s">
        <v>63</v>
      </c>
      <c r="AH42" s="50" t="s">
        <v>63</v>
      </c>
      <c r="AI42" s="50" t="s">
        <v>63</v>
      </c>
      <c r="AJ42" s="40"/>
      <c r="AL42" t="str">
        <f t="shared" ca="1" si="0"/>
        <v xml:space="preserve">    (U1)ALERT_REQ_S_PMAR_</v>
      </c>
      <c r="AR42" s="52" t="str">
        <f t="shared" si="3"/>
        <v/>
      </c>
      <c r="AS42" s="52" t="str">
        <f t="shared" si="4"/>
        <v/>
      </c>
      <c r="AT42" s="52" t="str">
        <f t="shared" si="1"/>
        <v/>
      </c>
    </row>
    <row r="43" spans="2:46">
      <c r="B43" s="126"/>
      <c r="C43" s="36">
        <f t="shared" si="2"/>
        <v>37</v>
      </c>
      <c r="D43" s="50" t="s">
        <v>63</v>
      </c>
      <c r="E43" s="50" t="s">
        <v>63</v>
      </c>
      <c r="F43" s="50" t="s">
        <v>63</v>
      </c>
      <c r="G43" s="50" t="s">
        <v>63</v>
      </c>
      <c r="H43" s="50" t="s">
        <v>63</v>
      </c>
      <c r="I43" s="50" t="s">
        <v>63</v>
      </c>
      <c r="J43" s="50" t="s">
        <v>63</v>
      </c>
      <c r="K43" s="50" t="s">
        <v>63</v>
      </c>
      <c r="L43" s="50" t="s">
        <v>63</v>
      </c>
      <c r="M43" s="50" t="s">
        <v>63</v>
      </c>
      <c r="N43" s="50" t="s">
        <v>63</v>
      </c>
      <c r="O43" s="50" t="s">
        <v>63</v>
      </c>
      <c r="P43" s="50" t="s">
        <v>63</v>
      </c>
      <c r="Q43" s="50" t="s">
        <v>63</v>
      </c>
      <c r="R43" s="50" t="s">
        <v>63</v>
      </c>
      <c r="S43" s="50" t="s">
        <v>63</v>
      </c>
      <c r="T43" s="50" t="s">
        <v>63</v>
      </c>
      <c r="U43" s="50" t="s">
        <v>63</v>
      </c>
      <c r="V43" s="50" t="s">
        <v>63</v>
      </c>
      <c r="W43" s="50" t="s">
        <v>63</v>
      </c>
      <c r="X43" s="50" t="s">
        <v>63</v>
      </c>
      <c r="Y43" s="50" t="s">
        <v>63</v>
      </c>
      <c r="Z43" s="50" t="s">
        <v>63</v>
      </c>
      <c r="AA43" s="50" t="s">
        <v>63</v>
      </c>
      <c r="AB43" s="50" t="s">
        <v>63</v>
      </c>
      <c r="AC43" s="50" t="s">
        <v>63</v>
      </c>
      <c r="AD43" s="50" t="s">
        <v>63</v>
      </c>
      <c r="AE43" s="50" t="s">
        <v>63</v>
      </c>
      <c r="AF43" s="50" t="s">
        <v>63</v>
      </c>
      <c r="AG43" s="50" t="s">
        <v>63</v>
      </c>
      <c r="AH43" s="50" t="s">
        <v>63</v>
      </c>
      <c r="AI43" s="50" t="s">
        <v>63</v>
      </c>
      <c r="AJ43" s="40"/>
      <c r="AL43" t="str">
        <f t="shared" ca="1" si="0"/>
        <v xml:space="preserve">    (U1)ALERT_REQ_S_PMAR_</v>
      </c>
      <c r="AR43" s="52" t="str">
        <f t="shared" si="3"/>
        <v/>
      </c>
      <c r="AS43" s="52" t="str">
        <f t="shared" si="4"/>
        <v/>
      </c>
      <c r="AT43" s="52" t="str">
        <f t="shared" si="1"/>
        <v/>
      </c>
    </row>
    <row r="44" spans="2:46">
      <c r="B44" s="126"/>
      <c r="C44" s="36">
        <f t="shared" si="2"/>
        <v>38</v>
      </c>
      <c r="D44" s="50" t="s">
        <v>63</v>
      </c>
      <c r="E44" s="50" t="s">
        <v>63</v>
      </c>
      <c r="F44" s="50" t="s">
        <v>63</v>
      </c>
      <c r="G44" s="50" t="s">
        <v>63</v>
      </c>
      <c r="H44" s="50" t="s">
        <v>63</v>
      </c>
      <c r="I44" s="50" t="s">
        <v>63</v>
      </c>
      <c r="J44" s="50" t="s">
        <v>63</v>
      </c>
      <c r="K44" s="50" t="s">
        <v>63</v>
      </c>
      <c r="L44" s="50" t="s">
        <v>63</v>
      </c>
      <c r="M44" s="50" t="s">
        <v>63</v>
      </c>
      <c r="N44" s="50" t="s">
        <v>63</v>
      </c>
      <c r="O44" s="50" t="s">
        <v>63</v>
      </c>
      <c r="P44" s="50" t="s">
        <v>63</v>
      </c>
      <c r="Q44" s="50" t="s">
        <v>63</v>
      </c>
      <c r="R44" s="50" t="s">
        <v>63</v>
      </c>
      <c r="S44" s="50" t="s">
        <v>63</v>
      </c>
      <c r="T44" s="50" t="s">
        <v>63</v>
      </c>
      <c r="U44" s="50" t="s">
        <v>63</v>
      </c>
      <c r="V44" s="50" t="s">
        <v>63</v>
      </c>
      <c r="W44" s="50" t="s">
        <v>63</v>
      </c>
      <c r="X44" s="50" t="s">
        <v>63</v>
      </c>
      <c r="Y44" s="50" t="s">
        <v>63</v>
      </c>
      <c r="Z44" s="50" t="s">
        <v>63</v>
      </c>
      <c r="AA44" s="50" t="s">
        <v>63</v>
      </c>
      <c r="AB44" s="50" t="s">
        <v>63</v>
      </c>
      <c r="AC44" s="50" t="s">
        <v>63</v>
      </c>
      <c r="AD44" s="50" t="s">
        <v>63</v>
      </c>
      <c r="AE44" s="50" t="s">
        <v>63</v>
      </c>
      <c r="AF44" s="50" t="s">
        <v>63</v>
      </c>
      <c r="AG44" s="50" t="s">
        <v>63</v>
      </c>
      <c r="AH44" s="50" t="s">
        <v>63</v>
      </c>
      <c r="AI44" s="50" t="s">
        <v>63</v>
      </c>
      <c r="AJ44" s="40"/>
      <c r="AL44" t="str">
        <f t="shared" ca="1" si="0"/>
        <v xml:space="preserve">    (U1)ALERT_REQ_S_PMAR_</v>
      </c>
      <c r="AR44" s="52" t="str">
        <f t="shared" si="3"/>
        <v/>
      </c>
      <c r="AS44" s="52" t="str">
        <f t="shared" si="4"/>
        <v/>
      </c>
      <c r="AT44" s="52" t="str">
        <f t="shared" si="1"/>
        <v/>
      </c>
    </row>
    <row r="45" spans="2:46">
      <c r="B45" s="126"/>
      <c r="C45" s="36">
        <f t="shared" si="2"/>
        <v>39</v>
      </c>
      <c r="D45" s="50" t="s">
        <v>63</v>
      </c>
      <c r="E45" s="50" t="s">
        <v>63</v>
      </c>
      <c r="F45" s="50" t="s">
        <v>63</v>
      </c>
      <c r="G45" s="50" t="s">
        <v>63</v>
      </c>
      <c r="H45" s="50" t="s">
        <v>63</v>
      </c>
      <c r="I45" s="50" t="s">
        <v>63</v>
      </c>
      <c r="J45" s="50" t="s">
        <v>63</v>
      </c>
      <c r="K45" s="50" t="s">
        <v>63</v>
      </c>
      <c r="L45" s="50" t="s">
        <v>63</v>
      </c>
      <c r="M45" s="50" t="s">
        <v>63</v>
      </c>
      <c r="N45" s="50" t="s">
        <v>63</v>
      </c>
      <c r="O45" s="50" t="s">
        <v>63</v>
      </c>
      <c r="P45" s="50" t="s">
        <v>63</v>
      </c>
      <c r="Q45" s="50" t="s">
        <v>63</v>
      </c>
      <c r="R45" s="50" t="s">
        <v>63</v>
      </c>
      <c r="S45" s="50" t="s">
        <v>63</v>
      </c>
      <c r="T45" s="50" t="s">
        <v>63</v>
      </c>
      <c r="U45" s="50" t="s">
        <v>63</v>
      </c>
      <c r="V45" s="50" t="s">
        <v>63</v>
      </c>
      <c r="W45" s="50" t="s">
        <v>63</v>
      </c>
      <c r="X45" s="50" t="s">
        <v>63</v>
      </c>
      <c r="Y45" s="50" t="s">
        <v>63</v>
      </c>
      <c r="Z45" s="50" t="s">
        <v>63</v>
      </c>
      <c r="AA45" s="50" t="s">
        <v>63</v>
      </c>
      <c r="AB45" s="50" t="s">
        <v>63</v>
      </c>
      <c r="AC45" s="50" t="s">
        <v>63</v>
      </c>
      <c r="AD45" s="50" t="s">
        <v>63</v>
      </c>
      <c r="AE45" s="50" t="s">
        <v>63</v>
      </c>
      <c r="AF45" s="50" t="s">
        <v>63</v>
      </c>
      <c r="AG45" s="50" t="s">
        <v>63</v>
      </c>
      <c r="AH45" s="50" t="s">
        <v>63</v>
      </c>
      <c r="AI45" s="50" t="s">
        <v>63</v>
      </c>
      <c r="AJ45" s="40"/>
      <c r="AL45" t="str">
        <f t="shared" ca="1" si="0"/>
        <v xml:space="preserve">    (U1)ALERT_REQ_S_PMAR_</v>
      </c>
      <c r="AR45" s="52" t="str">
        <f t="shared" si="3"/>
        <v/>
      </c>
      <c r="AS45" s="52" t="str">
        <f t="shared" si="4"/>
        <v/>
      </c>
      <c r="AT45" s="52" t="str">
        <f t="shared" si="1"/>
        <v/>
      </c>
    </row>
    <row r="46" spans="2:46">
      <c r="B46" s="126"/>
      <c r="C46" s="36">
        <f t="shared" si="2"/>
        <v>40</v>
      </c>
      <c r="D46" s="50" t="s">
        <v>63</v>
      </c>
      <c r="E46" s="50" t="s">
        <v>63</v>
      </c>
      <c r="F46" s="50" t="s">
        <v>63</v>
      </c>
      <c r="G46" s="50" t="s">
        <v>63</v>
      </c>
      <c r="H46" s="50" t="s">
        <v>63</v>
      </c>
      <c r="I46" s="50" t="s">
        <v>63</v>
      </c>
      <c r="J46" s="50" t="s">
        <v>63</v>
      </c>
      <c r="K46" s="50" t="s">
        <v>63</v>
      </c>
      <c r="L46" s="50" t="s">
        <v>63</v>
      </c>
      <c r="M46" s="50" t="s">
        <v>63</v>
      </c>
      <c r="N46" s="50" t="s">
        <v>63</v>
      </c>
      <c r="O46" s="50" t="s">
        <v>63</v>
      </c>
      <c r="P46" s="50" t="s">
        <v>63</v>
      </c>
      <c r="Q46" s="50" t="s">
        <v>63</v>
      </c>
      <c r="R46" s="50" t="s">
        <v>63</v>
      </c>
      <c r="S46" s="50" t="s">
        <v>63</v>
      </c>
      <c r="T46" s="50" t="s">
        <v>63</v>
      </c>
      <c r="U46" s="50" t="s">
        <v>63</v>
      </c>
      <c r="V46" s="50" t="s">
        <v>63</v>
      </c>
      <c r="W46" s="50" t="s">
        <v>63</v>
      </c>
      <c r="X46" s="50" t="s">
        <v>63</v>
      </c>
      <c r="Y46" s="50" t="s">
        <v>63</v>
      </c>
      <c r="Z46" s="50" t="s">
        <v>63</v>
      </c>
      <c r="AA46" s="50" t="s">
        <v>63</v>
      </c>
      <c r="AB46" s="50" t="s">
        <v>63</v>
      </c>
      <c r="AC46" s="50" t="s">
        <v>63</v>
      </c>
      <c r="AD46" s="50" t="s">
        <v>63</v>
      </c>
      <c r="AE46" s="50" t="s">
        <v>63</v>
      </c>
      <c r="AF46" s="50" t="s">
        <v>63</v>
      </c>
      <c r="AG46" s="50" t="s">
        <v>63</v>
      </c>
      <c r="AH46" s="50" t="s">
        <v>63</v>
      </c>
      <c r="AI46" s="50" t="s">
        <v>63</v>
      </c>
      <c r="AJ46" s="40"/>
      <c r="AL46" t="str">
        <f t="shared" ca="1" si="0"/>
        <v xml:space="preserve">    (U1)ALERT_REQ_S_PMAR_</v>
      </c>
      <c r="AR46" s="52" t="str">
        <f t="shared" si="3"/>
        <v/>
      </c>
      <c r="AS46" s="52" t="str">
        <f t="shared" si="4"/>
        <v/>
      </c>
      <c r="AT46" s="52" t="str">
        <f t="shared" si="1"/>
        <v/>
      </c>
    </row>
    <row r="47" spans="2:46">
      <c r="B47" s="126"/>
      <c r="C47" s="36">
        <f t="shared" si="2"/>
        <v>41</v>
      </c>
      <c r="D47" s="50" t="s">
        <v>63</v>
      </c>
      <c r="E47" s="50" t="s">
        <v>63</v>
      </c>
      <c r="F47" s="50" t="s">
        <v>63</v>
      </c>
      <c r="G47" s="50" t="s">
        <v>63</v>
      </c>
      <c r="H47" s="50" t="s">
        <v>63</v>
      </c>
      <c r="I47" s="50" t="s">
        <v>63</v>
      </c>
      <c r="J47" s="50" t="s">
        <v>63</v>
      </c>
      <c r="K47" s="50" t="s">
        <v>63</v>
      </c>
      <c r="L47" s="50" t="s">
        <v>63</v>
      </c>
      <c r="M47" s="50" t="s">
        <v>63</v>
      </c>
      <c r="N47" s="50" t="s">
        <v>63</v>
      </c>
      <c r="O47" s="50" t="s">
        <v>63</v>
      </c>
      <c r="P47" s="50" t="s">
        <v>63</v>
      </c>
      <c r="Q47" s="50" t="s">
        <v>63</v>
      </c>
      <c r="R47" s="50" t="s">
        <v>63</v>
      </c>
      <c r="S47" s="50" t="s">
        <v>63</v>
      </c>
      <c r="T47" s="50" t="s">
        <v>63</v>
      </c>
      <c r="U47" s="50" t="s">
        <v>63</v>
      </c>
      <c r="V47" s="50" t="s">
        <v>63</v>
      </c>
      <c r="W47" s="50" t="s">
        <v>63</v>
      </c>
      <c r="X47" s="50" t="s">
        <v>63</v>
      </c>
      <c r="Y47" s="50" t="s">
        <v>63</v>
      </c>
      <c r="Z47" s="50" t="s">
        <v>63</v>
      </c>
      <c r="AA47" s="50" t="s">
        <v>63</v>
      </c>
      <c r="AB47" s="50" t="s">
        <v>63</v>
      </c>
      <c r="AC47" s="50" t="s">
        <v>63</v>
      </c>
      <c r="AD47" s="50" t="s">
        <v>63</v>
      </c>
      <c r="AE47" s="50" t="s">
        <v>63</v>
      </c>
      <c r="AF47" s="50" t="s">
        <v>63</v>
      </c>
      <c r="AG47" s="50" t="s">
        <v>63</v>
      </c>
      <c r="AH47" s="50" t="s">
        <v>63</v>
      </c>
      <c r="AI47" s="50" t="s">
        <v>63</v>
      </c>
      <c r="AJ47" s="40"/>
      <c r="AL47" t="str">
        <f t="shared" ca="1" si="0"/>
        <v xml:space="preserve">    (U1)ALERT_REQ_S_PMAR_</v>
      </c>
      <c r="AR47" s="52" t="str">
        <f t="shared" si="3"/>
        <v/>
      </c>
      <c r="AS47" s="52" t="str">
        <f t="shared" si="4"/>
        <v/>
      </c>
      <c r="AT47" s="52" t="str">
        <f t="shared" si="1"/>
        <v/>
      </c>
    </row>
    <row r="48" spans="2:46">
      <c r="B48" s="126"/>
      <c r="C48" s="36">
        <f t="shared" si="2"/>
        <v>42</v>
      </c>
      <c r="D48" s="50" t="s">
        <v>63</v>
      </c>
      <c r="E48" s="50" t="s">
        <v>63</v>
      </c>
      <c r="F48" s="50" t="s">
        <v>63</v>
      </c>
      <c r="G48" s="50" t="s">
        <v>63</v>
      </c>
      <c r="H48" s="50" t="s">
        <v>63</v>
      </c>
      <c r="I48" s="50" t="s">
        <v>63</v>
      </c>
      <c r="J48" s="50" t="s">
        <v>63</v>
      </c>
      <c r="K48" s="50" t="s">
        <v>63</v>
      </c>
      <c r="L48" s="50" t="s">
        <v>63</v>
      </c>
      <c r="M48" s="50" t="s">
        <v>63</v>
      </c>
      <c r="N48" s="50" t="s">
        <v>63</v>
      </c>
      <c r="O48" s="50" t="s">
        <v>63</v>
      </c>
      <c r="P48" s="50" t="s">
        <v>63</v>
      </c>
      <c r="Q48" s="50" t="s">
        <v>63</v>
      </c>
      <c r="R48" s="50" t="s">
        <v>63</v>
      </c>
      <c r="S48" s="50" t="s">
        <v>63</v>
      </c>
      <c r="T48" s="50" t="s">
        <v>63</v>
      </c>
      <c r="U48" s="50" t="s">
        <v>63</v>
      </c>
      <c r="V48" s="50" t="s">
        <v>63</v>
      </c>
      <c r="W48" s="50" t="s">
        <v>63</v>
      </c>
      <c r="X48" s="50" t="s">
        <v>63</v>
      </c>
      <c r="Y48" s="50" t="s">
        <v>63</v>
      </c>
      <c r="Z48" s="50" t="s">
        <v>63</v>
      </c>
      <c r="AA48" s="50" t="s">
        <v>63</v>
      </c>
      <c r="AB48" s="50" t="s">
        <v>63</v>
      </c>
      <c r="AC48" s="50" t="s">
        <v>63</v>
      </c>
      <c r="AD48" s="50" t="s">
        <v>63</v>
      </c>
      <c r="AE48" s="50" t="s">
        <v>63</v>
      </c>
      <c r="AF48" s="50" t="s">
        <v>63</v>
      </c>
      <c r="AG48" s="50" t="s">
        <v>63</v>
      </c>
      <c r="AH48" s="50" t="s">
        <v>63</v>
      </c>
      <c r="AI48" s="50" t="s">
        <v>63</v>
      </c>
      <c r="AJ48" s="40"/>
      <c r="AL48" t="str">
        <f t="shared" ca="1" si="0"/>
        <v xml:space="preserve">    (U1)ALERT_REQ_S_PMAR_</v>
      </c>
      <c r="AR48" s="52" t="str">
        <f t="shared" si="3"/>
        <v/>
      </c>
      <c r="AS48" s="52" t="str">
        <f t="shared" si="4"/>
        <v/>
      </c>
      <c r="AT48" s="52" t="str">
        <f t="shared" si="1"/>
        <v/>
      </c>
    </row>
    <row r="49" spans="2:46">
      <c r="B49" s="126"/>
      <c r="C49" s="36">
        <f t="shared" si="2"/>
        <v>43</v>
      </c>
      <c r="D49" s="50" t="s">
        <v>63</v>
      </c>
      <c r="E49" s="50" t="s">
        <v>63</v>
      </c>
      <c r="F49" s="50" t="s">
        <v>63</v>
      </c>
      <c r="G49" s="50" t="s">
        <v>63</v>
      </c>
      <c r="H49" s="50" t="s">
        <v>63</v>
      </c>
      <c r="I49" s="50" t="s">
        <v>63</v>
      </c>
      <c r="J49" s="50" t="s">
        <v>63</v>
      </c>
      <c r="K49" s="50" t="s">
        <v>63</v>
      </c>
      <c r="L49" s="50" t="s">
        <v>63</v>
      </c>
      <c r="M49" s="50" t="s">
        <v>63</v>
      </c>
      <c r="N49" s="50" t="s">
        <v>63</v>
      </c>
      <c r="O49" s="50" t="s">
        <v>63</v>
      </c>
      <c r="P49" s="50" t="s">
        <v>63</v>
      </c>
      <c r="Q49" s="50" t="s">
        <v>63</v>
      </c>
      <c r="R49" s="50" t="s">
        <v>63</v>
      </c>
      <c r="S49" s="50" t="s">
        <v>63</v>
      </c>
      <c r="T49" s="50" t="s">
        <v>63</v>
      </c>
      <c r="U49" s="50" t="s">
        <v>63</v>
      </c>
      <c r="V49" s="50" t="s">
        <v>63</v>
      </c>
      <c r="W49" s="50" t="s">
        <v>63</v>
      </c>
      <c r="X49" s="50" t="s">
        <v>63</v>
      </c>
      <c r="Y49" s="50" t="s">
        <v>63</v>
      </c>
      <c r="Z49" s="50" t="s">
        <v>63</v>
      </c>
      <c r="AA49" s="50" t="s">
        <v>63</v>
      </c>
      <c r="AB49" s="50" t="s">
        <v>63</v>
      </c>
      <c r="AC49" s="50" t="s">
        <v>63</v>
      </c>
      <c r="AD49" s="50" t="s">
        <v>63</v>
      </c>
      <c r="AE49" s="50" t="s">
        <v>63</v>
      </c>
      <c r="AF49" s="50" t="s">
        <v>63</v>
      </c>
      <c r="AG49" s="50" t="s">
        <v>63</v>
      </c>
      <c r="AH49" s="50" t="s">
        <v>63</v>
      </c>
      <c r="AI49" s="50" t="s">
        <v>63</v>
      </c>
      <c r="AJ49" s="22"/>
      <c r="AL49" t="str">
        <f t="shared" ca="1" si="0"/>
        <v xml:space="preserve">    (U1)ALERT_REQ_S_PMAR_</v>
      </c>
      <c r="AR49" s="52" t="str">
        <f t="shared" si="3"/>
        <v/>
      </c>
      <c r="AS49" s="52" t="str">
        <f t="shared" si="4"/>
        <v/>
      </c>
      <c r="AT49" s="52" t="str">
        <f t="shared" si="1"/>
        <v/>
      </c>
    </row>
    <row r="50" spans="2:46">
      <c r="B50" s="126"/>
      <c r="C50" s="36">
        <f t="shared" si="2"/>
        <v>44</v>
      </c>
      <c r="D50" s="50" t="s">
        <v>63</v>
      </c>
      <c r="E50" s="50" t="s">
        <v>63</v>
      </c>
      <c r="F50" s="50" t="s">
        <v>63</v>
      </c>
      <c r="G50" s="50" t="s">
        <v>63</v>
      </c>
      <c r="H50" s="50" t="s">
        <v>63</v>
      </c>
      <c r="I50" s="50" t="s">
        <v>63</v>
      </c>
      <c r="J50" s="50" t="s">
        <v>63</v>
      </c>
      <c r="K50" s="50" t="s">
        <v>63</v>
      </c>
      <c r="L50" s="50" t="s">
        <v>63</v>
      </c>
      <c r="M50" s="50" t="s">
        <v>63</v>
      </c>
      <c r="N50" s="50" t="s">
        <v>63</v>
      </c>
      <c r="O50" s="50" t="s">
        <v>63</v>
      </c>
      <c r="P50" s="50" t="s">
        <v>63</v>
      </c>
      <c r="Q50" s="50" t="s">
        <v>63</v>
      </c>
      <c r="R50" s="50" t="s">
        <v>63</v>
      </c>
      <c r="S50" s="50" t="s">
        <v>63</v>
      </c>
      <c r="T50" s="50" t="s">
        <v>63</v>
      </c>
      <c r="U50" s="50" t="s">
        <v>63</v>
      </c>
      <c r="V50" s="50" t="s">
        <v>63</v>
      </c>
      <c r="W50" s="50" t="s">
        <v>63</v>
      </c>
      <c r="X50" s="50" t="s">
        <v>63</v>
      </c>
      <c r="Y50" s="50" t="s">
        <v>63</v>
      </c>
      <c r="Z50" s="50" t="s">
        <v>63</v>
      </c>
      <c r="AA50" s="50" t="s">
        <v>63</v>
      </c>
      <c r="AB50" s="50" t="s">
        <v>63</v>
      </c>
      <c r="AC50" s="50" t="s">
        <v>63</v>
      </c>
      <c r="AD50" s="50" t="s">
        <v>63</v>
      </c>
      <c r="AE50" s="50" t="s">
        <v>63</v>
      </c>
      <c r="AF50" s="50" t="s">
        <v>63</v>
      </c>
      <c r="AG50" s="50" t="s">
        <v>63</v>
      </c>
      <c r="AH50" s="50" t="s">
        <v>63</v>
      </c>
      <c r="AI50" s="50" t="s">
        <v>63</v>
      </c>
      <c r="AJ50" s="22"/>
      <c r="AL50" t="str">
        <f t="shared" ca="1" si="0"/>
        <v xml:space="preserve">    (U1)ALERT_REQ_S_PMAR_</v>
      </c>
      <c r="AR50" s="52" t="str">
        <f t="shared" si="3"/>
        <v/>
      </c>
      <c r="AS50" s="52" t="str">
        <f t="shared" si="4"/>
        <v/>
      </c>
      <c r="AT50" s="52" t="str">
        <f t="shared" si="1"/>
        <v/>
      </c>
    </row>
    <row r="51" spans="2:46">
      <c r="B51" s="126"/>
      <c r="C51" s="36">
        <f t="shared" si="2"/>
        <v>45</v>
      </c>
      <c r="D51" s="50" t="s">
        <v>63</v>
      </c>
      <c r="E51" s="50" t="s">
        <v>63</v>
      </c>
      <c r="F51" s="50" t="s">
        <v>63</v>
      </c>
      <c r="G51" s="50" t="s">
        <v>63</v>
      </c>
      <c r="H51" s="50" t="s">
        <v>63</v>
      </c>
      <c r="I51" s="50" t="s">
        <v>63</v>
      </c>
      <c r="J51" s="50" t="s">
        <v>63</v>
      </c>
      <c r="K51" s="50" t="s">
        <v>63</v>
      </c>
      <c r="L51" s="50" t="s">
        <v>63</v>
      </c>
      <c r="M51" s="50" t="s">
        <v>63</v>
      </c>
      <c r="N51" s="50" t="s">
        <v>63</v>
      </c>
      <c r="O51" s="50" t="s">
        <v>63</v>
      </c>
      <c r="P51" s="50" t="s">
        <v>63</v>
      </c>
      <c r="Q51" s="50" t="s">
        <v>63</v>
      </c>
      <c r="R51" s="50" t="s">
        <v>63</v>
      </c>
      <c r="S51" s="50" t="s">
        <v>63</v>
      </c>
      <c r="T51" s="50" t="s">
        <v>63</v>
      </c>
      <c r="U51" s="50" t="s">
        <v>63</v>
      </c>
      <c r="V51" s="50" t="s">
        <v>63</v>
      </c>
      <c r="W51" s="50" t="s">
        <v>63</v>
      </c>
      <c r="X51" s="50" t="s">
        <v>63</v>
      </c>
      <c r="Y51" s="50" t="s">
        <v>63</v>
      </c>
      <c r="Z51" s="50" t="s">
        <v>63</v>
      </c>
      <c r="AA51" s="50" t="s">
        <v>63</v>
      </c>
      <c r="AB51" s="50" t="s">
        <v>63</v>
      </c>
      <c r="AC51" s="50" t="s">
        <v>63</v>
      </c>
      <c r="AD51" s="50" t="s">
        <v>63</v>
      </c>
      <c r="AE51" s="50" t="s">
        <v>63</v>
      </c>
      <c r="AF51" s="50" t="s">
        <v>63</v>
      </c>
      <c r="AG51" s="50" t="s">
        <v>63</v>
      </c>
      <c r="AH51" s="50" t="s">
        <v>63</v>
      </c>
      <c r="AI51" s="50" t="s">
        <v>63</v>
      </c>
      <c r="AJ51" s="22"/>
      <c r="AL51" t="str">
        <f t="shared" ca="1" si="0"/>
        <v xml:space="preserve">    (U1)ALERT_REQ_S_PMAR_</v>
      </c>
      <c r="AR51" s="52" t="str">
        <f t="shared" si="3"/>
        <v/>
      </c>
      <c r="AS51" s="52" t="str">
        <f t="shared" si="4"/>
        <v/>
      </c>
      <c r="AT51" s="52" t="str">
        <f t="shared" si="1"/>
        <v/>
      </c>
    </row>
    <row r="52" spans="2:46">
      <c r="B52" s="126"/>
      <c r="C52" s="36">
        <f t="shared" si="2"/>
        <v>46</v>
      </c>
      <c r="D52" s="50" t="s">
        <v>63</v>
      </c>
      <c r="E52" s="50" t="s">
        <v>63</v>
      </c>
      <c r="F52" s="50" t="s">
        <v>63</v>
      </c>
      <c r="G52" s="50" t="s">
        <v>63</v>
      </c>
      <c r="H52" s="50" t="s">
        <v>63</v>
      </c>
      <c r="I52" s="50" t="s">
        <v>63</v>
      </c>
      <c r="J52" s="50" t="s">
        <v>63</v>
      </c>
      <c r="K52" s="50" t="s">
        <v>63</v>
      </c>
      <c r="L52" s="50" t="s">
        <v>63</v>
      </c>
      <c r="M52" s="50" t="s">
        <v>63</v>
      </c>
      <c r="N52" s="50" t="s">
        <v>63</v>
      </c>
      <c r="O52" s="50" t="s">
        <v>63</v>
      </c>
      <c r="P52" s="50" t="s">
        <v>63</v>
      </c>
      <c r="Q52" s="50" t="s">
        <v>63</v>
      </c>
      <c r="R52" s="50" t="s">
        <v>63</v>
      </c>
      <c r="S52" s="50" t="s">
        <v>63</v>
      </c>
      <c r="T52" s="50" t="s">
        <v>63</v>
      </c>
      <c r="U52" s="50" t="s">
        <v>63</v>
      </c>
      <c r="V52" s="50" t="s">
        <v>63</v>
      </c>
      <c r="W52" s="50" t="s">
        <v>63</v>
      </c>
      <c r="X52" s="50" t="s">
        <v>63</v>
      </c>
      <c r="Y52" s="50" t="s">
        <v>63</v>
      </c>
      <c r="Z52" s="50" t="s">
        <v>63</v>
      </c>
      <c r="AA52" s="50" t="s">
        <v>63</v>
      </c>
      <c r="AB52" s="50" t="s">
        <v>63</v>
      </c>
      <c r="AC52" s="50" t="s">
        <v>63</v>
      </c>
      <c r="AD52" s="50" t="s">
        <v>63</v>
      </c>
      <c r="AE52" s="50" t="s">
        <v>63</v>
      </c>
      <c r="AF52" s="50" t="s">
        <v>63</v>
      </c>
      <c r="AG52" s="50" t="s">
        <v>63</v>
      </c>
      <c r="AH52" s="50" t="s">
        <v>63</v>
      </c>
      <c r="AI52" s="50" t="s">
        <v>63</v>
      </c>
      <c r="AJ52" s="22"/>
      <c r="AL52" t="str">
        <f t="shared" ca="1" si="0"/>
        <v xml:space="preserve">    (U1)ALERT_REQ_S_PMAR_</v>
      </c>
      <c r="AR52" s="52" t="str">
        <f t="shared" si="3"/>
        <v/>
      </c>
      <c r="AS52" s="52" t="str">
        <f t="shared" si="4"/>
        <v/>
      </c>
      <c r="AT52" s="52" t="str">
        <f t="shared" si="1"/>
        <v/>
      </c>
    </row>
    <row r="53" spans="2:46">
      <c r="B53" s="126"/>
      <c r="C53" s="36">
        <f t="shared" si="2"/>
        <v>47</v>
      </c>
      <c r="D53" s="50" t="s">
        <v>63</v>
      </c>
      <c r="E53" s="50" t="s">
        <v>63</v>
      </c>
      <c r="F53" s="50" t="s">
        <v>63</v>
      </c>
      <c r="G53" s="50" t="s">
        <v>63</v>
      </c>
      <c r="H53" s="50" t="s">
        <v>63</v>
      </c>
      <c r="I53" s="50" t="s">
        <v>63</v>
      </c>
      <c r="J53" s="50" t="s">
        <v>63</v>
      </c>
      <c r="K53" s="50" t="s">
        <v>63</v>
      </c>
      <c r="L53" s="50" t="s">
        <v>63</v>
      </c>
      <c r="M53" s="50" t="s">
        <v>63</v>
      </c>
      <c r="N53" s="50" t="s">
        <v>63</v>
      </c>
      <c r="O53" s="50" t="s">
        <v>63</v>
      </c>
      <c r="P53" s="50" t="s">
        <v>63</v>
      </c>
      <c r="Q53" s="50" t="s">
        <v>63</v>
      </c>
      <c r="R53" s="50" t="s">
        <v>63</v>
      </c>
      <c r="S53" s="50" t="s">
        <v>63</v>
      </c>
      <c r="T53" s="50" t="s">
        <v>63</v>
      </c>
      <c r="U53" s="50" t="s">
        <v>63</v>
      </c>
      <c r="V53" s="50" t="s">
        <v>63</v>
      </c>
      <c r="W53" s="50" t="s">
        <v>63</v>
      </c>
      <c r="X53" s="50" t="s">
        <v>63</v>
      </c>
      <c r="Y53" s="50" t="s">
        <v>63</v>
      </c>
      <c r="Z53" s="50" t="s">
        <v>63</v>
      </c>
      <c r="AA53" s="50" t="s">
        <v>63</v>
      </c>
      <c r="AB53" s="50" t="s">
        <v>63</v>
      </c>
      <c r="AC53" s="50" t="s">
        <v>63</v>
      </c>
      <c r="AD53" s="50" t="s">
        <v>63</v>
      </c>
      <c r="AE53" s="50" t="s">
        <v>63</v>
      </c>
      <c r="AF53" s="50" t="s">
        <v>63</v>
      </c>
      <c r="AG53" s="50" t="s">
        <v>63</v>
      </c>
      <c r="AH53" s="50" t="s">
        <v>63</v>
      </c>
      <c r="AI53" s="50" t="s">
        <v>63</v>
      </c>
      <c r="AJ53" s="22"/>
      <c r="AL53" t="str">
        <f t="shared" ca="1" si="0"/>
        <v xml:space="preserve">    (U1)ALERT_REQ_S_PMAR_</v>
      </c>
      <c r="AR53" s="52" t="str">
        <f t="shared" si="3"/>
        <v/>
      </c>
      <c r="AS53" s="52" t="str">
        <f t="shared" si="4"/>
        <v/>
      </c>
      <c r="AT53" s="52" t="str">
        <f t="shared" si="1"/>
        <v/>
      </c>
    </row>
    <row r="54" spans="2:46">
      <c r="B54" s="126"/>
      <c r="C54" s="36">
        <f t="shared" si="2"/>
        <v>48</v>
      </c>
      <c r="D54" s="50" t="s">
        <v>63</v>
      </c>
      <c r="E54" s="50" t="s">
        <v>63</v>
      </c>
      <c r="F54" s="50" t="s">
        <v>63</v>
      </c>
      <c r="G54" s="50" t="s">
        <v>63</v>
      </c>
      <c r="H54" s="50" t="s">
        <v>63</v>
      </c>
      <c r="I54" s="50" t="s">
        <v>63</v>
      </c>
      <c r="J54" s="50" t="s">
        <v>63</v>
      </c>
      <c r="K54" s="50" t="s">
        <v>63</v>
      </c>
      <c r="L54" s="50" t="s">
        <v>63</v>
      </c>
      <c r="M54" s="50" t="s">
        <v>63</v>
      </c>
      <c r="N54" s="50" t="s">
        <v>63</v>
      </c>
      <c r="O54" s="50" t="s">
        <v>63</v>
      </c>
      <c r="P54" s="50" t="s">
        <v>63</v>
      </c>
      <c r="Q54" s="50" t="s">
        <v>63</v>
      </c>
      <c r="R54" s="50" t="s">
        <v>63</v>
      </c>
      <c r="S54" s="50" t="s">
        <v>63</v>
      </c>
      <c r="T54" s="50" t="s">
        <v>63</v>
      </c>
      <c r="U54" s="50" t="s">
        <v>63</v>
      </c>
      <c r="V54" s="50" t="s">
        <v>63</v>
      </c>
      <c r="W54" s="50" t="s">
        <v>63</v>
      </c>
      <c r="X54" s="50" t="s">
        <v>63</v>
      </c>
      <c r="Y54" s="50" t="s">
        <v>63</v>
      </c>
      <c r="Z54" s="50" t="s">
        <v>63</v>
      </c>
      <c r="AA54" s="50" t="s">
        <v>63</v>
      </c>
      <c r="AB54" s="50" t="s">
        <v>63</v>
      </c>
      <c r="AC54" s="50" t="s">
        <v>63</v>
      </c>
      <c r="AD54" s="50" t="s">
        <v>63</v>
      </c>
      <c r="AE54" s="50" t="s">
        <v>63</v>
      </c>
      <c r="AF54" s="50" t="s">
        <v>63</v>
      </c>
      <c r="AG54" s="50" t="s">
        <v>63</v>
      </c>
      <c r="AH54" s="50" t="s">
        <v>63</v>
      </c>
      <c r="AI54" s="50" t="s">
        <v>63</v>
      </c>
      <c r="AJ54" s="22"/>
      <c r="AL54" t="str">
        <f t="shared" ca="1" si="0"/>
        <v xml:space="preserve">    (U1)ALERT_REQ_S_PMAR_</v>
      </c>
      <c r="AR54" s="52" t="str">
        <f t="shared" si="3"/>
        <v/>
      </c>
      <c r="AS54" s="52" t="str">
        <f t="shared" si="4"/>
        <v/>
      </c>
      <c r="AT54" s="52" t="str">
        <f t="shared" si="1"/>
        <v/>
      </c>
    </row>
    <row r="55" spans="2:46">
      <c r="B55" s="126"/>
      <c r="C55" s="36">
        <f t="shared" si="2"/>
        <v>49</v>
      </c>
      <c r="D55" s="50" t="s">
        <v>63</v>
      </c>
      <c r="E55" s="50" t="s">
        <v>63</v>
      </c>
      <c r="F55" s="50" t="s">
        <v>63</v>
      </c>
      <c r="G55" s="50" t="s">
        <v>63</v>
      </c>
      <c r="H55" s="50" t="s">
        <v>63</v>
      </c>
      <c r="I55" s="50" t="s">
        <v>63</v>
      </c>
      <c r="J55" s="50" t="s">
        <v>63</v>
      </c>
      <c r="K55" s="50" t="s">
        <v>63</v>
      </c>
      <c r="L55" s="50" t="s">
        <v>63</v>
      </c>
      <c r="M55" s="50" t="s">
        <v>63</v>
      </c>
      <c r="N55" s="50" t="s">
        <v>63</v>
      </c>
      <c r="O55" s="50" t="s">
        <v>63</v>
      </c>
      <c r="P55" s="50" t="s">
        <v>63</v>
      </c>
      <c r="Q55" s="50" t="s">
        <v>63</v>
      </c>
      <c r="R55" s="50" t="s">
        <v>63</v>
      </c>
      <c r="S55" s="50" t="s">
        <v>63</v>
      </c>
      <c r="T55" s="50" t="s">
        <v>63</v>
      </c>
      <c r="U55" s="50" t="s">
        <v>63</v>
      </c>
      <c r="V55" s="50" t="s">
        <v>63</v>
      </c>
      <c r="W55" s="50" t="s">
        <v>63</v>
      </c>
      <c r="X55" s="50" t="s">
        <v>63</v>
      </c>
      <c r="Y55" s="50" t="s">
        <v>63</v>
      </c>
      <c r="Z55" s="50" t="s">
        <v>63</v>
      </c>
      <c r="AA55" s="50" t="s">
        <v>63</v>
      </c>
      <c r="AB55" s="50" t="s">
        <v>63</v>
      </c>
      <c r="AC55" s="50" t="s">
        <v>63</v>
      </c>
      <c r="AD55" s="50" t="s">
        <v>63</v>
      </c>
      <c r="AE55" s="50" t="s">
        <v>63</v>
      </c>
      <c r="AF55" s="50" t="s">
        <v>63</v>
      </c>
      <c r="AG55" s="50" t="s">
        <v>63</v>
      </c>
      <c r="AH55" s="50" t="s">
        <v>63</v>
      </c>
      <c r="AI55" s="50" t="s">
        <v>63</v>
      </c>
      <c r="AJ55" s="22"/>
      <c r="AL55" t="str">
        <f t="shared" ca="1" si="0"/>
        <v xml:space="preserve">    (U1)ALERT_REQ_S_PMAR_</v>
      </c>
      <c r="AR55" s="52" t="str">
        <f t="shared" si="3"/>
        <v/>
      </c>
      <c r="AS55" s="52" t="str">
        <f t="shared" si="4"/>
        <v/>
      </c>
      <c r="AT55" s="52" t="str">
        <f t="shared" si="1"/>
        <v/>
      </c>
    </row>
    <row r="56" spans="2:46">
      <c r="B56" s="126"/>
      <c r="C56" s="36">
        <f t="shared" si="2"/>
        <v>50</v>
      </c>
      <c r="D56" s="50" t="s">
        <v>63</v>
      </c>
      <c r="E56" s="50" t="s">
        <v>63</v>
      </c>
      <c r="F56" s="50" t="s">
        <v>63</v>
      </c>
      <c r="G56" s="50" t="s">
        <v>63</v>
      </c>
      <c r="H56" s="50" t="s">
        <v>63</v>
      </c>
      <c r="I56" s="50" t="s">
        <v>63</v>
      </c>
      <c r="J56" s="50" t="s">
        <v>63</v>
      </c>
      <c r="K56" s="50" t="s">
        <v>63</v>
      </c>
      <c r="L56" s="50" t="s">
        <v>63</v>
      </c>
      <c r="M56" s="50" t="s">
        <v>63</v>
      </c>
      <c r="N56" s="50" t="s">
        <v>63</v>
      </c>
      <c r="O56" s="50" t="s">
        <v>63</v>
      </c>
      <c r="P56" s="50" t="s">
        <v>63</v>
      </c>
      <c r="Q56" s="50" t="s">
        <v>63</v>
      </c>
      <c r="R56" s="50" t="s">
        <v>63</v>
      </c>
      <c r="S56" s="50" t="s">
        <v>63</v>
      </c>
      <c r="T56" s="50" t="s">
        <v>63</v>
      </c>
      <c r="U56" s="50" t="s">
        <v>63</v>
      </c>
      <c r="V56" s="50" t="s">
        <v>63</v>
      </c>
      <c r="W56" s="50" t="s">
        <v>63</v>
      </c>
      <c r="X56" s="50" t="s">
        <v>63</v>
      </c>
      <c r="Y56" s="50" t="s">
        <v>63</v>
      </c>
      <c r="Z56" s="50" t="s">
        <v>63</v>
      </c>
      <c r="AA56" s="50" t="s">
        <v>63</v>
      </c>
      <c r="AB56" s="50" t="s">
        <v>63</v>
      </c>
      <c r="AC56" s="50" t="s">
        <v>63</v>
      </c>
      <c r="AD56" s="50" t="s">
        <v>63</v>
      </c>
      <c r="AE56" s="50" t="s">
        <v>63</v>
      </c>
      <c r="AF56" s="50" t="s">
        <v>63</v>
      </c>
      <c r="AG56" s="50" t="s">
        <v>63</v>
      </c>
      <c r="AH56" s="50" t="s">
        <v>63</v>
      </c>
      <c r="AI56" s="50" t="s">
        <v>63</v>
      </c>
      <c r="AJ56" s="22"/>
      <c r="AL56" t="str">
        <f t="shared" ca="1" si="0"/>
        <v xml:space="preserve">    (U1)ALERT_REQ_S_PMAR_</v>
      </c>
      <c r="AR56" s="52" t="str">
        <f t="shared" si="3"/>
        <v/>
      </c>
      <c r="AS56" s="52" t="str">
        <f t="shared" si="4"/>
        <v/>
      </c>
      <c r="AT56" s="52" t="str">
        <f t="shared" si="1"/>
        <v/>
      </c>
    </row>
    <row r="57" spans="2:46">
      <c r="B57" s="126"/>
      <c r="C57" s="36">
        <f t="shared" si="2"/>
        <v>51</v>
      </c>
      <c r="D57" s="50" t="s">
        <v>63</v>
      </c>
      <c r="E57" s="50" t="s">
        <v>63</v>
      </c>
      <c r="F57" s="50" t="s">
        <v>63</v>
      </c>
      <c r="G57" s="50" t="s">
        <v>63</v>
      </c>
      <c r="H57" s="50" t="s">
        <v>63</v>
      </c>
      <c r="I57" s="50" t="s">
        <v>63</v>
      </c>
      <c r="J57" s="50" t="s">
        <v>63</v>
      </c>
      <c r="K57" s="50" t="s">
        <v>63</v>
      </c>
      <c r="L57" s="50" t="s">
        <v>63</v>
      </c>
      <c r="M57" s="50" t="s">
        <v>63</v>
      </c>
      <c r="N57" s="50" t="s">
        <v>63</v>
      </c>
      <c r="O57" s="50" t="s">
        <v>63</v>
      </c>
      <c r="P57" s="50" t="s">
        <v>63</v>
      </c>
      <c r="Q57" s="50" t="s">
        <v>63</v>
      </c>
      <c r="R57" s="50" t="s">
        <v>63</v>
      </c>
      <c r="S57" s="50" t="s">
        <v>63</v>
      </c>
      <c r="T57" s="50" t="s">
        <v>63</v>
      </c>
      <c r="U57" s="50" t="s">
        <v>63</v>
      </c>
      <c r="V57" s="50" t="s">
        <v>63</v>
      </c>
      <c r="W57" s="50" t="s">
        <v>63</v>
      </c>
      <c r="X57" s="50" t="s">
        <v>63</v>
      </c>
      <c r="Y57" s="50" t="s">
        <v>63</v>
      </c>
      <c r="Z57" s="50" t="s">
        <v>63</v>
      </c>
      <c r="AA57" s="50" t="s">
        <v>63</v>
      </c>
      <c r="AB57" s="50" t="s">
        <v>63</v>
      </c>
      <c r="AC57" s="50" t="s">
        <v>63</v>
      </c>
      <c r="AD57" s="50" t="s">
        <v>63</v>
      </c>
      <c r="AE57" s="50" t="s">
        <v>63</v>
      </c>
      <c r="AF57" s="50" t="s">
        <v>63</v>
      </c>
      <c r="AG57" s="50" t="s">
        <v>63</v>
      </c>
      <c r="AH57" s="50" t="s">
        <v>63</v>
      </c>
      <c r="AI57" s="50" t="s">
        <v>63</v>
      </c>
      <c r="AJ57" s="22"/>
      <c r="AL57" t="str">
        <f t="shared" ca="1" si="0"/>
        <v xml:space="preserve">    (U1)ALERT_REQ_S_PMAR_</v>
      </c>
      <c r="AR57" s="52" t="str">
        <f t="shared" si="3"/>
        <v/>
      </c>
      <c r="AS57" s="52" t="str">
        <f t="shared" si="4"/>
        <v/>
      </c>
      <c r="AT57" s="52" t="str">
        <f t="shared" si="1"/>
        <v/>
      </c>
    </row>
    <row r="58" spans="2:46">
      <c r="B58" s="126"/>
      <c r="C58" s="36">
        <f t="shared" si="2"/>
        <v>52</v>
      </c>
      <c r="D58" s="50" t="s">
        <v>63</v>
      </c>
      <c r="E58" s="50" t="s">
        <v>63</v>
      </c>
      <c r="F58" s="50" t="s">
        <v>63</v>
      </c>
      <c r="G58" s="50" t="s">
        <v>63</v>
      </c>
      <c r="H58" s="50" t="s">
        <v>63</v>
      </c>
      <c r="I58" s="50" t="s">
        <v>63</v>
      </c>
      <c r="J58" s="50" t="s">
        <v>63</v>
      </c>
      <c r="K58" s="50" t="s">
        <v>63</v>
      </c>
      <c r="L58" s="50" t="s">
        <v>63</v>
      </c>
      <c r="M58" s="50" t="s">
        <v>63</v>
      </c>
      <c r="N58" s="50" t="s">
        <v>63</v>
      </c>
      <c r="O58" s="50" t="s">
        <v>63</v>
      </c>
      <c r="P58" s="50" t="s">
        <v>63</v>
      </c>
      <c r="Q58" s="50" t="s">
        <v>63</v>
      </c>
      <c r="R58" s="50" t="s">
        <v>63</v>
      </c>
      <c r="S58" s="50" t="s">
        <v>63</v>
      </c>
      <c r="T58" s="50" t="s">
        <v>63</v>
      </c>
      <c r="U58" s="50" t="s">
        <v>63</v>
      </c>
      <c r="V58" s="50" t="s">
        <v>63</v>
      </c>
      <c r="W58" s="50" t="s">
        <v>63</v>
      </c>
      <c r="X58" s="50" t="s">
        <v>63</v>
      </c>
      <c r="Y58" s="50" t="s">
        <v>63</v>
      </c>
      <c r="Z58" s="50" t="s">
        <v>63</v>
      </c>
      <c r="AA58" s="50" t="s">
        <v>63</v>
      </c>
      <c r="AB58" s="50" t="s">
        <v>63</v>
      </c>
      <c r="AC58" s="50" t="s">
        <v>63</v>
      </c>
      <c r="AD58" s="50" t="s">
        <v>63</v>
      </c>
      <c r="AE58" s="50" t="s">
        <v>63</v>
      </c>
      <c r="AF58" s="50" t="s">
        <v>63</v>
      </c>
      <c r="AG58" s="50" t="s">
        <v>63</v>
      </c>
      <c r="AH58" s="50" t="s">
        <v>63</v>
      </c>
      <c r="AI58" s="50" t="s">
        <v>63</v>
      </c>
      <c r="AJ58" s="22"/>
      <c r="AL58" t="str">
        <f t="shared" ca="1" si="0"/>
        <v xml:space="preserve">    (U1)ALERT_REQ_S_PMAR_</v>
      </c>
      <c r="AR58" s="52" t="str">
        <f t="shared" si="3"/>
        <v/>
      </c>
      <c r="AS58" s="52" t="str">
        <f t="shared" si="4"/>
        <v/>
      </c>
      <c r="AT58" s="52" t="str">
        <f t="shared" si="1"/>
        <v/>
      </c>
    </row>
    <row r="59" spans="2:46">
      <c r="B59" s="126"/>
      <c r="C59" s="36">
        <f t="shared" si="2"/>
        <v>53</v>
      </c>
      <c r="D59" s="50" t="s">
        <v>63</v>
      </c>
      <c r="E59" s="50" t="s">
        <v>63</v>
      </c>
      <c r="F59" s="50" t="s">
        <v>63</v>
      </c>
      <c r="G59" s="50" t="s">
        <v>63</v>
      </c>
      <c r="H59" s="50" t="s">
        <v>63</v>
      </c>
      <c r="I59" s="50" t="s">
        <v>63</v>
      </c>
      <c r="J59" s="50" t="s">
        <v>63</v>
      </c>
      <c r="K59" s="50" t="s">
        <v>63</v>
      </c>
      <c r="L59" s="50" t="s">
        <v>63</v>
      </c>
      <c r="M59" s="50" t="s">
        <v>63</v>
      </c>
      <c r="N59" s="50" t="s">
        <v>63</v>
      </c>
      <c r="O59" s="50" t="s">
        <v>63</v>
      </c>
      <c r="P59" s="50" t="s">
        <v>63</v>
      </c>
      <c r="Q59" s="50" t="s">
        <v>63</v>
      </c>
      <c r="R59" s="50" t="s">
        <v>63</v>
      </c>
      <c r="S59" s="50" t="s">
        <v>63</v>
      </c>
      <c r="T59" s="50" t="s">
        <v>63</v>
      </c>
      <c r="U59" s="50" t="s">
        <v>63</v>
      </c>
      <c r="V59" s="50" t="s">
        <v>63</v>
      </c>
      <c r="W59" s="50" t="s">
        <v>63</v>
      </c>
      <c r="X59" s="50" t="s">
        <v>63</v>
      </c>
      <c r="Y59" s="50" t="s">
        <v>63</v>
      </c>
      <c r="Z59" s="50" t="s">
        <v>63</v>
      </c>
      <c r="AA59" s="50" t="s">
        <v>63</v>
      </c>
      <c r="AB59" s="50" t="s">
        <v>63</v>
      </c>
      <c r="AC59" s="50" t="s">
        <v>63</v>
      </c>
      <c r="AD59" s="50" t="s">
        <v>63</v>
      </c>
      <c r="AE59" s="50" t="s">
        <v>63</v>
      </c>
      <c r="AF59" s="50" t="s">
        <v>63</v>
      </c>
      <c r="AG59" s="50" t="s">
        <v>63</v>
      </c>
      <c r="AH59" s="50" t="s">
        <v>63</v>
      </c>
      <c r="AI59" s="50" t="s">
        <v>63</v>
      </c>
      <c r="AJ59" s="22"/>
      <c r="AL59" t="str">
        <f t="shared" ca="1" si="0"/>
        <v xml:space="preserve">    (U1)ALERT_REQ_S_PMAR_</v>
      </c>
      <c r="AR59" s="52" t="str">
        <f t="shared" si="3"/>
        <v/>
      </c>
      <c r="AS59" s="52" t="str">
        <f t="shared" si="4"/>
        <v/>
      </c>
      <c r="AT59" s="52" t="str">
        <f t="shared" si="1"/>
        <v/>
      </c>
    </row>
    <row r="60" spans="2:46">
      <c r="B60" s="126"/>
      <c r="C60" s="36">
        <f t="shared" si="2"/>
        <v>54</v>
      </c>
      <c r="D60" s="50" t="s">
        <v>63</v>
      </c>
      <c r="E60" s="50" t="s">
        <v>63</v>
      </c>
      <c r="F60" s="50" t="s">
        <v>63</v>
      </c>
      <c r="G60" s="50" t="s">
        <v>63</v>
      </c>
      <c r="H60" s="50" t="s">
        <v>63</v>
      </c>
      <c r="I60" s="50" t="s">
        <v>63</v>
      </c>
      <c r="J60" s="50" t="s">
        <v>63</v>
      </c>
      <c r="K60" s="50" t="s">
        <v>63</v>
      </c>
      <c r="L60" s="50" t="s">
        <v>63</v>
      </c>
      <c r="M60" s="50" t="s">
        <v>63</v>
      </c>
      <c r="N60" s="50" t="s">
        <v>63</v>
      </c>
      <c r="O60" s="50" t="s">
        <v>63</v>
      </c>
      <c r="P60" s="50" t="s">
        <v>63</v>
      </c>
      <c r="Q60" s="50" t="s">
        <v>63</v>
      </c>
      <c r="R60" s="50" t="s">
        <v>63</v>
      </c>
      <c r="S60" s="50" t="s">
        <v>63</v>
      </c>
      <c r="T60" s="50" t="s">
        <v>63</v>
      </c>
      <c r="U60" s="50" t="s">
        <v>63</v>
      </c>
      <c r="V60" s="50" t="s">
        <v>63</v>
      </c>
      <c r="W60" s="50" t="s">
        <v>63</v>
      </c>
      <c r="X60" s="50" t="s">
        <v>63</v>
      </c>
      <c r="Y60" s="50" t="s">
        <v>63</v>
      </c>
      <c r="Z60" s="50" t="s">
        <v>63</v>
      </c>
      <c r="AA60" s="50" t="s">
        <v>63</v>
      </c>
      <c r="AB60" s="50" t="s">
        <v>63</v>
      </c>
      <c r="AC60" s="50" t="s">
        <v>63</v>
      </c>
      <c r="AD60" s="50" t="s">
        <v>63</v>
      </c>
      <c r="AE60" s="50" t="s">
        <v>63</v>
      </c>
      <c r="AF60" s="50" t="s">
        <v>63</v>
      </c>
      <c r="AG60" s="50" t="s">
        <v>63</v>
      </c>
      <c r="AH60" s="50" t="s">
        <v>63</v>
      </c>
      <c r="AI60" s="50" t="s">
        <v>63</v>
      </c>
      <c r="AJ60" s="22"/>
      <c r="AL60" t="str">
        <f t="shared" ca="1" si="0"/>
        <v xml:space="preserve">    (U1)ALERT_REQ_S_PMAR_</v>
      </c>
      <c r="AR60" s="52" t="str">
        <f t="shared" si="3"/>
        <v/>
      </c>
      <c r="AS60" s="52" t="str">
        <f t="shared" si="4"/>
        <v/>
      </c>
      <c r="AT60" s="52" t="str">
        <f t="shared" si="1"/>
        <v/>
      </c>
    </row>
    <row r="61" spans="2:46">
      <c r="B61" s="126"/>
      <c r="C61" s="36">
        <f t="shared" si="2"/>
        <v>55</v>
      </c>
      <c r="D61" s="50" t="s">
        <v>63</v>
      </c>
      <c r="E61" s="50" t="s">
        <v>63</v>
      </c>
      <c r="F61" s="50" t="s">
        <v>63</v>
      </c>
      <c r="G61" s="50" t="s">
        <v>63</v>
      </c>
      <c r="H61" s="50" t="s">
        <v>63</v>
      </c>
      <c r="I61" s="50" t="s">
        <v>63</v>
      </c>
      <c r="J61" s="50" t="s">
        <v>63</v>
      </c>
      <c r="K61" s="50" t="s">
        <v>63</v>
      </c>
      <c r="L61" s="50" t="s">
        <v>63</v>
      </c>
      <c r="M61" s="50" t="s">
        <v>63</v>
      </c>
      <c r="N61" s="50" t="s">
        <v>63</v>
      </c>
      <c r="O61" s="50" t="s">
        <v>63</v>
      </c>
      <c r="P61" s="50" t="s">
        <v>63</v>
      </c>
      <c r="Q61" s="50" t="s">
        <v>63</v>
      </c>
      <c r="R61" s="50" t="s">
        <v>63</v>
      </c>
      <c r="S61" s="50" t="s">
        <v>63</v>
      </c>
      <c r="T61" s="50" t="s">
        <v>63</v>
      </c>
      <c r="U61" s="50" t="s">
        <v>63</v>
      </c>
      <c r="V61" s="50" t="s">
        <v>63</v>
      </c>
      <c r="W61" s="50" t="s">
        <v>63</v>
      </c>
      <c r="X61" s="50" t="s">
        <v>63</v>
      </c>
      <c r="Y61" s="50" t="s">
        <v>63</v>
      </c>
      <c r="Z61" s="50" t="s">
        <v>63</v>
      </c>
      <c r="AA61" s="50" t="s">
        <v>63</v>
      </c>
      <c r="AB61" s="50" t="s">
        <v>63</v>
      </c>
      <c r="AC61" s="50" t="s">
        <v>63</v>
      </c>
      <c r="AD61" s="50" t="s">
        <v>63</v>
      </c>
      <c r="AE61" s="50" t="s">
        <v>63</v>
      </c>
      <c r="AF61" s="50" t="s">
        <v>63</v>
      </c>
      <c r="AG61" s="50" t="s">
        <v>63</v>
      </c>
      <c r="AH61" s="50" t="s">
        <v>63</v>
      </c>
      <c r="AI61" s="50" t="s">
        <v>63</v>
      </c>
      <c r="AJ61" s="22"/>
      <c r="AL61" t="str">
        <f t="shared" ca="1" si="0"/>
        <v xml:space="preserve">    (U1)ALERT_REQ_S_PMAR_</v>
      </c>
      <c r="AR61" s="52" t="str">
        <f t="shared" si="3"/>
        <v/>
      </c>
      <c r="AS61" s="52" t="str">
        <f t="shared" si="4"/>
        <v/>
      </c>
      <c r="AT61" s="52" t="str">
        <f t="shared" si="1"/>
        <v/>
      </c>
    </row>
    <row r="62" spans="2:46">
      <c r="B62" s="126"/>
      <c r="C62" s="36">
        <f t="shared" si="2"/>
        <v>56</v>
      </c>
      <c r="D62" s="50" t="s">
        <v>63</v>
      </c>
      <c r="E62" s="50" t="s">
        <v>63</v>
      </c>
      <c r="F62" s="50" t="s">
        <v>63</v>
      </c>
      <c r="G62" s="50" t="s">
        <v>63</v>
      </c>
      <c r="H62" s="50" t="s">
        <v>63</v>
      </c>
      <c r="I62" s="50" t="s">
        <v>63</v>
      </c>
      <c r="J62" s="50" t="s">
        <v>63</v>
      </c>
      <c r="K62" s="50" t="s">
        <v>63</v>
      </c>
      <c r="L62" s="50" t="s">
        <v>63</v>
      </c>
      <c r="M62" s="50" t="s">
        <v>63</v>
      </c>
      <c r="N62" s="50" t="s">
        <v>63</v>
      </c>
      <c r="O62" s="50" t="s">
        <v>63</v>
      </c>
      <c r="P62" s="50" t="s">
        <v>63</v>
      </c>
      <c r="Q62" s="50" t="s">
        <v>63</v>
      </c>
      <c r="R62" s="50" t="s">
        <v>63</v>
      </c>
      <c r="S62" s="50" t="s">
        <v>63</v>
      </c>
      <c r="T62" s="50" t="s">
        <v>63</v>
      </c>
      <c r="U62" s="50" t="s">
        <v>63</v>
      </c>
      <c r="V62" s="50" t="s">
        <v>63</v>
      </c>
      <c r="W62" s="50" t="s">
        <v>63</v>
      </c>
      <c r="X62" s="50" t="s">
        <v>63</v>
      </c>
      <c r="Y62" s="50" t="s">
        <v>63</v>
      </c>
      <c r="Z62" s="50" t="s">
        <v>63</v>
      </c>
      <c r="AA62" s="50" t="s">
        <v>63</v>
      </c>
      <c r="AB62" s="50" t="s">
        <v>63</v>
      </c>
      <c r="AC62" s="50" t="s">
        <v>63</v>
      </c>
      <c r="AD62" s="50" t="s">
        <v>63</v>
      </c>
      <c r="AE62" s="50" t="s">
        <v>63</v>
      </c>
      <c r="AF62" s="50" t="s">
        <v>63</v>
      </c>
      <c r="AG62" s="50" t="s">
        <v>63</v>
      </c>
      <c r="AH62" s="50" t="s">
        <v>63</v>
      </c>
      <c r="AI62" s="50" t="s">
        <v>63</v>
      </c>
      <c r="AJ62" s="22"/>
      <c r="AL62" t="str">
        <f t="shared" ca="1" si="0"/>
        <v xml:space="preserve">    (U1)ALERT_REQ_S_PMAR_</v>
      </c>
      <c r="AR62" s="52" t="str">
        <f t="shared" si="3"/>
        <v/>
      </c>
      <c r="AS62" s="52" t="str">
        <f t="shared" si="4"/>
        <v/>
      </c>
      <c r="AT62" s="52" t="str">
        <f t="shared" si="1"/>
        <v/>
      </c>
    </row>
    <row r="63" spans="2:46">
      <c r="B63" s="126"/>
      <c r="C63" s="36">
        <f t="shared" si="2"/>
        <v>57</v>
      </c>
      <c r="D63" s="50" t="s">
        <v>63</v>
      </c>
      <c r="E63" s="50" t="s">
        <v>63</v>
      </c>
      <c r="F63" s="50" t="s">
        <v>63</v>
      </c>
      <c r="G63" s="50" t="s">
        <v>63</v>
      </c>
      <c r="H63" s="50" t="s">
        <v>63</v>
      </c>
      <c r="I63" s="50" t="s">
        <v>63</v>
      </c>
      <c r="J63" s="50" t="s">
        <v>63</v>
      </c>
      <c r="K63" s="50" t="s">
        <v>63</v>
      </c>
      <c r="L63" s="50" t="s">
        <v>63</v>
      </c>
      <c r="M63" s="50" t="s">
        <v>63</v>
      </c>
      <c r="N63" s="50" t="s">
        <v>63</v>
      </c>
      <c r="O63" s="50" t="s">
        <v>63</v>
      </c>
      <c r="P63" s="50" t="s">
        <v>63</v>
      </c>
      <c r="Q63" s="50" t="s">
        <v>63</v>
      </c>
      <c r="R63" s="50" t="s">
        <v>63</v>
      </c>
      <c r="S63" s="50" t="s">
        <v>63</v>
      </c>
      <c r="T63" s="50" t="s">
        <v>63</v>
      </c>
      <c r="U63" s="50" t="s">
        <v>63</v>
      </c>
      <c r="V63" s="50" t="s">
        <v>63</v>
      </c>
      <c r="W63" s="50" t="s">
        <v>63</v>
      </c>
      <c r="X63" s="50" t="s">
        <v>63</v>
      </c>
      <c r="Y63" s="50" t="s">
        <v>63</v>
      </c>
      <c r="Z63" s="50" t="s">
        <v>63</v>
      </c>
      <c r="AA63" s="50" t="s">
        <v>63</v>
      </c>
      <c r="AB63" s="50" t="s">
        <v>63</v>
      </c>
      <c r="AC63" s="50" t="s">
        <v>63</v>
      </c>
      <c r="AD63" s="50" t="s">
        <v>63</v>
      </c>
      <c r="AE63" s="50" t="s">
        <v>63</v>
      </c>
      <c r="AF63" s="50" t="s">
        <v>63</v>
      </c>
      <c r="AG63" s="50" t="s">
        <v>63</v>
      </c>
      <c r="AH63" s="50" t="s">
        <v>63</v>
      </c>
      <c r="AI63" s="50" t="s">
        <v>63</v>
      </c>
      <c r="AJ63" s="22"/>
      <c r="AL63" t="str">
        <f t="shared" ca="1" si="0"/>
        <v xml:space="preserve">    (U1)ALERT_REQ_S_PMAR_</v>
      </c>
      <c r="AR63" s="52" t="str">
        <f t="shared" si="3"/>
        <v/>
      </c>
      <c r="AS63" s="52" t="str">
        <f t="shared" si="4"/>
        <v/>
      </c>
      <c r="AT63" s="52" t="str">
        <f t="shared" si="1"/>
        <v/>
      </c>
    </row>
    <row r="64" spans="2:46">
      <c r="B64" s="126"/>
      <c r="C64" s="36">
        <f t="shared" si="2"/>
        <v>58</v>
      </c>
      <c r="D64" s="50" t="s">
        <v>63</v>
      </c>
      <c r="E64" s="50" t="s">
        <v>63</v>
      </c>
      <c r="F64" s="50" t="s">
        <v>63</v>
      </c>
      <c r="G64" s="50" t="s">
        <v>63</v>
      </c>
      <c r="H64" s="50" t="s">
        <v>63</v>
      </c>
      <c r="I64" s="50" t="s">
        <v>63</v>
      </c>
      <c r="J64" s="50" t="s">
        <v>63</v>
      </c>
      <c r="K64" s="50" t="s">
        <v>63</v>
      </c>
      <c r="L64" s="50" t="s">
        <v>63</v>
      </c>
      <c r="M64" s="50" t="s">
        <v>63</v>
      </c>
      <c r="N64" s="50" t="s">
        <v>63</v>
      </c>
      <c r="O64" s="50" t="s">
        <v>63</v>
      </c>
      <c r="P64" s="50" t="s">
        <v>63</v>
      </c>
      <c r="Q64" s="50" t="s">
        <v>63</v>
      </c>
      <c r="R64" s="50" t="s">
        <v>63</v>
      </c>
      <c r="S64" s="50" t="s">
        <v>63</v>
      </c>
      <c r="T64" s="50" t="s">
        <v>63</v>
      </c>
      <c r="U64" s="50" t="s">
        <v>63</v>
      </c>
      <c r="V64" s="50" t="s">
        <v>63</v>
      </c>
      <c r="W64" s="50" t="s">
        <v>63</v>
      </c>
      <c r="X64" s="50" t="s">
        <v>63</v>
      </c>
      <c r="Y64" s="50" t="s">
        <v>63</v>
      </c>
      <c r="Z64" s="50" t="s">
        <v>63</v>
      </c>
      <c r="AA64" s="50" t="s">
        <v>63</v>
      </c>
      <c r="AB64" s="50" t="s">
        <v>63</v>
      </c>
      <c r="AC64" s="50" t="s">
        <v>63</v>
      </c>
      <c r="AD64" s="50" t="s">
        <v>63</v>
      </c>
      <c r="AE64" s="50" t="s">
        <v>63</v>
      </c>
      <c r="AF64" s="50" t="s">
        <v>63</v>
      </c>
      <c r="AG64" s="50" t="s">
        <v>63</v>
      </c>
      <c r="AH64" s="50" t="s">
        <v>63</v>
      </c>
      <c r="AI64" s="50" t="s">
        <v>63</v>
      </c>
      <c r="AJ64" s="22"/>
      <c r="AL64" t="str">
        <f t="shared" ca="1" si="0"/>
        <v xml:space="preserve">    (U1)ALERT_REQ_S_PMAR_</v>
      </c>
      <c r="AR64" s="52" t="str">
        <f t="shared" si="3"/>
        <v/>
      </c>
      <c r="AS64" s="52" t="str">
        <f t="shared" si="4"/>
        <v/>
      </c>
      <c r="AT64" s="52" t="str">
        <f t="shared" si="1"/>
        <v/>
      </c>
    </row>
    <row r="65" spans="1:46">
      <c r="B65" s="126"/>
      <c r="C65" s="36">
        <f t="shared" si="2"/>
        <v>59</v>
      </c>
      <c r="D65" s="50" t="s">
        <v>63</v>
      </c>
      <c r="E65" s="50" t="s">
        <v>63</v>
      </c>
      <c r="F65" s="50" t="s">
        <v>63</v>
      </c>
      <c r="G65" s="50" t="s">
        <v>63</v>
      </c>
      <c r="H65" s="50" t="s">
        <v>63</v>
      </c>
      <c r="I65" s="50" t="s">
        <v>63</v>
      </c>
      <c r="J65" s="50" t="s">
        <v>63</v>
      </c>
      <c r="K65" s="50" t="s">
        <v>63</v>
      </c>
      <c r="L65" s="50" t="s">
        <v>63</v>
      </c>
      <c r="M65" s="50" t="s">
        <v>63</v>
      </c>
      <c r="N65" s="50" t="s">
        <v>63</v>
      </c>
      <c r="O65" s="50" t="s">
        <v>63</v>
      </c>
      <c r="P65" s="50" t="s">
        <v>63</v>
      </c>
      <c r="Q65" s="50" t="s">
        <v>63</v>
      </c>
      <c r="R65" s="50" t="s">
        <v>63</v>
      </c>
      <c r="S65" s="50" t="s">
        <v>63</v>
      </c>
      <c r="T65" s="50" t="s">
        <v>63</v>
      </c>
      <c r="U65" s="50" t="s">
        <v>63</v>
      </c>
      <c r="V65" s="50" t="s">
        <v>63</v>
      </c>
      <c r="W65" s="50" t="s">
        <v>63</v>
      </c>
      <c r="X65" s="50" t="s">
        <v>63</v>
      </c>
      <c r="Y65" s="50" t="s">
        <v>63</v>
      </c>
      <c r="Z65" s="50" t="s">
        <v>63</v>
      </c>
      <c r="AA65" s="50" t="s">
        <v>63</v>
      </c>
      <c r="AB65" s="50" t="s">
        <v>63</v>
      </c>
      <c r="AC65" s="50" t="s">
        <v>63</v>
      </c>
      <c r="AD65" s="50" t="s">
        <v>63</v>
      </c>
      <c r="AE65" s="50" t="s">
        <v>63</v>
      </c>
      <c r="AF65" s="50" t="s">
        <v>63</v>
      </c>
      <c r="AG65" s="50" t="s">
        <v>63</v>
      </c>
      <c r="AH65" s="50" t="s">
        <v>63</v>
      </c>
      <c r="AI65" s="50" t="s">
        <v>63</v>
      </c>
      <c r="AJ65" s="22"/>
      <c r="AL65" t="str">
        <f t="shared" ca="1" si="0"/>
        <v xml:space="preserve">    (U1)ALERT_REQ_S_PMAR_</v>
      </c>
      <c r="AR65" s="52" t="str">
        <f t="shared" si="3"/>
        <v/>
      </c>
      <c r="AS65" s="52" t="str">
        <f t="shared" si="4"/>
        <v/>
      </c>
      <c r="AT65" s="52" t="str">
        <f t="shared" si="1"/>
        <v/>
      </c>
    </row>
    <row r="66" spans="1:46">
      <c r="B66" s="126"/>
      <c r="C66" s="36">
        <f t="shared" si="2"/>
        <v>60</v>
      </c>
      <c r="D66" s="50" t="s">
        <v>63</v>
      </c>
      <c r="E66" s="50" t="s">
        <v>63</v>
      </c>
      <c r="F66" s="50" t="s">
        <v>63</v>
      </c>
      <c r="G66" s="50" t="s">
        <v>63</v>
      </c>
      <c r="H66" s="50" t="s">
        <v>63</v>
      </c>
      <c r="I66" s="50" t="s">
        <v>63</v>
      </c>
      <c r="J66" s="50" t="s">
        <v>63</v>
      </c>
      <c r="K66" s="50" t="s">
        <v>63</v>
      </c>
      <c r="L66" s="50" t="s">
        <v>63</v>
      </c>
      <c r="M66" s="50" t="s">
        <v>63</v>
      </c>
      <c r="N66" s="50" t="s">
        <v>63</v>
      </c>
      <c r="O66" s="50" t="s">
        <v>63</v>
      </c>
      <c r="P66" s="50" t="s">
        <v>63</v>
      </c>
      <c r="Q66" s="50" t="s">
        <v>63</v>
      </c>
      <c r="R66" s="50" t="s">
        <v>63</v>
      </c>
      <c r="S66" s="50" t="s">
        <v>63</v>
      </c>
      <c r="T66" s="50" t="s">
        <v>63</v>
      </c>
      <c r="U66" s="50" t="s">
        <v>63</v>
      </c>
      <c r="V66" s="50" t="s">
        <v>63</v>
      </c>
      <c r="W66" s="50" t="s">
        <v>63</v>
      </c>
      <c r="X66" s="50" t="s">
        <v>63</v>
      </c>
      <c r="Y66" s="50" t="s">
        <v>63</v>
      </c>
      <c r="Z66" s="50" t="s">
        <v>63</v>
      </c>
      <c r="AA66" s="50" t="s">
        <v>63</v>
      </c>
      <c r="AB66" s="50" t="s">
        <v>63</v>
      </c>
      <c r="AC66" s="50" t="s">
        <v>63</v>
      </c>
      <c r="AD66" s="50" t="s">
        <v>63</v>
      </c>
      <c r="AE66" s="50" t="s">
        <v>63</v>
      </c>
      <c r="AF66" s="50" t="s">
        <v>63</v>
      </c>
      <c r="AG66" s="50" t="s">
        <v>63</v>
      </c>
      <c r="AH66" s="50" t="s">
        <v>63</v>
      </c>
      <c r="AI66" s="50" t="s">
        <v>63</v>
      </c>
      <c r="AJ66" s="22"/>
      <c r="AL66" t="str">
        <f t="shared" ca="1" si="0"/>
        <v xml:space="preserve">    (U1)ALERT_REQ_S_PMAR_</v>
      </c>
      <c r="AR66" s="52" t="str">
        <f t="shared" si="3"/>
        <v/>
      </c>
      <c r="AS66" s="52" t="str">
        <f t="shared" si="4"/>
        <v/>
      </c>
      <c r="AT66" s="52" t="str">
        <f t="shared" si="1"/>
        <v/>
      </c>
    </row>
    <row r="67" spans="1:46">
      <c r="B67" s="126"/>
      <c r="C67" s="36">
        <f t="shared" si="2"/>
        <v>61</v>
      </c>
      <c r="D67" s="50" t="s">
        <v>63</v>
      </c>
      <c r="E67" s="50" t="s">
        <v>63</v>
      </c>
      <c r="F67" s="50" t="s">
        <v>63</v>
      </c>
      <c r="G67" s="50" t="s">
        <v>63</v>
      </c>
      <c r="H67" s="50" t="s">
        <v>63</v>
      </c>
      <c r="I67" s="50" t="s">
        <v>63</v>
      </c>
      <c r="J67" s="50" t="s">
        <v>63</v>
      </c>
      <c r="K67" s="50" t="s">
        <v>63</v>
      </c>
      <c r="L67" s="50" t="s">
        <v>63</v>
      </c>
      <c r="M67" s="50" t="s">
        <v>63</v>
      </c>
      <c r="N67" s="50" t="s">
        <v>63</v>
      </c>
      <c r="O67" s="50" t="s">
        <v>63</v>
      </c>
      <c r="P67" s="50" t="s">
        <v>63</v>
      </c>
      <c r="Q67" s="50" t="s">
        <v>63</v>
      </c>
      <c r="R67" s="50" t="s">
        <v>63</v>
      </c>
      <c r="S67" s="50" t="s">
        <v>63</v>
      </c>
      <c r="T67" s="50" t="s">
        <v>63</v>
      </c>
      <c r="U67" s="50" t="s">
        <v>63</v>
      </c>
      <c r="V67" s="50" t="s">
        <v>63</v>
      </c>
      <c r="W67" s="50" t="s">
        <v>63</v>
      </c>
      <c r="X67" s="50" t="s">
        <v>63</v>
      </c>
      <c r="Y67" s="50" t="s">
        <v>63</v>
      </c>
      <c r="Z67" s="50" t="s">
        <v>63</v>
      </c>
      <c r="AA67" s="50" t="s">
        <v>63</v>
      </c>
      <c r="AB67" s="50" t="s">
        <v>63</v>
      </c>
      <c r="AC67" s="50" t="s">
        <v>63</v>
      </c>
      <c r="AD67" s="50" t="s">
        <v>63</v>
      </c>
      <c r="AE67" s="50" t="s">
        <v>63</v>
      </c>
      <c r="AF67" s="50" t="s">
        <v>63</v>
      </c>
      <c r="AG67" s="50" t="s">
        <v>63</v>
      </c>
      <c r="AH67" s="50" t="s">
        <v>63</v>
      </c>
      <c r="AI67" s="50" t="s">
        <v>63</v>
      </c>
      <c r="AJ67" s="22"/>
      <c r="AL67" t="str">
        <f t="shared" ca="1" si="0"/>
        <v xml:space="preserve">    (U1)ALERT_REQ_S_PMAR_</v>
      </c>
      <c r="AR67" s="52" t="str">
        <f t="shared" si="3"/>
        <v/>
      </c>
      <c r="AS67" s="52" t="str">
        <f t="shared" si="4"/>
        <v/>
      </c>
      <c r="AT67" s="52" t="str">
        <f t="shared" si="1"/>
        <v/>
      </c>
    </row>
    <row r="68" spans="1:46">
      <c r="B68" s="126"/>
      <c r="C68" s="36">
        <f t="shared" si="2"/>
        <v>62</v>
      </c>
      <c r="D68" s="50" t="s">
        <v>63</v>
      </c>
      <c r="E68" s="50" t="s">
        <v>63</v>
      </c>
      <c r="F68" s="50" t="s">
        <v>63</v>
      </c>
      <c r="G68" s="50" t="s">
        <v>63</v>
      </c>
      <c r="H68" s="50" t="s">
        <v>63</v>
      </c>
      <c r="I68" s="50" t="s">
        <v>63</v>
      </c>
      <c r="J68" s="50" t="s">
        <v>63</v>
      </c>
      <c r="K68" s="50" t="s">
        <v>63</v>
      </c>
      <c r="L68" s="50" t="s">
        <v>63</v>
      </c>
      <c r="M68" s="50" t="s">
        <v>63</v>
      </c>
      <c r="N68" s="50" t="s">
        <v>63</v>
      </c>
      <c r="O68" s="50" t="s">
        <v>63</v>
      </c>
      <c r="P68" s="50" t="s">
        <v>63</v>
      </c>
      <c r="Q68" s="50" t="s">
        <v>63</v>
      </c>
      <c r="R68" s="50" t="s">
        <v>63</v>
      </c>
      <c r="S68" s="50" t="s">
        <v>63</v>
      </c>
      <c r="T68" s="50" t="s">
        <v>63</v>
      </c>
      <c r="U68" s="50" t="s">
        <v>63</v>
      </c>
      <c r="V68" s="50" t="s">
        <v>63</v>
      </c>
      <c r="W68" s="50" t="s">
        <v>63</v>
      </c>
      <c r="X68" s="50" t="s">
        <v>63</v>
      </c>
      <c r="Y68" s="50" t="s">
        <v>63</v>
      </c>
      <c r="Z68" s="50" t="s">
        <v>63</v>
      </c>
      <c r="AA68" s="50" t="s">
        <v>63</v>
      </c>
      <c r="AB68" s="50" t="s">
        <v>63</v>
      </c>
      <c r="AC68" s="50" t="s">
        <v>63</v>
      </c>
      <c r="AD68" s="50" t="s">
        <v>63</v>
      </c>
      <c r="AE68" s="50" t="s">
        <v>63</v>
      </c>
      <c r="AF68" s="50" t="s">
        <v>63</v>
      </c>
      <c r="AG68" s="50" t="s">
        <v>63</v>
      </c>
      <c r="AH68" s="50" t="s">
        <v>63</v>
      </c>
      <c r="AI68" s="50" t="s">
        <v>63</v>
      </c>
      <c r="AJ68" s="22"/>
      <c r="AL68" t="str">
        <f t="shared" ca="1" si="0"/>
        <v xml:space="preserve">    (U1)ALERT_REQ_S_PMAR_</v>
      </c>
      <c r="AR68" s="52" t="str">
        <f t="shared" si="3"/>
        <v/>
      </c>
      <c r="AS68" s="52" t="str">
        <f t="shared" si="4"/>
        <v/>
      </c>
      <c r="AT68" s="52" t="str">
        <f t="shared" si="1"/>
        <v/>
      </c>
    </row>
    <row r="69" spans="1:46">
      <c r="B69" s="127"/>
      <c r="C69" s="36">
        <f t="shared" si="2"/>
        <v>63</v>
      </c>
      <c r="D69" s="50" t="s">
        <v>63</v>
      </c>
      <c r="E69" s="50" t="s">
        <v>63</v>
      </c>
      <c r="F69" s="50" t="s">
        <v>63</v>
      </c>
      <c r="G69" s="50" t="s">
        <v>63</v>
      </c>
      <c r="H69" s="50" t="s">
        <v>63</v>
      </c>
      <c r="I69" s="50" t="s">
        <v>63</v>
      </c>
      <c r="J69" s="50" t="s">
        <v>63</v>
      </c>
      <c r="K69" s="50" t="s">
        <v>63</v>
      </c>
      <c r="L69" s="50" t="s">
        <v>63</v>
      </c>
      <c r="M69" s="50" t="s">
        <v>63</v>
      </c>
      <c r="N69" s="50" t="s">
        <v>63</v>
      </c>
      <c r="O69" s="50" t="s">
        <v>63</v>
      </c>
      <c r="P69" s="50" t="s">
        <v>63</v>
      </c>
      <c r="Q69" s="50" t="s">
        <v>63</v>
      </c>
      <c r="R69" s="50" t="s">
        <v>63</v>
      </c>
      <c r="S69" s="50" t="s">
        <v>63</v>
      </c>
      <c r="T69" s="50" t="s">
        <v>63</v>
      </c>
      <c r="U69" s="50" t="s">
        <v>63</v>
      </c>
      <c r="V69" s="50" t="s">
        <v>63</v>
      </c>
      <c r="W69" s="50" t="s">
        <v>63</v>
      </c>
      <c r="X69" s="50" t="s">
        <v>63</v>
      </c>
      <c r="Y69" s="50" t="s">
        <v>63</v>
      </c>
      <c r="Z69" s="50" t="s">
        <v>63</v>
      </c>
      <c r="AA69" s="50" t="s">
        <v>63</v>
      </c>
      <c r="AB69" s="50" t="s">
        <v>63</v>
      </c>
      <c r="AC69" s="50" t="s">
        <v>63</v>
      </c>
      <c r="AD69" s="50" t="s">
        <v>63</v>
      </c>
      <c r="AE69" s="50" t="s">
        <v>63</v>
      </c>
      <c r="AF69" s="50" t="s">
        <v>63</v>
      </c>
      <c r="AG69" s="50" t="s">
        <v>63</v>
      </c>
      <c r="AH69" s="50" t="s">
        <v>63</v>
      </c>
      <c r="AI69" s="50" t="s">
        <v>63</v>
      </c>
      <c r="AJ69" s="22"/>
      <c r="AL69" t="str">
        <f t="shared" ca="1" si="0"/>
        <v xml:space="preserve">    (U1)ALERT_REQ_S_PMAR_</v>
      </c>
      <c r="AR69" s="52" t="str">
        <f t="shared" si="3"/>
        <v/>
      </c>
      <c r="AS69" s="52" t="str">
        <f t="shared" si="4"/>
        <v/>
      </c>
      <c r="AT69" s="52" t="str">
        <f t="shared" si="1"/>
        <v/>
      </c>
    </row>
    <row r="70" spans="1:46" ht="14.25" thickBot="1">
      <c r="A70" s="45" t="s">
        <v>60</v>
      </c>
      <c r="B70" s="46"/>
      <c r="C70" s="46"/>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6"/>
      <c r="AR70" s="53" t="str">
        <f t="shared" si="3"/>
        <v/>
      </c>
      <c r="AS70" s="53" t="str">
        <f t="shared" si="4"/>
        <v/>
      </c>
      <c r="AT70" s="53" t="str">
        <f>IF(AJ70&lt;&gt;"",AL70&amp;IF(AJ71&lt;&gt;"",","," ")&amp;REPT(" ",78-LEN(AL70))&amp;"/* "&amp;IF(C70&lt;10,"0"&amp;C70,C70)&amp;" "&amp;AJ70&amp;REPT(" ",48-LEN(AJ70))&amp;"*/",IF(AJ69&lt;&gt;"","};",""))</f>
        <v/>
      </c>
    </row>
    <row r="71" spans="1:46">
      <c r="B71" s="128" t="str">
        <f ca="1">IF(B6&lt;&gt;"",B6,"")</f>
        <v>Table S_PMAR</v>
      </c>
      <c r="C71" s="36">
        <f>IF(C6&lt;&gt;"",C6,"")</f>
        <v>0</v>
      </c>
      <c r="D71" s="119">
        <f t="shared" ref="D71:AI78" si="5">IF(D6=1,1,0)</f>
        <v>0</v>
      </c>
      <c r="E71" s="119">
        <f t="shared" si="5"/>
        <v>0</v>
      </c>
      <c r="F71" s="119">
        <f t="shared" si="5"/>
        <v>0</v>
      </c>
      <c r="G71" s="119">
        <f t="shared" si="5"/>
        <v>0</v>
      </c>
      <c r="H71" s="119">
        <f t="shared" si="5"/>
        <v>0</v>
      </c>
      <c r="I71" s="119">
        <f t="shared" si="5"/>
        <v>0</v>
      </c>
      <c r="J71" s="119">
        <f t="shared" si="5"/>
        <v>0</v>
      </c>
      <c r="K71" s="119">
        <f t="shared" si="5"/>
        <v>0</v>
      </c>
      <c r="L71" s="119">
        <f t="shared" si="5"/>
        <v>0</v>
      </c>
      <c r="M71" s="119">
        <f t="shared" si="5"/>
        <v>0</v>
      </c>
      <c r="N71" s="119">
        <f t="shared" si="5"/>
        <v>0</v>
      </c>
      <c r="O71" s="119">
        <f t="shared" si="5"/>
        <v>0</v>
      </c>
      <c r="P71" s="119">
        <f t="shared" si="5"/>
        <v>0</v>
      </c>
      <c r="Q71" s="119">
        <f t="shared" si="5"/>
        <v>0</v>
      </c>
      <c r="R71" s="119">
        <f t="shared" si="5"/>
        <v>0</v>
      </c>
      <c r="S71" s="119">
        <f t="shared" si="5"/>
        <v>0</v>
      </c>
      <c r="T71" s="119">
        <f t="shared" si="5"/>
        <v>0</v>
      </c>
      <c r="U71" s="119">
        <f t="shared" si="5"/>
        <v>0</v>
      </c>
      <c r="V71" s="119">
        <f t="shared" si="5"/>
        <v>0</v>
      </c>
      <c r="W71" s="119">
        <f t="shared" si="5"/>
        <v>0</v>
      </c>
      <c r="X71" s="119">
        <f t="shared" si="5"/>
        <v>0</v>
      </c>
      <c r="Y71" s="119">
        <f t="shared" si="5"/>
        <v>0</v>
      </c>
      <c r="Z71" s="119">
        <f t="shared" si="5"/>
        <v>0</v>
      </c>
      <c r="AA71" s="119">
        <f t="shared" si="5"/>
        <v>0</v>
      </c>
      <c r="AB71" s="119">
        <f t="shared" si="5"/>
        <v>0</v>
      </c>
      <c r="AC71" s="119">
        <f t="shared" si="5"/>
        <v>0</v>
      </c>
      <c r="AD71" s="119">
        <f t="shared" si="5"/>
        <v>0</v>
      </c>
      <c r="AE71" s="119">
        <f t="shared" si="5"/>
        <v>0</v>
      </c>
      <c r="AF71" s="119">
        <f t="shared" si="5"/>
        <v>0</v>
      </c>
      <c r="AG71" s="119">
        <f t="shared" si="5"/>
        <v>0</v>
      </c>
      <c r="AH71" s="119">
        <f t="shared" si="5"/>
        <v>0</v>
      </c>
      <c r="AI71" s="119">
        <f t="shared" si="5"/>
        <v>0</v>
      </c>
      <c r="AJ71" s="36" t="str">
        <f t="shared" ref="AJ71:AJ134" si="6">IF(AJ6&lt;&gt;"",AJ6,"")</f>
        <v>UNKNOWN</v>
      </c>
      <c r="AK71" s="49"/>
      <c r="AL71" s="49"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26"/>
      <c r="C72" s="36">
        <f t="shared" ref="C72:C134" si="8">IF(C7&lt;&gt;"",C7,"")</f>
        <v>1</v>
      </c>
      <c r="D72" s="119">
        <f t="shared" si="5"/>
        <v>0</v>
      </c>
      <c r="E72" s="119">
        <f t="shared" si="5"/>
        <v>0</v>
      </c>
      <c r="F72" s="119">
        <f t="shared" si="5"/>
        <v>0</v>
      </c>
      <c r="G72" s="119">
        <f t="shared" si="5"/>
        <v>0</v>
      </c>
      <c r="H72" s="119">
        <f t="shared" si="5"/>
        <v>0</v>
      </c>
      <c r="I72" s="119">
        <f t="shared" si="5"/>
        <v>0</v>
      </c>
      <c r="J72" s="119">
        <f t="shared" si="5"/>
        <v>0</v>
      </c>
      <c r="K72" s="119">
        <f t="shared" si="5"/>
        <v>0</v>
      </c>
      <c r="L72" s="119">
        <f t="shared" si="5"/>
        <v>0</v>
      </c>
      <c r="M72" s="119">
        <f t="shared" si="5"/>
        <v>0</v>
      </c>
      <c r="N72" s="119">
        <f t="shared" si="5"/>
        <v>0</v>
      </c>
      <c r="O72" s="119">
        <f t="shared" si="5"/>
        <v>0</v>
      </c>
      <c r="P72" s="119">
        <f t="shared" si="5"/>
        <v>0</v>
      </c>
      <c r="Q72" s="119">
        <f t="shared" si="5"/>
        <v>0</v>
      </c>
      <c r="R72" s="119">
        <f t="shared" si="5"/>
        <v>0</v>
      </c>
      <c r="S72" s="119">
        <f t="shared" si="5"/>
        <v>0</v>
      </c>
      <c r="T72" s="119">
        <f t="shared" si="5"/>
        <v>0</v>
      </c>
      <c r="U72" s="119">
        <f t="shared" si="5"/>
        <v>0</v>
      </c>
      <c r="V72" s="119">
        <f t="shared" si="5"/>
        <v>0</v>
      </c>
      <c r="W72" s="119">
        <f t="shared" si="5"/>
        <v>0</v>
      </c>
      <c r="X72" s="119">
        <f t="shared" si="5"/>
        <v>0</v>
      </c>
      <c r="Y72" s="119">
        <f t="shared" si="5"/>
        <v>0</v>
      </c>
      <c r="Z72" s="119">
        <f t="shared" si="5"/>
        <v>0</v>
      </c>
      <c r="AA72" s="119">
        <f t="shared" si="5"/>
        <v>0</v>
      </c>
      <c r="AB72" s="119">
        <f t="shared" si="5"/>
        <v>0</v>
      </c>
      <c r="AC72" s="119">
        <f t="shared" si="5"/>
        <v>0</v>
      </c>
      <c r="AD72" s="119">
        <f t="shared" si="5"/>
        <v>0</v>
      </c>
      <c r="AE72" s="119">
        <f t="shared" si="5"/>
        <v>0</v>
      </c>
      <c r="AF72" s="119">
        <f t="shared" si="5"/>
        <v>0</v>
      </c>
      <c r="AG72" s="119">
        <f t="shared" si="5"/>
        <v>0</v>
      </c>
      <c r="AH72" s="119">
        <f t="shared" si="5"/>
        <v>0</v>
      </c>
      <c r="AI72" s="119">
        <f t="shared" si="5"/>
        <v>1</v>
      </c>
      <c r="AJ72" s="36" t="str">
        <f t="shared" si="6"/>
        <v>ON</v>
      </c>
      <c r="AK72" s="49"/>
      <c r="AL72" s="49" t="str">
        <f t="shared" ref="AL72:AL134" si="9">BIN2HEX(AB72&amp;AC72&amp;AD72&amp;AE72&amp;AF72&amp;AG72&amp;AH72&amp;AI72,2)</f>
        <v>01</v>
      </c>
      <c r="AM72" s="51" t="str">
        <f t="shared" ref="AM72:AM134" si="10">BIN2HEX(T72&amp;U72&amp;V72&amp;W72&amp;X72&amp;Y72&amp;Z72&amp;AA72,2)</f>
        <v>00</v>
      </c>
      <c r="AN72" s="51" t="str">
        <f t="shared" ref="AN72:AN134" si="11">BIN2HEX(L72&amp;M72&amp;N72&amp;O72&amp;P72&amp;Q72&amp;R72&amp;S72,2)</f>
        <v>00</v>
      </c>
      <c r="AO72" s="51" t="str">
        <f t="shared" ref="AO72:AO134" si="12">BIN2HEX(D72&amp;E72&amp;F72&amp;G72&amp;H72&amp;I72&amp;J72&amp;K72,2)</f>
        <v>00</v>
      </c>
      <c r="AQ72" t="str">
        <f t="shared" si="7"/>
        <v xml:space="preserve">    (U4)0x00000001U,                                                           /* 01 ON                                              */</v>
      </c>
    </row>
    <row r="73" spans="1:46">
      <c r="B73" s="126"/>
      <c r="C73" s="36">
        <f t="shared" si="8"/>
        <v>2</v>
      </c>
      <c r="D73" s="119">
        <f t="shared" si="5"/>
        <v>0</v>
      </c>
      <c r="E73" s="119">
        <f t="shared" si="5"/>
        <v>0</v>
      </c>
      <c r="F73" s="119">
        <f t="shared" si="5"/>
        <v>0</v>
      </c>
      <c r="G73" s="119">
        <f t="shared" si="5"/>
        <v>0</v>
      </c>
      <c r="H73" s="119">
        <f t="shared" si="5"/>
        <v>0</v>
      </c>
      <c r="I73" s="119">
        <f t="shared" si="5"/>
        <v>0</v>
      </c>
      <c r="J73" s="119">
        <f t="shared" si="5"/>
        <v>0</v>
      </c>
      <c r="K73" s="119">
        <f t="shared" si="5"/>
        <v>0</v>
      </c>
      <c r="L73" s="119">
        <f t="shared" si="5"/>
        <v>0</v>
      </c>
      <c r="M73" s="119">
        <f t="shared" si="5"/>
        <v>0</v>
      </c>
      <c r="N73" s="119">
        <f t="shared" si="5"/>
        <v>0</v>
      </c>
      <c r="O73" s="119">
        <f t="shared" si="5"/>
        <v>0</v>
      </c>
      <c r="P73" s="119">
        <f t="shared" si="5"/>
        <v>0</v>
      </c>
      <c r="Q73" s="119">
        <f t="shared" si="5"/>
        <v>0</v>
      </c>
      <c r="R73" s="119">
        <f t="shared" si="5"/>
        <v>0</v>
      </c>
      <c r="S73" s="119">
        <f t="shared" si="5"/>
        <v>0</v>
      </c>
      <c r="T73" s="119">
        <f t="shared" si="5"/>
        <v>0</v>
      </c>
      <c r="U73" s="119">
        <f t="shared" si="5"/>
        <v>0</v>
      </c>
      <c r="V73" s="119">
        <f t="shared" si="5"/>
        <v>0</v>
      </c>
      <c r="W73" s="119">
        <f t="shared" si="5"/>
        <v>0</v>
      </c>
      <c r="X73" s="119">
        <f t="shared" si="5"/>
        <v>0</v>
      </c>
      <c r="Y73" s="119">
        <f t="shared" si="5"/>
        <v>0</v>
      </c>
      <c r="Z73" s="119">
        <f t="shared" si="5"/>
        <v>0</v>
      </c>
      <c r="AA73" s="119">
        <f t="shared" si="5"/>
        <v>0</v>
      </c>
      <c r="AB73" s="119">
        <f t="shared" si="5"/>
        <v>0</v>
      </c>
      <c r="AC73" s="119">
        <f t="shared" si="5"/>
        <v>0</v>
      </c>
      <c r="AD73" s="119">
        <f t="shared" si="5"/>
        <v>0</v>
      </c>
      <c r="AE73" s="119">
        <f t="shared" si="5"/>
        <v>0</v>
      </c>
      <c r="AF73" s="119">
        <f t="shared" si="5"/>
        <v>0</v>
      </c>
      <c r="AG73" s="119">
        <f t="shared" si="5"/>
        <v>0</v>
      </c>
      <c r="AH73" s="119">
        <f t="shared" si="5"/>
        <v>1</v>
      </c>
      <c r="AI73" s="119">
        <f t="shared" si="5"/>
        <v>0</v>
      </c>
      <c r="AJ73" s="36" t="str">
        <f t="shared" si="6"/>
        <v>UNKNOWN</v>
      </c>
      <c r="AK73" s="49"/>
      <c r="AL73" s="49" t="str">
        <f t="shared" si="9"/>
        <v>02</v>
      </c>
      <c r="AM73" s="51" t="str">
        <f t="shared" si="10"/>
        <v>00</v>
      </c>
      <c r="AN73" s="51" t="str">
        <f t="shared" si="11"/>
        <v>00</v>
      </c>
      <c r="AO73" s="51" t="str">
        <f t="shared" si="12"/>
        <v>00</v>
      </c>
      <c r="AQ73" t="str">
        <f t="shared" si="7"/>
        <v xml:space="preserve">    (U4)0x00000002U,                                                           /* 02 UNKNOWN                                         */</v>
      </c>
    </row>
    <row r="74" spans="1:46">
      <c r="B74" s="126"/>
      <c r="C74" s="36">
        <f t="shared" si="8"/>
        <v>3</v>
      </c>
      <c r="D74" s="119">
        <f t="shared" si="5"/>
        <v>0</v>
      </c>
      <c r="E74" s="119">
        <f t="shared" si="5"/>
        <v>0</v>
      </c>
      <c r="F74" s="119">
        <f t="shared" si="5"/>
        <v>0</v>
      </c>
      <c r="G74" s="119">
        <f t="shared" si="5"/>
        <v>0</v>
      </c>
      <c r="H74" s="119">
        <f t="shared" si="5"/>
        <v>0</v>
      </c>
      <c r="I74" s="119">
        <f t="shared" si="5"/>
        <v>0</v>
      </c>
      <c r="J74" s="119">
        <f t="shared" si="5"/>
        <v>0</v>
      </c>
      <c r="K74" s="119">
        <f t="shared" si="5"/>
        <v>0</v>
      </c>
      <c r="L74" s="119">
        <f t="shared" si="5"/>
        <v>0</v>
      </c>
      <c r="M74" s="119">
        <f t="shared" si="5"/>
        <v>0</v>
      </c>
      <c r="N74" s="119">
        <f t="shared" si="5"/>
        <v>0</v>
      </c>
      <c r="O74" s="119">
        <f t="shared" si="5"/>
        <v>0</v>
      </c>
      <c r="P74" s="119">
        <f t="shared" si="5"/>
        <v>0</v>
      </c>
      <c r="Q74" s="119">
        <f t="shared" si="5"/>
        <v>0</v>
      </c>
      <c r="R74" s="119">
        <f t="shared" si="5"/>
        <v>0</v>
      </c>
      <c r="S74" s="119">
        <f t="shared" si="5"/>
        <v>0</v>
      </c>
      <c r="T74" s="119">
        <f t="shared" si="5"/>
        <v>0</v>
      </c>
      <c r="U74" s="119">
        <f t="shared" si="5"/>
        <v>0</v>
      </c>
      <c r="V74" s="119">
        <f t="shared" si="5"/>
        <v>0</v>
      </c>
      <c r="W74" s="119">
        <f t="shared" si="5"/>
        <v>0</v>
      </c>
      <c r="X74" s="119">
        <f t="shared" si="5"/>
        <v>0</v>
      </c>
      <c r="Y74" s="119">
        <f t="shared" si="5"/>
        <v>0</v>
      </c>
      <c r="Z74" s="119">
        <f t="shared" si="5"/>
        <v>0</v>
      </c>
      <c r="AA74" s="119">
        <f t="shared" si="5"/>
        <v>0</v>
      </c>
      <c r="AB74" s="119">
        <f t="shared" si="5"/>
        <v>0</v>
      </c>
      <c r="AC74" s="119">
        <f t="shared" si="5"/>
        <v>0</v>
      </c>
      <c r="AD74" s="119">
        <f t="shared" si="5"/>
        <v>0</v>
      </c>
      <c r="AE74" s="119">
        <f t="shared" si="5"/>
        <v>0</v>
      </c>
      <c r="AF74" s="119">
        <f t="shared" si="5"/>
        <v>0</v>
      </c>
      <c r="AG74" s="119">
        <f t="shared" si="5"/>
        <v>0</v>
      </c>
      <c r="AH74" s="119">
        <f t="shared" si="5"/>
        <v>1</v>
      </c>
      <c r="AI74" s="119">
        <f t="shared" si="5"/>
        <v>1</v>
      </c>
      <c r="AJ74" s="36" t="str">
        <f t="shared" si="6"/>
        <v>UNKNOWN</v>
      </c>
      <c r="AK74" s="49"/>
      <c r="AL74" s="49" t="str">
        <f t="shared" si="9"/>
        <v>03</v>
      </c>
      <c r="AM74" s="51" t="str">
        <f t="shared" si="10"/>
        <v>00</v>
      </c>
      <c r="AN74" s="51" t="str">
        <f t="shared" si="11"/>
        <v>00</v>
      </c>
      <c r="AO74" s="51" t="str">
        <f t="shared" si="12"/>
        <v>00</v>
      </c>
      <c r="AQ74" t="str">
        <f t="shared" si="7"/>
        <v xml:space="preserve">    (U4)0x00000003U,                                                           /* 03 UNKNOWN                                         */</v>
      </c>
    </row>
    <row r="75" spans="1:46">
      <c r="B75" s="126"/>
      <c r="C75" s="36">
        <f t="shared" si="8"/>
        <v>4</v>
      </c>
      <c r="D75" s="119">
        <f t="shared" si="5"/>
        <v>0</v>
      </c>
      <c r="E75" s="119">
        <f t="shared" si="5"/>
        <v>0</v>
      </c>
      <c r="F75" s="119">
        <f t="shared" si="5"/>
        <v>0</v>
      </c>
      <c r="G75" s="119">
        <f t="shared" si="5"/>
        <v>0</v>
      </c>
      <c r="H75" s="119">
        <f t="shared" si="5"/>
        <v>0</v>
      </c>
      <c r="I75" s="119">
        <f t="shared" si="5"/>
        <v>0</v>
      </c>
      <c r="J75" s="119">
        <f t="shared" si="5"/>
        <v>0</v>
      </c>
      <c r="K75" s="119">
        <f t="shared" si="5"/>
        <v>0</v>
      </c>
      <c r="L75" s="119">
        <f t="shared" si="5"/>
        <v>0</v>
      </c>
      <c r="M75" s="119">
        <f t="shared" si="5"/>
        <v>0</v>
      </c>
      <c r="N75" s="119">
        <f t="shared" si="5"/>
        <v>0</v>
      </c>
      <c r="O75" s="119">
        <f t="shared" si="5"/>
        <v>0</v>
      </c>
      <c r="P75" s="119">
        <f t="shared" si="5"/>
        <v>0</v>
      </c>
      <c r="Q75" s="119">
        <f t="shared" si="5"/>
        <v>0</v>
      </c>
      <c r="R75" s="119">
        <f t="shared" si="5"/>
        <v>0</v>
      </c>
      <c r="S75" s="119">
        <f t="shared" si="5"/>
        <v>0</v>
      </c>
      <c r="T75" s="119">
        <f t="shared" si="5"/>
        <v>0</v>
      </c>
      <c r="U75" s="119">
        <f t="shared" si="5"/>
        <v>0</v>
      </c>
      <c r="V75" s="119">
        <f t="shared" si="5"/>
        <v>0</v>
      </c>
      <c r="W75" s="119">
        <f t="shared" si="5"/>
        <v>0</v>
      </c>
      <c r="X75" s="119">
        <f t="shared" si="5"/>
        <v>0</v>
      </c>
      <c r="Y75" s="119">
        <f t="shared" si="5"/>
        <v>0</v>
      </c>
      <c r="Z75" s="119">
        <f t="shared" si="5"/>
        <v>0</v>
      </c>
      <c r="AA75" s="119">
        <f t="shared" si="5"/>
        <v>0</v>
      </c>
      <c r="AB75" s="119">
        <f t="shared" si="5"/>
        <v>0</v>
      </c>
      <c r="AC75" s="119">
        <f t="shared" si="5"/>
        <v>0</v>
      </c>
      <c r="AD75" s="119">
        <f t="shared" si="5"/>
        <v>0</v>
      </c>
      <c r="AE75" s="119">
        <f t="shared" si="5"/>
        <v>0</v>
      </c>
      <c r="AF75" s="119">
        <f t="shared" si="5"/>
        <v>0</v>
      </c>
      <c r="AG75" s="119">
        <f t="shared" si="5"/>
        <v>1</v>
      </c>
      <c r="AH75" s="119">
        <f t="shared" si="5"/>
        <v>0</v>
      </c>
      <c r="AI75" s="119">
        <f t="shared" si="5"/>
        <v>0</v>
      </c>
      <c r="AJ75" s="36" t="str">
        <f t="shared" si="6"/>
        <v>UNKNOWN</v>
      </c>
      <c r="AK75" s="49"/>
      <c r="AL75" s="49" t="str">
        <f t="shared" si="9"/>
        <v>04</v>
      </c>
      <c r="AM75" s="51" t="str">
        <f t="shared" si="10"/>
        <v>00</v>
      </c>
      <c r="AN75" s="51" t="str">
        <f t="shared" si="11"/>
        <v>00</v>
      </c>
      <c r="AO75" s="51" t="str">
        <f t="shared" si="12"/>
        <v>00</v>
      </c>
      <c r="AQ75" t="str">
        <f t="shared" si="7"/>
        <v xml:space="preserve">    (U4)0x00000004U,                                                           /* 04 UNKNOWN                                         */</v>
      </c>
    </row>
    <row r="76" spans="1:46">
      <c r="B76" s="126"/>
      <c r="C76" s="36">
        <f t="shared" si="8"/>
        <v>5</v>
      </c>
      <c r="D76" s="119">
        <f t="shared" si="5"/>
        <v>0</v>
      </c>
      <c r="E76" s="119">
        <f t="shared" si="5"/>
        <v>0</v>
      </c>
      <c r="F76" s="119">
        <f t="shared" si="5"/>
        <v>0</v>
      </c>
      <c r="G76" s="119">
        <f t="shared" si="5"/>
        <v>0</v>
      </c>
      <c r="H76" s="119">
        <f t="shared" si="5"/>
        <v>0</v>
      </c>
      <c r="I76" s="119">
        <f t="shared" si="5"/>
        <v>0</v>
      </c>
      <c r="J76" s="119">
        <f t="shared" si="5"/>
        <v>0</v>
      </c>
      <c r="K76" s="119">
        <f t="shared" si="5"/>
        <v>0</v>
      </c>
      <c r="L76" s="119">
        <f t="shared" si="5"/>
        <v>0</v>
      </c>
      <c r="M76" s="119">
        <f t="shared" si="5"/>
        <v>0</v>
      </c>
      <c r="N76" s="119">
        <f t="shared" si="5"/>
        <v>0</v>
      </c>
      <c r="O76" s="119">
        <f t="shared" si="5"/>
        <v>0</v>
      </c>
      <c r="P76" s="119">
        <f t="shared" si="5"/>
        <v>0</v>
      </c>
      <c r="Q76" s="119">
        <f t="shared" si="5"/>
        <v>0</v>
      </c>
      <c r="R76" s="119">
        <f t="shared" si="5"/>
        <v>0</v>
      </c>
      <c r="S76" s="119">
        <f t="shared" si="5"/>
        <v>0</v>
      </c>
      <c r="T76" s="119">
        <f t="shared" si="5"/>
        <v>0</v>
      </c>
      <c r="U76" s="119">
        <f t="shared" si="5"/>
        <v>0</v>
      </c>
      <c r="V76" s="119">
        <f t="shared" si="5"/>
        <v>0</v>
      </c>
      <c r="W76" s="119">
        <f t="shared" si="5"/>
        <v>0</v>
      </c>
      <c r="X76" s="119">
        <f t="shared" si="5"/>
        <v>0</v>
      </c>
      <c r="Y76" s="119">
        <f t="shared" si="5"/>
        <v>0</v>
      </c>
      <c r="Z76" s="119">
        <f t="shared" si="5"/>
        <v>0</v>
      </c>
      <c r="AA76" s="119">
        <f t="shared" si="5"/>
        <v>0</v>
      </c>
      <c r="AB76" s="119">
        <f t="shared" si="5"/>
        <v>0</v>
      </c>
      <c r="AC76" s="119">
        <f t="shared" si="5"/>
        <v>0</v>
      </c>
      <c r="AD76" s="119">
        <f t="shared" si="5"/>
        <v>0</v>
      </c>
      <c r="AE76" s="119">
        <f t="shared" si="5"/>
        <v>0</v>
      </c>
      <c r="AF76" s="119">
        <f t="shared" si="5"/>
        <v>0</v>
      </c>
      <c r="AG76" s="119">
        <f t="shared" si="5"/>
        <v>1</v>
      </c>
      <c r="AH76" s="119">
        <f t="shared" si="5"/>
        <v>0</v>
      </c>
      <c r="AI76" s="119">
        <f t="shared" si="5"/>
        <v>1</v>
      </c>
      <c r="AJ76" s="36" t="str">
        <f t="shared" si="6"/>
        <v>UNKNOWN</v>
      </c>
      <c r="AK76" s="49"/>
      <c r="AL76" s="49" t="str">
        <f t="shared" si="9"/>
        <v>05</v>
      </c>
      <c r="AM76" s="51" t="str">
        <f t="shared" si="10"/>
        <v>00</v>
      </c>
      <c r="AN76" s="51" t="str">
        <f t="shared" si="11"/>
        <v>00</v>
      </c>
      <c r="AO76" s="51" t="str">
        <f t="shared" si="12"/>
        <v>00</v>
      </c>
      <c r="AQ76" t="str">
        <f t="shared" si="7"/>
        <v xml:space="preserve">    (U4)0x00000005U,                                                           /* 05 UNKNOWN                                         */</v>
      </c>
    </row>
    <row r="77" spans="1:46">
      <c r="B77" s="126"/>
      <c r="C77" s="36">
        <f t="shared" si="8"/>
        <v>6</v>
      </c>
      <c r="D77" s="119">
        <f t="shared" si="5"/>
        <v>0</v>
      </c>
      <c r="E77" s="119">
        <f t="shared" si="5"/>
        <v>0</v>
      </c>
      <c r="F77" s="119">
        <f t="shared" si="5"/>
        <v>0</v>
      </c>
      <c r="G77" s="119">
        <f t="shared" si="5"/>
        <v>0</v>
      </c>
      <c r="H77" s="119">
        <f t="shared" si="5"/>
        <v>0</v>
      </c>
      <c r="I77" s="119">
        <f t="shared" si="5"/>
        <v>0</v>
      </c>
      <c r="J77" s="119">
        <f t="shared" si="5"/>
        <v>0</v>
      </c>
      <c r="K77" s="119">
        <f t="shared" si="5"/>
        <v>0</v>
      </c>
      <c r="L77" s="119">
        <f t="shared" si="5"/>
        <v>0</v>
      </c>
      <c r="M77" s="119">
        <f t="shared" si="5"/>
        <v>0</v>
      </c>
      <c r="N77" s="119">
        <f t="shared" si="5"/>
        <v>0</v>
      </c>
      <c r="O77" s="119">
        <f t="shared" si="5"/>
        <v>0</v>
      </c>
      <c r="P77" s="119">
        <f t="shared" si="5"/>
        <v>0</v>
      </c>
      <c r="Q77" s="119">
        <f t="shared" si="5"/>
        <v>0</v>
      </c>
      <c r="R77" s="119">
        <f t="shared" si="5"/>
        <v>0</v>
      </c>
      <c r="S77" s="119">
        <f t="shared" si="5"/>
        <v>0</v>
      </c>
      <c r="T77" s="119">
        <f t="shared" si="5"/>
        <v>0</v>
      </c>
      <c r="U77" s="119">
        <f t="shared" si="5"/>
        <v>0</v>
      </c>
      <c r="V77" s="119">
        <f t="shared" si="5"/>
        <v>0</v>
      </c>
      <c r="W77" s="119">
        <f t="shared" si="5"/>
        <v>0</v>
      </c>
      <c r="X77" s="119">
        <f t="shared" si="5"/>
        <v>0</v>
      </c>
      <c r="Y77" s="119">
        <f t="shared" si="5"/>
        <v>0</v>
      </c>
      <c r="Z77" s="119">
        <f t="shared" si="5"/>
        <v>0</v>
      </c>
      <c r="AA77" s="119">
        <f t="shared" si="5"/>
        <v>0</v>
      </c>
      <c r="AB77" s="119">
        <f t="shared" si="5"/>
        <v>0</v>
      </c>
      <c r="AC77" s="119">
        <f t="shared" si="5"/>
        <v>0</v>
      </c>
      <c r="AD77" s="119">
        <f t="shared" si="5"/>
        <v>0</v>
      </c>
      <c r="AE77" s="119">
        <f t="shared" si="5"/>
        <v>0</v>
      </c>
      <c r="AF77" s="119">
        <f t="shared" si="5"/>
        <v>0</v>
      </c>
      <c r="AG77" s="119">
        <f t="shared" si="5"/>
        <v>1</v>
      </c>
      <c r="AH77" s="119">
        <f t="shared" si="5"/>
        <v>1</v>
      </c>
      <c r="AI77" s="119">
        <f t="shared" si="5"/>
        <v>0</v>
      </c>
      <c r="AJ77" s="36" t="str">
        <f t="shared" si="6"/>
        <v>UNKNOWN</v>
      </c>
      <c r="AK77" s="49"/>
      <c r="AL77" s="49" t="str">
        <f t="shared" si="9"/>
        <v>06</v>
      </c>
      <c r="AM77" s="51" t="str">
        <f t="shared" si="10"/>
        <v>00</v>
      </c>
      <c r="AN77" s="51" t="str">
        <f t="shared" si="11"/>
        <v>00</v>
      </c>
      <c r="AO77" s="51" t="str">
        <f t="shared" si="12"/>
        <v>00</v>
      </c>
      <c r="AQ77" t="str">
        <f t="shared" si="7"/>
        <v xml:space="preserve">    (U4)0x00000006U,                                                           /* 06 UNKNOWN                                         */</v>
      </c>
    </row>
    <row r="78" spans="1:46">
      <c r="B78" s="126"/>
      <c r="C78" s="36">
        <f t="shared" si="8"/>
        <v>7</v>
      </c>
      <c r="D78" s="119">
        <f t="shared" si="5"/>
        <v>0</v>
      </c>
      <c r="E78" s="119">
        <f t="shared" si="5"/>
        <v>0</v>
      </c>
      <c r="F78" s="119">
        <f t="shared" si="5"/>
        <v>0</v>
      </c>
      <c r="G78" s="119">
        <f t="shared" si="5"/>
        <v>0</v>
      </c>
      <c r="H78" s="119">
        <f t="shared" si="5"/>
        <v>0</v>
      </c>
      <c r="I78" s="119">
        <f t="shared" si="5"/>
        <v>0</v>
      </c>
      <c r="J78" s="119">
        <f t="shared" si="5"/>
        <v>0</v>
      </c>
      <c r="K78" s="119">
        <f t="shared" si="5"/>
        <v>0</v>
      </c>
      <c r="L78" s="119">
        <f t="shared" si="5"/>
        <v>0</v>
      </c>
      <c r="M78" s="119">
        <f t="shared" si="5"/>
        <v>0</v>
      </c>
      <c r="N78" s="119">
        <f t="shared" si="5"/>
        <v>0</v>
      </c>
      <c r="O78" s="119">
        <f t="shared" si="5"/>
        <v>0</v>
      </c>
      <c r="P78" s="119">
        <f t="shared" si="5"/>
        <v>0</v>
      </c>
      <c r="Q78" s="119">
        <f t="shared" si="5"/>
        <v>0</v>
      </c>
      <c r="R78" s="119">
        <f t="shared" si="5"/>
        <v>0</v>
      </c>
      <c r="S78" s="119">
        <f t="shared" si="5"/>
        <v>0</v>
      </c>
      <c r="T78" s="119">
        <f t="shared" si="5"/>
        <v>0</v>
      </c>
      <c r="U78" s="119">
        <f t="shared" si="5"/>
        <v>0</v>
      </c>
      <c r="V78" s="119">
        <f t="shared" si="5"/>
        <v>0</v>
      </c>
      <c r="W78" s="119">
        <f t="shared" si="5"/>
        <v>0</v>
      </c>
      <c r="X78" s="119">
        <f t="shared" si="5"/>
        <v>0</v>
      </c>
      <c r="Y78" s="119">
        <f t="shared" si="5"/>
        <v>0</v>
      </c>
      <c r="Z78" s="119">
        <f t="shared" si="5"/>
        <v>0</v>
      </c>
      <c r="AA78" s="119">
        <f t="shared" si="5"/>
        <v>0</v>
      </c>
      <c r="AB78" s="119">
        <f t="shared" si="5"/>
        <v>0</v>
      </c>
      <c r="AC78" s="119">
        <f t="shared" si="5"/>
        <v>0</v>
      </c>
      <c r="AD78" s="119">
        <f t="shared" si="5"/>
        <v>0</v>
      </c>
      <c r="AE78" s="119">
        <f t="shared" si="5"/>
        <v>0</v>
      </c>
      <c r="AF78" s="119">
        <f t="shared" si="5"/>
        <v>0</v>
      </c>
      <c r="AG78" s="119">
        <f t="shared" si="5"/>
        <v>1</v>
      </c>
      <c r="AH78" s="119">
        <f t="shared" si="5"/>
        <v>1</v>
      </c>
      <c r="AI78" s="119">
        <f>IF(AI13=1,1,0)</f>
        <v>1</v>
      </c>
      <c r="AJ78" s="36" t="str">
        <f t="shared" si="6"/>
        <v>UNKNOWN</v>
      </c>
      <c r="AK78" s="49"/>
      <c r="AL78" s="49" t="str">
        <f t="shared" si="9"/>
        <v>07</v>
      </c>
      <c r="AM78" s="51" t="str">
        <f t="shared" si="10"/>
        <v>00</v>
      </c>
      <c r="AN78" s="51" t="str">
        <f t="shared" si="11"/>
        <v>00</v>
      </c>
      <c r="AO78" s="51" t="str">
        <f t="shared" si="12"/>
        <v>00</v>
      </c>
      <c r="AQ78" t="str">
        <f t="shared" si="7"/>
        <v xml:space="preserve">    (U4)0x00000007U                                                            /* 07 UNKNOWN                                         */</v>
      </c>
    </row>
    <row r="79" spans="1:46">
      <c r="B79" s="126"/>
      <c r="C79" s="36">
        <f t="shared" si="8"/>
        <v>8</v>
      </c>
      <c r="D79" s="119">
        <f t="shared" ref="D79:AI86" si="13">IF(D14=1,1,0)</f>
        <v>0</v>
      </c>
      <c r="E79" s="119">
        <f t="shared" si="13"/>
        <v>0</v>
      </c>
      <c r="F79" s="119">
        <f t="shared" si="13"/>
        <v>0</v>
      </c>
      <c r="G79" s="119">
        <f t="shared" si="13"/>
        <v>0</v>
      </c>
      <c r="H79" s="119">
        <f t="shared" si="13"/>
        <v>0</v>
      </c>
      <c r="I79" s="119">
        <f t="shared" si="13"/>
        <v>0</v>
      </c>
      <c r="J79" s="119">
        <f t="shared" si="13"/>
        <v>0</v>
      </c>
      <c r="K79" s="119">
        <f t="shared" si="13"/>
        <v>0</v>
      </c>
      <c r="L79" s="119">
        <f t="shared" si="13"/>
        <v>0</v>
      </c>
      <c r="M79" s="119">
        <f t="shared" si="13"/>
        <v>0</v>
      </c>
      <c r="N79" s="119">
        <f t="shared" si="13"/>
        <v>0</v>
      </c>
      <c r="O79" s="119">
        <f t="shared" si="13"/>
        <v>0</v>
      </c>
      <c r="P79" s="119">
        <f t="shared" si="13"/>
        <v>0</v>
      </c>
      <c r="Q79" s="119">
        <f t="shared" si="13"/>
        <v>0</v>
      </c>
      <c r="R79" s="119">
        <f t="shared" si="13"/>
        <v>0</v>
      </c>
      <c r="S79" s="119">
        <f t="shared" si="13"/>
        <v>0</v>
      </c>
      <c r="T79" s="119">
        <f t="shared" si="13"/>
        <v>0</v>
      </c>
      <c r="U79" s="119">
        <f t="shared" si="13"/>
        <v>0</v>
      </c>
      <c r="V79" s="119">
        <f t="shared" si="13"/>
        <v>0</v>
      </c>
      <c r="W79" s="119">
        <f t="shared" si="13"/>
        <v>0</v>
      </c>
      <c r="X79" s="119">
        <f t="shared" si="13"/>
        <v>0</v>
      </c>
      <c r="Y79" s="119">
        <f t="shared" si="13"/>
        <v>0</v>
      </c>
      <c r="Z79" s="119">
        <f t="shared" si="13"/>
        <v>0</v>
      </c>
      <c r="AA79" s="119">
        <f t="shared" si="13"/>
        <v>0</v>
      </c>
      <c r="AB79" s="119">
        <f t="shared" si="13"/>
        <v>0</v>
      </c>
      <c r="AC79" s="119">
        <f t="shared" si="13"/>
        <v>0</v>
      </c>
      <c r="AD79" s="119">
        <f t="shared" si="13"/>
        <v>0</v>
      </c>
      <c r="AE79" s="119">
        <f t="shared" si="13"/>
        <v>0</v>
      </c>
      <c r="AF79" s="119">
        <f t="shared" si="13"/>
        <v>0</v>
      </c>
      <c r="AG79" s="119">
        <f t="shared" si="13"/>
        <v>0</v>
      </c>
      <c r="AH79" s="119">
        <f t="shared" si="13"/>
        <v>0</v>
      </c>
      <c r="AI79" s="119">
        <f t="shared" si="13"/>
        <v>0</v>
      </c>
      <c r="AJ79" s="36" t="str">
        <f t="shared" si="6"/>
        <v/>
      </c>
      <c r="AK79" s="49"/>
      <c r="AL79" s="49" t="str">
        <f t="shared" si="9"/>
        <v>00</v>
      </c>
      <c r="AM79" s="51" t="str">
        <f t="shared" si="10"/>
        <v>00</v>
      </c>
      <c r="AN79" s="51" t="str">
        <f t="shared" si="11"/>
        <v>00</v>
      </c>
      <c r="AO79" s="51" t="str">
        <f t="shared" si="12"/>
        <v>00</v>
      </c>
      <c r="AQ79" t="str">
        <f t="shared" si="7"/>
        <v/>
      </c>
    </row>
    <row r="80" spans="1:46">
      <c r="B80" s="126"/>
      <c r="C80" s="36">
        <f t="shared" si="8"/>
        <v>9</v>
      </c>
      <c r="D80" s="119">
        <f t="shared" si="13"/>
        <v>0</v>
      </c>
      <c r="E80" s="119">
        <f t="shared" si="13"/>
        <v>0</v>
      </c>
      <c r="F80" s="119">
        <f t="shared" si="13"/>
        <v>0</v>
      </c>
      <c r="G80" s="119">
        <f t="shared" si="13"/>
        <v>0</v>
      </c>
      <c r="H80" s="119">
        <f t="shared" si="13"/>
        <v>0</v>
      </c>
      <c r="I80" s="119">
        <f t="shared" si="13"/>
        <v>0</v>
      </c>
      <c r="J80" s="119">
        <f t="shared" si="13"/>
        <v>0</v>
      </c>
      <c r="K80" s="119">
        <f t="shared" si="13"/>
        <v>0</v>
      </c>
      <c r="L80" s="119">
        <f t="shared" si="13"/>
        <v>0</v>
      </c>
      <c r="M80" s="119">
        <f t="shared" si="13"/>
        <v>0</v>
      </c>
      <c r="N80" s="119">
        <f t="shared" si="13"/>
        <v>0</v>
      </c>
      <c r="O80" s="119">
        <f t="shared" si="13"/>
        <v>0</v>
      </c>
      <c r="P80" s="119">
        <f t="shared" si="13"/>
        <v>0</v>
      </c>
      <c r="Q80" s="119">
        <f t="shared" si="13"/>
        <v>0</v>
      </c>
      <c r="R80" s="119">
        <f t="shared" si="13"/>
        <v>0</v>
      </c>
      <c r="S80" s="119">
        <f t="shared" si="13"/>
        <v>0</v>
      </c>
      <c r="T80" s="119">
        <f t="shared" si="13"/>
        <v>0</v>
      </c>
      <c r="U80" s="119">
        <f t="shared" si="13"/>
        <v>0</v>
      </c>
      <c r="V80" s="119">
        <f t="shared" si="13"/>
        <v>0</v>
      </c>
      <c r="W80" s="119">
        <f t="shared" si="13"/>
        <v>0</v>
      </c>
      <c r="X80" s="119">
        <f t="shared" si="13"/>
        <v>0</v>
      </c>
      <c r="Y80" s="119">
        <f t="shared" si="13"/>
        <v>0</v>
      </c>
      <c r="Z80" s="119">
        <f t="shared" si="13"/>
        <v>0</v>
      </c>
      <c r="AA80" s="119">
        <f t="shared" si="13"/>
        <v>0</v>
      </c>
      <c r="AB80" s="119">
        <f t="shared" si="13"/>
        <v>0</v>
      </c>
      <c r="AC80" s="119">
        <f t="shared" si="13"/>
        <v>0</v>
      </c>
      <c r="AD80" s="119">
        <f t="shared" si="13"/>
        <v>0</v>
      </c>
      <c r="AE80" s="119">
        <f t="shared" si="13"/>
        <v>0</v>
      </c>
      <c r="AF80" s="119">
        <f t="shared" si="13"/>
        <v>0</v>
      </c>
      <c r="AG80" s="119">
        <f t="shared" si="13"/>
        <v>0</v>
      </c>
      <c r="AH80" s="119">
        <f t="shared" si="13"/>
        <v>0</v>
      </c>
      <c r="AI80" s="119">
        <f t="shared" si="13"/>
        <v>0</v>
      </c>
      <c r="AJ80" s="36" t="str">
        <f t="shared" si="6"/>
        <v/>
      </c>
      <c r="AK80" s="49"/>
      <c r="AL80" s="49" t="str">
        <f t="shared" si="9"/>
        <v>00</v>
      </c>
      <c r="AM80" s="51" t="str">
        <f t="shared" si="10"/>
        <v>00</v>
      </c>
      <c r="AN80" s="51" t="str">
        <f t="shared" si="11"/>
        <v>00</v>
      </c>
      <c r="AO80" s="51" t="str">
        <f t="shared" si="12"/>
        <v>00</v>
      </c>
      <c r="AQ80" t="str">
        <f t="shared" si="7"/>
        <v/>
      </c>
    </row>
    <row r="81" spans="2:43">
      <c r="B81" s="126"/>
      <c r="C81" s="36">
        <f t="shared" si="8"/>
        <v>10</v>
      </c>
      <c r="D81" s="119">
        <f t="shared" si="13"/>
        <v>0</v>
      </c>
      <c r="E81" s="119">
        <f t="shared" si="13"/>
        <v>0</v>
      </c>
      <c r="F81" s="119">
        <f t="shared" si="13"/>
        <v>0</v>
      </c>
      <c r="G81" s="119">
        <f t="shared" si="13"/>
        <v>0</v>
      </c>
      <c r="H81" s="119">
        <f t="shared" si="13"/>
        <v>0</v>
      </c>
      <c r="I81" s="119">
        <f t="shared" si="13"/>
        <v>0</v>
      </c>
      <c r="J81" s="119">
        <f t="shared" si="13"/>
        <v>0</v>
      </c>
      <c r="K81" s="119">
        <f t="shared" si="13"/>
        <v>0</v>
      </c>
      <c r="L81" s="119">
        <f t="shared" si="13"/>
        <v>0</v>
      </c>
      <c r="M81" s="119">
        <f t="shared" si="13"/>
        <v>0</v>
      </c>
      <c r="N81" s="119">
        <f t="shared" si="13"/>
        <v>0</v>
      </c>
      <c r="O81" s="119">
        <f t="shared" si="13"/>
        <v>0</v>
      </c>
      <c r="P81" s="119">
        <f t="shared" si="13"/>
        <v>0</v>
      </c>
      <c r="Q81" s="119">
        <f t="shared" si="13"/>
        <v>0</v>
      </c>
      <c r="R81" s="119">
        <f t="shared" si="13"/>
        <v>0</v>
      </c>
      <c r="S81" s="119">
        <f t="shared" si="13"/>
        <v>0</v>
      </c>
      <c r="T81" s="119">
        <f t="shared" si="13"/>
        <v>0</v>
      </c>
      <c r="U81" s="119">
        <f t="shared" si="13"/>
        <v>0</v>
      </c>
      <c r="V81" s="119">
        <f t="shared" si="13"/>
        <v>0</v>
      </c>
      <c r="W81" s="119">
        <f t="shared" si="13"/>
        <v>0</v>
      </c>
      <c r="X81" s="119">
        <f t="shared" si="13"/>
        <v>0</v>
      </c>
      <c r="Y81" s="119">
        <f t="shared" si="13"/>
        <v>0</v>
      </c>
      <c r="Z81" s="119">
        <f t="shared" si="13"/>
        <v>0</v>
      </c>
      <c r="AA81" s="119">
        <f t="shared" si="13"/>
        <v>0</v>
      </c>
      <c r="AB81" s="119">
        <f t="shared" si="13"/>
        <v>0</v>
      </c>
      <c r="AC81" s="119">
        <f t="shared" si="13"/>
        <v>0</v>
      </c>
      <c r="AD81" s="119">
        <f t="shared" si="13"/>
        <v>0</v>
      </c>
      <c r="AE81" s="119">
        <f t="shared" si="13"/>
        <v>0</v>
      </c>
      <c r="AF81" s="119">
        <f t="shared" si="13"/>
        <v>0</v>
      </c>
      <c r="AG81" s="119">
        <f t="shared" si="13"/>
        <v>0</v>
      </c>
      <c r="AH81" s="119">
        <f t="shared" si="13"/>
        <v>0</v>
      </c>
      <c r="AI81" s="119">
        <f t="shared" si="13"/>
        <v>0</v>
      </c>
      <c r="AJ81" s="36" t="str">
        <f t="shared" si="6"/>
        <v/>
      </c>
      <c r="AK81" s="49"/>
      <c r="AL81" s="49" t="str">
        <f t="shared" si="9"/>
        <v>00</v>
      </c>
      <c r="AM81" s="51" t="str">
        <f t="shared" si="10"/>
        <v>00</v>
      </c>
      <c r="AN81" s="51" t="str">
        <f t="shared" si="11"/>
        <v>00</v>
      </c>
      <c r="AO81" s="51" t="str">
        <f t="shared" si="12"/>
        <v>00</v>
      </c>
      <c r="AQ81" t="str">
        <f t="shared" si="7"/>
        <v/>
      </c>
    </row>
    <row r="82" spans="2:43">
      <c r="B82" s="126"/>
      <c r="C82" s="36">
        <f t="shared" si="8"/>
        <v>11</v>
      </c>
      <c r="D82" s="119">
        <f t="shared" si="13"/>
        <v>0</v>
      </c>
      <c r="E82" s="119">
        <f t="shared" si="13"/>
        <v>0</v>
      </c>
      <c r="F82" s="119">
        <f t="shared" si="13"/>
        <v>0</v>
      </c>
      <c r="G82" s="119">
        <f t="shared" si="13"/>
        <v>0</v>
      </c>
      <c r="H82" s="119">
        <f t="shared" si="13"/>
        <v>0</v>
      </c>
      <c r="I82" s="119">
        <f t="shared" si="13"/>
        <v>0</v>
      </c>
      <c r="J82" s="119">
        <f t="shared" si="13"/>
        <v>0</v>
      </c>
      <c r="K82" s="119">
        <f t="shared" si="13"/>
        <v>0</v>
      </c>
      <c r="L82" s="119">
        <f t="shared" si="13"/>
        <v>0</v>
      </c>
      <c r="M82" s="119">
        <f t="shared" si="13"/>
        <v>0</v>
      </c>
      <c r="N82" s="119">
        <f t="shared" si="13"/>
        <v>0</v>
      </c>
      <c r="O82" s="119">
        <f t="shared" si="13"/>
        <v>0</v>
      </c>
      <c r="P82" s="119">
        <f t="shared" si="13"/>
        <v>0</v>
      </c>
      <c r="Q82" s="119">
        <f t="shared" si="13"/>
        <v>0</v>
      </c>
      <c r="R82" s="119">
        <f t="shared" si="13"/>
        <v>0</v>
      </c>
      <c r="S82" s="119">
        <f t="shared" si="13"/>
        <v>0</v>
      </c>
      <c r="T82" s="119">
        <f t="shared" si="13"/>
        <v>0</v>
      </c>
      <c r="U82" s="119">
        <f t="shared" si="13"/>
        <v>0</v>
      </c>
      <c r="V82" s="119">
        <f t="shared" si="13"/>
        <v>0</v>
      </c>
      <c r="W82" s="119">
        <f t="shared" si="13"/>
        <v>0</v>
      </c>
      <c r="X82" s="119">
        <f t="shared" si="13"/>
        <v>0</v>
      </c>
      <c r="Y82" s="119">
        <f t="shared" si="13"/>
        <v>0</v>
      </c>
      <c r="Z82" s="119">
        <f t="shared" si="13"/>
        <v>0</v>
      </c>
      <c r="AA82" s="119">
        <f t="shared" si="13"/>
        <v>0</v>
      </c>
      <c r="AB82" s="119">
        <f t="shared" si="13"/>
        <v>0</v>
      </c>
      <c r="AC82" s="119">
        <f t="shared" si="13"/>
        <v>0</v>
      </c>
      <c r="AD82" s="119">
        <f t="shared" si="13"/>
        <v>0</v>
      </c>
      <c r="AE82" s="119">
        <f t="shared" si="13"/>
        <v>0</v>
      </c>
      <c r="AF82" s="119">
        <f t="shared" si="13"/>
        <v>0</v>
      </c>
      <c r="AG82" s="119">
        <f t="shared" si="13"/>
        <v>0</v>
      </c>
      <c r="AH82" s="119">
        <f t="shared" si="13"/>
        <v>0</v>
      </c>
      <c r="AI82" s="119">
        <f t="shared" si="13"/>
        <v>0</v>
      </c>
      <c r="AJ82" s="36" t="str">
        <f t="shared" si="6"/>
        <v/>
      </c>
      <c r="AK82" s="49"/>
      <c r="AL82" s="49" t="str">
        <f t="shared" si="9"/>
        <v>00</v>
      </c>
      <c r="AM82" s="51" t="str">
        <f t="shared" si="10"/>
        <v>00</v>
      </c>
      <c r="AN82" s="51" t="str">
        <f t="shared" si="11"/>
        <v>00</v>
      </c>
      <c r="AO82" s="51" t="str">
        <f t="shared" si="12"/>
        <v>00</v>
      </c>
      <c r="AQ82" t="str">
        <f t="shared" si="7"/>
        <v/>
      </c>
    </row>
    <row r="83" spans="2:43">
      <c r="B83" s="126"/>
      <c r="C83" s="36">
        <f t="shared" si="8"/>
        <v>12</v>
      </c>
      <c r="D83" s="119">
        <f t="shared" si="13"/>
        <v>0</v>
      </c>
      <c r="E83" s="119">
        <f t="shared" si="13"/>
        <v>0</v>
      </c>
      <c r="F83" s="119">
        <f t="shared" si="13"/>
        <v>0</v>
      </c>
      <c r="G83" s="119">
        <f t="shared" si="13"/>
        <v>0</v>
      </c>
      <c r="H83" s="119">
        <f t="shared" si="13"/>
        <v>0</v>
      </c>
      <c r="I83" s="119">
        <f t="shared" si="13"/>
        <v>0</v>
      </c>
      <c r="J83" s="119">
        <f t="shared" si="13"/>
        <v>0</v>
      </c>
      <c r="K83" s="119">
        <f t="shared" si="13"/>
        <v>0</v>
      </c>
      <c r="L83" s="119">
        <f t="shared" si="13"/>
        <v>0</v>
      </c>
      <c r="M83" s="119">
        <f t="shared" si="13"/>
        <v>0</v>
      </c>
      <c r="N83" s="119">
        <f t="shared" si="13"/>
        <v>0</v>
      </c>
      <c r="O83" s="119">
        <f t="shared" si="13"/>
        <v>0</v>
      </c>
      <c r="P83" s="119">
        <f t="shared" si="13"/>
        <v>0</v>
      </c>
      <c r="Q83" s="119">
        <f t="shared" si="13"/>
        <v>0</v>
      </c>
      <c r="R83" s="119">
        <f t="shared" si="13"/>
        <v>0</v>
      </c>
      <c r="S83" s="119">
        <f t="shared" si="13"/>
        <v>0</v>
      </c>
      <c r="T83" s="119">
        <f t="shared" si="13"/>
        <v>0</v>
      </c>
      <c r="U83" s="119">
        <f t="shared" si="13"/>
        <v>0</v>
      </c>
      <c r="V83" s="119">
        <f t="shared" si="13"/>
        <v>0</v>
      </c>
      <c r="W83" s="119">
        <f t="shared" si="13"/>
        <v>0</v>
      </c>
      <c r="X83" s="119">
        <f t="shared" si="13"/>
        <v>0</v>
      </c>
      <c r="Y83" s="119">
        <f t="shared" si="13"/>
        <v>0</v>
      </c>
      <c r="Z83" s="119">
        <f t="shared" si="13"/>
        <v>0</v>
      </c>
      <c r="AA83" s="119">
        <f t="shared" si="13"/>
        <v>0</v>
      </c>
      <c r="AB83" s="119">
        <f t="shared" si="13"/>
        <v>0</v>
      </c>
      <c r="AC83" s="119">
        <f t="shared" si="13"/>
        <v>0</v>
      </c>
      <c r="AD83" s="119">
        <f t="shared" si="13"/>
        <v>0</v>
      </c>
      <c r="AE83" s="119">
        <f t="shared" si="13"/>
        <v>0</v>
      </c>
      <c r="AF83" s="119">
        <f t="shared" si="13"/>
        <v>0</v>
      </c>
      <c r="AG83" s="119">
        <f t="shared" si="13"/>
        <v>0</v>
      </c>
      <c r="AH83" s="119">
        <f t="shared" si="13"/>
        <v>0</v>
      </c>
      <c r="AI83" s="119">
        <f t="shared" si="13"/>
        <v>0</v>
      </c>
      <c r="AJ83" s="36" t="str">
        <f t="shared" si="6"/>
        <v/>
      </c>
      <c r="AK83" s="49"/>
      <c r="AL83" s="49" t="str">
        <f t="shared" si="9"/>
        <v>00</v>
      </c>
      <c r="AM83" s="51" t="str">
        <f t="shared" si="10"/>
        <v>00</v>
      </c>
      <c r="AN83" s="51" t="str">
        <f t="shared" si="11"/>
        <v>00</v>
      </c>
      <c r="AO83" s="51" t="str">
        <f t="shared" si="12"/>
        <v>00</v>
      </c>
      <c r="AQ83" t="str">
        <f t="shared" si="7"/>
        <v/>
      </c>
    </row>
    <row r="84" spans="2:43">
      <c r="B84" s="126"/>
      <c r="C84" s="36">
        <f t="shared" si="8"/>
        <v>13</v>
      </c>
      <c r="D84" s="119">
        <f t="shared" si="13"/>
        <v>0</v>
      </c>
      <c r="E84" s="119">
        <f t="shared" si="13"/>
        <v>0</v>
      </c>
      <c r="F84" s="119">
        <f t="shared" si="13"/>
        <v>0</v>
      </c>
      <c r="G84" s="119">
        <f t="shared" si="13"/>
        <v>0</v>
      </c>
      <c r="H84" s="119">
        <f t="shared" si="13"/>
        <v>0</v>
      </c>
      <c r="I84" s="119">
        <f t="shared" si="13"/>
        <v>0</v>
      </c>
      <c r="J84" s="119">
        <f t="shared" si="13"/>
        <v>0</v>
      </c>
      <c r="K84" s="119">
        <f t="shared" si="13"/>
        <v>0</v>
      </c>
      <c r="L84" s="119">
        <f t="shared" si="13"/>
        <v>0</v>
      </c>
      <c r="M84" s="119">
        <f t="shared" si="13"/>
        <v>0</v>
      </c>
      <c r="N84" s="119">
        <f t="shared" si="13"/>
        <v>0</v>
      </c>
      <c r="O84" s="119">
        <f t="shared" si="13"/>
        <v>0</v>
      </c>
      <c r="P84" s="119">
        <f t="shared" si="13"/>
        <v>0</v>
      </c>
      <c r="Q84" s="119">
        <f t="shared" si="13"/>
        <v>0</v>
      </c>
      <c r="R84" s="119">
        <f t="shared" si="13"/>
        <v>0</v>
      </c>
      <c r="S84" s="119">
        <f t="shared" si="13"/>
        <v>0</v>
      </c>
      <c r="T84" s="119">
        <f t="shared" si="13"/>
        <v>0</v>
      </c>
      <c r="U84" s="119">
        <f t="shared" si="13"/>
        <v>0</v>
      </c>
      <c r="V84" s="119">
        <f t="shared" si="13"/>
        <v>0</v>
      </c>
      <c r="W84" s="119">
        <f t="shared" si="13"/>
        <v>0</v>
      </c>
      <c r="X84" s="119">
        <f t="shared" si="13"/>
        <v>0</v>
      </c>
      <c r="Y84" s="119">
        <f t="shared" si="13"/>
        <v>0</v>
      </c>
      <c r="Z84" s="119">
        <f t="shared" si="13"/>
        <v>0</v>
      </c>
      <c r="AA84" s="119">
        <f t="shared" si="13"/>
        <v>0</v>
      </c>
      <c r="AB84" s="119">
        <f t="shared" si="13"/>
        <v>0</v>
      </c>
      <c r="AC84" s="119">
        <f t="shared" si="13"/>
        <v>0</v>
      </c>
      <c r="AD84" s="119">
        <f t="shared" si="13"/>
        <v>0</v>
      </c>
      <c r="AE84" s="119">
        <f t="shared" si="13"/>
        <v>0</v>
      </c>
      <c r="AF84" s="119">
        <f t="shared" si="13"/>
        <v>0</v>
      </c>
      <c r="AG84" s="119">
        <f t="shared" si="13"/>
        <v>0</v>
      </c>
      <c r="AH84" s="119">
        <f t="shared" si="13"/>
        <v>0</v>
      </c>
      <c r="AI84" s="119">
        <f t="shared" si="13"/>
        <v>0</v>
      </c>
      <c r="AJ84" s="36" t="str">
        <f t="shared" si="6"/>
        <v/>
      </c>
      <c r="AK84" s="49"/>
      <c r="AL84" s="49" t="str">
        <f t="shared" si="9"/>
        <v>00</v>
      </c>
      <c r="AM84" s="51" t="str">
        <f t="shared" si="10"/>
        <v>00</v>
      </c>
      <c r="AN84" s="51" t="str">
        <f t="shared" si="11"/>
        <v>00</v>
      </c>
      <c r="AO84" s="51" t="str">
        <f t="shared" si="12"/>
        <v>00</v>
      </c>
      <c r="AQ84" t="str">
        <f t="shared" si="7"/>
        <v/>
      </c>
    </row>
    <row r="85" spans="2:43">
      <c r="B85" s="126"/>
      <c r="C85" s="36">
        <f t="shared" si="8"/>
        <v>14</v>
      </c>
      <c r="D85" s="119">
        <f t="shared" si="13"/>
        <v>0</v>
      </c>
      <c r="E85" s="119">
        <f t="shared" si="13"/>
        <v>0</v>
      </c>
      <c r="F85" s="119">
        <f t="shared" si="13"/>
        <v>0</v>
      </c>
      <c r="G85" s="119">
        <f t="shared" si="13"/>
        <v>0</v>
      </c>
      <c r="H85" s="119">
        <f t="shared" si="13"/>
        <v>0</v>
      </c>
      <c r="I85" s="119">
        <f t="shared" si="13"/>
        <v>0</v>
      </c>
      <c r="J85" s="119">
        <f t="shared" si="13"/>
        <v>0</v>
      </c>
      <c r="K85" s="119">
        <f t="shared" si="13"/>
        <v>0</v>
      </c>
      <c r="L85" s="119">
        <f t="shared" si="13"/>
        <v>0</v>
      </c>
      <c r="M85" s="119">
        <f t="shared" si="13"/>
        <v>0</v>
      </c>
      <c r="N85" s="119">
        <f t="shared" si="13"/>
        <v>0</v>
      </c>
      <c r="O85" s="119">
        <f t="shared" si="13"/>
        <v>0</v>
      </c>
      <c r="P85" s="119">
        <f t="shared" si="13"/>
        <v>0</v>
      </c>
      <c r="Q85" s="119">
        <f t="shared" si="13"/>
        <v>0</v>
      </c>
      <c r="R85" s="119">
        <f t="shared" si="13"/>
        <v>0</v>
      </c>
      <c r="S85" s="119">
        <f t="shared" si="13"/>
        <v>0</v>
      </c>
      <c r="T85" s="119">
        <f t="shared" si="13"/>
        <v>0</v>
      </c>
      <c r="U85" s="119">
        <f t="shared" si="13"/>
        <v>0</v>
      </c>
      <c r="V85" s="119">
        <f t="shared" si="13"/>
        <v>0</v>
      </c>
      <c r="W85" s="119">
        <f t="shared" si="13"/>
        <v>0</v>
      </c>
      <c r="X85" s="119">
        <f t="shared" si="13"/>
        <v>0</v>
      </c>
      <c r="Y85" s="119">
        <f t="shared" si="13"/>
        <v>0</v>
      </c>
      <c r="Z85" s="119">
        <f t="shared" si="13"/>
        <v>0</v>
      </c>
      <c r="AA85" s="119">
        <f t="shared" si="13"/>
        <v>0</v>
      </c>
      <c r="AB85" s="119">
        <f t="shared" si="13"/>
        <v>0</v>
      </c>
      <c r="AC85" s="119">
        <f t="shared" si="13"/>
        <v>0</v>
      </c>
      <c r="AD85" s="119">
        <f t="shared" si="13"/>
        <v>0</v>
      </c>
      <c r="AE85" s="119">
        <f t="shared" si="13"/>
        <v>0</v>
      </c>
      <c r="AF85" s="119">
        <f t="shared" si="13"/>
        <v>0</v>
      </c>
      <c r="AG85" s="119">
        <f t="shared" si="13"/>
        <v>0</v>
      </c>
      <c r="AH85" s="119">
        <f t="shared" si="13"/>
        <v>0</v>
      </c>
      <c r="AI85" s="119">
        <f t="shared" si="13"/>
        <v>0</v>
      </c>
      <c r="AJ85" s="36" t="str">
        <f t="shared" si="6"/>
        <v/>
      </c>
      <c r="AK85" s="49"/>
      <c r="AL85" s="49" t="str">
        <f t="shared" si="9"/>
        <v>00</v>
      </c>
      <c r="AM85" s="51" t="str">
        <f t="shared" si="10"/>
        <v>00</v>
      </c>
      <c r="AN85" s="51" t="str">
        <f t="shared" si="11"/>
        <v>00</v>
      </c>
      <c r="AO85" s="51" t="str">
        <f t="shared" si="12"/>
        <v>00</v>
      </c>
      <c r="AQ85" t="str">
        <f t="shared" si="7"/>
        <v/>
      </c>
    </row>
    <row r="86" spans="2:43">
      <c r="B86" s="126"/>
      <c r="C86" s="36">
        <f t="shared" si="8"/>
        <v>15</v>
      </c>
      <c r="D86" s="119">
        <f t="shared" si="13"/>
        <v>0</v>
      </c>
      <c r="E86" s="119">
        <f t="shared" si="13"/>
        <v>0</v>
      </c>
      <c r="F86" s="119">
        <f t="shared" si="13"/>
        <v>0</v>
      </c>
      <c r="G86" s="119">
        <f t="shared" si="13"/>
        <v>0</v>
      </c>
      <c r="H86" s="119">
        <f t="shared" si="13"/>
        <v>0</v>
      </c>
      <c r="I86" s="119">
        <f t="shared" si="13"/>
        <v>0</v>
      </c>
      <c r="J86" s="119">
        <f t="shared" si="13"/>
        <v>0</v>
      </c>
      <c r="K86" s="119">
        <f t="shared" si="13"/>
        <v>0</v>
      </c>
      <c r="L86" s="119">
        <f t="shared" si="13"/>
        <v>0</v>
      </c>
      <c r="M86" s="119">
        <f t="shared" si="13"/>
        <v>0</v>
      </c>
      <c r="N86" s="119">
        <f t="shared" si="13"/>
        <v>0</v>
      </c>
      <c r="O86" s="119">
        <f t="shared" si="13"/>
        <v>0</v>
      </c>
      <c r="P86" s="119">
        <f t="shared" si="13"/>
        <v>0</v>
      </c>
      <c r="Q86" s="119">
        <f t="shared" si="13"/>
        <v>0</v>
      </c>
      <c r="R86" s="119">
        <f t="shared" si="13"/>
        <v>0</v>
      </c>
      <c r="S86" s="119">
        <f t="shared" si="13"/>
        <v>0</v>
      </c>
      <c r="T86" s="119">
        <f t="shared" si="13"/>
        <v>0</v>
      </c>
      <c r="U86" s="119">
        <f t="shared" si="13"/>
        <v>0</v>
      </c>
      <c r="V86" s="119">
        <f t="shared" si="13"/>
        <v>0</v>
      </c>
      <c r="W86" s="119">
        <f t="shared" si="13"/>
        <v>0</v>
      </c>
      <c r="X86" s="119">
        <f t="shared" si="13"/>
        <v>0</v>
      </c>
      <c r="Y86" s="119">
        <f t="shared" si="13"/>
        <v>0</v>
      </c>
      <c r="Z86" s="119">
        <f t="shared" si="13"/>
        <v>0</v>
      </c>
      <c r="AA86" s="119">
        <f t="shared" si="13"/>
        <v>0</v>
      </c>
      <c r="AB86" s="119">
        <f t="shared" si="13"/>
        <v>0</v>
      </c>
      <c r="AC86" s="119">
        <f t="shared" si="13"/>
        <v>0</v>
      </c>
      <c r="AD86" s="119">
        <f t="shared" si="13"/>
        <v>0</v>
      </c>
      <c r="AE86" s="119">
        <f t="shared" si="13"/>
        <v>0</v>
      </c>
      <c r="AF86" s="119">
        <f t="shared" si="13"/>
        <v>0</v>
      </c>
      <c r="AG86" s="119">
        <f t="shared" si="13"/>
        <v>0</v>
      </c>
      <c r="AH86" s="119">
        <f t="shared" si="13"/>
        <v>0</v>
      </c>
      <c r="AI86" s="119">
        <f>IF(AI21=1,1,0)</f>
        <v>0</v>
      </c>
      <c r="AJ86" s="36" t="str">
        <f t="shared" si="6"/>
        <v/>
      </c>
      <c r="AK86" s="49"/>
      <c r="AL86" s="49" t="str">
        <f t="shared" si="9"/>
        <v>00</v>
      </c>
      <c r="AM86" s="51" t="str">
        <f t="shared" si="10"/>
        <v>00</v>
      </c>
      <c r="AN86" s="51" t="str">
        <f t="shared" si="11"/>
        <v>00</v>
      </c>
      <c r="AO86" s="51" t="str">
        <f t="shared" si="12"/>
        <v>00</v>
      </c>
      <c r="AQ86" t="str">
        <f t="shared" si="7"/>
        <v/>
      </c>
    </row>
    <row r="87" spans="2:43">
      <c r="B87" s="126"/>
      <c r="C87" s="36">
        <f t="shared" si="8"/>
        <v>16</v>
      </c>
      <c r="D87" s="119">
        <f t="shared" ref="D87:AI94" si="14">IF(D22=1,1,0)</f>
        <v>0</v>
      </c>
      <c r="E87" s="119">
        <f t="shared" si="14"/>
        <v>0</v>
      </c>
      <c r="F87" s="119">
        <f t="shared" si="14"/>
        <v>0</v>
      </c>
      <c r="G87" s="119">
        <f t="shared" si="14"/>
        <v>0</v>
      </c>
      <c r="H87" s="119">
        <f t="shared" si="14"/>
        <v>0</v>
      </c>
      <c r="I87" s="119">
        <f t="shared" si="14"/>
        <v>0</v>
      </c>
      <c r="J87" s="119">
        <f t="shared" si="14"/>
        <v>0</v>
      </c>
      <c r="K87" s="119">
        <f t="shared" si="14"/>
        <v>0</v>
      </c>
      <c r="L87" s="119">
        <f t="shared" si="14"/>
        <v>0</v>
      </c>
      <c r="M87" s="119">
        <f t="shared" si="14"/>
        <v>0</v>
      </c>
      <c r="N87" s="119">
        <f t="shared" si="14"/>
        <v>0</v>
      </c>
      <c r="O87" s="119">
        <f t="shared" si="14"/>
        <v>0</v>
      </c>
      <c r="P87" s="119">
        <f t="shared" si="14"/>
        <v>0</v>
      </c>
      <c r="Q87" s="119">
        <f t="shared" si="14"/>
        <v>0</v>
      </c>
      <c r="R87" s="119">
        <f t="shared" si="14"/>
        <v>0</v>
      </c>
      <c r="S87" s="119">
        <f t="shared" si="14"/>
        <v>0</v>
      </c>
      <c r="T87" s="119">
        <f t="shared" si="14"/>
        <v>0</v>
      </c>
      <c r="U87" s="119">
        <f t="shared" si="14"/>
        <v>0</v>
      </c>
      <c r="V87" s="119">
        <f t="shared" si="14"/>
        <v>0</v>
      </c>
      <c r="W87" s="119">
        <f t="shared" si="14"/>
        <v>0</v>
      </c>
      <c r="X87" s="119">
        <f t="shared" si="14"/>
        <v>0</v>
      </c>
      <c r="Y87" s="119">
        <f t="shared" si="14"/>
        <v>0</v>
      </c>
      <c r="Z87" s="119">
        <f t="shared" si="14"/>
        <v>0</v>
      </c>
      <c r="AA87" s="119">
        <f t="shared" si="14"/>
        <v>0</v>
      </c>
      <c r="AB87" s="119">
        <f t="shared" si="14"/>
        <v>0</v>
      </c>
      <c r="AC87" s="119">
        <f t="shared" si="14"/>
        <v>0</v>
      </c>
      <c r="AD87" s="119">
        <f t="shared" si="14"/>
        <v>0</v>
      </c>
      <c r="AE87" s="119">
        <f t="shared" si="14"/>
        <v>0</v>
      </c>
      <c r="AF87" s="119">
        <f t="shared" si="14"/>
        <v>0</v>
      </c>
      <c r="AG87" s="119">
        <f t="shared" si="14"/>
        <v>0</v>
      </c>
      <c r="AH87" s="119">
        <f t="shared" si="14"/>
        <v>0</v>
      </c>
      <c r="AI87" s="119">
        <f t="shared" si="14"/>
        <v>0</v>
      </c>
      <c r="AJ87" s="36" t="str">
        <f t="shared" si="6"/>
        <v/>
      </c>
      <c r="AK87" s="49"/>
      <c r="AL87" s="49" t="str">
        <f t="shared" si="9"/>
        <v>00</v>
      </c>
      <c r="AM87" s="51" t="str">
        <f t="shared" si="10"/>
        <v>00</v>
      </c>
      <c r="AN87" s="51" t="str">
        <f t="shared" si="11"/>
        <v>00</v>
      </c>
      <c r="AO87" s="51" t="str">
        <f t="shared" si="12"/>
        <v>00</v>
      </c>
      <c r="AQ87" t="str">
        <f t="shared" si="7"/>
        <v/>
      </c>
    </row>
    <row r="88" spans="2:43">
      <c r="B88" s="126"/>
      <c r="C88" s="36">
        <f t="shared" si="8"/>
        <v>17</v>
      </c>
      <c r="D88" s="119">
        <f t="shared" si="14"/>
        <v>0</v>
      </c>
      <c r="E88" s="119">
        <f t="shared" si="14"/>
        <v>0</v>
      </c>
      <c r="F88" s="119">
        <f t="shared" si="14"/>
        <v>0</v>
      </c>
      <c r="G88" s="119">
        <f t="shared" si="14"/>
        <v>0</v>
      </c>
      <c r="H88" s="119">
        <f t="shared" si="14"/>
        <v>0</v>
      </c>
      <c r="I88" s="119">
        <f t="shared" si="14"/>
        <v>0</v>
      </c>
      <c r="J88" s="119">
        <f t="shared" si="14"/>
        <v>0</v>
      </c>
      <c r="K88" s="119">
        <f t="shared" si="14"/>
        <v>0</v>
      </c>
      <c r="L88" s="119">
        <f t="shared" si="14"/>
        <v>0</v>
      </c>
      <c r="M88" s="119">
        <f t="shared" si="14"/>
        <v>0</v>
      </c>
      <c r="N88" s="119">
        <f t="shared" si="14"/>
        <v>0</v>
      </c>
      <c r="O88" s="119">
        <f t="shared" si="14"/>
        <v>0</v>
      </c>
      <c r="P88" s="119">
        <f t="shared" si="14"/>
        <v>0</v>
      </c>
      <c r="Q88" s="119">
        <f t="shared" si="14"/>
        <v>0</v>
      </c>
      <c r="R88" s="119">
        <f t="shared" si="14"/>
        <v>0</v>
      </c>
      <c r="S88" s="119">
        <f t="shared" si="14"/>
        <v>0</v>
      </c>
      <c r="T88" s="119">
        <f t="shared" si="14"/>
        <v>0</v>
      </c>
      <c r="U88" s="119">
        <f t="shared" si="14"/>
        <v>0</v>
      </c>
      <c r="V88" s="119">
        <f t="shared" si="14"/>
        <v>0</v>
      </c>
      <c r="W88" s="119">
        <f t="shared" si="14"/>
        <v>0</v>
      </c>
      <c r="X88" s="119">
        <f t="shared" si="14"/>
        <v>0</v>
      </c>
      <c r="Y88" s="119">
        <f t="shared" si="14"/>
        <v>0</v>
      </c>
      <c r="Z88" s="119">
        <f t="shared" si="14"/>
        <v>0</v>
      </c>
      <c r="AA88" s="119">
        <f t="shared" si="14"/>
        <v>0</v>
      </c>
      <c r="AB88" s="119">
        <f t="shared" si="14"/>
        <v>0</v>
      </c>
      <c r="AC88" s="119">
        <f t="shared" si="14"/>
        <v>0</v>
      </c>
      <c r="AD88" s="119">
        <f t="shared" si="14"/>
        <v>0</v>
      </c>
      <c r="AE88" s="119">
        <f t="shared" si="14"/>
        <v>0</v>
      </c>
      <c r="AF88" s="119">
        <f t="shared" si="14"/>
        <v>0</v>
      </c>
      <c r="AG88" s="119">
        <f t="shared" si="14"/>
        <v>0</v>
      </c>
      <c r="AH88" s="119">
        <f t="shared" si="14"/>
        <v>0</v>
      </c>
      <c r="AI88" s="119">
        <f t="shared" si="14"/>
        <v>0</v>
      </c>
      <c r="AJ88" s="36" t="str">
        <f t="shared" si="6"/>
        <v/>
      </c>
      <c r="AK88" s="49"/>
      <c r="AL88" s="49" t="str">
        <f t="shared" si="9"/>
        <v>00</v>
      </c>
      <c r="AM88" s="51" t="str">
        <f t="shared" si="10"/>
        <v>00</v>
      </c>
      <c r="AN88" s="51" t="str">
        <f t="shared" si="11"/>
        <v>00</v>
      </c>
      <c r="AO88" s="51" t="str">
        <f t="shared" si="12"/>
        <v>00</v>
      </c>
      <c r="AQ88" t="str">
        <f t="shared" si="7"/>
        <v/>
      </c>
    </row>
    <row r="89" spans="2:43">
      <c r="B89" s="126"/>
      <c r="C89" s="36">
        <f t="shared" si="8"/>
        <v>18</v>
      </c>
      <c r="D89" s="119">
        <f t="shared" si="14"/>
        <v>0</v>
      </c>
      <c r="E89" s="119">
        <f t="shared" si="14"/>
        <v>0</v>
      </c>
      <c r="F89" s="119">
        <f t="shared" si="14"/>
        <v>0</v>
      </c>
      <c r="G89" s="119">
        <f t="shared" si="14"/>
        <v>0</v>
      </c>
      <c r="H89" s="119">
        <f t="shared" si="14"/>
        <v>0</v>
      </c>
      <c r="I89" s="119">
        <f t="shared" si="14"/>
        <v>0</v>
      </c>
      <c r="J89" s="119">
        <f t="shared" si="14"/>
        <v>0</v>
      </c>
      <c r="K89" s="119">
        <f t="shared" si="14"/>
        <v>0</v>
      </c>
      <c r="L89" s="119">
        <f t="shared" si="14"/>
        <v>0</v>
      </c>
      <c r="M89" s="119">
        <f t="shared" si="14"/>
        <v>0</v>
      </c>
      <c r="N89" s="119">
        <f t="shared" si="14"/>
        <v>0</v>
      </c>
      <c r="O89" s="119">
        <f t="shared" si="14"/>
        <v>0</v>
      </c>
      <c r="P89" s="119">
        <f t="shared" si="14"/>
        <v>0</v>
      </c>
      <c r="Q89" s="119">
        <f t="shared" si="14"/>
        <v>0</v>
      </c>
      <c r="R89" s="119">
        <f t="shared" si="14"/>
        <v>0</v>
      </c>
      <c r="S89" s="119">
        <f t="shared" si="14"/>
        <v>0</v>
      </c>
      <c r="T89" s="119">
        <f t="shared" si="14"/>
        <v>0</v>
      </c>
      <c r="U89" s="119">
        <f t="shared" si="14"/>
        <v>0</v>
      </c>
      <c r="V89" s="119">
        <f t="shared" si="14"/>
        <v>0</v>
      </c>
      <c r="W89" s="119">
        <f t="shared" si="14"/>
        <v>0</v>
      </c>
      <c r="X89" s="119">
        <f t="shared" si="14"/>
        <v>0</v>
      </c>
      <c r="Y89" s="119">
        <f t="shared" si="14"/>
        <v>0</v>
      </c>
      <c r="Z89" s="119">
        <f t="shared" si="14"/>
        <v>0</v>
      </c>
      <c r="AA89" s="119">
        <f t="shared" si="14"/>
        <v>0</v>
      </c>
      <c r="AB89" s="119">
        <f t="shared" si="14"/>
        <v>0</v>
      </c>
      <c r="AC89" s="119">
        <f t="shared" si="14"/>
        <v>0</v>
      </c>
      <c r="AD89" s="119">
        <f t="shared" si="14"/>
        <v>0</v>
      </c>
      <c r="AE89" s="119">
        <f t="shared" si="14"/>
        <v>0</v>
      </c>
      <c r="AF89" s="119">
        <f t="shared" si="14"/>
        <v>0</v>
      </c>
      <c r="AG89" s="119">
        <f t="shared" si="14"/>
        <v>0</v>
      </c>
      <c r="AH89" s="119">
        <f t="shared" si="14"/>
        <v>0</v>
      </c>
      <c r="AI89" s="119">
        <f t="shared" si="14"/>
        <v>0</v>
      </c>
      <c r="AJ89" s="36" t="str">
        <f t="shared" si="6"/>
        <v/>
      </c>
      <c r="AK89" s="49"/>
      <c r="AL89" s="49" t="str">
        <f t="shared" si="9"/>
        <v>00</v>
      </c>
      <c r="AM89" s="51" t="str">
        <f t="shared" si="10"/>
        <v>00</v>
      </c>
      <c r="AN89" s="51" t="str">
        <f t="shared" si="11"/>
        <v>00</v>
      </c>
      <c r="AO89" s="51" t="str">
        <f t="shared" si="12"/>
        <v>00</v>
      </c>
      <c r="AQ89" t="str">
        <f t="shared" si="7"/>
        <v/>
      </c>
    </row>
    <row r="90" spans="2:43">
      <c r="B90" s="126"/>
      <c r="C90" s="36">
        <f t="shared" si="8"/>
        <v>19</v>
      </c>
      <c r="D90" s="119">
        <f t="shared" si="14"/>
        <v>0</v>
      </c>
      <c r="E90" s="119">
        <f t="shared" si="14"/>
        <v>0</v>
      </c>
      <c r="F90" s="119">
        <f t="shared" si="14"/>
        <v>0</v>
      </c>
      <c r="G90" s="119">
        <f t="shared" si="14"/>
        <v>0</v>
      </c>
      <c r="H90" s="119">
        <f t="shared" si="14"/>
        <v>0</v>
      </c>
      <c r="I90" s="119">
        <f t="shared" si="14"/>
        <v>0</v>
      </c>
      <c r="J90" s="119">
        <f t="shared" si="14"/>
        <v>0</v>
      </c>
      <c r="K90" s="119">
        <f t="shared" si="14"/>
        <v>0</v>
      </c>
      <c r="L90" s="119">
        <f t="shared" si="14"/>
        <v>0</v>
      </c>
      <c r="M90" s="119">
        <f t="shared" si="14"/>
        <v>0</v>
      </c>
      <c r="N90" s="119">
        <f t="shared" si="14"/>
        <v>0</v>
      </c>
      <c r="O90" s="119">
        <f t="shared" si="14"/>
        <v>0</v>
      </c>
      <c r="P90" s="119">
        <f t="shared" si="14"/>
        <v>0</v>
      </c>
      <c r="Q90" s="119">
        <f t="shared" si="14"/>
        <v>0</v>
      </c>
      <c r="R90" s="119">
        <f t="shared" si="14"/>
        <v>0</v>
      </c>
      <c r="S90" s="119">
        <f t="shared" si="14"/>
        <v>0</v>
      </c>
      <c r="T90" s="119">
        <f t="shared" si="14"/>
        <v>0</v>
      </c>
      <c r="U90" s="119">
        <f t="shared" si="14"/>
        <v>0</v>
      </c>
      <c r="V90" s="119">
        <f t="shared" si="14"/>
        <v>0</v>
      </c>
      <c r="W90" s="119">
        <f t="shared" si="14"/>
        <v>0</v>
      </c>
      <c r="X90" s="119">
        <f t="shared" si="14"/>
        <v>0</v>
      </c>
      <c r="Y90" s="119">
        <f t="shared" si="14"/>
        <v>0</v>
      </c>
      <c r="Z90" s="119">
        <f t="shared" si="14"/>
        <v>0</v>
      </c>
      <c r="AA90" s="119">
        <f t="shared" si="14"/>
        <v>0</v>
      </c>
      <c r="AB90" s="119">
        <f t="shared" si="14"/>
        <v>0</v>
      </c>
      <c r="AC90" s="119">
        <f t="shared" si="14"/>
        <v>0</v>
      </c>
      <c r="AD90" s="119">
        <f t="shared" si="14"/>
        <v>0</v>
      </c>
      <c r="AE90" s="119">
        <f t="shared" si="14"/>
        <v>0</v>
      </c>
      <c r="AF90" s="119">
        <f t="shared" si="14"/>
        <v>0</v>
      </c>
      <c r="AG90" s="119">
        <f t="shared" si="14"/>
        <v>0</v>
      </c>
      <c r="AH90" s="119">
        <f t="shared" si="14"/>
        <v>0</v>
      </c>
      <c r="AI90" s="119">
        <f t="shared" si="14"/>
        <v>0</v>
      </c>
      <c r="AJ90" s="36" t="str">
        <f t="shared" si="6"/>
        <v/>
      </c>
      <c r="AK90" s="49"/>
      <c r="AL90" s="49" t="str">
        <f t="shared" si="9"/>
        <v>00</v>
      </c>
      <c r="AM90" s="51" t="str">
        <f t="shared" si="10"/>
        <v>00</v>
      </c>
      <c r="AN90" s="51" t="str">
        <f t="shared" si="11"/>
        <v>00</v>
      </c>
      <c r="AO90" s="51" t="str">
        <f t="shared" si="12"/>
        <v>00</v>
      </c>
      <c r="AQ90" t="str">
        <f t="shared" si="7"/>
        <v/>
      </c>
    </row>
    <row r="91" spans="2:43">
      <c r="B91" s="126"/>
      <c r="C91" s="36">
        <f t="shared" si="8"/>
        <v>20</v>
      </c>
      <c r="D91" s="119">
        <f t="shared" si="14"/>
        <v>0</v>
      </c>
      <c r="E91" s="119">
        <f t="shared" si="14"/>
        <v>0</v>
      </c>
      <c r="F91" s="119">
        <f t="shared" si="14"/>
        <v>0</v>
      </c>
      <c r="G91" s="119">
        <f t="shared" si="14"/>
        <v>0</v>
      </c>
      <c r="H91" s="119">
        <f t="shared" si="14"/>
        <v>0</v>
      </c>
      <c r="I91" s="119">
        <f t="shared" si="14"/>
        <v>0</v>
      </c>
      <c r="J91" s="119">
        <f t="shared" si="14"/>
        <v>0</v>
      </c>
      <c r="K91" s="119">
        <f t="shared" si="14"/>
        <v>0</v>
      </c>
      <c r="L91" s="119">
        <f t="shared" si="14"/>
        <v>0</v>
      </c>
      <c r="M91" s="119">
        <f t="shared" si="14"/>
        <v>0</v>
      </c>
      <c r="N91" s="119">
        <f t="shared" si="14"/>
        <v>0</v>
      </c>
      <c r="O91" s="119">
        <f t="shared" si="14"/>
        <v>0</v>
      </c>
      <c r="P91" s="119">
        <f t="shared" si="14"/>
        <v>0</v>
      </c>
      <c r="Q91" s="119">
        <f t="shared" si="14"/>
        <v>0</v>
      </c>
      <c r="R91" s="119">
        <f t="shared" si="14"/>
        <v>0</v>
      </c>
      <c r="S91" s="119">
        <f t="shared" si="14"/>
        <v>0</v>
      </c>
      <c r="T91" s="119">
        <f t="shared" si="14"/>
        <v>0</v>
      </c>
      <c r="U91" s="119">
        <f t="shared" si="14"/>
        <v>0</v>
      </c>
      <c r="V91" s="119">
        <f t="shared" si="14"/>
        <v>0</v>
      </c>
      <c r="W91" s="119">
        <f t="shared" si="14"/>
        <v>0</v>
      </c>
      <c r="X91" s="119">
        <f t="shared" si="14"/>
        <v>0</v>
      </c>
      <c r="Y91" s="119">
        <f t="shared" si="14"/>
        <v>0</v>
      </c>
      <c r="Z91" s="119">
        <f t="shared" si="14"/>
        <v>0</v>
      </c>
      <c r="AA91" s="119">
        <f t="shared" si="14"/>
        <v>0</v>
      </c>
      <c r="AB91" s="119">
        <f t="shared" si="14"/>
        <v>0</v>
      </c>
      <c r="AC91" s="119">
        <f t="shared" si="14"/>
        <v>0</v>
      </c>
      <c r="AD91" s="119">
        <f t="shared" si="14"/>
        <v>0</v>
      </c>
      <c r="AE91" s="119">
        <f t="shared" si="14"/>
        <v>0</v>
      </c>
      <c r="AF91" s="119">
        <f t="shared" si="14"/>
        <v>0</v>
      </c>
      <c r="AG91" s="119">
        <f t="shared" si="14"/>
        <v>0</v>
      </c>
      <c r="AH91" s="119">
        <f t="shared" si="14"/>
        <v>0</v>
      </c>
      <c r="AI91" s="119">
        <f t="shared" si="14"/>
        <v>0</v>
      </c>
      <c r="AJ91" s="36" t="str">
        <f t="shared" si="6"/>
        <v/>
      </c>
      <c r="AK91" s="49"/>
      <c r="AL91" s="49" t="str">
        <f t="shared" si="9"/>
        <v>00</v>
      </c>
      <c r="AM91" s="51" t="str">
        <f t="shared" si="10"/>
        <v>00</v>
      </c>
      <c r="AN91" s="51" t="str">
        <f t="shared" si="11"/>
        <v>00</v>
      </c>
      <c r="AO91" s="51" t="str">
        <f t="shared" si="12"/>
        <v>00</v>
      </c>
      <c r="AQ91" t="str">
        <f t="shared" si="7"/>
        <v/>
      </c>
    </row>
    <row r="92" spans="2:43">
      <c r="B92" s="126"/>
      <c r="C92" s="36">
        <f t="shared" si="8"/>
        <v>21</v>
      </c>
      <c r="D92" s="119">
        <f t="shared" si="14"/>
        <v>0</v>
      </c>
      <c r="E92" s="119">
        <f t="shared" si="14"/>
        <v>0</v>
      </c>
      <c r="F92" s="119">
        <f t="shared" si="14"/>
        <v>0</v>
      </c>
      <c r="G92" s="119">
        <f t="shared" si="14"/>
        <v>0</v>
      </c>
      <c r="H92" s="119">
        <f t="shared" si="14"/>
        <v>0</v>
      </c>
      <c r="I92" s="119">
        <f t="shared" si="14"/>
        <v>0</v>
      </c>
      <c r="J92" s="119">
        <f t="shared" si="14"/>
        <v>0</v>
      </c>
      <c r="K92" s="119">
        <f t="shared" si="14"/>
        <v>0</v>
      </c>
      <c r="L92" s="119">
        <f t="shared" si="14"/>
        <v>0</v>
      </c>
      <c r="M92" s="119">
        <f t="shared" si="14"/>
        <v>0</v>
      </c>
      <c r="N92" s="119">
        <f t="shared" si="14"/>
        <v>0</v>
      </c>
      <c r="O92" s="119">
        <f t="shared" si="14"/>
        <v>0</v>
      </c>
      <c r="P92" s="119">
        <f t="shared" si="14"/>
        <v>0</v>
      </c>
      <c r="Q92" s="119">
        <f t="shared" si="14"/>
        <v>0</v>
      </c>
      <c r="R92" s="119">
        <f t="shared" si="14"/>
        <v>0</v>
      </c>
      <c r="S92" s="119">
        <f t="shared" si="14"/>
        <v>0</v>
      </c>
      <c r="T92" s="119">
        <f t="shared" si="14"/>
        <v>0</v>
      </c>
      <c r="U92" s="119">
        <f t="shared" si="14"/>
        <v>0</v>
      </c>
      <c r="V92" s="119">
        <f t="shared" si="14"/>
        <v>0</v>
      </c>
      <c r="W92" s="119">
        <f t="shared" si="14"/>
        <v>0</v>
      </c>
      <c r="X92" s="119">
        <f t="shared" si="14"/>
        <v>0</v>
      </c>
      <c r="Y92" s="119">
        <f t="shared" si="14"/>
        <v>0</v>
      </c>
      <c r="Z92" s="119">
        <f t="shared" si="14"/>
        <v>0</v>
      </c>
      <c r="AA92" s="119">
        <f t="shared" si="14"/>
        <v>0</v>
      </c>
      <c r="AB92" s="119">
        <f t="shared" si="14"/>
        <v>0</v>
      </c>
      <c r="AC92" s="119">
        <f t="shared" si="14"/>
        <v>0</v>
      </c>
      <c r="AD92" s="119">
        <f t="shared" si="14"/>
        <v>0</v>
      </c>
      <c r="AE92" s="119">
        <f t="shared" si="14"/>
        <v>0</v>
      </c>
      <c r="AF92" s="119">
        <f t="shared" si="14"/>
        <v>0</v>
      </c>
      <c r="AG92" s="119">
        <f t="shared" si="14"/>
        <v>0</v>
      </c>
      <c r="AH92" s="119">
        <f t="shared" si="14"/>
        <v>0</v>
      </c>
      <c r="AI92" s="119">
        <f t="shared" si="14"/>
        <v>0</v>
      </c>
      <c r="AJ92" s="36" t="str">
        <f t="shared" si="6"/>
        <v/>
      </c>
      <c r="AK92" s="49"/>
      <c r="AL92" s="49" t="str">
        <f t="shared" si="9"/>
        <v>00</v>
      </c>
      <c r="AM92" s="51" t="str">
        <f t="shared" si="10"/>
        <v>00</v>
      </c>
      <c r="AN92" s="51" t="str">
        <f t="shared" si="11"/>
        <v>00</v>
      </c>
      <c r="AO92" s="51" t="str">
        <f t="shared" si="12"/>
        <v>00</v>
      </c>
      <c r="AQ92" t="str">
        <f t="shared" si="7"/>
        <v/>
      </c>
    </row>
    <row r="93" spans="2:43">
      <c r="B93" s="126"/>
      <c r="C93" s="36">
        <f t="shared" si="8"/>
        <v>22</v>
      </c>
      <c r="D93" s="119">
        <f t="shared" si="14"/>
        <v>0</v>
      </c>
      <c r="E93" s="119">
        <f t="shared" si="14"/>
        <v>0</v>
      </c>
      <c r="F93" s="119">
        <f t="shared" si="14"/>
        <v>0</v>
      </c>
      <c r="G93" s="119">
        <f t="shared" si="14"/>
        <v>0</v>
      </c>
      <c r="H93" s="119">
        <f t="shared" si="14"/>
        <v>0</v>
      </c>
      <c r="I93" s="119">
        <f t="shared" si="14"/>
        <v>0</v>
      </c>
      <c r="J93" s="119">
        <f t="shared" si="14"/>
        <v>0</v>
      </c>
      <c r="K93" s="119">
        <f t="shared" si="14"/>
        <v>0</v>
      </c>
      <c r="L93" s="119">
        <f t="shared" si="14"/>
        <v>0</v>
      </c>
      <c r="M93" s="119">
        <f t="shared" si="14"/>
        <v>0</v>
      </c>
      <c r="N93" s="119">
        <f t="shared" si="14"/>
        <v>0</v>
      </c>
      <c r="O93" s="119">
        <f t="shared" si="14"/>
        <v>0</v>
      </c>
      <c r="P93" s="119">
        <f t="shared" si="14"/>
        <v>0</v>
      </c>
      <c r="Q93" s="119">
        <f t="shared" si="14"/>
        <v>0</v>
      </c>
      <c r="R93" s="119">
        <f t="shared" si="14"/>
        <v>0</v>
      </c>
      <c r="S93" s="119">
        <f t="shared" si="14"/>
        <v>0</v>
      </c>
      <c r="T93" s="119">
        <f t="shared" si="14"/>
        <v>0</v>
      </c>
      <c r="U93" s="119">
        <f t="shared" si="14"/>
        <v>0</v>
      </c>
      <c r="V93" s="119">
        <f t="shared" si="14"/>
        <v>0</v>
      </c>
      <c r="W93" s="119">
        <f t="shared" si="14"/>
        <v>0</v>
      </c>
      <c r="X93" s="119">
        <f t="shared" si="14"/>
        <v>0</v>
      </c>
      <c r="Y93" s="119">
        <f t="shared" si="14"/>
        <v>0</v>
      </c>
      <c r="Z93" s="119">
        <f t="shared" si="14"/>
        <v>0</v>
      </c>
      <c r="AA93" s="119">
        <f t="shared" si="14"/>
        <v>0</v>
      </c>
      <c r="AB93" s="119">
        <f t="shared" si="14"/>
        <v>0</v>
      </c>
      <c r="AC93" s="119">
        <f t="shared" si="14"/>
        <v>0</v>
      </c>
      <c r="AD93" s="119">
        <f t="shared" si="14"/>
        <v>0</v>
      </c>
      <c r="AE93" s="119">
        <f t="shared" si="14"/>
        <v>0</v>
      </c>
      <c r="AF93" s="119">
        <f t="shared" si="14"/>
        <v>0</v>
      </c>
      <c r="AG93" s="119">
        <f t="shared" si="14"/>
        <v>0</v>
      </c>
      <c r="AH93" s="119">
        <f t="shared" si="14"/>
        <v>0</v>
      </c>
      <c r="AI93" s="119">
        <f t="shared" si="14"/>
        <v>0</v>
      </c>
      <c r="AJ93" s="36" t="str">
        <f t="shared" si="6"/>
        <v/>
      </c>
      <c r="AK93" s="49"/>
      <c r="AL93" s="49" t="str">
        <f t="shared" si="9"/>
        <v>00</v>
      </c>
      <c r="AM93" s="51" t="str">
        <f t="shared" si="10"/>
        <v>00</v>
      </c>
      <c r="AN93" s="51" t="str">
        <f t="shared" si="11"/>
        <v>00</v>
      </c>
      <c r="AO93" s="51" t="str">
        <f t="shared" si="12"/>
        <v>00</v>
      </c>
      <c r="AQ93" t="str">
        <f t="shared" si="7"/>
        <v/>
      </c>
    </row>
    <row r="94" spans="2:43">
      <c r="B94" s="126"/>
      <c r="C94" s="36">
        <f t="shared" si="8"/>
        <v>23</v>
      </c>
      <c r="D94" s="119">
        <f t="shared" si="14"/>
        <v>0</v>
      </c>
      <c r="E94" s="119">
        <f t="shared" si="14"/>
        <v>0</v>
      </c>
      <c r="F94" s="119">
        <f t="shared" si="14"/>
        <v>0</v>
      </c>
      <c r="G94" s="119">
        <f t="shared" si="14"/>
        <v>0</v>
      </c>
      <c r="H94" s="119">
        <f t="shared" si="14"/>
        <v>0</v>
      </c>
      <c r="I94" s="119">
        <f t="shared" si="14"/>
        <v>0</v>
      </c>
      <c r="J94" s="119">
        <f t="shared" si="14"/>
        <v>0</v>
      </c>
      <c r="K94" s="119">
        <f t="shared" si="14"/>
        <v>0</v>
      </c>
      <c r="L94" s="119">
        <f t="shared" si="14"/>
        <v>0</v>
      </c>
      <c r="M94" s="119">
        <f t="shared" si="14"/>
        <v>0</v>
      </c>
      <c r="N94" s="119">
        <f t="shared" si="14"/>
        <v>0</v>
      </c>
      <c r="O94" s="119">
        <f t="shared" si="14"/>
        <v>0</v>
      </c>
      <c r="P94" s="119">
        <f t="shared" si="14"/>
        <v>0</v>
      </c>
      <c r="Q94" s="119">
        <f t="shared" si="14"/>
        <v>0</v>
      </c>
      <c r="R94" s="119">
        <f t="shared" si="14"/>
        <v>0</v>
      </c>
      <c r="S94" s="119">
        <f t="shared" si="14"/>
        <v>0</v>
      </c>
      <c r="T94" s="119">
        <f t="shared" si="14"/>
        <v>0</v>
      </c>
      <c r="U94" s="119">
        <f t="shared" si="14"/>
        <v>0</v>
      </c>
      <c r="V94" s="119">
        <f t="shared" si="14"/>
        <v>0</v>
      </c>
      <c r="W94" s="119">
        <f t="shared" si="14"/>
        <v>0</v>
      </c>
      <c r="X94" s="119">
        <f t="shared" si="14"/>
        <v>0</v>
      </c>
      <c r="Y94" s="119">
        <f t="shared" si="14"/>
        <v>0</v>
      </c>
      <c r="Z94" s="119">
        <f t="shared" si="14"/>
        <v>0</v>
      </c>
      <c r="AA94" s="119">
        <f t="shared" si="14"/>
        <v>0</v>
      </c>
      <c r="AB94" s="119">
        <f t="shared" si="14"/>
        <v>0</v>
      </c>
      <c r="AC94" s="119">
        <f t="shared" si="14"/>
        <v>0</v>
      </c>
      <c r="AD94" s="119">
        <f t="shared" si="14"/>
        <v>0</v>
      </c>
      <c r="AE94" s="119">
        <f t="shared" si="14"/>
        <v>0</v>
      </c>
      <c r="AF94" s="119">
        <f t="shared" si="14"/>
        <v>0</v>
      </c>
      <c r="AG94" s="119">
        <f t="shared" si="14"/>
        <v>0</v>
      </c>
      <c r="AH94" s="119">
        <f t="shared" si="14"/>
        <v>0</v>
      </c>
      <c r="AI94" s="119">
        <f>IF(AI29=1,1,0)</f>
        <v>0</v>
      </c>
      <c r="AJ94" s="36" t="str">
        <f t="shared" si="6"/>
        <v/>
      </c>
      <c r="AK94" s="49"/>
      <c r="AL94" s="49" t="str">
        <f t="shared" si="9"/>
        <v>00</v>
      </c>
      <c r="AM94" s="51" t="str">
        <f t="shared" si="10"/>
        <v>00</v>
      </c>
      <c r="AN94" s="51" t="str">
        <f t="shared" si="11"/>
        <v>00</v>
      </c>
      <c r="AO94" s="51" t="str">
        <f t="shared" si="12"/>
        <v>00</v>
      </c>
      <c r="AQ94" t="str">
        <f t="shared" si="7"/>
        <v/>
      </c>
    </row>
    <row r="95" spans="2:43">
      <c r="B95" s="126"/>
      <c r="C95" s="36">
        <f t="shared" si="8"/>
        <v>24</v>
      </c>
      <c r="D95" s="119">
        <f t="shared" ref="D95:AI102" si="15">IF(D30=1,1,0)</f>
        <v>0</v>
      </c>
      <c r="E95" s="119">
        <f t="shared" si="15"/>
        <v>0</v>
      </c>
      <c r="F95" s="119">
        <f t="shared" si="15"/>
        <v>0</v>
      </c>
      <c r="G95" s="119">
        <f t="shared" si="15"/>
        <v>0</v>
      </c>
      <c r="H95" s="119">
        <f t="shared" si="15"/>
        <v>0</v>
      </c>
      <c r="I95" s="119">
        <f t="shared" si="15"/>
        <v>0</v>
      </c>
      <c r="J95" s="119">
        <f t="shared" si="15"/>
        <v>0</v>
      </c>
      <c r="K95" s="119">
        <f t="shared" si="15"/>
        <v>0</v>
      </c>
      <c r="L95" s="119">
        <f t="shared" si="15"/>
        <v>0</v>
      </c>
      <c r="M95" s="119">
        <f t="shared" si="15"/>
        <v>0</v>
      </c>
      <c r="N95" s="119">
        <f t="shared" si="15"/>
        <v>0</v>
      </c>
      <c r="O95" s="119">
        <f t="shared" si="15"/>
        <v>0</v>
      </c>
      <c r="P95" s="119">
        <f t="shared" si="15"/>
        <v>0</v>
      </c>
      <c r="Q95" s="119">
        <f t="shared" si="15"/>
        <v>0</v>
      </c>
      <c r="R95" s="119">
        <f t="shared" si="15"/>
        <v>0</v>
      </c>
      <c r="S95" s="119">
        <f t="shared" si="15"/>
        <v>0</v>
      </c>
      <c r="T95" s="119">
        <f t="shared" si="15"/>
        <v>0</v>
      </c>
      <c r="U95" s="119">
        <f t="shared" si="15"/>
        <v>0</v>
      </c>
      <c r="V95" s="119">
        <f t="shared" si="15"/>
        <v>0</v>
      </c>
      <c r="W95" s="119">
        <f t="shared" si="15"/>
        <v>0</v>
      </c>
      <c r="X95" s="119">
        <f t="shared" si="15"/>
        <v>0</v>
      </c>
      <c r="Y95" s="119">
        <f t="shared" si="15"/>
        <v>0</v>
      </c>
      <c r="Z95" s="119">
        <f t="shared" si="15"/>
        <v>0</v>
      </c>
      <c r="AA95" s="119">
        <f t="shared" si="15"/>
        <v>0</v>
      </c>
      <c r="AB95" s="119">
        <f t="shared" si="15"/>
        <v>0</v>
      </c>
      <c r="AC95" s="119">
        <f t="shared" si="15"/>
        <v>0</v>
      </c>
      <c r="AD95" s="119">
        <f t="shared" si="15"/>
        <v>0</v>
      </c>
      <c r="AE95" s="119">
        <f t="shared" si="15"/>
        <v>0</v>
      </c>
      <c r="AF95" s="119">
        <f t="shared" si="15"/>
        <v>0</v>
      </c>
      <c r="AG95" s="119">
        <f t="shared" si="15"/>
        <v>0</v>
      </c>
      <c r="AH95" s="119">
        <f t="shared" si="15"/>
        <v>0</v>
      </c>
      <c r="AI95" s="119">
        <f t="shared" si="15"/>
        <v>0</v>
      </c>
      <c r="AJ95" s="36" t="str">
        <f t="shared" si="6"/>
        <v/>
      </c>
      <c r="AK95" s="49"/>
      <c r="AL95" s="49" t="str">
        <f t="shared" si="9"/>
        <v>00</v>
      </c>
      <c r="AM95" s="51" t="str">
        <f t="shared" si="10"/>
        <v>00</v>
      </c>
      <c r="AN95" s="51" t="str">
        <f t="shared" si="11"/>
        <v>00</v>
      </c>
      <c r="AO95" s="51" t="str">
        <f t="shared" si="12"/>
        <v>00</v>
      </c>
      <c r="AQ95" t="str">
        <f t="shared" si="7"/>
        <v/>
      </c>
    </row>
    <row r="96" spans="2:43">
      <c r="B96" s="126"/>
      <c r="C96" s="36">
        <f t="shared" si="8"/>
        <v>25</v>
      </c>
      <c r="D96" s="119">
        <f t="shared" si="15"/>
        <v>0</v>
      </c>
      <c r="E96" s="119">
        <f t="shared" si="15"/>
        <v>0</v>
      </c>
      <c r="F96" s="119">
        <f t="shared" si="15"/>
        <v>0</v>
      </c>
      <c r="G96" s="119">
        <f t="shared" si="15"/>
        <v>0</v>
      </c>
      <c r="H96" s="119">
        <f t="shared" si="15"/>
        <v>0</v>
      </c>
      <c r="I96" s="119">
        <f t="shared" si="15"/>
        <v>0</v>
      </c>
      <c r="J96" s="119">
        <f t="shared" si="15"/>
        <v>0</v>
      </c>
      <c r="K96" s="119">
        <f t="shared" si="15"/>
        <v>0</v>
      </c>
      <c r="L96" s="119">
        <f t="shared" si="15"/>
        <v>0</v>
      </c>
      <c r="M96" s="119">
        <f t="shared" si="15"/>
        <v>0</v>
      </c>
      <c r="N96" s="119">
        <f t="shared" si="15"/>
        <v>0</v>
      </c>
      <c r="O96" s="119">
        <f t="shared" si="15"/>
        <v>0</v>
      </c>
      <c r="P96" s="119">
        <f t="shared" si="15"/>
        <v>0</v>
      </c>
      <c r="Q96" s="119">
        <f t="shared" si="15"/>
        <v>0</v>
      </c>
      <c r="R96" s="119">
        <f t="shared" si="15"/>
        <v>0</v>
      </c>
      <c r="S96" s="119">
        <f t="shared" si="15"/>
        <v>0</v>
      </c>
      <c r="T96" s="119">
        <f t="shared" si="15"/>
        <v>0</v>
      </c>
      <c r="U96" s="119">
        <f t="shared" si="15"/>
        <v>0</v>
      </c>
      <c r="V96" s="119">
        <f t="shared" si="15"/>
        <v>0</v>
      </c>
      <c r="W96" s="119">
        <f t="shared" si="15"/>
        <v>0</v>
      </c>
      <c r="X96" s="119">
        <f t="shared" si="15"/>
        <v>0</v>
      </c>
      <c r="Y96" s="119">
        <f t="shared" si="15"/>
        <v>0</v>
      </c>
      <c r="Z96" s="119">
        <f t="shared" si="15"/>
        <v>0</v>
      </c>
      <c r="AA96" s="119">
        <f t="shared" si="15"/>
        <v>0</v>
      </c>
      <c r="AB96" s="119">
        <f t="shared" si="15"/>
        <v>0</v>
      </c>
      <c r="AC96" s="119">
        <f t="shared" si="15"/>
        <v>0</v>
      </c>
      <c r="AD96" s="119">
        <f t="shared" si="15"/>
        <v>0</v>
      </c>
      <c r="AE96" s="119">
        <f t="shared" si="15"/>
        <v>0</v>
      </c>
      <c r="AF96" s="119">
        <f t="shared" si="15"/>
        <v>0</v>
      </c>
      <c r="AG96" s="119">
        <f t="shared" si="15"/>
        <v>0</v>
      </c>
      <c r="AH96" s="119">
        <f t="shared" si="15"/>
        <v>0</v>
      </c>
      <c r="AI96" s="119">
        <f t="shared" si="15"/>
        <v>0</v>
      </c>
      <c r="AJ96" s="36" t="str">
        <f t="shared" si="6"/>
        <v/>
      </c>
      <c r="AK96" s="49"/>
      <c r="AL96" s="49" t="str">
        <f t="shared" si="9"/>
        <v>00</v>
      </c>
      <c r="AM96" s="51" t="str">
        <f t="shared" si="10"/>
        <v>00</v>
      </c>
      <c r="AN96" s="51" t="str">
        <f t="shared" si="11"/>
        <v>00</v>
      </c>
      <c r="AO96" s="51" t="str">
        <f t="shared" si="12"/>
        <v>00</v>
      </c>
      <c r="AQ96" t="str">
        <f t="shared" si="7"/>
        <v/>
      </c>
    </row>
    <row r="97" spans="2:43">
      <c r="B97" s="126"/>
      <c r="C97" s="36">
        <f t="shared" si="8"/>
        <v>26</v>
      </c>
      <c r="D97" s="119">
        <f t="shared" si="15"/>
        <v>0</v>
      </c>
      <c r="E97" s="119">
        <f t="shared" si="15"/>
        <v>0</v>
      </c>
      <c r="F97" s="119">
        <f t="shared" si="15"/>
        <v>0</v>
      </c>
      <c r="G97" s="119">
        <f t="shared" si="15"/>
        <v>0</v>
      </c>
      <c r="H97" s="119">
        <f t="shared" si="15"/>
        <v>0</v>
      </c>
      <c r="I97" s="119">
        <f t="shared" si="15"/>
        <v>0</v>
      </c>
      <c r="J97" s="119">
        <f t="shared" si="15"/>
        <v>0</v>
      </c>
      <c r="K97" s="119">
        <f t="shared" si="15"/>
        <v>0</v>
      </c>
      <c r="L97" s="119">
        <f t="shared" si="15"/>
        <v>0</v>
      </c>
      <c r="M97" s="119">
        <f t="shared" si="15"/>
        <v>0</v>
      </c>
      <c r="N97" s="119">
        <f t="shared" si="15"/>
        <v>0</v>
      </c>
      <c r="O97" s="119">
        <f t="shared" si="15"/>
        <v>0</v>
      </c>
      <c r="P97" s="119">
        <f t="shared" si="15"/>
        <v>0</v>
      </c>
      <c r="Q97" s="119">
        <f t="shared" si="15"/>
        <v>0</v>
      </c>
      <c r="R97" s="119">
        <f t="shared" si="15"/>
        <v>0</v>
      </c>
      <c r="S97" s="119">
        <f t="shared" si="15"/>
        <v>0</v>
      </c>
      <c r="T97" s="119">
        <f t="shared" si="15"/>
        <v>0</v>
      </c>
      <c r="U97" s="119">
        <f t="shared" si="15"/>
        <v>0</v>
      </c>
      <c r="V97" s="119">
        <f t="shared" si="15"/>
        <v>0</v>
      </c>
      <c r="W97" s="119">
        <f t="shared" si="15"/>
        <v>0</v>
      </c>
      <c r="X97" s="119">
        <f t="shared" si="15"/>
        <v>0</v>
      </c>
      <c r="Y97" s="119">
        <f t="shared" si="15"/>
        <v>0</v>
      </c>
      <c r="Z97" s="119">
        <f t="shared" si="15"/>
        <v>0</v>
      </c>
      <c r="AA97" s="119">
        <f t="shared" si="15"/>
        <v>0</v>
      </c>
      <c r="AB97" s="119">
        <f t="shared" si="15"/>
        <v>0</v>
      </c>
      <c r="AC97" s="119">
        <f t="shared" si="15"/>
        <v>0</v>
      </c>
      <c r="AD97" s="119">
        <f t="shared" si="15"/>
        <v>0</v>
      </c>
      <c r="AE97" s="119">
        <f t="shared" si="15"/>
        <v>0</v>
      </c>
      <c r="AF97" s="119">
        <f t="shared" si="15"/>
        <v>0</v>
      </c>
      <c r="AG97" s="119">
        <f t="shared" si="15"/>
        <v>0</v>
      </c>
      <c r="AH97" s="119">
        <f t="shared" si="15"/>
        <v>0</v>
      </c>
      <c r="AI97" s="119">
        <f t="shared" si="15"/>
        <v>0</v>
      </c>
      <c r="AJ97" s="36" t="str">
        <f t="shared" si="6"/>
        <v/>
      </c>
      <c r="AK97" s="49"/>
      <c r="AL97" s="49" t="str">
        <f t="shared" si="9"/>
        <v>00</v>
      </c>
      <c r="AM97" s="51" t="str">
        <f t="shared" si="10"/>
        <v>00</v>
      </c>
      <c r="AN97" s="51" t="str">
        <f t="shared" si="11"/>
        <v>00</v>
      </c>
      <c r="AO97" s="51" t="str">
        <f t="shared" si="12"/>
        <v>00</v>
      </c>
      <c r="AQ97" t="str">
        <f t="shared" si="7"/>
        <v/>
      </c>
    </row>
    <row r="98" spans="2:43">
      <c r="B98" s="126"/>
      <c r="C98" s="36">
        <f t="shared" si="8"/>
        <v>27</v>
      </c>
      <c r="D98" s="119">
        <f t="shared" si="15"/>
        <v>0</v>
      </c>
      <c r="E98" s="119">
        <f t="shared" si="15"/>
        <v>0</v>
      </c>
      <c r="F98" s="119">
        <f t="shared" si="15"/>
        <v>0</v>
      </c>
      <c r="G98" s="119">
        <f t="shared" si="15"/>
        <v>0</v>
      </c>
      <c r="H98" s="119">
        <f t="shared" si="15"/>
        <v>0</v>
      </c>
      <c r="I98" s="119">
        <f t="shared" si="15"/>
        <v>0</v>
      </c>
      <c r="J98" s="119">
        <f t="shared" si="15"/>
        <v>0</v>
      </c>
      <c r="K98" s="119">
        <f t="shared" si="15"/>
        <v>0</v>
      </c>
      <c r="L98" s="119">
        <f t="shared" si="15"/>
        <v>0</v>
      </c>
      <c r="M98" s="119">
        <f t="shared" si="15"/>
        <v>0</v>
      </c>
      <c r="N98" s="119">
        <f t="shared" si="15"/>
        <v>0</v>
      </c>
      <c r="O98" s="119">
        <f t="shared" si="15"/>
        <v>0</v>
      </c>
      <c r="P98" s="119">
        <f t="shared" si="15"/>
        <v>0</v>
      </c>
      <c r="Q98" s="119">
        <f t="shared" si="15"/>
        <v>0</v>
      </c>
      <c r="R98" s="119">
        <f t="shared" si="15"/>
        <v>0</v>
      </c>
      <c r="S98" s="119">
        <f t="shared" si="15"/>
        <v>0</v>
      </c>
      <c r="T98" s="119">
        <f t="shared" si="15"/>
        <v>0</v>
      </c>
      <c r="U98" s="119">
        <f t="shared" si="15"/>
        <v>0</v>
      </c>
      <c r="V98" s="119">
        <f t="shared" si="15"/>
        <v>0</v>
      </c>
      <c r="W98" s="119">
        <f t="shared" si="15"/>
        <v>0</v>
      </c>
      <c r="X98" s="119">
        <f t="shared" si="15"/>
        <v>0</v>
      </c>
      <c r="Y98" s="119">
        <f t="shared" si="15"/>
        <v>0</v>
      </c>
      <c r="Z98" s="119">
        <f t="shared" si="15"/>
        <v>0</v>
      </c>
      <c r="AA98" s="119">
        <f t="shared" si="15"/>
        <v>0</v>
      </c>
      <c r="AB98" s="119">
        <f t="shared" si="15"/>
        <v>0</v>
      </c>
      <c r="AC98" s="119">
        <f t="shared" si="15"/>
        <v>0</v>
      </c>
      <c r="AD98" s="119">
        <f t="shared" si="15"/>
        <v>0</v>
      </c>
      <c r="AE98" s="119">
        <f t="shared" si="15"/>
        <v>0</v>
      </c>
      <c r="AF98" s="119">
        <f t="shared" si="15"/>
        <v>0</v>
      </c>
      <c r="AG98" s="119">
        <f t="shared" si="15"/>
        <v>0</v>
      </c>
      <c r="AH98" s="119">
        <f t="shared" si="15"/>
        <v>0</v>
      </c>
      <c r="AI98" s="119">
        <f t="shared" si="15"/>
        <v>0</v>
      </c>
      <c r="AJ98" s="36" t="str">
        <f t="shared" si="6"/>
        <v/>
      </c>
      <c r="AK98" s="49"/>
      <c r="AL98" s="49" t="str">
        <f t="shared" si="9"/>
        <v>00</v>
      </c>
      <c r="AM98" s="51" t="str">
        <f t="shared" si="10"/>
        <v>00</v>
      </c>
      <c r="AN98" s="51" t="str">
        <f t="shared" si="11"/>
        <v>00</v>
      </c>
      <c r="AO98" s="51" t="str">
        <f t="shared" si="12"/>
        <v>00</v>
      </c>
      <c r="AQ98" t="str">
        <f t="shared" si="7"/>
        <v/>
      </c>
    </row>
    <row r="99" spans="2:43">
      <c r="B99" s="126"/>
      <c r="C99" s="36">
        <f t="shared" si="8"/>
        <v>28</v>
      </c>
      <c r="D99" s="119">
        <f t="shared" si="15"/>
        <v>0</v>
      </c>
      <c r="E99" s="119">
        <f t="shared" si="15"/>
        <v>0</v>
      </c>
      <c r="F99" s="119">
        <f t="shared" si="15"/>
        <v>0</v>
      </c>
      <c r="G99" s="119">
        <f t="shared" si="15"/>
        <v>0</v>
      </c>
      <c r="H99" s="119">
        <f t="shared" si="15"/>
        <v>0</v>
      </c>
      <c r="I99" s="119">
        <f t="shared" si="15"/>
        <v>0</v>
      </c>
      <c r="J99" s="119">
        <f t="shared" si="15"/>
        <v>0</v>
      </c>
      <c r="K99" s="119">
        <f t="shared" si="15"/>
        <v>0</v>
      </c>
      <c r="L99" s="119">
        <f t="shared" si="15"/>
        <v>0</v>
      </c>
      <c r="M99" s="119">
        <f t="shared" si="15"/>
        <v>0</v>
      </c>
      <c r="N99" s="119">
        <f t="shared" si="15"/>
        <v>0</v>
      </c>
      <c r="O99" s="119">
        <f t="shared" si="15"/>
        <v>0</v>
      </c>
      <c r="P99" s="119">
        <f t="shared" si="15"/>
        <v>0</v>
      </c>
      <c r="Q99" s="119">
        <f t="shared" si="15"/>
        <v>0</v>
      </c>
      <c r="R99" s="119">
        <f t="shared" si="15"/>
        <v>0</v>
      </c>
      <c r="S99" s="119">
        <f t="shared" si="15"/>
        <v>0</v>
      </c>
      <c r="T99" s="119">
        <f t="shared" si="15"/>
        <v>0</v>
      </c>
      <c r="U99" s="119">
        <f t="shared" si="15"/>
        <v>0</v>
      </c>
      <c r="V99" s="119">
        <f t="shared" si="15"/>
        <v>0</v>
      </c>
      <c r="W99" s="119">
        <f t="shared" si="15"/>
        <v>0</v>
      </c>
      <c r="X99" s="119">
        <f t="shared" si="15"/>
        <v>0</v>
      </c>
      <c r="Y99" s="119">
        <f t="shared" si="15"/>
        <v>0</v>
      </c>
      <c r="Z99" s="119">
        <f t="shared" si="15"/>
        <v>0</v>
      </c>
      <c r="AA99" s="119">
        <f t="shared" si="15"/>
        <v>0</v>
      </c>
      <c r="AB99" s="119">
        <f t="shared" si="15"/>
        <v>0</v>
      </c>
      <c r="AC99" s="119">
        <f t="shared" si="15"/>
        <v>0</v>
      </c>
      <c r="AD99" s="119">
        <f t="shared" si="15"/>
        <v>0</v>
      </c>
      <c r="AE99" s="119">
        <f t="shared" si="15"/>
        <v>0</v>
      </c>
      <c r="AF99" s="119">
        <f t="shared" si="15"/>
        <v>0</v>
      </c>
      <c r="AG99" s="119">
        <f t="shared" si="15"/>
        <v>0</v>
      </c>
      <c r="AH99" s="119">
        <f t="shared" si="15"/>
        <v>0</v>
      </c>
      <c r="AI99" s="119">
        <f t="shared" si="15"/>
        <v>0</v>
      </c>
      <c r="AJ99" s="36" t="str">
        <f t="shared" si="6"/>
        <v/>
      </c>
      <c r="AK99" s="49"/>
      <c r="AL99" s="49" t="str">
        <f t="shared" si="9"/>
        <v>00</v>
      </c>
      <c r="AM99" s="51" t="str">
        <f t="shared" si="10"/>
        <v>00</v>
      </c>
      <c r="AN99" s="51" t="str">
        <f t="shared" si="11"/>
        <v>00</v>
      </c>
      <c r="AO99" s="51" t="str">
        <f t="shared" si="12"/>
        <v>00</v>
      </c>
      <c r="AQ99" t="str">
        <f t="shared" si="7"/>
        <v/>
      </c>
    </row>
    <row r="100" spans="2:43">
      <c r="B100" s="126"/>
      <c r="C100" s="36">
        <f t="shared" si="8"/>
        <v>29</v>
      </c>
      <c r="D100" s="119">
        <f t="shared" si="15"/>
        <v>0</v>
      </c>
      <c r="E100" s="119">
        <f t="shared" si="15"/>
        <v>0</v>
      </c>
      <c r="F100" s="119">
        <f t="shared" si="15"/>
        <v>0</v>
      </c>
      <c r="G100" s="119">
        <f t="shared" si="15"/>
        <v>0</v>
      </c>
      <c r="H100" s="119">
        <f t="shared" si="15"/>
        <v>0</v>
      </c>
      <c r="I100" s="119">
        <f t="shared" si="15"/>
        <v>0</v>
      </c>
      <c r="J100" s="119">
        <f t="shared" si="15"/>
        <v>0</v>
      </c>
      <c r="K100" s="119">
        <f t="shared" si="15"/>
        <v>0</v>
      </c>
      <c r="L100" s="119">
        <f t="shared" si="15"/>
        <v>0</v>
      </c>
      <c r="M100" s="119">
        <f t="shared" si="15"/>
        <v>0</v>
      </c>
      <c r="N100" s="119">
        <f t="shared" si="15"/>
        <v>0</v>
      </c>
      <c r="O100" s="119">
        <f t="shared" si="15"/>
        <v>0</v>
      </c>
      <c r="P100" s="119">
        <f t="shared" si="15"/>
        <v>0</v>
      </c>
      <c r="Q100" s="119">
        <f t="shared" si="15"/>
        <v>0</v>
      </c>
      <c r="R100" s="119">
        <f t="shared" si="15"/>
        <v>0</v>
      </c>
      <c r="S100" s="119">
        <f t="shared" si="15"/>
        <v>0</v>
      </c>
      <c r="T100" s="119">
        <f t="shared" si="15"/>
        <v>0</v>
      </c>
      <c r="U100" s="119">
        <f t="shared" si="15"/>
        <v>0</v>
      </c>
      <c r="V100" s="119">
        <f t="shared" si="15"/>
        <v>0</v>
      </c>
      <c r="W100" s="119">
        <f t="shared" si="15"/>
        <v>0</v>
      </c>
      <c r="X100" s="119">
        <f t="shared" si="15"/>
        <v>0</v>
      </c>
      <c r="Y100" s="119">
        <f t="shared" si="15"/>
        <v>0</v>
      </c>
      <c r="Z100" s="119">
        <f t="shared" si="15"/>
        <v>0</v>
      </c>
      <c r="AA100" s="119">
        <f t="shared" si="15"/>
        <v>0</v>
      </c>
      <c r="AB100" s="119">
        <f t="shared" si="15"/>
        <v>0</v>
      </c>
      <c r="AC100" s="119">
        <f t="shared" si="15"/>
        <v>0</v>
      </c>
      <c r="AD100" s="119">
        <f t="shared" si="15"/>
        <v>0</v>
      </c>
      <c r="AE100" s="119">
        <f t="shared" si="15"/>
        <v>0</v>
      </c>
      <c r="AF100" s="119">
        <f t="shared" si="15"/>
        <v>0</v>
      </c>
      <c r="AG100" s="119">
        <f t="shared" si="15"/>
        <v>0</v>
      </c>
      <c r="AH100" s="119">
        <f t="shared" si="15"/>
        <v>0</v>
      </c>
      <c r="AI100" s="119">
        <f t="shared" si="15"/>
        <v>0</v>
      </c>
      <c r="AJ100" s="36" t="str">
        <f t="shared" si="6"/>
        <v/>
      </c>
      <c r="AK100" s="49"/>
      <c r="AL100" s="49" t="str">
        <f t="shared" si="9"/>
        <v>00</v>
      </c>
      <c r="AM100" s="51" t="str">
        <f t="shared" si="10"/>
        <v>00</v>
      </c>
      <c r="AN100" s="51" t="str">
        <f t="shared" si="11"/>
        <v>00</v>
      </c>
      <c r="AO100" s="51" t="str">
        <f t="shared" si="12"/>
        <v>00</v>
      </c>
      <c r="AQ100" t="str">
        <f t="shared" si="7"/>
        <v/>
      </c>
    </row>
    <row r="101" spans="2:43">
      <c r="B101" s="126"/>
      <c r="C101" s="36">
        <f t="shared" si="8"/>
        <v>30</v>
      </c>
      <c r="D101" s="119">
        <f t="shared" si="15"/>
        <v>0</v>
      </c>
      <c r="E101" s="119">
        <f t="shared" si="15"/>
        <v>0</v>
      </c>
      <c r="F101" s="119">
        <f t="shared" si="15"/>
        <v>0</v>
      </c>
      <c r="G101" s="119">
        <f t="shared" si="15"/>
        <v>0</v>
      </c>
      <c r="H101" s="119">
        <f t="shared" si="15"/>
        <v>0</v>
      </c>
      <c r="I101" s="119">
        <f t="shared" si="15"/>
        <v>0</v>
      </c>
      <c r="J101" s="119">
        <f t="shared" si="15"/>
        <v>0</v>
      </c>
      <c r="K101" s="119">
        <f t="shared" si="15"/>
        <v>0</v>
      </c>
      <c r="L101" s="119">
        <f t="shared" si="15"/>
        <v>0</v>
      </c>
      <c r="M101" s="119">
        <f t="shared" si="15"/>
        <v>0</v>
      </c>
      <c r="N101" s="119">
        <f t="shared" si="15"/>
        <v>0</v>
      </c>
      <c r="O101" s="119">
        <f t="shared" si="15"/>
        <v>0</v>
      </c>
      <c r="P101" s="119">
        <f t="shared" si="15"/>
        <v>0</v>
      </c>
      <c r="Q101" s="119">
        <f t="shared" si="15"/>
        <v>0</v>
      </c>
      <c r="R101" s="119">
        <f t="shared" si="15"/>
        <v>0</v>
      </c>
      <c r="S101" s="119">
        <f t="shared" si="15"/>
        <v>0</v>
      </c>
      <c r="T101" s="119">
        <f t="shared" si="15"/>
        <v>0</v>
      </c>
      <c r="U101" s="119">
        <f t="shared" si="15"/>
        <v>0</v>
      </c>
      <c r="V101" s="119">
        <f t="shared" si="15"/>
        <v>0</v>
      </c>
      <c r="W101" s="119">
        <f t="shared" si="15"/>
        <v>0</v>
      </c>
      <c r="X101" s="119">
        <f t="shared" si="15"/>
        <v>0</v>
      </c>
      <c r="Y101" s="119">
        <f t="shared" si="15"/>
        <v>0</v>
      </c>
      <c r="Z101" s="119">
        <f t="shared" si="15"/>
        <v>0</v>
      </c>
      <c r="AA101" s="119">
        <f t="shared" si="15"/>
        <v>0</v>
      </c>
      <c r="AB101" s="119">
        <f t="shared" si="15"/>
        <v>0</v>
      </c>
      <c r="AC101" s="119">
        <f t="shared" si="15"/>
        <v>0</v>
      </c>
      <c r="AD101" s="119">
        <f t="shared" si="15"/>
        <v>0</v>
      </c>
      <c r="AE101" s="119">
        <f t="shared" si="15"/>
        <v>0</v>
      </c>
      <c r="AF101" s="119">
        <f t="shared" si="15"/>
        <v>0</v>
      </c>
      <c r="AG101" s="119">
        <f t="shared" si="15"/>
        <v>0</v>
      </c>
      <c r="AH101" s="119">
        <f t="shared" si="15"/>
        <v>0</v>
      </c>
      <c r="AI101" s="119">
        <f t="shared" si="15"/>
        <v>0</v>
      </c>
      <c r="AJ101" s="36" t="str">
        <f t="shared" si="6"/>
        <v/>
      </c>
      <c r="AK101" s="49"/>
      <c r="AL101" s="49" t="str">
        <f t="shared" si="9"/>
        <v>00</v>
      </c>
      <c r="AM101" s="51" t="str">
        <f t="shared" si="10"/>
        <v>00</v>
      </c>
      <c r="AN101" s="51" t="str">
        <f t="shared" si="11"/>
        <v>00</v>
      </c>
      <c r="AO101" s="51" t="str">
        <f t="shared" si="12"/>
        <v>00</v>
      </c>
      <c r="AQ101" t="str">
        <f t="shared" si="7"/>
        <v/>
      </c>
    </row>
    <row r="102" spans="2:43">
      <c r="B102" s="126"/>
      <c r="C102" s="36">
        <f t="shared" si="8"/>
        <v>31</v>
      </c>
      <c r="D102" s="119">
        <f t="shared" si="15"/>
        <v>0</v>
      </c>
      <c r="E102" s="119">
        <f t="shared" si="15"/>
        <v>0</v>
      </c>
      <c r="F102" s="119">
        <f t="shared" si="15"/>
        <v>0</v>
      </c>
      <c r="G102" s="119">
        <f t="shared" si="15"/>
        <v>0</v>
      </c>
      <c r="H102" s="119">
        <f t="shared" si="15"/>
        <v>0</v>
      </c>
      <c r="I102" s="119">
        <f t="shared" si="15"/>
        <v>0</v>
      </c>
      <c r="J102" s="119">
        <f t="shared" si="15"/>
        <v>0</v>
      </c>
      <c r="K102" s="119">
        <f t="shared" si="15"/>
        <v>0</v>
      </c>
      <c r="L102" s="119">
        <f t="shared" si="15"/>
        <v>0</v>
      </c>
      <c r="M102" s="119">
        <f t="shared" si="15"/>
        <v>0</v>
      </c>
      <c r="N102" s="119">
        <f t="shared" si="15"/>
        <v>0</v>
      </c>
      <c r="O102" s="119">
        <f t="shared" si="15"/>
        <v>0</v>
      </c>
      <c r="P102" s="119">
        <f t="shared" si="15"/>
        <v>0</v>
      </c>
      <c r="Q102" s="119">
        <f t="shared" si="15"/>
        <v>0</v>
      </c>
      <c r="R102" s="119">
        <f t="shared" si="15"/>
        <v>0</v>
      </c>
      <c r="S102" s="119">
        <f t="shared" si="15"/>
        <v>0</v>
      </c>
      <c r="T102" s="119">
        <f t="shared" si="15"/>
        <v>0</v>
      </c>
      <c r="U102" s="119">
        <f t="shared" si="15"/>
        <v>0</v>
      </c>
      <c r="V102" s="119">
        <f t="shared" si="15"/>
        <v>0</v>
      </c>
      <c r="W102" s="119">
        <f t="shared" si="15"/>
        <v>0</v>
      </c>
      <c r="X102" s="119">
        <f t="shared" si="15"/>
        <v>0</v>
      </c>
      <c r="Y102" s="119">
        <f t="shared" si="15"/>
        <v>0</v>
      </c>
      <c r="Z102" s="119">
        <f t="shared" si="15"/>
        <v>0</v>
      </c>
      <c r="AA102" s="119">
        <f t="shared" si="15"/>
        <v>0</v>
      </c>
      <c r="AB102" s="119">
        <f t="shared" si="15"/>
        <v>0</v>
      </c>
      <c r="AC102" s="119">
        <f t="shared" si="15"/>
        <v>0</v>
      </c>
      <c r="AD102" s="119">
        <f t="shared" si="15"/>
        <v>0</v>
      </c>
      <c r="AE102" s="119">
        <f t="shared" si="15"/>
        <v>0</v>
      </c>
      <c r="AF102" s="119">
        <f t="shared" si="15"/>
        <v>0</v>
      </c>
      <c r="AG102" s="119">
        <f t="shared" si="15"/>
        <v>0</v>
      </c>
      <c r="AH102" s="119">
        <f t="shared" si="15"/>
        <v>0</v>
      </c>
      <c r="AI102" s="119">
        <f>IF(AI37=1,1,0)</f>
        <v>0</v>
      </c>
      <c r="AJ102" s="36" t="str">
        <f t="shared" si="6"/>
        <v/>
      </c>
      <c r="AK102" s="49"/>
      <c r="AL102" s="49" t="str">
        <f t="shared" si="9"/>
        <v>00</v>
      </c>
      <c r="AM102" s="51" t="str">
        <f t="shared" si="10"/>
        <v>00</v>
      </c>
      <c r="AN102" s="51" t="str">
        <f t="shared" si="11"/>
        <v>00</v>
      </c>
      <c r="AO102" s="51" t="str">
        <f t="shared" si="12"/>
        <v>00</v>
      </c>
      <c r="AQ102" t="str">
        <f t="shared" si="7"/>
        <v/>
      </c>
    </row>
    <row r="103" spans="2:43">
      <c r="B103" s="126"/>
      <c r="C103" s="36">
        <f t="shared" si="8"/>
        <v>32</v>
      </c>
      <c r="D103" s="119">
        <f t="shared" ref="D103:AI110" si="16">IF(D38=1,1,0)</f>
        <v>0</v>
      </c>
      <c r="E103" s="119">
        <f t="shared" si="16"/>
        <v>0</v>
      </c>
      <c r="F103" s="119">
        <f t="shared" si="16"/>
        <v>0</v>
      </c>
      <c r="G103" s="119">
        <f t="shared" si="16"/>
        <v>0</v>
      </c>
      <c r="H103" s="119">
        <f t="shared" si="16"/>
        <v>0</v>
      </c>
      <c r="I103" s="119">
        <f t="shared" si="16"/>
        <v>0</v>
      </c>
      <c r="J103" s="119">
        <f t="shared" si="16"/>
        <v>0</v>
      </c>
      <c r="K103" s="119">
        <f t="shared" si="16"/>
        <v>0</v>
      </c>
      <c r="L103" s="119">
        <f t="shared" si="16"/>
        <v>0</v>
      </c>
      <c r="M103" s="119">
        <f t="shared" si="16"/>
        <v>0</v>
      </c>
      <c r="N103" s="119">
        <f t="shared" si="16"/>
        <v>0</v>
      </c>
      <c r="O103" s="119">
        <f t="shared" si="16"/>
        <v>0</v>
      </c>
      <c r="P103" s="119">
        <f t="shared" si="16"/>
        <v>0</v>
      </c>
      <c r="Q103" s="119">
        <f t="shared" si="16"/>
        <v>0</v>
      </c>
      <c r="R103" s="119">
        <f t="shared" si="16"/>
        <v>0</v>
      </c>
      <c r="S103" s="119">
        <f t="shared" si="16"/>
        <v>0</v>
      </c>
      <c r="T103" s="119">
        <f t="shared" si="16"/>
        <v>0</v>
      </c>
      <c r="U103" s="119">
        <f t="shared" si="16"/>
        <v>0</v>
      </c>
      <c r="V103" s="119">
        <f t="shared" si="16"/>
        <v>0</v>
      </c>
      <c r="W103" s="119">
        <f t="shared" si="16"/>
        <v>0</v>
      </c>
      <c r="X103" s="119">
        <f t="shared" si="16"/>
        <v>0</v>
      </c>
      <c r="Y103" s="119">
        <f t="shared" si="16"/>
        <v>0</v>
      </c>
      <c r="Z103" s="119">
        <f t="shared" si="16"/>
        <v>0</v>
      </c>
      <c r="AA103" s="119">
        <f t="shared" si="16"/>
        <v>0</v>
      </c>
      <c r="AB103" s="119">
        <f t="shared" si="16"/>
        <v>0</v>
      </c>
      <c r="AC103" s="119">
        <f t="shared" si="16"/>
        <v>0</v>
      </c>
      <c r="AD103" s="119">
        <f t="shared" si="16"/>
        <v>0</v>
      </c>
      <c r="AE103" s="119">
        <f t="shared" si="16"/>
        <v>0</v>
      </c>
      <c r="AF103" s="119">
        <f t="shared" si="16"/>
        <v>0</v>
      </c>
      <c r="AG103" s="119">
        <f t="shared" si="16"/>
        <v>0</v>
      </c>
      <c r="AH103" s="119">
        <f t="shared" si="16"/>
        <v>0</v>
      </c>
      <c r="AI103" s="119">
        <f t="shared" si="16"/>
        <v>0</v>
      </c>
      <c r="AJ103" s="36" t="str">
        <f t="shared" si="6"/>
        <v/>
      </c>
      <c r="AK103" s="49"/>
      <c r="AL103" s="49" t="str">
        <f t="shared" si="9"/>
        <v>00</v>
      </c>
      <c r="AM103" s="51" t="str">
        <f t="shared" si="10"/>
        <v>00</v>
      </c>
      <c r="AN103" s="51" t="str">
        <f t="shared" si="11"/>
        <v>00</v>
      </c>
      <c r="AO103" s="51" t="str">
        <f t="shared" si="12"/>
        <v>00</v>
      </c>
      <c r="AQ103" t="str">
        <f t="shared" si="7"/>
        <v/>
      </c>
    </row>
    <row r="104" spans="2:43">
      <c r="B104" s="126"/>
      <c r="C104" s="36">
        <f t="shared" si="8"/>
        <v>33</v>
      </c>
      <c r="D104" s="119">
        <f t="shared" si="16"/>
        <v>0</v>
      </c>
      <c r="E104" s="119">
        <f t="shared" si="16"/>
        <v>0</v>
      </c>
      <c r="F104" s="119">
        <f t="shared" si="16"/>
        <v>0</v>
      </c>
      <c r="G104" s="119">
        <f t="shared" si="16"/>
        <v>0</v>
      </c>
      <c r="H104" s="119">
        <f t="shared" si="16"/>
        <v>0</v>
      </c>
      <c r="I104" s="119">
        <f t="shared" si="16"/>
        <v>0</v>
      </c>
      <c r="J104" s="119">
        <f t="shared" si="16"/>
        <v>0</v>
      </c>
      <c r="K104" s="119">
        <f t="shared" si="16"/>
        <v>0</v>
      </c>
      <c r="L104" s="119">
        <f t="shared" si="16"/>
        <v>0</v>
      </c>
      <c r="M104" s="119">
        <f t="shared" si="16"/>
        <v>0</v>
      </c>
      <c r="N104" s="119">
        <f t="shared" si="16"/>
        <v>0</v>
      </c>
      <c r="O104" s="119">
        <f t="shared" si="16"/>
        <v>0</v>
      </c>
      <c r="P104" s="119">
        <f t="shared" si="16"/>
        <v>0</v>
      </c>
      <c r="Q104" s="119">
        <f t="shared" si="16"/>
        <v>0</v>
      </c>
      <c r="R104" s="119">
        <f t="shared" si="16"/>
        <v>0</v>
      </c>
      <c r="S104" s="119">
        <f t="shared" si="16"/>
        <v>0</v>
      </c>
      <c r="T104" s="119">
        <f t="shared" si="16"/>
        <v>0</v>
      </c>
      <c r="U104" s="119">
        <f t="shared" si="16"/>
        <v>0</v>
      </c>
      <c r="V104" s="119">
        <f t="shared" si="16"/>
        <v>0</v>
      </c>
      <c r="W104" s="119">
        <f t="shared" si="16"/>
        <v>0</v>
      </c>
      <c r="X104" s="119">
        <f t="shared" si="16"/>
        <v>0</v>
      </c>
      <c r="Y104" s="119">
        <f t="shared" si="16"/>
        <v>0</v>
      </c>
      <c r="Z104" s="119">
        <f t="shared" si="16"/>
        <v>0</v>
      </c>
      <c r="AA104" s="119">
        <f t="shared" si="16"/>
        <v>0</v>
      </c>
      <c r="AB104" s="119">
        <f t="shared" si="16"/>
        <v>0</v>
      </c>
      <c r="AC104" s="119">
        <f t="shared" si="16"/>
        <v>0</v>
      </c>
      <c r="AD104" s="119">
        <f t="shared" si="16"/>
        <v>0</v>
      </c>
      <c r="AE104" s="119">
        <f t="shared" si="16"/>
        <v>0</v>
      </c>
      <c r="AF104" s="119">
        <f t="shared" si="16"/>
        <v>0</v>
      </c>
      <c r="AG104" s="119">
        <f t="shared" si="16"/>
        <v>0</v>
      </c>
      <c r="AH104" s="119">
        <f t="shared" si="16"/>
        <v>0</v>
      </c>
      <c r="AI104" s="119">
        <f t="shared" si="16"/>
        <v>0</v>
      </c>
      <c r="AJ104" s="36" t="str">
        <f t="shared" si="6"/>
        <v/>
      </c>
      <c r="AK104" s="49"/>
      <c r="AL104" s="49" t="str">
        <f t="shared" si="9"/>
        <v>00</v>
      </c>
      <c r="AM104" s="51" t="str">
        <f t="shared" si="10"/>
        <v>00</v>
      </c>
      <c r="AN104" s="51" t="str">
        <f t="shared" si="11"/>
        <v>00</v>
      </c>
      <c r="AO104" s="51" t="str">
        <f t="shared" si="12"/>
        <v>00</v>
      </c>
      <c r="AQ104" t="str">
        <f t="shared" si="7"/>
        <v/>
      </c>
    </row>
    <row r="105" spans="2:43">
      <c r="B105" s="126"/>
      <c r="C105" s="36">
        <f t="shared" si="8"/>
        <v>34</v>
      </c>
      <c r="D105" s="119">
        <f t="shared" si="16"/>
        <v>0</v>
      </c>
      <c r="E105" s="119">
        <f t="shared" si="16"/>
        <v>0</v>
      </c>
      <c r="F105" s="119">
        <f t="shared" si="16"/>
        <v>0</v>
      </c>
      <c r="G105" s="119">
        <f t="shared" si="16"/>
        <v>0</v>
      </c>
      <c r="H105" s="119">
        <f t="shared" si="16"/>
        <v>0</v>
      </c>
      <c r="I105" s="119">
        <f t="shared" si="16"/>
        <v>0</v>
      </c>
      <c r="J105" s="119">
        <f t="shared" si="16"/>
        <v>0</v>
      </c>
      <c r="K105" s="119">
        <f t="shared" si="16"/>
        <v>0</v>
      </c>
      <c r="L105" s="119">
        <f t="shared" si="16"/>
        <v>0</v>
      </c>
      <c r="M105" s="119">
        <f t="shared" si="16"/>
        <v>0</v>
      </c>
      <c r="N105" s="119">
        <f t="shared" si="16"/>
        <v>0</v>
      </c>
      <c r="O105" s="119">
        <f t="shared" si="16"/>
        <v>0</v>
      </c>
      <c r="P105" s="119">
        <f t="shared" si="16"/>
        <v>0</v>
      </c>
      <c r="Q105" s="119">
        <f t="shared" si="16"/>
        <v>0</v>
      </c>
      <c r="R105" s="119">
        <f t="shared" si="16"/>
        <v>0</v>
      </c>
      <c r="S105" s="119">
        <f t="shared" si="16"/>
        <v>0</v>
      </c>
      <c r="T105" s="119">
        <f t="shared" si="16"/>
        <v>0</v>
      </c>
      <c r="U105" s="119">
        <f t="shared" si="16"/>
        <v>0</v>
      </c>
      <c r="V105" s="119">
        <f t="shared" si="16"/>
        <v>0</v>
      </c>
      <c r="W105" s="119">
        <f t="shared" si="16"/>
        <v>0</v>
      </c>
      <c r="X105" s="119">
        <f t="shared" si="16"/>
        <v>0</v>
      </c>
      <c r="Y105" s="119">
        <f t="shared" si="16"/>
        <v>0</v>
      </c>
      <c r="Z105" s="119">
        <f t="shared" si="16"/>
        <v>0</v>
      </c>
      <c r="AA105" s="119">
        <f t="shared" si="16"/>
        <v>0</v>
      </c>
      <c r="AB105" s="119">
        <f t="shared" si="16"/>
        <v>0</v>
      </c>
      <c r="AC105" s="119">
        <f t="shared" si="16"/>
        <v>0</v>
      </c>
      <c r="AD105" s="119">
        <f t="shared" si="16"/>
        <v>0</v>
      </c>
      <c r="AE105" s="119">
        <f t="shared" si="16"/>
        <v>0</v>
      </c>
      <c r="AF105" s="119">
        <f t="shared" si="16"/>
        <v>0</v>
      </c>
      <c r="AG105" s="119">
        <f t="shared" si="16"/>
        <v>0</v>
      </c>
      <c r="AH105" s="119">
        <f t="shared" si="16"/>
        <v>0</v>
      </c>
      <c r="AI105" s="119">
        <f t="shared" si="16"/>
        <v>0</v>
      </c>
      <c r="AJ105" s="36" t="str">
        <f t="shared" si="6"/>
        <v/>
      </c>
      <c r="AK105" s="49"/>
      <c r="AL105" s="49" t="str">
        <f t="shared" si="9"/>
        <v>00</v>
      </c>
      <c r="AM105" s="51" t="str">
        <f t="shared" si="10"/>
        <v>00</v>
      </c>
      <c r="AN105" s="51" t="str">
        <f t="shared" si="11"/>
        <v>00</v>
      </c>
      <c r="AO105" s="51" t="str">
        <f t="shared" si="12"/>
        <v>00</v>
      </c>
      <c r="AQ105" t="str">
        <f t="shared" si="7"/>
        <v/>
      </c>
    </row>
    <row r="106" spans="2:43">
      <c r="B106" s="126"/>
      <c r="C106" s="36">
        <f t="shared" si="8"/>
        <v>35</v>
      </c>
      <c r="D106" s="119">
        <f t="shared" si="16"/>
        <v>0</v>
      </c>
      <c r="E106" s="119">
        <f t="shared" si="16"/>
        <v>0</v>
      </c>
      <c r="F106" s="119">
        <f t="shared" si="16"/>
        <v>0</v>
      </c>
      <c r="G106" s="119">
        <f t="shared" si="16"/>
        <v>0</v>
      </c>
      <c r="H106" s="119">
        <f t="shared" si="16"/>
        <v>0</v>
      </c>
      <c r="I106" s="119">
        <f t="shared" si="16"/>
        <v>0</v>
      </c>
      <c r="J106" s="119">
        <f t="shared" si="16"/>
        <v>0</v>
      </c>
      <c r="K106" s="119">
        <f t="shared" si="16"/>
        <v>0</v>
      </c>
      <c r="L106" s="119">
        <f t="shared" si="16"/>
        <v>0</v>
      </c>
      <c r="M106" s="119">
        <f t="shared" si="16"/>
        <v>0</v>
      </c>
      <c r="N106" s="119">
        <f t="shared" si="16"/>
        <v>0</v>
      </c>
      <c r="O106" s="119">
        <f t="shared" si="16"/>
        <v>0</v>
      </c>
      <c r="P106" s="119">
        <f t="shared" si="16"/>
        <v>0</v>
      </c>
      <c r="Q106" s="119">
        <f t="shared" si="16"/>
        <v>0</v>
      </c>
      <c r="R106" s="119">
        <f t="shared" si="16"/>
        <v>0</v>
      </c>
      <c r="S106" s="119">
        <f t="shared" si="16"/>
        <v>0</v>
      </c>
      <c r="T106" s="119">
        <f t="shared" si="16"/>
        <v>0</v>
      </c>
      <c r="U106" s="119">
        <f t="shared" si="16"/>
        <v>0</v>
      </c>
      <c r="V106" s="119">
        <f t="shared" si="16"/>
        <v>0</v>
      </c>
      <c r="W106" s="119">
        <f t="shared" si="16"/>
        <v>0</v>
      </c>
      <c r="X106" s="119">
        <f t="shared" si="16"/>
        <v>0</v>
      </c>
      <c r="Y106" s="119">
        <f t="shared" si="16"/>
        <v>0</v>
      </c>
      <c r="Z106" s="119">
        <f t="shared" si="16"/>
        <v>0</v>
      </c>
      <c r="AA106" s="119">
        <f t="shared" si="16"/>
        <v>0</v>
      </c>
      <c r="AB106" s="119">
        <f t="shared" si="16"/>
        <v>0</v>
      </c>
      <c r="AC106" s="119">
        <f t="shared" si="16"/>
        <v>0</v>
      </c>
      <c r="AD106" s="119">
        <f t="shared" si="16"/>
        <v>0</v>
      </c>
      <c r="AE106" s="119">
        <f t="shared" si="16"/>
        <v>0</v>
      </c>
      <c r="AF106" s="119">
        <f t="shared" si="16"/>
        <v>0</v>
      </c>
      <c r="AG106" s="119">
        <f t="shared" si="16"/>
        <v>0</v>
      </c>
      <c r="AH106" s="119">
        <f t="shared" si="16"/>
        <v>0</v>
      </c>
      <c r="AI106" s="119">
        <f t="shared" si="16"/>
        <v>0</v>
      </c>
      <c r="AJ106" s="36" t="str">
        <f t="shared" si="6"/>
        <v/>
      </c>
      <c r="AK106" s="49"/>
      <c r="AL106" s="49" t="str">
        <f t="shared" si="9"/>
        <v>00</v>
      </c>
      <c r="AM106" s="51" t="str">
        <f t="shared" si="10"/>
        <v>00</v>
      </c>
      <c r="AN106" s="51" t="str">
        <f t="shared" si="11"/>
        <v>00</v>
      </c>
      <c r="AO106" s="51" t="str">
        <f t="shared" si="12"/>
        <v>00</v>
      </c>
      <c r="AQ106" t="str">
        <f t="shared" si="7"/>
        <v/>
      </c>
    </row>
    <row r="107" spans="2:43">
      <c r="B107" s="126"/>
      <c r="C107" s="36">
        <f t="shared" si="8"/>
        <v>36</v>
      </c>
      <c r="D107" s="119">
        <f t="shared" si="16"/>
        <v>0</v>
      </c>
      <c r="E107" s="119">
        <f t="shared" si="16"/>
        <v>0</v>
      </c>
      <c r="F107" s="119">
        <f t="shared" si="16"/>
        <v>0</v>
      </c>
      <c r="G107" s="119">
        <f t="shared" si="16"/>
        <v>0</v>
      </c>
      <c r="H107" s="119">
        <f t="shared" si="16"/>
        <v>0</v>
      </c>
      <c r="I107" s="119">
        <f t="shared" si="16"/>
        <v>0</v>
      </c>
      <c r="J107" s="119">
        <f t="shared" si="16"/>
        <v>0</v>
      </c>
      <c r="K107" s="119">
        <f t="shared" si="16"/>
        <v>0</v>
      </c>
      <c r="L107" s="119">
        <f t="shared" si="16"/>
        <v>0</v>
      </c>
      <c r="M107" s="119">
        <f t="shared" si="16"/>
        <v>0</v>
      </c>
      <c r="N107" s="119">
        <f t="shared" si="16"/>
        <v>0</v>
      </c>
      <c r="O107" s="119">
        <f t="shared" si="16"/>
        <v>0</v>
      </c>
      <c r="P107" s="119">
        <f t="shared" si="16"/>
        <v>0</v>
      </c>
      <c r="Q107" s="119">
        <f t="shared" si="16"/>
        <v>0</v>
      </c>
      <c r="R107" s="119">
        <f t="shared" si="16"/>
        <v>0</v>
      </c>
      <c r="S107" s="119">
        <f t="shared" si="16"/>
        <v>0</v>
      </c>
      <c r="T107" s="119">
        <f t="shared" si="16"/>
        <v>0</v>
      </c>
      <c r="U107" s="119">
        <f t="shared" si="16"/>
        <v>0</v>
      </c>
      <c r="V107" s="119">
        <f t="shared" si="16"/>
        <v>0</v>
      </c>
      <c r="W107" s="119">
        <f t="shared" si="16"/>
        <v>0</v>
      </c>
      <c r="X107" s="119">
        <f t="shared" si="16"/>
        <v>0</v>
      </c>
      <c r="Y107" s="119">
        <f t="shared" si="16"/>
        <v>0</v>
      </c>
      <c r="Z107" s="119">
        <f t="shared" si="16"/>
        <v>0</v>
      </c>
      <c r="AA107" s="119">
        <f t="shared" si="16"/>
        <v>0</v>
      </c>
      <c r="AB107" s="119">
        <f t="shared" si="16"/>
        <v>0</v>
      </c>
      <c r="AC107" s="119">
        <f t="shared" si="16"/>
        <v>0</v>
      </c>
      <c r="AD107" s="119">
        <f t="shared" si="16"/>
        <v>0</v>
      </c>
      <c r="AE107" s="119">
        <f t="shared" si="16"/>
        <v>0</v>
      </c>
      <c r="AF107" s="119">
        <f t="shared" si="16"/>
        <v>0</v>
      </c>
      <c r="AG107" s="119">
        <f t="shared" si="16"/>
        <v>0</v>
      </c>
      <c r="AH107" s="119">
        <f t="shared" si="16"/>
        <v>0</v>
      </c>
      <c r="AI107" s="119">
        <f t="shared" si="16"/>
        <v>0</v>
      </c>
      <c r="AJ107" s="36" t="str">
        <f t="shared" si="6"/>
        <v/>
      </c>
      <c r="AK107" s="49"/>
      <c r="AL107" s="49" t="str">
        <f t="shared" si="9"/>
        <v>00</v>
      </c>
      <c r="AM107" s="51" t="str">
        <f t="shared" si="10"/>
        <v>00</v>
      </c>
      <c r="AN107" s="51" t="str">
        <f t="shared" si="11"/>
        <v>00</v>
      </c>
      <c r="AO107" s="51" t="str">
        <f t="shared" si="12"/>
        <v>00</v>
      </c>
      <c r="AQ107" t="str">
        <f t="shared" si="7"/>
        <v/>
      </c>
    </row>
    <row r="108" spans="2:43">
      <c r="B108" s="126"/>
      <c r="C108" s="36">
        <f t="shared" si="8"/>
        <v>37</v>
      </c>
      <c r="D108" s="119">
        <f t="shared" si="16"/>
        <v>0</v>
      </c>
      <c r="E108" s="119">
        <f t="shared" si="16"/>
        <v>0</v>
      </c>
      <c r="F108" s="119">
        <f t="shared" si="16"/>
        <v>0</v>
      </c>
      <c r="G108" s="119">
        <f t="shared" si="16"/>
        <v>0</v>
      </c>
      <c r="H108" s="119">
        <f t="shared" si="16"/>
        <v>0</v>
      </c>
      <c r="I108" s="119">
        <f t="shared" si="16"/>
        <v>0</v>
      </c>
      <c r="J108" s="119">
        <f t="shared" si="16"/>
        <v>0</v>
      </c>
      <c r="K108" s="119">
        <f t="shared" si="16"/>
        <v>0</v>
      </c>
      <c r="L108" s="119">
        <f t="shared" si="16"/>
        <v>0</v>
      </c>
      <c r="M108" s="119">
        <f t="shared" si="16"/>
        <v>0</v>
      </c>
      <c r="N108" s="119">
        <f t="shared" si="16"/>
        <v>0</v>
      </c>
      <c r="O108" s="119">
        <f t="shared" si="16"/>
        <v>0</v>
      </c>
      <c r="P108" s="119">
        <f t="shared" si="16"/>
        <v>0</v>
      </c>
      <c r="Q108" s="119">
        <f t="shared" si="16"/>
        <v>0</v>
      </c>
      <c r="R108" s="119">
        <f t="shared" si="16"/>
        <v>0</v>
      </c>
      <c r="S108" s="119">
        <f t="shared" si="16"/>
        <v>0</v>
      </c>
      <c r="T108" s="119">
        <f t="shared" si="16"/>
        <v>0</v>
      </c>
      <c r="U108" s="119">
        <f t="shared" si="16"/>
        <v>0</v>
      </c>
      <c r="V108" s="119">
        <f t="shared" si="16"/>
        <v>0</v>
      </c>
      <c r="W108" s="119">
        <f t="shared" si="16"/>
        <v>0</v>
      </c>
      <c r="X108" s="119">
        <f t="shared" si="16"/>
        <v>0</v>
      </c>
      <c r="Y108" s="119">
        <f t="shared" si="16"/>
        <v>0</v>
      </c>
      <c r="Z108" s="119">
        <f t="shared" si="16"/>
        <v>0</v>
      </c>
      <c r="AA108" s="119">
        <f t="shared" si="16"/>
        <v>0</v>
      </c>
      <c r="AB108" s="119">
        <f t="shared" si="16"/>
        <v>0</v>
      </c>
      <c r="AC108" s="119">
        <f t="shared" si="16"/>
        <v>0</v>
      </c>
      <c r="AD108" s="119">
        <f t="shared" si="16"/>
        <v>0</v>
      </c>
      <c r="AE108" s="119">
        <f t="shared" si="16"/>
        <v>0</v>
      </c>
      <c r="AF108" s="119">
        <f t="shared" si="16"/>
        <v>0</v>
      </c>
      <c r="AG108" s="119">
        <f t="shared" si="16"/>
        <v>0</v>
      </c>
      <c r="AH108" s="119">
        <f t="shared" si="16"/>
        <v>0</v>
      </c>
      <c r="AI108" s="119">
        <f t="shared" si="16"/>
        <v>0</v>
      </c>
      <c r="AJ108" s="36" t="str">
        <f t="shared" si="6"/>
        <v/>
      </c>
      <c r="AK108" s="49"/>
      <c r="AL108" s="49" t="str">
        <f t="shared" si="9"/>
        <v>00</v>
      </c>
      <c r="AM108" s="51" t="str">
        <f t="shared" si="10"/>
        <v>00</v>
      </c>
      <c r="AN108" s="51" t="str">
        <f t="shared" si="11"/>
        <v>00</v>
      </c>
      <c r="AO108" s="51" t="str">
        <f t="shared" si="12"/>
        <v>00</v>
      </c>
      <c r="AQ108" t="str">
        <f t="shared" si="7"/>
        <v/>
      </c>
    </row>
    <row r="109" spans="2:43">
      <c r="B109" s="126"/>
      <c r="C109" s="36">
        <f t="shared" si="8"/>
        <v>38</v>
      </c>
      <c r="D109" s="119">
        <f t="shared" si="16"/>
        <v>0</v>
      </c>
      <c r="E109" s="119">
        <f t="shared" si="16"/>
        <v>0</v>
      </c>
      <c r="F109" s="119">
        <f t="shared" si="16"/>
        <v>0</v>
      </c>
      <c r="G109" s="119">
        <f t="shared" si="16"/>
        <v>0</v>
      </c>
      <c r="H109" s="119">
        <f t="shared" si="16"/>
        <v>0</v>
      </c>
      <c r="I109" s="119">
        <f t="shared" si="16"/>
        <v>0</v>
      </c>
      <c r="J109" s="119">
        <f t="shared" si="16"/>
        <v>0</v>
      </c>
      <c r="K109" s="119">
        <f t="shared" si="16"/>
        <v>0</v>
      </c>
      <c r="L109" s="119">
        <f t="shared" si="16"/>
        <v>0</v>
      </c>
      <c r="M109" s="119">
        <f t="shared" si="16"/>
        <v>0</v>
      </c>
      <c r="N109" s="119">
        <f t="shared" si="16"/>
        <v>0</v>
      </c>
      <c r="O109" s="119">
        <f t="shared" si="16"/>
        <v>0</v>
      </c>
      <c r="P109" s="119">
        <f t="shared" si="16"/>
        <v>0</v>
      </c>
      <c r="Q109" s="119">
        <f t="shared" si="16"/>
        <v>0</v>
      </c>
      <c r="R109" s="119">
        <f t="shared" si="16"/>
        <v>0</v>
      </c>
      <c r="S109" s="119">
        <f t="shared" si="16"/>
        <v>0</v>
      </c>
      <c r="T109" s="119">
        <f t="shared" si="16"/>
        <v>0</v>
      </c>
      <c r="U109" s="119">
        <f t="shared" si="16"/>
        <v>0</v>
      </c>
      <c r="V109" s="119">
        <f t="shared" si="16"/>
        <v>0</v>
      </c>
      <c r="W109" s="119">
        <f t="shared" si="16"/>
        <v>0</v>
      </c>
      <c r="X109" s="119">
        <f t="shared" si="16"/>
        <v>0</v>
      </c>
      <c r="Y109" s="119">
        <f t="shared" si="16"/>
        <v>0</v>
      </c>
      <c r="Z109" s="119">
        <f t="shared" si="16"/>
        <v>0</v>
      </c>
      <c r="AA109" s="119">
        <f t="shared" si="16"/>
        <v>0</v>
      </c>
      <c r="AB109" s="119">
        <f t="shared" si="16"/>
        <v>0</v>
      </c>
      <c r="AC109" s="119">
        <f t="shared" si="16"/>
        <v>0</v>
      </c>
      <c r="AD109" s="119">
        <f t="shared" si="16"/>
        <v>0</v>
      </c>
      <c r="AE109" s="119">
        <f t="shared" si="16"/>
        <v>0</v>
      </c>
      <c r="AF109" s="119">
        <f t="shared" si="16"/>
        <v>0</v>
      </c>
      <c r="AG109" s="119">
        <f t="shared" si="16"/>
        <v>0</v>
      </c>
      <c r="AH109" s="119">
        <f t="shared" si="16"/>
        <v>0</v>
      </c>
      <c r="AI109" s="119">
        <f t="shared" si="16"/>
        <v>0</v>
      </c>
      <c r="AJ109" s="36" t="str">
        <f t="shared" si="6"/>
        <v/>
      </c>
      <c r="AK109" s="49"/>
      <c r="AL109" s="49" t="str">
        <f t="shared" si="9"/>
        <v>00</v>
      </c>
      <c r="AM109" s="51" t="str">
        <f t="shared" si="10"/>
        <v>00</v>
      </c>
      <c r="AN109" s="51" t="str">
        <f t="shared" si="11"/>
        <v>00</v>
      </c>
      <c r="AO109" s="51" t="str">
        <f t="shared" si="12"/>
        <v>00</v>
      </c>
      <c r="AQ109" t="str">
        <f t="shared" si="7"/>
        <v/>
      </c>
    </row>
    <row r="110" spans="2:43">
      <c r="B110" s="126"/>
      <c r="C110" s="36">
        <f t="shared" si="8"/>
        <v>39</v>
      </c>
      <c r="D110" s="119">
        <f t="shared" si="16"/>
        <v>0</v>
      </c>
      <c r="E110" s="119">
        <f t="shared" si="16"/>
        <v>0</v>
      </c>
      <c r="F110" s="119">
        <f t="shared" si="16"/>
        <v>0</v>
      </c>
      <c r="G110" s="119">
        <f t="shared" si="16"/>
        <v>0</v>
      </c>
      <c r="H110" s="119">
        <f t="shared" si="16"/>
        <v>0</v>
      </c>
      <c r="I110" s="119">
        <f t="shared" si="16"/>
        <v>0</v>
      </c>
      <c r="J110" s="119">
        <f t="shared" si="16"/>
        <v>0</v>
      </c>
      <c r="K110" s="119">
        <f t="shared" si="16"/>
        <v>0</v>
      </c>
      <c r="L110" s="119">
        <f t="shared" si="16"/>
        <v>0</v>
      </c>
      <c r="M110" s="119">
        <f t="shared" si="16"/>
        <v>0</v>
      </c>
      <c r="N110" s="119">
        <f t="shared" si="16"/>
        <v>0</v>
      </c>
      <c r="O110" s="119">
        <f t="shared" si="16"/>
        <v>0</v>
      </c>
      <c r="P110" s="119">
        <f t="shared" si="16"/>
        <v>0</v>
      </c>
      <c r="Q110" s="119">
        <f t="shared" si="16"/>
        <v>0</v>
      </c>
      <c r="R110" s="119">
        <f t="shared" si="16"/>
        <v>0</v>
      </c>
      <c r="S110" s="119">
        <f t="shared" si="16"/>
        <v>0</v>
      </c>
      <c r="T110" s="119">
        <f t="shared" si="16"/>
        <v>0</v>
      </c>
      <c r="U110" s="119">
        <f t="shared" si="16"/>
        <v>0</v>
      </c>
      <c r="V110" s="119">
        <f t="shared" si="16"/>
        <v>0</v>
      </c>
      <c r="W110" s="119">
        <f t="shared" si="16"/>
        <v>0</v>
      </c>
      <c r="X110" s="119">
        <f t="shared" si="16"/>
        <v>0</v>
      </c>
      <c r="Y110" s="119">
        <f t="shared" si="16"/>
        <v>0</v>
      </c>
      <c r="Z110" s="119">
        <f t="shared" si="16"/>
        <v>0</v>
      </c>
      <c r="AA110" s="119">
        <f t="shared" si="16"/>
        <v>0</v>
      </c>
      <c r="AB110" s="119">
        <f t="shared" si="16"/>
        <v>0</v>
      </c>
      <c r="AC110" s="119">
        <f t="shared" si="16"/>
        <v>0</v>
      </c>
      <c r="AD110" s="119">
        <f t="shared" si="16"/>
        <v>0</v>
      </c>
      <c r="AE110" s="119">
        <f t="shared" si="16"/>
        <v>0</v>
      </c>
      <c r="AF110" s="119">
        <f t="shared" si="16"/>
        <v>0</v>
      </c>
      <c r="AG110" s="119">
        <f t="shared" si="16"/>
        <v>0</v>
      </c>
      <c r="AH110" s="119">
        <f t="shared" si="16"/>
        <v>0</v>
      </c>
      <c r="AI110" s="119">
        <f>IF(AI45=1,1,0)</f>
        <v>0</v>
      </c>
      <c r="AJ110" s="36" t="str">
        <f t="shared" si="6"/>
        <v/>
      </c>
      <c r="AK110" s="49"/>
      <c r="AL110" s="49" t="str">
        <f t="shared" si="9"/>
        <v>00</v>
      </c>
      <c r="AM110" s="51" t="str">
        <f t="shared" si="10"/>
        <v>00</v>
      </c>
      <c r="AN110" s="51" t="str">
        <f t="shared" si="11"/>
        <v>00</v>
      </c>
      <c r="AO110" s="51" t="str">
        <f t="shared" si="12"/>
        <v>00</v>
      </c>
      <c r="AQ110" t="str">
        <f t="shared" si="7"/>
        <v/>
      </c>
    </row>
    <row r="111" spans="2:43">
      <c r="B111" s="126"/>
      <c r="C111" s="36">
        <f t="shared" si="8"/>
        <v>40</v>
      </c>
      <c r="D111" s="119">
        <f t="shared" ref="D111:AI118" si="17">IF(D46=1,1,0)</f>
        <v>0</v>
      </c>
      <c r="E111" s="119">
        <f t="shared" si="17"/>
        <v>0</v>
      </c>
      <c r="F111" s="119">
        <f t="shared" si="17"/>
        <v>0</v>
      </c>
      <c r="G111" s="119">
        <f t="shared" si="17"/>
        <v>0</v>
      </c>
      <c r="H111" s="119">
        <f t="shared" si="17"/>
        <v>0</v>
      </c>
      <c r="I111" s="119">
        <f t="shared" si="17"/>
        <v>0</v>
      </c>
      <c r="J111" s="119">
        <f t="shared" si="17"/>
        <v>0</v>
      </c>
      <c r="K111" s="119">
        <f t="shared" si="17"/>
        <v>0</v>
      </c>
      <c r="L111" s="119">
        <f t="shared" si="17"/>
        <v>0</v>
      </c>
      <c r="M111" s="119">
        <f t="shared" si="17"/>
        <v>0</v>
      </c>
      <c r="N111" s="119">
        <f t="shared" si="17"/>
        <v>0</v>
      </c>
      <c r="O111" s="119">
        <f t="shared" si="17"/>
        <v>0</v>
      </c>
      <c r="P111" s="119">
        <f t="shared" si="17"/>
        <v>0</v>
      </c>
      <c r="Q111" s="119">
        <f t="shared" si="17"/>
        <v>0</v>
      </c>
      <c r="R111" s="119">
        <f t="shared" si="17"/>
        <v>0</v>
      </c>
      <c r="S111" s="119">
        <f t="shared" si="17"/>
        <v>0</v>
      </c>
      <c r="T111" s="119">
        <f t="shared" si="17"/>
        <v>0</v>
      </c>
      <c r="U111" s="119">
        <f t="shared" si="17"/>
        <v>0</v>
      </c>
      <c r="V111" s="119">
        <f t="shared" si="17"/>
        <v>0</v>
      </c>
      <c r="W111" s="119">
        <f t="shared" si="17"/>
        <v>0</v>
      </c>
      <c r="X111" s="119">
        <f t="shared" si="17"/>
        <v>0</v>
      </c>
      <c r="Y111" s="119">
        <f t="shared" si="17"/>
        <v>0</v>
      </c>
      <c r="Z111" s="119">
        <f t="shared" si="17"/>
        <v>0</v>
      </c>
      <c r="AA111" s="119">
        <f t="shared" si="17"/>
        <v>0</v>
      </c>
      <c r="AB111" s="119">
        <f t="shared" si="17"/>
        <v>0</v>
      </c>
      <c r="AC111" s="119">
        <f t="shared" si="17"/>
        <v>0</v>
      </c>
      <c r="AD111" s="119">
        <f t="shared" si="17"/>
        <v>0</v>
      </c>
      <c r="AE111" s="119">
        <f t="shared" si="17"/>
        <v>0</v>
      </c>
      <c r="AF111" s="119">
        <f t="shared" si="17"/>
        <v>0</v>
      </c>
      <c r="AG111" s="119">
        <f t="shared" si="17"/>
        <v>0</v>
      </c>
      <c r="AH111" s="119">
        <f t="shared" si="17"/>
        <v>0</v>
      </c>
      <c r="AI111" s="119">
        <f t="shared" si="17"/>
        <v>0</v>
      </c>
      <c r="AJ111" s="36" t="str">
        <f t="shared" si="6"/>
        <v/>
      </c>
      <c r="AK111" s="49"/>
      <c r="AL111" s="49" t="str">
        <f t="shared" si="9"/>
        <v>00</v>
      </c>
      <c r="AM111" s="51" t="str">
        <f t="shared" si="10"/>
        <v>00</v>
      </c>
      <c r="AN111" s="51" t="str">
        <f t="shared" si="11"/>
        <v>00</v>
      </c>
      <c r="AO111" s="51" t="str">
        <f t="shared" si="12"/>
        <v>00</v>
      </c>
      <c r="AQ111" t="str">
        <f t="shared" si="7"/>
        <v/>
      </c>
    </row>
    <row r="112" spans="2:43">
      <c r="B112" s="126"/>
      <c r="C112" s="36">
        <f t="shared" si="8"/>
        <v>41</v>
      </c>
      <c r="D112" s="119">
        <f t="shared" si="17"/>
        <v>0</v>
      </c>
      <c r="E112" s="119">
        <f t="shared" si="17"/>
        <v>0</v>
      </c>
      <c r="F112" s="119">
        <f t="shared" si="17"/>
        <v>0</v>
      </c>
      <c r="G112" s="119">
        <f t="shared" si="17"/>
        <v>0</v>
      </c>
      <c r="H112" s="119">
        <f t="shared" si="17"/>
        <v>0</v>
      </c>
      <c r="I112" s="119">
        <f t="shared" si="17"/>
        <v>0</v>
      </c>
      <c r="J112" s="119">
        <f t="shared" si="17"/>
        <v>0</v>
      </c>
      <c r="K112" s="119">
        <f t="shared" si="17"/>
        <v>0</v>
      </c>
      <c r="L112" s="119">
        <f t="shared" si="17"/>
        <v>0</v>
      </c>
      <c r="M112" s="119">
        <f t="shared" si="17"/>
        <v>0</v>
      </c>
      <c r="N112" s="119">
        <f t="shared" si="17"/>
        <v>0</v>
      </c>
      <c r="O112" s="119">
        <f t="shared" si="17"/>
        <v>0</v>
      </c>
      <c r="P112" s="119">
        <f t="shared" si="17"/>
        <v>0</v>
      </c>
      <c r="Q112" s="119">
        <f t="shared" si="17"/>
        <v>0</v>
      </c>
      <c r="R112" s="119">
        <f t="shared" si="17"/>
        <v>0</v>
      </c>
      <c r="S112" s="119">
        <f t="shared" si="17"/>
        <v>0</v>
      </c>
      <c r="T112" s="119">
        <f t="shared" si="17"/>
        <v>0</v>
      </c>
      <c r="U112" s="119">
        <f t="shared" si="17"/>
        <v>0</v>
      </c>
      <c r="V112" s="119">
        <f t="shared" si="17"/>
        <v>0</v>
      </c>
      <c r="W112" s="119">
        <f t="shared" si="17"/>
        <v>0</v>
      </c>
      <c r="X112" s="119">
        <f t="shared" si="17"/>
        <v>0</v>
      </c>
      <c r="Y112" s="119">
        <f t="shared" si="17"/>
        <v>0</v>
      </c>
      <c r="Z112" s="119">
        <f t="shared" si="17"/>
        <v>0</v>
      </c>
      <c r="AA112" s="119">
        <f t="shared" si="17"/>
        <v>0</v>
      </c>
      <c r="AB112" s="119">
        <f t="shared" si="17"/>
        <v>0</v>
      </c>
      <c r="AC112" s="119">
        <f t="shared" si="17"/>
        <v>0</v>
      </c>
      <c r="AD112" s="119">
        <f t="shared" si="17"/>
        <v>0</v>
      </c>
      <c r="AE112" s="119">
        <f t="shared" si="17"/>
        <v>0</v>
      </c>
      <c r="AF112" s="119">
        <f t="shared" si="17"/>
        <v>0</v>
      </c>
      <c r="AG112" s="119">
        <f t="shared" si="17"/>
        <v>0</v>
      </c>
      <c r="AH112" s="119">
        <f t="shared" si="17"/>
        <v>0</v>
      </c>
      <c r="AI112" s="119">
        <f t="shared" si="17"/>
        <v>0</v>
      </c>
      <c r="AJ112" s="36" t="str">
        <f t="shared" si="6"/>
        <v/>
      </c>
      <c r="AK112" s="49"/>
      <c r="AL112" s="49" t="str">
        <f t="shared" si="9"/>
        <v>00</v>
      </c>
      <c r="AM112" s="51" t="str">
        <f t="shared" si="10"/>
        <v>00</v>
      </c>
      <c r="AN112" s="51" t="str">
        <f t="shared" si="11"/>
        <v>00</v>
      </c>
      <c r="AO112" s="51" t="str">
        <f t="shared" si="12"/>
        <v>00</v>
      </c>
      <c r="AQ112" t="str">
        <f t="shared" si="7"/>
        <v/>
      </c>
    </row>
    <row r="113" spans="2:43">
      <c r="B113" s="126"/>
      <c r="C113" s="36">
        <f t="shared" si="8"/>
        <v>42</v>
      </c>
      <c r="D113" s="119">
        <f t="shared" si="17"/>
        <v>0</v>
      </c>
      <c r="E113" s="119">
        <f t="shared" si="17"/>
        <v>0</v>
      </c>
      <c r="F113" s="119">
        <f t="shared" si="17"/>
        <v>0</v>
      </c>
      <c r="G113" s="119">
        <f t="shared" si="17"/>
        <v>0</v>
      </c>
      <c r="H113" s="119">
        <f t="shared" si="17"/>
        <v>0</v>
      </c>
      <c r="I113" s="119">
        <f t="shared" si="17"/>
        <v>0</v>
      </c>
      <c r="J113" s="119">
        <f t="shared" si="17"/>
        <v>0</v>
      </c>
      <c r="K113" s="119">
        <f t="shared" si="17"/>
        <v>0</v>
      </c>
      <c r="L113" s="119">
        <f t="shared" si="17"/>
        <v>0</v>
      </c>
      <c r="M113" s="119">
        <f t="shared" si="17"/>
        <v>0</v>
      </c>
      <c r="N113" s="119">
        <f t="shared" si="17"/>
        <v>0</v>
      </c>
      <c r="O113" s="119">
        <f t="shared" si="17"/>
        <v>0</v>
      </c>
      <c r="P113" s="119">
        <f t="shared" si="17"/>
        <v>0</v>
      </c>
      <c r="Q113" s="119">
        <f t="shared" si="17"/>
        <v>0</v>
      </c>
      <c r="R113" s="119">
        <f t="shared" si="17"/>
        <v>0</v>
      </c>
      <c r="S113" s="119">
        <f t="shared" si="17"/>
        <v>0</v>
      </c>
      <c r="T113" s="119">
        <f t="shared" si="17"/>
        <v>0</v>
      </c>
      <c r="U113" s="119">
        <f t="shared" si="17"/>
        <v>0</v>
      </c>
      <c r="V113" s="119">
        <f t="shared" si="17"/>
        <v>0</v>
      </c>
      <c r="W113" s="119">
        <f t="shared" si="17"/>
        <v>0</v>
      </c>
      <c r="X113" s="119">
        <f t="shared" si="17"/>
        <v>0</v>
      </c>
      <c r="Y113" s="119">
        <f t="shared" si="17"/>
        <v>0</v>
      </c>
      <c r="Z113" s="119">
        <f t="shared" si="17"/>
        <v>0</v>
      </c>
      <c r="AA113" s="119">
        <f t="shared" si="17"/>
        <v>0</v>
      </c>
      <c r="AB113" s="119">
        <f t="shared" si="17"/>
        <v>0</v>
      </c>
      <c r="AC113" s="119">
        <f t="shared" si="17"/>
        <v>0</v>
      </c>
      <c r="AD113" s="119">
        <f t="shared" si="17"/>
        <v>0</v>
      </c>
      <c r="AE113" s="119">
        <f t="shared" si="17"/>
        <v>0</v>
      </c>
      <c r="AF113" s="119">
        <f t="shared" si="17"/>
        <v>0</v>
      </c>
      <c r="AG113" s="119">
        <f t="shared" si="17"/>
        <v>0</v>
      </c>
      <c r="AH113" s="119">
        <f t="shared" si="17"/>
        <v>0</v>
      </c>
      <c r="AI113" s="119">
        <f t="shared" si="17"/>
        <v>0</v>
      </c>
      <c r="AJ113" s="36" t="str">
        <f t="shared" si="6"/>
        <v/>
      </c>
      <c r="AK113" s="49"/>
      <c r="AL113" s="49" t="str">
        <f t="shared" si="9"/>
        <v>00</v>
      </c>
      <c r="AM113" s="51" t="str">
        <f t="shared" si="10"/>
        <v>00</v>
      </c>
      <c r="AN113" s="51" t="str">
        <f t="shared" si="11"/>
        <v>00</v>
      </c>
      <c r="AO113" s="51" t="str">
        <f t="shared" si="12"/>
        <v>00</v>
      </c>
      <c r="AQ113" t="str">
        <f t="shared" si="7"/>
        <v/>
      </c>
    </row>
    <row r="114" spans="2:43">
      <c r="B114" s="126"/>
      <c r="C114" s="36">
        <f t="shared" si="8"/>
        <v>43</v>
      </c>
      <c r="D114" s="119">
        <f t="shared" si="17"/>
        <v>0</v>
      </c>
      <c r="E114" s="119">
        <f t="shared" si="17"/>
        <v>0</v>
      </c>
      <c r="F114" s="119">
        <f t="shared" si="17"/>
        <v>0</v>
      </c>
      <c r="G114" s="119">
        <f t="shared" si="17"/>
        <v>0</v>
      </c>
      <c r="H114" s="119">
        <f t="shared" si="17"/>
        <v>0</v>
      </c>
      <c r="I114" s="119">
        <f t="shared" si="17"/>
        <v>0</v>
      </c>
      <c r="J114" s="119">
        <f t="shared" si="17"/>
        <v>0</v>
      </c>
      <c r="K114" s="119">
        <f t="shared" si="17"/>
        <v>0</v>
      </c>
      <c r="L114" s="119">
        <f t="shared" si="17"/>
        <v>0</v>
      </c>
      <c r="M114" s="119">
        <f t="shared" si="17"/>
        <v>0</v>
      </c>
      <c r="N114" s="119">
        <f t="shared" si="17"/>
        <v>0</v>
      </c>
      <c r="O114" s="119">
        <f t="shared" si="17"/>
        <v>0</v>
      </c>
      <c r="P114" s="119">
        <f t="shared" si="17"/>
        <v>0</v>
      </c>
      <c r="Q114" s="119">
        <f t="shared" si="17"/>
        <v>0</v>
      </c>
      <c r="R114" s="119">
        <f t="shared" si="17"/>
        <v>0</v>
      </c>
      <c r="S114" s="119">
        <f t="shared" si="17"/>
        <v>0</v>
      </c>
      <c r="T114" s="119">
        <f t="shared" si="17"/>
        <v>0</v>
      </c>
      <c r="U114" s="119">
        <f t="shared" si="17"/>
        <v>0</v>
      </c>
      <c r="V114" s="119">
        <f t="shared" si="17"/>
        <v>0</v>
      </c>
      <c r="W114" s="119">
        <f t="shared" si="17"/>
        <v>0</v>
      </c>
      <c r="X114" s="119">
        <f t="shared" si="17"/>
        <v>0</v>
      </c>
      <c r="Y114" s="119">
        <f t="shared" si="17"/>
        <v>0</v>
      </c>
      <c r="Z114" s="119">
        <f t="shared" si="17"/>
        <v>0</v>
      </c>
      <c r="AA114" s="119">
        <f t="shared" si="17"/>
        <v>0</v>
      </c>
      <c r="AB114" s="119">
        <f t="shared" si="17"/>
        <v>0</v>
      </c>
      <c r="AC114" s="119">
        <f t="shared" si="17"/>
        <v>0</v>
      </c>
      <c r="AD114" s="119">
        <f t="shared" si="17"/>
        <v>0</v>
      </c>
      <c r="AE114" s="119">
        <f t="shared" si="17"/>
        <v>0</v>
      </c>
      <c r="AF114" s="119">
        <f t="shared" si="17"/>
        <v>0</v>
      </c>
      <c r="AG114" s="119">
        <f t="shared" si="17"/>
        <v>0</v>
      </c>
      <c r="AH114" s="119">
        <f t="shared" si="17"/>
        <v>0</v>
      </c>
      <c r="AI114" s="119">
        <f t="shared" si="17"/>
        <v>0</v>
      </c>
      <c r="AJ114" s="36" t="str">
        <f t="shared" si="6"/>
        <v/>
      </c>
      <c r="AK114" s="49"/>
      <c r="AL114" s="49" t="str">
        <f t="shared" si="9"/>
        <v>00</v>
      </c>
      <c r="AM114" s="51" t="str">
        <f t="shared" si="10"/>
        <v>00</v>
      </c>
      <c r="AN114" s="51" t="str">
        <f t="shared" si="11"/>
        <v>00</v>
      </c>
      <c r="AO114" s="51" t="str">
        <f t="shared" si="12"/>
        <v>00</v>
      </c>
      <c r="AQ114" t="str">
        <f t="shared" si="7"/>
        <v/>
      </c>
    </row>
    <row r="115" spans="2:43">
      <c r="B115" s="126"/>
      <c r="C115" s="36">
        <f t="shared" si="8"/>
        <v>44</v>
      </c>
      <c r="D115" s="119">
        <f t="shared" si="17"/>
        <v>0</v>
      </c>
      <c r="E115" s="119">
        <f t="shared" si="17"/>
        <v>0</v>
      </c>
      <c r="F115" s="119">
        <f t="shared" si="17"/>
        <v>0</v>
      </c>
      <c r="G115" s="119">
        <f t="shared" si="17"/>
        <v>0</v>
      </c>
      <c r="H115" s="119">
        <f t="shared" si="17"/>
        <v>0</v>
      </c>
      <c r="I115" s="119">
        <f t="shared" si="17"/>
        <v>0</v>
      </c>
      <c r="J115" s="119">
        <f t="shared" si="17"/>
        <v>0</v>
      </c>
      <c r="K115" s="119">
        <f t="shared" si="17"/>
        <v>0</v>
      </c>
      <c r="L115" s="119">
        <f t="shared" si="17"/>
        <v>0</v>
      </c>
      <c r="M115" s="119">
        <f t="shared" si="17"/>
        <v>0</v>
      </c>
      <c r="N115" s="119">
        <f t="shared" si="17"/>
        <v>0</v>
      </c>
      <c r="O115" s="119">
        <f t="shared" si="17"/>
        <v>0</v>
      </c>
      <c r="P115" s="119">
        <f t="shared" si="17"/>
        <v>0</v>
      </c>
      <c r="Q115" s="119">
        <f t="shared" si="17"/>
        <v>0</v>
      </c>
      <c r="R115" s="119">
        <f t="shared" si="17"/>
        <v>0</v>
      </c>
      <c r="S115" s="119">
        <f t="shared" si="17"/>
        <v>0</v>
      </c>
      <c r="T115" s="119">
        <f t="shared" si="17"/>
        <v>0</v>
      </c>
      <c r="U115" s="119">
        <f t="shared" si="17"/>
        <v>0</v>
      </c>
      <c r="V115" s="119">
        <f t="shared" si="17"/>
        <v>0</v>
      </c>
      <c r="W115" s="119">
        <f t="shared" si="17"/>
        <v>0</v>
      </c>
      <c r="X115" s="119">
        <f t="shared" si="17"/>
        <v>0</v>
      </c>
      <c r="Y115" s="119">
        <f t="shared" si="17"/>
        <v>0</v>
      </c>
      <c r="Z115" s="119">
        <f t="shared" si="17"/>
        <v>0</v>
      </c>
      <c r="AA115" s="119">
        <f t="shared" si="17"/>
        <v>0</v>
      </c>
      <c r="AB115" s="119">
        <f t="shared" si="17"/>
        <v>0</v>
      </c>
      <c r="AC115" s="119">
        <f t="shared" si="17"/>
        <v>0</v>
      </c>
      <c r="AD115" s="119">
        <f t="shared" si="17"/>
        <v>0</v>
      </c>
      <c r="AE115" s="119">
        <f t="shared" si="17"/>
        <v>0</v>
      </c>
      <c r="AF115" s="119">
        <f t="shared" si="17"/>
        <v>0</v>
      </c>
      <c r="AG115" s="119">
        <f t="shared" si="17"/>
        <v>0</v>
      </c>
      <c r="AH115" s="119">
        <f t="shared" si="17"/>
        <v>0</v>
      </c>
      <c r="AI115" s="119">
        <f t="shared" si="17"/>
        <v>0</v>
      </c>
      <c r="AJ115" s="36" t="str">
        <f t="shared" si="6"/>
        <v/>
      </c>
      <c r="AK115" s="49"/>
      <c r="AL115" s="49" t="str">
        <f t="shared" si="9"/>
        <v>00</v>
      </c>
      <c r="AM115" s="51" t="str">
        <f t="shared" si="10"/>
        <v>00</v>
      </c>
      <c r="AN115" s="51" t="str">
        <f t="shared" si="11"/>
        <v>00</v>
      </c>
      <c r="AO115" s="51" t="str">
        <f t="shared" si="12"/>
        <v>00</v>
      </c>
      <c r="AQ115" t="str">
        <f t="shared" si="7"/>
        <v/>
      </c>
    </row>
    <row r="116" spans="2:43">
      <c r="B116" s="126"/>
      <c r="C116" s="36">
        <f t="shared" si="8"/>
        <v>45</v>
      </c>
      <c r="D116" s="119">
        <f t="shared" si="17"/>
        <v>0</v>
      </c>
      <c r="E116" s="119">
        <f t="shared" si="17"/>
        <v>0</v>
      </c>
      <c r="F116" s="119">
        <f t="shared" si="17"/>
        <v>0</v>
      </c>
      <c r="G116" s="119">
        <f t="shared" si="17"/>
        <v>0</v>
      </c>
      <c r="H116" s="119">
        <f t="shared" si="17"/>
        <v>0</v>
      </c>
      <c r="I116" s="119">
        <f t="shared" si="17"/>
        <v>0</v>
      </c>
      <c r="J116" s="119">
        <f t="shared" si="17"/>
        <v>0</v>
      </c>
      <c r="K116" s="119">
        <f t="shared" si="17"/>
        <v>0</v>
      </c>
      <c r="L116" s="119">
        <f t="shared" si="17"/>
        <v>0</v>
      </c>
      <c r="M116" s="119">
        <f t="shared" si="17"/>
        <v>0</v>
      </c>
      <c r="N116" s="119">
        <f t="shared" si="17"/>
        <v>0</v>
      </c>
      <c r="O116" s="119">
        <f t="shared" si="17"/>
        <v>0</v>
      </c>
      <c r="P116" s="119">
        <f t="shared" si="17"/>
        <v>0</v>
      </c>
      <c r="Q116" s="119">
        <f t="shared" si="17"/>
        <v>0</v>
      </c>
      <c r="R116" s="119">
        <f t="shared" si="17"/>
        <v>0</v>
      </c>
      <c r="S116" s="119">
        <f t="shared" si="17"/>
        <v>0</v>
      </c>
      <c r="T116" s="119">
        <f t="shared" si="17"/>
        <v>0</v>
      </c>
      <c r="U116" s="119">
        <f t="shared" si="17"/>
        <v>0</v>
      </c>
      <c r="V116" s="119">
        <f t="shared" si="17"/>
        <v>0</v>
      </c>
      <c r="W116" s="119">
        <f t="shared" si="17"/>
        <v>0</v>
      </c>
      <c r="X116" s="119">
        <f t="shared" si="17"/>
        <v>0</v>
      </c>
      <c r="Y116" s="119">
        <f t="shared" si="17"/>
        <v>0</v>
      </c>
      <c r="Z116" s="119">
        <f t="shared" si="17"/>
        <v>0</v>
      </c>
      <c r="AA116" s="119">
        <f t="shared" si="17"/>
        <v>0</v>
      </c>
      <c r="AB116" s="119">
        <f t="shared" si="17"/>
        <v>0</v>
      </c>
      <c r="AC116" s="119">
        <f t="shared" si="17"/>
        <v>0</v>
      </c>
      <c r="AD116" s="119">
        <f t="shared" si="17"/>
        <v>0</v>
      </c>
      <c r="AE116" s="119">
        <f t="shared" si="17"/>
        <v>0</v>
      </c>
      <c r="AF116" s="119">
        <f t="shared" si="17"/>
        <v>0</v>
      </c>
      <c r="AG116" s="119">
        <f t="shared" si="17"/>
        <v>0</v>
      </c>
      <c r="AH116" s="119">
        <f t="shared" si="17"/>
        <v>0</v>
      </c>
      <c r="AI116" s="119">
        <f t="shared" si="17"/>
        <v>0</v>
      </c>
      <c r="AJ116" s="36" t="str">
        <f t="shared" si="6"/>
        <v/>
      </c>
      <c r="AK116" s="49"/>
      <c r="AL116" s="49" t="str">
        <f t="shared" si="9"/>
        <v>00</v>
      </c>
      <c r="AM116" s="51" t="str">
        <f t="shared" si="10"/>
        <v>00</v>
      </c>
      <c r="AN116" s="51" t="str">
        <f t="shared" si="11"/>
        <v>00</v>
      </c>
      <c r="AO116" s="51" t="str">
        <f t="shared" si="12"/>
        <v>00</v>
      </c>
      <c r="AQ116" t="str">
        <f t="shared" si="7"/>
        <v/>
      </c>
    </row>
    <row r="117" spans="2:43">
      <c r="B117" s="126"/>
      <c r="C117" s="36">
        <f t="shared" si="8"/>
        <v>46</v>
      </c>
      <c r="D117" s="119">
        <f t="shared" si="17"/>
        <v>0</v>
      </c>
      <c r="E117" s="119">
        <f t="shared" si="17"/>
        <v>0</v>
      </c>
      <c r="F117" s="119">
        <f t="shared" si="17"/>
        <v>0</v>
      </c>
      <c r="G117" s="119">
        <f t="shared" si="17"/>
        <v>0</v>
      </c>
      <c r="H117" s="119">
        <f t="shared" si="17"/>
        <v>0</v>
      </c>
      <c r="I117" s="119">
        <f t="shared" si="17"/>
        <v>0</v>
      </c>
      <c r="J117" s="119">
        <f t="shared" si="17"/>
        <v>0</v>
      </c>
      <c r="K117" s="119">
        <f t="shared" si="17"/>
        <v>0</v>
      </c>
      <c r="L117" s="119">
        <f t="shared" si="17"/>
        <v>0</v>
      </c>
      <c r="M117" s="119">
        <f t="shared" si="17"/>
        <v>0</v>
      </c>
      <c r="N117" s="119">
        <f t="shared" si="17"/>
        <v>0</v>
      </c>
      <c r="O117" s="119">
        <f t="shared" si="17"/>
        <v>0</v>
      </c>
      <c r="P117" s="119">
        <f t="shared" si="17"/>
        <v>0</v>
      </c>
      <c r="Q117" s="119">
        <f t="shared" si="17"/>
        <v>0</v>
      </c>
      <c r="R117" s="119">
        <f t="shared" si="17"/>
        <v>0</v>
      </c>
      <c r="S117" s="119">
        <f t="shared" si="17"/>
        <v>0</v>
      </c>
      <c r="T117" s="119">
        <f t="shared" si="17"/>
        <v>0</v>
      </c>
      <c r="U117" s="119">
        <f t="shared" si="17"/>
        <v>0</v>
      </c>
      <c r="V117" s="119">
        <f t="shared" si="17"/>
        <v>0</v>
      </c>
      <c r="W117" s="119">
        <f t="shared" si="17"/>
        <v>0</v>
      </c>
      <c r="X117" s="119">
        <f t="shared" si="17"/>
        <v>0</v>
      </c>
      <c r="Y117" s="119">
        <f t="shared" si="17"/>
        <v>0</v>
      </c>
      <c r="Z117" s="119">
        <f t="shared" si="17"/>
        <v>0</v>
      </c>
      <c r="AA117" s="119">
        <f t="shared" si="17"/>
        <v>0</v>
      </c>
      <c r="AB117" s="119">
        <f t="shared" si="17"/>
        <v>0</v>
      </c>
      <c r="AC117" s="119">
        <f t="shared" si="17"/>
        <v>0</v>
      </c>
      <c r="AD117" s="119">
        <f t="shared" si="17"/>
        <v>0</v>
      </c>
      <c r="AE117" s="119">
        <f t="shared" si="17"/>
        <v>0</v>
      </c>
      <c r="AF117" s="119">
        <f t="shared" si="17"/>
        <v>0</v>
      </c>
      <c r="AG117" s="119">
        <f t="shared" si="17"/>
        <v>0</v>
      </c>
      <c r="AH117" s="119">
        <f t="shared" si="17"/>
        <v>0</v>
      </c>
      <c r="AI117" s="119">
        <f t="shared" si="17"/>
        <v>0</v>
      </c>
      <c r="AJ117" s="36" t="str">
        <f t="shared" si="6"/>
        <v/>
      </c>
      <c r="AK117" s="49"/>
      <c r="AL117" s="49" t="str">
        <f t="shared" si="9"/>
        <v>00</v>
      </c>
      <c r="AM117" s="51" t="str">
        <f t="shared" si="10"/>
        <v>00</v>
      </c>
      <c r="AN117" s="51" t="str">
        <f t="shared" si="11"/>
        <v>00</v>
      </c>
      <c r="AO117" s="51" t="str">
        <f t="shared" si="12"/>
        <v>00</v>
      </c>
      <c r="AQ117" t="str">
        <f t="shared" si="7"/>
        <v/>
      </c>
    </row>
    <row r="118" spans="2:43">
      <c r="B118" s="126"/>
      <c r="C118" s="36">
        <f t="shared" si="8"/>
        <v>47</v>
      </c>
      <c r="D118" s="119">
        <f t="shared" si="17"/>
        <v>0</v>
      </c>
      <c r="E118" s="119">
        <f t="shared" si="17"/>
        <v>0</v>
      </c>
      <c r="F118" s="119">
        <f t="shared" si="17"/>
        <v>0</v>
      </c>
      <c r="G118" s="119">
        <f t="shared" si="17"/>
        <v>0</v>
      </c>
      <c r="H118" s="119">
        <f t="shared" si="17"/>
        <v>0</v>
      </c>
      <c r="I118" s="119">
        <f t="shared" si="17"/>
        <v>0</v>
      </c>
      <c r="J118" s="119">
        <f t="shared" si="17"/>
        <v>0</v>
      </c>
      <c r="K118" s="119">
        <f t="shared" si="17"/>
        <v>0</v>
      </c>
      <c r="L118" s="119">
        <f t="shared" si="17"/>
        <v>0</v>
      </c>
      <c r="M118" s="119">
        <f t="shared" si="17"/>
        <v>0</v>
      </c>
      <c r="N118" s="119">
        <f t="shared" si="17"/>
        <v>0</v>
      </c>
      <c r="O118" s="119">
        <f t="shared" si="17"/>
        <v>0</v>
      </c>
      <c r="P118" s="119">
        <f t="shared" si="17"/>
        <v>0</v>
      </c>
      <c r="Q118" s="119">
        <f t="shared" si="17"/>
        <v>0</v>
      </c>
      <c r="R118" s="119">
        <f t="shared" si="17"/>
        <v>0</v>
      </c>
      <c r="S118" s="119">
        <f t="shared" si="17"/>
        <v>0</v>
      </c>
      <c r="T118" s="119">
        <f t="shared" si="17"/>
        <v>0</v>
      </c>
      <c r="U118" s="119">
        <f t="shared" si="17"/>
        <v>0</v>
      </c>
      <c r="V118" s="119">
        <f t="shared" si="17"/>
        <v>0</v>
      </c>
      <c r="W118" s="119">
        <f t="shared" si="17"/>
        <v>0</v>
      </c>
      <c r="X118" s="119">
        <f t="shared" si="17"/>
        <v>0</v>
      </c>
      <c r="Y118" s="119">
        <f t="shared" si="17"/>
        <v>0</v>
      </c>
      <c r="Z118" s="119">
        <f t="shared" si="17"/>
        <v>0</v>
      </c>
      <c r="AA118" s="119">
        <f t="shared" si="17"/>
        <v>0</v>
      </c>
      <c r="AB118" s="119">
        <f t="shared" si="17"/>
        <v>0</v>
      </c>
      <c r="AC118" s="119">
        <f t="shared" si="17"/>
        <v>0</v>
      </c>
      <c r="AD118" s="119">
        <f t="shared" si="17"/>
        <v>0</v>
      </c>
      <c r="AE118" s="119">
        <f t="shared" si="17"/>
        <v>0</v>
      </c>
      <c r="AF118" s="119">
        <f t="shared" si="17"/>
        <v>0</v>
      </c>
      <c r="AG118" s="119">
        <f t="shared" si="17"/>
        <v>0</v>
      </c>
      <c r="AH118" s="119">
        <f t="shared" si="17"/>
        <v>0</v>
      </c>
      <c r="AI118" s="119">
        <f>IF(AI53=1,1,0)</f>
        <v>0</v>
      </c>
      <c r="AJ118" s="36" t="str">
        <f t="shared" si="6"/>
        <v/>
      </c>
      <c r="AK118" s="49"/>
      <c r="AL118" s="49" t="str">
        <f t="shared" si="9"/>
        <v>00</v>
      </c>
      <c r="AM118" s="51" t="str">
        <f t="shared" si="10"/>
        <v>00</v>
      </c>
      <c r="AN118" s="51" t="str">
        <f t="shared" si="11"/>
        <v>00</v>
      </c>
      <c r="AO118" s="51" t="str">
        <f t="shared" si="12"/>
        <v>00</v>
      </c>
      <c r="AQ118" t="str">
        <f t="shared" si="7"/>
        <v/>
      </c>
    </row>
    <row r="119" spans="2:43">
      <c r="B119" s="126"/>
      <c r="C119" s="36">
        <f t="shared" si="8"/>
        <v>48</v>
      </c>
      <c r="D119" s="119">
        <f t="shared" ref="D119:AI126" si="18">IF(D54=1,1,0)</f>
        <v>0</v>
      </c>
      <c r="E119" s="119">
        <f t="shared" si="18"/>
        <v>0</v>
      </c>
      <c r="F119" s="119">
        <f t="shared" si="18"/>
        <v>0</v>
      </c>
      <c r="G119" s="119">
        <f t="shared" si="18"/>
        <v>0</v>
      </c>
      <c r="H119" s="119">
        <f t="shared" si="18"/>
        <v>0</v>
      </c>
      <c r="I119" s="119">
        <f t="shared" si="18"/>
        <v>0</v>
      </c>
      <c r="J119" s="119">
        <f t="shared" si="18"/>
        <v>0</v>
      </c>
      <c r="K119" s="119">
        <f t="shared" si="18"/>
        <v>0</v>
      </c>
      <c r="L119" s="119">
        <f t="shared" si="18"/>
        <v>0</v>
      </c>
      <c r="M119" s="119">
        <f t="shared" si="18"/>
        <v>0</v>
      </c>
      <c r="N119" s="119">
        <f t="shared" si="18"/>
        <v>0</v>
      </c>
      <c r="O119" s="119">
        <f t="shared" si="18"/>
        <v>0</v>
      </c>
      <c r="P119" s="119">
        <f t="shared" si="18"/>
        <v>0</v>
      </c>
      <c r="Q119" s="119">
        <f t="shared" si="18"/>
        <v>0</v>
      </c>
      <c r="R119" s="119">
        <f t="shared" si="18"/>
        <v>0</v>
      </c>
      <c r="S119" s="119">
        <f t="shared" si="18"/>
        <v>0</v>
      </c>
      <c r="T119" s="119">
        <f t="shared" si="18"/>
        <v>0</v>
      </c>
      <c r="U119" s="119">
        <f t="shared" si="18"/>
        <v>0</v>
      </c>
      <c r="V119" s="119">
        <f t="shared" si="18"/>
        <v>0</v>
      </c>
      <c r="W119" s="119">
        <f t="shared" si="18"/>
        <v>0</v>
      </c>
      <c r="X119" s="119">
        <f t="shared" si="18"/>
        <v>0</v>
      </c>
      <c r="Y119" s="119">
        <f t="shared" si="18"/>
        <v>0</v>
      </c>
      <c r="Z119" s="119">
        <f t="shared" si="18"/>
        <v>0</v>
      </c>
      <c r="AA119" s="119">
        <f t="shared" si="18"/>
        <v>0</v>
      </c>
      <c r="AB119" s="119">
        <f t="shared" si="18"/>
        <v>0</v>
      </c>
      <c r="AC119" s="119">
        <f t="shared" si="18"/>
        <v>0</v>
      </c>
      <c r="AD119" s="119">
        <f t="shared" si="18"/>
        <v>0</v>
      </c>
      <c r="AE119" s="119">
        <f t="shared" si="18"/>
        <v>0</v>
      </c>
      <c r="AF119" s="119">
        <f t="shared" si="18"/>
        <v>0</v>
      </c>
      <c r="AG119" s="119">
        <f t="shared" si="18"/>
        <v>0</v>
      </c>
      <c r="AH119" s="119">
        <f t="shared" si="18"/>
        <v>0</v>
      </c>
      <c r="AI119" s="119">
        <f t="shared" si="18"/>
        <v>0</v>
      </c>
      <c r="AJ119" s="36" t="str">
        <f t="shared" si="6"/>
        <v/>
      </c>
      <c r="AK119" s="49"/>
      <c r="AL119" s="49" t="str">
        <f t="shared" si="9"/>
        <v>00</v>
      </c>
      <c r="AM119" s="51" t="str">
        <f t="shared" si="10"/>
        <v>00</v>
      </c>
      <c r="AN119" s="51" t="str">
        <f t="shared" si="11"/>
        <v>00</v>
      </c>
      <c r="AO119" s="51" t="str">
        <f t="shared" si="12"/>
        <v>00</v>
      </c>
      <c r="AQ119" t="str">
        <f t="shared" si="7"/>
        <v/>
      </c>
    </row>
    <row r="120" spans="2:43">
      <c r="B120" s="126"/>
      <c r="C120" s="36">
        <f t="shared" si="8"/>
        <v>49</v>
      </c>
      <c r="D120" s="119">
        <f t="shared" si="18"/>
        <v>0</v>
      </c>
      <c r="E120" s="119">
        <f t="shared" si="18"/>
        <v>0</v>
      </c>
      <c r="F120" s="119">
        <f t="shared" si="18"/>
        <v>0</v>
      </c>
      <c r="G120" s="119">
        <f t="shared" si="18"/>
        <v>0</v>
      </c>
      <c r="H120" s="119">
        <f t="shared" si="18"/>
        <v>0</v>
      </c>
      <c r="I120" s="119">
        <f t="shared" si="18"/>
        <v>0</v>
      </c>
      <c r="J120" s="119">
        <f t="shared" si="18"/>
        <v>0</v>
      </c>
      <c r="K120" s="119">
        <f t="shared" si="18"/>
        <v>0</v>
      </c>
      <c r="L120" s="119">
        <f t="shared" si="18"/>
        <v>0</v>
      </c>
      <c r="M120" s="119">
        <f t="shared" si="18"/>
        <v>0</v>
      </c>
      <c r="N120" s="119">
        <f t="shared" si="18"/>
        <v>0</v>
      </c>
      <c r="O120" s="119">
        <f t="shared" si="18"/>
        <v>0</v>
      </c>
      <c r="P120" s="119">
        <f t="shared" si="18"/>
        <v>0</v>
      </c>
      <c r="Q120" s="119">
        <f t="shared" si="18"/>
        <v>0</v>
      </c>
      <c r="R120" s="119">
        <f t="shared" si="18"/>
        <v>0</v>
      </c>
      <c r="S120" s="119">
        <f t="shared" si="18"/>
        <v>0</v>
      </c>
      <c r="T120" s="119">
        <f t="shared" si="18"/>
        <v>0</v>
      </c>
      <c r="U120" s="119">
        <f t="shared" si="18"/>
        <v>0</v>
      </c>
      <c r="V120" s="119">
        <f t="shared" si="18"/>
        <v>0</v>
      </c>
      <c r="W120" s="119">
        <f t="shared" si="18"/>
        <v>0</v>
      </c>
      <c r="X120" s="119">
        <f t="shared" si="18"/>
        <v>0</v>
      </c>
      <c r="Y120" s="119">
        <f t="shared" si="18"/>
        <v>0</v>
      </c>
      <c r="Z120" s="119">
        <f t="shared" si="18"/>
        <v>0</v>
      </c>
      <c r="AA120" s="119">
        <f t="shared" si="18"/>
        <v>0</v>
      </c>
      <c r="AB120" s="119">
        <f t="shared" si="18"/>
        <v>0</v>
      </c>
      <c r="AC120" s="119">
        <f t="shared" si="18"/>
        <v>0</v>
      </c>
      <c r="AD120" s="119">
        <f t="shared" si="18"/>
        <v>0</v>
      </c>
      <c r="AE120" s="119">
        <f t="shared" si="18"/>
        <v>0</v>
      </c>
      <c r="AF120" s="119">
        <f t="shared" si="18"/>
        <v>0</v>
      </c>
      <c r="AG120" s="119">
        <f t="shared" si="18"/>
        <v>0</v>
      </c>
      <c r="AH120" s="119">
        <f t="shared" si="18"/>
        <v>0</v>
      </c>
      <c r="AI120" s="119">
        <f t="shared" si="18"/>
        <v>0</v>
      </c>
      <c r="AJ120" s="36" t="str">
        <f t="shared" si="6"/>
        <v/>
      </c>
      <c r="AK120" s="49"/>
      <c r="AL120" s="49" t="str">
        <f t="shared" si="9"/>
        <v>00</v>
      </c>
      <c r="AM120" s="51" t="str">
        <f t="shared" si="10"/>
        <v>00</v>
      </c>
      <c r="AN120" s="51" t="str">
        <f t="shared" si="11"/>
        <v>00</v>
      </c>
      <c r="AO120" s="51" t="str">
        <f t="shared" si="12"/>
        <v>00</v>
      </c>
      <c r="AQ120" t="str">
        <f t="shared" si="7"/>
        <v/>
      </c>
    </row>
    <row r="121" spans="2:43">
      <c r="B121" s="126"/>
      <c r="C121" s="36">
        <f t="shared" si="8"/>
        <v>50</v>
      </c>
      <c r="D121" s="119">
        <f t="shared" si="18"/>
        <v>0</v>
      </c>
      <c r="E121" s="119">
        <f t="shared" si="18"/>
        <v>0</v>
      </c>
      <c r="F121" s="119">
        <f t="shared" si="18"/>
        <v>0</v>
      </c>
      <c r="G121" s="119">
        <f t="shared" si="18"/>
        <v>0</v>
      </c>
      <c r="H121" s="119">
        <f t="shared" si="18"/>
        <v>0</v>
      </c>
      <c r="I121" s="119">
        <f t="shared" si="18"/>
        <v>0</v>
      </c>
      <c r="J121" s="119">
        <f t="shared" si="18"/>
        <v>0</v>
      </c>
      <c r="K121" s="119">
        <f t="shared" si="18"/>
        <v>0</v>
      </c>
      <c r="L121" s="119">
        <f t="shared" si="18"/>
        <v>0</v>
      </c>
      <c r="M121" s="119">
        <f t="shared" si="18"/>
        <v>0</v>
      </c>
      <c r="N121" s="119">
        <f t="shared" si="18"/>
        <v>0</v>
      </c>
      <c r="O121" s="119">
        <f t="shared" si="18"/>
        <v>0</v>
      </c>
      <c r="P121" s="119">
        <f t="shared" si="18"/>
        <v>0</v>
      </c>
      <c r="Q121" s="119">
        <f t="shared" si="18"/>
        <v>0</v>
      </c>
      <c r="R121" s="119">
        <f t="shared" si="18"/>
        <v>0</v>
      </c>
      <c r="S121" s="119">
        <f t="shared" si="18"/>
        <v>0</v>
      </c>
      <c r="T121" s="119">
        <f t="shared" si="18"/>
        <v>0</v>
      </c>
      <c r="U121" s="119">
        <f t="shared" si="18"/>
        <v>0</v>
      </c>
      <c r="V121" s="119">
        <f t="shared" si="18"/>
        <v>0</v>
      </c>
      <c r="W121" s="119">
        <f t="shared" si="18"/>
        <v>0</v>
      </c>
      <c r="X121" s="119">
        <f t="shared" si="18"/>
        <v>0</v>
      </c>
      <c r="Y121" s="119">
        <f t="shared" si="18"/>
        <v>0</v>
      </c>
      <c r="Z121" s="119">
        <f t="shared" si="18"/>
        <v>0</v>
      </c>
      <c r="AA121" s="119">
        <f t="shared" si="18"/>
        <v>0</v>
      </c>
      <c r="AB121" s="119">
        <f t="shared" si="18"/>
        <v>0</v>
      </c>
      <c r="AC121" s="119">
        <f t="shared" si="18"/>
        <v>0</v>
      </c>
      <c r="AD121" s="119">
        <f t="shared" si="18"/>
        <v>0</v>
      </c>
      <c r="AE121" s="119">
        <f t="shared" si="18"/>
        <v>0</v>
      </c>
      <c r="AF121" s="119">
        <f t="shared" si="18"/>
        <v>0</v>
      </c>
      <c r="AG121" s="119">
        <f t="shared" si="18"/>
        <v>0</v>
      </c>
      <c r="AH121" s="119">
        <f t="shared" si="18"/>
        <v>0</v>
      </c>
      <c r="AI121" s="119">
        <f t="shared" si="18"/>
        <v>0</v>
      </c>
      <c r="AJ121" s="36" t="str">
        <f t="shared" si="6"/>
        <v/>
      </c>
      <c r="AK121" s="49"/>
      <c r="AL121" s="49" t="str">
        <f t="shared" si="9"/>
        <v>00</v>
      </c>
      <c r="AM121" s="51" t="str">
        <f t="shared" si="10"/>
        <v>00</v>
      </c>
      <c r="AN121" s="51" t="str">
        <f t="shared" si="11"/>
        <v>00</v>
      </c>
      <c r="AO121" s="51" t="str">
        <f t="shared" si="12"/>
        <v>00</v>
      </c>
      <c r="AQ121" t="str">
        <f t="shared" si="7"/>
        <v/>
      </c>
    </row>
    <row r="122" spans="2:43">
      <c r="B122" s="126"/>
      <c r="C122" s="36">
        <f t="shared" si="8"/>
        <v>51</v>
      </c>
      <c r="D122" s="119">
        <f t="shared" si="18"/>
        <v>0</v>
      </c>
      <c r="E122" s="119">
        <f t="shared" si="18"/>
        <v>0</v>
      </c>
      <c r="F122" s="119">
        <f t="shared" si="18"/>
        <v>0</v>
      </c>
      <c r="G122" s="119">
        <f t="shared" si="18"/>
        <v>0</v>
      </c>
      <c r="H122" s="119">
        <f t="shared" si="18"/>
        <v>0</v>
      </c>
      <c r="I122" s="119">
        <f t="shared" si="18"/>
        <v>0</v>
      </c>
      <c r="J122" s="119">
        <f t="shared" si="18"/>
        <v>0</v>
      </c>
      <c r="K122" s="119">
        <f t="shared" si="18"/>
        <v>0</v>
      </c>
      <c r="L122" s="119">
        <f t="shared" si="18"/>
        <v>0</v>
      </c>
      <c r="M122" s="119">
        <f t="shared" si="18"/>
        <v>0</v>
      </c>
      <c r="N122" s="119">
        <f t="shared" si="18"/>
        <v>0</v>
      </c>
      <c r="O122" s="119">
        <f t="shared" si="18"/>
        <v>0</v>
      </c>
      <c r="P122" s="119">
        <f t="shared" si="18"/>
        <v>0</v>
      </c>
      <c r="Q122" s="119">
        <f t="shared" si="18"/>
        <v>0</v>
      </c>
      <c r="R122" s="119">
        <f t="shared" si="18"/>
        <v>0</v>
      </c>
      <c r="S122" s="119">
        <f t="shared" si="18"/>
        <v>0</v>
      </c>
      <c r="T122" s="119">
        <f t="shared" si="18"/>
        <v>0</v>
      </c>
      <c r="U122" s="119">
        <f t="shared" si="18"/>
        <v>0</v>
      </c>
      <c r="V122" s="119">
        <f t="shared" si="18"/>
        <v>0</v>
      </c>
      <c r="W122" s="119">
        <f t="shared" si="18"/>
        <v>0</v>
      </c>
      <c r="X122" s="119">
        <f t="shared" si="18"/>
        <v>0</v>
      </c>
      <c r="Y122" s="119">
        <f t="shared" si="18"/>
        <v>0</v>
      </c>
      <c r="Z122" s="119">
        <f t="shared" si="18"/>
        <v>0</v>
      </c>
      <c r="AA122" s="119">
        <f t="shared" si="18"/>
        <v>0</v>
      </c>
      <c r="AB122" s="119">
        <f t="shared" si="18"/>
        <v>0</v>
      </c>
      <c r="AC122" s="119">
        <f t="shared" si="18"/>
        <v>0</v>
      </c>
      <c r="AD122" s="119">
        <f t="shared" si="18"/>
        <v>0</v>
      </c>
      <c r="AE122" s="119">
        <f t="shared" si="18"/>
        <v>0</v>
      </c>
      <c r="AF122" s="119">
        <f t="shared" si="18"/>
        <v>0</v>
      </c>
      <c r="AG122" s="119">
        <f t="shared" si="18"/>
        <v>0</v>
      </c>
      <c r="AH122" s="119">
        <f t="shared" si="18"/>
        <v>0</v>
      </c>
      <c r="AI122" s="119">
        <f t="shared" si="18"/>
        <v>0</v>
      </c>
      <c r="AJ122" s="36" t="str">
        <f t="shared" si="6"/>
        <v/>
      </c>
      <c r="AK122" s="49"/>
      <c r="AL122" s="49" t="str">
        <f t="shared" si="9"/>
        <v>00</v>
      </c>
      <c r="AM122" s="51" t="str">
        <f t="shared" si="10"/>
        <v>00</v>
      </c>
      <c r="AN122" s="51" t="str">
        <f t="shared" si="11"/>
        <v>00</v>
      </c>
      <c r="AO122" s="51" t="str">
        <f t="shared" si="12"/>
        <v>00</v>
      </c>
      <c r="AQ122" t="str">
        <f t="shared" si="7"/>
        <v/>
      </c>
    </row>
    <row r="123" spans="2:43">
      <c r="B123" s="126"/>
      <c r="C123" s="36">
        <f t="shared" si="8"/>
        <v>52</v>
      </c>
      <c r="D123" s="119">
        <f t="shared" si="18"/>
        <v>0</v>
      </c>
      <c r="E123" s="119">
        <f t="shared" si="18"/>
        <v>0</v>
      </c>
      <c r="F123" s="119">
        <f t="shared" si="18"/>
        <v>0</v>
      </c>
      <c r="G123" s="119">
        <f t="shared" si="18"/>
        <v>0</v>
      </c>
      <c r="H123" s="119">
        <f t="shared" si="18"/>
        <v>0</v>
      </c>
      <c r="I123" s="119">
        <f t="shared" si="18"/>
        <v>0</v>
      </c>
      <c r="J123" s="119">
        <f t="shared" si="18"/>
        <v>0</v>
      </c>
      <c r="K123" s="119">
        <f t="shared" si="18"/>
        <v>0</v>
      </c>
      <c r="L123" s="119">
        <f t="shared" si="18"/>
        <v>0</v>
      </c>
      <c r="M123" s="119">
        <f t="shared" si="18"/>
        <v>0</v>
      </c>
      <c r="N123" s="119">
        <f t="shared" si="18"/>
        <v>0</v>
      </c>
      <c r="O123" s="119">
        <f t="shared" si="18"/>
        <v>0</v>
      </c>
      <c r="P123" s="119">
        <f t="shared" si="18"/>
        <v>0</v>
      </c>
      <c r="Q123" s="119">
        <f t="shared" si="18"/>
        <v>0</v>
      </c>
      <c r="R123" s="119">
        <f t="shared" si="18"/>
        <v>0</v>
      </c>
      <c r="S123" s="119">
        <f t="shared" si="18"/>
        <v>0</v>
      </c>
      <c r="T123" s="119">
        <f t="shared" si="18"/>
        <v>0</v>
      </c>
      <c r="U123" s="119">
        <f t="shared" si="18"/>
        <v>0</v>
      </c>
      <c r="V123" s="119">
        <f t="shared" si="18"/>
        <v>0</v>
      </c>
      <c r="W123" s="119">
        <f t="shared" si="18"/>
        <v>0</v>
      </c>
      <c r="X123" s="119">
        <f t="shared" si="18"/>
        <v>0</v>
      </c>
      <c r="Y123" s="119">
        <f t="shared" si="18"/>
        <v>0</v>
      </c>
      <c r="Z123" s="119">
        <f t="shared" si="18"/>
        <v>0</v>
      </c>
      <c r="AA123" s="119">
        <f t="shared" si="18"/>
        <v>0</v>
      </c>
      <c r="AB123" s="119">
        <f t="shared" si="18"/>
        <v>0</v>
      </c>
      <c r="AC123" s="119">
        <f t="shared" si="18"/>
        <v>0</v>
      </c>
      <c r="AD123" s="119">
        <f t="shared" si="18"/>
        <v>0</v>
      </c>
      <c r="AE123" s="119">
        <f t="shared" si="18"/>
        <v>0</v>
      </c>
      <c r="AF123" s="119">
        <f t="shared" si="18"/>
        <v>0</v>
      </c>
      <c r="AG123" s="119">
        <f t="shared" si="18"/>
        <v>0</v>
      </c>
      <c r="AH123" s="119">
        <f t="shared" si="18"/>
        <v>0</v>
      </c>
      <c r="AI123" s="119">
        <f t="shared" si="18"/>
        <v>0</v>
      </c>
      <c r="AJ123" s="36" t="str">
        <f t="shared" si="6"/>
        <v/>
      </c>
      <c r="AK123" s="49"/>
      <c r="AL123" s="49" t="str">
        <f t="shared" si="9"/>
        <v>00</v>
      </c>
      <c r="AM123" s="51" t="str">
        <f t="shared" si="10"/>
        <v>00</v>
      </c>
      <c r="AN123" s="51" t="str">
        <f t="shared" si="11"/>
        <v>00</v>
      </c>
      <c r="AO123" s="51" t="str">
        <f t="shared" si="12"/>
        <v>00</v>
      </c>
      <c r="AQ123" t="str">
        <f t="shared" si="7"/>
        <v/>
      </c>
    </row>
    <row r="124" spans="2:43">
      <c r="B124" s="126"/>
      <c r="C124" s="36">
        <f t="shared" si="8"/>
        <v>53</v>
      </c>
      <c r="D124" s="119">
        <f t="shared" si="18"/>
        <v>0</v>
      </c>
      <c r="E124" s="119">
        <f t="shared" si="18"/>
        <v>0</v>
      </c>
      <c r="F124" s="119">
        <f t="shared" si="18"/>
        <v>0</v>
      </c>
      <c r="G124" s="119">
        <f t="shared" si="18"/>
        <v>0</v>
      </c>
      <c r="H124" s="119">
        <f t="shared" si="18"/>
        <v>0</v>
      </c>
      <c r="I124" s="119">
        <f t="shared" si="18"/>
        <v>0</v>
      </c>
      <c r="J124" s="119">
        <f t="shared" si="18"/>
        <v>0</v>
      </c>
      <c r="K124" s="119">
        <f t="shared" si="18"/>
        <v>0</v>
      </c>
      <c r="L124" s="119">
        <f t="shared" si="18"/>
        <v>0</v>
      </c>
      <c r="M124" s="119">
        <f t="shared" si="18"/>
        <v>0</v>
      </c>
      <c r="N124" s="119">
        <f t="shared" si="18"/>
        <v>0</v>
      </c>
      <c r="O124" s="119">
        <f t="shared" si="18"/>
        <v>0</v>
      </c>
      <c r="P124" s="119">
        <f t="shared" si="18"/>
        <v>0</v>
      </c>
      <c r="Q124" s="119">
        <f t="shared" si="18"/>
        <v>0</v>
      </c>
      <c r="R124" s="119">
        <f t="shared" si="18"/>
        <v>0</v>
      </c>
      <c r="S124" s="119">
        <f t="shared" si="18"/>
        <v>0</v>
      </c>
      <c r="T124" s="119">
        <f t="shared" si="18"/>
        <v>0</v>
      </c>
      <c r="U124" s="119">
        <f t="shared" si="18"/>
        <v>0</v>
      </c>
      <c r="V124" s="119">
        <f t="shared" si="18"/>
        <v>0</v>
      </c>
      <c r="W124" s="119">
        <f t="shared" si="18"/>
        <v>0</v>
      </c>
      <c r="X124" s="119">
        <f t="shared" si="18"/>
        <v>0</v>
      </c>
      <c r="Y124" s="119">
        <f t="shared" si="18"/>
        <v>0</v>
      </c>
      <c r="Z124" s="119">
        <f t="shared" si="18"/>
        <v>0</v>
      </c>
      <c r="AA124" s="119">
        <f t="shared" si="18"/>
        <v>0</v>
      </c>
      <c r="AB124" s="119">
        <f t="shared" si="18"/>
        <v>0</v>
      </c>
      <c r="AC124" s="119">
        <f t="shared" si="18"/>
        <v>0</v>
      </c>
      <c r="AD124" s="119">
        <f t="shared" si="18"/>
        <v>0</v>
      </c>
      <c r="AE124" s="119">
        <f t="shared" si="18"/>
        <v>0</v>
      </c>
      <c r="AF124" s="119">
        <f t="shared" si="18"/>
        <v>0</v>
      </c>
      <c r="AG124" s="119">
        <f t="shared" si="18"/>
        <v>0</v>
      </c>
      <c r="AH124" s="119">
        <f t="shared" si="18"/>
        <v>0</v>
      </c>
      <c r="AI124" s="119">
        <f t="shared" si="18"/>
        <v>0</v>
      </c>
      <c r="AJ124" s="36" t="str">
        <f t="shared" si="6"/>
        <v/>
      </c>
      <c r="AK124" s="49"/>
      <c r="AL124" s="49" t="str">
        <f t="shared" si="9"/>
        <v>00</v>
      </c>
      <c r="AM124" s="51" t="str">
        <f t="shared" si="10"/>
        <v>00</v>
      </c>
      <c r="AN124" s="51" t="str">
        <f t="shared" si="11"/>
        <v>00</v>
      </c>
      <c r="AO124" s="51" t="str">
        <f t="shared" si="12"/>
        <v>00</v>
      </c>
      <c r="AQ124" t="str">
        <f t="shared" si="7"/>
        <v/>
      </c>
    </row>
    <row r="125" spans="2:43">
      <c r="B125" s="126"/>
      <c r="C125" s="36">
        <f t="shared" si="8"/>
        <v>54</v>
      </c>
      <c r="D125" s="119">
        <f t="shared" si="18"/>
        <v>0</v>
      </c>
      <c r="E125" s="119">
        <f t="shared" si="18"/>
        <v>0</v>
      </c>
      <c r="F125" s="119">
        <f t="shared" si="18"/>
        <v>0</v>
      </c>
      <c r="G125" s="119">
        <f t="shared" si="18"/>
        <v>0</v>
      </c>
      <c r="H125" s="119">
        <f t="shared" si="18"/>
        <v>0</v>
      </c>
      <c r="I125" s="119">
        <f t="shared" si="18"/>
        <v>0</v>
      </c>
      <c r="J125" s="119">
        <f t="shared" si="18"/>
        <v>0</v>
      </c>
      <c r="K125" s="119">
        <f t="shared" si="18"/>
        <v>0</v>
      </c>
      <c r="L125" s="119">
        <f t="shared" si="18"/>
        <v>0</v>
      </c>
      <c r="M125" s="119">
        <f t="shared" si="18"/>
        <v>0</v>
      </c>
      <c r="N125" s="119">
        <f t="shared" si="18"/>
        <v>0</v>
      </c>
      <c r="O125" s="119">
        <f t="shared" si="18"/>
        <v>0</v>
      </c>
      <c r="P125" s="119">
        <f t="shared" si="18"/>
        <v>0</v>
      </c>
      <c r="Q125" s="119">
        <f t="shared" si="18"/>
        <v>0</v>
      </c>
      <c r="R125" s="119">
        <f t="shared" si="18"/>
        <v>0</v>
      </c>
      <c r="S125" s="119">
        <f t="shared" si="18"/>
        <v>0</v>
      </c>
      <c r="T125" s="119">
        <f t="shared" si="18"/>
        <v>0</v>
      </c>
      <c r="U125" s="119">
        <f t="shared" si="18"/>
        <v>0</v>
      </c>
      <c r="V125" s="119">
        <f t="shared" si="18"/>
        <v>0</v>
      </c>
      <c r="W125" s="119">
        <f t="shared" si="18"/>
        <v>0</v>
      </c>
      <c r="X125" s="119">
        <f t="shared" si="18"/>
        <v>0</v>
      </c>
      <c r="Y125" s="119">
        <f t="shared" si="18"/>
        <v>0</v>
      </c>
      <c r="Z125" s="119">
        <f t="shared" si="18"/>
        <v>0</v>
      </c>
      <c r="AA125" s="119">
        <f t="shared" si="18"/>
        <v>0</v>
      </c>
      <c r="AB125" s="119">
        <f t="shared" si="18"/>
        <v>0</v>
      </c>
      <c r="AC125" s="119">
        <f t="shared" si="18"/>
        <v>0</v>
      </c>
      <c r="AD125" s="119">
        <f t="shared" si="18"/>
        <v>0</v>
      </c>
      <c r="AE125" s="119">
        <f t="shared" si="18"/>
        <v>0</v>
      </c>
      <c r="AF125" s="119">
        <f t="shared" si="18"/>
        <v>0</v>
      </c>
      <c r="AG125" s="119">
        <f t="shared" si="18"/>
        <v>0</v>
      </c>
      <c r="AH125" s="119">
        <f t="shared" si="18"/>
        <v>0</v>
      </c>
      <c r="AI125" s="119">
        <f t="shared" si="18"/>
        <v>0</v>
      </c>
      <c r="AJ125" s="36" t="str">
        <f t="shared" si="6"/>
        <v/>
      </c>
      <c r="AK125" s="49"/>
      <c r="AL125" s="49" t="str">
        <f t="shared" si="9"/>
        <v>00</v>
      </c>
      <c r="AM125" s="51" t="str">
        <f t="shared" si="10"/>
        <v>00</v>
      </c>
      <c r="AN125" s="51" t="str">
        <f t="shared" si="11"/>
        <v>00</v>
      </c>
      <c r="AO125" s="51" t="str">
        <f t="shared" si="12"/>
        <v>00</v>
      </c>
      <c r="AQ125" t="str">
        <f t="shared" si="7"/>
        <v/>
      </c>
    </row>
    <row r="126" spans="2:43">
      <c r="B126" s="126"/>
      <c r="C126" s="36">
        <f t="shared" si="8"/>
        <v>55</v>
      </c>
      <c r="D126" s="119">
        <f t="shared" si="18"/>
        <v>0</v>
      </c>
      <c r="E126" s="119">
        <f t="shared" si="18"/>
        <v>0</v>
      </c>
      <c r="F126" s="119">
        <f t="shared" si="18"/>
        <v>0</v>
      </c>
      <c r="G126" s="119">
        <f t="shared" si="18"/>
        <v>0</v>
      </c>
      <c r="H126" s="119">
        <f t="shared" si="18"/>
        <v>0</v>
      </c>
      <c r="I126" s="119">
        <f t="shared" si="18"/>
        <v>0</v>
      </c>
      <c r="J126" s="119">
        <f t="shared" si="18"/>
        <v>0</v>
      </c>
      <c r="K126" s="119">
        <f t="shared" si="18"/>
        <v>0</v>
      </c>
      <c r="L126" s="119">
        <f t="shared" si="18"/>
        <v>0</v>
      </c>
      <c r="M126" s="119">
        <f t="shared" si="18"/>
        <v>0</v>
      </c>
      <c r="N126" s="119">
        <f t="shared" si="18"/>
        <v>0</v>
      </c>
      <c r="O126" s="119">
        <f t="shared" si="18"/>
        <v>0</v>
      </c>
      <c r="P126" s="119">
        <f t="shared" si="18"/>
        <v>0</v>
      </c>
      <c r="Q126" s="119">
        <f t="shared" si="18"/>
        <v>0</v>
      </c>
      <c r="R126" s="119">
        <f t="shared" si="18"/>
        <v>0</v>
      </c>
      <c r="S126" s="119">
        <f t="shared" si="18"/>
        <v>0</v>
      </c>
      <c r="T126" s="119">
        <f t="shared" si="18"/>
        <v>0</v>
      </c>
      <c r="U126" s="119">
        <f t="shared" si="18"/>
        <v>0</v>
      </c>
      <c r="V126" s="119">
        <f t="shared" si="18"/>
        <v>0</v>
      </c>
      <c r="W126" s="119">
        <f t="shared" si="18"/>
        <v>0</v>
      </c>
      <c r="X126" s="119">
        <f t="shared" si="18"/>
        <v>0</v>
      </c>
      <c r="Y126" s="119">
        <f t="shared" si="18"/>
        <v>0</v>
      </c>
      <c r="Z126" s="119">
        <f t="shared" si="18"/>
        <v>0</v>
      </c>
      <c r="AA126" s="119">
        <f t="shared" si="18"/>
        <v>0</v>
      </c>
      <c r="AB126" s="119">
        <f t="shared" si="18"/>
        <v>0</v>
      </c>
      <c r="AC126" s="119">
        <f t="shared" si="18"/>
        <v>0</v>
      </c>
      <c r="AD126" s="119">
        <f t="shared" si="18"/>
        <v>0</v>
      </c>
      <c r="AE126" s="119">
        <f t="shared" si="18"/>
        <v>0</v>
      </c>
      <c r="AF126" s="119">
        <f t="shared" si="18"/>
        <v>0</v>
      </c>
      <c r="AG126" s="119">
        <f t="shared" si="18"/>
        <v>0</v>
      </c>
      <c r="AH126" s="119">
        <f t="shared" si="18"/>
        <v>0</v>
      </c>
      <c r="AI126" s="119">
        <f>IF(AI61=1,1,0)</f>
        <v>0</v>
      </c>
      <c r="AJ126" s="36" t="str">
        <f t="shared" si="6"/>
        <v/>
      </c>
      <c r="AK126" s="49"/>
      <c r="AL126" s="49" t="str">
        <f t="shared" si="9"/>
        <v>00</v>
      </c>
      <c r="AM126" s="51" t="str">
        <f t="shared" si="10"/>
        <v>00</v>
      </c>
      <c r="AN126" s="51" t="str">
        <f t="shared" si="11"/>
        <v>00</v>
      </c>
      <c r="AO126" s="51" t="str">
        <f t="shared" si="12"/>
        <v>00</v>
      </c>
      <c r="AQ126" t="str">
        <f t="shared" si="7"/>
        <v/>
      </c>
    </row>
    <row r="127" spans="2:43">
      <c r="B127" s="126"/>
      <c r="C127" s="36">
        <f t="shared" si="8"/>
        <v>56</v>
      </c>
      <c r="D127" s="119">
        <f t="shared" ref="D127:AI134" si="19">IF(D62=1,1,0)</f>
        <v>0</v>
      </c>
      <c r="E127" s="119">
        <f t="shared" si="19"/>
        <v>0</v>
      </c>
      <c r="F127" s="119">
        <f t="shared" si="19"/>
        <v>0</v>
      </c>
      <c r="G127" s="119">
        <f t="shared" si="19"/>
        <v>0</v>
      </c>
      <c r="H127" s="119">
        <f t="shared" si="19"/>
        <v>0</v>
      </c>
      <c r="I127" s="119">
        <f t="shared" si="19"/>
        <v>0</v>
      </c>
      <c r="J127" s="119">
        <f t="shared" si="19"/>
        <v>0</v>
      </c>
      <c r="K127" s="119">
        <f t="shared" si="19"/>
        <v>0</v>
      </c>
      <c r="L127" s="119">
        <f t="shared" si="19"/>
        <v>0</v>
      </c>
      <c r="M127" s="119">
        <f t="shared" si="19"/>
        <v>0</v>
      </c>
      <c r="N127" s="119">
        <f t="shared" si="19"/>
        <v>0</v>
      </c>
      <c r="O127" s="119">
        <f t="shared" si="19"/>
        <v>0</v>
      </c>
      <c r="P127" s="119">
        <f t="shared" si="19"/>
        <v>0</v>
      </c>
      <c r="Q127" s="119">
        <f t="shared" si="19"/>
        <v>0</v>
      </c>
      <c r="R127" s="119">
        <f t="shared" si="19"/>
        <v>0</v>
      </c>
      <c r="S127" s="119">
        <f t="shared" si="19"/>
        <v>0</v>
      </c>
      <c r="T127" s="119">
        <f t="shared" si="19"/>
        <v>0</v>
      </c>
      <c r="U127" s="119">
        <f t="shared" si="19"/>
        <v>0</v>
      </c>
      <c r="V127" s="119">
        <f t="shared" si="19"/>
        <v>0</v>
      </c>
      <c r="W127" s="119">
        <f t="shared" si="19"/>
        <v>0</v>
      </c>
      <c r="X127" s="119">
        <f t="shared" si="19"/>
        <v>0</v>
      </c>
      <c r="Y127" s="119">
        <f t="shared" si="19"/>
        <v>0</v>
      </c>
      <c r="Z127" s="119">
        <f t="shared" si="19"/>
        <v>0</v>
      </c>
      <c r="AA127" s="119">
        <f t="shared" si="19"/>
        <v>0</v>
      </c>
      <c r="AB127" s="119">
        <f t="shared" si="19"/>
        <v>0</v>
      </c>
      <c r="AC127" s="119">
        <f t="shared" si="19"/>
        <v>0</v>
      </c>
      <c r="AD127" s="119">
        <f t="shared" si="19"/>
        <v>0</v>
      </c>
      <c r="AE127" s="119">
        <f t="shared" si="19"/>
        <v>0</v>
      </c>
      <c r="AF127" s="119">
        <f t="shared" si="19"/>
        <v>0</v>
      </c>
      <c r="AG127" s="119">
        <f t="shared" si="19"/>
        <v>0</v>
      </c>
      <c r="AH127" s="119">
        <f t="shared" si="19"/>
        <v>0</v>
      </c>
      <c r="AI127" s="119">
        <f t="shared" si="19"/>
        <v>0</v>
      </c>
      <c r="AJ127" s="36" t="str">
        <f t="shared" si="6"/>
        <v/>
      </c>
      <c r="AK127" s="49"/>
      <c r="AL127" s="49" t="str">
        <f t="shared" si="9"/>
        <v>00</v>
      </c>
      <c r="AM127" s="51" t="str">
        <f t="shared" si="10"/>
        <v>00</v>
      </c>
      <c r="AN127" s="51" t="str">
        <f t="shared" si="11"/>
        <v>00</v>
      </c>
      <c r="AO127" s="51" t="str">
        <f t="shared" si="12"/>
        <v>00</v>
      </c>
      <c r="AQ127" t="str">
        <f t="shared" si="7"/>
        <v/>
      </c>
    </row>
    <row r="128" spans="2:43">
      <c r="B128" s="126"/>
      <c r="C128" s="36">
        <f t="shared" si="8"/>
        <v>57</v>
      </c>
      <c r="D128" s="119">
        <f t="shared" si="19"/>
        <v>0</v>
      </c>
      <c r="E128" s="119">
        <f t="shared" si="19"/>
        <v>0</v>
      </c>
      <c r="F128" s="119">
        <f t="shared" si="19"/>
        <v>0</v>
      </c>
      <c r="G128" s="119">
        <f t="shared" si="19"/>
        <v>0</v>
      </c>
      <c r="H128" s="119">
        <f t="shared" si="19"/>
        <v>0</v>
      </c>
      <c r="I128" s="119">
        <f t="shared" si="19"/>
        <v>0</v>
      </c>
      <c r="J128" s="119">
        <f t="shared" si="19"/>
        <v>0</v>
      </c>
      <c r="K128" s="119">
        <f t="shared" si="19"/>
        <v>0</v>
      </c>
      <c r="L128" s="119">
        <f t="shared" si="19"/>
        <v>0</v>
      </c>
      <c r="M128" s="119">
        <f t="shared" si="19"/>
        <v>0</v>
      </c>
      <c r="N128" s="119">
        <f t="shared" si="19"/>
        <v>0</v>
      </c>
      <c r="O128" s="119">
        <f t="shared" si="19"/>
        <v>0</v>
      </c>
      <c r="P128" s="119">
        <f t="shared" si="19"/>
        <v>0</v>
      </c>
      <c r="Q128" s="119">
        <f t="shared" si="19"/>
        <v>0</v>
      </c>
      <c r="R128" s="119">
        <f t="shared" si="19"/>
        <v>0</v>
      </c>
      <c r="S128" s="119">
        <f t="shared" si="19"/>
        <v>0</v>
      </c>
      <c r="T128" s="119">
        <f t="shared" si="19"/>
        <v>0</v>
      </c>
      <c r="U128" s="119">
        <f t="shared" si="19"/>
        <v>0</v>
      </c>
      <c r="V128" s="119">
        <f t="shared" si="19"/>
        <v>0</v>
      </c>
      <c r="W128" s="119">
        <f t="shared" si="19"/>
        <v>0</v>
      </c>
      <c r="X128" s="119">
        <f t="shared" si="19"/>
        <v>0</v>
      </c>
      <c r="Y128" s="119">
        <f t="shared" si="19"/>
        <v>0</v>
      </c>
      <c r="Z128" s="119">
        <f t="shared" si="19"/>
        <v>0</v>
      </c>
      <c r="AA128" s="119">
        <f t="shared" si="19"/>
        <v>0</v>
      </c>
      <c r="AB128" s="119">
        <f t="shared" si="19"/>
        <v>0</v>
      </c>
      <c r="AC128" s="119">
        <f t="shared" si="19"/>
        <v>0</v>
      </c>
      <c r="AD128" s="119">
        <f t="shared" si="19"/>
        <v>0</v>
      </c>
      <c r="AE128" s="119">
        <f t="shared" si="19"/>
        <v>0</v>
      </c>
      <c r="AF128" s="119">
        <f t="shared" si="19"/>
        <v>0</v>
      </c>
      <c r="AG128" s="119">
        <f t="shared" si="19"/>
        <v>0</v>
      </c>
      <c r="AH128" s="119">
        <f t="shared" si="19"/>
        <v>0</v>
      </c>
      <c r="AI128" s="119">
        <f t="shared" si="19"/>
        <v>0</v>
      </c>
      <c r="AJ128" s="36" t="str">
        <f t="shared" si="6"/>
        <v/>
      </c>
      <c r="AK128" s="49"/>
      <c r="AL128" s="49" t="str">
        <f t="shared" si="9"/>
        <v>00</v>
      </c>
      <c r="AM128" s="51" t="str">
        <f t="shared" si="10"/>
        <v>00</v>
      </c>
      <c r="AN128" s="51" t="str">
        <f t="shared" si="11"/>
        <v>00</v>
      </c>
      <c r="AO128" s="51" t="str">
        <f t="shared" si="12"/>
        <v>00</v>
      </c>
      <c r="AQ128" t="str">
        <f t="shared" si="7"/>
        <v/>
      </c>
    </row>
    <row r="129" spans="1:43">
      <c r="B129" s="126"/>
      <c r="C129" s="36">
        <f t="shared" si="8"/>
        <v>58</v>
      </c>
      <c r="D129" s="119">
        <f t="shared" si="19"/>
        <v>0</v>
      </c>
      <c r="E129" s="119">
        <f t="shared" si="19"/>
        <v>0</v>
      </c>
      <c r="F129" s="119">
        <f t="shared" si="19"/>
        <v>0</v>
      </c>
      <c r="G129" s="119">
        <f t="shared" si="19"/>
        <v>0</v>
      </c>
      <c r="H129" s="119">
        <f t="shared" si="19"/>
        <v>0</v>
      </c>
      <c r="I129" s="119">
        <f t="shared" si="19"/>
        <v>0</v>
      </c>
      <c r="J129" s="119">
        <f t="shared" si="19"/>
        <v>0</v>
      </c>
      <c r="K129" s="119">
        <f t="shared" si="19"/>
        <v>0</v>
      </c>
      <c r="L129" s="119">
        <f t="shared" si="19"/>
        <v>0</v>
      </c>
      <c r="M129" s="119">
        <f t="shared" si="19"/>
        <v>0</v>
      </c>
      <c r="N129" s="119">
        <f t="shared" si="19"/>
        <v>0</v>
      </c>
      <c r="O129" s="119">
        <f t="shared" si="19"/>
        <v>0</v>
      </c>
      <c r="P129" s="119">
        <f t="shared" si="19"/>
        <v>0</v>
      </c>
      <c r="Q129" s="119">
        <f t="shared" si="19"/>
        <v>0</v>
      </c>
      <c r="R129" s="119">
        <f t="shared" si="19"/>
        <v>0</v>
      </c>
      <c r="S129" s="119">
        <f t="shared" si="19"/>
        <v>0</v>
      </c>
      <c r="T129" s="119">
        <f t="shared" si="19"/>
        <v>0</v>
      </c>
      <c r="U129" s="119">
        <f t="shared" si="19"/>
        <v>0</v>
      </c>
      <c r="V129" s="119">
        <f t="shared" si="19"/>
        <v>0</v>
      </c>
      <c r="W129" s="119">
        <f t="shared" si="19"/>
        <v>0</v>
      </c>
      <c r="X129" s="119">
        <f t="shared" si="19"/>
        <v>0</v>
      </c>
      <c r="Y129" s="119">
        <f t="shared" si="19"/>
        <v>0</v>
      </c>
      <c r="Z129" s="119">
        <f t="shared" si="19"/>
        <v>0</v>
      </c>
      <c r="AA129" s="119">
        <f t="shared" si="19"/>
        <v>0</v>
      </c>
      <c r="AB129" s="119">
        <f t="shared" si="19"/>
        <v>0</v>
      </c>
      <c r="AC129" s="119">
        <f t="shared" si="19"/>
        <v>0</v>
      </c>
      <c r="AD129" s="119">
        <f t="shared" si="19"/>
        <v>0</v>
      </c>
      <c r="AE129" s="119">
        <f t="shared" si="19"/>
        <v>0</v>
      </c>
      <c r="AF129" s="119">
        <f t="shared" si="19"/>
        <v>0</v>
      </c>
      <c r="AG129" s="119">
        <f t="shared" si="19"/>
        <v>0</v>
      </c>
      <c r="AH129" s="119">
        <f t="shared" si="19"/>
        <v>0</v>
      </c>
      <c r="AI129" s="119">
        <f t="shared" si="19"/>
        <v>0</v>
      </c>
      <c r="AJ129" s="36" t="str">
        <f t="shared" si="6"/>
        <v/>
      </c>
      <c r="AK129" s="49"/>
      <c r="AL129" s="49" t="str">
        <f t="shared" si="9"/>
        <v>00</v>
      </c>
      <c r="AM129" s="51" t="str">
        <f t="shared" si="10"/>
        <v>00</v>
      </c>
      <c r="AN129" s="51" t="str">
        <f t="shared" si="11"/>
        <v>00</v>
      </c>
      <c r="AO129" s="51" t="str">
        <f t="shared" si="12"/>
        <v>00</v>
      </c>
      <c r="AQ129" t="str">
        <f t="shared" si="7"/>
        <v/>
      </c>
    </row>
    <row r="130" spans="1:43">
      <c r="B130" s="126"/>
      <c r="C130" s="36">
        <f t="shared" si="8"/>
        <v>59</v>
      </c>
      <c r="D130" s="119">
        <f t="shared" si="19"/>
        <v>0</v>
      </c>
      <c r="E130" s="119">
        <f t="shared" si="19"/>
        <v>0</v>
      </c>
      <c r="F130" s="119">
        <f t="shared" si="19"/>
        <v>0</v>
      </c>
      <c r="G130" s="119">
        <f t="shared" si="19"/>
        <v>0</v>
      </c>
      <c r="H130" s="119">
        <f t="shared" si="19"/>
        <v>0</v>
      </c>
      <c r="I130" s="119">
        <f t="shared" si="19"/>
        <v>0</v>
      </c>
      <c r="J130" s="119">
        <f t="shared" si="19"/>
        <v>0</v>
      </c>
      <c r="K130" s="119">
        <f t="shared" si="19"/>
        <v>0</v>
      </c>
      <c r="L130" s="119">
        <f t="shared" si="19"/>
        <v>0</v>
      </c>
      <c r="M130" s="119">
        <f t="shared" si="19"/>
        <v>0</v>
      </c>
      <c r="N130" s="119">
        <f t="shared" si="19"/>
        <v>0</v>
      </c>
      <c r="O130" s="119">
        <f t="shared" si="19"/>
        <v>0</v>
      </c>
      <c r="P130" s="119">
        <f t="shared" si="19"/>
        <v>0</v>
      </c>
      <c r="Q130" s="119">
        <f t="shared" si="19"/>
        <v>0</v>
      </c>
      <c r="R130" s="119">
        <f t="shared" si="19"/>
        <v>0</v>
      </c>
      <c r="S130" s="119">
        <f t="shared" si="19"/>
        <v>0</v>
      </c>
      <c r="T130" s="119">
        <f t="shared" si="19"/>
        <v>0</v>
      </c>
      <c r="U130" s="119">
        <f t="shared" si="19"/>
        <v>0</v>
      </c>
      <c r="V130" s="119">
        <f t="shared" si="19"/>
        <v>0</v>
      </c>
      <c r="W130" s="119">
        <f t="shared" si="19"/>
        <v>0</v>
      </c>
      <c r="X130" s="119">
        <f t="shared" si="19"/>
        <v>0</v>
      </c>
      <c r="Y130" s="119">
        <f t="shared" si="19"/>
        <v>0</v>
      </c>
      <c r="Z130" s="119">
        <f t="shared" si="19"/>
        <v>0</v>
      </c>
      <c r="AA130" s="119">
        <f t="shared" si="19"/>
        <v>0</v>
      </c>
      <c r="AB130" s="119">
        <f t="shared" si="19"/>
        <v>0</v>
      </c>
      <c r="AC130" s="119">
        <f t="shared" si="19"/>
        <v>0</v>
      </c>
      <c r="AD130" s="119">
        <f t="shared" si="19"/>
        <v>0</v>
      </c>
      <c r="AE130" s="119">
        <f t="shared" si="19"/>
        <v>0</v>
      </c>
      <c r="AF130" s="119">
        <f t="shared" si="19"/>
        <v>0</v>
      </c>
      <c r="AG130" s="119">
        <f t="shared" si="19"/>
        <v>0</v>
      </c>
      <c r="AH130" s="119">
        <f t="shared" si="19"/>
        <v>0</v>
      </c>
      <c r="AI130" s="119">
        <f t="shared" si="19"/>
        <v>0</v>
      </c>
      <c r="AJ130" s="36" t="str">
        <f t="shared" si="6"/>
        <v/>
      </c>
      <c r="AK130" s="49"/>
      <c r="AL130" s="49" t="str">
        <f t="shared" si="9"/>
        <v>00</v>
      </c>
      <c r="AM130" s="51" t="str">
        <f t="shared" si="10"/>
        <v>00</v>
      </c>
      <c r="AN130" s="51" t="str">
        <f t="shared" si="11"/>
        <v>00</v>
      </c>
      <c r="AO130" s="51" t="str">
        <f t="shared" si="12"/>
        <v>00</v>
      </c>
      <c r="AQ130" t="str">
        <f t="shared" si="7"/>
        <v/>
      </c>
    </row>
    <row r="131" spans="1:43">
      <c r="B131" s="126"/>
      <c r="C131" s="36">
        <f t="shared" si="8"/>
        <v>60</v>
      </c>
      <c r="D131" s="119">
        <f t="shared" si="19"/>
        <v>0</v>
      </c>
      <c r="E131" s="119">
        <f t="shared" si="19"/>
        <v>0</v>
      </c>
      <c r="F131" s="119">
        <f t="shared" si="19"/>
        <v>0</v>
      </c>
      <c r="G131" s="119">
        <f t="shared" si="19"/>
        <v>0</v>
      </c>
      <c r="H131" s="119">
        <f t="shared" si="19"/>
        <v>0</v>
      </c>
      <c r="I131" s="119">
        <f t="shared" si="19"/>
        <v>0</v>
      </c>
      <c r="J131" s="119">
        <f t="shared" si="19"/>
        <v>0</v>
      </c>
      <c r="K131" s="119">
        <f t="shared" si="19"/>
        <v>0</v>
      </c>
      <c r="L131" s="119">
        <f t="shared" si="19"/>
        <v>0</v>
      </c>
      <c r="M131" s="119">
        <f t="shared" si="19"/>
        <v>0</v>
      </c>
      <c r="N131" s="119">
        <f t="shared" si="19"/>
        <v>0</v>
      </c>
      <c r="O131" s="119">
        <f t="shared" si="19"/>
        <v>0</v>
      </c>
      <c r="P131" s="119">
        <f t="shared" si="19"/>
        <v>0</v>
      </c>
      <c r="Q131" s="119">
        <f t="shared" si="19"/>
        <v>0</v>
      </c>
      <c r="R131" s="119">
        <f t="shared" si="19"/>
        <v>0</v>
      </c>
      <c r="S131" s="119">
        <f t="shared" si="19"/>
        <v>0</v>
      </c>
      <c r="T131" s="119">
        <f t="shared" si="19"/>
        <v>0</v>
      </c>
      <c r="U131" s="119">
        <f t="shared" si="19"/>
        <v>0</v>
      </c>
      <c r="V131" s="119">
        <f t="shared" si="19"/>
        <v>0</v>
      </c>
      <c r="W131" s="119">
        <f t="shared" si="19"/>
        <v>0</v>
      </c>
      <c r="X131" s="119">
        <f t="shared" si="19"/>
        <v>0</v>
      </c>
      <c r="Y131" s="119">
        <f t="shared" si="19"/>
        <v>0</v>
      </c>
      <c r="Z131" s="119">
        <f t="shared" si="19"/>
        <v>0</v>
      </c>
      <c r="AA131" s="119">
        <f t="shared" si="19"/>
        <v>0</v>
      </c>
      <c r="AB131" s="119">
        <f t="shared" si="19"/>
        <v>0</v>
      </c>
      <c r="AC131" s="119">
        <f t="shared" si="19"/>
        <v>0</v>
      </c>
      <c r="AD131" s="119">
        <f t="shared" si="19"/>
        <v>0</v>
      </c>
      <c r="AE131" s="119">
        <f t="shared" si="19"/>
        <v>0</v>
      </c>
      <c r="AF131" s="119">
        <f t="shared" si="19"/>
        <v>0</v>
      </c>
      <c r="AG131" s="119">
        <f t="shared" si="19"/>
        <v>0</v>
      </c>
      <c r="AH131" s="119">
        <f t="shared" si="19"/>
        <v>0</v>
      </c>
      <c r="AI131" s="119">
        <f t="shared" si="19"/>
        <v>0</v>
      </c>
      <c r="AJ131" s="36" t="str">
        <f t="shared" si="6"/>
        <v/>
      </c>
      <c r="AK131" s="49"/>
      <c r="AL131" s="49" t="str">
        <f t="shared" si="9"/>
        <v>00</v>
      </c>
      <c r="AM131" s="51" t="str">
        <f t="shared" si="10"/>
        <v>00</v>
      </c>
      <c r="AN131" s="51" t="str">
        <f t="shared" si="11"/>
        <v>00</v>
      </c>
      <c r="AO131" s="51" t="str">
        <f t="shared" si="12"/>
        <v>00</v>
      </c>
      <c r="AQ131" t="str">
        <f t="shared" si="7"/>
        <v/>
      </c>
    </row>
    <row r="132" spans="1:43">
      <c r="B132" s="126"/>
      <c r="C132" s="36">
        <f t="shared" si="8"/>
        <v>61</v>
      </c>
      <c r="D132" s="119">
        <f t="shared" si="19"/>
        <v>0</v>
      </c>
      <c r="E132" s="119">
        <f t="shared" si="19"/>
        <v>0</v>
      </c>
      <c r="F132" s="119">
        <f t="shared" si="19"/>
        <v>0</v>
      </c>
      <c r="G132" s="119">
        <f t="shared" si="19"/>
        <v>0</v>
      </c>
      <c r="H132" s="119">
        <f t="shared" si="19"/>
        <v>0</v>
      </c>
      <c r="I132" s="119">
        <f t="shared" si="19"/>
        <v>0</v>
      </c>
      <c r="J132" s="119">
        <f t="shared" si="19"/>
        <v>0</v>
      </c>
      <c r="K132" s="119">
        <f t="shared" si="19"/>
        <v>0</v>
      </c>
      <c r="L132" s="119">
        <f t="shared" si="19"/>
        <v>0</v>
      </c>
      <c r="M132" s="119">
        <f t="shared" si="19"/>
        <v>0</v>
      </c>
      <c r="N132" s="119">
        <f t="shared" si="19"/>
        <v>0</v>
      </c>
      <c r="O132" s="119">
        <f t="shared" si="19"/>
        <v>0</v>
      </c>
      <c r="P132" s="119">
        <f t="shared" si="19"/>
        <v>0</v>
      </c>
      <c r="Q132" s="119">
        <f t="shared" si="19"/>
        <v>0</v>
      </c>
      <c r="R132" s="119">
        <f t="shared" si="19"/>
        <v>0</v>
      </c>
      <c r="S132" s="119">
        <f t="shared" si="19"/>
        <v>0</v>
      </c>
      <c r="T132" s="119">
        <f t="shared" si="19"/>
        <v>0</v>
      </c>
      <c r="U132" s="119">
        <f t="shared" si="19"/>
        <v>0</v>
      </c>
      <c r="V132" s="119">
        <f t="shared" si="19"/>
        <v>0</v>
      </c>
      <c r="W132" s="119">
        <f t="shared" si="19"/>
        <v>0</v>
      </c>
      <c r="X132" s="119">
        <f t="shared" si="19"/>
        <v>0</v>
      </c>
      <c r="Y132" s="119">
        <f t="shared" si="19"/>
        <v>0</v>
      </c>
      <c r="Z132" s="119">
        <f t="shared" si="19"/>
        <v>0</v>
      </c>
      <c r="AA132" s="119">
        <f t="shared" si="19"/>
        <v>0</v>
      </c>
      <c r="AB132" s="119">
        <f t="shared" si="19"/>
        <v>0</v>
      </c>
      <c r="AC132" s="119">
        <f t="shared" si="19"/>
        <v>0</v>
      </c>
      <c r="AD132" s="119">
        <f t="shared" si="19"/>
        <v>0</v>
      </c>
      <c r="AE132" s="119">
        <f t="shared" si="19"/>
        <v>0</v>
      </c>
      <c r="AF132" s="119">
        <f t="shared" si="19"/>
        <v>0</v>
      </c>
      <c r="AG132" s="119">
        <f t="shared" si="19"/>
        <v>0</v>
      </c>
      <c r="AH132" s="119">
        <f t="shared" si="19"/>
        <v>0</v>
      </c>
      <c r="AI132" s="119">
        <f t="shared" si="19"/>
        <v>0</v>
      </c>
      <c r="AJ132" s="36" t="str">
        <f t="shared" si="6"/>
        <v/>
      </c>
      <c r="AK132" s="49"/>
      <c r="AL132" s="49" t="str">
        <f t="shared" si="9"/>
        <v>00</v>
      </c>
      <c r="AM132" s="51" t="str">
        <f t="shared" si="10"/>
        <v>00</v>
      </c>
      <c r="AN132" s="51" t="str">
        <f t="shared" si="11"/>
        <v>00</v>
      </c>
      <c r="AO132" s="51" t="str">
        <f t="shared" si="12"/>
        <v>00</v>
      </c>
      <c r="AQ132" t="str">
        <f t="shared" si="7"/>
        <v/>
      </c>
    </row>
    <row r="133" spans="1:43">
      <c r="B133" s="126"/>
      <c r="C133" s="36">
        <f t="shared" si="8"/>
        <v>62</v>
      </c>
      <c r="D133" s="119">
        <f t="shared" si="19"/>
        <v>0</v>
      </c>
      <c r="E133" s="119">
        <f t="shared" si="19"/>
        <v>0</v>
      </c>
      <c r="F133" s="119">
        <f t="shared" si="19"/>
        <v>0</v>
      </c>
      <c r="G133" s="119">
        <f t="shared" si="19"/>
        <v>0</v>
      </c>
      <c r="H133" s="119">
        <f t="shared" si="19"/>
        <v>0</v>
      </c>
      <c r="I133" s="119">
        <f t="shared" si="19"/>
        <v>0</v>
      </c>
      <c r="J133" s="119">
        <f t="shared" si="19"/>
        <v>0</v>
      </c>
      <c r="K133" s="119">
        <f t="shared" si="19"/>
        <v>0</v>
      </c>
      <c r="L133" s="119">
        <f t="shared" si="19"/>
        <v>0</v>
      </c>
      <c r="M133" s="119">
        <f t="shared" si="19"/>
        <v>0</v>
      </c>
      <c r="N133" s="119">
        <f t="shared" si="19"/>
        <v>0</v>
      </c>
      <c r="O133" s="119">
        <f t="shared" si="19"/>
        <v>0</v>
      </c>
      <c r="P133" s="119">
        <f t="shared" si="19"/>
        <v>0</v>
      </c>
      <c r="Q133" s="119">
        <f t="shared" si="19"/>
        <v>0</v>
      </c>
      <c r="R133" s="119">
        <f t="shared" si="19"/>
        <v>0</v>
      </c>
      <c r="S133" s="119">
        <f t="shared" si="19"/>
        <v>0</v>
      </c>
      <c r="T133" s="119">
        <f t="shared" si="19"/>
        <v>0</v>
      </c>
      <c r="U133" s="119">
        <f t="shared" si="19"/>
        <v>0</v>
      </c>
      <c r="V133" s="119">
        <f t="shared" si="19"/>
        <v>0</v>
      </c>
      <c r="W133" s="119">
        <f t="shared" si="19"/>
        <v>0</v>
      </c>
      <c r="X133" s="119">
        <f t="shared" si="19"/>
        <v>0</v>
      </c>
      <c r="Y133" s="119">
        <f t="shared" si="19"/>
        <v>0</v>
      </c>
      <c r="Z133" s="119">
        <f t="shared" si="19"/>
        <v>0</v>
      </c>
      <c r="AA133" s="119">
        <f t="shared" si="19"/>
        <v>0</v>
      </c>
      <c r="AB133" s="119">
        <f t="shared" si="19"/>
        <v>0</v>
      </c>
      <c r="AC133" s="119">
        <f t="shared" si="19"/>
        <v>0</v>
      </c>
      <c r="AD133" s="119">
        <f t="shared" si="19"/>
        <v>0</v>
      </c>
      <c r="AE133" s="119">
        <f t="shared" si="19"/>
        <v>0</v>
      </c>
      <c r="AF133" s="119">
        <f t="shared" si="19"/>
        <v>0</v>
      </c>
      <c r="AG133" s="119">
        <f t="shared" si="19"/>
        <v>0</v>
      </c>
      <c r="AH133" s="119">
        <f t="shared" si="19"/>
        <v>0</v>
      </c>
      <c r="AI133" s="119">
        <f t="shared" si="19"/>
        <v>0</v>
      </c>
      <c r="AJ133" s="36" t="str">
        <f t="shared" si="6"/>
        <v/>
      </c>
      <c r="AK133" s="49"/>
      <c r="AL133" s="49" t="str">
        <f t="shared" si="9"/>
        <v>00</v>
      </c>
      <c r="AM133" s="51" t="str">
        <f t="shared" si="10"/>
        <v>00</v>
      </c>
      <c r="AN133" s="51" t="str">
        <f t="shared" si="11"/>
        <v>00</v>
      </c>
      <c r="AO133" s="51" t="str">
        <f t="shared" si="12"/>
        <v>00</v>
      </c>
      <c r="AQ133" t="str">
        <f t="shared" si="7"/>
        <v/>
      </c>
    </row>
    <row r="134" spans="1:43">
      <c r="B134" s="127"/>
      <c r="C134" s="36">
        <f t="shared" si="8"/>
        <v>63</v>
      </c>
      <c r="D134" s="119">
        <f t="shared" si="19"/>
        <v>0</v>
      </c>
      <c r="E134" s="119">
        <f t="shared" si="19"/>
        <v>0</v>
      </c>
      <c r="F134" s="119">
        <f t="shared" si="19"/>
        <v>0</v>
      </c>
      <c r="G134" s="119">
        <f t="shared" si="19"/>
        <v>0</v>
      </c>
      <c r="H134" s="119">
        <f t="shared" si="19"/>
        <v>0</v>
      </c>
      <c r="I134" s="119">
        <f t="shared" si="19"/>
        <v>0</v>
      </c>
      <c r="J134" s="119">
        <f t="shared" si="19"/>
        <v>0</v>
      </c>
      <c r="K134" s="119">
        <f t="shared" si="19"/>
        <v>0</v>
      </c>
      <c r="L134" s="119">
        <f t="shared" si="19"/>
        <v>0</v>
      </c>
      <c r="M134" s="119">
        <f t="shared" si="19"/>
        <v>0</v>
      </c>
      <c r="N134" s="119">
        <f t="shared" si="19"/>
        <v>0</v>
      </c>
      <c r="O134" s="119">
        <f t="shared" si="19"/>
        <v>0</v>
      </c>
      <c r="P134" s="119">
        <f t="shared" si="19"/>
        <v>0</v>
      </c>
      <c r="Q134" s="119">
        <f t="shared" si="19"/>
        <v>0</v>
      </c>
      <c r="R134" s="119">
        <f t="shared" si="19"/>
        <v>0</v>
      </c>
      <c r="S134" s="119">
        <f t="shared" si="19"/>
        <v>0</v>
      </c>
      <c r="T134" s="119">
        <f t="shared" si="19"/>
        <v>0</v>
      </c>
      <c r="U134" s="119">
        <f t="shared" si="19"/>
        <v>0</v>
      </c>
      <c r="V134" s="119">
        <f t="shared" si="19"/>
        <v>0</v>
      </c>
      <c r="W134" s="119">
        <f t="shared" si="19"/>
        <v>0</v>
      </c>
      <c r="X134" s="119">
        <f t="shared" si="19"/>
        <v>0</v>
      </c>
      <c r="Y134" s="119">
        <f t="shared" si="19"/>
        <v>0</v>
      </c>
      <c r="Z134" s="119">
        <f t="shared" si="19"/>
        <v>0</v>
      </c>
      <c r="AA134" s="119">
        <f t="shared" si="19"/>
        <v>0</v>
      </c>
      <c r="AB134" s="119">
        <f t="shared" si="19"/>
        <v>0</v>
      </c>
      <c r="AC134" s="119">
        <f t="shared" si="19"/>
        <v>0</v>
      </c>
      <c r="AD134" s="119">
        <f t="shared" si="19"/>
        <v>0</v>
      </c>
      <c r="AE134" s="119">
        <f t="shared" si="19"/>
        <v>0</v>
      </c>
      <c r="AF134" s="119">
        <f t="shared" si="19"/>
        <v>0</v>
      </c>
      <c r="AG134" s="119">
        <f t="shared" si="19"/>
        <v>0</v>
      </c>
      <c r="AH134" s="119">
        <f t="shared" si="19"/>
        <v>0</v>
      </c>
      <c r="AI134" s="119">
        <f>IF(AI69=1,1,0)</f>
        <v>0</v>
      </c>
      <c r="AJ134" s="36" t="str">
        <f t="shared" si="6"/>
        <v/>
      </c>
      <c r="AK134" s="49"/>
      <c r="AL134" s="49" t="str">
        <f t="shared" si="9"/>
        <v>00</v>
      </c>
      <c r="AM134" s="51" t="str">
        <f t="shared" si="10"/>
        <v>00</v>
      </c>
      <c r="AN134" s="51" t="str">
        <f t="shared" si="11"/>
        <v>00</v>
      </c>
      <c r="AO134" s="51" t="str">
        <f t="shared" si="12"/>
        <v>00</v>
      </c>
      <c r="AQ134" t="str">
        <f t="shared" si="7"/>
        <v/>
      </c>
    </row>
    <row r="135" spans="1:43">
      <c r="A135" s="45" t="s">
        <v>61</v>
      </c>
      <c r="B135" s="46"/>
      <c r="C135" s="46"/>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6"/>
    </row>
    <row r="136" spans="1:43">
      <c r="B136" s="128" t="str">
        <f ca="1">IF(B6&lt;&gt;"",B6,"")</f>
        <v>Table S_PMAR</v>
      </c>
      <c r="C136" s="36">
        <f>IF(C6&lt;&gt;"",C6,"")</f>
        <v>0</v>
      </c>
      <c r="D136" s="119">
        <f t="shared" ref="D136:AI143" si="20">IF(OR(D6=0,D6=1),1,0)</f>
        <v>0</v>
      </c>
      <c r="E136" s="119">
        <f t="shared" si="20"/>
        <v>0</v>
      </c>
      <c r="F136" s="119">
        <f t="shared" si="20"/>
        <v>0</v>
      </c>
      <c r="G136" s="119">
        <f t="shared" si="20"/>
        <v>0</v>
      </c>
      <c r="H136" s="119">
        <f t="shared" si="20"/>
        <v>0</v>
      </c>
      <c r="I136" s="119">
        <f t="shared" si="20"/>
        <v>0</v>
      </c>
      <c r="J136" s="119">
        <f t="shared" si="20"/>
        <v>0</v>
      </c>
      <c r="K136" s="119">
        <f t="shared" si="20"/>
        <v>0</v>
      </c>
      <c r="L136" s="119">
        <f t="shared" si="20"/>
        <v>0</v>
      </c>
      <c r="M136" s="119">
        <f t="shared" si="20"/>
        <v>0</v>
      </c>
      <c r="N136" s="119">
        <f t="shared" si="20"/>
        <v>0</v>
      </c>
      <c r="O136" s="119">
        <f t="shared" si="20"/>
        <v>0</v>
      </c>
      <c r="P136" s="119">
        <f t="shared" si="20"/>
        <v>0</v>
      </c>
      <c r="Q136" s="119">
        <f t="shared" si="20"/>
        <v>0</v>
      </c>
      <c r="R136" s="119">
        <f t="shared" si="20"/>
        <v>0</v>
      </c>
      <c r="S136" s="119">
        <f t="shared" si="20"/>
        <v>0</v>
      </c>
      <c r="T136" s="119">
        <f t="shared" si="20"/>
        <v>0</v>
      </c>
      <c r="U136" s="119">
        <f t="shared" si="20"/>
        <v>0</v>
      </c>
      <c r="V136" s="119">
        <f t="shared" si="20"/>
        <v>0</v>
      </c>
      <c r="W136" s="119">
        <f t="shared" si="20"/>
        <v>0</v>
      </c>
      <c r="X136" s="119">
        <f t="shared" si="20"/>
        <v>0</v>
      </c>
      <c r="Y136" s="119">
        <f t="shared" si="20"/>
        <v>0</v>
      </c>
      <c r="Z136" s="119">
        <f t="shared" si="20"/>
        <v>0</v>
      </c>
      <c r="AA136" s="119">
        <f t="shared" si="20"/>
        <v>0</v>
      </c>
      <c r="AB136" s="119">
        <f t="shared" si="20"/>
        <v>0</v>
      </c>
      <c r="AC136" s="119">
        <f t="shared" si="20"/>
        <v>0</v>
      </c>
      <c r="AD136" s="119">
        <f t="shared" si="20"/>
        <v>0</v>
      </c>
      <c r="AE136" s="119">
        <f t="shared" si="20"/>
        <v>0</v>
      </c>
      <c r="AF136" s="119">
        <f t="shared" si="20"/>
        <v>0</v>
      </c>
      <c r="AG136" s="119">
        <f t="shared" si="20"/>
        <v>1</v>
      </c>
      <c r="AH136" s="119">
        <f t="shared" si="20"/>
        <v>1</v>
      </c>
      <c r="AI136" s="119">
        <f t="shared" si="20"/>
        <v>1</v>
      </c>
      <c r="AJ136" s="36" t="str">
        <f t="shared" ref="AJ136:AJ199" si="21">IF(AJ6&lt;&gt;"",AJ6,"")</f>
        <v>UNKNOWN</v>
      </c>
      <c r="AK136" s="49"/>
      <c r="AL136" s="49" t="str">
        <f>BIN2HEX(AB136&amp;AC136&amp;AD136&amp;AE136&amp;AF136&amp;AG136&amp;AH136&amp;AI136,2)</f>
        <v>07</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(U4)0x00000007U,                                                           /* 00 UNKNOWN                                         */</v>
      </c>
    </row>
    <row r="137" spans="1:43">
      <c r="B137" s="126"/>
      <c r="C137" s="36">
        <f t="shared" ref="C137:C199" si="23">IF(C7&lt;&gt;"",C7,"")</f>
        <v>1</v>
      </c>
      <c r="D137" s="119">
        <f t="shared" si="20"/>
        <v>0</v>
      </c>
      <c r="E137" s="119">
        <f t="shared" si="20"/>
        <v>0</v>
      </c>
      <c r="F137" s="119">
        <f t="shared" si="20"/>
        <v>0</v>
      </c>
      <c r="G137" s="119">
        <f t="shared" si="20"/>
        <v>0</v>
      </c>
      <c r="H137" s="119">
        <f t="shared" si="20"/>
        <v>0</v>
      </c>
      <c r="I137" s="119">
        <f t="shared" si="20"/>
        <v>0</v>
      </c>
      <c r="J137" s="119">
        <f t="shared" si="20"/>
        <v>0</v>
      </c>
      <c r="K137" s="119">
        <f t="shared" si="20"/>
        <v>0</v>
      </c>
      <c r="L137" s="119">
        <f t="shared" si="20"/>
        <v>0</v>
      </c>
      <c r="M137" s="119">
        <f t="shared" si="20"/>
        <v>0</v>
      </c>
      <c r="N137" s="119">
        <f t="shared" si="20"/>
        <v>0</v>
      </c>
      <c r="O137" s="119">
        <f t="shared" si="20"/>
        <v>0</v>
      </c>
      <c r="P137" s="119">
        <f t="shared" si="20"/>
        <v>0</v>
      </c>
      <c r="Q137" s="119">
        <f t="shared" si="20"/>
        <v>0</v>
      </c>
      <c r="R137" s="119">
        <f t="shared" si="20"/>
        <v>0</v>
      </c>
      <c r="S137" s="119">
        <f t="shared" si="20"/>
        <v>0</v>
      </c>
      <c r="T137" s="119">
        <f t="shared" si="20"/>
        <v>0</v>
      </c>
      <c r="U137" s="119">
        <f t="shared" si="20"/>
        <v>0</v>
      </c>
      <c r="V137" s="119">
        <f t="shared" si="20"/>
        <v>0</v>
      </c>
      <c r="W137" s="119">
        <f t="shared" si="20"/>
        <v>0</v>
      </c>
      <c r="X137" s="119">
        <f t="shared" si="20"/>
        <v>0</v>
      </c>
      <c r="Y137" s="119">
        <f t="shared" si="20"/>
        <v>0</v>
      </c>
      <c r="Z137" s="119">
        <f t="shared" si="20"/>
        <v>0</v>
      </c>
      <c r="AA137" s="119">
        <f t="shared" si="20"/>
        <v>0</v>
      </c>
      <c r="AB137" s="119">
        <f t="shared" si="20"/>
        <v>0</v>
      </c>
      <c r="AC137" s="119">
        <f t="shared" si="20"/>
        <v>0</v>
      </c>
      <c r="AD137" s="119">
        <f t="shared" si="20"/>
        <v>0</v>
      </c>
      <c r="AE137" s="119">
        <f t="shared" si="20"/>
        <v>0</v>
      </c>
      <c r="AF137" s="119">
        <f t="shared" si="20"/>
        <v>0</v>
      </c>
      <c r="AG137" s="119">
        <f t="shared" si="20"/>
        <v>1</v>
      </c>
      <c r="AH137" s="119">
        <f t="shared" si="20"/>
        <v>1</v>
      </c>
      <c r="AI137" s="119">
        <f t="shared" si="20"/>
        <v>1</v>
      </c>
      <c r="AJ137" s="36" t="str">
        <f t="shared" si="21"/>
        <v>ON</v>
      </c>
      <c r="AK137" s="49"/>
      <c r="AL137" s="49" t="str">
        <f t="shared" ref="AL137:AL199" si="24">BIN2HEX(AB137&amp;AC137&amp;AD137&amp;AE137&amp;AF137&amp;AG137&amp;AH137&amp;AI137,2)</f>
        <v>07</v>
      </c>
      <c r="AM137" s="51" t="str">
        <f t="shared" ref="AM137:AM199" si="25">BIN2HEX(T137&amp;U137&amp;V137&amp;W137&amp;X137&amp;Y137&amp;Z137&amp;AA137,2)</f>
        <v>00</v>
      </c>
      <c r="AN137" s="51" t="str">
        <f t="shared" ref="AN137:AN199" si="26">BIN2HEX(L137&amp;M137&amp;N137&amp;O137&amp;P137&amp;Q137&amp;R137&amp;S137,2)</f>
        <v>00</v>
      </c>
      <c r="AO137" s="51" t="str">
        <f t="shared" ref="AO137:AO199" si="27">BIN2HEX(D137&amp;E137&amp;F137&amp;G137&amp;H137&amp;I137&amp;J137&amp;K137,2)</f>
        <v>00</v>
      </c>
      <c r="AQ137" t="str">
        <f t="shared" si="22"/>
        <v xml:space="preserve">    (U4)0x00000007U,                                                           /* 01 ON                                              */</v>
      </c>
    </row>
    <row r="138" spans="1:43">
      <c r="B138" s="126"/>
      <c r="C138" s="36">
        <f t="shared" si="23"/>
        <v>2</v>
      </c>
      <c r="D138" s="119">
        <f t="shared" si="20"/>
        <v>0</v>
      </c>
      <c r="E138" s="119">
        <f t="shared" si="20"/>
        <v>0</v>
      </c>
      <c r="F138" s="119">
        <f t="shared" si="20"/>
        <v>0</v>
      </c>
      <c r="G138" s="119">
        <f t="shared" si="20"/>
        <v>0</v>
      </c>
      <c r="H138" s="119">
        <f t="shared" si="20"/>
        <v>0</v>
      </c>
      <c r="I138" s="119">
        <f t="shared" si="20"/>
        <v>0</v>
      </c>
      <c r="J138" s="119">
        <f t="shared" si="20"/>
        <v>0</v>
      </c>
      <c r="K138" s="119">
        <f t="shared" si="20"/>
        <v>0</v>
      </c>
      <c r="L138" s="119">
        <f t="shared" si="20"/>
        <v>0</v>
      </c>
      <c r="M138" s="119">
        <f t="shared" si="20"/>
        <v>0</v>
      </c>
      <c r="N138" s="119">
        <f t="shared" si="20"/>
        <v>0</v>
      </c>
      <c r="O138" s="119">
        <f t="shared" si="20"/>
        <v>0</v>
      </c>
      <c r="P138" s="119">
        <f t="shared" si="20"/>
        <v>0</v>
      </c>
      <c r="Q138" s="119">
        <f t="shared" si="20"/>
        <v>0</v>
      </c>
      <c r="R138" s="119">
        <f t="shared" si="20"/>
        <v>0</v>
      </c>
      <c r="S138" s="119">
        <f t="shared" si="20"/>
        <v>0</v>
      </c>
      <c r="T138" s="119">
        <f t="shared" si="20"/>
        <v>0</v>
      </c>
      <c r="U138" s="119">
        <f t="shared" si="20"/>
        <v>0</v>
      </c>
      <c r="V138" s="119">
        <f t="shared" si="20"/>
        <v>0</v>
      </c>
      <c r="W138" s="119">
        <f t="shared" si="20"/>
        <v>0</v>
      </c>
      <c r="X138" s="119">
        <f t="shared" si="20"/>
        <v>0</v>
      </c>
      <c r="Y138" s="119">
        <f t="shared" si="20"/>
        <v>0</v>
      </c>
      <c r="Z138" s="119">
        <f t="shared" si="20"/>
        <v>0</v>
      </c>
      <c r="AA138" s="119">
        <f t="shared" si="20"/>
        <v>0</v>
      </c>
      <c r="AB138" s="119">
        <f t="shared" si="20"/>
        <v>0</v>
      </c>
      <c r="AC138" s="119">
        <f t="shared" si="20"/>
        <v>0</v>
      </c>
      <c r="AD138" s="119">
        <f t="shared" si="20"/>
        <v>0</v>
      </c>
      <c r="AE138" s="119">
        <f t="shared" si="20"/>
        <v>0</v>
      </c>
      <c r="AF138" s="119">
        <f t="shared" si="20"/>
        <v>0</v>
      </c>
      <c r="AG138" s="119">
        <f t="shared" si="20"/>
        <v>1</v>
      </c>
      <c r="AH138" s="119">
        <f t="shared" si="20"/>
        <v>1</v>
      </c>
      <c r="AI138" s="119">
        <f t="shared" si="20"/>
        <v>1</v>
      </c>
      <c r="AJ138" s="36" t="str">
        <f t="shared" si="21"/>
        <v>UNKNOWN</v>
      </c>
      <c r="AK138" s="49"/>
      <c r="AL138" s="49" t="str">
        <f t="shared" si="24"/>
        <v>07</v>
      </c>
      <c r="AM138" s="51" t="str">
        <f t="shared" si="25"/>
        <v>00</v>
      </c>
      <c r="AN138" s="51" t="str">
        <f t="shared" si="26"/>
        <v>00</v>
      </c>
      <c r="AO138" s="51" t="str">
        <f t="shared" si="27"/>
        <v>00</v>
      </c>
      <c r="AQ138" t="str">
        <f t="shared" si="22"/>
        <v xml:space="preserve">    (U4)0x00000007U,                                                           /* 02 UNKNOWN                                         */</v>
      </c>
    </row>
    <row r="139" spans="1:43">
      <c r="B139" s="126"/>
      <c r="C139" s="36">
        <f t="shared" si="23"/>
        <v>3</v>
      </c>
      <c r="D139" s="119">
        <f t="shared" si="20"/>
        <v>0</v>
      </c>
      <c r="E139" s="119">
        <f t="shared" si="20"/>
        <v>0</v>
      </c>
      <c r="F139" s="119">
        <f t="shared" si="20"/>
        <v>0</v>
      </c>
      <c r="G139" s="119">
        <f t="shared" si="20"/>
        <v>0</v>
      </c>
      <c r="H139" s="119">
        <f t="shared" si="20"/>
        <v>0</v>
      </c>
      <c r="I139" s="119">
        <f t="shared" si="20"/>
        <v>0</v>
      </c>
      <c r="J139" s="119">
        <f t="shared" si="20"/>
        <v>0</v>
      </c>
      <c r="K139" s="119">
        <f t="shared" si="20"/>
        <v>0</v>
      </c>
      <c r="L139" s="119">
        <f t="shared" si="20"/>
        <v>0</v>
      </c>
      <c r="M139" s="119">
        <f t="shared" si="20"/>
        <v>0</v>
      </c>
      <c r="N139" s="119">
        <f t="shared" si="20"/>
        <v>0</v>
      </c>
      <c r="O139" s="119">
        <f t="shared" si="20"/>
        <v>0</v>
      </c>
      <c r="P139" s="119">
        <f t="shared" si="20"/>
        <v>0</v>
      </c>
      <c r="Q139" s="119">
        <f t="shared" si="20"/>
        <v>0</v>
      </c>
      <c r="R139" s="119">
        <f t="shared" si="20"/>
        <v>0</v>
      </c>
      <c r="S139" s="119">
        <f t="shared" si="20"/>
        <v>0</v>
      </c>
      <c r="T139" s="119">
        <f t="shared" si="20"/>
        <v>0</v>
      </c>
      <c r="U139" s="119">
        <f t="shared" si="20"/>
        <v>0</v>
      </c>
      <c r="V139" s="119">
        <f t="shared" si="20"/>
        <v>0</v>
      </c>
      <c r="W139" s="119">
        <f t="shared" si="20"/>
        <v>0</v>
      </c>
      <c r="X139" s="119">
        <f t="shared" si="20"/>
        <v>0</v>
      </c>
      <c r="Y139" s="119">
        <f t="shared" si="20"/>
        <v>0</v>
      </c>
      <c r="Z139" s="119">
        <f t="shared" si="20"/>
        <v>0</v>
      </c>
      <c r="AA139" s="119">
        <f t="shared" si="20"/>
        <v>0</v>
      </c>
      <c r="AB139" s="119">
        <f t="shared" si="20"/>
        <v>0</v>
      </c>
      <c r="AC139" s="119">
        <f t="shared" si="20"/>
        <v>0</v>
      </c>
      <c r="AD139" s="119">
        <f t="shared" si="20"/>
        <v>0</v>
      </c>
      <c r="AE139" s="119">
        <f t="shared" si="20"/>
        <v>0</v>
      </c>
      <c r="AF139" s="119">
        <f t="shared" si="20"/>
        <v>0</v>
      </c>
      <c r="AG139" s="119">
        <f t="shared" si="20"/>
        <v>1</v>
      </c>
      <c r="AH139" s="119">
        <f t="shared" si="20"/>
        <v>1</v>
      </c>
      <c r="AI139" s="119">
        <f t="shared" si="20"/>
        <v>1</v>
      </c>
      <c r="AJ139" s="36" t="str">
        <f t="shared" si="21"/>
        <v>UNKNOWN</v>
      </c>
      <c r="AK139" s="49"/>
      <c r="AL139" s="49" t="str">
        <f t="shared" si="24"/>
        <v>07</v>
      </c>
      <c r="AM139" s="51" t="str">
        <f t="shared" si="25"/>
        <v>00</v>
      </c>
      <c r="AN139" s="51" t="str">
        <f t="shared" si="26"/>
        <v>00</v>
      </c>
      <c r="AO139" s="51" t="str">
        <f t="shared" si="27"/>
        <v>00</v>
      </c>
      <c r="AQ139" t="str">
        <f t="shared" si="22"/>
        <v xml:space="preserve">    (U4)0x00000007U,                                                           /* 03 UNKNOWN                                         */</v>
      </c>
    </row>
    <row r="140" spans="1:43">
      <c r="B140" s="126"/>
      <c r="C140" s="36">
        <f t="shared" si="23"/>
        <v>4</v>
      </c>
      <c r="D140" s="119">
        <f t="shared" si="20"/>
        <v>0</v>
      </c>
      <c r="E140" s="119">
        <f t="shared" si="20"/>
        <v>0</v>
      </c>
      <c r="F140" s="119">
        <f t="shared" si="20"/>
        <v>0</v>
      </c>
      <c r="G140" s="119">
        <f t="shared" si="20"/>
        <v>0</v>
      </c>
      <c r="H140" s="119">
        <f t="shared" si="20"/>
        <v>0</v>
      </c>
      <c r="I140" s="119">
        <f t="shared" si="20"/>
        <v>0</v>
      </c>
      <c r="J140" s="119">
        <f t="shared" si="20"/>
        <v>0</v>
      </c>
      <c r="K140" s="119">
        <f t="shared" si="20"/>
        <v>0</v>
      </c>
      <c r="L140" s="119">
        <f t="shared" si="20"/>
        <v>0</v>
      </c>
      <c r="M140" s="119">
        <f t="shared" si="20"/>
        <v>0</v>
      </c>
      <c r="N140" s="119">
        <f t="shared" si="20"/>
        <v>0</v>
      </c>
      <c r="O140" s="119">
        <f t="shared" si="20"/>
        <v>0</v>
      </c>
      <c r="P140" s="119">
        <f t="shared" si="20"/>
        <v>0</v>
      </c>
      <c r="Q140" s="119">
        <f t="shared" si="20"/>
        <v>0</v>
      </c>
      <c r="R140" s="119">
        <f t="shared" si="20"/>
        <v>0</v>
      </c>
      <c r="S140" s="119">
        <f t="shared" si="20"/>
        <v>0</v>
      </c>
      <c r="T140" s="119">
        <f t="shared" si="20"/>
        <v>0</v>
      </c>
      <c r="U140" s="119">
        <f t="shared" si="20"/>
        <v>0</v>
      </c>
      <c r="V140" s="119">
        <f t="shared" si="20"/>
        <v>0</v>
      </c>
      <c r="W140" s="119">
        <f t="shared" si="20"/>
        <v>0</v>
      </c>
      <c r="X140" s="119">
        <f t="shared" si="20"/>
        <v>0</v>
      </c>
      <c r="Y140" s="119">
        <f t="shared" si="20"/>
        <v>0</v>
      </c>
      <c r="Z140" s="119">
        <f t="shared" si="20"/>
        <v>0</v>
      </c>
      <c r="AA140" s="119">
        <f t="shared" si="20"/>
        <v>0</v>
      </c>
      <c r="AB140" s="119">
        <f t="shared" si="20"/>
        <v>0</v>
      </c>
      <c r="AC140" s="119">
        <f t="shared" si="20"/>
        <v>0</v>
      </c>
      <c r="AD140" s="119">
        <f t="shared" si="20"/>
        <v>0</v>
      </c>
      <c r="AE140" s="119">
        <f t="shared" si="20"/>
        <v>0</v>
      </c>
      <c r="AF140" s="119">
        <f t="shared" si="20"/>
        <v>0</v>
      </c>
      <c r="AG140" s="119">
        <f t="shared" si="20"/>
        <v>1</v>
      </c>
      <c r="AH140" s="119">
        <f t="shared" si="20"/>
        <v>1</v>
      </c>
      <c r="AI140" s="119">
        <f t="shared" si="20"/>
        <v>1</v>
      </c>
      <c r="AJ140" s="36" t="str">
        <f t="shared" si="21"/>
        <v>UNKNOWN</v>
      </c>
      <c r="AK140" s="49"/>
      <c r="AL140" s="49" t="str">
        <f t="shared" si="24"/>
        <v>07</v>
      </c>
      <c r="AM140" s="51" t="str">
        <f t="shared" si="25"/>
        <v>00</v>
      </c>
      <c r="AN140" s="51" t="str">
        <f t="shared" si="26"/>
        <v>00</v>
      </c>
      <c r="AO140" s="51" t="str">
        <f t="shared" si="27"/>
        <v>00</v>
      </c>
      <c r="AQ140" t="str">
        <f t="shared" si="22"/>
        <v xml:space="preserve">    (U4)0x00000007U,                                                           /* 04 UNKNOWN                                         */</v>
      </c>
    </row>
    <row r="141" spans="1:43">
      <c r="B141" s="126"/>
      <c r="C141" s="36">
        <f t="shared" si="23"/>
        <v>5</v>
      </c>
      <c r="D141" s="119">
        <f t="shared" si="20"/>
        <v>0</v>
      </c>
      <c r="E141" s="119">
        <f t="shared" si="20"/>
        <v>0</v>
      </c>
      <c r="F141" s="119">
        <f t="shared" si="20"/>
        <v>0</v>
      </c>
      <c r="G141" s="119">
        <f t="shared" si="20"/>
        <v>0</v>
      </c>
      <c r="H141" s="119">
        <f t="shared" si="20"/>
        <v>0</v>
      </c>
      <c r="I141" s="119">
        <f t="shared" si="20"/>
        <v>0</v>
      </c>
      <c r="J141" s="119">
        <f t="shared" si="20"/>
        <v>0</v>
      </c>
      <c r="K141" s="119">
        <f t="shared" si="20"/>
        <v>0</v>
      </c>
      <c r="L141" s="119">
        <f t="shared" si="20"/>
        <v>0</v>
      </c>
      <c r="M141" s="119">
        <f t="shared" si="20"/>
        <v>0</v>
      </c>
      <c r="N141" s="119">
        <f t="shared" si="20"/>
        <v>0</v>
      </c>
      <c r="O141" s="119">
        <f t="shared" si="20"/>
        <v>0</v>
      </c>
      <c r="P141" s="119">
        <f t="shared" si="20"/>
        <v>0</v>
      </c>
      <c r="Q141" s="119">
        <f t="shared" si="20"/>
        <v>0</v>
      </c>
      <c r="R141" s="119">
        <f t="shared" si="20"/>
        <v>0</v>
      </c>
      <c r="S141" s="119">
        <f t="shared" si="20"/>
        <v>0</v>
      </c>
      <c r="T141" s="119">
        <f t="shared" si="20"/>
        <v>0</v>
      </c>
      <c r="U141" s="119">
        <f t="shared" si="20"/>
        <v>0</v>
      </c>
      <c r="V141" s="119">
        <f t="shared" si="20"/>
        <v>0</v>
      </c>
      <c r="W141" s="119">
        <f t="shared" si="20"/>
        <v>0</v>
      </c>
      <c r="X141" s="119">
        <f t="shared" si="20"/>
        <v>0</v>
      </c>
      <c r="Y141" s="119">
        <f t="shared" si="20"/>
        <v>0</v>
      </c>
      <c r="Z141" s="119">
        <f t="shared" si="20"/>
        <v>0</v>
      </c>
      <c r="AA141" s="119">
        <f t="shared" si="20"/>
        <v>0</v>
      </c>
      <c r="AB141" s="119">
        <f t="shared" si="20"/>
        <v>0</v>
      </c>
      <c r="AC141" s="119">
        <f t="shared" si="20"/>
        <v>0</v>
      </c>
      <c r="AD141" s="119">
        <f t="shared" si="20"/>
        <v>0</v>
      </c>
      <c r="AE141" s="119">
        <f t="shared" si="20"/>
        <v>0</v>
      </c>
      <c r="AF141" s="119">
        <f t="shared" si="20"/>
        <v>0</v>
      </c>
      <c r="AG141" s="119">
        <f t="shared" si="20"/>
        <v>1</v>
      </c>
      <c r="AH141" s="119">
        <f t="shared" si="20"/>
        <v>1</v>
      </c>
      <c r="AI141" s="119">
        <f t="shared" si="20"/>
        <v>1</v>
      </c>
      <c r="AJ141" s="36" t="str">
        <f t="shared" si="21"/>
        <v>UNKNOWN</v>
      </c>
      <c r="AK141" s="49"/>
      <c r="AL141" s="49" t="str">
        <f t="shared" si="24"/>
        <v>07</v>
      </c>
      <c r="AM141" s="51" t="str">
        <f t="shared" si="25"/>
        <v>00</v>
      </c>
      <c r="AN141" s="51" t="str">
        <f t="shared" si="26"/>
        <v>00</v>
      </c>
      <c r="AO141" s="51" t="str">
        <f t="shared" si="27"/>
        <v>00</v>
      </c>
      <c r="AQ141" t="str">
        <f t="shared" si="22"/>
        <v xml:space="preserve">    (U4)0x00000007U,                                                           /* 05 UNKNOWN                                         */</v>
      </c>
    </row>
    <row r="142" spans="1:43">
      <c r="B142" s="126"/>
      <c r="C142" s="36">
        <f t="shared" si="23"/>
        <v>6</v>
      </c>
      <c r="D142" s="119">
        <f t="shared" si="20"/>
        <v>0</v>
      </c>
      <c r="E142" s="119">
        <f t="shared" si="20"/>
        <v>0</v>
      </c>
      <c r="F142" s="119">
        <f t="shared" si="20"/>
        <v>0</v>
      </c>
      <c r="G142" s="119">
        <f t="shared" si="20"/>
        <v>0</v>
      </c>
      <c r="H142" s="119">
        <f t="shared" si="20"/>
        <v>0</v>
      </c>
      <c r="I142" s="119">
        <f t="shared" si="20"/>
        <v>0</v>
      </c>
      <c r="J142" s="119">
        <f t="shared" si="20"/>
        <v>0</v>
      </c>
      <c r="K142" s="119">
        <f t="shared" si="20"/>
        <v>0</v>
      </c>
      <c r="L142" s="119">
        <f t="shared" si="20"/>
        <v>0</v>
      </c>
      <c r="M142" s="119">
        <f t="shared" si="20"/>
        <v>0</v>
      </c>
      <c r="N142" s="119">
        <f t="shared" si="20"/>
        <v>0</v>
      </c>
      <c r="O142" s="119">
        <f t="shared" si="20"/>
        <v>0</v>
      </c>
      <c r="P142" s="119">
        <f t="shared" si="20"/>
        <v>0</v>
      </c>
      <c r="Q142" s="119">
        <f t="shared" si="20"/>
        <v>0</v>
      </c>
      <c r="R142" s="119">
        <f t="shared" si="20"/>
        <v>0</v>
      </c>
      <c r="S142" s="119">
        <f t="shared" si="20"/>
        <v>0</v>
      </c>
      <c r="T142" s="119">
        <f t="shared" si="20"/>
        <v>0</v>
      </c>
      <c r="U142" s="119">
        <f t="shared" si="20"/>
        <v>0</v>
      </c>
      <c r="V142" s="119">
        <f t="shared" si="20"/>
        <v>0</v>
      </c>
      <c r="W142" s="119">
        <f t="shared" si="20"/>
        <v>0</v>
      </c>
      <c r="X142" s="119">
        <f t="shared" si="20"/>
        <v>0</v>
      </c>
      <c r="Y142" s="119">
        <f t="shared" si="20"/>
        <v>0</v>
      </c>
      <c r="Z142" s="119">
        <f t="shared" si="20"/>
        <v>0</v>
      </c>
      <c r="AA142" s="119">
        <f t="shared" si="20"/>
        <v>0</v>
      </c>
      <c r="AB142" s="119">
        <f t="shared" si="20"/>
        <v>0</v>
      </c>
      <c r="AC142" s="119">
        <f t="shared" si="20"/>
        <v>0</v>
      </c>
      <c r="AD142" s="119">
        <f t="shared" si="20"/>
        <v>0</v>
      </c>
      <c r="AE142" s="119">
        <f t="shared" si="20"/>
        <v>0</v>
      </c>
      <c r="AF142" s="119">
        <f t="shared" si="20"/>
        <v>0</v>
      </c>
      <c r="AG142" s="119">
        <f t="shared" si="20"/>
        <v>1</v>
      </c>
      <c r="AH142" s="119">
        <f t="shared" si="20"/>
        <v>1</v>
      </c>
      <c r="AI142" s="119">
        <f t="shared" si="20"/>
        <v>1</v>
      </c>
      <c r="AJ142" s="36" t="str">
        <f t="shared" si="21"/>
        <v>UNKNOWN</v>
      </c>
      <c r="AK142" s="49"/>
      <c r="AL142" s="49" t="str">
        <f t="shared" si="24"/>
        <v>07</v>
      </c>
      <c r="AM142" s="51" t="str">
        <f t="shared" si="25"/>
        <v>00</v>
      </c>
      <c r="AN142" s="51" t="str">
        <f t="shared" si="26"/>
        <v>00</v>
      </c>
      <c r="AO142" s="51" t="str">
        <f t="shared" si="27"/>
        <v>00</v>
      </c>
      <c r="AQ142" t="str">
        <f t="shared" si="22"/>
        <v xml:space="preserve">    (U4)0x00000007U,                                                           /* 06 UNKNOWN                                         */</v>
      </c>
    </row>
    <row r="143" spans="1:43">
      <c r="B143" s="126"/>
      <c r="C143" s="36">
        <f t="shared" si="23"/>
        <v>7</v>
      </c>
      <c r="D143" s="119">
        <f t="shared" si="20"/>
        <v>0</v>
      </c>
      <c r="E143" s="119">
        <f t="shared" si="20"/>
        <v>0</v>
      </c>
      <c r="F143" s="119">
        <f t="shared" si="20"/>
        <v>0</v>
      </c>
      <c r="G143" s="119">
        <f t="shared" si="20"/>
        <v>0</v>
      </c>
      <c r="H143" s="119">
        <f t="shared" si="20"/>
        <v>0</v>
      </c>
      <c r="I143" s="119">
        <f t="shared" si="20"/>
        <v>0</v>
      </c>
      <c r="J143" s="119">
        <f t="shared" si="20"/>
        <v>0</v>
      </c>
      <c r="K143" s="119">
        <f t="shared" si="20"/>
        <v>0</v>
      </c>
      <c r="L143" s="119">
        <f t="shared" si="20"/>
        <v>0</v>
      </c>
      <c r="M143" s="119">
        <f t="shared" si="20"/>
        <v>0</v>
      </c>
      <c r="N143" s="119">
        <f t="shared" si="20"/>
        <v>0</v>
      </c>
      <c r="O143" s="119">
        <f t="shared" si="20"/>
        <v>0</v>
      </c>
      <c r="P143" s="119">
        <f t="shared" si="20"/>
        <v>0</v>
      </c>
      <c r="Q143" s="119">
        <f t="shared" si="20"/>
        <v>0</v>
      </c>
      <c r="R143" s="119">
        <f t="shared" si="20"/>
        <v>0</v>
      </c>
      <c r="S143" s="119">
        <f t="shared" si="20"/>
        <v>0</v>
      </c>
      <c r="T143" s="119">
        <f t="shared" si="20"/>
        <v>0</v>
      </c>
      <c r="U143" s="119">
        <f t="shared" si="20"/>
        <v>0</v>
      </c>
      <c r="V143" s="119">
        <f t="shared" si="20"/>
        <v>0</v>
      </c>
      <c r="W143" s="119">
        <f t="shared" si="20"/>
        <v>0</v>
      </c>
      <c r="X143" s="119">
        <f t="shared" si="20"/>
        <v>0</v>
      </c>
      <c r="Y143" s="119">
        <f t="shared" si="20"/>
        <v>0</v>
      </c>
      <c r="Z143" s="119">
        <f t="shared" si="20"/>
        <v>0</v>
      </c>
      <c r="AA143" s="119">
        <f t="shared" si="20"/>
        <v>0</v>
      </c>
      <c r="AB143" s="119">
        <f t="shared" si="20"/>
        <v>0</v>
      </c>
      <c r="AC143" s="119">
        <f t="shared" si="20"/>
        <v>0</v>
      </c>
      <c r="AD143" s="119">
        <f t="shared" si="20"/>
        <v>0</v>
      </c>
      <c r="AE143" s="119">
        <f t="shared" si="20"/>
        <v>0</v>
      </c>
      <c r="AF143" s="119">
        <f t="shared" si="20"/>
        <v>0</v>
      </c>
      <c r="AG143" s="119">
        <f t="shared" si="20"/>
        <v>1</v>
      </c>
      <c r="AH143" s="119">
        <f t="shared" si="20"/>
        <v>1</v>
      </c>
      <c r="AI143" s="119">
        <f>IF(OR(AI13=0,AI13=1),1,0)</f>
        <v>1</v>
      </c>
      <c r="AJ143" s="36" t="str">
        <f t="shared" si="21"/>
        <v>UNKNOWN</v>
      </c>
      <c r="AK143" s="49"/>
      <c r="AL143" s="49" t="str">
        <f t="shared" si="24"/>
        <v>07</v>
      </c>
      <c r="AM143" s="51" t="str">
        <f t="shared" si="25"/>
        <v>00</v>
      </c>
      <c r="AN143" s="51" t="str">
        <f t="shared" si="26"/>
        <v>00</v>
      </c>
      <c r="AO143" s="51" t="str">
        <f t="shared" si="27"/>
        <v>00</v>
      </c>
      <c r="AQ143" t="str">
        <f t="shared" si="22"/>
        <v xml:space="preserve">    (U4)0x00000007U                                                            /* 07 UNKNOWN                                         */</v>
      </c>
    </row>
    <row r="144" spans="1:43">
      <c r="B144" s="126"/>
      <c r="C144" s="36">
        <f t="shared" si="23"/>
        <v>8</v>
      </c>
      <c r="D144" s="119">
        <f t="shared" ref="D144:AI151" si="28">IF(OR(D14=0,D14=1),1,0)</f>
        <v>0</v>
      </c>
      <c r="E144" s="119">
        <f t="shared" si="28"/>
        <v>0</v>
      </c>
      <c r="F144" s="119">
        <f t="shared" si="28"/>
        <v>0</v>
      </c>
      <c r="G144" s="119">
        <f t="shared" si="28"/>
        <v>0</v>
      </c>
      <c r="H144" s="119">
        <f t="shared" si="28"/>
        <v>0</v>
      </c>
      <c r="I144" s="119">
        <f t="shared" si="28"/>
        <v>0</v>
      </c>
      <c r="J144" s="119">
        <f t="shared" si="28"/>
        <v>0</v>
      </c>
      <c r="K144" s="119">
        <f t="shared" si="28"/>
        <v>0</v>
      </c>
      <c r="L144" s="119">
        <f t="shared" si="28"/>
        <v>0</v>
      </c>
      <c r="M144" s="119">
        <f t="shared" si="28"/>
        <v>0</v>
      </c>
      <c r="N144" s="119">
        <f t="shared" si="28"/>
        <v>0</v>
      </c>
      <c r="O144" s="119">
        <f t="shared" si="28"/>
        <v>0</v>
      </c>
      <c r="P144" s="119">
        <f t="shared" si="28"/>
        <v>0</v>
      </c>
      <c r="Q144" s="119">
        <f t="shared" si="28"/>
        <v>0</v>
      </c>
      <c r="R144" s="119">
        <f t="shared" si="28"/>
        <v>0</v>
      </c>
      <c r="S144" s="119">
        <f t="shared" si="28"/>
        <v>0</v>
      </c>
      <c r="T144" s="119">
        <f t="shared" si="28"/>
        <v>0</v>
      </c>
      <c r="U144" s="119">
        <f t="shared" si="28"/>
        <v>0</v>
      </c>
      <c r="V144" s="119">
        <f t="shared" si="28"/>
        <v>0</v>
      </c>
      <c r="W144" s="119">
        <f t="shared" si="28"/>
        <v>0</v>
      </c>
      <c r="X144" s="119">
        <f t="shared" si="28"/>
        <v>0</v>
      </c>
      <c r="Y144" s="119">
        <f t="shared" si="28"/>
        <v>0</v>
      </c>
      <c r="Z144" s="119">
        <f t="shared" si="28"/>
        <v>0</v>
      </c>
      <c r="AA144" s="119">
        <f t="shared" si="28"/>
        <v>0</v>
      </c>
      <c r="AB144" s="119">
        <f t="shared" si="28"/>
        <v>0</v>
      </c>
      <c r="AC144" s="119">
        <f t="shared" si="28"/>
        <v>0</v>
      </c>
      <c r="AD144" s="119">
        <f t="shared" si="28"/>
        <v>0</v>
      </c>
      <c r="AE144" s="119">
        <f t="shared" si="28"/>
        <v>0</v>
      </c>
      <c r="AF144" s="119">
        <f t="shared" si="28"/>
        <v>0</v>
      </c>
      <c r="AG144" s="119">
        <f t="shared" si="28"/>
        <v>0</v>
      </c>
      <c r="AH144" s="119">
        <f t="shared" si="28"/>
        <v>0</v>
      </c>
      <c r="AI144" s="119">
        <f t="shared" si="28"/>
        <v>0</v>
      </c>
      <c r="AJ144" s="36" t="str">
        <f t="shared" si="21"/>
        <v/>
      </c>
      <c r="AK144" s="49"/>
      <c r="AL144" s="49" t="str">
        <f t="shared" si="24"/>
        <v>00</v>
      </c>
      <c r="AM144" s="51" t="str">
        <f t="shared" si="25"/>
        <v>00</v>
      </c>
      <c r="AN144" s="51" t="str">
        <f t="shared" si="26"/>
        <v>00</v>
      </c>
      <c r="AO144" s="51" t="str">
        <f t="shared" si="27"/>
        <v>00</v>
      </c>
      <c r="AQ144" t="str">
        <f t="shared" si="22"/>
        <v/>
      </c>
    </row>
    <row r="145" spans="2:43">
      <c r="B145" s="126"/>
      <c r="C145" s="36">
        <f t="shared" si="23"/>
        <v>9</v>
      </c>
      <c r="D145" s="119">
        <f t="shared" si="28"/>
        <v>0</v>
      </c>
      <c r="E145" s="119">
        <f t="shared" si="28"/>
        <v>0</v>
      </c>
      <c r="F145" s="119">
        <f t="shared" si="28"/>
        <v>0</v>
      </c>
      <c r="G145" s="119">
        <f t="shared" si="28"/>
        <v>0</v>
      </c>
      <c r="H145" s="119">
        <f t="shared" si="28"/>
        <v>0</v>
      </c>
      <c r="I145" s="119">
        <f t="shared" si="28"/>
        <v>0</v>
      </c>
      <c r="J145" s="119">
        <f t="shared" si="28"/>
        <v>0</v>
      </c>
      <c r="K145" s="119">
        <f t="shared" si="28"/>
        <v>0</v>
      </c>
      <c r="L145" s="119">
        <f t="shared" si="28"/>
        <v>0</v>
      </c>
      <c r="M145" s="119">
        <f t="shared" si="28"/>
        <v>0</v>
      </c>
      <c r="N145" s="119">
        <f t="shared" si="28"/>
        <v>0</v>
      </c>
      <c r="O145" s="119">
        <f t="shared" si="28"/>
        <v>0</v>
      </c>
      <c r="P145" s="119">
        <f t="shared" si="28"/>
        <v>0</v>
      </c>
      <c r="Q145" s="119">
        <f t="shared" si="28"/>
        <v>0</v>
      </c>
      <c r="R145" s="119">
        <f t="shared" si="28"/>
        <v>0</v>
      </c>
      <c r="S145" s="119">
        <f t="shared" si="28"/>
        <v>0</v>
      </c>
      <c r="T145" s="119">
        <f t="shared" si="28"/>
        <v>0</v>
      </c>
      <c r="U145" s="119">
        <f t="shared" si="28"/>
        <v>0</v>
      </c>
      <c r="V145" s="119">
        <f t="shared" si="28"/>
        <v>0</v>
      </c>
      <c r="W145" s="119">
        <f t="shared" si="28"/>
        <v>0</v>
      </c>
      <c r="X145" s="119">
        <f t="shared" si="28"/>
        <v>0</v>
      </c>
      <c r="Y145" s="119">
        <f t="shared" si="28"/>
        <v>0</v>
      </c>
      <c r="Z145" s="119">
        <f t="shared" si="28"/>
        <v>0</v>
      </c>
      <c r="AA145" s="119">
        <f t="shared" si="28"/>
        <v>0</v>
      </c>
      <c r="AB145" s="119">
        <f t="shared" si="28"/>
        <v>0</v>
      </c>
      <c r="AC145" s="119">
        <f t="shared" si="28"/>
        <v>0</v>
      </c>
      <c r="AD145" s="119">
        <f t="shared" si="28"/>
        <v>0</v>
      </c>
      <c r="AE145" s="119">
        <f t="shared" si="28"/>
        <v>0</v>
      </c>
      <c r="AF145" s="119">
        <f t="shared" si="28"/>
        <v>0</v>
      </c>
      <c r="AG145" s="119">
        <f t="shared" si="28"/>
        <v>0</v>
      </c>
      <c r="AH145" s="119">
        <f t="shared" si="28"/>
        <v>0</v>
      </c>
      <c r="AI145" s="119">
        <f t="shared" si="28"/>
        <v>0</v>
      </c>
      <c r="AJ145" s="36" t="str">
        <f t="shared" si="21"/>
        <v/>
      </c>
      <c r="AK145" s="49"/>
      <c r="AL145" s="49" t="str">
        <f t="shared" si="24"/>
        <v>00</v>
      </c>
      <c r="AM145" s="51" t="str">
        <f t="shared" si="25"/>
        <v>00</v>
      </c>
      <c r="AN145" s="51" t="str">
        <f t="shared" si="26"/>
        <v>00</v>
      </c>
      <c r="AO145" s="51" t="str">
        <f t="shared" si="27"/>
        <v>00</v>
      </c>
      <c r="AQ145" t="str">
        <f t="shared" si="22"/>
        <v/>
      </c>
    </row>
    <row r="146" spans="2:43">
      <c r="B146" s="126"/>
      <c r="C146" s="36">
        <f t="shared" si="23"/>
        <v>10</v>
      </c>
      <c r="D146" s="119">
        <f t="shared" si="28"/>
        <v>0</v>
      </c>
      <c r="E146" s="119">
        <f t="shared" si="28"/>
        <v>0</v>
      </c>
      <c r="F146" s="119">
        <f t="shared" si="28"/>
        <v>0</v>
      </c>
      <c r="G146" s="119">
        <f t="shared" si="28"/>
        <v>0</v>
      </c>
      <c r="H146" s="119">
        <f t="shared" si="28"/>
        <v>0</v>
      </c>
      <c r="I146" s="119">
        <f t="shared" si="28"/>
        <v>0</v>
      </c>
      <c r="J146" s="119">
        <f t="shared" si="28"/>
        <v>0</v>
      </c>
      <c r="K146" s="119">
        <f t="shared" si="28"/>
        <v>0</v>
      </c>
      <c r="L146" s="119">
        <f t="shared" si="28"/>
        <v>0</v>
      </c>
      <c r="M146" s="119">
        <f t="shared" si="28"/>
        <v>0</v>
      </c>
      <c r="N146" s="119">
        <f t="shared" si="28"/>
        <v>0</v>
      </c>
      <c r="O146" s="119">
        <f t="shared" si="28"/>
        <v>0</v>
      </c>
      <c r="P146" s="119">
        <f t="shared" si="28"/>
        <v>0</v>
      </c>
      <c r="Q146" s="119">
        <f t="shared" si="28"/>
        <v>0</v>
      </c>
      <c r="R146" s="119">
        <f t="shared" si="28"/>
        <v>0</v>
      </c>
      <c r="S146" s="119">
        <f t="shared" si="28"/>
        <v>0</v>
      </c>
      <c r="T146" s="119">
        <f t="shared" si="28"/>
        <v>0</v>
      </c>
      <c r="U146" s="119">
        <f t="shared" si="28"/>
        <v>0</v>
      </c>
      <c r="V146" s="119">
        <f t="shared" si="28"/>
        <v>0</v>
      </c>
      <c r="W146" s="119">
        <f t="shared" si="28"/>
        <v>0</v>
      </c>
      <c r="X146" s="119">
        <f t="shared" si="28"/>
        <v>0</v>
      </c>
      <c r="Y146" s="119">
        <f t="shared" si="28"/>
        <v>0</v>
      </c>
      <c r="Z146" s="119">
        <f t="shared" si="28"/>
        <v>0</v>
      </c>
      <c r="AA146" s="119">
        <f t="shared" si="28"/>
        <v>0</v>
      </c>
      <c r="AB146" s="119">
        <f t="shared" si="28"/>
        <v>0</v>
      </c>
      <c r="AC146" s="119">
        <f t="shared" si="28"/>
        <v>0</v>
      </c>
      <c r="AD146" s="119">
        <f t="shared" si="28"/>
        <v>0</v>
      </c>
      <c r="AE146" s="119">
        <f t="shared" si="28"/>
        <v>0</v>
      </c>
      <c r="AF146" s="119">
        <f t="shared" si="28"/>
        <v>0</v>
      </c>
      <c r="AG146" s="119">
        <f t="shared" si="28"/>
        <v>0</v>
      </c>
      <c r="AH146" s="119">
        <f t="shared" si="28"/>
        <v>0</v>
      </c>
      <c r="AI146" s="119">
        <f t="shared" si="28"/>
        <v>0</v>
      </c>
      <c r="AJ146" s="36" t="str">
        <f t="shared" si="21"/>
        <v/>
      </c>
      <c r="AK146" s="49"/>
      <c r="AL146" s="49" t="str">
        <f t="shared" si="24"/>
        <v>00</v>
      </c>
      <c r="AM146" s="51" t="str">
        <f t="shared" si="25"/>
        <v>00</v>
      </c>
      <c r="AN146" s="51" t="str">
        <f t="shared" si="26"/>
        <v>00</v>
      </c>
      <c r="AO146" s="51" t="str">
        <f t="shared" si="27"/>
        <v>00</v>
      </c>
      <c r="AQ146" t="str">
        <f t="shared" si="22"/>
        <v/>
      </c>
    </row>
    <row r="147" spans="2:43">
      <c r="B147" s="126"/>
      <c r="C147" s="36">
        <f t="shared" si="23"/>
        <v>11</v>
      </c>
      <c r="D147" s="119">
        <f t="shared" si="28"/>
        <v>0</v>
      </c>
      <c r="E147" s="119">
        <f t="shared" si="28"/>
        <v>0</v>
      </c>
      <c r="F147" s="119">
        <f t="shared" si="28"/>
        <v>0</v>
      </c>
      <c r="G147" s="119">
        <f t="shared" si="28"/>
        <v>0</v>
      </c>
      <c r="H147" s="119">
        <f t="shared" si="28"/>
        <v>0</v>
      </c>
      <c r="I147" s="119">
        <f t="shared" si="28"/>
        <v>0</v>
      </c>
      <c r="J147" s="119">
        <f t="shared" si="28"/>
        <v>0</v>
      </c>
      <c r="K147" s="119">
        <f t="shared" si="28"/>
        <v>0</v>
      </c>
      <c r="L147" s="119">
        <f t="shared" si="28"/>
        <v>0</v>
      </c>
      <c r="M147" s="119">
        <f t="shared" si="28"/>
        <v>0</v>
      </c>
      <c r="N147" s="119">
        <f t="shared" si="28"/>
        <v>0</v>
      </c>
      <c r="O147" s="119">
        <f t="shared" si="28"/>
        <v>0</v>
      </c>
      <c r="P147" s="119">
        <f t="shared" si="28"/>
        <v>0</v>
      </c>
      <c r="Q147" s="119">
        <f t="shared" si="28"/>
        <v>0</v>
      </c>
      <c r="R147" s="119">
        <f t="shared" si="28"/>
        <v>0</v>
      </c>
      <c r="S147" s="119">
        <f t="shared" si="28"/>
        <v>0</v>
      </c>
      <c r="T147" s="119">
        <f t="shared" si="28"/>
        <v>0</v>
      </c>
      <c r="U147" s="119">
        <f t="shared" si="28"/>
        <v>0</v>
      </c>
      <c r="V147" s="119">
        <f t="shared" si="28"/>
        <v>0</v>
      </c>
      <c r="W147" s="119">
        <f t="shared" si="28"/>
        <v>0</v>
      </c>
      <c r="X147" s="119">
        <f t="shared" si="28"/>
        <v>0</v>
      </c>
      <c r="Y147" s="119">
        <f t="shared" si="28"/>
        <v>0</v>
      </c>
      <c r="Z147" s="119">
        <f t="shared" si="28"/>
        <v>0</v>
      </c>
      <c r="AA147" s="119">
        <f t="shared" si="28"/>
        <v>0</v>
      </c>
      <c r="AB147" s="119">
        <f t="shared" si="28"/>
        <v>0</v>
      </c>
      <c r="AC147" s="119">
        <f t="shared" si="28"/>
        <v>0</v>
      </c>
      <c r="AD147" s="119">
        <f t="shared" si="28"/>
        <v>0</v>
      </c>
      <c r="AE147" s="119">
        <f t="shared" si="28"/>
        <v>0</v>
      </c>
      <c r="AF147" s="119">
        <f t="shared" si="28"/>
        <v>0</v>
      </c>
      <c r="AG147" s="119">
        <f t="shared" si="28"/>
        <v>0</v>
      </c>
      <c r="AH147" s="119">
        <f t="shared" si="28"/>
        <v>0</v>
      </c>
      <c r="AI147" s="119">
        <f t="shared" si="28"/>
        <v>0</v>
      </c>
      <c r="AJ147" s="36" t="str">
        <f t="shared" si="21"/>
        <v/>
      </c>
      <c r="AK147" s="49"/>
      <c r="AL147" s="49" t="str">
        <f t="shared" si="24"/>
        <v>00</v>
      </c>
      <c r="AM147" s="51" t="str">
        <f t="shared" si="25"/>
        <v>00</v>
      </c>
      <c r="AN147" s="51" t="str">
        <f t="shared" si="26"/>
        <v>00</v>
      </c>
      <c r="AO147" s="51" t="str">
        <f t="shared" si="27"/>
        <v>00</v>
      </c>
      <c r="AQ147" t="str">
        <f t="shared" si="22"/>
        <v/>
      </c>
    </row>
    <row r="148" spans="2:43">
      <c r="B148" s="126"/>
      <c r="C148" s="36">
        <f t="shared" si="23"/>
        <v>12</v>
      </c>
      <c r="D148" s="119">
        <f t="shared" si="28"/>
        <v>0</v>
      </c>
      <c r="E148" s="119">
        <f t="shared" si="28"/>
        <v>0</v>
      </c>
      <c r="F148" s="119">
        <f t="shared" si="28"/>
        <v>0</v>
      </c>
      <c r="G148" s="119">
        <f t="shared" si="28"/>
        <v>0</v>
      </c>
      <c r="H148" s="119">
        <f t="shared" si="28"/>
        <v>0</v>
      </c>
      <c r="I148" s="119">
        <f t="shared" si="28"/>
        <v>0</v>
      </c>
      <c r="J148" s="119">
        <f t="shared" si="28"/>
        <v>0</v>
      </c>
      <c r="K148" s="119">
        <f t="shared" si="28"/>
        <v>0</v>
      </c>
      <c r="L148" s="119">
        <f t="shared" si="28"/>
        <v>0</v>
      </c>
      <c r="M148" s="119">
        <f t="shared" si="28"/>
        <v>0</v>
      </c>
      <c r="N148" s="119">
        <f t="shared" si="28"/>
        <v>0</v>
      </c>
      <c r="O148" s="119">
        <f t="shared" si="28"/>
        <v>0</v>
      </c>
      <c r="P148" s="119">
        <f t="shared" si="28"/>
        <v>0</v>
      </c>
      <c r="Q148" s="119">
        <f t="shared" si="28"/>
        <v>0</v>
      </c>
      <c r="R148" s="119">
        <f t="shared" si="28"/>
        <v>0</v>
      </c>
      <c r="S148" s="119">
        <f t="shared" si="28"/>
        <v>0</v>
      </c>
      <c r="T148" s="119">
        <f t="shared" si="28"/>
        <v>0</v>
      </c>
      <c r="U148" s="119">
        <f t="shared" si="28"/>
        <v>0</v>
      </c>
      <c r="V148" s="119">
        <f t="shared" si="28"/>
        <v>0</v>
      </c>
      <c r="W148" s="119">
        <f t="shared" si="28"/>
        <v>0</v>
      </c>
      <c r="X148" s="119">
        <f t="shared" si="28"/>
        <v>0</v>
      </c>
      <c r="Y148" s="119">
        <f t="shared" si="28"/>
        <v>0</v>
      </c>
      <c r="Z148" s="119">
        <f t="shared" si="28"/>
        <v>0</v>
      </c>
      <c r="AA148" s="119">
        <f t="shared" si="28"/>
        <v>0</v>
      </c>
      <c r="AB148" s="119">
        <f t="shared" si="28"/>
        <v>0</v>
      </c>
      <c r="AC148" s="119">
        <f t="shared" si="28"/>
        <v>0</v>
      </c>
      <c r="AD148" s="119">
        <f t="shared" si="28"/>
        <v>0</v>
      </c>
      <c r="AE148" s="119">
        <f t="shared" si="28"/>
        <v>0</v>
      </c>
      <c r="AF148" s="119">
        <f t="shared" si="28"/>
        <v>0</v>
      </c>
      <c r="AG148" s="119">
        <f t="shared" si="28"/>
        <v>0</v>
      </c>
      <c r="AH148" s="119">
        <f t="shared" si="28"/>
        <v>0</v>
      </c>
      <c r="AI148" s="119">
        <f t="shared" si="28"/>
        <v>0</v>
      </c>
      <c r="AJ148" s="36" t="str">
        <f t="shared" si="21"/>
        <v/>
      </c>
      <c r="AK148" s="49"/>
      <c r="AL148" s="49" t="str">
        <f t="shared" si="24"/>
        <v>00</v>
      </c>
      <c r="AM148" s="51" t="str">
        <f t="shared" si="25"/>
        <v>00</v>
      </c>
      <c r="AN148" s="51" t="str">
        <f t="shared" si="26"/>
        <v>00</v>
      </c>
      <c r="AO148" s="51" t="str">
        <f t="shared" si="27"/>
        <v>00</v>
      </c>
      <c r="AQ148" t="str">
        <f t="shared" si="22"/>
        <v/>
      </c>
    </row>
    <row r="149" spans="2:43">
      <c r="B149" s="126"/>
      <c r="C149" s="36">
        <f t="shared" si="23"/>
        <v>13</v>
      </c>
      <c r="D149" s="119">
        <f t="shared" si="28"/>
        <v>0</v>
      </c>
      <c r="E149" s="119">
        <f t="shared" si="28"/>
        <v>0</v>
      </c>
      <c r="F149" s="119">
        <f t="shared" si="28"/>
        <v>0</v>
      </c>
      <c r="G149" s="119">
        <f t="shared" si="28"/>
        <v>0</v>
      </c>
      <c r="H149" s="119">
        <f t="shared" si="28"/>
        <v>0</v>
      </c>
      <c r="I149" s="119">
        <f t="shared" si="28"/>
        <v>0</v>
      </c>
      <c r="J149" s="119">
        <f t="shared" si="28"/>
        <v>0</v>
      </c>
      <c r="K149" s="119">
        <f t="shared" si="28"/>
        <v>0</v>
      </c>
      <c r="L149" s="119">
        <f t="shared" si="28"/>
        <v>0</v>
      </c>
      <c r="M149" s="119">
        <f t="shared" si="28"/>
        <v>0</v>
      </c>
      <c r="N149" s="119">
        <f t="shared" si="28"/>
        <v>0</v>
      </c>
      <c r="O149" s="119">
        <f t="shared" si="28"/>
        <v>0</v>
      </c>
      <c r="P149" s="119">
        <f t="shared" si="28"/>
        <v>0</v>
      </c>
      <c r="Q149" s="119">
        <f t="shared" si="28"/>
        <v>0</v>
      </c>
      <c r="R149" s="119">
        <f t="shared" si="28"/>
        <v>0</v>
      </c>
      <c r="S149" s="119">
        <f t="shared" si="28"/>
        <v>0</v>
      </c>
      <c r="T149" s="119">
        <f t="shared" si="28"/>
        <v>0</v>
      </c>
      <c r="U149" s="119">
        <f t="shared" si="28"/>
        <v>0</v>
      </c>
      <c r="V149" s="119">
        <f t="shared" si="28"/>
        <v>0</v>
      </c>
      <c r="W149" s="119">
        <f t="shared" si="28"/>
        <v>0</v>
      </c>
      <c r="X149" s="119">
        <f t="shared" si="28"/>
        <v>0</v>
      </c>
      <c r="Y149" s="119">
        <f t="shared" si="28"/>
        <v>0</v>
      </c>
      <c r="Z149" s="119">
        <f t="shared" si="28"/>
        <v>0</v>
      </c>
      <c r="AA149" s="119">
        <f t="shared" si="28"/>
        <v>0</v>
      </c>
      <c r="AB149" s="119">
        <f t="shared" si="28"/>
        <v>0</v>
      </c>
      <c r="AC149" s="119">
        <f t="shared" si="28"/>
        <v>0</v>
      </c>
      <c r="AD149" s="119">
        <f t="shared" si="28"/>
        <v>0</v>
      </c>
      <c r="AE149" s="119">
        <f t="shared" si="28"/>
        <v>0</v>
      </c>
      <c r="AF149" s="119">
        <f t="shared" si="28"/>
        <v>0</v>
      </c>
      <c r="AG149" s="119">
        <f t="shared" si="28"/>
        <v>0</v>
      </c>
      <c r="AH149" s="119">
        <f t="shared" si="28"/>
        <v>0</v>
      </c>
      <c r="AI149" s="119">
        <f t="shared" si="28"/>
        <v>0</v>
      </c>
      <c r="AJ149" s="36" t="str">
        <f t="shared" si="21"/>
        <v/>
      </c>
      <c r="AK149" s="49"/>
      <c r="AL149" s="49" t="str">
        <f t="shared" si="24"/>
        <v>00</v>
      </c>
      <c r="AM149" s="51" t="str">
        <f t="shared" si="25"/>
        <v>00</v>
      </c>
      <c r="AN149" s="51" t="str">
        <f t="shared" si="26"/>
        <v>00</v>
      </c>
      <c r="AO149" s="51" t="str">
        <f t="shared" si="27"/>
        <v>00</v>
      </c>
      <c r="AQ149" t="str">
        <f t="shared" si="22"/>
        <v/>
      </c>
    </row>
    <row r="150" spans="2:43">
      <c r="B150" s="126"/>
      <c r="C150" s="36">
        <f t="shared" si="23"/>
        <v>14</v>
      </c>
      <c r="D150" s="119">
        <f t="shared" si="28"/>
        <v>0</v>
      </c>
      <c r="E150" s="119">
        <f t="shared" si="28"/>
        <v>0</v>
      </c>
      <c r="F150" s="119">
        <f t="shared" si="28"/>
        <v>0</v>
      </c>
      <c r="G150" s="119">
        <f t="shared" si="28"/>
        <v>0</v>
      </c>
      <c r="H150" s="119">
        <f t="shared" si="28"/>
        <v>0</v>
      </c>
      <c r="I150" s="119">
        <f t="shared" si="28"/>
        <v>0</v>
      </c>
      <c r="J150" s="119">
        <f t="shared" si="28"/>
        <v>0</v>
      </c>
      <c r="K150" s="119">
        <f t="shared" si="28"/>
        <v>0</v>
      </c>
      <c r="L150" s="119">
        <f t="shared" si="28"/>
        <v>0</v>
      </c>
      <c r="M150" s="119">
        <f t="shared" si="28"/>
        <v>0</v>
      </c>
      <c r="N150" s="119">
        <f t="shared" si="28"/>
        <v>0</v>
      </c>
      <c r="O150" s="119">
        <f t="shared" si="28"/>
        <v>0</v>
      </c>
      <c r="P150" s="119">
        <f t="shared" si="28"/>
        <v>0</v>
      </c>
      <c r="Q150" s="119">
        <f t="shared" si="28"/>
        <v>0</v>
      </c>
      <c r="R150" s="119">
        <f t="shared" si="28"/>
        <v>0</v>
      </c>
      <c r="S150" s="119">
        <f t="shared" si="28"/>
        <v>0</v>
      </c>
      <c r="T150" s="119">
        <f t="shared" si="28"/>
        <v>0</v>
      </c>
      <c r="U150" s="119">
        <f t="shared" si="28"/>
        <v>0</v>
      </c>
      <c r="V150" s="119">
        <f t="shared" si="28"/>
        <v>0</v>
      </c>
      <c r="W150" s="119">
        <f t="shared" si="28"/>
        <v>0</v>
      </c>
      <c r="X150" s="119">
        <f t="shared" si="28"/>
        <v>0</v>
      </c>
      <c r="Y150" s="119">
        <f t="shared" si="28"/>
        <v>0</v>
      </c>
      <c r="Z150" s="119">
        <f t="shared" si="28"/>
        <v>0</v>
      </c>
      <c r="AA150" s="119">
        <f t="shared" si="28"/>
        <v>0</v>
      </c>
      <c r="AB150" s="119">
        <f t="shared" si="28"/>
        <v>0</v>
      </c>
      <c r="AC150" s="119">
        <f t="shared" si="28"/>
        <v>0</v>
      </c>
      <c r="AD150" s="119">
        <f t="shared" si="28"/>
        <v>0</v>
      </c>
      <c r="AE150" s="119">
        <f t="shared" si="28"/>
        <v>0</v>
      </c>
      <c r="AF150" s="119">
        <f t="shared" si="28"/>
        <v>0</v>
      </c>
      <c r="AG150" s="119">
        <f t="shared" si="28"/>
        <v>0</v>
      </c>
      <c r="AH150" s="119">
        <f t="shared" si="28"/>
        <v>0</v>
      </c>
      <c r="AI150" s="119">
        <f t="shared" si="28"/>
        <v>0</v>
      </c>
      <c r="AJ150" s="36" t="str">
        <f t="shared" si="21"/>
        <v/>
      </c>
      <c r="AK150" s="49"/>
      <c r="AL150" s="49" t="str">
        <f t="shared" si="24"/>
        <v>00</v>
      </c>
      <c r="AM150" s="51" t="str">
        <f t="shared" si="25"/>
        <v>00</v>
      </c>
      <c r="AN150" s="51" t="str">
        <f t="shared" si="26"/>
        <v>00</v>
      </c>
      <c r="AO150" s="51" t="str">
        <f t="shared" si="27"/>
        <v>00</v>
      </c>
      <c r="AQ150" t="str">
        <f t="shared" si="22"/>
        <v/>
      </c>
    </row>
    <row r="151" spans="2:43">
      <c r="B151" s="126"/>
      <c r="C151" s="36">
        <f t="shared" si="23"/>
        <v>15</v>
      </c>
      <c r="D151" s="119">
        <f t="shared" si="28"/>
        <v>0</v>
      </c>
      <c r="E151" s="119">
        <f t="shared" si="28"/>
        <v>0</v>
      </c>
      <c r="F151" s="119">
        <f t="shared" si="28"/>
        <v>0</v>
      </c>
      <c r="G151" s="119">
        <f t="shared" si="28"/>
        <v>0</v>
      </c>
      <c r="H151" s="119">
        <f t="shared" si="28"/>
        <v>0</v>
      </c>
      <c r="I151" s="119">
        <f t="shared" si="28"/>
        <v>0</v>
      </c>
      <c r="J151" s="119">
        <f t="shared" si="28"/>
        <v>0</v>
      </c>
      <c r="K151" s="119">
        <f t="shared" si="28"/>
        <v>0</v>
      </c>
      <c r="L151" s="119">
        <f t="shared" si="28"/>
        <v>0</v>
      </c>
      <c r="M151" s="119">
        <f t="shared" si="28"/>
        <v>0</v>
      </c>
      <c r="N151" s="119">
        <f t="shared" si="28"/>
        <v>0</v>
      </c>
      <c r="O151" s="119">
        <f t="shared" si="28"/>
        <v>0</v>
      </c>
      <c r="P151" s="119">
        <f t="shared" si="28"/>
        <v>0</v>
      </c>
      <c r="Q151" s="119">
        <f t="shared" si="28"/>
        <v>0</v>
      </c>
      <c r="R151" s="119">
        <f t="shared" si="28"/>
        <v>0</v>
      </c>
      <c r="S151" s="119">
        <f t="shared" si="28"/>
        <v>0</v>
      </c>
      <c r="T151" s="119">
        <f t="shared" si="28"/>
        <v>0</v>
      </c>
      <c r="U151" s="119">
        <f t="shared" si="28"/>
        <v>0</v>
      </c>
      <c r="V151" s="119">
        <f t="shared" si="28"/>
        <v>0</v>
      </c>
      <c r="W151" s="119">
        <f t="shared" si="28"/>
        <v>0</v>
      </c>
      <c r="X151" s="119">
        <f t="shared" si="28"/>
        <v>0</v>
      </c>
      <c r="Y151" s="119">
        <f t="shared" si="28"/>
        <v>0</v>
      </c>
      <c r="Z151" s="119">
        <f t="shared" si="28"/>
        <v>0</v>
      </c>
      <c r="AA151" s="119">
        <f t="shared" si="28"/>
        <v>0</v>
      </c>
      <c r="AB151" s="119">
        <f t="shared" si="28"/>
        <v>0</v>
      </c>
      <c r="AC151" s="119">
        <f t="shared" si="28"/>
        <v>0</v>
      </c>
      <c r="AD151" s="119">
        <f t="shared" si="28"/>
        <v>0</v>
      </c>
      <c r="AE151" s="119">
        <f t="shared" si="28"/>
        <v>0</v>
      </c>
      <c r="AF151" s="119">
        <f t="shared" si="28"/>
        <v>0</v>
      </c>
      <c r="AG151" s="119">
        <f t="shared" si="28"/>
        <v>0</v>
      </c>
      <c r="AH151" s="119">
        <f t="shared" si="28"/>
        <v>0</v>
      </c>
      <c r="AI151" s="119">
        <f>IF(OR(AI21=0,AI21=1),1,0)</f>
        <v>0</v>
      </c>
      <c r="AJ151" s="36" t="str">
        <f t="shared" si="21"/>
        <v/>
      </c>
      <c r="AK151" s="49"/>
      <c r="AL151" s="49" t="str">
        <f t="shared" si="24"/>
        <v>00</v>
      </c>
      <c r="AM151" s="51" t="str">
        <f t="shared" si="25"/>
        <v>00</v>
      </c>
      <c r="AN151" s="51" t="str">
        <f t="shared" si="26"/>
        <v>00</v>
      </c>
      <c r="AO151" s="51" t="str">
        <f t="shared" si="27"/>
        <v>00</v>
      </c>
      <c r="AQ151" t="str">
        <f t="shared" si="22"/>
        <v/>
      </c>
    </row>
    <row r="152" spans="2:43">
      <c r="B152" s="126"/>
      <c r="C152" s="36">
        <f t="shared" si="23"/>
        <v>16</v>
      </c>
      <c r="D152" s="119">
        <f t="shared" ref="D152:AI159" si="29">IF(OR(D22=0,D22=1),1,0)</f>
        <v>0</v>
      </c>
      <c r="E152" s="119">
        <f t="shared" si="29"/>
        <v>0</v>
      </c>
      <c r="F152" s="119">
        <f t="shared" si="29"/>
        <v>0</v>
      </c>
      <c r="G152" s="119">
        <f t="shared" si="29"/>
        <v>0</v>
      </c>
      <c r="H152" s="119">
        <f t="shared" si="29"/>
        <v>0</v>
      </c>
      <c r="I152" s="119">
        <f t="shared" si="29"/>
        <v>0</v>
      </c>
      <c r="J152" s="119">
        <f t="shared" si="29"/>
        <v>0</v>
      </c>
      <c r="K152" s="119">
        <f t="shared" si="29"/>
        <v>0</v>
      </c>
      <c r="L152" s="119">
        <f t="shared" si="29"/>
        <v>0</v>
      </c>
      <c r="M152" s="119">
        <f t="shared" si="29"/>
        <v>0</v>
      </c>
      <c r="N152" s="119">
        <f t="shared" si="29"/>
        <v>0</v>
      </c>
      <c r="O152" s="119">
        <f t="shared" si="29"/>
        <v>0</v>
      </c>
      <c r="P152" s="119">
        <f t="shared" si="29"/>
        <v>0</v>
      </c>
      <c r="Q152" s="119">
        <f t="shared" si="29"/>
        <v>0</v>
      </c>
      <c r="R152" s="119">
        <f t="shared" si="29"/>
        <v>0</v>
      </c>
      <c r="S152" s="119">
        <f t="shared" si="29"/>
        <v>0</v>
      </c>
      <c r="T152" s="119">
        <f t="shared" si="29"/>
        <v>0</v>
      </c>
      <c r="U152" s="119">
        <f t="shared" si="29"/>
        <v>0</v>
      </c>
      <c r="V152" s="119">
        <f t="shared" si="29"/>
        <v>0</v>
      </c>
      <c r="W152" s="119">
        <f t="shared" si="29"/>
        <v>0</v>
      </c>
      <c r="X152" s="119">
        <f t="shared" si="29"/>
        <v>0</v>
      </c>
      <c r="Y152" s="119">
        <f t="shared" si="29"/>
        <v>0</v>
      </c>
      <c r="Z152" s="119">
        <f t="shared" si="29"/>
        <v>0</v>
      </c>
      <c r="AA152" s="119">
        <f t="shared" si="29"/>
        <v>0</v>
      </c>
      <c r="AB152" s="119">
        <f t="shared" si="29"/>
        <v>0</v>
      </c>
      <c r="AC152" s="119">
        <f t="shared" si="29"/>
        <v>0</v>
      </c>
      <c r="AD152" s="119">
        <f t="shared" si="29"/>
        <v>0</v>
      </c>
      <c r="AE152" s="119">
        <f t="shared" si="29"/>
        <v>0</v>
      </c>
      <c r="AF152" s="119">
        <f t="shared" si="29"/>
        <v>0</v>
      </c>
      <c r="AG152" s="119">
        <f t="shared" si="29"/>
        <v>0</v>
      </c>
      <c r="AH152" s="119">
        <f t="shared" si="29"/>
        <v>0</v>
      </c>
      <c r="AI152" s="119">
        <f t="shared" si="29"/>
        <v>0</v>
      </c>
      <c r="AJ152" s="36" t="str">
        <f t="shared" si="21"/>
        <v/>
      </c>
      <c r="AK152" s="49"/>
      <c r="AL152" s="49" t="str">
        <f t="shared" si="24"/>
        <v>00</v>
      </c>
      <c r="AM152" s="51" t="str">
        <f t="shared" si="25"/>
        <v>00</v>
      </c>
      <c r="AN152" s="51" t="str">
        <f t="shared" si="26"/>
        <v>00</v>
      </c>
      <c r="AO152" s="51" t="str">
        <f t="shared" si="27"/>
        <v>00</v>
      </c>
      <c r="AQ152" t="str">
        <f t="shared" si="22"/>
        <v/>
      </c>
    </row>
    <row r="153" spans="2:43">
      <c r="B153" s="126"/>
      <c r="C153" s="36">
        <f t="shared" si="23"/>
        <v>17</v>
      </c>
      <c r="D153" s="119">
        <f t="shared" si="29"/>
        <v>0</v>
      </c>
      <c r="E153" s="119">
        <f t="shared" si="29"/>
        <v>0</v>
      </c>
      <c r="F153" s="119">
        <f t="shared" si="29"/>
        <v>0</v>
      </c>
      <c r="G153" s="119">
        <f t="shared" si="29"/>
        <v>0</v>
      </c>
      <c r="H153" s="119">
        <f t="shared" si="29"/>
        <v>0</v>
      </c>
      <c r="I153" s="119">
        <f t="shared" si="29"/>
        <v>0</v>
      </c>
      <c r="J153" s="119">
        <f t="shared" si="29"/>
        <v>0</v>
      </c>
      <c r="K153" s="119">
        <f t="shared" si="29"/>
        <v>0</v>
      </c>
      <c r="L153" s="119">
        <f t="shared" si="29"/>
        <v>0</v>
      </c>
      <c r="M153" s="119">
        <f t="shared" si="29"/>
        <v>0</v>
      </c>
      <c r="N153" s="119">
        <f t="shared" si="29"/>
        <v>0</v>
      </c>
      <c r="O153" s="119">
        <f t="shared" si="29"/>
        <v>0</v>
      </c>
      <c r="P153" s="119">
        <f t="shared" si="29"/>
        <v>0</v>
      </c>
      <c r="Q153" s="119">
        <f t="shared" si="29"/>
        <v>0</v>
      </c>
      <c r="R153" s="119">
        <f t="shared" si="29"/>
        <v>0</v>
      </c>
      <c r="S153" s="119">
        <f t="shared" si="29"/>
        <v>0</v>
      </c>
      <c r="T153" s="119">
        <f t="shared" si="29"/>
        <v>0</v>
      </c>
      <c r="U153" s="119">
        <f t="shared" si="29"/>
        <v>0</v>
      </c>
      <c r="V153" s="119">
        <f t="shared" si="29"/>
        <v>0</v>
      </c>
      <c r="W153" s="119">
        <f t="shared" si="29"/>
        <v>0</v>
      </c>
      <c r="X153" s="119">
        <f t="shared" si="29"/>
        <v>0</v>
      </c>
      <c r="Y153" s="119">
        <f t="shared" si="29"/>
        <v>0</v>
      </c>
      <c r="Z153" s="119">
        <f t="shared" si="29"/>
        <v>0</v>
      </c>
      <c r="AA153" s="119">
        <f t="shared" si="29"/>
        <v>0</v>
      </c>
      <c r="AB153" s="119">
        <f t="shared" si="29"/>
        <v>0</v>
      </c>
      <c r="AC153" s="119">
        <f t="shared" si="29"/>
        <v>0</v>
      </c>
      <c r="AD153" s="119">
        <f t="shared" si="29"/>
        <v>0</v>
      </c>
      <c r="AE153" s="119">
        <f t="shared" si="29"/>
        <v>0</v>
      </c>
      <c r="AF153" s="119">
        <f t="shared" si="29"/>
        <v>0</v>
      </c>
      <c r="AG153" s="119">
        <f t="shared" si="29"/>
        <v>0</v>
      </c>
      <c r="AH153" s="119">
        <f t="shared" si="29"/>
        <v>0</v>
      </c>
      <c r="AI153" s="119">
        <f t="shared" si="29"/>
        <v>0</v>
      </c>
      <c r="AJ153" s="36" t="str">
        <f t="shared" si="21"/>
        <v/>
      </c>
      <c r="AK153" s="49"/>
      <c r="AL153" s="49" t="str">
        <f t="shared" si="24"/>
        <v>00</v>
      </c>
      <c r="AM153" s="51" t="str">
        <f t="shared" si="25"/>
        <v>00</v>
      </c>
      <c r="AN153" s="51" t="str">
        <f t="shared" si="26"/>
        <v>00</v>
      </c>
      <c r="AO153" s="51" t="str">
        <f t="shared" si="27"/>
        <v>00</v>
      </c>
      <c r="AQ153" t="str">
        <f t="shared" si="22"/>
        <v/>
      </c>
    </row>
    <row r="154" spans="2:43">
      <c r="B154" s="126"/>
      <c r="C154" s="36">
        <f t="shared" si="23"/>
        <v>18</v>
      </c>
      <c r="D154" s="119">
        <f t="shared" si="29"/>
        <v>0</v>
      </c>
      <c r="E154" s="119">
        <f t="shared" si="29"/>
        <v>0</v>
      </c>
      <c r="F154" s="119">
        <f t="shared" si="29"/>
        <v>0</v>
      </c>
      <c r="G154" s="119">
        <f t="shared" si="29"/>
        <v>0</v>
      </c>
      <c r="H154" s="119">
        <f t="shared" si="29"/>
        <v>0</v>
      </c>
      <c r="I154" s="119">
        <f t="shared" si="29"/>
        <v>0</v>
      </c>
      <c r="J154" s="119">
        <f t="shared" si="29"/>
        <v>0</v>
      </c>
      <c r="K154" s="119">
        <f t="shared" si="29"/>
        <v>0</v>
      </c>
      <c r="L154" s="119">
        <f t="shared" si="29"/>
        <v>0</v>
      </c>
      <c r="M154" s="119">
        <f t="shared" si="29"/>
        <v>0</v>
      </c>
      <c r="N154" s="119">
        <f t="shared" si="29"/>
        <v>0</v>
      </c>
      <c r="O154" s="119">
        <f t="shared" si="29"/>
        <v>0</v>
      </c>
      <c r="P154" s="119">
        <f t="shared" si="29"/>
        <v>0</v>
      </c>
      <c r="Q154" s="119">
        <f t="shared" si="29"/>
        <v>0</v>
      </c>
      <c r="R154" s="119">
        <f t="shared" si="29"/>
        <v>0</v>
      </c>
      <c r="S154" s="119">
        <f t="shared" si="29"/>
        <v>0</v>
      </c>
      <c r="T154" s="119">
        <f t="shared" si="29"/>
        <v>0</v>
      </c>
      <c r="U154" s="119">
        <f t="shared" si="29"/>
        <v>0</v>
      </c>
      <c r="V154" s="119">
        <f t="shared" si="29"/>
        <v>0</v>
      </c>
      <c r="W154" s="119">
        <f t="shared" si="29"/>
        <v>0</v>
      </c>
      <c r="X154" s="119">
        <f t="shared" si="29"/>
        <v>0</v>
      </c>
      <c r="Y154" s="119">
        <f t="shared" si="29"/>
        <v>0</v>
      </c>
      <c r="Z154" s="119">
        <f t="shared" si="29"/>
        <v>0</v>
      </c>
      <c r="AA154" s="119">
        <f t="shared" si="29"/>
        <v>0</v>
      </c>
      <c r="AB154" s="119">
        <f t="shared" si="29"/>
        <v>0</v>
      </c>
      <c r="AC154" s="119">
        <f t="shared" si="29"/>
        <v>0</v>
      </c>
      <c r="AD154" s="119">
        <f t="shared" si="29"/>
        <v>0</v>
      </c>
      <c r="AE154" s="119">
        <f t="shared" si="29"/>
        <v>0</v>
      </c>
      <c r="AF154" s="119">
        <f t="shared" si="29"/>
        <v>0</v>
      </c>
      <c r="AG154" s="119">
        <f t="shared" si="29"/>
        <v>0</v>
      </c>
      <c r="AH154" s="119">
        <f t="shared" si="29"/>
        <v>0</v>
      </c>
      <c r="AI154" s="119">
        <f t="shared" si="29"/>
        <v>0</v>
      </c>
      <c r="AJ154" s="36" t="str">
        <f t="shared" si="21"/>
        <v/>
      </c>
      <c r="AK154" s="49"/>
      <c r="AL154" s="49" t="str">
        <f t="shared" si="24"/>
        <v>00</v>
      </c>
      <c r="AM154" s="51" t="str">
        <f t="shared" si="25"/>
        <v>00</v>
      </c>
      <c r="AN154" s="51" t="str">
        <f t="shared" si="26"/>
        <v>00</v>
      </c>
      <c r="AO154" s="51" t="str">
        <f t="shared" si="27"/>
        <v>00</v>
      </c>
      <c r="AQ154" t="str">
        <f t="shared" si="22"/>
        <v/>
      </c>
    </row>
    <row r="155" spans="2:43">
      <c r="B155" s="126"/>
      <c r="C155" s="36">
        <f t="shared" si="23"/>
        <v>19</v>
      </c>
      <c r="D155" s="119">
        <f t="shared" si="29"/>
        <v>0</v>
      </c>
      <c r="E155" s="119">
        <f t="shared" si="29"/>
        <v>0</v>
      </c>
      <c r="F155" s="119">
        <f t="shared" si="29"/>
        <v>0</v>
      </c>
      <c r="G155" s="119">
        <f t="shared" si="29"/>
        <v>0</v>
      </c>
      <c r="H155" s="119">
        <f t="shared" si="29"/>
        <v>0</v>
      </c>
      <c r="I155" s="119">
        <f t="shared" si="29"/>
        <v>0</v>
      </c>
      <c r="J155" s="119">
        <f t="shared" si="29"/>
        <v>0</v>
      </c>
      <c r="K155" s="119">
        <f t="shared" si="29"/>
        <v>0</v>
      </c>
      <c r="L155" s="119">
        <f t="shared" si="29"/>
        <v>0</v>
      </c>
      <c r="M155" s="119">
        <f t="shared" si="29"/>
        <v>0</v>
      </c>
      <c r="N155" s="119">
        <f t="shared" si="29"/>
        <v>0</v>
      </c>
      <c r="O155" s="119">
        <f t="shared" si="29"/>
        <v>0</v>
      </c>
      <c r="P155" s="119">
        <f t="shared" si="29"/>
        <v>0</v>
      </c>
      <c r="Q155" s="119">
        <f t="shared" si="29"/>
        <v>0</v>
      </c>
      <c r="R155" s="119">
        <f t="shared" si="29"/>
        <v>0</v>
      </c>
      <c r="S155" s="119">
        <f t="shared" si="29"/>
        <v>0</v>
      </c>
      <c r="T155" s="119">
        <f t="shared" si="29"/>
        <v>0</v>
      </c>
      <c r="U155" s="119">
        <f t="shared" si="29"/>
        <v>0</v>
      </c>
      <c r="V155" s="119">
        <f t="shared" si="29"/>
        <v>0</v>
      </c>
      <c r="W155" s="119">
        <f t="shared" si="29"/>
        <v>0</v>
      </c>
      <c r="X155" s="119">
        <f t="shared" si="29"/>
        <v>0</v>
      </c>
      <c r="Y155" s="119">
        <f t="shared" si="29"/>
        <v>0</v>
      </c>
      <c r="Z155" s="119">
        <f t="shared" si="29"/>
        <v>0</v>
      </c>
      <c r="AA155" s="119">
        <f t="shared" si="29"/>
        <v>0</v>
      </c>
      <c r="AB155" s="119">
        <f t="shared" si="29"/>
        <v>0</v>
      </c>
      <c r="AC155" s="119">
        <f t="shared" si="29"/>
        <v>0</v>
      </c>
      <c r="AD155" s="119">
        <f t="shared" si="29"/>
        <v>0</v>
      </c>
      <c r="AE155" s="119">
        <f t="shared" si="29"/>
        <v>0</v>
      </c>
      <c r="AF155" s="119">
        <f t="shared" si="29"/>
        <v>0</v>
      </c>
      <c r="AG155" s="119">
        <f t="shared" si="29"/>
        <v>0</v>
      </c>
      <c r="AH155" s="119">
        <f t="shared" si="29"/>
        <v>0</v>
      </c>
      <c r="AI155" s="119">
        <f t="shared" si="29"/>
        <v>0</v>
      </c>
      <c r="AJ155" s="36" t="str">
        <f t="shared" si="21"/>
        <v/>
      </c>
      <c r="AK155" s="49"/>
      <c r="AL155" s="49" t="str">
        <f t="shared" si="24"/>
        <v>00</v>
      </c>
      <c r="AM155" s="51" t="str">
        <f t="shared" si="25"/>
        <v>00</v>
      </c>
      <c r="AN155" s="51" t="str">
        <f t="shared" si="26"/>
        <v>00</v>
      </c>
      <c r="AO155" s="51" t="str">
        <f t="shared" si="27"/>
        <v>00</v>
      </c>
      <c r="AQ155" t="str">
        <f t="shared" si="22"/>
        <v/>
      </c>
    </row>
    <row r="156" spans="2:43">
      <c r="B156" s="126"/>
      <c r="C156" s="36">
        <f t="shared" si="23"/>
        <v>20</v>
      </c>
      <c r="D156" s="119">
        <f t="shared" si="29"/>
        <v>0</v>
      </c>
      <c r="E156" s="119">
        <f t="shared" si="29"/>
        <v>0</v>
      </c>
      <c r="F156" s="119">
        <f t="shared" si="29"/>
        <v>0</v>
      </c>
      <c r="G156" s="119">
        <f t="shared" si="29"/>
        <v>0</v>
      </c>
      <c r="H156" s="119">
        <f t="shared" si="29"/>
        <v>0</v>
      </c>
      <c r="I156" s="119">
        <f t="shared" si="29"/>
        <v>0</v>
      </c>
      <c r="J156" s="119">
        <f t="shared" si="29"/>
        <v>0</v>
      </c>
      <c r="K156" s="119">
        <f t="shared" si="29"/>
        <v>0</v>
      </c>
      <c r="L156" s="119">
        <f t="shared" si="29"/>
        <v>0</v>
      </c>
      <c r="M156" s="119">
        <f t="shared" si="29"/>
        <v>0</v>
      </c>
      <c r="N156" s="119">
        <f t="shared" si="29"/>
        <v>0</v>
      </c>
      <c r="O156" s="119">
        <f t="shared" si="29"/>
        <v>0</v>
      </c>
      <c r="P156" s="119">
        <f t="shared" si="29"/>
        <v>0</v>
      </c>
      <c r="Q156" s="119">
        <f t="shared" si="29"/>
        <v>0</v>
      </c>
      <c r="R156" s="119">
        <f t="shared" si="29"/>
        <v>0</v>
      </c>
      <c r="S156" s="119">
        <f t="shared" si="29"/>
        <v>0</v>
      </c>
      <c r="T156" s="119">
        <f t="shared" si="29"/>
        <v>0</v>
      </c>
      <c r="U156" s="119">
        <f t="shared" si="29"/>
        <v>0</v>
      </c>
      <c r="V156" s="119">
        <f t="shared" si="29"/>
        <v>0</v>
      </c>
      <c r="W156" s="119">
        <f t="shared" si="29"/>
        <v>0</v>
      </c>
      <c r="X156" s="119">
        <f t="shared" si="29"/>
        <v>0</v>
      </c>
      <c r="Y156" s="119">
        <f t="shared" si="29"/>
        <v>0</v>
      </c>
      <c r="Z156" s="119">
        <f t="shared" si="29"/>
        <v>0</v>
      </c>
      <c r="AA156" s="119">
        <f t="shared" si="29"/>
        <v>0</v>
      </c>
      <c r="AB156" s="119">
        <f t="shared" si="29"/>
        <v>0</v>
      </c>
      <c r="AC156" s="119">
        <f t="shared" si="29"/>
        <v>0</v>
      </c>
      <c r="AD156" s="119">
        <f t="shared" si="29"/>
        <v>0</v>
      </c>
      <c r="AE156" s="119">
        <f t="shared" si="29"/>
        <v>0</v>
      </c>
      <c r="AF156" s="119">
        <f t="shared" si="29"/>
        <v>0</v>
      </c>
      <c r="AG156" s="119">
        <f t="shared" si="29"/>
        <v>0</v>
      </c>
      <c r="AH156" s="119">
        <f t="shared" si="29"/>
        <v>0</v>
      </c>
      <c r="AI156" s="119">
        <f t="shared" si="29"/>
        <v>0</v>
      </c>
      <c r="AJ156" s="36" t="str">
        <f t="shared" si="21"/>
        <v/>
      </c>
      <c r="AK156" s="49"/>
      <c r="AL156" s="49" t="str">
        <f t="shared" si="24"/>
        <v>00</v>
      </c>
      <c r="AM156" s="51" t="str">
        <f t="shared" si="25"/>
        <v>00</v>
      </c>
      <c r="AN156" s="51" t="str">
        <f t="shared" si="26"/>
        <v>00</v>
      </c>
      <c r="AO156" s="51" t="str">
        <f t="shared" si="27"/>
        <v>00</v>
      </c>
      <c r="AQ156" t="str">
        <f t="shared" si="22"/>
        <v/>
      </c>
    </row>
    <row r="157" spans="2:43">
      <c r="B157" s="126"/>
      <c r="C157" s="36">
        <f t="shared" si="23"/>
        <v>21</v>
      </c>
      <c r="D157" s="119">
        <f t="shared" si="29"/>
        <v>0</v>
      </c>
      <c r="E157" s="119">
        <f t="shared" si="29"/>
        <v>0</v>
      </c>
      <c r="F157" s="119">
        <f t="shared" si="29"/>
        <v>0</v>
      </c>
      <c r="G157" s="119">
        <f t="shared" si="29"/>
        <v>0</v>
      </c>
      <c r="H157" s="119">
        <f t="shared" si="29"/>
        <v>0</v>
      </c>
      <c r="I157" s="119">
        <f t="shared" si="29"/>
        <v>0</v>
      </c>
      <c r="J157" s="119">
        <f t="shared" si="29"/>
        <v>0</v>
      </c>
      <c r="K157" s="119">
        <f t="shared" si="29"/>
        <v>0</v>
      </c>
      <c r="L157" s="119">
        <f t="shared" si="29"/>
        <v>0</v>
      </c>
      <c r="M157" s="119">
        <f t="shared" si="29"/>
        <v>0</v>
      </c>
      <c r="N157" s="119">
        <f t="shared" si="29"/>
        <v>0</v>
      </c>
      <c r="O157" s="119">
        <f t="shared" si="29"/>
        <v>0</v>
      </c>
      <c r="P157" s="119">
        <f t="shared" si="29"/>
        <v>0</v>
      </c>
      <c r="Q157" s="119">
        <f t="shared" si="29"/>
        <v>0</v>
      </c>
      <c r="R157" s="119">
        <f t="shared" si="29"/>
        <v>0</v>
      </c>
      <c r="S157" s="119">
        <f t="shared" si="29"/>
        <v>0</v>
      </c>
      <c r="T157" s="119">
        <f t="shared" si="29"/>
        <v>0</v>
      </c>
      <c r="U157" s="119">
        <f t="shared" si="29"/>
        <v>0</v>
      </c>
      <c r="V157" s="119">
        <f t="shared" si="29"/>
        <v>0</v>
      </c>
      <c r="W157" s="119">
        <f t="shared" si="29"/>
        <v>0</v>
      </c>
      <c r="X157" s="119">
        <f t="shared" si="29"/>
        <v>0</v>
      </c>
      <c r="Y157" s="119">
        <f t="shared" si="29"/>
        <v>0</v>
      </c>
      <c r="Z157" s="119">
        <f t="shared" si="29"/>
        <v>0</v>
      </c>
      <c r="AA157" s="119">
        <f t="shared" si="29"/>
        <v>0</v>
      </c>
      <c r="AB157" s="119">
        <f t="shared" si="29"/>
        <v>0</v>
      </c>
      <c r="AC157" s="119">
        <f t="shared" si="29"/>
        <v>0</v>
      </c>
      <c r="AD157" s="119">
        <f t="shared" si="29"/>
        <v>0</v>
      </c>
      <c r="AE157" s="119">
        <f t="shared" si="29"/>
        <v>0</v>
      </c>
      <c r="AF157" s="119">
        <f t="shared" si="29"/>
        <v>0</v>
      </c>
      <c r="AG157" s="119">
        <f t="shared" si="29"/>
        <v>0</v>
      </c>
      <c r="AH157" s="119">
        <f t="shared" si="29"/>
        <v>0</v>
      </c>
      <c r="AI157" s="119">
        <f t="shared" si="29"/>
        <v>0</v>
      </c>
      <c r="AJ157" s="36" t="str">
        <f t="shared" si="21"/>
        <v/>
      </c>
      <c r="AK157" s="49"/>
      <c r="AL157" s="49" t="str">
        <f t="shared" si="24"/>
        <v>00</v>
      </c>
      <c r="AM157" s="51" t="str">
        <f t="shared" si="25"/>
        <v>00</v>
      </c>
      <c r="AN157" s="51" t="str">
        <f t="shared" si="26"/>
        <v>00</v>
      </c>
      <c r="AO157" s="51" t="str">
        <f t="shared" si="27"/>
        <v>00</v>
      </c>
      <c r="AQ157" t="str">
        <f t="shared" si="22"/>
        <v/>
      </c>
    </row>
    <row r="158" spans="2:43">
      <c r="B158" s="126"/>
      <c r="C158" s="36">
        <f t="shared" si="23"/>
        <v>22</v>
      </c>
      <c r="D158" s="119">
        <f t="shared" si="29"/>
        <v>0</v>
      </c>
      <c r="E158" s="119">
        <f t="shared" si="29"/>
        <v>0</v>
      </c>
      <c r="F158" s="119">
        <f t="shared" si="29"/>
        <v>0</v>
      </c>
      <c r="G158" s="119">
        <f t="shared" si="29"/>
        <v>0</v>
      </c>
      <c r="H158" s="119">
        <f t="shared" si="29"/>
        <v>0</v>
      </c>
      <c r="I158" s="119">
        <f t="shared" si="29"/>
        <v>0</v>
      </c>
      <c r="J158" s="119">
        <f t="shared" si="29"/>
        <v>0</v>
      </c>
      <c r="K158" s="119">
        <f t="shared" si="29"/>
        <v>0</v>
      </c>
      <c r="L158" s="119">
        <f t="shared" si="29"/>
        <v>0</v>
      </c>
      <c r="M158" s="119">
        <f t="shared" si="29"/>
        <v>0</v>
      </c>
      <c r="N158" s="119">
        <f t="shared" si="29"/>
        <v>0</v>
      </c>
      <c r="O158" s="119">
        <f t="shared" si="29"/>
        <v>0</v>
      </c>
      <c r="P158" s="119">
        <f t="shared" si="29"/>
        <v>0</v>
      </c>
      <c r="Q158" s="119">
        <f t="shared" si="29"/>
        <v>0</v>
      </c>
      <c r="R158" s="119">
        <f t="shared" si="29"/>
        <v>0</v>
      </c>
      <c r="S158" s="119">
        <f t="shared" si="29"/>
        <v>0</v>
      </c>
      <c r="T158" s="119">
        <f t="shared" si="29"/>
        <v>0</v>
      </c>
      <c r="U158" s="119">
        <f t="shared" si="29"/>
        <v>0</v>
      </c>
      <c r="V158" s="119">
        <f t="shared" si="29"/>
        <v>0</v>
      </c>
      <c r="W158" s="119">
        <f t="shared" si="29"/>
        <v>0</v>
      </c>
      <c r="X158" s="119">
        <f t="shared" si="29"/>
        <v>0</v>
      </c>
      <c r="Y158" s="119">
        <f t="shared" si="29"/>
        <v>0</v>
      </c>
      <c r="Z158" s="119">
        <f t="shared" si="29"/>
        <v>0</v>
      </c>
      <c r="AA158" s="119">
        <f t="shared" si="29"/>
        <v>0</v>
      </c>
      <c r="AB158" s="119">
        <f t="shared" si="29"/>
        <v>0</v>
      </c>
      <c r="AC158" s="119">
        <f t="shared" si="29"/>
        <v>0</v>
      </c>
      <c r="AD158" s="119">
        <f t="shared" si="29"/>
        <v>0</v>
      </c>
      <c r="AE158" s="119">
        <f t="shared" si="29"/>
        <v>0</v>
      </c>
      <c r="AF158" s="119">
        <f t="shared" si="29"/>
        <v>0</v>
      </c>
      <c r="AG158" s="119">
        <f t="shared" si="29"/>
        <v>0</v>
      </c>
      <c r="AH158" s="119">
        <f t="shared" si="29"/>
        <v>0</v>
      </c>
      <c r="AI158" s="119">
        <f t="shared" si="29"/>
        <v>0</v>
      </c>
      <c r="AJ158" s="36" t="str">
        <f t="shared" si="21"/>
        <v/>
      </c>
      <c r="AK158" s="49"/>
      <c r="AL158" s="49" t="str">
        <f t="shared" si="24"/>
        <v>00</v>
      </c>
      <c r="AM158" s="51" t="str">
        <f t="shared" si="25"/>
        <v>00</v>
      </c>
      <c r="AN158" s="51" t="str">
        <f t="shared" si="26"/>
        <v>00</v>
      </c>
      <c r="AO158" s="51" t="str">
        <f t="shared" si="27"/>
        <v>00</v>
      </c>
      <c r="AQ158" t="str">
        <f t="shared" si="22"/>
        <v/>
      </c>
    </row>
    <row r="159" spans="2:43">
      <c r="B159" s="126"/>
      <c r="C159" s="36">
        <f t="shared" si="23"/>
        <v>23</v>
      </c>
      <c r="D159" s="119">
        <f t="shared" si="29"/>
        <v>0</v>
      </c>
      <c r="E159" s="119">
        <f t="shared" si="29"/>
        <v>0</v>
      </c>
      <c r="F159" s="119">
        <f t="shared" si="29"/>
        <v>0</v>
      </c>
      <c r="G159" s="119">
        <f t="shared" si="29"/>
        <v>0</v>
      </c>
      <c r="H159" s="119">
        <f t="shared" si="29"/>
        <v>0</v>
      </c>
      <c r="I159" s="119">
        <f t="shared" si="29"/>
        <v>0</v>
      </c>
      <c r="J159" s="119">
        <f t="shared" si="29"/>
        <v>0</v>
      </c>
      <c r="K159" s="119">
        <f t="shared" si="29"/>
        <v>0</v>
      </c>
      <c r="L159" s="119">
        <f t="shared" si="29"/>
        <v>0</v>
      </c>
      <c r="M159" s="119">
        <f t="shared" si="29"/>
        <v>0</v>
      </c>
      <c r="N159" s="119">
        <f t="shared" si="29"/>
        <v>0</v>
      </c>
      <c r="O159" s="119">
        <f t="shared" si="29"/>
        <v>0</v>
      </c>
      <c r="P159" s="119">
        <f t="shared" si="29"/>
        <v>0</v>
      </c>
      <c r="Q159" s="119">
        <f t="shared" si="29"/>
        <v>0</v>
      </c>
      <c r="R159" s="119">
        <f t="shared" si="29"/>
        <v>0</v>
      </c>
      <c r="S159" s="119">
        <f t="shared" si="29"/>
        <v>0</v>
      </c>
      <c r="T159" s="119">
        <f t="shared" si="29"/>
        <v>0</v>
      </c>
      <c r="U159" s="119">
        <f t="shared" si="29"/>
        <v>0</v>
      </c>
      <c r="V159" s="119">
        <f t="shared" si="29"/>
        <v>0</v>
      </c>
      <c r="W159" s="119">
        <f t="shared" si="29"/>
        <v>0</v>
      </c>
      <c r="X159" s="119">
        <f t="shared" si="29"/>
        <v>0</v>
      </c>
      <c r="Y159" s="119">
        <f t="shared" si="29"/>
        <v>0</v>
      </c>
      <c r="Z159" s="119">
        <f t="shared" si="29"/>
        <v>0</v>
      </c>
      <c r="AA159" s="119">
        <f t="shared" si="29"/>
        <v>0</v>
      </c>
      <c r="AB159" s="119">
        <f t="shared" si="29"/>
        <v>0</v>
      </c>
      <c r="AC159" s="119">
        <f t="shared" si="29"/>
        <v>0</v>
      </c>
      <c r="AD159" s="119">
        <f t="shared" si="29"/>
        <v>0</v>
      </c>
      <c r="AE159" s="119">
        <f t="shared" si="29"/>
        <v>0</v>
      </c>
      <c r="AF159" s="119">
        <f t="shared" si="29"/>
        <v>0</v>
      </c>
      <c r="AG159" s="119">
        <f t="shared" si="29"/>
        <v>0</v>
      </c>
      <c r="AH159" s="119">
        <f t="shared" si="29"/>
        <v>0</v>
      </c>
      <c r="AI159" s="119">
        <f>IF(OR(AI29=0,AI29=1),1,0)</f>
        <v>0</v>
      </c>
      <c r="AJ159" s="36" t="str">
        <f t="shared" si="21"/>
        <v/>
      </c>
      <c r="AK159" s="49"/>
      <c r="AL159" s="49" t="str">
        <f t="shared" si="24"/>
        <v>00</v>
      </c>
      <c r="AM159" s="51" t="str">
        <f t="shared" si="25"/>
        <v>00</v>
      </c>
      <c r="AN159" s="51" t="str">
        <f t="shared" si="26"/>
        <v>00</v>
      </c>
      <c r="AO159" s="51" t="str">
        <f t="shared" si="27"/>
        <v>00</v>
      </c>
      <c r="AQ159" t="str">
        <f t="shared" si="22"/>
        <v/>
      </c>
    </row>
    <row r="160" spans="2:43">
      <c r="B160" s="126"/>
      <c r="C160" s="36">
        <f t="shared" si="23"/>
        <v>24</v>
      </c>
      <c r="D160" s="119">
        <f t="shared" ref="D160:AI167" si="30">IF(OR(D30=0,D30=1),1,0)</f>
        <v>0</v>
      </c>
      <c r="E160" s="119">
        <f t="shared" si="30"/>
        <v>0</v>
      </c>
      <c r="F160" s="119">
        <f t="shared" si="30"/>
        <v>0</v>
      </c>
      <c r="G160" s="119">
        <f t="shared" si="30"/>
        <v>0</v>
      </c>
      <c r="H160" s="119">
        <f t="shared" si="30"/>
        <v>0</v>
      </c>
      <c r="I160" s="119">
        <f t="shared" si="30"/>
        <v>0</v>
      </c>
      <c r="J160" s="119">
        <f t="shared" si="30"/>
        <v>0</v>
      </c>
      <c r="K160" s="119">
        <f t="shared" si="30"/>
        <v>0</v>
      </c>
      <c r="L160" s="119">
        <f t="shared" si="30"/>
        <v>0</v>
      </c>
      <c r="M160" s="119">
        <f t="shared" si="30"/>
        <v>0</v>
      </c>
      <c r="N160" s="119">
        <f t="shared" si="30"/>
        <v>0</v>
      </c>
      <c r="O160" s="119">
        <f t="shared" si="30"/>
        <v>0</v>
      </c>
      <c r="P160" s="119">
        <f t="shared" si="30"/>
        <v>0</v>
      </c>
      <c r="Q160" s="119">
        <f t="shared" si="30"/>
        <v>0</v>
      </c>
      <c r="R160" s="119">
        <f t="shared" si="30"/>
        <v>0</v>
      </c>
      <c r="S160" s="119">
        <f t="shared" si="30"/>
        <v>0</v>
      </c>
      <c r="T160" s="119">
        <f t="shared" si="30"/>
        <v>0</v>
      </c>
      <c r="U160" s="119">
        <f t="shared" si="30"/>
        <v>0</v>
      </c>
      <c r="V160" s="119">
        <f t="shared" si="30"/>
        <v>0</v>
      </c>
      <c r="W160" s="119">
        <f t="shared" si="30"/>
        <v>0</v>
      </c>
      <c r="X160" s="119">
        <f t="shared" si="30"/>
        <v>0</v>
      </c>
      <c r="Y160" s="119">
        <f t="shared" si="30"/>
        <v>0</v>
      </c>
      <c r="Z160" s="119">
        <f t="shared" si="30"/>
        <v>0</v>
      </c>
      <c r="AA160" s="119">
        <f t="shared" si="30"/>
        <v>0</v>
      </c>
      <c r="AB160" s="119">
        <f t="shared" si="30"/>
        <v>0</v>
      </c>
      <c r="AC160" s="119">
        <f t="shared" si="30"/>
        <v>0</v>
      </c>
      <c r="AD160" s="119">
        <f t="shared" si="30"/>
        <v>0</v>
      </c>
      <c r="AE160" s="119">
        <f t="shared" si="30"/>
        <v>0</v>
      </c>
      <c r="AF160" s="119">
        <f t="shared" si="30"/>
        <v>0</v>
      </c>
      <c r="AG160" s="119">
        <f t="shared" si="30"/>
        <v>0</v>
      </c>
      <c r="AH160" s="119">
        <f t="shared" si="30"/>
        <v>0</v>
      </c>
      <c r="AI160" s="119">
        <f t="shared" si="30"/>
        <v>0</v>
      </c>
      <c r="AJ160" s="36" t="str">
        <f t="shared" si="21"/>
        <v/>
      </c>
      <c r="AK160" s="49"/>
      <c r="AL160" s="49" t="str">
        <f t="shared" si="24"/>
        <v>00</v>
      </c>
      <c r="AM160" s="51" t="str">
        <f t="shared" si="25"/>
        <v>00</v>
      </c>
      <c r="AN160" s="51" t="str">
        <f t="shared" si="26"/>
        <v>00</v>
      </c>
      <c r="AO160" s="51" t="str">
        <f t="shared" si="27"/>
        <v>00</v>
      </c>
      <c r="AQ160" t="str">
        <f t="shared" si="22"/>
        <v/>
      </c>
    </row>
    <row r="161" spans="2:43">
      <c r="B161" s="126"/>
      <c r="C161" s="36">
        <f t="shared" si="23"/>
        <v>25</v>
      </c>
      <c r="D161" s="119">
        <f t="shared" si="30"/>
        <v>0</v>
      </c>
      <c r="E161" s="119">
        <f t="shared" si="30"/>
        <v>0</v>
      </c>
      <c r="F161" s="119">
        <f t="shared" si="30"/>
        <v>0</v>
      </c>
      <c r="G161" s="119">
        <f t="shared" si="30"/>
        <v>0</v>
      </c>
      <c r="H161" s="119">
        <f t="shared" si="30"/>
        <v>0</v>
      </c>
      <c r="I161" s="119">
        <f t="shared" si="30"/>
        <v>0</v>
      </c>
      <c r="J161" s="119">
        <f t="shared" si="30"/>
        <v>0</v>
      </c>
      <c r="K161" s="119">
        <f t="shared" si="30"/>
        <v>0</v>
      </c>
      <c r="L161" s="119">
        <f t="shared" si="30"/>
        <v>0</v>
      </c>
      <c r="M161" s="119">
        <f t="shared" si="30"/>
        <v>0</v>
      </c>
      <c r="N161" s="119">
        <f t="shared" si="30"/>
        <v>0</v>
      </c>
      <c r="O161" s="119">
        <f t="shared" si="30"/>
        <v>0</v>
      </c>
      <c r="P161" s="119">
        <f t="shared" si="30"/>
        <v>0</v>
      </c>
      <c r="Q161" s="119">
        <f t="shared" si="30"/>
        <v>0</v>
      </c>
      <c r="R161" s="119">
        <f t="shared" si="30"/>
        <v>0</v>
      </c>
      <c r="S161" s="119">
        <f t="shared" si="30"/>
        <v>0</v>
      </c>
      <c r="T161" s="119">
        <f t="shared" si="30"/>
        <v>0</v>
      </c>
      <c r="U161" s="119">
        <f t="shared" si="30"/>
        <v>0</v>
      </c>
      <c r="V161" s="119">
        <f t="shared" si="30"/>
        <v>0</v>
      </c>
      <c r="W161" s="119">
        <f t="shared" si="30"/>
        <v>0</v>
      </c>
      <c r="X161" s="119">
        <f t="shared" si="30"/>
        <v>0</v>
      </c>
      <c r="Y161" s="119">
        <f t="shared" si="30"/>
        <v>0</v>
      </c>
      <c r="Z161" s="119">
        <f t="shared" si="30"/>
        <v>0</v>
      </c>
      <c r="AA161" s="119">
        <f t="shared" si="30"/>
        <v>0</v>
      </c>
      <c r="AB161" s="119">
        <f t="shared" si="30"/>
        <v>0</v>
      </c>
      <c r="AC161" s="119">
        <f t="shared" si="30"/>
        <v>0</v>
      </c>
      <c r="AD161" s="119">
        <f t="shared" si="30"/>
        <v>0</v>
      </c>
      <c r="AE161" s="119">
        <f t="shared" si="30"/>
        <v>0</v>
      </c>
      <c r="AF161" s="119">
        <f t="shared" si="30"/>
        <v>0</v>
      </c>
      <c r="AG161" s="119">
        <f t="shared" si="30"/>
        <v>0</v>
      </c>
      <c r="AH161" s="119">
        <f t="shared" si="30"/>
        <v>0</v>
      </c>
      <c r="AI161" s="119">
        <f t="shared" si="30"/>
        <v>0</v>
      </c>
      <c r="AJ161" s="36" t="str">
        <f t="shared" si="21"/>
        <v/>
      </c>
      <c r="AK161" s="49"/>
      <c r="AL161" s="49" t="str">
        <f t="shared" si="24"/>
        <v>00</v>
      </c>
      <c r="AM161" s="51" t="str">
        <f t="shared" si="25"/>
        <v>00</v>
      </c>
      <c r="AN161" s="51" t="str">
        <f t="shared" si="26"/>
        <v>00</v>
      </c>
      <c r="AO161" s="51" t="str">
        <f t="shared" si="27"/>
        <v>00</v>
      </c>
      <c r="AQ161" t="str">
        <f t="shared" si="22"/>
        <v/>
      </c>
    </row>
    <row r="162" spans="2:43">
      <c r="B162" s="126"/>
      <c r="C162" s="36">
        <f t="shared" si="23"/>
        <v>26</v>
      </c>
      <c r="D162" s="119">
        <f t="shared" si="30"/>
        <v>0</v>
      </c>
      <c r="E162" s="119">
        <f t="shared" si="30"/>
        <v>0</v>
      </c>
      <c r="F162" s="119">
        <f t="shared" si="30"/>
        <v>0</v>
      </c>
      <c r="G162" s="119">
        <f t="shared" si="30"/>
        <v>0</v>
      </c>
      <c r="H162" s="119">
        <f t="shared" si="30"/>
        <v>0</v>
      </c>
      <c r="I162" s="119">
        <f t="shared" si="30"/>
        <v>0</v>
      </c>
      <c r="J162" s="119">
        <f t="shared" si="30"/>
        <v>0</v>
      </c>
      <c r="K162" s="119">
        <f t="shared" si="30"/>
        <v>0</v>
      </c>
      <c r="L162" s="119">
        <f t="shared" si="30"/>
        <v>0</v>
      </c>
      <c r="M162" s="119">
        <f t="shared" si="30"/>
        <v>0</v>
      </c>
      <c r="N162" s="119">
        <f t="shared" si="30"/>
        <v>0</v>
      </c>
      <c r="O162" s="119">
        <f t="shared" si="30"/>
        <v>0</v>
      </c>
      <c r="P162" s="119">
        <f t="shared" si="30"/>
        <v>0</v>
      </c>
      <c r="Q162" s="119">
        <f t="shared" si="30"/>
        <v>0</v>
      </c>
      <c r="R162" s="119">
        <f t="shared" si="30"/>
        <v>0</v>
      </c>
      <c r="S162" s="119">
        <f t="shared" si="30"/>
        <v>0</v>
      </c>
      <c r="T162" s="119">
        <f t="shared" si="30"/>
        <v>0</v>
      </c>
      <c r="U162" s="119">
        <f t="shared" si="30"/>
        <v>0</v>
      </c>
      <c r="V162" s="119">
        <f t="shared" si="30"/>
        <v>0</v>
      </c>
      <c r="W162" s="119">
        <f t="shared" si="30"/>
        <v>0</v>
      </c>
      <c r="X162" s="119">
        <f t="shared" si="30"/>
        <v>0</v>
      </c>
      <c r="Y162" s="119">
        <f t="shared" si="30"/>
        <v>0</v>
      </c>
      <c r="Z162" s="119">
        <f t="shared" si="30"/>
        <v>0</v>
      </c>
      <c r="AA162" s="119">
        <f t="shared" si="30"/>
        <v>0</v>
      </c>
      <c r="AB162" s="119">
        <f t="shared" si="30"/>
        <v>0</v>
      </c>
      <c r="AC162" s="119">
        <f t="shared" si="30"/>
        <v>0</v>
      </c>
      <c r="AD162" s="119">
        <f t="shared" si="30"/>
        <v>0</v>
      </c>
      <c r="AE162" s="119">
        <f t="shared" si="30"/>
        <v>0</v>
      </c>
      <c r="AF162" s="119">
        <f t="shared" si="30"/>
        <v>0</v>
      </c>
      <c r="AG162" s="119">
        <f t="shared" si="30"/>
        <v>0</v>
      </c>
      <c r="AH162" s="119">
        <f t="shared" si="30"/>
        <v>0</v>
      </c>
      <c r="AI162" s="119">
        <f t="shared" si="30"/>
        <v>0</v>
      </c>
      <c r="AJ162" s="36" t="str">
        <f t="shared" si="21"/>
        <v/>
      </c>
      <c r="AK162" s="49"/>
      <c r="AL162" s="49" t="str">
        <f t="shared" si="24"/>
        <v>00</v>
      </c>
      <c r="AM162" s="51" t="str">
        <f t="shared" si="25"/>
        <v>00</v>
      </c>
      <c r="AN162" s="51" t="str">
        <f t="shared" si="26"/>
        <v>00</v>
      </c>
      <c r="AO162" s="51" t="str">
        <f t="shared" si="27"/>
        <v>00</v>
      </c>
      <c r="AQ162" t="str">
        <f t="shared" si="22"/>
        <v/>
      </c>
    </row>
    <row r="163" spans="2:43">
      <c r="B163" s="126"/>
      <c r="C163" s="36">
        <f t="shared" si="23"/>
        <v>27</v>
      </c>
      <c r="D163" s="119">
        <f t="shared" si="30"/>
        <v>0</v>
      </c>
      <c r="E163" s="119">
        <f t="shared" si="30"/>
        <v>0</v>
      </c>
      <c r="F163" s="119">
        <f t="shared" si="30"/>
        <v>0</v>
      </c>
      <c r="G163" s="119">
        <f t="shared" si="30"/>
        <v>0</v>
      </c>
      <c r="H163" s="119">
        <f t="shared" si="30"/>
        <v>0</v>
      </c>
      <c r="I163" s="119">
        <f t="shared" si="30"/>
        <v>0</v>
      </c>
      <c r="J163" s="119">
        <f t="shared" si="30"/>
        <v>0</v>
      </c>
      <c r="K163" s="119">
        <f t="shared" si="30"/>
        <v>0</v>
      </c>
      <c r="L163" s="119">
        <f t="shared" si="30"/>
        <v>0</v>
      </c>
      <c r="M163" s="119">
        <f t="shared" si="30"/>
        <v>0</v>
      </c>
      <c r="N163" s="119">
        <f t="shared" si="30"/>
        <v>0</v>
      </c>
      <c r="O163" s="119">
        <f t="shared" si="30"/>
        <v>0</v>
      </c>
      <c r="P163" s="119">
        <f t="shared" si="30"/>
        <v>0</v>
      </c>
      <c r="Q163" s="119">
        <f t="shared" si="30"/>
        <v>0</v>
      </c>
      <c r="R163" s="119">
        <f t="shared" si="30"/>
        <v>0</v>
      </c>
      <c r="S163" s="119">
        <f t="shared" si="30"/>
        <v>0</v>
      </c>
      <c r="T163" s="119">
        <f t="shared" si="30"/>
        <v>0</v>
      </c>
      <c r="U163" s="119">
        <f t="shared" si="30"/>
        <v>0</v>
      </c>
      <c r="V163" s="119">
        <f t="shared" si="30"/>
        <v>0</v>
      </c>
      <c r="W163" s="119">
        <f t="shared" si="30"/>
        <v>0</v>
      </c>
      <c r="X163" s="119">
        <f t="shared" si="30"/>
        <v>0</v>
      </c>
      <c r="Y163" s="119">
        <f t="shared" si="30"/>
        <v>0</v>
      </c>
      <c r="Z163" s="119">
        <f t="shared" si="30"/>
        <v>0</v>
      </c>
      <c r="AA163" s="119">
        <f t="shared" si="30"/>
        <v>0</v>
      </c>
      <c r="AB163" s="119">
        <f t="shared" si="30"/>
        <v>0</v>
      </c>
      <c r="AC163" s="119">
        <f t="shared" si="30"/>
        <v>0</v>
      </c>
      <c r="AD163" s="119">
        <f t="shared" si="30"/>
        <v>0</v>
      </c>
      <c r="AE163" s="119">
        <f t="shared" si="30"/>
        <v>0</v>
      </c>
      <c r="AF163" s="119">
        <f t="shared" si="30"/>
        <v>0</v>
      </c>
      <c r="AG163" s="119">
        <f t="shared" si="30"/>
        <v>0</v>
      </c>
      <c r="AH163" s="119">
        <f t="shared" si="30"/>
        <v>0</v>
      </c>
      <c r="AI163" s="119">
        <f t="shared" si="30"/>
        <v>0</v>
      </c>
      <c r="AJ163" s="36" t="str">
        <f t="shared" si="21"/>
        <v/>
      </c>
      <c r="AK163" s="49"/>
      <c r="AL163" s="49" t="str">
        <f t="shared" si="24"/>
        <v>00</v>
      </c>
      <c r="AM163" s="51" t="str">
        <f t="shared" si="25"/>
        <v>00</v>
      </c>
      <c r="AN163" s="51" t="str">
        <f t="shared" si="26"/>
        <v>00</v>
      </c>
      <c r="AO163" s="51" t="str">
        <f t="shared" si="27"/>
        <v>00</v>
      </c>
      <c r="AQ163" t="str">
        <f t="shared" si="22"/>
        <v/>
      </c>
    </row>
    <row r="164" spans="2:43">
      <c r="B164" s="126"/>
      <c r="C164" s="36">
        <f t="shared" si="23"/>
        <v>28</v>
      </c>
      <c r="D164" s="119">
        <f t="shared" si="30"/>
        <v>0</v>
      </c>
      <c r="E164" s="119">
        <f t="shared" si="30"/>
        <v>0</v>
      </c>
      <c r="F164" s="119">
        <f t="shared" si="30"/>
        <v>0</v>
      </c>
      <c r="G164" s="119">
        <f t="shared" si="30"/>
        <v>0</v>
      </c>
      <c r="H164" s="119">
        <f t="shared" si="30"/>
        <v>0</v>
      </c>
      <c r="I164" s="119">
        <f t="shared" si="30"/>
        <v>0</v>
      </c>
      <c r="J164" s="119">
        <f t="shared" si="30"/>
        <v>0</v>
      </c>
      <c r="K164" s="119">
        <f t="shared" si="30"/>
        <v>0</v>
      </c>
      <c r="L164" s="119">
        <f t="shared" si="30"/>
        <v>0</v>
      </c>
      <c r="M164" s="119">
        <f t="shared" si="30"/>
        <v>0</v>
      </c>
      <c r="N164" s="119">
        <f t="shared" si="30"/>
        <v>0</v>
      </c>
      <c r="O164" s="119">
        <f t="shared" si="30"/>
        <v>0</v>
      </c>
      <c r="P164" s="119">
        <f t="shared" si="30"/>
        <v>0</v>
      </c>
      <c r="Q164" s="119">
        <f t="shared" si="30"/>
        <v>0</v>
      </c>
      <c r="R164" s="119">
        <f t="shared" si="30"/>
        <v>0</v>
      </c>
      <c r="S164" s="119">
        <f t="shared" si="30"/>
        <v>0</v>
      </c>
      <c r="T164" s="119">
        <f t="shared" si="30"/>
        <v>0</v>
      </c>
      <c r="U164" s="119">
        <f t="shared" si="30"/>
        <v>0</v>
      </c>
      <c r="V164" s="119">
        <f t="shared" si="30"/>
        <v>0</v>
      </c>
      <c r="W164" s="119">
        <f t="shared" si="30"/>
        <v>0</v>
      </c>
      <c r="X164" s="119">
        <f t="shared" si="30"/>
        <v>0</v>
      </c>
      <c r="Y164" s="119">
        <f t="shared" si="30"/>
        <v>0</v>
      </c>
      <c r="Z164" s="119">
        <f t="shared" si="30"/>
        <v>0</v>
      </c>
      <c r="AA164" s="119">
        <f t="shared" si="30"/>
        <v>0</v>
      </c>
      <c r="AB164" s="119">
        <f t="shared" si="30"/>
        <v>0</v>
      </c>
      <c r="AC164" s="119">
        <f t="shared" si="30"/>
        <v>0</v>
      </c>
      <c r="AD164" s="119">
        <f t="shared" si="30"/>
        <v>0</v>
      </c>
      <c r="AE164" s="119">
        <f t="shared" si="30"/>
        <v>0</v>
      </c>
      <c r="AF164" s="119">
        <f t="shared" si="30"/>
        <v>0</v>
      </c>
      <c r="AG164" s="119">
        <f t="shared" si="30"/>
        <v>0</v>
      </c>
      <c r="AH164" s="119">
        <f t="shared" si="30"/>
        <v>0</v>
      </c>
      <c r="AI164" s="119">
        <f t="shared" si="30"/>
        <v>0</v>
      </c>
      <c r="AJ164" s="36" t="str">
        <f t="shared" si="21"/>
        <v/>
      </c>
      <c r="AK164" s="49"/>
      <c r="AL164" s="49" t="str">
        <f t="shared" si="24"/>
        <v>00</v>
      </c>
      <c r="AM164" s="51" t="str">
        <f t="shared" si="25"/>
        <v>00</v>
      </c>
      <c r="AN164" s="51" t="str">
        <f t="shared" si="26"/>
        <v>00</v>
      </c>
      <c r="AO164" s="51" t="str">
        <f t="shared" si="27"/>
        <v>00</v>
      </c>
      <c r="AQ164" t="str">
        <f t="shared" si="22"/>
        <v/>
      </c>
    </row>
    <row r="165" spans="2:43">
      <c r="B165" s="126"/>
      <c r="C165" s="36">
        <f t="shared" si="23"/>
        <v>29</v>
      </c>
      <c r="D165" s="119">
        <f t="shared" si="30"/>
        <v>0</v>
      </c>
      <c r="E165" s="119">
        <f t="shared" si="30"/>
        <v>0</v>
      </c>
      <c r="F165" s="119">
        <f t="shared" si="30"/>
        <v>0</v>
      </c>
      <c r="G165" s="119">
        <f t="shared" si="30"/>
        <v>0</v>
      </c>
      <c r="H165" s="119">
        <f t="shared" si="30"/>
        <v>0</v>
      </c>
      <c r="I165" s="119">
        <f t="shared" si="30"/>
        <v>0</v>
      </c>
      <c r="J165" s="119">
        <f t="shared" si="30"/>
        <v>0</v>
      </c>
      <c r="K165" s="119">
        <f t="shared" si="30"/>
        <v>0</v>
      </c>
      <c r="L165" s="119">
        <f t="shared" si="30"/>
        <v>0</v>
      </c>
      <c r="M165" s="119">
        <f t="shared" si="30"/>
        <v>0</v>
      </c>
      <c r="N165" s="119">
        <f t="shared" si="30"/>
        <v>0</v>
      </c>
      <c r="O165" s="119">
        <f t="shared" si="30"/>
        <v>0</v>
      </c>
      <c r="P165" s="119">
        <f t="shared" si="30"/>
        <v>0</v>
      </c>
      <c r="Q165" s="119">
        <f t="shared" si="30"/>
        <v>0</v>
      </c>
      <c r="R165" s="119">
        <f t="shared" si="30"/>
        <v>0</v>
      </c>
      <c r="S165" s="119">
        <f t="shared" si="30"/>
        <v>0</v>
      </c>
      <c r="T165" s="119">
        <f t="shared" si="30"/>
        <v>0</v>
      </c>
      <c r="U165" s="119">
        <f t="shared" si="30"/>
        <v>0</v>
      </c>
      <c r="V165" s="119">
        <f t="shared" si="30"/>
        <v>0</v>
      </c>
      <c r="W165" s="119">
        <f t="shared" si="30"/>
        <v>0</v>
      </c>
      <c r="X165" s="119">
        <f t="shared" si="30"/>
        <v>0</v>
      </c>
      <c r="Y165" s="119">
        <f t="shared" si="30"/>
        <v>0</v>
      </c>
      <c r="Z165" s="119">
        <f t="shared" si="30"/>
        <v>0</v>
      </c>
      <c r="AA165" s="119">
        <f t="shared" si="30"/>
        <v>0</v>
      </c>
      <c r="AB165" s="119">
        <f t="shared" si="30"/>
        <v>0</v>
      </c>
      <c r="AC165" s="119">
        <f t="shared" si="30"/>
        <v>0</v>
      </c>
      <c r="AD165" s="119">
        <f t="shared" si="30"/>
        <v>0</v>
      </c>
      <c r="AE165" s="119">
        <f t="shared" si="30"/>
        <v>0</v>
      </c>
      <c r="AF165" s="119">
        <f t="shared" si="30"/>
        <v>0</v>
      </c>
      <c r="AG165" s="119">
        <f t="shared" si="30"/>
        <v>0</v>
      </c>
      <c r="AH165" s="119">
        <f t="shared" si="30"/>
        <v>0</v>
      </c>
      <c r="AI165" s="119">
        <f t="shared" si="30"/>
        <v>0</v>
      </c>
      <c r="AJ165" s="36" t="str">
        <f t="shared" si="21"/>
        <v/>
      </c>
      <c r="AK165" s="49"/>
      <c r="AL165" s="49" t="str">
        <f t="shared" si="24"/>
        <v>00</v>
      </c>
      <c r="AM165" s="51" t="str">
        <f t="shared" si="25"/>
        <v>00</v>
      </c>
      <c r="AN165" s="51" t="str">
        <f t="shared" si="26"/>
        <v>00</v>
      </c>
      <c r="AO165" s="51" t="str">
        <f t="shared" si="27"/>
        <v>00</v>
      </c>
      <c r="AQ165" t="str">
        <f t="shared" si="22"/>
        <v/>
      </c>
    </row>
    <row r="166" spans="2:43">
      <c r="B166" s="126"/>
      <c r="C166" s="36">
        <f t="shared" si="23"/>
        <v>30</v>
      </c>
      <c r="D166" s="119">
        <f t="shared" si="30"/>
        <v>0</v>
      </c>
      <c r="E166" s="119">
        <f t="shared" si="30"/>
        <v>0</v>
      </c>
      <c r="F166" s="119">
        <f t="shared" si="30"/>
        <v>0</v>
      </c>
      <c r="G166" s="119">
        <f t="shared" si="30"/>
        <v>0</v>
      </c>
      <c r="H166" s="119">
        <f t="shared" si="30"/>
        <v>0</v>
      </c>
      <c r="I166" s="119">
        <f t="shared" si="30"/>
        <v>0</v>
      </c>
      <c r="J166" s="119">
        <f t="shared" si="30"/>
        <v>0</v>
      </c>
      <c r="K166" s="119">
        <f t="shared" si="30"/>
        <v>0</v>
      </c>
      <c r="L166" s="119">
        <f t="shared" si="30"/>
        <v>0</v>
      </c>
      <c r="M166" s="119">
        <f t="shared" si="30"/>
        <v>0</v>
      </c>
      <c r="N166" s="119">
        <f t="shared" si="30"/>
        <v>0</v>
      </c>
      <c r="O166" s="119">
        <f t="shared" si="30"/>
        <v>0</v>
      </c>
      <c r="P166" s="119">
        <f t="shared" si="30"/>
        <v>0</v>
      </c>
      <c r="Q166" s="119">
        <f t="shared" si="30"/>
        <v>0</v>
      </c>
      <c r="R166" s="119">
        <f t="shared" si="30"/>
        <v>0</v>
      </c>
      <c r="S166" s="119">
        <f t="shared" si="30"/>
        <v>0</v>
      </c>
      <c r="T166" s="119">
        <f t="shared" si="30"/>
        <v>0</v>
      </c>
      <c r="U166" s="119">
        <f t="shared" si="30"/>
        <v>0</v>
      </c>
      <c r="V166" s="119">
        <f t="shared" si="30"/>
        <v>0</v>
      </c>
      <c r="W166" s="119">
        <f t="shared" si="30"/>
        <v>0</v>
      </c>
      <c r="X166" s="119">
        <f t="shared" si="30"/>
        <v>0</v>
      </c>
      <c r="Y166" s="119">
        <f t="shared" si="30"/>
        <v>0</v>
      </c>
      <c r="Z166" s="119">
        <f t="shared" si="30"/>
        <v>0</v>
      </c>
      <c r="AA166" s="119">
        <f t="shared" si="30"/>
        <v>0</v>
      </c>
      <c r="AB166" s="119">
        <f t="shared" si="30"/>
        <v>0</v>
      </c>
      <c r="AC166" s="119">
        <f t="shared" si="30"/>
        <v>0</v>
      </c>
      <c r="AD166" s="119">
        <f t="shared" si="30"/>
        <v>0</v>
      </c>
      <c r="AE166" s="119">
        <f t="shared" si="30"/>
        <v>0</v>
      </c>
      <c r="AF166" s="119">
        <f t="shared" si="30"/>
        <v>0</v>
      </c>
      <c r="AG166" s="119">
        <f t="shared" si="30"/>
        <v>0</v>
      </c>
      <c r="AH166" s="119">
        <f t="shared" si="30"/>
        <v>0</v>
      </c>
      <c r="AI166" s="119">
        <f t="shared" si="30"/>
        <v>0</v>
      </c>
      <c r="AJ166" s="36" t="str">
        <f t="shared" si="21"/>
        <v/>
      </c>
      <c r="AK166" s="49"/>
      <c r="AL166" s="49" t="str">
        <f t="shared" si="24"/>
        <v>00</v>
      </c>
      <c r="AM166" s="51" t="str">
        <f t="shared" si="25"/>
        <v>00</v>
      </c>
      <c r="AN166" s="51" t="str">
        <f t="shared" si="26"/>
        <v>00</v>
      </c>
      <c r="AO166" s="51" t="str">
        <f t="shared" si="27"/>
        <v>00</v>
      </c>
      <c r="AQ166" t="str">
        <f t="shared" si="22"/>
        <v/>
      </c>
    </row>
    <row r="167" spans="2:43">
      <c r="B167" s="126"/>
      <c r="C167" s="36">
        <f t="shared" si="23"/>
        <v>31</v>
      </c>
      <c r="D167" s="119">
        <f t="shared" si="30"/>
        <v>0</v>
      </c>
      <c r="E167" s="119">
        <f t="shared" si="30"/>
        <v>0</v>
      </c>
      <c r="F167" s="119">
        <f t="shared" si="30"/>
        <v>0</v>
      </c>
      <c r="G167" s="119">
        <f t="shared" si="30"/>
        <v>0</v>
      </c>
      <c r="H167" s="119">
        <f t="shared" si="30"/>
        <v>0</v>
      </c>
      <c r="I167" s="119">
        <f t="shared" si="30"/>
        <v>0</v>
      </c>
      <c r="J167" s="119">
        <f t="shared" si="30"/>
        <v>0</v>
      </c>
      <c r="K167" s="119">
        <f t="shared" si="30"/>
        <v>0</v>
      </c>
      <c r="L167" s="119">
        <f t="shared" si="30"/>
        <v>0</v>
      </c>
      <c r="M167" s="119">
        <f t="shared" si="30"/>
        <v>0</v>
      </c>
      <c r="N167" s="119">
        <f t="shared" si="30"/>
        <v>0</v>
      </c>
      <c r="O167" s="119">
        <f t="shared" si="30"/>
        <v>0</v>
      </c>
      <c r="P167" s="119">
        <f t="shared" si="30"/>
        <v>0</v>
      </c>
      <c r="Q167" s="119">
        <f t="shared" si="30"/>
        <v>0</v>
      </c>
      <c r="R167" s="119">
        <f t="shared" si="30"/>
        <v>0</v>
      </c>
      <c r="S167" s="119">
        <f t="shared" si="30"/>
        <v>0</v>
      </c>
      <c r="T167" s="119">
        <f t="shared" si="30"/>
        <v>0</v>
      </c>
      <c r="U167" s="119">
        <f t="shared" si="30"/>
        <v>0</v>
      </c>
      <c r="V167" s="119">
        <f t="shared" si="30"/>
        <v>0</v>
      </c>
      <c r="W167" s="119">
        <f t="shared" si="30"/>
        <v>0</v>
      </c>
      <c r="X167" s="119">
        <f t="shared" si="30"/>
        <v>0</v>
      </c>
      <c r="Y167" s="119">
        <f t="shared" si="30"/>
        <v>0</v>
      </c>
      <c r="Z167" s="119">
        <f t="shared" si="30"/>
        <v>0</v>
      </c>
      <c r="AA167" s="119">
        <f t="shared" si="30"/>
        <v>0</v>
      </c>
      <c r="AB167" s="119">
        <f t="shared" si="30"/>
        <v>0</v>
      </c>
      <c r="AC167" s="119">
        <f t="shared" si="30"/>
        <v>0</v>
      </c>
      <c r="AD167" s="119">
        <f t="shared" si="30"/>
        <v>0</v>
      </c>
      <c r="AE167" s="119">
        <f t="shared" si="30"/>
        <v>0</v>
      </c>
      <c r="AF167" s="119">
        <f t="shared" si="30"/>
        <v>0</v>
      </c>
      <c r="AG167" s="119">
        <f t="shared" si="30"/>
        <v>0</v>
      </c>
      <c r="AH167" s="119">
        <f t="shared" si="30"/>
        <v>0</v>
      </c>
      <c r="AI167" s="119">
        <f>IF(OR(AI37=0,AI37=1),1,0)</f>
        <v>0</v>
      </c>
      <c r="AJ167" s="36" t="str">
        <f t="shared" si="21"/>
        <v/>
      </c>
      <c r="AK167" s="49"/>
      <c r="AL167" s="49" t="str">
        <f t="shared" si="24"/>
        <v>00</v>
      </c>
      <c r="AM167" s="51" t="str">
        <f t="shared" si="25"/>
        <v>00</v>
      </c>
      <c r="AN167" s="51" t="str">
        <f t="shared" si="26"/>
        <v>00</v>
      </c>
      <c r="AO167" s="51" t="str">
        <f t="shared" si="27"/>
        <v>00</v>
      </c>
      <c r="AQ167" t="str">
        <f t="shared" si="22"/>
        <v/>
      </c>
    </row>
    <row r="168" spans="2:43">
      <c r="B168" s="126"/>
      <c r="C168" s="36">
        <f t="shared" si="23"/>
        <v>32</v>
      </c>
      <c r="D168" s="119">
        <f t="shared" ref="D168:AI175" si="31">IF(OR(D38=0,D38=1),1,0)</f>
        <v>0</v>
      </c>
      <c r="E168" s="119">
        <f t="shared" si="31"/>
        <v>0</v>
      </c>
      <c r="F168" s="119">
        <f t="shared" si="31"/>
        <v>0</v>
      </c>
      <c r="G168" s="119">
        <f t="shared" si="31"/>
        <v>0</v>
      </c>
      <c r="H168" s="119">
        <f t="shared" si="31"/>
        <v>0</v>
      </c>
      <c r="I168" s="119">
        <f t="shared" si="31"/>
        <v>0</v>
      </c>
      <c r="J168" s="119">
        <f t="shared" si="31"/>
        <v>0</v>
      </c>
      <c r="K168" s="119">
        <f t="shared" si="31"/>
        <v>0</v>
      </c>
      <c r="L168" s="119">
        <f t="shared" si="31"/>
        <v>0</v>
      </c>
      <c r="M168" s="119">
        <f t="shared" si="31"/>
        <v>0</v>
      </c>
      <c r="N168" s="119">
        <f t="shared" si="31"/>
        <v>0</v>
      </c>
      <c r="O168" s="119">
        <f t="shared" si="31"/>
        <v>0</v>
      </c>
      <c r="P168" s="119">
        <f t="shared" si="31"/>
        <v>0</v>
      </c>
      <c r="Q168" s="119">
        <f t="shared" si="31"/>
        <v>0</v>
      </c>
      <c r="R168" s="119">
        <f t="shared" si="31"/>
        <v>0</v>
      </c>
      <c r="S168" s="119">
        <f t="shared" si="31"/>
        <v>0</v>
      </c>
      <c r="T168" s="119">
        <f t="shared" si="31"/>
        <v>0</v>
      </c>
      <c r="U168" s="119">
        <f t="shared" si="31"/>
        <v>0</v>
      </c>
      <c r="V168" s="119">
        <f t="shared" si="31"/>
        <v>0</v>
      </c>
      <c r="W168" s="119">
        <f t="shared" si="31"/>
        <v>0</v>
      </c>
      <c r="X168" s="119">
        <f t="shared" si="31"/>
        <v>0</v>
      </c>
      <c r="Y168" s="119">
        <f t="shared" si="31"/>
        <v>0</v>
      </c>
      <c r="Z168" s="119">
        <f t="shared" si="31"/>
        <v>0</v>
      </c>
      <c r="AA168" s="119">
        <f t="shared" si="31"/>
        <v>0</v>
      </c>
      <c r="AB168" s="119">
        <f t="shared" si="31"/>
        <v>0</v>
      </c>
      <c r="AC168" s="119">
        <f t="shared" si="31"/>
        <v>0</v>
      </c>
      <c r="AD168" s="119">
        <f t="shared" si="31"/>
        <v>0</v>
      </c>
      <c r="AE168" s="119">
        <f t="shared" si="31"/>
        <v>0</v>
      </c>
      <c r="AF168" s="119">
        <f t="shared" si="31"/>
        <v>0</v>
      </c>
      <c r="AG168" s="119">
        <f t="shared" si="31"/>
        <v>0</v>
      </c>
      <c r="AH168" s="119">
        <f t="shared" si="31"/>
        <v>0</v>
      </c>
      <c r="AI168" s="119">
        <f t="shared" si="31"/>
        <v>0</v>
      </c>
      <c r="AJ168" s="36" t="str">
        <f t="shared" si="21"/>
        <v/>
      </c>
      <c r="AK168" s="49"/>
      <c r="AL168" s="49" t="str">
        <f t="shared" si="24"/>
        <v>00</v>
      </c>
      <c r="AM168" s="51" t="str">
        <f t="shared" si="25"/>
        <v>00</v>
      </c>
      <c r="AN168" s="51" t="str">
        <f t="shared" si="26"/>
        <v>00</v>
      </c>
      <c r="AO168" s="51" t="str">
        <f t="shared" si="27"/>
        <v>00</v>
      </c>
      <c r="AQ168" t="str">
        <f t="shared" si="22"/>
        <v/>
      </c>
    </row>
    <row r="169" spans="2:43">
      <c r="B169" s="126"/>
      <c r="C169" s="36">
        <f t="shared" si="23"/>
        <v>33</v>
      </c>
      <c r="D169" s="119">
        <f t="shared" si="31"/>
        <v>0</v>
      </c>
      <c r="E169" s="119">
        <f t="shared" si="31"/>
        <v>0</v>
      </c>
      <c r="F169" s="119">
        <f t="shared" si="31"/>
        <v>0</v>
      </c>
      <c r="G169" s="119">
        <f t="shared" si="31"/>
        <v>0</v>
      </c>
      <c r="H169" s="119">
        <f t="shared" si="31"/>
        <v>0</v>
      </c>
      <c r="I169" s="119">
        <f t="shared" si="31"/>
        <v>0</v>
      </c>
      <c r="J169" s="119">
        <f t="shared" si="31"/>
        <v>0</v>
      </c>
      <c r="K169" s="119">
        <f t="shared" si="31"/>
        <v>0</v>
      </c>
      <c r="L169" s="119">
        <f t="shared" si="31"/>
        <v>0</v>
      </c>
      <c r="M169" s="119">
        <f t="shared" si="31"/>
        <v>0</v>
      </c>
      <c r="N169" s="119">
        <f t="shared" si="31"/>
        <v>0</v>
      </c>
      <c r="O169" s="119">
        <f t="shared" si="31"/>
        <v>0</v>
      </c>
      <c r="P169" s="119">
        <f t="shared" si="31"/>
        <v>0</v>
      </c>
      <c r="Q169" s="119">
        <f t="shared" si="31"/>
        <v>0</v>
      </c>
      <c r="R169" s="119">
        <f t="shared" si="31"/>
        <v>0</v>
      </c>
      <c r="S169" s="119">
        <f t="shared" si="31"/>
        <v>0</v>
      </c>
      <c r="T169" s="119">
        <f t="shared" si="31"/>
        <v>0</v>
      </c>
      <c r="U169" s="119">
        <f t="shared" si="31"/>
        <v>0</v>
      </c>
      <c r="V169" s="119">
        <f t="shared" si="31"/>
        <v>0</v>
      </c>
      <c r="W169" s="119">
        <f t="shared" si="31"/>
        <v>0</v>
      </c>
      <c r="X169" s="119">
        <f t="shared" si="31"/>
        <v>0</v>
      </c>
      <c r="Y169" s="119">
        <f t="shared" si="31"/>
        <v>0</v>
      </c>
      <c r="Z169" s="119">
        <f t="shared" si="31"/>
        <v>0</v>
      </c>
      <c r="AA169" s="119">
        <f t="shared" si="31"/>
        <v>0</v>
      </c>
      <c r="AB169" s="119">
        <f t="shared" si="31"/>
        <v>0</v>
      </c>
      <c r="AC169" s="119">
        <f t="shared" si="31"/>
        <v>0</v>
      </c>
      <c r="AD169" s="119">
        <f t="shared" si="31"/>
        <v>0</v>
      </c>
      <c r="AE169" s="119">
        <f t="shared" si="31"/>
        <v>0</v>
      </c>
      <c r="AF169" s="119">
        <f t="shared" si="31"/>
        <v>0</v>
      </c>
      <c r="AG169" s="119">
        <f t="shared" si="31"/>
        <v>0</v>
      </c>
      <c r="AH169" s="119">
        <f t="shared" si="31"/>
        <v>0</v>
      </c>
      <c r="AI169" s="119">
        <f t="shared" si="31"/>
        <v>0</v>
      </c>
      <c r="AJ169" s="36" t="str">
        <f t="shared" si="21"/>
        <v/>
      </c>
      <c r="AK169" s="49"/>
      <c r="AL169" s="49" t="str">
        <f t="shared" si="24"/>
        <v>00</v>
      </c>
      <c r="AM169" s="51" t="str">
        <f t="shared" si="25"/>
        <v>00</v>
      </c>
      <c r="AN169" s="51" t="str">
        <f t="shared" si="26"/>
        <v>00</v>
      </c>
      <c r="AO169" s="51" t="str">
        <f t="shared" si="27"/>
        <v>00</v>
      </c>
      <c r="AQ169" t="str">
        <f t="shared" si="22"/>
        <v/>
      </c>
    </row>
    <row r="170" spans="2:43">
      <c r="B170" s="126"/>
      <c r="C170" s="36">
        <f t="shared" si="23"/>
        <v>34</v>
      </c>
      <c r="D170" s="119">
        <f t="shared" si="31"/>
        <v>0</v>
      </c>
      <c r="E170" s="119">
        <f t="shared" si="31"/>
        <v>0</v>
      </c>
      <c r="F170" s="119">
        <f t="shared" si="31"/>
        <v>0</v>
      </c>
      <c r="G170" s="119">
        <f t="shared" si="31"/>
        <v>0</v>
      </c>
      <c r="H170" s="119">
        <f t="shared" si="31"/>
        <v>0</v>
      </c>
      <c r="I170" s="119">
        <f t="shared" si="31"/>
        <v>0</v>
      </c>
      <c r="J170" s="119">
        <f t="shared" si="31"/>
        <v>0</v>
      </c>
      <c r="K170" s="119">
        <f t="shared" si="31"/>
        <v>0</v>
      </c>
      <c r="L170" s="119">
        <f t="shared" si="31"/>
        <v>0</v>
      </c>
      <c r="M170" s="119">
        <f t="shared" si="31"/>
        <v>0</v>
      </c>
      <c r="N170" s="119">
        <f t="shared" si="31"/>
        <v>0</v>
      </c>
      <c r="O170" s="119">
        <f t="shared" si="31"/>
        <v>0</v>
      </c>
      <c r="P170" s="119">
        <f t="shared" si="31"/>
        <v>0</v>
      </c>
      <c r="Q170" s="119">
        <f t="shared" si="31"/>
        <v>0</v>
      </c>
      <c r="R170" s="119">
        <f t="shared" si="31"/>
        <v>0</v>
      </c>
      <c r="S170" s="119">
        <f t="shared" si="31"/>
        <v>0</v>
      </c>
      <c r="T170" s="119">
        <f t="shared" si="31"/>
        <v>0</v>
      </c>
      <c r="U170" s="119">
        <f t="shared" si="31"/>
        <v>0</v>
      </c>
      <c r="V170" s="119">
        <f t="shared" si="31"/>
        <v>0</v>
      </c>
      <c r="W170" s="119">
        <f t="shared" si="31"/>
        <v>0</v>
      </c>
      <c r="X170" s="119">
        <f t="shared" si="31"/>
        <v>0</v>
      </c>
      <c r="Y170" s="119">
        <f t="shared" si="31"/>
        <v>0</v>
      </c>
      <c r="Z170" s="119">
        <f t="shared" si="31"/>
        <v>0</v>
      </c>
      <c r="AA170" s="119">
        <f t="shared" si="31"/>
        <v>0</v>
      </c>
      <c r="AB170" s="119">
        <f t="shared" si="31"/>
        <v>0</v>
      </c>
      <c r="AC170" s="119">
        <f t="shared" si="31"/>
        <v>0</v>
      </c>
      <c r="AD170" s="119">
        <f t="shared" si="31"/>
        <v>0</v>
      </c>
      <c r="AE170" s="119">
        <f t="shared" si="31"/>
        <v>0</v>
      </c>
      <c r="AF170" s="119">
        <f t="shared" si="31"/>
        <v>0</v>
      </c>
      <c r="AG170" s="119">
        <f t="shared" si="31"/>
        <v>0</v>
      </c>
      <c r="AH170" s="119">
        <f t="shared" si="31"/>
        <v>0</v>
      </c>
      <c r="AI170" s="119">
        <f t="shared" si="31"/>
        <v>0</v>
      </c>
      <c r="AJ170" s="36" t="str">
        <f t="shared" si="21"/>
        <v/>
      </c>
      <c r="AK170" s="49"/>
      <c r="AL170" s="49" t="str">
        <f t="shared" si="24"/>
        <v>00</v>
      </c>
      <c r="AM170" s="51" t="str">
        <f t="shared" si="25"/>
        <v>00</v>
      </c>
      <c r="AN170" s="51" t="str">
        <f t="shared" si="26"/>
        <v>00</v>
      </c>
      <c r="AO170" s="51" t="str">
        <f t="shared" si="27"/>
        <v>00</v>
      </c>
      <c r="AQ170" t="str">
        <f t="shared" si="22"/>
        <v/>
      </c>
    </row>
    <row r="171" spans="2:43">
      <c r="B171" s="126"/>
      <c r="C171" s="36">
        <f t="shared" si="23"/>
        <v>35</v>
      </c>
      <c r="D171" s="119">
        <f t="shared" si="31"/>
        <v>0</v>
      </c>
      <c r="E171" s="119">
        <f t="shared" si="31"/>
        <v>0</v>
      </c>
      <c r="F171" s="119">
        <f t="shared" si="31"/>
        <v>0</v>
      </c>
      <c r="G171" s="119">
        <f t="shared" si="31"/>
        <v>0</v>
      </c>
      <c r="H171" s="119">
        <f t="shared" si="31"/>
        <v>0</v>
      </c>
      <c r="I171" s="119">
        <f t="shared" si="31"/>
        <v>0</v>
      </c>
      <c r="J171" s="119">
        <f t="shared" si="31"/>
        <v>0</v>
      </c>
      <c r="K171" s="119">
        <f t="shared" si="31"/>
        <v>0</v>
      </c>
      <c r="L171" s="119">
        <f t="shared" si="31"/>
        <v>0</v>
      </c>
      <c r="M171" s="119">
        <f t="shared" si="31"/>
        <v>0</v>
      </c>
      <c r="N171" s="119">
        <f t="shared" si="31"/>
        <v>0</v>
      </c>
      <c r="O171" s="119">
        <f t="shared" si="31"/>
        <v>0</v>
      </c>
      <c r="P171" s="119">
        <f t="shared" si="31"/>
        <v>0</v>
      </c>
      <c r="Q171" s="119">
        <f t="shared" si="31"/>
        <v>0</v>
      </c>
      <c r="R171" s="119">
        <f t="shared" si="31"/>
        <v>0</v>
      </c>
      <c r="S171" s="119">
        <f t="shared" si="31"/>
        <v>0</v>
      </c>
      <c r="T171" s="119">
        <f t="shared" si="31"/>
        <v>0</v>
      </c>
      <c r="U171" s="119">
        <f t="shared" si="31"/>
        <v>0</v>
      </c>
      <c r="V171" s="119">
        <f t="shared" si="31"/>
        <v>0</v>
      </c>
      <c r="W171" s="119">
        <f t="shared" si="31"/>
        <v>0</v>
      </c>
      <c r="X171" s="119">
        <f t="shared" si="31"/>
        <v>0</v>
      </c>
      <c r="Y171" s="119">
        <f t="shared" si="31"/>
        <v>0</v>
      </c>
      <c r="Z171" s="119">
        <f t="shared" si="31"/>
        <v>0</v>
      </c>
      <c r="AA171" s="119">
        <f t="shared" si="31"/>
        <v>0</v>
      </c>
      <c r="AB171" s="119">
        <f t="shared" si="31"/>
        <v>0</v>
      </c>
      <c r="AC171" s="119">
        <f t="shared" si="31"/>
        <v>0</v>
      </c>
      <c r="AD171" s="119">
        <f t="shared" si="31"/>
        <v>0</v>
      </c>
      <c r="AE171" s="119">
        <f t="shared" si="31"/>
        <v>0</v>
      </c>
      <c r="AF171" s="119">
        <f t="shared" si="31"/>
        <v>0</v>
      </c>
      <c r="AG171" s="119">
        <f t="shared" si="31"/>
        <v>0</v>
      </c>
      <c r="AH171" s="119">
        <f t="shared" si="31"/>
        <v>0</v>
      </c>
      <c r="AI171" s="119">
        <f t="shared" si="31"/>
        <v>0</v>
      </c>
      <c r="AJ171" s="36" t="str">
        <f t="shared" si="21"/>
        <v/>
      </c>
      <c r="AK171" s="49"/>
      <c r="AL171" s="49" t="str">
        <f t="shared" si="24"/>
        <v>00</v>
      </c>
      <c r="AM171" s="51" t="str">
        <f t="shared" si="25"/>
        <v>00</v>
      </c>
      <c r="AN171" s="51" t="str">
        <f t="shared" si="26"/>
        <v>00</v>
      </c>
      <c r="AO171" s="51" t="str">
        <f t="shared" si="27"/>
        <v>00</v>
      </c>
      <c r="AQ171" t="str">
        <f t="shared" si="22"/>
        <v/>
      </c>
    </row>
    <row r="172" spans="2:43">
      <c r="B172" s="126"/>
      <c r="C172" s="36">
        <f t="shared" si="23"/>
        <v>36</v>
      </c>
      <c r="D172" s="119">
        <f t="shared" si="31"/>
        <v>0</v>
      </c>
      <c r="E172" s="119">
        <f t="shared" si="31"/>
        <v>0</v>
      </c>
      <c r="F172" s="119">
        <f t="shared" si="31"/>
        <v>0</v>
      </c>
      <c r="G172" s="119">
        <f t="shared" si="31"/>
        <v>0</v>
      </c>
      <c r="H172" s="119">
        <f t="shared" si="31"/>
        <v>0</v>
      </c>
      <c r="I172" s="119">
        <f t="shared" si="31"/>
        <v>0</v>
      </c>
      <c r="J172" s="119">
        <f t="shared" si="31"/>
        <v>0</v>
      </c>
      <c r="K172" s="119">
        <f t="shared" si="31"/>
        <v>0</v>
      </c>
      <c r="L172" s="119">
        <f t="shared" si="31"/>
        <v>0</v>
      </c>
      <c r="M172" s="119">
        <f t="shared" si="31"/>
        <v>0</v>
      </c>
      <c r="N172" s="119">
        <f t="shared" si="31"/>
        <v>0</v>
      </c>
      <c r="O172" s="119">
        <f t="shared" si="31"/>
        <v>0</v>
      </c>
      <c r="P172" s="119">
        <f t="shared" si="31"/>
        <v>0</v>
      </c>
      <c r="Q172" s="119">
        <f t="shared" si="31"/>
        <v>0</v>
      </c>
      <c r="R172" s="119">
        <f t="shared" si="31"/>
        <v>0</v>
      </c>
      <c r="S172" s="119">
        <f t="shared" si="31"/>
        <v>0</v>
      </c>
      <c r="T172" s="119">
        <f t="shared" si="31"/>
        <v>0</v>
      </c>
      <c r="U172" s="119">
        <f t="shared" si="31"/>
        <v>0</v>
      </c>
      <c r="V172" s="119">
        <f t="shared" si="31"/>
        <v>0</v>
      </c>
      <c r="W172" s="119">
        <f t="shared" si="31"/>
        <v>0</v>
      </c>
      <c r="X172" s="119">
        <f t="shared" si="31"/>
        <v>0</v>
      </c>
      <c r="Y172" s="119">
        <f t="shared" si="31"/>
        <v>0</v>
      </c>
      <c r="Z172" s="119">
        <f t="shared" si="31"/>
        <v>0</v>
      </c>
      <c r="AA172" s="119">
        <f t="shared" si="31"/>
        <v>0</v>
      </c>
      <c r="AB172" s="119">
        <f t="shared" si="31"/>
        <v>0</v>
      </c>
      <c r="AC172" s="119">
        <f t="shared" si="31"/>
        <v>0</v>
      </c>
      <c r="AD172" s="119">
        <f t="shared" si="31"/>
        <v>0</v>
      </c>
      <c r="AE172" s="119">
        <f t="shared" si="31"/>
        <v>0</v>
      </c>
      <c r="AF172" s="119">
        <f t="shared" si="31"/>
        <v>0</v>
      </c>
      <c r="AG172" s="119">
        <f t="shared" si="31"/>
        <v>0</v>
      </c>
      <c r="AH172" s="119">
        <f t="shared" si="31"/>
        <v>0</v>
      </c>
      <c r="AI172" s="119">
        <f t="shared" si="31"/>
        <v>0</v>
      </c>
      <c r="AJ172" s="36" t="str">
        <f t="shared" si="21"/>
        <v/>
      </c>
      <c r="AK172" s="49"/>
      <c r="AL172" s="49" t="str">
        <f t="shared" si="24"/>
        <v>00</v>
      </c>
      <c r="AM172" s="51" t="str">
        <f t="shared" si="25"/>
        <v>00</v>
      </c>
      <c r="AN172" s="51" t="str">
        <f t="shared" si="26"/>
        <v>00</v>
      </c>
      <c r="AO172" s="51" t="str">
        <f t="shared" si="27"/>
        <v>00</v>
      </c>
      <c r="AQ172" t="str">
        <f t="shared" si="22"/>
        <v/>
      </c>
    </row>
    <row r="173" spans="2:43">
      <c r="B173" s="126"/>
      <c r="C173" s="36">
        <f t="shared" si="23"/>
        <v>37</v>
      </c>
      <c r="D173" s="119">
        <f t="shared" si="31"/>
        <v>0</v>
      </c>
      <c r="E173" s="119">
        <f t="shared" si="31"/>
        <v>0</v>
      </c>
      <c r="F173" s="119">
        <f t="shared" si="31"/>
        <v>0</v>
      </c>
      <c r="G173" s="119">
        <f t="shared" si="31"/>
        <v>0</v>
      </c>
      <c r="H173" s="119">
        <f t="shared" si="31"/>
        <v>0</v>
      </c>
      <c r="I173" s="119">
        <f t="shared" si="31"/>
        <v>0</v>
      </c>
      <c r="J173" s="119">
        <f t="shared" si="31"/>
        <v>0</v>
      </c>
      <c r="K173" s="119">
        <f t="shared" si="31"/>
        <v>0</v>
      </c>
      <c r="L173" s="119">
        <f t="shared" si="31"/>
        <v>0</v>
      </c>
      <c r="M173" s="119">
        <f t="shared" si="31"/>
        <v>0</v>
      </c>
      <c r="N173" s="119">
        <f t="shared" si="31"/>
        <v>0</v>
      </c>
      <c r="O173" s="119">
        <f t="shared" si="31"/>
        <v>0</v>
      </c>
      <c r="P173" s="119">
        <f t="shared" si="31"/>
        <v>0</v>
      </c>
      <c r="Q173" s="119">
        <f t="shared" si="31"/>
        <v>0</v>
      </c>
      <c r="R173" s="119">
        <f t="shared" si="31"/>
        <v>0</v>
      </c>
      <c r="S173" s="119">
        <f t="shared" si="31"/>
        <v>0</v>
      </c>
      <c r="T173" s="119">
        <f t="shared" si="31"/>
        <v>0</v>
      </c>
      <c r="U173" s="119">
        <f t="shared" si="31"/>
        <v>0</v>
      </c>
      <c r="V173" s="119">
        <f t="shared" si="31"/>
        <v>0</v>
      </c>
      <c r="W173" s="119">
        <f t="shared" si="31"/>
        <v>0</v>
      </c>
      <c r="X173" s="119">
        <f t="shared" si="31"/>
        <v>0</v>
      </c>
      <c r="Y173" s="119">
        <f t="shared" si="31"/>
        <v>0</v>
      </c>
      <c r="Z173" s="119">
        <f t="shared" si="31"/>
        <v>0</v>
      </c>
      <c r="AA173" s="119">
        <f t="shared" si="31"/>
        <v>0</v>
      </c>
      <c r="AB173" s="119">
        <f t="shared" si="31"/>
        <v>0</v>
      </c>
      <c r="AC173" s="119">
        <f t="shared" si="31"/>
        <v>0</v>
      </c>
      <c r="AD173" s="119">
        <f t="shared" si="31"/>
        <v>0</v>
      </c>
      <c r="AE173" s="119">
        <f t="shared" si="31"/>
        <v>0</v>
      </c>
      <c r="AF173" s="119">
        <f t="shared" si="31"/>
        <v>0</v>
      </c>
      <c r="AG173" s="119">
        <f t="shared" si="31"/>
        <v>0</v>
      </c>
      <c r="AH173" s="119">
        <f t="shared" si="31"/>
        <v>0</v>
      </c>
      <c r="AI173" s="119">
        <f t="shared" si="31"/>
        <v>0</v>
      </c>
      <c r="AJ173" s="36" t="str">
        <f t="shared" si="21"/>
        <v/>
      </c>
      <c r="AK173" s="49"/>
      <c r="AL173" s="49" t="str">
        <f t="shared" si="24"/>
        <v>00</v>
      </c>
      <c r="AM173" s="51" t="str">
        <f t="shared" si="25"/>
        <v>00</v>
      </c>
      <c r="AN173" s="51" t="str">
        <f t="shared" si="26"/>
        <v>00</v>
      </c>
      <c r="AO173" s="51" t="str">
        <f t="shared" si="27"/>
        <v>00</v>
      </c>
      <c r="AQ173" t="str">
        <f t="shared" si="22"/>
        <v/>
      </c>
    </row>
    <row r="174" spans="2:43">
      <c r="B174" s="126"/>
      <c r="C174" s="36">
        <f t="shared" si="23"/>
        <v>38</v>
      </c>
      <c r="D174" s="119">
        <f t="shared" si="31"/>
        <v>0</v>
      </c>
      <c r="E174" s="119">
        <f t="shared" si="31"/>
        <v>0</v>
      </c>
      <c r="F174" s="119">
        <f t="shared" si="31"/>
        <v>0</v>
      </c>
      <c r="G174" s="119">
        <f t="shared" si="31"/>
        <v>0</v>
      </c>
      <c r="H174" s="119">
        <f t="shared" si="31"/>
        <v>0</v>
      </c>
      <c r="I174" s="119">
        <f t="shared" si="31"/>
        <v>0</v>
      </c>
      <c r="J174" s="119">
        <f t="shared" si="31"/>
        <v>0</v>
      </c>
      <c r="K174" s="119">
        <f t="shared" si="31"/>
        <v>0</v>
      </c>
      <c r="L174" s="119">
        <f t="shared" si="31"/>
        <v>0</v>
      </c>
      <c r="M174" s="119">
        <f t="shared" si="31"/>
        <v>0</v>
      </c>
      <c r="N174" s="119">
        <f t="shared" si="31"/>
        <v>0</v>
      </c>
      <c r="O174" s="119">
        <f t="shared" si="31"/>
        <v>0</v>
      </c>
      <c r="P174" s="119">
        <f t="shared" si="31"/>
        <v>0</v>
      </c>
      <c r="Q174" s="119">
        <f t="shared" si="31"/>
        <v>0</v>
      </c>
      <c r="R174" s="119">
        <f t="shared" si="31"/>
        <v>0</v>
      </c>
      <c r="S174" s="119">
        <f t="shared" si="31"/>
        <v>0</v>
      </c>
      <c r="T174" s="119">
        <f t="shared" si="31"/>
        <v>0</v>
      </c>
      <c r="U174" s="119">
        <f t="shared" si="31"/>
        <v>0</v>
      </c>
      <c r="V174" s="119">
        <f t="shared" si="31"/>
        <v>0</v>
      </c>
      <c r="W174" s="119">
        <f t="shared" si="31"/>
        <v>0</v>
      </c>
      <c r="X174" s="119">
        <f t="shared" si="31"/>
        <v>0</v>
      </c>
      <c r="Y174" s="119">
        <f t="shared" si="31"/>
        <v>0</v>
      </c>
      <c r="Z174" s="119">
        <f t="shared" si="31"/>
        <v>0</v>
      </c>
      <c r="AA174" s="119">
        <f t="shared" si="31"/>
        <v>0</v>
      </c>
      <c r="AB174" s="119">
        <f t="shared" si="31"/>
        <v>0</v>
      </c>
      <c r="AC174" s="119">
        <f t="shared" si="31"/>
        <v>0</v>
      </c>
      <c r="AD174" s="119">
        <f t="shared" si="31"/>
        <v>0</v>
      </c>
      <c r="AE174" s="119">
        <f t="shared" si="31"/>
        <v>0</v>
      </c>
      <c r="AF174" s="119">
        <f t="shared" si="31"/>
        <v>0</v>
      </c>
      <c r="AG174" s="119">
        <f t="shared" si="31"/>
        <v>0</v>
      </c>
      <c r="AH174" s="119">
        <f t="shared" si="31"/>
        <v>0</v>
      </c>
      <c r="AI174" s="119">
        <f t="shared" si="31"/>
        <v>0</v>
      </c>
      <c r="AJ174" s="36" t="str">
        <f t="shared" si="21"/>
        <v/>
      </c>
      <c r="AK174" s="49"/>
      <c r="AL174" s="49" t="str">
        <f t="shared" si="24"/>
        <v>00</v>
      </c>
      <c r="AM174" s="51" t="str">
        <f t="shared" si="25"/>
        <v>00</v>
      </c>
      <c r="AN174" s="51" t="str">
        <f t="shared" si="26"/>
        <v>00</v>
      </c>
      <c r="AO174" s="51" t="str">
        <f t="shared" si="27"/>
        <v>00</v>
      </c>
      <c r="AQ174" t="str">
        <f t="shared" si="22"/>
        <v/>
      </c>
    </row>
    <row r="175" spans="2:43">
      <c r="B175" s="126"/>
      <c r="C175" s="36">
        <f t="shared" si="23"/>
        <v>39</v>
      </c>
      <c r="D175" s="119">
        <f t="shared" si="31"/>
        <v>0</v>
      </c>
      <c r="E175" s="119">
        <f t="shared" si="31"/>
        <v>0</v>
      </c>
      <c r="F175" s="119">
        <f t="shared" si="31"/>
        <v>0</v>
      </c>
      <c r="G175" s="119">
        <f t="shared" si="31"/>
        <v>0</v>
      </c>
      <c r="H175" s="119">
        <f t="shared" si="31"/>
        <v>0</v>
      </c>
      <c r="I175" s="119">
        <f t="shared" si="31"/>
        <v>0</v>
      </c>
      <c r="J175" s="119">
        <f t="shared" si="31"/>
        <v>0</v>
      </c>
      <c r="K175" s="119">
        <f t="shared" si="31"/>
        <v>0</v>
      </c>
      <c r="L175" s="119">
        <f t="shared" si="31"/>
        <v>0</v>
      </c>
      <c r="M175" s="119">
        <f t="shared" si="31"/>
        <v>0</v>
      </c>
      <c r="N175" s="119">
        <f t="shared" si="31"/>
        <v>0</v>
      </c>
      <c r="O175" s="119">
        <f t="shared" si="31"/>
        <v>0</v>
      </c>
      <c r="P175" s="119">
        <f t="shared" si="31"/>
        <v>0</v>
      </c>
      <c r="Q175" s="119">
        <f t="shared" si="31"/>
        <v>0</v>
      </c>
      <c r="R175" s="119">
        <f t="shared" si="31"/>
        <v>0</v>
      </c>
      <c r="S175" s="119">
        <f t="shared" si="31"/>
        <v>0</v>
      </c>
      <c r="T175" s="119">
        <f t="shared" si="31"/>
        <v>0</v>
      </c>
      <c r="U175" s="119">
        <f t="shared" si="31"/>
        <v>0</v>
      </c>
      <c r="V175" s="119">
        <f t="shared" si="31"/>
        <v>0</v>
      </c>
      <c r="W175" s="119">
        <f t="shared" si="31"/>
        <v>0</v>
      </c>
      <c r="X175" s="119">
        <f t="shared" si="31"/>
        <v>0</v>
      </c>
      <c r="Y175" s="119">
        <f t="shared" si="31"/>
        <v>0</v>
      </c>
      <c r="Z175" s="119">
        <f t="shared" si="31"/>
        <v>0</v>
      </c>
      <c r="AA175" s="119">
        <f t="shared" si="31"/>
        <v>0</v>
      </c>
      <c r="AB175" s="119">
        <f t="shared" si="31"/>
        <v>0</v>
      </c>
      <c r="AC175" s="119">
        <f t="shared" si="31"/>
        <v>0</v>
      </c>
      <c r="AD175" s="119">
        <f t="shared" si="31"/>
        <v>0</v>
      </c>
      <c r="AE175" s="119">
        <f t="shared" si="31"/>
        <v>0</v>
      </c>
      <c r="AF175" s="119">
        <f t="shared" si="31"/>
        <v>0</v>
      </c>
      <c r="AG175" s="119">
        <f t="shared" si="31"/>
        <v>0</v>
      </c>
      <c r="AH175" s="119">
        <f t="shared" si="31"/>
        <v>0</v>
      </c>
      <c r="AI175" s="119">
        <f>IF(OR(AI45=0,AI45=1),1,0)</f>
        <v>0</v>
      </c>
      <c r="AJ175" s="36" t="str">
        <f t="shared" si="21"/>
        <v/>
      </c>
      <c r="AK175" s="49"/>
      <c r="AL175" s="49" t="str">
        <f t="shared" si="24"/>
        <v>00</v>
      </c>
      <c r="AM175" s="51" t="str">
        <f t="shared" si="25"/>
        <v>00</v>
      </c>
      <c r="AN175" s="51" t="str">
        <f t="shared" si="26"/>
        <v>00</v>
      </c>
      <c r="AO175" s="51" t="str">
        <f t="shared" si="27"/>
        <v>00</v>
      </c>
      <c r="AQ175" t="str">
        <f t="shared" si="22"/>
        <v/>
      </c>
    </row>
    <row r="176" spans="2:43">
      <c r="B176" s="126"/>
      <c r="C176" s="36">
        <f t="shared" si="23"/>
        <v>40</v>
      </c>
      <c r="D176" s="119">
        <f t="shared" ref="D176:AI183" si="32">IF(OR(D46=0,D46=1),1,0)</f>
        <v>0</v>
      </c>
      <c r="E176" s="119">
        <f t="shared" si="32"/>
        <v>0</v>
      </c>
      <c r="F176" s="119">
        <f t="shared" si="32"/>
        <v>0</v>
      </c>
      <c r="G176" s="119">
        <f t="shared" si="32"/>
        <v>0</v>
      </c>
      <c r="H176" s="119">
        <f t="shared" si="32"/>
        <v>0</v>
      </c>
      <c r="I176" s="119">
        <f t="shared" si="32"/>
        <v>0</v>
      </c>
      <c r="J176" s="119">
        <f t="shared" si="32"/>
        <v>0</v>
      </c>
      <c r="K176" s="119">
        <f t="shared" si="32"/>
        <v>0</v>
      </c>
      <c r="L176" s="119">
        <f t="shared" si="32"/>
        <v>0</v>
      </c>
      <c r="M176" s="119">
        <f t="shared" si="32"/>
        <v>0</v>
      </c>
      <c r="N176" s="119">
        <f t="shared" si="32"/>
        <v>0</v>
      </c>
      <c r="O176" s="119">
        <f t="shared" si="32"/>
        <v>0</v>
      </c>
      <c r="P176" s="119">
        <f t="shared" si="32"/>
        <v>0</v>
      </c>
      <c r="Q176" s="119">
        <f t="shared" si="32"/>
        <v>0</v>
      </c>
      <c r="R176" s="119">
        <f t="shared" si="32"/>
        <v>0</v>
      </c>
      <c r="S176" s="119">
        <f t="shared" si="32"/>
        <v>0</v>
      </c>
      <c r="T176" s="119">
        <f t="shared" si="32"/>
        <v>0</v>
      </c>
      <c r="U176" s="119">
        <f t="shared" si="32"/>
        <v>0</v>
      </c>
      <c r="V176" s="119">
        <f t="shared" si="32"/>
        <v>0</v>
      </c>
      <c r="W176" s="119">
        <f t="shared" si="32"/>
        <v>0</v>
      </c>
      <c r="X176" s="119">
        <f t="shared" si="32"/>
        <v>0</v>
      </c>
      <c r="Y176" s="119">
        <f t="shared" si="32"/>
        <v>0</v>
      </c>
      <c r="Z176" s="119">
        <f t="shared" si="32"/>
        <v>0</v>
      </c>
      <c r="AA176" s="119">
        <f t="shared" si="32"/>
        <v>0</v>
      </c>
      <c r="AB176" s="119">
        <f t="shared" si="32"/>
        <v>0</v>
      </c>
      <c r="AC176" s="119">
        <f t="shared" si="32"/>
        <v>0</v>
      </c>
      <c r="AD176" s="119">
        <f t="shared" si="32"/>
        <v>0</v>
      </c>
      <c r="AE176" s="119">
        <f t="shared" si="32"/>
        <v>0</v>
      </c>
      <c r="AF176" s="119">
        <f t="shared" si="32"/>
        <v>0</v>
      </c>
      <c r="AG176" s="119">
        <f t="shared" si="32"/>
        <v>0</v>
      </c>
      <c r="AH176" s="119">
        <f t="shared" si="32"/>
        <v>0</v>
      </c>
      <c r="AI176" s="119">
        <f t="shared" si="32"/>
        <v>0</v>
      </c>
      <c r="AJ176" s="36" t="str">
        <f t="shared" si="21"/>
        <v/>
      </c>
      <c r="AK176" s="49"/>
      <c r="AL176" s="49" t="str">
        <f t="shared" si="24"/>
        <v>00</v>
      </c>
      <c r="AM176" s="51" t="str">
        <f t="shared" si="25"/>
        <v>00</v>
      </c>
      <c r="AN176" s="51" t="str">
        <f t="shared" si="26"/>
        <v>00</v>
      </c>
      <c r="AO176" s="51" t="str">
        <f t="shared" si="27"/>
        <v>00</v>
      </c>
      <c r="AQ176" t="str">
        <f t="shared" si="22"/>
        <v/>
      </c>
    </row>
    <row r="177" spans="2:43">
      <c r="B177" s="126"/>
      <c r="C177" s="36">
        <f t="shared" si="23"/>
        <v>41</v>
      </c>
      <c r="D177" s="119">
        <f t="shared" si="32"/>
        <v>0</v>
      </c>
      <c r="E177" s="119">
        <f t="shared" si="32"/>
        <v>0</v>
      </c>
      <c r="F177" s="119">
        <f t="shared" si="32"/>
        <v>0</v>
      </c>
      <c r="G177" s="119">
        <f t="shared" si="32"/>
        <v>0</v>
      </c>
      <c r="H177" s="119">
        <f t="shared" si="32"/>
        <v>0</v>
      </c>
      <c r="I177" s="119">
        <f t="shared" si="32"/>
        <v>0</v>
      </c>
      <c r="J177" s="119">
        <f t="shared" si="32"/>
        <v>0</v>
      </c>
      <c r="K177" s="119">
        <f t="shared" si="32"/>
        <v>0</v>
      </c>
      <c r="L177" s="119">
        <f t="shared" si="32"/>
        <v>0</v>
      </c>
      <c r="M177" s="119">
        <f t="shared" si="32"/>
        <v>0</v>
      </c>
      <c r="N177" s="119">
        <f t="shared" si="32"/>
        <v>0</v>
      </c>
      <c r="O177" s="119">
        <f t="shared" si="32"/>
        <v>0</v>
      </c>
      <c r="P177" s="119">
        <f t="shared" si="32"/>
        <v>0</v>
      </c>
      <c r="Q177" s="119">
        <f t="shared" si="32"/>
        <v>0</v>
      </c>
      <c r="R177" s="119">
        <f t="shared" si="32"/>
        <v>0</v>
      </c>
      <c r="S177" s="119">
        <f t="shared" si="32"/>
        <v>0</v>
      </c>
      <c r="T177" s="119">
        <f t="shared" si="32"/>
        <v>0</v>
      </c>
      <c r="U177" s="119">
        <f t="shared" si="32"/>
        <v>0</v>
      </c>
      <c r="V177" s="119">
        <f t="shared" si="32"/>
        <v>0</v>
      </c>
      <c r="W177" s="119">
        <f t="shared" si="32"/>
        <v>0</v>
      </c>
      <c r="X177" s="119">
        <f t="shared" si="32"/>
        <v>0</v>
      </c>
      <c r="Y177" s="119">
        <f t="shared" si="32"/>
        <v>0</v>
      </c>
      <c r="Z177" s="119">
        <f t="shared" si="32"/>
        <v>0</v>
      </c>
      <c r="AA177" s="119">
        <f t="shared" si="32"/>
        <v>0</v>
      </c>
      <c r="AB177" s="119">
        <f t="shared" si="32"/>
        <v>0</v>
      </c>
      <c r="AC177" s="119">
        <f t="shared" si="32"/>
        <v>0</v>
      </c>
      <c r="AD177" s="119">
        <f t="shared" si="32"/>
        <v>0</v>
      </c>
      <c r="AE177" s="119">
        <f t="shared" si="32"/>
        <v>0</v>
      </c>
      <c r="AF177" s="119">
        <f t="shared" si="32"/>
        <v>0</v>
      </c>
      <c r="AG177" s="119">
        <f t="shared" si="32"/>
        <v>0</v>
      </c>
      <c r="AH177" s="119">
        <f t="shared" si="32"/>
        <v>0</v>
      </c>
      <c r="AI177" s="119">
        <f t="shared" si="32"/>
        <v>0</v>
      </c>
      <c r="AJ177" s="36" t="str">
        <f t="shared" si="21"/>
        <v/>
      </c>
      <c r="AK177" s="49"/>
      <c r="AL177" s="49" t="str">
        <f t="shared" si="24"/>
        <v>00</v>
      </c>
      <c r="AM177" s="51" t="str">
        <f t="shared" si="25"/>
        <v>00</v>
      </c>
      <c r="AN177" s="51" t="str">
        <f t="shared" si="26"/>
        <v>00</v>
      </c>
      <c r="AO177" s="51" t="str">
        <f t="shared" si="27"/>
        <v>00</v>
      </c>
      <c r="AQ177" t="str">
        <f t="shared" si="22"/>
        <v/>
      </c>
    </row>
    <row r="178" spans="2:43">
      <c r="B178" s="126"/>
      <c r="C178" s="36">
        <f t="shared" si="23"/>
        <v>42</v>
      </c>
      <c r="D178" s="119">
        <f t="shared" si="32"/>
        <v>0</v>
      </c>
      <c r="E178" s="119">
        <f t="shared" si="32"/>
        <v>0</v>
      </c>
      <c r="F178" s="119">
        <f t="shared" si="32"/>
        <v>0</v>
      </c>
      <c r="G178" s="119">
        <f t="shared" si="32"/>
        <v>0</v>
      </c>
      <c r="H178" s="119">
        <f t="shared" si="32"/>
        <v>0</v>
      </c>
      <c r="I178" s="119">
        <f t="shared" si="32"/>
        <v>0</v>
      </c>
      <c r="J178" s="119">
        <f t="shared" si="32"/>
        <v>0</v>
      </c>
      <c r="K178" s="119">
        <f t="shared" si="32"/>
        <v>0</v>
      </c>
      <c r="L178" s="119">
        <f t="shared" si="32"/>
        <v>0</v>
      </c>
      <c r="M178" s="119">
        <f t="shared" si="32"/>
        <v>0</v>
      </c>
      <c r="N178" s="119">
        <f t="shared" si="32"/>
        <v>0</v>
      </c>
      <c r="O178" s="119">
        <f t="shared" si="32"/>
        <v>0</v>
      </c>
      <c r="P178" s="119">
        <f t="shared" si="32"/>
        <v>0</v>
      </c>
      <c r="Q178" s="119">
        <f t="shared" si="32"/>
        <v>0</v>
      </c>
      <c r="R178" s="119">
        <f t="shared" si="32"/>
        <v>0</v>
      </c>
      <c r="S178" s="119">
        <f t="shared" si="32"/>
        <v>0</v>
      </c>
      <c r="T178" s="119">
        <f t="shared" si="32"/>
        <v>0</v>
      </c>
      <c r="U178" s="119">
        <f t="shared" si="32"/>
        <v>0</v>
      </c>
      <c r="V178" s="119">
        <f t="shared" si="32"/>
        <v>0</v>
      </c>
      <c r="W178" s="119">
        <f t="shared" si="32"/>
        <v>0</v>
      </c>
      <c r="X178" s="119">
        <f t="shared" si="32"/>
        <v>0</v>
      </c>
      <c r="Y178" s="119">
        <f t="shared" si="32"/>
        <v>0</v>
      </c>
      <c r="Z178" s="119">
        <f t="shared" si="32"/>
        <v>0</v>
      </c>
      <c r="AA178" s="119">
        <f t="shared" si="32"/>
        <v>0</v>
      </c>
      <c r="AB178" s="119">
        <f t="shared" si="32"/>
        <v>0</v>
      </c>
      <c r="AC178" s="119">
        <f t="shared" si="32"/>
        <v>0</v>
      </c>
      <c r="AD178" s="119">
        <f t="shared" si="32"/>
        <v>0</v>
      </c>
      <c r="AE178" s="119">
        <f t="shared" si="32"/>
        <v>0</v>
      </c>
      <c r="AF178" s="119">
        <f t="shared" si="32"/>
        <v>0</v>
      </c>
      <c r="AG178" s="119">
        <f t="shared" si="32"/>
        <v>0</v>
      </c>
      <c r="AH178" s="119">
        <f t="shared" si="32"/>
        <v>0</v>
      </c>
      <c r="AI178" s="119">
        <f t="shared" si="32"/>
        <v>0</v>
      </c>
      <c r="AJ178" s="36" t="str">
        <f t="shared" si="21"/>
        <v/>
      </c>
      <c r="AK178" s="49"/>
      <c r="AL178" s="49" t="str">
        <f t="shared" si="24"/>
        <v>00</v>
      </c>
      <c r="AM178" s="51" t="str">
        <f t="shared" si="25"/>
        <v>00</v>
      </c>
      <c r="AN178" s="51" t="str">
        <f t="shared" si="26"/>
        <v>00</v>
      </c>
      <c r="AO178" s="51" t="str">
        <f t="shared" si="27"/>
        <v>00</v>
      </c>
      <c r="AQ178" t="str">
        <f t="shared" si="22"/>
        <v/>
      </c>
    </row>
    <row r="179" spans="2:43">
      <c r="B179" s="126"/>
      <c r="C179" s="36">
        <f t="shared" si="23"/>
        <v>43</v>
      </c>
      <c r="D179" s="119">
        <f t="shared" si="32"/>
        <v>0</v>
      </c>
      <c r="E179" s="119">
        <f t="shared" si="32"/>
        <v>0</v>
      </c>
      <c r="F179" s="119">
        <f t="shared" si="32"/>
        <v>0</v>
      </c>
      <c r="G179" s="119">
        <f t="shared" si="32"/>
        <v>0</v>
      </c>
      <c r="H179" s="119">
        <f t="shared" si="32"/>
        <v>0</v>
      </c>
      <c r="I179" s="119">
        <f t="shared" si="32"/>
        <v>0</v>
      </c>
      <c r="J179" s="119">
        <f t="shared" si="32"/>
        <v>0</v>
      </c>
      <c r="K179" s="119">
        <f t="shared" si="32"/>
        <v>0</v>
      </c>
      <c r="L179" s="119">
        <f t="shared" si="32"/>
        <v>0</v>
      </c>
      <c r="M179" s="119">
        <f t="shared" si="32"/>
        <v>0</v>
      </c>
      <c r="N179" s="119">
        <f t="shared" si="32"/>
        <v>0</v>
      </c>
      <c r="O179" s="119">
        <f t="shared" si="32"/>
        <v>0</v>
      </c>
      <c r="P179" s="119">
        <f t="shared" si="32"/>
        <v>0</v>
      </c>
      <c r="Q179" s="119">
        <f t="shared" si="32"/>
        <v>0</v>
      </c>
      <c r="R179" s="119">
        <f t="shared" si="32"/>
        <v>0</v>
      </c>
      <c r="S179" s="119">
        <f t="shared" si="32"/>
        <v>0</v>
      </c>
      <c r="T179" s="119">
        <f t="shared" si="32"/>
        <v>0</v>
      </c>
      <c r="U179" s="119">
        <f t="shared" si="32"/>
        <v>0</v>
      </c>
      <c r="V179" s="119">
        <f t="shared" si="32"/>
        <v>0</v>
      </c>
      <c r="W179" s="119">
        <f t="shared" si="32"/>
        <v>0</v>
      </c>
      <c r="X179" s="119">
        <f t="shared" si="32"/>
        <v>0</v>
      </c>
      <c r="Y179" s="119">
        <f t="shared" si="32"/>
        <v>0</v>
      </c>
      <c r="Z179" s="119">
        <f t="shared" si="32"/>
        <v>0</v>
      </c>
      <c r="AA179" s="119">
        <f t="shared" si="32"/>
        <v>0</v>
      </c>
      <c r="AB179" s="119">
        <f t="shared" si="32"/>
        <v>0</v>
      </c>
      <c r="AC179" s="119">
        <f t="shared" si="32"/>
        <v>0</v>
      </c>
      <c r="AD179" s="119">
        <f t="shared" si="32"/>
        <v>0</v>
      </c>
      <c r="AE179" s="119">
        <f t="shared" si="32"/>
        <v>0</v>
      </c>
      <c r="AF179" s="119">
        <f t="shared" si="32"/>
        <v>0</v>
      </c>
      <c r="AG179" s="119">
        <f t="shared" si="32"/>
        <v>0</v>
      </c>
      <c r="AH179" s="119">
        <f t="shared" si="32"/>
        <v>0</v>
      </c>
      <c r="AI179" s="119">
        <f t="shared" si="32"/>
        <v>0</v>
      </c>
      <c r="AJ179" s="36" t="str">
        <f t="shared" si="21"/>
        <v/>
      </c>
      <c r="AK179" s="49"/>
      <c r="AL179" s="49" t="str">
        <f t="shared" si="24"/>
        <v>00</v>
      </c>
      <c r="AM179" s="51" t="str">
        <f t="shared" si="25"/>
        <v>00</v>
      </c>
      <c r="AN179" s="51" t="str">
        <f t="shared" si="26"/>
        <v>00</v>
      </c>
      <c r="AO179" s="51" t="str">
        <f t="shared" si="27"/>
        <v>00</v>
      </c>
      <c r="AQ179" t="str">
        <f t="shared" si="22"/>
        <v/>
      </c>
    </row>
    <row r="180" spans="2:43">
      <c r="B180" s="126"/>
      <c r="C180" s="36">
        <f t="shared" si="23"/>
        <v>44</v>
      </c>
      <c r="D180" s="119">
        <f t="shared" si="32"/>
        <v>0</v>
      </c>
      <c r="E180" s="119">
        <f t="shared" si="32"/>
        <v>0</v>
      </c>
      <c r="F180" s="119">
        <f t="shared" si="32"/>
        <v>0</v>
      </c>
      <c r="G180" s="119">
        <f t="shared" si="32"/>
        <v>0</v>
      </c>
      <c r="H180" s="119">
        <f t="shared" si="32"/>
        <v>0</v>
      </c>
      <c r="I180" s="119">
        <f t="shared" si="32"/>
        <v>0</v>
      </c>
      <c r="J180" s="119">
        <f t="shared" si="32"/>
        <v>0</v>
      </c>
      <c r="K180" s="119">
        <f t="shared" si="32"/>
        <v>0</v>
      </c>
      <c r="L180" s="119">
        <f t="shared" si="32"/>
        <v>0</v>
      </c>
      <c r="M180" s="119">
        <f t="shared" si="32"/>
        <v>0</v>
      </c>
      <c r="N180" s="119">
        <f t="shared" si="32"/>
        <v>0</v>
      </c>
      <c r="O180" s="119">
        <f t="shared" si="32"/>
        <v>0</v>
      </c>
      <c r="P180" s="119">
        <f t="shared" si="32"/>
        <v>0</v>
      </c>
      <c r="Q180" s="119">
        <f t="shared" si="32"/>
        <v>0</v>
      </c>
      <c r="R180" s="119">
        <f t="shared" si="32"/>
        <v>0</v>
      </c>
      <c r="S180" s="119">
        <f t="shared" si="32"/>
        <v>0</v>
      </c>
      <c r="T180" s="119">
        <f t="shared" si="32"/>
        <v>0</v>
      </c>
      <c r="U180" s="119">
        <f t="shared" si="32"/>
        <v>0</v>
      </c>
      <c r="V180" s="119">
        <f t="shared" si="32"/>
        <v>0</v>
      </c>
      <c r="W180" s="119">
        <f t="shared" si="32"/>
        <v>0</v>
      </c>
      <c r="X180" s="119">
        <f t="shared" si="32"/>
        <v>0</v>
      </c>
      <c r="Y180" s="119">
        <f t="shared" si="32"/>
        <v>0</v>
      </c>
      <c r="Z180" s="119">
        <f t="shared" si="32"/>
        <v>0</v>
      </c>
      <c r="AA180" s="119">
        <f t="shared" si="32"/>
        <v>0</v>
      </c>
      <c r="AB180" s="119">
        <f t="shared" si="32"/>
        <v>0</v>
      </c>
      <c r="AC180" s="119">
        <f t="shared" si="32"/>
        <v>0</v>
      </c>
      <c r="AD180" s="119">
        <f t="shared" si="32"/>
        <v>0</v>
      </c>
      <c r="AE180" s="119">
        <f t="shared" si="32"/>
        <v>0</v>
      </c>
      <c r="AF180" s="119">
        <f t="shared" si="32"/>
        <v>0</v>
      </c>
      <c r="AG180" s="119">
        <f t="shared" si="32"/>
        <v>0</v>
      </c>
      <c r="AH180" s="119">
        <f t="shared" si="32"/>
        <v>0</v>
      </c>
      <c r="AI180" s="119">
        <f t="shared" si="32"/>
        <v>0</v>
      </c>
      <c r="AJ180" s="36" t="str">
        <f t="shared" si="21"/>
        <v/>
      </c>
      <c r="AK180" s="49"/>
      <c r="AL180" s="49" t="str">
        <f t="shared" si="24"/>
        <v>00</v>
      </c>
      <c r="AM180" s="51" t="str">
        <f t="shared" si="25"/>
        <v>00</v>
      </c>
      <c r="AN180" s="51" t="str">
        <f t="shared" si="26"/>
        <v>00</v>
      </c>
      <c r="AO180" s="51" t="str">
        <f t="shared" si="27"/>
        <v>00</v>
      </c>
      <c r="AQ180" t="str">
        <f t="shared" si="22"/>
        <v/>
      </c>
    </row>
    <row r="181" spans="2:43">
      <c r="B181" s="126"/>
      <c r="C181" s="36">
        <f t="shared" si="23"/>
        <v>45</v>
      </c>
      <c r="D181" s="119">
        <f t="shared" si="32"/>
        <v>0</v>
      </c>
      <c r="E181" s="119">
        <f t="shared" si="32"/>
        <v>0</v>
      </c>
      <c r="F181" s="119">
        <f t="shared" si="32"/>
        <v>0</v>
      </c>
      <c r="G181" s="119">
        <f t="shared" si="32"/>
        <v>0</v>
      </c>
      <c r="H181" s="119">
        <f t="shared" si="32"/>
        <v>0</v>
      </c>
      <c r="I181" s="119">
        <f t="shared" si="32"/>
        <v>0</v>
      </c>
      <c r="J181" s="119">
        <f t="shared" si="32"/>
        <v>0</v>
      </c>
      <c r="K181" s="119">
        <f t="shared" si="32"/>
        <v>0</v>
      </c>
      <c r="L181" s="119">
        <f t="shared" si="32"/>
        <v>0</v>
      </c>
      <c r="M181" s="119">
        <f t="shared" si="32"/>
        <v>0</v>
      </c>
      <c r="N181" s="119">
        <f t="shared" si="32"/>
        <v>0</v>
      </c>
      <c r="O181" s="119">
        <f t="shared" si="32"/>
        <v>0</v>
      </c>
      <c r="P181" s="119">
        <f t="shared" si="32"/>
        <v>0</v>
      </c>
      <c r="Q181" s="119">
        <f t="shared" si="32"/>
        <v>0</v>
      </c>
      <c r="R181" s="119">
        <f t="shared" si="32"/>
        <v>0</v>
      </c>
      <c r="S181" s="119">
        <f t="shared" si="32"/>
        <v>0</v>
      </c>
      <c r="T181" s="119">
        <f t="shared" si="32"/>
        <v>0</v>
      </c>
      <c r="U181" s="119">
        <f t="shared" si="32"/>
        <v>0</v>
      </c>
      <c r="V181" s="119">
        <f t="shared" si="32"/>
        <v>0</v>
      </c>
      <c r="W181" s="119">
        <f t="shared" si="32"/>
        <v>0</v>
      </c>
      <c r="X181" s="119">
        <f t="shared" si="32"/>
        <v>0</v>
      </c>
      <c r="Y181" s="119">
        <f t="shared" si="32"/>
        <v>0</v>
      </c>
      <c r="Z181" s="119">
        <f t="shared" si="32"/>
        <v>0</v>
      </c>
      <c r="AA181" s="119">
        <f t="shared" si="32"/>
        <v>0</v>
      </c>
      <c r="AB181" s="119">
        <f t="shared" si="32"/>
        <v>0</v>
      </c>
      <c r="AC181" s="119">
        <f t="shared" si="32"/>
        <v>0</v>
      </c>
      <c r="AD181" s="119">
        <f t="shared" si="32"/>
        <v>0</v>
      </c>
      <c r="AE181" s="119">
        <f t="shared" si="32"/>
        <v>0</v>
      </c>
      <c r="AF181" s="119">
        <f t="shared" si="32"/>
        <v>0</v>
      </c>
      <c r="AG181" s="119">
        <f t="shared" si="32"/>
        <v>0</v>
      </c>
      <c r="AH181" s="119">
        <f t="shared" si="32"/>
        <v>0</v>
      </c>
      <c r="AI181" s="119">
        <f t="shared" si="32"/>
        <v>0</v>
      </c>
      <c r="AJ181" s="36" t="str">
        <f t="shared" si="21"/>
        <v/>
      </c>
      <c r="AK181" s="49"/>
      <c r="AL181" s="49" t="str">
        <f t="shared" si="24"/>
        <v>00</v>
      </c>
      <c r="AM181" s="51" t="str">
        <f t="shared" si="25"/>
        <v>00</v>
      </c>
      <c r="AN181" s="51" t="str">
        <f t="shared" si="26"/>
        <v>00</v>
      </c>
      <c r="AO181" s="51" t="str">
        <f t="shared" si="27"/>
        <v>00</v>
      </c>
      <c r="AQ181" t="str">
        <f t="shared" si="22"/>
        <v/>
      </c>
    </row>
    <row r="182" spans="2:43">
      <c r="B182" s="126"/>
      <c r="C182" s="36">
        <f t="shared" si="23"/>
        <v>46</v>
      </c>
      <c r="D182" s="119">
        <f t="shared" si="32"/>
        <v>0</v>
      </c>
      <c r="E182" s="119">
        <f t="shared" si="32"/>
        <v>0</v>
      </c>
      <c r="F182" s="119">
        <f t="shared" si="32"/>
        <v>0</v>
      </c>
      <c r="G182" s="119">
        <f t="shared" si="32"/>
        <v>0</v>
      </c>
      <c r="H182" s="119">
        <f t="shared" si="32"/>
        <v>0</v>
      </c>
      <c r="I182" s="119">
        <f t="shared" si="32"/>
        <v>0</v>
      </c>
      <c r="J182" s="119">
        <f t="shared" si="32"/>
        <v>0</v>
      </c>
      <c r="K182" s="119">
        <f t="shared" si="32"/>
        <v>0</v>
      </c>
      <c r="L182" s="119">
        <f t="shared" si="32"/>
        <v>0</v>
      </c>
      <c r="M182" s="119">
        <f t="shared" si="32"/>
        <v>0</v>
      </c>
      <c r="N182" s="119">
        <f t="shared" si="32"/>
        <v>0</v>
      </c>
      <c r="O182" s="119">
        <f t="shared" si="32"/>
        <v>0</v>
      </c>
      <c r="P182" s="119">
        <f t="shared" si="32"/>
        <v>0</v>
      </c>
      <c r="Q182" s="119">
        <f t="shared" si="32"/>
        <v>0</v>
      </c>
      <c r="R182" s="119">
        <f t="shared" si="32"/>
        <v>0</v>
      </c>
      <c r="S182" s="119">
        <f t="shared" si="32"/>
        <v>0</v>
      </c>
      <c r="T182" s="119">
        <f t="shared" si="32"/>
        <v>0</v>
      </c>
      <c r="U182" s="119">
        <f t="shared" si="32"/>
        <v>0</v>
      </c>
      <c r="V182" s="119">
        <f t="shared" si="32"/>
        <v>0</v>
      </c>
      <c r="W182" s="119">
        <f t="shared" si="32"/>
        <v>0</v>
      </c>
      <c r="X182" s="119">
        <f t="shared" si="32"/>
        <v>0</v>
      </c>
      <c r="Y182" s="119">
        <f t="shared" si="32"/>
        <v>0</v>
      </c>
      <c r="Z182" s="119">
        <f t="shared" si="32"/>
        <v>0</v>
      </c>
      <c r="AA182" s="119">
        <f t="shared" si="32"/>
        <v>0</v>
      </c>
      <c r="AB182" s="119">
        <f t="shared" si="32"/>
        <v>0</v>
      </c>
      <c r="AC182" s="119">
        <f t="shared" si="32"/>
        <v>0</v>
      </c>
      <c r="AD182" s="119">
        <f t="shared" si="32"/>
        <v>0</v>
      </c>
      <c r="AE182" s="119">
        <f t="shared" si="32"/>
        <v>0</v>
      </c>
      <c r="AF182" s="119">
        <f t="shared" si="32"/>
        <v>0</v>
      </c>
      <c r="AG182" s="119">
        <f t="shared" si="32"/>
        <v>0</v>
      </c>
      <c r="AH182" s="119">
        <f t="shared" si="32"/>
        <v>0</v>
      </c>
      <c r="AI182" s="119">
        <f t="shared" si="32"/>
        <v>0</v>
      </c>
      <c r="AJ182" s="36" t="str">
        <f t="shared" si="21"/>
        <v/>
      </c>
      <c r="AK182" s="49"/>
      <c r="AL182" s="49" t="str">
        <f t="shared" si="24"/>
        <v>00</v>
      </c>
      <c r="AM182" s="51" t="str">
        <f t="shared" si="25"/>
        <v>00</v>
      </c>
      <c r="AN182" s="51" t="str">
        <f t="shared" si="26"/>
        <v>00</v>
      </c>
      <c r="AO182" s="51" t="str">
        <f t="shared" si="27"/>
        <v>00</v>
      </c>
      <c r="AQ182" t="str">
        <f t="shared" si="22"/>
        <v/>
      </c>
    </row>
    <row r="183" spans="2:43">
      <c r="B183" s="126"/>
      <c r="C183" s="36">
        <f t="shared" si="23"/>
        <v>47</v>
      </c>
      <c r="D183" s="119">
        <f t="shared" si="32"/>
        <v>0</v>
      </c>
      <c r="E183" s="119">
        <f t="shared" si="32"/>
        <v>0</v>
      </c>
      <c r="F183" s="119">
        <f t="shared" si="32"/>
        <v>0</v>
      </c>
      <c r="G183" s="119">
        <f t="shared" si="32"/>
        <v>0</v>
      </c>
      <c r="H183" s="119">
        <f t="shared" si="32"/>
        <v>0</v>
      </c>
      <c r="I183" s="119">
        <f t="shared" si="32"/>
        <v>0</v>
      </c>
      <c r="J183" s="119">
        <f t="shared" si="32"/>
        <v>0</v>
      </c>
      <c r="K183" s="119">
        <f t="shared" si="32"/>
        <v>0</v>
      </c>
      <c r="L183" s="119">
        <f t="shared" si="32"/>
        <v>0</v>
      </c>
      <c r="M183" s="119">
        <f t="shared" si="32"/>
        <v>0</v>
      </c>
      <c r="N183" s="119">
        <f t="shared" si="32"/>
        <v>0</v>
      </c>
      <c r="O183" s="119">
        <f t="shared" si="32"/>
        <v>0</v>
      </c>
      <c r="P183" s="119">
        <f t="shared" si="32"/>
        <v>0</v>
      </c>
      <c r="Q183" s="119">
        <f t="shared" si="32"/>
        <v>0</v>
      </c>
      <c r="R183" s="119">
        <f t="shared" si="32"/>
        <v>0</v>
      </c>
      <c r="S183" s="119">
        <f t="shared" si="32"/>
        <v>0</v>
      </c>
      <c r="T183" s="119">
        <f t="shared" si="32"/>
        <v>0</v>
      </c>
      <c r="U183" s="119">
        <f t="shared" si="32"/>
        <v>0</v>
      </c>
      <c r="V183" s="119">
        <f t="shared" si="32"/>
        <v>0</v>
      </c>
      <c r="W183" s="119">
        <f t="shared" si="32"/>
        <v>0</v>
      </c>
      <c r="X183" s="119">
        <f t="shared" si="32"/>
        <v>0</v>
      </c>
      <c r="Y183" s="119">
        <f t="shared" si="32"/>
        <v>0</v>
      </c>
      <c r="Z183" s="119">
        <f t="shared" si="32"/>
        <v>0</v>
      </c>
      <c r="AA183" s="119">
        <f t="shared" si="32"/>
        <v>0</v>
      </c>
      <c r="AB183" s="119">
        <f t="shared" si="32"/>
        <v>0</v>
      </c>
      <c r="AC183" s="119">
        <f t="shared" si="32"/>
        <v>0</v>
      </c>
      <c r="AD183" s="119">
        <f t="shared" si="32"/>
        <v>0</v>
      </c>
      <c r="AE183" s="119">
        <f t="shared" si="32"/>
        <v>0</v>
      </c>
      <c r="AF183" s="119">
        <f t="shared" si="32"/>
        <v>0</v>
      </c>
      <c r="AG183" s="119">
        <f t="shared" si="32"/>
        <v>0</v>
      </c>
      <c r="AH183" s="119">
        <f t="shared" si="32"/>
        <v>0</v>
      </c>
      <c r="AI183" s="119">
        <f>IF(OR(AI53=0,AI53=1),1,0)</f>
        <v>0</v>
      </c>
      <c r="AJ183" s="36" t="str">
        <f t="shared" si="21"/>
        <v/>
      </c>
      <c r="AK183" s="49"/>
      <c r="AL183" s="49" t="str">
        <f t="shared" si="24"/>
        <v>00</v>
      </c>
      <c r="AM183" s="51" t="str">
        <f t="shared" si="25"/>
        <v>00</v>
      </c>
      <c r="AN183" s="51" t="str">
        <f t="shared" si="26"/>
        <v>00</v>
      </c>
      <c r="AO183" s="51" t="str">
        <f t="shared" si="27"/>
        <v>00</v>
      </c>
      <c r="AQ183" t="str">
        <f t="shared" si="22"/>
        <v/>
      </c>
    </row>
    <row r="184" spans="2:43">
      <c r="B184" s="126"/>
      <c r="C184" s="36">
        <f t="shared" si="23"/>
        <v>48</v>
      </c>
      <c r="D184" s="119">
        <f t="shared" ref="D184:AI191" si="33">IF(OR(D54=0,D54=1),1,0)</f>
        <v>0</v>
      </c>
      <c r="E184" s="119">
        <f t="shared" si="33"/>
        <v>0</v>
      </c>
      <c r="F184" s="119">
        <f t="shared" si="33"/>
        <v>0</v>
      </c>
      <c r="G184" s="119">
        <f t="shared" si="33"/>
        <v>0</v>
      </c>
      <c r="H184" s="119">
        <f t="shared" si="33"/>
        <v>0</v>
      </c>
      <c r="I184" s="119">
        <f t="shared" si="33"/>
        <v>0</v>
      </c>
      <c r="J184" s="119">
        <f t="shared" si="33"/>
        <v>0</v>
      </c>
      <c r="K184" s="119">
        <f t="shared" si="33"/>
        <v>0</v>
      </c>
      <c r="L184" s="119">
        <f t="shared" si="33"/>
        <v>0</v>
      </c>
      <c r="M184" s="119">
        <f t="shared" si="33"/>
        <v>0</v>
      </c>
      <c r="N184" s="119">
        <f t="shared" si="33"/>
        <v>0</v>
      </c>
      <c r="O184" s="119">
        <f t="shared" si="33"/>
        <v>0</v>
      </c>
      <c r="P184" s="119">
        <f t="shared" si="33"/>
        <v>0</v>
      </c>
      <c r="Q184" s="119">
        <f t="shared" si="33"/>
        <v>0</v>
      </c>
      <c r="R184" s="119">
        <f t="shared" si="33"/>
        <v>0</v>
      </c>
      <c r="S184" s="119">
        <f t="shared" si="33"/>
        <v>0</v>
      </c>
      <c r="T184" s="119">
        <f t="shared" si="33"/>
        <v>0</v>
      </c>
      <c r="U184" s="119">
        <f t="shared" si="33"/>
        <v>0</v>
      </c>
      <c r="V184" s="119">
        <f t="shared" si="33"/>
        <v>0</v>
      </c>
      <c r="W184" s="119">
        <f t="shared" si="33"/>
        <v>0</v>
      </c>
      <c r="X184" s="119">
        <f t="shared" si="33"/>
        <v>0</v>
      </c>
      <c r="Y184" s="119">
        <f t="shared" si="33"/>
        <v>0</v>
      </c>
      <c r="Z184" s="119">
        <f t="shared" si="33"/>
        <v>0</v>
      </c>
      <c r="AA184" s="119">
        <f t="shared" si="33"/>
        <v>0</v>
      </c>
      <c r="AB184" s="119">
        <f t="shared" si="33"/>
        <v>0</v>
      </c>
      <c r="AC184" s="119">
        <f t="shared" si="33"/>
        <v>0</v>
      </c>
      <c r="AD184" s="119">
        <f t="shared" si="33"/>
        <v>0</v>
      </c>
      <c r="AE184" s="119">
        <f t="shared" si="33"/>
        <v>0</v>
      </c>
      <c r="AF184" s="119">
        <f t="shared" si="33"/>
        <v>0</v>
      </c>
      <c r="AG184" s="119">
        <f t="shared" si="33"/>
        <v>0</v>
      </c>
      <c r="AH184" s="119">
        <f t="shared" si="33"/>
        <v>0</v>
      </c>
      <c r="AI184" s="119">
        <f t="shared" si="33"/>
        <v>0</v>
      </c>
      <c r="AJ184" s="36" t="str">
        <f t="shared" si="21"/>
        <v/>
      </c>
      <c r="AK184" s="49"/>
      <c r="AL184" s="49" t="str">
        <f t="shared" si="24"/>
        <v>00</v>
      </c>
      <c r="AM184" s="51" t="str">
        <f t="shared" si="25"/>
        <v>00</v>
      </c>
      <c r="AN184" s="51" t="str">
        <f t="shared" si="26"/>
        <v>00</v>
      </c>
      <c r="AO184" s="51" t="str">
        <f t="shared" si="27"/>
        <v>00</v>
      </c>
      <c r="AQ184" t="str">
        <f t="shared" si="22"/>
        <v/>
      </c>
    </row>
    <row r="185" spans="2:43">
      <c r="B185" s="126"/>
      <c r="C185" s="36">
        <f t="shared" si="23"/>
        <v>49</v>
      </c>
      <c r="D185" s="119">
        <f t="shared" si="33"/>
        <v>0</v>
      </c>
      <c r="E185" s="119">
        <f t="shared" si="33"/>
        <v>0</v>
      </c>
      <c r="F185" s="119">
        <f t="shared" si="33"/>
        <v>0</v>
      </c>
      <c r="G185" s="119">
        <f t="shared" si="33"/>
        <v>0</v>
      </c>
      <c r="H185" s="119">
        <f t="shared" si="33"/>
        <v>0</v>
      </c>
      <c r="I185" s="119">
        <f t="shared" si="33"/>
        <v>0</v>
      </c>
      <c r="J185" s="119">
        <f t="shared" si="33"/>
        <v>0</v>
      </c>
      <c r="K185" s="119">
        <f t="shared" si="33"/>
        <v>0</v>
      </c>
      <c r="L185" s="119">
        <f t="shared" si="33"/>
        <v>0</v>
      </c>
      <c r="M185" s="119">
        <f t="shared" si="33"/>
        <v>0</v>
      </c>
      <c r="N185" s="119">
        <f t="shared" si="33"/>
        <v>0</v>
      </c>
      <c r="O185" s="119">
        <f t="shared" si="33"/>
        <v>0</v>
      </c>
      <c r="P185" s="119">
        <f t="shared" si="33"/>
        <v>0</v>
      </c>
      <c r="Q185" s="119">
        <f t="shared" si="33"/>
        <v>0</v>
      </c>
      <c r="R185" s="119">
        <f t="shared" si="33"/>
        <v>0</v>
      </c>
      <c r="S185" s="119">
        <f t="shared" si="33"/>
        <v>0</v>
      </c>
      <c r="T185" s="119">
        <f t="shared" si="33"/>
        <v>0</v>
      </c>
      <c r="U185" s="119">
        <f t="shared" si="33"/>
        <v>0</v>
      </c>
      <c r="V185" s="119">
        <f t="shared" si="33"/>
        <v>0</v>
      </c>
      <c r="W185" s="119">
        <f t="shared" si="33"/>
        <v>0</v>
      </c>
      <c r="X185" s="119">
        <f t="shared" si="33"/>
        <v>0</v>
      </c>
      <c r="Y185" s="119">
        <f t="shared" si="33"/>
        <v>0</v>
      </c>
      <c r="Z185" s="119">
        <f t="shared" si="33"/>
        <v>0</v>
      </c>
      <c r="AA185" s="119">
        <f t="shared" si="33"/>
        <v>0</v>
      </c>
      <c r="AB185" s="119">
        <f t="shared" si="33"/>
        <v>0</v>
      </c>
      <c r="AC185" s="119">
        <f t="shared" si="33"/>
        <v>0</v>
      </c>
      <c r="AD185" s="119">
        <f t="shared" si="33"/>
        <v>0</v>
      </c>
      <c r="AE185" s="119">
        <f t="shared" si="33"/>
        <v>0</v>
      </c>
      <c r="AF185" s="119">
        <f t="shared" si="33"/>
        <v>0</v>
      </c>
      <c r="AG185" s="119">
        <f t="shared" si="33"/>
        <v>0</v>
      </c>
      <c r="AH185" s="119">
        <f t="shared" si="33"/>
        <v>0</v>
      </c>
      <c r="AI185" s="119">
        <f t="shared" si="33"/>
        <v>0</v>
      </c>
      <c r="AJ185" s="36" t="str">
        <f t="shared" si="21"/>
        <v/>
      </c>
      <c r="AK185" s="49"/>
      <c r="AL185" s="49" t="str">
        <f t="shared" si="24"/>
        <v>00</v>
      </c>
      <c r="AM185" s="51" t="str">
        <f t="shared" si="25"/>
        <v>00</v>
      </c>
      <c r="AN185" s="51" t="str">
        <f t="shared" si="26"/>
        <v>00</v>
      </c>
      <c r="AO185" s="51" t="str">
        <f t="shared" si="27"/>
        <v>00</v>
      </c>
      <c r="AQ185" t="str">
        <f t="shared" si="22"/>
        <v/>
      </c>
    </row>
    <row r="186" spans="2:43">
      <c r="B186" s="126"/>
      <c r="C186" s="36">
        <f t="shared" si="23"/>
        <v>50</v>
      </c>
      <c r="D186" s="119">
        <f t="shared" si="33"/>
        <v>0</v>
      </c>
      <c r="E186" s="119">
        <f t="shared" si="33"/>
        <v>0</v>
      </c>
      <c r="F186" s="119">
        <f t="shared" si="33"/>
        <v>0</v>
      </c>
      <c r="G186" s="119">
        <f t="shared" si="33"/>
        <v>0</v>
      </c>
      <c r="H186" s="119">
        <f t="shared" si="33"/>
        <v>0</v>
      </c>
      <c r="I186" s="119">
        <f t="shared" si="33"/>
        <v>0</v>
      </c>
      <c r="J186" s="119">
        <f t="shared" si="33"/>
        <v>0</v>
      </c>
      <c r="K186" s="119">
        <f t="shared" si="33"/>
        <v>0</v>
      </c>
      <c r="L186" s="119">
        <f t="shared" si="33"/>
        <v>0</v>
      </c>
      <c r="M186" s="119">
        <f t="shared" si="33"/>
        <v>0</v>
      </c>
      <c r="N186" s="119">
        <f t="shared" si="33"/>
        <v>0</v>
      </c>
      <c r="O186" s="119">
        <f t="shared" si="33"/>
        <v>0</v>
      </c>
      <c r="P186" s="119">
        <f t="shared" si="33"/>
        <v>0</v>
      </c>
      <c r="Q186" s="119">
        <f t="shared" si="33"/>
        <v>0</v>
      </c>
      <c r="R186" s="119">
        <f t="shared" si="33"/>
        <v>0</v>
      </c>
      <c r="S186" s="119">
        <f t="shared" si="33"/>
        <v>0</v>
      </c>
      <c r="T186" s="119">
        <f t="shared" si="33"/>
        <v>0</v>
      </c>
      <c r="U186" s="119">
        <f t="shared" si="33"/>
        <v>0</v>
      </c>
      <c r="V186" s="119">
        <f t="shared" si="33"/>
        <v>0</v>
      </c>
      <c r="W186" s="119">
        <f t="shared" si="33"/>
        <v>0</v>
      </c>
      <c r="X186" s="119">
        <f t="shared" si="33"/>
        <v>0</v>
      </c>
      <c r="Y186" s="119">
        <f t="shared" si="33"/>
        <v>0</v>
      </c>
      <c r="Z186" s="119">
        <f t="shared" si="33"/>
        <v>0</v>
      </c>
      <c r="AA186" s="119">
        <f t="shared" si="33"/>
        <v>0</v>
      </c>
      <c r="AB186" s="119">
        <f t="shared" si="33"/>
        <v>0</v>
      </c>
      <c r="AC186" s="119">
        <f t="shared" si="33"/>
        <v>0</v>
      </c>
      <c r="AD186" s="119">
        <f t="shared" si="33"/>
        <v>0</v>
      </c>
      <c r="AE186" s="119">
        <f t="shared" si="33"/>
        <v>0</v>
      </c>
      <c r="AF186" s="119">
        <f t="shared" si="33"/>
        <v>0</v>
      </c>
      <c r="AG186" s="119">
        <f t="shared" si="33"/>
        <v>0</v>
      </c>
      <c r="AH186" s="119">
        <f t="shared" si="33"/>
        <v>0</v>
      </c>
      <c r="AI186" s="119">
        <f t="shared" si="33"/>
        <v>0</v>
      </c>
      <c r="AJ186" s="36" t="str">
        <f t="shared" si="21"/>
        <v/>
      </c>
      <c r="AK186" s="49"/>
      <c r="AL186" s="49" t="str">
        <f t="shared" si="24"/>
        <v>00</v>
      </c>
      <c r="AM186" s="51" t="str">
        <f t="shared" si="25"/>
        <v>00</v>
      </c>
      <c r="AN186" s="51" t="str">
        <f t="shared" si="26"/>
        <v>00</v>
      </c>
      <c r="AO186" s="51" t="str">
        <f t="shared" si="27"/>
        <v>00</v>
      </c>
      <c r="AQ186" t="str">
        <f t="shared" si="22"/>
        <v/>
      </c>
    </row>
    <row r="187" spans="2:43">
      <c r="B187" s="126"/>
      <c r="C187" s="36">
        <f t="shared" si="23"/>
        <v>51</v>
      </c>
      <c r="D187" s="119">
        <f t="shared" si="33"/>
        <v>0</v>
      </c>
      <c r="E187" s="119">
        <f t="shared" si="33"/>
        <v>0</v>
      </c>
      <c r="F187" s="119">
        <f t="shared" si="33"/>
        <v>0</v>
      </c>
      <c r="G187" s="119">
        <f t="shared" si="33"/>
        <v>0</v>
      </c>
      <c r="H187" s="119">
        <f t="shared" si="33"/>
        <v>0</v>
      </c>
      <c r="I187" s="119">
        <f t="shared" si="33"/>
        <v>0</v>
      </c>
      <c r="J187" s="119">
        <f t="shared" si="33"/>
        <v>0</v>
      </c>
      <c r="K187" s="119">
        <f t="shared" si="33"/>
        <v>0</v>
      </c>
      <c r="L187" s="119">
        <f t="shared" si="33"/>
        <v>0</v>
      </c>
      <c r="M187" s="119">
        <f t="shared" si="33"/>
        <v>0</v>
      </c>
      <c r="N187" s="119">
        <f t="shared" si="33"/>
        <v>0</v>
      </c>
      <c r="O187" s="119">
        <f t="shared" si="33"/>
        <v>0</v>
      </c>
      <c r="P187" s="119">
        <f t="shared" si="33"/>
        <v>0</v>
      </c>
      <c r="Q187" s="119">
        <f t="shared" si="33"/>
        <v>0</v>
      </c>
      <c r="R187" s="119">
        <f t="shared" si="33"/>
        <v>0</v>
      </c>
      <c r="S187" s="119">
        <f t="shared" si="33"/>
        <v>0</v>
      </c>
      <c r="T187" s="119">
        <f t="shared" si="33"/>
        <v>0</v>
      </c>
      <c r="U187" s="119">
        <f t="shared" si="33"/>
        <v>0</v>
      </c>
      <c r="V187" s="119">
        <f t="shared" si="33"/>
        <v>0</v>
      </c>
      <c r="W187" s="119">
        <f t="shared" si="33"/>
        <v>0</v>
      </c>
      <c r="X187" s="119">
        <f t="shared" si="33"/>
        <v>0</v>
      </c>
      <c r="Y187" s="119">
        <f t="shared" si="33"/>
        <v>0</v>
      </c>
      <c r="Z187" s="119">
        <f t="shared" si="33"/>
        <v>0</v>
      </c>
      <c r="AA187" s="119">
        <f t="shared" si="33"/>
        <v>0</v>
      </c>
      <c r="AB187" s="119">
        <f t="shared" si="33"/>
        <v>0</v>
      </c>
      <c r="AC187" s="119">
        <f t="shared" si="33"/>
        <v>0</v>
      </c>
      <c r="AD187" s="119">
        <f t="shared" si="33"/>
        <v>0</v>
      </c>
      <c r="AE187" s="119">
        <f t="shared" si="33"/>
        <v>0</v>
      </c>
      <c r="AF187" s="119">
        <f t="shared" si="33"/>
        <v>0</v>
      </c>
      <c r="AG187" s="119">
        <f t="shared" si="33"/>
        <v>0</v>
      </c>
      <c r="AH187" s="119">
        <f t="shared" si="33"/>
        <v>0</v>
      </c>
      <c r="AI187" s="119">
        <f t="shared" si="33"/>
        <v>0</v>
      </c>
      <c r="AJ187" s="36" t="str">
        <f t="shared" si="21"/>
        <v/>
      </c>
      <c r="AK187" s="49"/>
      <c r="AL187" s="49" t="str">
        <f t="shared" si="24"/>
        <v>00</v>
      </c>
      <c r="AM187" s="51" t="str">
        <f t="shared" si="25"/>
        <v>00</v>
      </c>
      <c r="AN187" s="51" t="str">
        <f t="shared" si="26"/>
        <v>00</v>
      </c>
      <c r="AO187" s="51" t="str">
        <f t="shared" si="27"/>
        <v>00</v>
      </c>
      <c r="AQ187" t="str">
        <f t="shared" si="22"/>
        <v/>
      </c>
    </row>
    <row r="188" spans="2:43">
      <c r="B188" s="126"/>
      <c r="C188" s="36">
        <f t="shared" si="23"/>
        <v>52</v>
      </c>
      <c r="D188" s="119">
        <f t="shared" si="33"/>
        <v>0</v>
      </c>
      <c r="E188" s="119">
        <f t="shared" si="33"/>
        <v>0</v>
      </c>
      <c r="F188" s="119">
        <f t="shared" si="33"/>
        <v>0</v>
      </c>
      <c r="G188" s="119">
        <f t="shared" si="33"/>
        <v>0</v>
      </c>
      <c r="H188" s="119">
        <f t="shared" si="33"/>
        <v>0</v>
      </c>
      <c r="I188" s="119">
        <f t="shared" si="33"/>
        <v>0</v>
      </c>
      <c r="J188" s="119">
        <f t="shared" si="33"/>
        <v>0</v>
      </c>
      <c r="K188" s="119">
        <f t="shared" si="33"/>
        <v>0</v>
      </c>
      <c r="L188" s="119">
        <f t="shared" si="33"/>
        <v>0</v>
      </c>
      <c r="M188" s="119">
        <f t="shared" si="33"/>
        <v>0</v>
      </c>
      <c r="N188" s="119">
        <f t="shared" si="33"/>
        <v>0</v>
      </c>
      <c r="O188" s="119">
        <f t="shared" si="33"/>
        <v>0</v>
      </c>
      <c r="P188" s="119">
        <f t="shared" si="33"/>
        <v>0</v>
      </c>
      <c r="Q188" s="119">
        <f t="shared" si="33"/>
        <v>0</v>
      </c>
      <c r="R188" s="119">
        <f t="shared" si="33"/>
        <v>0</v>
      </c>
      <c r="S188" s="119">
        <f t="shared" si="33"/>
        <v>0</v>
      </c>
      <c r="T188" s="119">
        <f t="shared" si="33"/>
        <v>0</v>
      </c>
      <c r="U188" s="119">
        <f t="shared" si="33"/>
        <v>0</v>
      </c>
      <c r="V188" s="119">
        <f t="shared" si="33"/>
        <v>0</v>
      </c>
      <c r="W188" s="119">
        <f t="shared" si="33"/>
        <v>0</v>
      </c>
      <c r="X188" s="119">
        <f t="shared" si="33"/>
        <v>0</v>
      </c>
      <c r="Y188" s="119">
        <f t="shared" si="33"/>
        <v>0</v>
      </c>
      <c r="Z188" s="119">
        <f t="shared" si="33"/>
        <v>0</v>
      </c>
      <c r="AA188" s="119">
        <f t="shared" si="33"/>
        <v>0</v>
      </c>
      <c r="AB188" s="119">
        <f t="shared" si="33"/>
        <v>0</v>
      </c>
      <c r="AC188" s="119">
        <f t="shared" si="33"/>
        <v>0</v>
      </c>
      <c r="AD188" s="119">
        <f t="shared" si="33"/>
        <v>0</v>
      </c>
      <c r="AE188" s="119">
        <f t="shared" si="33"/>
        <v>0</v>
      </c>
      <c r="AF188" s="119">
        <f t="shared" si="33"/>
        <v>0</v>
      </c>
      <c r="AG188" s="119">
        <f t="shared" si="33"/>
        <v>0</v>
      </c>
      <c r="AH188" s="119">
        <f t="shared" si="33"/>
        <v>0</v>
      </c>
      <c r="AI188" s="119">
        <f t="shared" si="33"/>
        <v>0</v>
      </c>
      <c r="AJ188" s="36" t="str">
        <f t="shared" si="21"/>
        <v/>
      </c>
      <c r="AK188" s="49"/>
      <c r="AL188" s="49" t="str">
        <f t="shared" si="24"/>
        <v>00</v>
      </c>
      <c r="AM188" s="51" t="str">
        <f t="shared" si="25"/>
        <v>00</v>
      </c>
      <c r="AN188" s="51" t="str">
        <f t="shared" si="26"/>
        <v>00</v>
      </c>
      <c r="AO188" s="51" t="str">
        <f t="shared" si="27"/>
        <v>00</v>
      </c>
      <c r="AQ188" t="str">
        <f t="shared" si="22"/>
        <v/>
      </c>
    </row>
    <row r="189" spans="2:43">
      <c r="B189" s="126"/>
      <c r="C189" s="36">
        <f t="shared" si="23"/>
        <v>53</v>
      </c>
      <c r="D189" s="119">
        <f t="shared" si="33"/>
        <v>0</v>
      </c>
      <c r="E189" s="119">
        <f t="shared" si="33"/>
        <v>0</v>
      </c>
      <c r="F189" s="119">
        <f t="shared" si="33"/>
        <v>0</v>
      </c>
      <c r="G189" s="119">
        <f t="shared" si="33"/>
        <v>0</v>
      </c>
      <c r="H189" s="119">
        <f t="shared" si="33"/>
        <v>0</v>
      </c>
      <c r="I189" s="119">
        <f t="shared" si="33"/>
        <v>0</v>
      </c>
      <c r="J189" s="119">
        <f t="shared" si="33"/>
        <v>0</v>
      </c>
      <c r="K189" s="119">
        <f t="shared" si="33"/>
        <v>0</v>
      </c>
      <c r="L189" s="119">
        <f t="shared" si="33"/>
        <v>0</v>
      </c>
      <c r="M189" s="119">
        <f t="shared" si="33"/>
        <v>0</v>
      </c>
      <c r="N189" s="119">
        <f t="shared" si="33"/>
        <v>0</v>
      </c>
      <c r="O189" s="119">
        <f t="shared" si="33"/>
        <v>0</v>
      </c>
      <c r="P189" s="119">
        <f t="shared" si="33"/>
        <v>0</v>
      </c>
      <c r="Q189" s="119">
        <f t="shared" si="33"/>
        <v>0</v>
      </c>
      <c r="R189" s="119">
        <f t="shared" si="33"/>
        <v>0</v>
      </c>
      <c r="S189" s="119">
        <f t="shared" si="33"/>
        <v>0</v>
      </c>
      <c r="T189" s="119">
        <f t="shared" si="33"/>
        <v>0</v>
      </c>
      <c r="U189" s="119">
        <f t="shared" si="33"/>
        <v>0</v>
      </c>
      <c r="V189" s="119">
        <f t="shared" si="33"/>
        <v>0</v>
      </c>
      <c r="W189" s="119">
        <f t="shared" si="33"/>
        <v>0</v>
      </c>
      <c r="X189" s="119">
        <f t="shared" si="33"/>
        <v>0</v>
      </c>
      <c r="Y189" s="119">
        <f t="shared" si="33"/>
        <v>0</v>
      </c>
      <c r="Z189" s="119">
        <f t="shared" si="33"/>
        <v>0</v>
      </c>
      <c r="AA189" s="119">
        <f t="shared" si="33"/>
        <v>0</v>
      </c>
      <c r="AB189" s="119">
        <f t="shared" si="33"/>
        <v>0</v>
      </c>
      <c r="AC189" s="119">
        <f t="shared" si="33"/>
        <v>0</v>
      </c>
      <c r="AD189" s="119">
        <f t="shared" si="33"/>
        <v>0</v>
      </c>
      <c r="AE189" s="119">
        <f t="shared" si="33"/>
        <v>0</v>
      </c>
      <c r="AF189" s="119">
        <f t="shared" si="33"/>
        <v>0</v>
      </c>
      <c r="AG189" s="119">
        <f t="shared" si="33"/>
        <v>0</v>
      </c>
      <c r="AH189" s="119">
        <f t="shared" si="33"/>
        <v>0</v>
      </c>
      <c r="AI189" s="119">
        <f t="shared" si="33"/>
        <v>0</v>
      </c>
      <c r="AJ189" s="36" t="str">
        <f t="shared" si="21"/>
        <v/>
      </c>
      <c r="AK189" s="49"/>
      <c r="AL189" s="49" t="str">
        <f t="shared" si="24"/>
        <v>00</v>
      </c>
      <c r="AM189" s="51" t="str">
        <f t="shared" si="25"/>
        <v>00</v>
      </c>
      <c r="AN189" s="51" t="str">
        <f t="shared" si="26"/>
        <v>00</v>
      </c>
      <c r="AO189" s="51" t="str">
        <f t="shared" si="27"/>
        <v>00</v>
      </c>
      <c r="AQ189" t="str">
        <f t="shared" si="22"/>
        <v/>
      </c>
    </row>
    <row r="190" spans="2:43">
      <c r="B190" s="126"/>
      <c r="C190" s="36">
        <f t="shared" si="23"/>
        <v>54</v>
      </c>
      <c r="D190" s="119">
        <f t="shared" si="33"/>
        <v>0</v>
      </c>
      <c r="E190" s="119">
        <f t="shared" si="33"/>
        <v>0</v>
      </c>
      <c r="F190" s="119">
        <f t="shared" si="33"/>
        <v>0</v>
      </c>
      <c r="G190" s="119">
        <f t="shared" si="33"/>
        <v>0</v>
      </c>
      <c r="H190" s="119">
        <f t="shared" si="33"/>
        <v>0</v>
      </c>
      <c r="I190" s="119">
        <f t="shared" si="33"/>
        <v>0</v>
      </c>
      <c r="J190" s="119">
        <f t="shared" si="33"/>
        <v>0</v>
      </c>
      <c r="K190" s="119">
        <f t="shared" si="33"/>
        <v>0</v>
      </c>
      <c r="L190" s="119">
        <f t="shared" si="33"/>
        <v>0</v>
      </c>
      <c r="M190" s="119">
        <f t="shared" si="33"/>
        <v>0</v>
      </c>
      <c r="N190" s="119">
        <f t="shared" si="33"/>
        <v>0</v>
      </c>
      <c r="O190" s="119">
        <f t="shared" si="33"/>
        <v>0</v>
      </c>
      <c r="P190" s="119">
        <f t="shared" si="33"/>
        <v>0</v>
      </c>
      <c r="Q190" s="119">
        <f t="shared" si="33"/>
        <v>0</v>
      </c>
      <c r="R190" s="119">
        <f t="shared" si="33"/>
        <v>0</v>
      </c>
      <c r="S190" s="119">
        <f t="shared" si="33"/>
        <v>0</v>
      </c>
      <c r="T190" s="119">
        <f t="shared" si="33"/>
        <v>0</v>
      </c>
      <c r="U190" s="119">
        <f t="shared" si="33"/>
        <v>0</v>
      </c>
      <c r="V190" s="119">
        <f t="shared" si="33"/>
        <v>0</v>
      </c>
      <c r="W190" s="119">
        <f t="shared" si="33"/>
        <v>0</v>
      </c>
      <c r="X190" s="119">
        <f t="shared" si="33"/>
        <v>0</v>
      </c>
      <c r="Y190" s="119">
        <f t="shared" si="33"/>
        <v>0</v>
      </c>
      <c r="Z190" s="119">
        <f t="shared" si="33"/>
        <v>0</v>
      </c>
      <c r="AA190" s="119">
        <f t="shared" si="33"/>
        <v>0</v>
      </c>
      <c r="AB190" s="119">
        <f t="shared" si="33"/>
        <v>0</v>
      </c>
      <c r="AC190" s="119">
        <f t="shared" si="33"/>
        <v>0</v>
      </c>
      <c r="AD190" s="119">
        <f t="shared" si="33"/>
        <v>0</v>
      </c>
      <c r="AE190" s="119">
        <f t="shared" si="33"/>
        <v>0</v>
      </c>
      <c r="AF190" s="119">
        <f t="shared" si="33"/>
        <v>0</v>
      </c>
      <c r="AG190" s="119">
        <f t="shared" si="33"/>
        <v>0</v>
      </c>
      <c r="AH190" s="119">
        <f t="shared" si="33"/>
        <v>0</v>
      </c>
      <c r="AI190" s="119">
        <f t="shared" si="33"/>
        <v>0</v>
      </c>
      <c r="AJ190" s="36" t="str">
        <f t="shared" si="21"/>
        <v/>
      </c>
      <c r="AK190" s="49"/>
      <c r="AL190" s="49" t="str">
        <f t="shared" si="24"/>
        <v>00</v>
      </c>
      <c r="AM190" s="51" t="str">
        <f t="shared" si="25"/>
        <v>00</v>
      </c>
      <c r="AN190" s="51" t="str">
        <f t="shared" si="26"/>
        <v>00</v>
      </c>
      <c r="AO190" s="51" t="str">
        <f t="shared" si="27"/>
        <v>00</v>
      </c>
      <c r="AQ190" t="str">
        <f t="shared" si="22"/>
        <v/>
      </c>
    </row>
    <row r="191" spans="2:43">
      <c r="B191" s="126"/>
      <c r="C191" s="36">
        <f t="shared" si="23"/>
        <v>55</v>
      </c>
      <c r="D191" s="119">
        <f t="shared" si="33"/>
        <v>0</v>
      </c>
      <c r="E191" s="119">
        <f t="shared" si="33"/>
        <v>0</v>
      </c>
      <c r="F191" s="119">
        <f t="shared" si="33"/>
        <v>0</v>
      </c>
      <c r="G191" s="119">
        <f t="shared" si="33"/>
        <v>0</v>
      </c>
      <c r="H191" s="119">
        <f t="shared" si="33"/>
        <v>0</v>
      </c>
      <c r="I191" s="119">
        <f t="shared" si="33"/>
        <v>0</v>
      </c>
      <c r="J191" s="119">
        <f t="shared" si="33"/>
        <v>0</v>
      </c>
      <c r="K191" s="119">
        <f t="shared" si="33"/>
        <v>0</v>
      </c>
      <c r="L191" s="119">
        <f t="shared" si="33"/>
        <v>0</v>
      </c>
      <c r="M191" s="119">
        <f t="shared" si="33"/>
        <v>0</v>
      </c>
      <c r="N191" s="119">
        <f t="shared" si="33"/>
        <v>0</v>
      </c>
      <c r="O191" s="119">
        <f t="shared" si="33"/>
        <v>0</v>
      </c>
      <c r="P191" s="119">
        <f t="shared" si="33"/>
        <v>0</v>
      </c>
      <c r="Q191" s="119">
        <f t="shared" si="33"/>
        <v>0</v>
      </c>
      <c r="R191" s="119">
        <f t="shared" si="33"/>
        <v>0</v>
      </c>
      <c r="S191" s="119">
        <f t="shared" si="33"/>
        <v>0</v>
      </c>
      <c r="T191" s="119">
        <f t="shared" si="33"/>
        <v>0</v>
      </c>
      <c r="U191" s="119">
        <f t="shared" si="33"/>
        <v>0</v>
      </c>
      <c r="V191" s="119">
        <f t="shared" si="33"/>
        <v>0</v>
      </c>
      <c r="W191" s="119">
        <f t="shared" si="33"/>
        <v>0</v>
      </c>
      <c r="X191" s="119">
        <f t="shared" si="33"/>
        <v>0</v>
      </c>
      <c r="Y191" s="119">
        <f t="shared" si="33"/>
        <v>0</v>
      </c>
      <c r="Z191" s="119">
        <f t="shared" si="33"/>
        <v>0</v>
      </c>
      <c r="AA191" s="119">
        <f t="shared" si="33"/>
        <v>0</v>
      </c>
      <c r="AB191" s="119">
        <f t="shared" si="33"/>
        <v>0</v>
      </c>
      <c r="AC191" s="119">
        <f t="shared" si="33"/>
        <v>0</v>
      </c>
      <c r="AD191" s="119">
        <f t="shared" si="33"/>
        <v>0</v>
      </c>
      <c r="AE191" s="119">
        <f t="shared" si="33"/>
        <v>0</v>
      </c>
      <c r="AF191" s="119">
        <f t="shared" si="33"/>
        <v>0</v>
      </c>
      <c r="AG191" s="119">
        <f t="shared" si="33"/>
        <v>0</v>
      </c>
      <c r="AH191" s="119">
        <f t="shared" si="33"/>
        <v>0</v>
      </c>
      <c r="AI191" s="119">
        <f>IF(OR(AI61=0,AI61=1),1,0)</f>
        <v>0</v>
      </c>
      <c r="AJ191" s="36" t="str">
        <f t="shared" si="21"/>
        <v/>
      </c>
      <c r="AK191" s="49"/>
      <c r="AL191" s="49" t="str">
        <f t="shared" si="24"/>
        <v>00</v>
      </c>
      <c r="AM191" s="51" t="str">
        <f t="shared" si="25"/>
        <v>00</v>
      </c>
      <c r="AN191" s="51" t="str">
        <f t="shared" si="26"/>
        <v>00</v>
      </c>
      <c r="AO191" s="51" t="str">
        <f t="shared" si="27"/>
        <v>00</v>
      </c>
      <c r="AQ191" t="str">
        <f t="shared" si="22"/>
        <v/>
      </c>
    </row>
    <row r="192" spans="2:43">
      <c r="B192" s="126"/>
      <c r="C192" s="36">
        <f t="shared" si="23"/>
        <v>56</v>
      </c>
      <c r="D192" s="119">
        <f t="shared" ref="D192:AI199" si="34">IF(OR(D62=0,D62=1),1,0)</f>
        <v>0</v>
      </c>
      <c r="E192" s="119">
        <f t="shared" si="34"/>
        <v>0</v>
      </c>
      <c r="F192" s="119">
        <f t="shared" si="34"/>
        <v>0</v>
      </c>
      <c r="G192" s="119">
        <f t="shared" si="34"/>
        <v>0</v>
      </c>
      <c r="H192" s="119">
        <f t="shared" si="34"/>
        <v>0</v>
      </c>
      <c r="I192" s="119">
        <f t="shared" si="34"/>
        <v>0</v>
      </c>
      <c r="J192" s="119">
        <f t="shared" si="34"/>
        <v>0</v>
      </c>
      <c r="K192" s="119">
        <f t="shared" si="34"/>
        <v>0</v>
      </c>
      <c r="L192" s="119">
        <f t="shared" si="34"/>
        <v>0</v>
      </c>
      <c r="M192" s="119">
        <f t="shared" si="34"/>
        <v>0</v>
      </c>
      <c r="N192" s="119">
        <f t="shared" si="34"/>
        <v>0</v>
      </c>
      <c r="O192" s="119">
        <f t="shared" si="34"/>
        <v>0</v>
      </c>
      <c r="P192" s="119">
        <f t="shared" si="34"/>
        <v>0</v>
      </c>
      <c r="Q192" s="119">
        <f t="shared" si="34"/>
        <v>0</v>
      </c>
      <c r="R192" s="119">
        <f t="shared" si="34"/>
        <v>0</v>
      </c>
      <c r="S192" s="119">
        <f t="shared" si="34"/>
        <v>0</v>
      </c>
      <c r="T192" s="119">
        <f t="shared" si="34"/>
        <v>0</v>
      </c>
      <c r="U192" s="119">
        <f t="shared" si="34"/>
        <v>0</v>
      </c>
      <c r="V192" s="119">
        <f t="shared" si="34"/>
        <v>0</v>
      </c>
      <c r="W192" s="119">
        <f t="shared" si="34"/>
        <v>0</v>
      </c>
      <c r="X192" s="119">
        <f t="shared" si="34"/>
        <v>0</v>
      </c>
      <c r="Y192" s="119">
        <f t="shared" si="34"/>
        <v>0</v>
      </c>
      <c r="Z192" s="119">
        <f t="shared" si="34"/>
        <v>0</v>
      </c>
      <c r="AA192" s="119">
        <f t="shared" si="34"/>
        <v>0</v>
      </c>
      <c r="AB192" s="119">
        <f t="shared" si="34"/>
        <v>0</v>
      </c>
      <c r="AC192" s="119">
        <f t="shared" si="34"/>
        <v>0</v>
      </c>
      <c r="AD192" s="119">
        <f t="shared" si="34"/>
        <v>0</v>
      </c>
      <c r="AE192" s="119">
        <f t="shared" si="34"/>
        <v>0</v>
      </c>
      <c r="AF192" s="119">
        <f t="shared" si="34"/>
        <v>0</v>
      </c>
      <c r="AG192" s="119">
        <f t="shared" si="34"/>
        <v>0</v>
      </c>
      <c r="AH192" s="119">
        <f t="shared" si="34"/>
        <v>0</v>
      </c>
      <c r="AI192" s="119">
        <f t="shared" si="34"/>
        <v>0</v>
      </c>
      <c r="AJ192" s="36" t="str">
        <f t="shared" si="21"/>
        <v/>
      </c>
      <c r="AK192" s="49"/>
      <c r="AL192" s="49" t="str">
        <f t="shared" si="24"/>
        <v>00</v>
      </c>
      <c r="AM192" s="51" t="str">
        <f t="shared" si="25"/>
        <v>00</v>
      </c>
      <c r="AN192" s="51" t="str">
        <f t="shared" si="26"/>
        <v>00</v>
      </c>
      <c r="AO192" s="51" t="str">
        <f t="shared" si="27"/>
        <v>00</v>
      </c>
      <c r="AQ192" t="str">
        <f t="shared" si="22"/>
        <v/>
      </c>
    </row>
    <row r="193" spans="2:43">
      <c r="B193" s="126"/>
      <c r="C193" s="36">
        <f t="shared" si="23"/>
        <v>57</v>
      </c>
      <c r="D193" s="119">
        <f t="shared" si="34"/>
        <v>0</v>
      </c>
      <c r="E193" s="119">
        <f t="shared" si="34"/>
        <v>0</v>
      </c>
      <c r="F193" s="119">
        <f t="shared" si="34"/>
        <v>0</v>
      </c>
      <c r="G193" s="119">
        <f t="shared" si="34"/>
        <v>0</v>
      </c>
      <c r="H193" s="119">
        <f t="shared" si="34"/>
        <v>0</v>
      </c>
      <c r="I193" s="119">
        <f t="shared" si="34"/>
        <v>0</v>
      </c>
      <c r="J193" s="119">
        <f t="shared" si="34"/>
        <v>0</v>
      </c>
      <c r="K193" s="119">
        <f t="shared" si="34"/>
        <v>0</v>
      </c>
      <c r="L193" s="119">
        <f t="shared" si="34"/>
        <v>0</v>
      </c>
      <c r="M193" s="119">
        <f t="shared" si="34"/>
        <v>0</v>
      </c>
      <c r="N193" s="119">
        <f t="shared" si="34"/>
        <v>0</v>
      </c>
      <c r="O193" s="119">
        <f t="shared" si="34"/>
        <v>0</v>
      </c>
      <c r="P193" s="119">
        <f t="shared" si="34"/>
        <v>0</v>
      </c>
      <c r="Q193" s="119">
        <f t="shared" si="34"/>
        <v>0</v>
      </c>
      <c r="R193" s="119">
        <f t="shared" si="34"/>
        <v>0</v>
      </c>
      <c r="S193" s="119">
        <f t="shared" si="34"/>
        <v>0</v>
      </c>
      <c r="T193" s="119">
        <f t="shared" si="34"/>
        <v>0</v>
      </c>
      <c r="U193" s="119">
        <f t="shared" si="34"/>
        <v>0</v>
      </c>
      <c r="V193" s="119">
        <f t="shared" si="34"/>
        <v>0</v>
      </c>
      <c r="W193" s="119">
        <f t="shared" si="34"/>
        <v>0</v>
      </c>
      <c r="X193" s="119">
        <f t="shared" si="34"/>
        <v>0</v>
      </c>
      <c r="Y193" s="119">
        <f t="shared" si="34"/>
        <v>0</v>
      </c>
      <c r="Z193" s="119">
        <f t="shared" si="34"/>
        <v>0</v>
      </c>
      <c r="AA193" s="119">
        <f t="shared" si="34"/>
        <v>0</v>
      </c>
      <c r="AB193" s="119">
        <f t="shared" si="34"/>
        <v>0</v>
      </c>
      <c r="AC193" s="119">
        <f t="shared" si="34"/>
        <v>0</v>
      </c>
      <c r="AD193" s="119">
        <f t="shared" si="34"/>
        <v>0</v>
      </c>
      <c r="AE193" s="119">
        <f t="shared" si="34"/>
        <v>0</v>
      </c>
      <c r="AF193" s="119">
        <f t="shared" si="34"/>
        <v>0</v>
      </c>
      <c r="AG193" s="119">
        <f t="shared" si="34"/>
        <v>0</v>
      </c>
      <c r="AH193" s="119">
        <f t="shared" si="34"/>
        <v>0</v>
      </c>
      <c r="AI193" s="119">
        <f t="shared" si="34"/>
        <v>0</v>
      </c>
      <c r="AJ193" s="36" t="str">
        <f t="shared" si="21"/>
        <v/>
      </c>
      <c r="AK193" s="49"/>
      <c r="AL193" s="49" t="str">
        <f t="shared" si="24"/>
        <v>00</v>
      </c>
      <c r="AM193" s="51" t="str">
        <f t="shared" si="25"/>
        <v>00</v>
      </c>
      <c r="AN193" s="51" t="str">
        <f t="shared" si="26"/>
        <v>00</v>
      </c>
      <c r="AO193" s="51" t="str">
        <f t="shared" si="27"/>
        <v>00</v>
      </c>
      <c r="AQ193" t="str">
        <f t="shared" si="22"/>
        <v/>
      </c>
    </row>
    <row r="194" spans="2:43">
      <c r="B194" s="126"/>
      <c r="C194" s="36">
        <f t="shared" si="23"/>
        <v>58</v>
      </c>
      <c r="D194" s="119">
        <f t="shared" si="34"/>
        <v>0</v>
      </c>
      <c r="E194" s="119">
        <f t="shared" si="34"/>
        <v>0</v>
      </c>
      <c r="F194" s="119">
        <f t="shared" si="34"/>
        <v>0</v>
      </c>
      <c r="G194" s="119">
        <f t="shared" si="34"/>
        <v>0</v>
      </c>
      <c r="H194" s="119">
        <f t="shared" si="34"/>
        <v>0</v>
      </c>
      <c r="I194" s="119">
        <f t="shared" si="34"/>
        <v>0</v>
      </c>
      <c r="J194" s="119">
        <f t="shared" si="34"/>
        <v>0</v>
      </c>
      <c r="K194" s="119">
        <f t="shared" si="34"/>
        <v>0</v>
      </c>
      <c r="L194" s="119">
        <f t="shared" si="34"/>
        <v>0</v>
      </c>
      <c r="M194" s="119">
        <f t="shared" si="34"/>
        <v>0</v>
      </c>
      <c r="N194" s="119">
        <f t="shared" si="34"/>
        <v>0</v>
      </c>
      <c r="O194" s="119">
        <f t="shared" si="34"/>
        <v>0</v>
      </c>
      <c r="P194" s="119">
        <f t="shared" si="34"/>
        <v>0</v>
      </c>
      <c r="Q194" s="119">
        <f t="shared" si="34"/>
        <v>0</v>
      </c>
      <c r="R194" s="119">
        <f t="shared" si="34"/>
        <v>0</v>
      </c>
      <c r="S194" s="119">
        <f t="shared" si="34"/>
        <v>0</v>
      </c>
      <c r="T194" s="119">
        <f t="shared" si="34"/>
        <v>0</v>
      </c>
      <c r="U194" s="119">
        <f t="shared" si="34"/>
        <v>0</v>
      </c>
      <c r="V194" s="119">
        <f t="shared" si="34"/>
        <v>0</v>
      </c>
      <c r="W194" s="119">
        <f t="shared" si="34"/>
        <v>0</v>
      </c>
      <c r="X194" s="119">
        <f t="shared" si="34"/>
        <v>0</v>
      </c>
      <c r="Y194" s="119">
        <f t="shared" si="34"/>
        <v>0</v>
      </c>
      <c r="Z194" s="119">
        <f t="shared" si="34"/>
        <v>0</v>
      </c>
      <c r="AA194" s="119">
        <f t="shared" si="34"/>
        <v>0</v>
      </c>
      <c r="AB194" s="119">
        <f t="shared" si="34"/>
        <v>0</v>
      </c>
      <c r="AC194" s="119">
        <f t="shared" si="34"/>
        <v>0</v>
      </c>
      <c r="AD194" s="119">
        <f t="shared" si="34"/>
        <v>0</v>
      </c>
      <c r="AE194" s="119">
        <f t="shared" si="34"/>
        <v>0</v>
      </c>
      <c r="AF194" s="119">
        <f t="shared" si="34"/>
        <v>0</v>
      </c>
      <c r="AG194" s="119">
        <f t="shared" si="34"/>
        <v>0</v>
      </c>
      <c r="AH194" s="119">
        <f t="shared" si="34"/>
        <v>0</v>
      </c>
      <c r="AI194" s="119">
        <f t="shared" si="34"/>
        <v>0</v>
      </c>
      <c r="AJ194" s="36" t="str">
        <f t="shared" si="21"/>
        <v/>
      </c>
      <c r="AK194" s="49"/>
      <c r="AL194" s="49" t="str">
        <f t="shared" si="24"/>
        <v>00</v>
      </c>
      <c r="AM194" s="51" t="str">
        <f t="shared" si="25"/>
        <v>00</v>
      </c>
      <c r="AN194" s="51" t="str">
        <f t="shared" si="26"/>
        <v>00</v>
      </c>
      <c r="AO194" s="51" t="str">
        <f t="shared" si="27"/>
        <v>00</v>
      </c>
      <c r="AQ194" t="str">
        <f t="shared" si="22"/>
        <v/>
      </c>
    </row>
    <row r="195" spans="2:43">
      <c r="B195" s="126"/>
      <c r="C195" s="36">
        <f t="shared" si="23"/>
        <v>59</v>
      </c>
      <c r="D195" s="119">
        <f t="shared" si="34"/>
        <v>0</v>
      </c>
      <c r="E195" s="119">
        <f t="shared" si="34"/>
        <v>0</v>
      </c>
      <c r="F195" s="119">
        <f t="shared" si="34"/>
        <v>0</v>
      </c>
      <c r="G195" s="119">
        <f t="shared" si="34"/>
        <v>0</v>
      </c>
      <c r="H195" s="119">
        <f t="shared" si="34"/>
        <v>0</v>
      </c>
      <c r="I195" s="119">
        <f t="shared" si="34"/>
        <v>0</v>
      </c>
      <c r="J195" s="119">
        <f t="shared" si="34"/>
        <v>0</v>
      </c>
      <c r="K195" s="119">
        <f t="shared" si="34"/>
        <v>0</v>
      </c>
      <c r="L195" s="119">
        <f t="shared" si="34"/>
        <v>0</v>
      </c>
      <c r="M195" s="119">
        <f t="shared" si="34"/>
        <v>0</v>
      </c>
      <c r="N195" s="119">
        <f t="shared" si="34"/>
        <v>0</v>
      </c>
      <c r="O195" s="119">
        <f t="shared" si="34"/>
        <v>0</v>
      </c>
      <c r="P195" s="119">
        <f t="shared" si="34"/>
        <v>0</v>
      </c>
      <c r="Q195" s="119">
        <f t="shared" si="34"/>
        <v>0</v>
      </c>
      <c r="R195" s="119">
        <f t="shared" si="34"/>
        <v>0</v>
      </c>
      <c r="S195" s="119">
        <f t="shared" si="34"/>
        <v>0</v>
      </c>
      <c r="T195" s="119">
        <f t="shared" si="34"/>
        <v>0</v>
      </c>
      <c r="U195" s="119">
        <f t="shared" si="34"/>
        <v>0</v>
      </c>
      <c r="V195" s="119">
        <f t="shared" si="34"/>
        <v>0</v>
      </c>
      <c r="W195" s="119">
        <f t="shared" si="34"/>
        <v>0</v>
      </c>
      <c r="X195" s="119">
        <f t="shared" si="34"/>
        <v>0</v>
      </c>
      <c r="Y195" s="119">
        <f t="shared" si="34"/>
        <v>0</v>
      </c>
      <c r="Z195" s="119">
        <f t="shared" si="34"/>
        <v>0</v>
      </c>
      <c r="AA195" s="119">
        <f t="shared" si="34"/>
        <v>0</v>
      </c>
      <c r="AB195" s="119">
        <f t="shared" si="34"/>
        <v>0</v>
      </c>
      <c r="AC195" s="119">
        <f t="shared" si="34"/>
        <v>0</v>
      </c>
      <c r="AD195" s="119">
        <f t="shared" si="34"/>
        <v>0</v>
      </c>
      <c r="AE195" s="119">
        <f t="shared" si="34"/>
        <v>0</v>
      </c>
      <c r="AF195" s="119">
        <f t="shared" si="34"/>
        <v>0</v>
      </c>
      <c r="AG195" s="119">
        <f t="shared" si="34"/>
        <v>0</v>
      </c>
      <c r="AH195" s="119">
        <f t="shared" si="34"/>
        <v>0</v>
      </c>
      <c r="AI195" s="119">
        <f t="shared" si="34"/>
        <v>0</v>
      </c>
      <c r="AJ195" s="36" t="str">
        <f t="shared" si="21"/>
        <v/>
      </c>
      <c r="AK195" s="49"/>
      <c r="AL195" s="49" t="str">
        <f t="shared" si="24"/>
        <v>00</v>
      </c>
      <c r="AM195" s="51" t="str">
        <f t="shared" si="25"/>
        <v>00</v>
      </c>
      <c r="AN195" s="51" t="str">
        <f t="shared" si="26"/>
        <v>00</v>
      </c>
      <c r="AO195" s="51" t="str">
        <f t="shared" si="27"/>
        <v>00</v>
      </c>
      <c r="AQ195" t="str">
        <f t="shared" si="22"/>
        <v/>
      </c>
    </row>
    <row r="196" spans="2:43">
      <c r="B196" s="126"/>
      <c r="C196" s="36">
        <f t="shared" si="23"/>
        <v>60</v>
      </c>
      <c r="D196" s="119">
        <f t="shared" si="34"/>
        <v>0</v>
      </c>
      <c r="E196" s="119">
        <f t="shared" si="34"/>
        <v>0</v>
      </c>
      <c r="F196" s="119">
        <f t="shared" si="34"/>
        <v>0</v>
      </c>
      <c r="G196" s="119">
        <f t="shared" si="34"/>
        <v>0</v>
      </c>
      <c r="H196" s="119">
        <f t="shared" si="34"/>
        <v>0</v>
      </c>
      <c r="I196" s="119">
        <f t="shared" si="34"/>
        <v>0</v>
      </c>
      <c r="J196" s="119">
        <f t="shared" si="34"/>
        <v>0</v>
      </c>
      <c r="K196" s="119">
        <f t="shared" si="34"/>
        <v>0</v>
      </c>
      <c r="L196" s="119">
        <f t="shared" si="34"/>
        <v>0</v>
      </c>
      <c r="M196" s="119">
        <f t="shared" si="34"/>
        <v>0</v>
      </c>
      <c r="N196" s="119">
        <f t="shared" si="34"/>
        <v>0</v>
      </c>
      <c r="O196" s="119">
        <f t="shared" si="34"/>
        <v>0</v>
      </c>
      <c r="P196" s="119">
        <f t="shared" si="34"/>
        <v>0</v>
      </c>
      <c r="Q196" s="119">
        <f t="shared" si="34"/>
        <v>0</v>
      </c>
      <c r="R196" s="119">
        <f t="shared" si="34"/>
        <v>0</v>
      </c>
      <c r="S196" s="119">
        <f t="shared" si="34"/>
        <v>0</v>
      </c>
      <c r="T196" s="119">
        <f t="shared" si="34"/>
        <v>0</v>
      </c>
      <c r="U196" s="119">
        <f t="shared" si="34"/>
        <v>0</v>
      </c>
      <c r="V196" s="119">
        <f t="shared" si="34"/>
        <v>0</v>
      </c>
      <c r="W196" s="119">
        <f t="shared" si="34"/>
        <v>0</v>
      </c>
      <c r="X196" s="119">
        <f t="shared" si="34"/>
        <v>0</v>
      </c>
      <c r="Y196" s="119">
        <f t="shared" si="34"/>
        <v>0</v>
      </c>
      <c r="Z196" s="119">
        <f t="shared" si="34"/>
        <v>0</v>
      </c>
      <c r="AA196" s="119">
        <f t="shared" si="34"/>
        <v>0</v>
      </c>
      <c r="AB196" s="119">
        <f t="shared" si="34"/>
        <v>0</v>
      </c>
      <c r="AC196" s="119">
        <f t="shared" si="34"/>
        <v>0</v>
      </c>
      <c r="AD196" s="119">
        <f t="shared" si="34"/>
        <v>0</v>
      </c>
      <c r="AE196" s="119">
        <f t="shared" si="34"/>
        <v>0</v>
      </c>
      <c r="AF196" s="119">
        <f t="shared" si="34"/>
        <v>0</v>
      </c>
      <c r="AG196" s="119">
        <f t="shared" si="34"/>
        <v>0</v>
      </c>
      <c r="AH196" s="119">
        <f t="shared" si="34"/>
        <v>0</v>
      </c>
      <c r="AI196" s="119">
        <f t="shared" si="34"/>
        <v>0</v>
      </c>
      <c r="AJ196" s="36" t="str">
        <f t="shared" si="21"/>
        <v/>
      </c>
      <c r="AK196" s="49"/>
      <c r="AL196" s="49" t="str">
        <f t="shared" si="24"/>
        <v>00</v>
      </c>
      <c r="AM196" s="51" t="str">
        <f t="shared" si="25"/>
        <v>00</v>
      </c>
      <c r="AN196" s="51" t="str">
        <f t="shared" si="26"/>
        <v>00</v>
      </c>
      <c r="AO196" s="51" t="str">
        <f t="shared" si="27"/>
        <v>00</v>
      </c>
      <c r="AQ196" t="str">
        <f t="shared" si="22"/>
        <v/>
      </c>
    </row>
    <row r="197" spans="2:43">
      <c r="B197" s="126"/>
      <c r="C197" s="36">
        <f t="shared" si="23"/>
        <v>61</v>
      </c>
      <c r="D197" s="119">
        <f t="shared" si="34"/>
        <v>0</v>
      </c>
      <c r="E197" s="119">
        <f t="shared" si="34"/>
        <v>0</v>
      </c>
      <c r="F197" s="119">
        <f t="shared" si="34"/>
        <v>0</v>
      </c>
      <c r="G197" s="119">
        <f t="shared" si="34"/>
        <v>0</v>
      </c>
      <c r="H197" s="119">
        <f t="shared" si="34"/>
        <v>0</v>
      </c>
      <c r="I197" s="119">
        <f t="shared" si="34"/>
        <v>0</v>
      </c>
      <c r="J197" s="119">
        <f t="shared" si="34"/>
        <v>0</v>
      </c>
      <c r="K197" s="119">
        <f t="shared" si="34"/>
        <v>0</v>
      </c>
      <c r="L197" s="119">
        <f t="shared" si="34"/>
        <v>0</v>
      </c>
      <c r="M197" s="119">
        <f t="shared" si="34"/>
        <v>0</v>
      </c>
      <c r="N197" s="119">
        <f t="shared" si="34"/>
        <v>0</v>
      </c>
      <c r="O197" s="119">
        <f t="shared" si="34"/>
        <v>0</v>
      </c>
      <c r="P197" s="119">
        <f t="shared" si="34"/>
        <v>0</v>
      </c>
      <c r="Q197" s="119">
        <f t="shared" si="34"/>
        <v>0</v>
      </c>
      <c r="R197" s="119">
        <f t="shared" si="34"/>
        <v>0</v>
      </c>
      <c r="S197" s="119">
        <f t="shared" si="34"/>
        <v>0</v>
      </c>
      <c r="T197" s="119">
        <f t="shared" si="34"/>
        <v>0</v>
      </c>
      <c r="U197" s="119">
        <f t="shared" si="34"/>
        <v>0</v>
      </c>
      <c r="V197" s="119">
        <f t="shared" si="34"/>
        <v>0</v>
      </c>
      <c r="W197" s="119">
        <f t="shared" si="34"/>
        <v>0</v>
      </c>
      <c r="X197" s="119">
        <f t="shared" si="34"/>
        <v>0</v>
      </c>
      <c r="Y197" s="119">
        <f t="shared" si="34"/>
        <v>0</v>
      </c>
      <c r="Z197" s="119">
        <f t="shared" si="34"/>
        <v>0</v>
      </c>
      <c r="AA197" s="119">
        <f t="shared" si="34"/>
        <v>0</v>
      </c>
      <c r="AB197" s="119">
        <f t="shared" si="34"/>
        <v>0</v>
      </c>
      <c r="AC197" s="119">
        <f t="shared" si="34"/>
        <v>0</v>
      </c>
      <c r="AD197" s="119">
        <f t="shared" si="34"/>
        <v>0</v>
      </c>
      <c r="AE197" s="119">
        <f t="shared" si="34"/>
        <v>0</v>
      </c>
      <c r="AF197" s="119">
        <f t="shared" si="34"/>
        <v>0</v>
      </c>
      <c r="AG197" s="119">
        <f t="shared" si="34"/>
        <v>0</v>
      </c>
      <c r="AH197" s="119">
        <f t="shared" si="34"/>
        <v>0</v>
      </c>
      <c r="AI197" s="119">
        <f t="shared" si="34"/>
        <v>0</v>
      </c>
      <c r="AJ197" s="36" t="str">
        <f t="shared" si="21"/>
        <v/>
      </c>
      <c r="AK197" s="49"/>
      <c r="AL197" s="49" t="str">
        <f t="shared" si="24"/>
        <v>00</v>
      </c>
      <c r="AM197" s="51" t="str">
        <f t="shared" si="25"/>
        <v>00</v>
      </c>
      <c r="AN197" s="51" t="str">
        <f t="shared" si="26"/>
        <v>00</v>
      </c>
      <c r="AO197" s="51" t="str">
        <f t="shared" si="27"/>
        <v>00</v>
      </c>
      <c r="AQ197" t="str">
        <f t="shared" si="22"/>
        <v/>
      </c>
    </row>
    <row r="198" spans="2:43">
      <c r="B198" s="126"/>
      <c r="C198" s="36">
        <f t="shared" si="23"/>
        <v>62</v>
      </c>
      <c r="D198" s="119">
        <f t="shared" si="34"/>
        <v>0</v>
      </c>
      <c r="E198" s="119">
        <f t="shared" si="34"/>
        <v>0</v>
      </c>
      <c r="F198" s="119">
        <f t="shared" si="34"/>
        <v>0</v>
      </c>
      <c r="G198" s="119">
        <f t="shared" si="34"/>
        <v>0</v>
      </c>
      <c r="H198" s="119">
        <f t="shared" si="34"/>
        <v>0</v>
      </c>
      <c r="I198" s="119">
        <f t="shared" si="34"/>
        <v>0</v>
      </c>
      <c r="J198" s="119">
        <f t="shared" si="34"/>
        <v>0</v>
      </c>
      <c r="K198" s="119">
        <f t="shared" si="34"/>
        <v>0</v>
      </c>
      <c r="L198" s="119">
        <f t="shared" si="34"/>
        <v>0</v>
      </c>
      <c r="M198" s="119">
        <f t="shared" si="34"/>
        <v>0</v>
      </c>
      <c r="N198" s="119">
        <f t="shared" si="34"/>
        <v>0</v>
      </c>
      <c r="O198" s="119">
        <f t="shared" si="34"/>
        <v>0</v>
      </c>
      <c r="P198" s="119">
        <f t="shared" si="34"/>
        <v>0</v>
      </c>
      <c r="Q198" s="119">
        <f t="shared" si="34"/>
        <v>0</v>
      </c>
      <c r="R198" s="119">
        <f t="shared" si="34"/>
        <v>0</v>
      </c>
      <c r="S198" s="119">
        <f t="shared" si="34"/>
        <v>0</v>
      </c>
      <c r="T198" s="119">
        <f t="shared" si="34"/>
        <v>0</v>
      </c>
      <c r="U198" s="119">
        <f t="shared" si="34"/>
        <v>0</v>
      </c>
      <c r="V198" s="119">
        <f t="shared" si="34"/>
        <v>0</v>
      </c>
      <c r="W198" s="119">
        <f t="shared" si="34"/>
        <v>0</v>
      </c>
      <c r="X198" s="119">
        <f t="shared" si="34"/>
        <v>0</v>
      </c>
      <c r="Y198" s="119">
        <f t="shared" si="34"/>
        <v>0</v>
      </c>
      <c r="Z198" s="119">
        <f t="shared" si="34"/>
        <v>0</v>
      </c>
      <c r="AA198" s="119">
        <f t="shared" si="34"/>
        <v>0</v>
      </c>
      <c r="AB198" s="119">
        <f t="shared" si="34"/>
        <v>0</v>
      </c>
      <c r="AC198" s="119">
        <f t="shared" si="34"/>
        <v>0</v>
      </c>
      <c r="AD198" s="119">
        <f t="shared" si="34"/>
        <v>0</v>
      </c>
      <c r="AE198" s="119">
        <f t="shared" si="34"/>
        <v>0</v>
      </c>
      <c r="AF198" s="119">
        <f t="shared" si="34"/>
        <v>0</v>
      </c>
      <c r="AG198" s="119">
        <f t="shared" si="34"/>
        <v>0</v>
      </c>
      <c r="AH198" s="119">
        <f t="shared" si="34"/>
        <v>0</v>
      </c>
      <c r="AI198" s="119">
        <f t="shared" si="34"/>
        <v>0</v>
      </c>
      <c r="AJ198" s="36" t="str">
        <f t="shared" si="21"/>
        <v/>
      </c>
      <c r="AK198" s="49"/>
      <c r="AL198" s="49" t="str">
        <f t="shared" si="24"/>
        <v>00</v>
      </c>
      <c r="AM198" s="51" t="str">
        <f t="shared" si="25"/>
        <v>00</v>
      </c>
      <c r="AN198" s="51" t="str">
        <f t="shared" si="26"/>
        <v>00</v>
      </c>
      <c r="AO198" s="51" t="str">
        <f t="shared" si="27"/>
        <v>00</v>
      </c>
      <c r="AQ198" t="str">
        <f t="shared" si="22"/>
        <v/>
      </c>
    </row>
    <row r="199" spans="2:43">
      <c r="B199" s="127"/>
      <c r="C199" s="36">
        <f t="shared" si="23"/>
        <v>63</v>
      </c>
      <c r="D199" s="119">
        <f t="shared" si="34"/>
        <v>0</v>
      </c>
      <c r="E199" s="119">
        <f t="shared" si="34"/>
        <v>0</v>
      </c>
      <c r="F199" s="119">
        <f t="shared" si="34"/>
        <v>0</v>
      </c>
      <c r="G199" s="119">
        <f t="shared" si="34"/>
        <v>0</v>
      </c>
      <c r="H199" s="119">
        <f t="shared" si="34"/>
        <v>0</v>
      </c>
      <c r="I199" s="119">
        <f t="shared" si="34"/>
        <v>0</v>
      </c>
      <c r="J199" s="119">
        <f t="shared" si="34"/>
        <v>0</v>
      </c>
      <c r="K199" s="119">
        <f t="shared" si="34"/>
        <v>0</v>
      </c>
      <c r="L199" s="119">
        <f t="shared" si="34"/>
        <v>0</v>
      </c>
      <c r="M199" s="119">
        <f t="shared" si="34"/>
        <v>0</v>
      </c>
      <c r="N199" s="119">
        <f t="shared" si="34"/>
        <v>0</v>
      </c>
      <c r="O199" s="119">
        <f t="shared" si="34"/>
        <v>0</v>
      </c>
      <c r="P199" s="119">
        <f t="shared" si="34"/>
        <v>0</v>
      </c>
      <c r="Q199" s="119">
        <f t="shared" si="34"/>
        <v>0</v>
      </c>
      <c r="R199" s="119">
        <f t="shared" si="34"/>
        <v>0</v>
      </c>
      <c r="S199" s="119">
        <f t="shared" si="34"/>
        <v>0</v>
      </c>
      <c r="T199" s="119">
        <f t="shared" si="34"/>
        <v>0</v>
      </c>
      <c r="U199" s="119">
        <f t="shared" si="34"/>
        <v>0</v>
      </c>
      <c r="V199" s="119">
        <f t="shared" si="34"/>
        <v>0</v>
      </c>
      <c r="W199" s="119">
        <f t="shared" si="34"/>
        <v>0</v>
      </c>
      <c r="X199" s="119">
        <f t="shared" si="34"/>
        <v>0</v>
      </c>
      <c r="Y199" s="119">
        <f t="shared" si="34"/>
        <v>0</v>
      </c>
      <c r="Z199" s="119">
        <f t="shared" si="34"/>
        <v>0</v>
      </c>
      <c r="AA199" s="119">
        <f t="shared" si="34"/>
        <v>0</v>
      </c>
      <c r="AB199" s="119">
        <f t="shared" si="34"/>
        <v>0</v>
      </c>
      <c r="AC199" s="119">
        <f t="shared" si="34"/>
        <v>0</v>
      </c>
      <c r="AD199" s="119">
        <f t="shared" si="34"/>
        <v>0</v>
      </c>
      <c r="AE199" s="119">
        <f t="shared" si="34"/>
        <v>0</v>
      </c>
      <c r="AF199" s="119">
        <f t="shared" si="34"/>
        <v>0</v>
      </c>
      <c r="AG199" s="119">
        <f t="shared" si="34"/>
        <v>0</v>
      </c>
      <c r="AH199" s="119">
        <f t="shared" si="34"/>
        <v>0</v>
      </c>
      <c r="AI199" s="119">
        <f>IF(OR(AI69=0,AI69=1),1,0)</f>
        <v>0</v>
      </c>
      <c r="AJ199" s="36" t="str">
        <f t="shared" si="21"/>
        <v/>
      </c>
      <c r="AK199" s="49"/>
      <c r="AL199" s="49" t="str">
        <f t="shared" si="24"/>
        <v>00</v>
      </c>
      <c r="AM199" s="51" t="str">
        <f t="shared" si="25"/>
        <v>00</v>
      </c>
      <c r="AN199" s="51" t="str">
        <f t="shared" si="26"/>
        <v>00</v>
      </c>
      <c r="AO199" s="51" t="str">
        <f t="shared" si="27"/>
        <v>00</v>
      </c>
      <c r="AQ199" t="str">
        <f t="shared" si="22"/>
        <v/>
      </c>
    </row>
  </sheetData>
  <protectedRanges>
    <protectedRange sqref="L3:AE3 AJ6:AJ13 D6:AF13 D14:AJ69" name="Table作成編集範囲"/>
    <protectedRange sqref="B3" name="Table作成編集範囲_1"/>
    <protectedRange sqref="AF3" name="Table作成編集範囲_1_1"/>
    <protectedRange sqref="AG3" name="Table作成編集範囲_1_1_1"/>
    <protectedRange sqref="AG6:AI13" name="Table作成編集範囲_2"/>
  </protectedRanges>
  <mergeCells count="4">
    <mergeCell ref="C2:C3"/>
    <mergeCell ref="AJ2:AJ3"/>
    <mergeCell ref="A4:B5"/>
    <mergeCell ref="AG3:AH3"/>
  </mergeCells>
  <phoneticPr fontId="2"/>
  <conditionalFormatting sqref="D6:AI69">
    <cfRule type="cellIs" dxfId="4" priority="1" operator="equal">
      <formula>1</formula>
    </cfRule>
    <cfRule type="cellIs" dxfId="3" priority="2" operator="equal">
      <formula>"×"</formula>
    </cfRule>
  </conditionalFormatting>
  <conditionalFormatting sqref="AE6:AF21">
    <cfRule type="cellIs" dxfId="2" priority="4" operator="equal">
      <formula>1</formula>
    </cfRule>
    <cfRule type="cellIs" dxfId="1" priority="5" operator="equal">
      <formula>"×"</formula>
    </cfRule>
  </conditionalFormatting>
  <conditionalFormatting sqref="AR5:AS70">
    <cfRule type="expression" dxfId="0" priority="3">
      <formula>$B$3="Index Table"</formula>
    </cfRule>
  </conditionalFormatting>
  <pageMargins left="0.7" right="0.7" top="0.75" bottom="0.75" header="0.3" footer="0.3"/>
  <pageSetup paperSize="9" orientation="portrait" verticalDpi="0" r:id="rId1"/>
  <headerFooter>
    <oddHeader>&amp;C&amp;"Calibri"&amp;10&amp;KFF0000 CONFIDENTIAL&amp;1#_x000D_</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3:W116"/>
  <sheetViews>
    <sheetView zoomScale="70" zoomScaleNormal="70" workbookViewId="0">
      <selection activeCell="E30" sqref="E30"/>
    </sheetView>
  </sheetViews>
  <sheetFormatPr defaultRowHeight="13.5"/>
  <cols>
    <col min="2" max="2" width="43" bestFit="1" customWidth="1"/>
    <col min="3" max="10" width="3.375" customWidth="1"/>
    <col min="11" max="11" width="22.875" customWidth="1"/>
    <col min="12" max="12" width="25.625" customWidth="1"/>
    <col min="13" max="13" width="22.625" customWidth="1"/>
    <col min="14" max="14" width="10.875" customWidth="1"/>
    <col min="15" max="15" width="21.625" customWidth="1"/>
    <col min="16" max="17" width="10.875" customWidth="1"/>
  </cols>
  <sheetData>
    <row r="3" spans="2:17" ht="14.25" thickBot="1">
      <c r="B3" t="s">
        <v>222</v>
      </c>
    </row>
    <row r="4" spans="2:17" ht="15" thickBot="1">
      <c r="B4" s="86" t="s">
        <v>116</v>
      </c>
      <c r="C4" s="276" t="s">
        <v>200</v>
      </c>
      <c r="D4" s="277"/>
      <c r="E4" s="277"/>
      <c r="F4" s="277"/>
      <c r="G4" s="277"/>
      <c r="H4" s="277"/>
      <c r="I4" s="277"/>
      <c r="J4" s="278"/>
      <c r="K4" s="164"/>
      <c r="L4" s="164"/>
      <c r="M4" s="167"/>
      <c r="N4" s="165"/>
      <c r="O4" s="165"/>
      <c r="P4" s="165"/>
      <c r="Q4" s="166"/>
    </row>
    <row r="5" spans="2:17">
      <c r="B5" s="59"/>
      <c r="C5" s="205" t="s">
        <v>151</v>
      </c>
      <c r="D5" s="205"/>
      <c r="E5" s="205"/>
      <c r="F5" s="205"/>
      <c r="G5" s="205"/>
      <c r="H5" s="205"/>
      <c r="I5" s="205"/>
      <c r="J5" s="205"/>
      <c r="K5" s="205"/>
      <c r="L5" s="205"/>
      <c r="M5" s="25" t="s">
        <v>47</v>
      </c>
      <c r="N5" s="206" t="s">
        <v>20</v>
      </c>
      <c r="O5" s="207"/>
      <c r="P5" s="207"/>
      <c r="Q5" s="208"/>
    </row>
    <row r="6" spans="2:17">
      <c r="B6" s="60" t="s">
        <v>21</v>
      </c>
      <c r="C6" s="279" t="s">
        <v>158</v>
      </c>
      <c r="D6" s="280"/>
      <c r="E6" s="280"/>
      <c r="F6" s="280"/>
      <c r="G6" s="280"/>
      <c r="H6" s="280"/>
      <c r="I6" s="280"/>
      <c r="J6" s="281"/>
      <c r="K6" s="78" t="s">
        <v>223</v>
      </c>
      <c r="L6" s="78"/>
      <c r="M6" s="26" t="s">
        <v>237</v>
      </c>
      <c r="N6" s="176" t="s">
        <v>22</v>
      </c>
      <c r="O6" s="66" t="s">
        <v>153</v>
      </c>
      <c r="P6" s="220" t="s">
        <v>218</v>
      </c>
      <c r="Q6" s="132" t="s">
        <v>25</v>
      </c>
    </row>
    <row r="7" spans="2:17">
      <c r="B7" s="60" t="s">
        <v>31</v>
      </c>
      <c r="C7" s="159" t="s">
        <v>168</v>
      </c>
      <c r="D7" s="159" t="s">
        <v>168</v>
      </c>
      <c r="E7" s="159" t="s">
        <v>168</v>
      </c>
      <c r="F7" s="159" t="s">
        <v>168</v>
      </c>
      <c r="G7" s="159" t="s">
        <v>168</v>
      </c>
      <c r="H7" s="159" t="s">
        <v>168</v>
      </c>
      <c r="I7" s="159" t="s">
        <v>168</v>
      </c>
      <c r="J7" s="159" t="s">
        <v>168</v>
      </c>
      <c r="K7" s="131" t="s">
        <v>224</v>
      </c>
      <c r="L7" s="209" t="s">
        <v>224</v>
      </c>
      <c r="M7" s="26" t="s">
        <v>225</v>
      </c>
      <c r="N7" s="191"/>
      <c r="O7" s="67"/>
      <c r="P7" s="221"/>
      <c r="Q7" s="210"/>
    </row>
    <row r="8" spans="2:17" ht="27">
      <c r="B8" s="61" t="s">
        <v>26</v>
      </c>
      <c r="C8" s="282" t="s">
        <v>33</v>
      </c>
      <c r="D8" s="280"/>
      <c r="E8" s="280"/>
      <c r="F8" s="280"/>
      <c r="G8" s="280"/>
      <c r="H8" s="280"/>
      <c r="I8" s="280"/>
      <c r="J8" s="281"/>
      <c r="K8" s="1" t="s">
        <v>208</v>
      </c>
      <c r="L8" s="211" t="s">
        <v>208</v>
      </c>
      <c r="M8" s="27"/>
      <c r="N8" s="191"/>
      <c r="O8" s="67"/>
      <c r="P8" s="221"/>
      <c r="Q8" s="132"/>
    </row>
    <row r="9" spans="2:17" ht="64.5">
      <c r="B9" s="60" t="s">
        <v>27</v>
      </c>
      <c r="C9" s="212" t="s">
        <v>169</v>
      </c>
      <c r="D9" s="212" t="s">
        <v>58</v>
      </c>
      <c r="E9" s="212" t="s">
        <v>170</v>
      </c>
      <c r="F9" s="212" t="s">
        <v>171</v>
      </c>
      <c r="G9" s="212" t="s">
        <v>172</v>
      </c>
      <c r="H9" s="212" t="s">
        <v>173</v>
      </c>
      <c r="I9" s="212" t="s">
        <v>174</v>
      </c>
      <c r="J9" s="212" t="s">
        <v>175</v>
      </c>
      <c r="K9" s="1" t="s">
        <v>209</v>
      </c>
      <c r="L9" s="211" t="s">
        <v>221</v>
      </c>
      <c r="M9" s="26" t="s">
        <v>28</v>
      </c>
      <c r="N9" s="191"/>
      <c r="O9" s="67"/>
      <c r="P9" s="221"/>
      <c r="Q9" s="132"/>
    </row>
    <row r="10" spans="2:17" ht="54.75" thickBot="1">
      <c r="B10" s="62" t="s">
        <v>29</v>
      </c>
      <c r="C10" s="160" t="s">
        <v>176</v>
      </c>
      <c r="D10" s="160" t="s">
        <v>168</v>
      </c>
      <c r="E10" s="160" t="s">
        <v>176</v>
      </c>
      <c r="F10" s="160" t="s">
        <v>176</v>
      </c>
      <c r="G10" s="160" t="s">
        <v>176</v>
      </c>
      <c r="H10" s="160" t="s">
        <v>176</v>
      </c>
      <c r="I10" s="160" t="s">
        <v>176</v>
      </c>
      <c r="J10" s="160" t="s">
        <v>176</v>
      </c>
      <c r="K10" s="24" t="s">
        <v>226</v>
      </c>
      <c r="L10" s="213" t="s">
        <v>240</v>
      </c>
      <c r="M10" s="28" t="s">
        <v>236</v>
      </c>
      <c r="N10" s="192"/>
      <c r="O10" s="65"/>
      <c r="P10" s="222" t="s">
        <v>239</v>
      </c>
      <c r="Q10" s="133"/>
    </row>
    <row r="11" spans="2:17" ht="14.25" thickTop="1">
      <c r="B11" s="63" t="s">
        <v>241</v>
      </c>
      <c r="C11" s="161" t="s">
        <v>152</v>
      </c>
      <c r="D11" s="161" t="s">
        <v>152</v>
      </c>
      <c r="E11" s="161" t="s">
        <v>152</v>
      </c>
      <c r="F11" s="161" t="s">
        <v>152</v>
      </c>
      <c r="G11" s="161" t="s">
        <v>152</v>
      </c>
      <c r="H11" s="161" t="s">
        <v>152</v>
      </c>
      <c r="I11" s="161" t="s">
        <v>152</v>
      </c>
      <c r="J11" s="161" t="s">
        <v>152</v>
      </c>
      <c r="K11" s="29" t="s">
        <v>227</v>
      </c>
      <c r="L11" s="214" t="s">
        <v>201</v>
      </c>
      <c r="M11" s="30" t="s">
        <v>101</v>
      </c>
      <c r="N11" s="193"/>
      <c r="O11" s="33"/>
      <c r="P11" s="223" t="s">
        <v>168</v>
      </c>
      <c r="Q11" s="134"/>
    </row>
    <row r="12" spans="2:17">
      <c r="B12" s="19" t="s">
        <v>242</v>
      </c>
      <c r="C12" s="162" t="s">
        <v>152</v>
      </c>
      <c r="D12" s="162" t="s">
        <v>152</v>
      </c>
      <c r="E12" s="162" t="s">
        <v>152</v>
      </c>
      <c r="F12" s="162" t="s">
        <v>152</v>
      </c>
      <c r="G12" s="162" t="s">
        <v>152</v>
      </c>
      <c r="H12" s="162" t="s">
        <v>152</v>
      </c>
      <c r="I12" s="162" t="s">
        <v>152</v>
      </c>
      <c r="J12" s="162" t="s">
        <v>152</v>
      </c>
      <c r="K12" s="199" t="s">
        <v>227</v>
      </c>
      <c r="L12" s="215" t="s">
        <v>202</v>
      </c>
      <c r="M12" s="31" t="s">
        <v>199</v>
      </c>
      <c r="N12" s="194"/>
      <c r="O12" s="34"/>
      <c r="P12" s="224" t="s">
        <v>238</v>
      </c>
      <c r="Q12" s="134"/>
    </row>
    <row r="13" spans="2:17">
      <c r="B13" s="19" t="s">
        <v>228</v>
      </c>
      <c r="C13" s="162" t="s">
        <v>152</v>
      </c>
      <c r="D13" s="162" t="s">
        <v>152</v>
      </c>
      <c r="E13" s="162" t="s">
        <v>152</v>
      </c>
      <c r="F13" s="162" t="s">
        <v>152</v>
      </c>
      <c r="G13" s="162" t="s">
        <v>152</v>
      </c>
      <c r="H13" s="162" t="s">
        <v>152</v>
      </c>
      <c r="I13" s="162" t="s">
        <v>152</v>
      </c>
      <c r="J13" s="162" t="s">
        <v>152</v>
      </c>
      <c r="K13" s="199" t="s">
        <v>229</v>
      </c>
      <c r="L13" s="215" t="s">
        <v>203</v>
      </c>
      <c r="M13" s="31" t="s">
        <v>30</v>
      </c>
      <c r="N13" s="194"/>
      <c r="O13" s="216"/>
      <c r="P13" s="224" t="s">
        <v>168</v>
      </c>
      <c r="Q13" s="135"/>
    </row>
    <row r="14" spans="2:17">
      <c r="B14" s="19" t="s">
        <v>231</v>
      </c>
      <c r="C14" s="162" t="s">
        <v>152</v>
      </c>
      <c r="D14" s="162" t="s">
        <v>152</v>
      </c>
      <c r="E14" s="162" t="s">
        <v>152</v>
      </c>
      <c r="F14" s="162" t="s">
        <v>152</v>
      </c>
      <c r="G14" s="162" t="s">
        <v>152</v>
      </c>
      <c r="H14" s="162" t="s">
        <v>152</v>
      </c>
      <c r="I14" s="162" t="s">
        <v>152</v>
      </c>
      <c r="J14" s="162" t="s">
        <v>152</v>
      </c>
      <c r="K14" s="199" t="s">
        <v>232</v>
      </c>
      <c r="L14" s="215" t="s">
        <v>203</v>
      </c>
      <c r="M14" s="31" t="s">
        <v>30</v>
      </c>
      <c r="N14" s="194"/>
      <c r="O14" s="216"/>
      <c r="P14" s="224" t="s">
        <v>168</v>
      </c>
      <c r="Q14" s="135"/>
    </row>
    <row r="15" spans="2:17">
      <c r="B15" s="19" t="s">
        <v>233</v>
      </c>
      <c r="C15" s="162" t="s">
        <v>152</v>
      </c>
      <c r="D15" s="162" t="s">
        <v>152</v>
      </c>
      <c r="E15" s="162" t="s">
        <v>152</v>
      </c>
      <c r="F15" s="162" t="s">
        <v>152</v>
      </c>
      <c r="G15" s="162" t="s">
        <v>152</v>
      </c>
      <c r="H15" s="162" t="s">
        <v>152</v>
      </c>
      <c r="I15" s="162" t="s">
        <v>152</v>
      </c>
      <c r="J15" s="162" t="s">
        <v>152</v>
      </c>
      <c r="K15" s="199" t="s">
        <v>234</v>
      </c>
      <c r="L15" s="215" t="s">
        <v>203</v>
      </c>
      <c r="M15" s="31" t="s">
        <v>30</v>
      </c>
      <c r="N15" s="194"/>
      <c r="O15" s="216"/>
      <c r="P15" s="224" t="s">
        <v>168</v>
      </c>
      <c r="Q15" s="135"/>
    </row>
    <row r="16" spans="2:17" ht="14.25" thickBot="1">
      <c r="B16" s="20" t="s">
        <v>235</v>
      </c>
      <c r="C16" s="163" t="s">
        <v>152</v>
      </c>
      <c r="D16" s="163" t="s">
        <v>152</v>
      </c>
      <c r="E16" s="163" t="s">
        <v>152</v>
      </c>
      <c r="F16" s="163" t="s">
        <v>152</v>
      </c>
      <c r="G16" s="163" t="s">
        <v>152</v>
      </c>
      <c r="H16" s="163" t="s">
        <v>152</v>
      </c>
      <c r="I16" s="163" t="s">
        <v>152</v>
      </c>
      <c r="J16" s="163" t="s">
        <v>152</v>
      </c>
      <c r="K16" s="217" t="s">
        <v>230</v>
      </c>
      <c r="L16" s="218" t="s">
        <v>203</v>
      </c>
      <c r="M16" s="32" t="s">
        <v>30</v>
      </c>
      <c r="N16" s="195"/>
      <c r="O16" s="219"/>
      <c r="P16" s="217" t="s">
        <v>198</v>
      </c>
      <c r="Q16" s="136"/>
    </row>
    <row r="24" spans="22:22">
      <c r="V24" s="196"/>
    </row>
    <row r="116" spans="22:23">
      <c r="V116" s="196"/>
      <c r="W116" s="81"/>
    </row>
  </sheetData>
  <mergeCells count="3">
    <mergeCell ref="C4:J4"/>
    <mergeCell ref="C6:J6"/>
    <mergeCell ref="C8:J8"/>
  </mergeCells>
  <phoneticPr fontId="2"/>
  <dataValidations count="1">
    <dataValidation type="list" allowBlank="1" showInputMessage="1" showErrorMessage="1" sqref="C4"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4" t="s">
        <v>78</v>
      </c>
      <c r="C2" s="75">
        <f>MAX(B4:B28)</f>
        <v>19</v>
      </c>
      <c r="D2" s="75"/>
    </row>
    <row r="3" spans="2:4" ht="14.25" thickBot="1">
      <c r="B3" s="68" t="s">
        <v>78</v>
      </c>
      <c r="C3" s="76" t="s">
        <v>82</v>
      </c>
      <c r="D3" s="69" t="s">
        <v>79</v>
      </c>
    </row>
    <row r="4" spans="2:4" ht="14.25" thickTop="1">
      <c r="B4" s="12">
        <v>0</v>
      </c>
      <c r="C4" s="77" t="s">
        <v>83</v>
      </c>
      <c r="D4" s="13" t="s">
        <v>19</v>
      </c>
    </row>
    <row r="5" spans="2:4" ht="40.5">
      <c r="B5" s="2">
        <v>1</v>
      </c>
      <c r="C5" s="78" t="s">
        <v>83</v>
      </c>
      <c r="D5" s="80" t="s">
        <v>84</v>
      </c>
    </row>
    <row r="6" spans="2:4" ht="27">
      <c r="B6" s="2">
        <v>2</v>
      </c>
      <c r="C6" s="78" t="s">
        <v>86</v>
      </c>
      <c r="D6" s="80" t="s">
        <v>87</v>
      </c>
    </row>
    <row r="7" spans="2:4" ht="54">
      <c r="B7" s="2">
        <v>3</v>
      </c>
      <c r="C7" s="78" t="s">
        <v>83</v>
      </c>
      <c r="D7" s="80" t="s">
        <v>90</v>
      </c>
    </row>
    <row r="8" spans="2:4" ht="81">
      <c r="B8" s="2">
        <v>4</v>
      </c>
      <c r="C8" s="78" t="s">
        <v>98</v>
      </c>
      <c r="D8" s="80" t="s">
        <v>104</v>
      </c>
    </row>
    <row r="9" spans="2:4" ht="41.25" customHeight="1">
      <c r="B9" s="2">
        <v>5</v>
      </c>
      <c r="C9" s="78" t="s">
        <v>99</v>
      </c>
      <c r="D9" s="80" t="s">
        <v>100</v>
      </c>
    </row>
    <row r="10" spans="2:4" ht="27">
      <c r="B10" s="2">
        <v>6</v>
      </c>
      <c r="C10" s="78" t="s">
        <v>83</v>
      </c>
      <c r="D10" s="80" t="s">
        <v>103</v>
      </c>
    </row>
    <row r="11" spans="2:4" ht="27">
      <c r="B11" s="2">
        <v>7</v>
      </c>
      <c r="C11" s="78" t="s">
        <v>98</v>
      </c>
      <c r="D11" s="80" t="s">
        <v>102</v>
      </c>
    </row>
    <row r="12" spans="2:4" ht="27">
      <c r="B12" s="2">
        <v>8</v>
      </c>
      <c r="C12" s="78" t="s">
        <v>83</v>
      </c>
      <c r="D12" s="80" t="s">
        <v>105</v>
      </c>
    </row>
    <row r="13" spans="2:4" ht="27">
      <c r="B13" s="2">
        <v>9</v>
      </c>
      <c r="C13" s="78" t="s">
        <v>83</v>
      </c>
      <c r="D13" s="80" t="s">
        <v>106</v>
      </c>
    </row>
    <row r="14" spans="2:4" ht="27">
      <c r="B14" s="2">
        <v>10</v>
      </c>
      <c r="C14" s="78" t="s">
        <v>107</v>
      </c>
      <c r="D14" s="80" t="s">
        <v>108</v>
      </c>
    </row>
    <row r="15" spans="2:4" ht="135">
      <c r="B15" s="2">
        <v>11</v>
      </c>
      <c r="C15" s="78" t="s">
        <v>83</v>
      </c>
      <c r="D15" s="80" t="s">
        <v>119</v>
      </c>
    </row>
    <row r="16" spans="2:4" ht="191.25" customHeight="1">
      <c r="B16" s="2">
        <v>12</v>
      </c>
      <c r="C16" s="78" t="s">
        <v>147</v>
      </c>
      <c r="D16" s="80" t="s">
        <v>156</v>
      </c>
    </row>
    <row r="17" spans="2:4" ht="27">
      <c r="B17" s="2">
        <v>13</v>
      </c>
      <c r="C17" s="78" t="s">
        <v>86</v>
      </c>
      <c r="D17" s="80" t="s">
        <v>159</v>
      </c>
    </row>
    <row r="18" spans="2:4" ht="67.5">
      <c r="B18" s="2">
        <v>14</v>
      </c>
      <c r="C18" s="78" t="s">
        <v>86</v>
      </c>
      <c r="D18" s="80" t="s">
        <v>161</v>
      </c>
    </row>
    <row r="19" spans="2:4" ht="40.5">
      <c r="B19" s="2">
        <v>15</v>
      </c>
      <c r="C19" s="78" t="s">
        <v>99</v>
      </c>
      <c r="D19" s="80" t="s">
        <v>165</v>
      </c>
    </row>
    <row r="20" spans="2:4" ht="64.5" customHeight="1">
      <c r="B20" s="2">
        <v>16</v>
      </c>
      <c r="C20" s="78" t="s">
        <v>99</v>
      </c>
      <c r="D20" s="80" t="s">
        <v>167</v>
      </c>
    </row>
    <row r="21" spans="2:4" ht="66.75" customHeight="1">
      <c r="B21" s="2">
        <v>17</v>
      </c>
      <c r="C21" s="78" t="s">
        <v>98</v>
      </c>
      <c r="D21" s="80" t="s">
        <v>205</v>
      </c>
    </row>
    <row r="22" spans="2:4" ht="27">
      <c r="B22" s="2">
        <v>18</v>
      </c>
      <c r="C22" s="78" t="s">
        <v>211</v>
      </c>
      <c r="D22" s="80" t="s">
        <v>212</v>
      </c>
    </row>
    <row r="23" spans="2:4" ht="27">
      <c r="B23" s="2">
        <v>19</v>
      </c>
      <c r="C23" s="78" t="s">
        <v>211</v>
      </c>
      <c r="D23" s="80" t="s">
        <v>213</v>
      </c>
    </row>
    <row r="24" spans="2:4">
      <c r="B24" s="2"/>
      <c r="C24" s="78"/>
      <c r="D24" s="80"/>
    </row>
    <row r="25" spans="2:4">
      <c r="B25" s="2"/>
      <c r="C25" s="78"/>
      <c r="D25" s="64"/>
    </row>
    <row r="26" spans="2:4">
      <c r="B26" s="2"/>
      <c r="C26" s="78"/>
      <c r="D26" s="64"/>
    </row>
    <row r="27" spans="2:4" ht="14.25" thickBot="1">
      <c r="B27" s="3"/>
      <c r="C27" s="79"/>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S_PMAR</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IWATA;MIDORI IIZUKA</dc:creator>
  <cp:lastModifiedBy>Haruki Yagi (八木　春樹)</cp:lastModifiedBy>
  <dcterms:created xsi:type="dcterms:W3CDTF">2019-02-05T04:25:17Z</dcterms:created>
  <dcterms:modified xsi:type="dcterms:W3CDTF">2025-07-01T07:06:15Z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2025-07-01T07:06:15Z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564cc787-ceaf-47c5-99ef-73905bccd5ef</vt:lpwstr>
  </property>
  <property fmtid="{D5CDD505-2E9C-101B-9397-08002B2CF9AE}" pid="8" name="MSIP_Label_7ed1414a-99f2-46f9-bbe5-740af8d1b502_ContentBits">
    <vt:lpwstr>1</vt:lpwstr>
  </property>
</Properties>
</file>