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mbeddings/oleObject1.bin" ContentType="application/vnd.openxmlformats-officedocument.oleObject"/>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omments4.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codeName="ThisWorkbook" defaultThemeVersion="124226"/>
  <mc:AlternateContent xmlns:mc="http://schemas.openxmlformats.org/markup-compatibility/2006">
    <mc:Choice Requires="x15">
      <x15ac:absPath xmlns:x15ac="http://schemas.microsoft.com/office/spreadsheetml/2010/11/ac" url="\\s10035azcfs0534.file.core.windows.net\metersoft\開発用\Toyota\BEV\設計成果物_MET\MCU-DT\02.Design\06.FF2\A1.要件\BEV3CDCMET-3653_S_ADBZR\01.パラメータ設計書\"/>
    </mc:Choice>
  </mc:AlternateContent>
  <xr:revisionPtr revIDLastSave="0" documentId="13_ncr:1_{64F5B891-B117-4ABE-A4D1-8F2107BAB504}" xr6:coauthVersionLast="47" xr6:coauthVersionMax="47" xr10:uidLastSave="{00000000-0000-0000-0000-000000000000}"/>
  <bookViews>
    <workbookView xWindow="-120" yWindow="-120" windowWidth="29040" windowHeight="15720" tabRatio="709" activeTab="8" xr2:uid="{00000000-000D-0000-FFFF-FFFF00000000}"/>
  </bookViews>
  <sheets>
    <sheet name="表紙（承認欄）" sheetId="15" r:id="rId1"/>
    <sheet name="表紙" sheetId="1" r:id="rId2"/>
    <sheet name="はじめに" sheetId="10" r:id="rId3"/>
    <sheet name="Matrix" sheetId="4" r:id="rId4"/>
    <sheet name="Config_IF" sheetId="11" r:id="rId5"/>
    <sheet name="CH_Design" sheetId="5" r:id="rId6"/>
    <sheet name="BZ" sheetId="13" r:id="rId7"/>
    <sheet name="VOL" sheetId="14" r:id="rId8"/>
    <sheet name="Reference" sheetId="3" r:id="rId9"/>
    <sheet name="History" sheetId="7" r:id="rId10"/>
  </sheets>
  <externalReferences>
    <externalReference r:id="rId11"/>
    <externalReference r:id="rId12"/>
    <externalReference r:id="rId13"/>
    <externalReference r:id="rId14"/>
  </externalReferences>
  <definedNames>
    <definedName name="_1AB030_" localSheetId="0" hidden="1">{"A",#N/A,FALSE,"(部)工程別 ";"B",#N/A,FALSE,"(部)工程別 ";"D",#N/A,FALSE,"(部)工程別 "}</definedName>
    <definedName name="_1AB030_" hidden="1">{"A",#N/A,FALSE,"(部)工程別 ";"B",#N/A,FALSE,"(部)工程別 ";"D",#N/A,FALSE,"(部)工程別 "}</definedName>
    <definedName name="_2AB926_" localSheetId="0" hidden="1">{"A",#N/A,TRUE,"(原)提出";"B",#N/A,TRUE,"(原)提出";"D",#N/A,TRUE,"(原)提出";"E",#N/A,TRUE,"(原)提出"}</definedName>
    <definedName name="_2AB926_" hidden="1">{"A",#N/A,TRUE,"(原)提出";"B",#N/A,TRUE,"(原)提出";"D",#N/A,TRUE,"(原)提出";"E",#N/A,TRUE,"(原)提出"}</definedName>
    <definedName name="_Fill" hidden="1">'[1]#REF'!$C$3:$C$1000</definedName>
    <definedName name="_Key1" hidden="1">'[1]#REF'!$A$3</definedName>
    <definedName name="_MatInverse_In" localSheetId="0" hidden="1">#REF!</definedName>
    <definedName name="_MatInverse_In" hidden="1">#REF!</definedName>
    <definedName name="_MatInverse_Out" localSheetId="0" hidden="1">#REF!</definedName>
    <definedName name="_MatInverse_Out" hidden="1">#REF!</definedName>
    <definedName name="_Order1" hidden="1">255</definedName>
    <definedName name="_Order2" hidden="1">1</definedName>
    <definedName name="_Sort" hidden="1">'[1]#REF'!$A$3:$AE$787</definedName>
    <definedName name="A">#REF!</definedName>
    <definedName name="B">#REF!</definedName>
    <definedName name="bb" localSheetId="0" hidden="1">{#N/A,#N/A,FALSE,"96下820";#N/A,#N/A,FALSE,"96下826";#N/A,#N/A,FALSE,"96下827";#N/A,#N/A,FALSE,"96下828";#N/A,#N/A,FALSE,"96下861";#N/A,#N/A,FALSE,"96下862"}</definedName>
    <definedName name="bb" hidden="1">{#N/A,#N/A,FALSE,"96下820";#N/A,#N/A,FALSE,"96下826";#N/A,#N/A,FALSE,"96下827";#N/A,#N/A,FALSE,"96下828";#N/A,#N/A,FALSE,"96下861";#N/A,#N/A,FALSE,"96下862"}</definedName>
    <definedName name="bbb" localSheetId="0" hidden="1">{#N/A,#N/A,FALSE,"96下820";#N/A,#N/A,FALSE,"96下826";#N/A,#N/A,FALSE,"96下827";#N/A,#N/A,FALSE,"96下828";#N/A,#N/A,FALSE,"96下861";#N/A,#N/A,FALSE,"96下862"}</definedName>
    <definedName name="bbb" hidden="1">{#N/A,#N/A,FALSE,"96下820";#N/A,#N/A,FALSE,"96下826";#N/A,#N/A,FALSE,"96下827";#N/A,#N/A,FALSE,"96下828";#N/A,#N/A,FALSE,"96下861";#N/A,#N/A,FALSE,"96下862"}</definedName>
    <definedName name="d">#REF!</definedName>
    <definedName name="ddd" localSheetId="0" hidden="1">{"A",#N/A,TRUE,"(原)提出";"B",#N/A,TRUE,"(原)提出";"D",#N/A,TRUE,"(原)提出";"E",#N/A,TRUE,"(原)提出"}</definedName>
    <definedName name="ddd" hidden="1">{"A",#N/A,TRUE,"(原)提出";"B",#N/A,TRUE,"(原)提出";"D",#N/A,TRUE,"(原)提出";"E",#N/A,TRUE,"(原)提出"}</definedName>
    <definedName name="e" localSheetId="0" hidden="1">{#N/A,#N/A,FALSE,"96下820";#N/A,#N/A,FALSE,"96下826";#N/A,#N/A,FALSE,"96下827";#N/A,#N/A,FALSE,"96下828";#N/A,#N/A,FALSE,"96下861";#N/A,#N/A,FALSE,"96下862"}</definedName>
    <definedName name="e" hidden="1">{#N/A,#N/A,FALSE,"96下820";#N/A,#N/A,FALSE,"96下826";#N/A,#N/A,FALSE,"96下827";#N/A,#N/A,FALSE,"96下828";#N/A,#N/A,FALSE,"96下861";#N/A,#N/A,FALSE,"96下862"}</definedName>
    <definedName name="K">#REF!</definedName>
    <definedName name="LED">#REF!</definedName>
    <definedName name="_xlnm.Print_Area">[2]Sheet1!$A$1:$I$233</definedName>
    <definedName name="_xlnm.Print_Titles">[3]車両仕様!$A$1:$C$65536,[3]車両仕様!$A$3:$IV$4</definedName>
    <definedName name="ｓ">#REF!</definedName>
    <definedName name="Sheet_dspmaincfg_Top">#REF!</definedName>
    <definedName name="Sheet_ユーザーカスタマイズ手順_Top">#REF!</definedName>
    <definedName name="Sheet_基礎知識_dispdomain">#REF!</definedName>
    <definedName name="Sheet_基礎知識_dispdomain_Diagram">#REF!</definedName>
    <definedName name="Sheet_基礎知識_dspmgr">#REF!</definedName>
    <definedName name="Sheet_基礎知識_dspmgr_Contents">#REF!</definedName>
    <definedName name="Sheet_基礎知識_dspmgr_STM">#REF!</definedName>
    <definedName name="Sheet_基礎知識_dspmgr_Struct">#REF!</definedName>
    <definedName name="Sheet_基礎知識_dspmgr_SwCancel">#REF!</definedName>
    <definedName name="Sheet_基礎知識_mainscrl">#REF!</definedName>
    <definedName name="Sheet_基礎知識_mainscrl_Contents">#REF!</definedName>
    <definedName name="Sheet_基礎知識_mainscrl_MainSub">#REF!</definedName>
    <definedName name="Sheet_基礎知識_mainscrl_Struct">#REF!</definedName>
    <definedName name="Sheet_基礎知識_swdtctr">#REF!</definedName>
    <definedName name="Sheet_基礎知識_Top">#REF!</definedName>
    <definedName name="sss" localSheetId="0" hidden="1">{#N/A,#N/A,FALSE,"製造勘定表";#N/A,#N/A,FALSE,"直材費";#N/A,#N/A,FALSE,"直接人員";#N/A,#N/A,FALSE,"間接人員";#N/A,#N/A,FALSE,"実働時間";#N/A,#N/A,FALSE,"労務費";#N/A,#N/A,FALSE,"レートマスター";#N/A,#N/A,FALSE,"経費";#N/A,#N/A,FALSE,"分析"}</definedName>
    <definedName name="sss" hidden="1">{#N/A,#N/A,FALSE,"製造勘定表";#N/A,#N/A,FALSE,"直材費";#N/A,#N/A,FALSE,"直接人員";#N/A,#N/A,FALSE,"間接人員";#N/A,#N/A,FALSE,"実働時間";#N/A,#N/A,FALSE,"労務費";#N/A,#N/A,FALSE,"レートマスター";#N/A,#N/A,FALSE,"経費";#N/A,#N/A,FALSE,"分析"}</definedName>
    <definedName name="ｔｅｓｔ" localSheetId="0" hidden="1">{"A",#N/A,TRUE,"(原)提出";"B",#N/A,TRUE,"(原)提出";"D",#N/A,TRUE,"(原)提出";"E",#N/A,TRUE,"(原)提出"}</definedName>
    <definedName name="ｔｅｓｔ" hidden="1">{"A",#N/A,TRUE,"(原)提出";"B",#N/A,TRUE,"(原)提出";"D",#N/A,TRUE,"(原)提出";"E",#N/A,TRUE,"(原)提出"}</definedName>
    <definedName name="ｔｅｓｔ２" localSheetId="0" hidden="1">{"A",#N/A,FALSE,"(工)工程別";"B",#N/A,FALSE,"(工)工程別";"D",#N/A,FALSE,"(工)工程別";"E",#N/A,FALSE,"(工)工程別"}</definedName>
    <definedName name="ｔｅｓｔ２" hidden="1">{"A",#N/A,FALSE,"(工)工程別";"B",#N/A,FALSE,"(工)工程別";"D",#N/A,FALSE,"(工)工程別";"E",#N/A,FALSE,"(工)工程別"}</definedName>
    <definedName name="ｔｅｓｔ３" localSheetId="0" hidden="1">{"A",#N/A,FALSE,"(部)工程別 ";"B",#N/A,FALSE,"(部)工程別 ";"D",#N/A,FALSE,"(部)工程別 "}</definedName>
    <definedName name="ｔｅｓｔ３" hidden="1">{"A",#N/A,FALSE,"(部)工程別 ";"B",#N/A,FALSE,"(部)工程別 ";"D",#N/A,FALSE,"(部)工程別 "}</definedName>
    <definedName name="ｔｅｓｔ４" localSheetId="0" hidden="1">{"A",#N/A,TRUE,"(原)提出";"B",#N/A,TRUE,"(原)提出";"D",#N/A,TRUE,"(原)提出";"E",#N/A,TRUE,"(原)提出"}</definedName>
    <definedName name="ｔｅｓｔ４" hidden="1">{"A",#N/A,TRUE,"(原)提出";"B",#N/A,TRUE,"(原)提出";"D",#N/A,TRUE,"(原)提出";"E",#N/A,TRUE,"(原)提出"}</definedName>
    <definedName name="ｔｅｓｔ５" localSheetId="0" hidden="1">{"A",#N/A,TRUE,"(原)提出";"B",#N/A,TRUE,"(原)提出";"D",#N/A,TRUE,"(原)提出";"E",#N/A,TRUE,"(原)提出"}</definedName>
    <definedName name="ｔｅｓｔ５" hidden="1">{"A",#N/A,TRUE,"(原)提出";"B",#N/A,TRUE,"(原)提出";"D",#N/A,TRUE,"(原)提出";"E",#N/A,TRUE,"(原)提出"}</definedName>
    <definedName name="ｔｅｓｔ６" localSheetId="0" hidden="1">{"A",#N/A,TRUE,"(原)提出";"B",#N/A,TRUE,"(原)提出";"D",#N/A,TRUE,"(原)提出";"E",#N/A,TRUE,"(原)提出"}</definedName>
    <definedName name="ｔｅｓｔ６" hidden="1">{"A",#N/A,TRUE,"(原)提出";"B",#N/A,TRUE,"(原)提出";"D",#N/A,TRUE,"(原)提出";"E",#N/A,TRUE,"(原)提出"}</definedName>
    <definedName name="ｔｅｓｔ７" localSheetId="0" hidden="1">{"A",#N/A,TRUE,"(原)提出";"B",#N/A,TRUE,"(原)提出";"D",#N/A,TRUE,"(原)提出";"E",#N/A,TRUE,"(原)提出"}</definedName>
    <definedName name="ｔｅｓｔ７" hidden="1">{"A",#N/A,TRUE,"(原)提出";"B",#N/A,TRUE,"(原)提出";"D",#N/A,TRUE,"(原)提出";"E",#N/A,TRUE,"(原)提出"}</definedName>
    <definedName name="ｔｅｓｔ８" localSheetId="0" hidden="1">{"A",#N/A,TRUE,"(原)提出";"B",#N/A,TRUE,"(原)提出";"D",#N/A,TRUE,"(原)提出";"E",#N/A,TRUE,"(原)提出"}</definedName>
    <definedName name="ｔｅｓｔ８" hidden="1">{"A",#N/A,TRUE,"(原)提出";"B",#N/A,TRUE,"(原)提出";"D",#N/A,TRUE,"(原)提出";"E",#N/A,TRUE,"(原)提出"}</definedName>
    <definedName name="tt" localSheetId="0" hidden="1">{"A",#N/A,TRUE,"(原)提出";"B",#N/A,TRUE,"(原)提出";"D",#N/A,TRUE,"(原)提出";"E",#N/A,TRUE,"(原)提出"}</definedName>
    <definedName name="tt" hidden="1">{"A",#N/A,TRUE,"(原)提出";"B",#N/A,TRUE,"(原)提出";"D",#N/A,TRUE,"(原)提出";"E",#N/A,TRUE,"(原)提出"}</definedName>
    <definedName name="w" localSheetId="0" hidden="1">{#N/A,#N/A,FALSE,"製造勘定表";#N/A,#N/A,FALSE,"直材費";#N/A,#N/A,FALSE,"直接人員";#N/A,#N/A,FALSE,"間接人員";#N/A,#N/A,FALSE,"実働時間";#N/A,#N/A,FALSE,"労務費";#N/A,#N/A,FALSE,"レートマスター";#N/A,#N/A,FALSE,"経費";#N/A,#N/A,FALSE,"分析"}</definedName>
    <definedName name="w" hidden="1">{#N/A,#N/A,FALSE,"製造勘定表";#N/A,#N/A,FALSE,"直材費";#N/A,#N/A,FALSE,"直接人員";#N/A,#N/A,FALSE,"間接人員";#N/A,#N/A,FALSE,"実働時間";#N/A,#N/A,FALSE,"労務費";#N/A,#N/A,FALSE,"レートマスター";#N/A,#N/A,FALSE,"経費";#N/A,#N/A,FALSE,"分析"}</definedName>
    <definedName name="wrn.324._.KOUTEIBETU." localSheetId="0" hidden="1">{"A",#N/A,FALSE,"(工)工程別";"B",#N/A,FALSE,"(工)工程別";"D",#N/A,FALSE,"(工)工程別";"E",#N/A,FALSE,"(工)工程別"}</definedName>
    <definedName name="wrn.324._.KOUTEIBETU." hidden="1">{"A",#N/A,FALSE,"(工)工程別";"B",#N/A,FALSE,"(工)工程別";"D",#N/A,FALSE,"(工)工程別";"E",#N/A,FALSE,"(工)工程別"}</definedName>
    <definedName name="wrn.822._.KOUTEIBETU." localSheetId="0" hidden="1">{"A",#N/A,FALSE,"(部)工程別 ";"B",#N/A,FALSE,"(部)工程別 ";"D",#N/A,FALSE,"(部)工程別 "}</definedName>
    <definedName name="wrn.822._.KOUTEIBETU." hidden="1">{"A",#N/A,FALSE,"(部)工程別 ";"B",#N/A,FALSE,"(部)工程別 ";"D",#N/A,FALSE,"(部)工程別 "}</definedName>
    <definedName name="wrn.syoukyakuhi" localSheetId="0" hidden="1">{"A",#N/A,TRUE,"(原)提出";"B",#N/A,TRUE,"(原)提出";"D",#N/A,TRUE,"(原)提出";"E",#N/A,TRUE,"(原)提出"}</definedName>
    <definedName name="wrn.syoukyakuhi" hidden="1">{"A",#N/A,TRUE,"(原)提出";"B",#N/A,TRUE,"(原)提出";"D",#N/A,TRUE,"(原)提出";"E",#N/A,TRUE,"(原)提出"}</definedName>
    <definedName name="wrn.SYOUKYAKUHI." localSheetId="0" hidden="1">{"A",#N/A,TRUE,"(原)提出";"B",#N/A,TRUE,"(原)提出";"D",#N/A,TRUE,"(原)提出";"E",#N/A,TRUE,"(原)提出"}</definedName>
    <definedName name="wrn.SYOUKYAKUHI." hidden="1">{"A",#N/A,TRUE,"(原)提出";"B",#N/A,TRUE,"(原)提出";"D",#N/A,TRUE,"(原)提出";"E",#N/A,TRUE,"(原)提出"}</definedName>
    <definedName name="wrn.印刷." localSheetId="0" hidden="1">{#N/A,#N/A,FALSE,"製造勘定表";#N/A,#N/A,FALSE,"直材費";#N/A,#N/A,FALSE,"直接人員";#N/A,#N/A,FALSE,"間接人員";#N/A,#N/A,FALSE,"実働時間";#N/A,#N/A,FALSE,"労務費";#N/A,#N/A,FALSE,"レートマスター";#N/A,#N/A,FALSE,"経費";#N/A,#N/A,FALSE,"分析"}</definedName>
    <definedName name="wrn.印刷." hidden="1">{#N/A,#N/A,FALSE,"製造勘定表";#N/A,#N/A,FALSE,"直材費";#N/A,#N/A,FALSE,"直接人員";#N/A,#N/A,FALSE,"間接人員";#N/A,#N/A,FALSE,"実働時間";#N/A,#N/A,FALSE,"労務費";#N/A,#N/A,FALSE,"レートマスター";#N/A,#N/A,FALSE,"経費";#N/A,#N/A,FALSE,"分析"}</definedName>
    <definedName name="wrn.経費." localSheetId="0" hidden="1">{"経費",#N/A,FALSE,"H7分析"}</definedName>
    <definedName name="wrn.経費." hidden="1">{"経費",#N/A,FALSE,"H7分析"}</definedName>
    <definedName name="wrn.材料人員." localSheetId="0" hidden="1">{"材料人員",#N/A,FALSE,"H7分析"}</definedName>
    <definedName name="wrn.材料人員." hidden="1">{"材料人員",#N/A,FALSE,"H7分析"}</definedName>
    <definedName name="wrn.生産高全印刷." localSheetId="0" hidden="1">{#N/A,#N/A,FALSE,"96下820";#N/A,#N/A,FALSE,"96下826";#N/A,#N/A,FALSE,"96下827";#N/A,#N/A,FALSE,"96下828";#N/A,#N/A,FALSE,"96下861";#N/A,#N/A,FALSE,"96下862"}</definedName>
    <definedName name="wrn.生産高全印刷." hidden="1">{#N/A,#N/A,FALSE,"96下820";#N/A,#N/A,FALSE,"96下826";#N/A,#N/A,FALSE,"96下827";#N/A,#N/A,FALSE,"96下828";#N/A,#N/A,FALSE,"96下861";#N/A,#N/A,FALSE,"96下862"}</definedName>
    <definedName name="wrn.全表." localSheetId="0" hidden="1">{"経費",#N/A,FALSE,"H7分析";"材料人員",#N/A,FALSE,"H7分析";"直接労務",#N/A,FALSE,"H7分析";"分析",#N/A,FALSE,"H7分析"}</definedName>
    <definedName name="wrn.全表." hidden="1">{"経費",#N/A,FALSE,"H7分析";"材料人員",#N/A,FALSE,"H7分析";"直接労務",#N/A,FALSE,"H7分析";"分析",#N/A,FALSE,"H7分析"}</definedName>
    <definedName name="wrn.直接労務." localSheetId="0" hidden="1">{"直接労務",#N/A,FALSE,"H7分析"}</definedName>
    <definedName name="wrn.直接労務." hidden="1">{"直接労務",#N/A,FALSE,"H7分析"}</definedName>
    <definedName name="wrn.分析." localSheetId="0" hidden="1">{"分析",#N/A,FALSE,"H7分析"}</definedName>
    <definedName name="wrn.分析." hidden="1">{"分析",#N/A,FALSE,"H7分析"}</definedName>
    <definedName name="xlo1">#REF!</definedName>
    <definedName name="xlo2">#REF!</definedName>
    <definedName name="xlo3">#REF!</definedName>
    <definedName name="xlo4">#REF!</definedName>
    <definedName name="xup1">#REF!</definedName>
    <definedName name="xup2">#REF!</definedName>
    <definedName name="xup3">#REF!</definedName>
    <definedName name="xup4">#REF!</definedName>
    <definedName name="ylo1">#REF!</definedName>
    <definedName name="ylo2">#REF!</definedName>
    <definedName name="ylo3">#REF!</definedName>
    <definedName name="ylo4">#REF!</definedName>
    <definedName name="yup1">#REF!</definedName>
    <definedName name="yup2">#REF!</definedName>
    <definedName name="yup3">#REF!</definedName>
    <definedName name="yup4">#REF!</definedName>
    <definedName name="Z_549346FF_2959_4613_8783_DAA5CB3C3FA4_.wvu.FilterData" localSheetId="0" hidden="1">#REF!</definedName>
    <definedName name="Z_549346FF_2959_4613_8783_DAA5CB3C3FA4_.wvu.FilterData" hidden="1">#REF!</definedName>
    <definedName name="い" localSheetId="0" hidden="1">{"経費",#N/A,FALSE,"H7分析"}</definedName>
    <definedName name="い" hidden="1">{"経費",#N/A,FALSE,"H7分析"}</definedName>
    <definedName name="う" localSheetId="0" hidden="1">{#N/A,#N/A,FALSE,"96下820";#N/A,#N/A,FALSE,"96下826";#N/A,#N/A,FALSE,"96下827";#N/A,#N/A,FALSE,"96下828";#N/A,#N/A,FALSE,"96下861";#N/A,#N/A,FALSE,"96下862"}</definedName>
    <definedName name="う" hidden="1">{#N/A,#N/A,FALSE,"96下820";#N/A,#N/A,FALSE,"96下826";#N/A,#N/A,FALSE,"96下827";#N/A,#N/A,FALSE,"96下828";#N/A,#N/A,FALSE,"96下861";#N/A,#N/A,FALSE,"96下862"}</definedName>
    <definedName name="え" localSheetId="0" hidden="1">{#N/A,#N/A,FALSE,"96下820";#N/A,#N/A,FALSE,"96下826";#N/A,#N/A,FALSE,"96下827";#N/A,#N/A,FALSE,"96下828";#N/A,#N/A,FALSE,"96下861";#N/A,#N/A,FALSE,"96下862"}</definedName>
    <definedName name="え" hidden="1">{#N/A,#N/A,FALSE,"96下820";#N/A,#N/A,FALSE,"96下826";#N/A,#N/A,FALSE,"96下827";#N/A,#N/A,FALSE,"96下828";#N/A,#N/A,FALSE,"96下861";#N/A,#N/A,FALSE,"96下862"}</definedName>
    <definedName name="テスト">#REF!</definedName>
    <definedName name="愛" localSheetId="0" hidden="1">{"A",#N/A,TRUE,"(原)提出";"B",#N/A,TRUE,"(原)提出";"D",#N/A,TRUE,"(原)提出";"E",#N/A,TRUE,"(原)提出"}</definedName>
    <definedName name="愛" hidden="1">{"A",#N/A,TRUE,"(原)提出";"B",#N/A,TRUE,"(原)提出";"D",#N/A,TRUE,"(原)提出";"E",#N/A,TRUE,"(原)提出"}</definedName>
    <definedName name="開発費" localSheetId="0" hidden="1">{#N/A,#N/A,FALSE,"96下820";#N/A,#N/A,FALSE,"96下826";#N/A,#N/A,FALSE,"96下827";#N/A,#N/A,FALSE,"96下828";#N/A,#N/A,FALSE,"96下861";#N/A,#N/A,FALSE,"96下862"}</definedName>
    <definedName name="開発費" hidden="1">{#N/A,#N/A,FALSE,"96下820";#N/A,#N/A,FALSE,"96下826";#N/A,#N/A,FALSE,"96下827";#N/A,#N/A,FALSE,"96下828";#N/A,#N/A,FALSE,"96下861";#N/A,#N/A,FALSE,"96下862"}</definedName>
    <definedName name="関数名_確定_BON">'[4]Config - dspmgr'!#REF!</definedName>
    <definedName name="関数名_確定_IGOFF">'[4]Config - dspmgr'!#REF!</definedName>
    <definedName name="関数名_確定_IGON">'[4]Config - dspmgr'!#REF!</definedName>
    <definedName name="関数名_確定_WKUP">'[4]Config - dspmgr'!#REF!</definedName>
    <definedName name="関数名_確定_状態遷移_0">'[4]Config - dspmgr'!#REF!</definedName>
    <definedName name="関数名_確定_状態遷移_1">'[4]Config - dspmgr'!#REF!</definedName>
    <definedName name="関数名_確定_状態遷移_2">'[4]Config - dspmgr'!#REF!</definedName>
    <definedName name="関数名_確定_状態遷移_3">'[4]Config - dspmgr'!#REF!</definedName>
    <definedName name="関数名_確定_状態遷移_4">'[4]Config - dspmgr'!#REF!</definedName>
    <definedName name="関数名_確定_定期">'[4]Config - dspmgr'!#REF!</definedName>
    <definedName name="金型共通化" localSheetId="0" hidden="1">{"A",#N/A,TRUE,"(原)提出";"B",#N/A,TRUE,"(原)提出";"D",#N/A,TRUE,"(原)提出";"E",#N/A,TRUE,"(原)提出"}</definedName>
    <definedName name="金型共通化" hidden="1">{"A",#N/A,TRUE,"(原)提出";"B",#N/A,TRUE,"(原)提出";"D",#N/A,TRUE,"(原)提出";"E",#N/A,TRUE,"(原)提出"}</definedName>
    <definedName name="金型共通化２" localSheetId="0" hidden="1">{"A",#N/A,TRUE,"(原)提出";"B",#N/A,TRUE,"(原)提出";"D",#N/A,TRUE,"(原)提出";"E",#N/A,TRUE,"(原)提出"}</definedName>
    <definedName name="金型共通化２" hidden="1">{"A",#N/A,TRUE,"(原)提出";"B",#N/A,TRUE,"(原)提出";"D",#N/A,TRUE,"(原)提出";"E",#N/A,TRUE,"(原)提出"}</definedName>
    <definedName name="駆動回路">#REF!</definedName>
    <definedName name="効果額" localSheetId="0" hidden="1">{"A",#N/A,TRUE,"(原)提出";"B",#N/A,TRUE,"(原)提出";"D",#N/A,TRUE,"(原)提出";"E",#N/A,TRUE,"(原)提出"}</definedName>
    <definedName name="効果額" hidden="1">{"A",#N/A,TRUE,"(原)提出";"B",#N/A,TRUE,"(原)提出";"D",#N/A,TRUE,"(原)提出";"E",#N/A,TRUE,"(原)提出"}</definedName>
    <definedName name="工数削減" localSheetId="0" hidden="1">{"A",#N/A,TRUE,"(原)提出";"B",#N/A,TRUE,"(原)提出";"D",#N/A,TRUE,"(原)提出";"E",#N/A,TRUE,"(原)提出"}</definedName>
    <definedName name="工数削減" hidden="1">{"A",#N/A,TRUE,"(原)提出";"B",#N/A,TRUE,"(原)提出";"D",#N/A,TRUE,"(原)提出";"E",#N/A,TRUE,"(原)提出"}</definedName>
    <definedName name="対" localSheetId="0" hidden="1">{"A",#N/A,TRUE,"(原)提出";"B",#N/A,TRUE,"(原)提出";"D",#N/A,TRUE,"(原)提出";"E",#N/A,TRUE,"(原)提出"}</definedName>
    <definedName name="対" hidden="1">{"A",#N/A,TRUE,"(原)提出";"B",#N/A,TRUE,"(原)提出";"D",#N/A,TRUE,"(原)提出";"E",#N/A,TRUE,"(原)提出"}</definedName>
    <definedName name="品番">#REF!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W13" i="13" l="1"/>
  <c r="T13" i="15"/>
  <c r="AJ199" i="14" l="1"/>
  <c r="AI199" i="14"/>
  <c r="AH199" i="14"/>
  <c r="AG199" i="14"/>
  <c r="AF199" i="14"/>
  <c r="AE199" i="14"/>
  <c r="AD199" i="14"/>
  <c r="AC199" i="14"/>
  <c r="AB199" i="14"/>
  <c r="AA199" i="14"/>
  <c r="Z199" i="14"/>
  <c r="Y199" i="14"/>
  <c r="X199" i="14"/>
  <c r="W199" i="14"/>
  <c r="V199" i="14"/>
  <c r="U199" i="14"/>
  <c r="T199" i="14"/>
  <c r="S199" i="14"/>
  <c r="R199" i="14"/>
  <c r="Q199" i="14"/>
  <c r="P199" i="14"/>
  <c r="O199" i="14"/>
  <c r="N199" i="14"/>
  <c r="M199" i="14"/>
  <c r="L199" i="14"/>
  <c r="K199" i="14"/>
  <c r="J199" i="14"/>
  <c r="I199" i="14"/>
  <c r="H199" i="14"/>
  <c r="G199" i="14"/>
  <c r="F199" i="14"/>
  <c r="E199" i="14"/>
  <c r="D199" i="14"/>
  <c r="AN198" i="14"/>
  <c r="AJ198" i="14"/>
  <c r="AI198" i="14"/>
  <c r="AH198" i="14"/>
  <c r="AG198" i="14"/>
  <c r="AF198" i="14"/>
  <c r="AE198" i="14"/>
  <c r="AD198" i="14"/>
  <c r="AC198" i="14"/>
  <c r="AB198" i="14"/>
  <c r="AA198" i="14"/>
  <c r="Z198" i="14"/>
  <c r="Y198" i="14"/>
  <c r="X198" i="14"/>
  <c r="W198" i="14"/>
  <c r="V198" i="14"/>
  <c r="U198" i="14"/>
  <c r="T198" i="14"/>
  <c r="S198" i="14"/>
  <c r="R198" i="14"/>
  <c r="Q198" i="14"/>
  <c r="P198" i="14"/>
  <c r="O198" i="14"/>
  <c r="N198" i="14"/>
  <c r="M198" i="14"/>
  <c r="L198" i="14"/>
  <c r="K198" i="14"/>
  <c r="AO198" i="14" s="1"/>
  <c r="J198" i="14"/>
  <c r="I198" i="14"/>
  <c r="H198" i="14"/>
  <c r="G198" i="14"/>
  <c r="F198" i="14"/>
  <c r="E198" i="14"/>
  <c r="D198" i="14"/>
  <c r="AJ197" i="14"/>
  <c r="AI197" i="14"/>
  <c r="AL197" i="14" s="1"/>
  <c r="AH197" i="14"/>
  <c r="AG197" i="14"/>
  <c r="AF197" i="14"/>
  <c r="AE197" i="14"/>
  <c r="AD197" i="14"/>
  <c r="AC197" i="14"/>
  <c r="AB197" i="14"/>
  <c r="AA197" i="14"/>
  <c r="Z197" i="14"/>
  <c r="Y197" i="14"/>
  <c r="X197" i="14"/>
  <c r="W197" i="14"/>
  <c r="V197" i="14"/>
  <c r="U197" i="14"/>
  <c r="AM197" i="14" s="1"/>
  <c r="T197" i="14"/>
  <c r="S197" i="14"/>
  <c r="R197" i="14"/>
  <c r="Q197" i="14"/>
  <c r="P197" i="14"/>
  <c r="O197" i="14"/>
  <c r="N197" i="14"/>
  <c r="AN197" i="14" s="1"/>
  <c r="M197" i="14"/>
  <c r="L197" i="14"/>
  <c r="K197" i="14"/>
  <c r="J197" i="14"/>
  <c r="I197" i="14"/>
  <c r="H197" i="14"/>
  <c r="G197" i="14"/>
  <c r="F197" i="14"/>
  <c r="E197" i="14"/>
  <c r="D197" i="14"/>
  <c r="AJ196" i="14"/>
  <c r="AI196" i="14"/>
  <c r="AH196" i="14"/>
  <c r="AG196" i="14"/>
  <c r="AF196" i="14"/>
  <c r="AE196" i="14"/>
  <c r="AD196" i="14"/>
  <c r="AC196" i="14"/>
  <c r="AB196" i="14"/>
  <c r="AA196" i="14"/>
  <c r="Z196" i="14"/>
  <c r="Y196" i="14"/>
  <c r="X196" i="14"/>
  <c r="W196" i="14"/>
  <c r="V196" i="14"/>
  <c r="U196" i="14"/>
  <c r="T196" i="14"/>
  <c r="S196" i="14"/>
  <c r="R196" i="14"/>
  <c r="Q196" i="14"/>
  <c r="P196" i="14"/>
  <c r="O196" i="14"/>
  <c r="N196" i="14"/>
  <c r="M196" i="14"/>
  <c r="AN196" i="14" s="1"/>
  <c r="L196" i="14"/>
  <c r="K196" i="14"/>
  <c r="J196" i="14"/>
  <c r="I196" i="14"/>
  <c r="H196" i="14"/>
  <c r="G196" i="14"/>
  <c r="F196" i="14"/>
  <c r="E196" i="14"/>
  <c r="D196" i="14"/>
  <c r="AO196" i="14" s="1"/>
  <c r="AJ195" i="14"/>
  <c r="AI195" i="14"/>
  <c r="AH195" i="14"/>
  <c r="AG195" i="14"/>
  <c r="AF195" i="14"/>
  <c r="AE195" i="14"/>
  <c r="AD195" i="14"/>
  <c r="AC195" i="14"/>
  <c r="AB195" i="14"/>
  <c r="AA195" i="14"/>
  <c r="Z195" i="14"/>
  <c r="Y195" i="14"/>
  <c r="X195" i="14"/>
  <c r="AM195" i="14" s="1"/>
  <c r="W195" i="14"/>
  <c r="V195" i="14"/>
  <c r="U195" i="14"/>
  <c r="T195" i="14"/>
  <c r="S195" i="14"/>
  <c r="R195" i="14"/>
  <c r="Q195" i="14"/>
  <c r="P195" i="14"/>
  <c r="O195" i="14"/>
  <c r="N195" i="14"/>
  <c r="M195" i="14"/>
  <c r="L195" i="14"/>
  <c r="AN195" i="14" s="1"/>
  <c r="K195" i="14"/>
  <c r="J195" i="14"/>
  <c r="I195" i="14"/>
  <c r="H195" i="14"/>
  <c r="G195" i="14"/>
  <c r="F195" i="14"/>
  <c r="E195" i="14"/>
  <c r="D195" i="14"/>
  <c r="C195" i="14"/>
  <c r="AJ194" i="14"/>
  <c r="AI194" i="14"/>
  <c r="AH194" i="14"/>
  <c r="AG194" i="14"/>
  <c r="AF194" i="14"/>
  <c r="AE194" i="14"/>
  <c r="AD194" i="14"/>
  <c r="AC194" i="14"/>
  <c r="AB194" i="14"/>
  <c r="AA194" i="14"/>
  <c r="Z194" i="14"/>
  <c r="Y194" i="14"/>
  <c r="X194" i="14"/>
  <c r="W194" i="14"/>
  <c r="V194" i="14"/>
  <c r="U194" i="14"/>
  <c r="T194" i="14"/>
  <c r="S194" i="14"/>
  <c r="R194" i="14"/>
  <c r="Q194" i="14"/>
  <c r="P194" i="14"/>
  <c r="O194" i="14"/>
  <c r="N194" i="14"/>
  <c r="M194" i="14"/>
  <c r="L194" i="14"/>
  <c r="K194" i="14"/>
  <c r="J194" i="14"/>
  <c r="I194" i="14"/>
  <c r="H194" i="14"/>
  <c r="G194" i="14"/>
  <c r="AO194" i="14" s="1"/>
  <c r="F194" i="14"/>
  <c r="E194" i="14"/>
  <c r="D194" i="14"/>
  <c r="AN193" i="14"/>
  <c r="AJ193" i="14"/>
  <c r="AI193" i="14"/>
  <c r="AH193" i="14"/>
  <c r="AG193" i="14"/>
  <c r="AF193" i="14"/>
  <c r="AE193" i="14"/>
  <c r="AD193" i="14"/>
  <c r="AC193" i="14"/>
  <c r="AB193" i="14"/>
  <c r="AA193" i="14"/>
  <c r="Z193" i="14"/>
  <c r="Y193" i="14"/>
  <c r="X193" i="14"/>
  <c r="AM193" i="14" s="1"/>
  <c r="W193" i="14"/>
  <c r="V193" i="14"/>
  <c r="U193" i="14"/>
  <c r="T193" i="14"/>
  <c r="S193" i="14"/>
  <c r="R193" i="14"/>
  <c r="Q193" i="14"/>
  <c r="P193" i="14"/>
  <c r="O193" i="14"/>
  <c r="N193" i="14"/>
  <c r="M193" i="14"/>
  <c r="L193" i="14"/>
  <c r="K193" i="14"/>
  <c r="J193" i="14"/>
  <c r="I193" i="14"/>
  <c r="H193" i="14"/>
  <c r="G193" i="14"/>
  <c r="F193" i="14"/>
  <c r="E193" i="14"/>
  <c r="D193" i="14"/>
  <c r="AJ192" i="14"/>
  <c r="AI192" i="14"/>
  <c r="AH192" i="14"/>
  <c r="AG192" i="14"/>
  <c r="AF192" i="14"/>
  <c r="AE192" i="14"/>
  <c r="AD192" i="14"/>
  <c r="AC192" i="14"/>
  <c r="AB192" i="14"/>
  <c r="AA192" i="14"/>
  <c r="Z192" i="14"/>
  <c r="Y192" i="14"/>
  <c r="X192" i="14"/>
  <c r="W192" i="14"/>
  <c r="V192" i="14"/>
  <c r="U192" i="14"/>
  <c r="T192" i="14"/>
  <c r="AM192" i="14" s="1"/>
  <c r="S192" i="14"/>
  <c r="R192" i="14"/>
  <c r="Q192" i="14"/>
  <c r="P192" i="14"/>
  <c r="O192" i="14"/>
  <c r="N192" i="14"/>
  <c r="M192" i="14"/>
  <c r="L192" i="14"/>
  <c r="AN192" i="14" s="1"/>
  <c r="K192" i="14"/>
  <c r="J192" i="14"/>
  <c r="I192" i="14"/>
  <c r="H192" i="14"/>
  <c r="G192" i="14"/>
  <c r="F192" i="14"/>
  <c r="E192" i="14"/>
  <c r="AO192" i="14" s="1"/>
  <c r="D192" i="14"/>
  <c r="AJ191" i="14"/>
  <c r="AI191" i="14"/>
  <c r="AH191" i="14"/>
  <c r="AG191" i="14"/>
  <c r="AF191" i="14"/>
  <c r="AE191" i="14"/>
  <c r="AD191" i="14"/>
  <c r="AC191" i="14"/>
  <c r="AB191" i="14"/>
  <c r="AA191" i="14"/>
  <c r="Z191" i="14"/>
  <c r="Y191" i="14"/>
  <c r="X191" i="14"/>
  <c r="W191" i="14"/>
  <c r="V191" i="14"/>
  <c r="U191" i="14"/>
  <c r="T191" i="14"/>
  <c r="S191" i="14"/>
  <c r="R191" i="14"/>
  <c r="Q191" i="14"/>
  <c r="P191" i="14"/>
  <c r="O191" i="14"/>
  <c r="N191" i="14"/>
  <c r="M191" i="14"/>
  <c r="L191" i="14"/>
  <c r="K191" i="14"/>
  <c r="J191" i="14"/>
  <c r="I191" i="14"/>
  <c r="H191" i="14"/>
  <c r="G191" i="14"/>
  <c r="F191" i="14"/>
  <c r="E191" i="14"/>
  <c r="D191" i="14"/>
  <c r="AO191" i="14" s="1"/>
  <c r="AJ190" i="14"/>
  <c r="AI190" i="14"/>
  <c r="AH190" i="14"/>
  <c r="AG190" i="14"/>
  <c r="AF190" i="14"/>
  <c r="AE190" i="14"/>
  <c r="AL190" i="14" s="1"/>
  <c r="AD190" i="14"/>
  <c r="AC190" i="14"/>
  <c r="AB190" i="14"/>
  <c r="AA190" i="14"/>
  <c r="Z190" i="14"/>
  <c r="Y190" i="14"/>
  <c r="X190" i="14"/>
  <c r="W190" i="14"/>
  <c r="V190" i="14"/>
  <c r="U190" i="14"/>
  <c r="T190" i="14"/>
  <c r="S190" i="14"/>
  <c r="R190" i="14"/>
  <c r="Q190" i="14"/>
  <c r="P190" i="14"/>
  <c r="O190" i="14"/>
  <c r="N190" i="14"/>
  <c r="M190" i="14"/>
  <c r="L190" i="14"/>
  <c r="K190" i="14"/>
  <c r="J190" i="14"/>
  <c r="I190" i="14"/>
  <c r="H190" i="14"/>
  <c r="G190" i="14"/>
  <c r="F190" i="14"/>
  <c r="E190" i="14"/>
  <c r="D190" i="14"/>
  <c r="C190" i="14"/>
  <c r="AO189" i="14"/>
  <c r="AJ189" i="14"/>
  <c r="AI189" i="14"/>
  <c r="AH189" i="14"/>
  <c r="AG189" i="14"/>
  <c r="AF189" i="14"/>
  <c r="AE189" i="14"/>
  <c r="AD189" i="14"/>
  <c r="AC189" i="14"/>
  <c r="AB189" i="14"/>
  <c r="AA189" i="14"/>
  <c r="Z189" i="14"/>
  <c r="Y189" i="14"/>
  <c r="X189" i="14"/>
  <c r="W189" i="14"/>
  <c r="V189" i="14"/>
  <c r="U189" i="14"/>
  <c r="T189" i="14"/>
  <c r="S189" i="14"/>
  <c r="R189" i="14"/>
  <c r="Q189" i="14"/>
  <c r="P189" i="14"/>
  <c r="O189" i="14"/>
  <c r="N189" i="14"/>
  <c r="M189" i="14"/>
  <c r="L189" i="14"/>
  <c r="AN189" i="14" s="1"/>
  <c r="K189" i="14"/>
  <c r="J189" i="14"/>
  <c r="I189" i="14"/>
  <c r="H189" i="14"/>
  <c r="G189" i="14"/>
  <c r="F189" i="14"/>
  <c r="E189" i="14"/>
  <c r="D189" i="14"/>
  <c r="AJ188" i="14"/>
  <c r="AI188" i="14"/>
  <c r="AH188" i="14"/>
  <c r="AG188" i="14"/>
  <c r="AF188" i="14"/>
  <c r="AE188" i="14"/>
  <c r="AD188" i="14"/>
  <c r="AL188" i="14" s="1"/>
  <c r="AC188" i="14"/>
  <c r="AB188" i="14"/>
  <c r="AA188" i="14"/>
  <c r="Z188" i="14"/>
  <c r="Y188" i="14"/>
  <c r="X188" i="14"/>
  <c r="W188" i="14"/>
  <c r="AM188" i="14" s="1"/>
  <c r="V188" i="14"/>
  <c r="U188" i="14"/>
  <c r="T188" i="14"/>
  <c r="S188" i="14"/>
  <c r="R188" i="14"/>
  <c r="Q188" i="14"/>
  <c r="AN188" i="14" s="1"/>
  <c r="P188" i="14"/>
  <c r="O188" i="14"/>
  <c r="N188" i="14"/>
  <c r="M188" i="14"/>
  <c r="L188" i="14"/>
  <c r="K188" i="14"/>
  <c r="J188" i="14"/>
  <c r="I188" i="14"/>
  <c r="H188" i="14"/>
  <c r="G188" i="14"/>
  <c r="F188" i="14"/>
  <c r="E188" i="14"/>
  <c r="D188" i="14"/>
  <c r="C188" i="14"/>
  <c r="AJ187" i="14"/>
  <c r="AI187" i="14"/>
  <c r="AH187" i="14"/>
  <c r="AG187" i="14"/>
  <c r="AF187" i="14"/>
  <c r="AE187" i="14"/>
  <c r="AD187" i="14"/>
  <c r="AC187" i="14"/>
  <c r="AB187" i="14"/>
  <c r="AA187" i="14"/>
  <c r="Z187" i="14"/>
  <c r="Y187" i="14"/>
  <c r="X187" i="14"/>
  <c r="W187" i="14"/>
  <c r="V187" i="14"/>
  <c r="U187" i="14"/>
  <c r="T187" i="14"/>
  <c r="S187" i="14"/>
  <c r="R187" i="14"/>
  <c r="Q187" i="14"/>
  <c r="P187" i="14"/>
  <c r="O187" i="14"/>
  <c r="N187" i="14"/>
  <c r="M187" i="14"/>
  <c r="L187" i="14"/>
  <c r="K187" i="14"/>
  <c r="J187" i="14"/>
  <c r="I187" i="14"/>
  <c r="H187" i="14"/>
  <c r="G187" i="14"/>
  <c r="F187" i="14"/>
  <c r="E187" i="14"/>
  <c r="D187" i="14"/>
  <c r="AN186" i="14"/>
  <c r="AJ186" i="14"/>
  <c r="AI186" i="14"/>
  <c r="AH186" i="14"/>
  <c r="AG186" i="14"/>
  <c r="AF186" i="14"/>
  <c r="AE186" i="14"/>
  <c r="AD186" i="14"/>
  <c r="AC186" i="14"/>
  <c r="AB186" i="14"/>
  <c r="AA186" i="14"/>
  <c r="Z186" i="14"/>
  <c r="Y186" i="14"/>
  <c r="X186" i="14"/>
  <c r="W186" i="14"/>
  <c r="V186" i="14"/>
  <c r="U186" i="14"/>
  <c r="T186" i="14"/>
  <c r="S186" i="14"/>
  <c r="R186" i="14"/>
  <c r="Q186" i="14"/>
  <c r="P186" i="14"/>
  <c r="O186" i="14"/>
  <c r="N186" i="14"/>
  <c r="M186" i="14"/>
  <c r="L186" i="14"/>
  <c r="K186" i="14"/>
  <c r="J186" i="14"/>
  <c r="I186" i="14"/>
  <c r="H186" i="14"/>
  <c r="G186" i="14"/>
  <c r="F186" i="14"/>
  <c r="E186" i="14"/>
  <c r="D186" i="14"/>
  <c r="AJ185" i="14"/>
  <c r="AI185" i="14"/>
  <c r="AH185" i="14"/>
  <c r="AG185" i="14"/>
  <c r="AF185" i="14"/>
  <c r="AE185" i="14"/>
  <c r="AD185" i="14"/>
  <c r="AC185" i="14"/>
  <c r="AB185" i="14"/>
  <c r="AA185" i="14"/>
  <c r="Z185" i="14"/>
  <c r="Y185" i="14"/>
  <c r="X185" i="14"/>
  <c r="W185" i="14"/>
  <c r="V185" i="14"/>
  <c r="U185" i="14"/>
  <c r="T185" i="14"/>
  <c r="S185" i="14"/>
  <c r="R185" i="14"/>
  <c r="Q185" i="14"/>
  <c r="P185" i="14"/>
  <c r="O185" i="14"/>
  <c r="N185" i="14"/>
  <c r="M185" i="14"/>
  <c r="L185" i="14"/>
  <c r="K185" i="14"/>
  <c r="J185" i="14"/>
  <c r="I185" i="14"/>
  <c r="H185" i="14"/>
  <c r="G185" i="14"/>
  <c r="F185" i="14"/>
  <c r="E185" i="14"/>
  <c r="D185" i="14"/>
  <c r="AJ184" i="14"/>
  <c r="AI184" i="14"/>
  <c r="AH184" i="14"/>
  <c r="AG184" i="14"/>
  <c r="AF184" i="14"/>
  <c r="AE184" i="14"/>
  <c r="AD184" i="14"/>
  <c r="AC184" i="14"/>
  <c r="AB184" i="14"/>
  <c r="AA184" i="14"/>
  <c r="Z184" i="14"/>
  <c r="Y184" i="14"/>
  <c r="X184" i="14"/>
  <c r="W184" i="14"/>
  <c r="V184" i="14"/>
  <c r="U184" i="14"/>
  <c r="T184" i="14"/>
  <c r="S184" i="14"/>
  <c r="R184" i="14"/>
  <c r="Q184" i="14"/>
  <c r="P184" i="14"/>
  <c r="O184" i="14"/>
  <c r="N184" i="14"/>
  <c r="M184" i="14"/>
  <c r="L184" i="14"/>
  <c r="AN184" i="14" s="1"/>
  <c r="K184" i="14"/>
  <c r="AO184" i="14" s="1"/>
  <c r="J184" i="14"/>
  <c r="I184" i="14"/>
  <c r="H184" i="14"/>
  <c r="G184" i="14"/>
  <c r="F184" i="14"/>
  <c r="E184" i="14"/>
  <c r="D184" i="14"/>
  <c r="AJ183" i="14"/>
  <c r="AI183" i="14"/>
  <c r="AH183" i="14"/>
  <c r="AG183" i="14"/>
  <c r="AF183" i="14"/>
  <c r="AE183" i="14"/>
  <c r="AD183" i="14"/>
  <c r="AL183" i="14" s="1"/>
  <c r="AC183" i="14"/>
  <c r="AB183" i="14"/>
  <c r="AA183" i="14"/>
  <c r="Z183" i="14"/>
  <c r="Y183" i="14"/>
  <c r="X183" i="14"/>
  <c r="W183" i="14"/>
  <c r="V183" i="14"/>
  <c r="U183" i="14"/>
  <c r="T183" i="14"/>
  <c r="S183" i="14"/>
  <c r="R183" i="14"/>
  <c r="Q183" i="14"/>
  <c r="P183" i="14"/>
  <c r="O183" i="14"/>
  <c r="N183" i="14"/>
  <c r="M183" i="14"/>
  <c r="AN183" i="14" s="1"/>
  <c r="L183" i="14"/>
  <c r="K183" i="14"/>
  <c r="J183" i="14"/>
  <c r="I183" i="14"/>
  <c r="H183" i="14"/>
  <c r="G183" i="14"/>
  <c r="F183" i="14"/>
  <c r="E183" i="14"/>
  <c r="D183" i="14"/>
  <c r="AO183" i="14" s="1"/>
  <c r="AJ182" i="14"/>
  <c r="AI182" i="14"/>
  <c r="AH182" i="14"/>
  <c r="AG182" i="14"/>
  <c r="AF182" i="14"/>
  <c r="AE182" i="14"/>
  <c r="AD182" i="14"/>
  <c r="AC182" i="14"/>
  <c r="AB182" i="14"/>
  <c r="AA182" i="14"/>
  <c r="Z182" i="14"/>
  <c r="Y182" i="14"/>
  <c r="X182" i="14"/>
  <c r="W182" i="14"/>
  <c r="V182" i="14"/>
  <c r="U182" i="14"/>
  <c r="T182" i="14"/>
  <c r="AM182" i="14" s="1"/>
  <c r="S182" i="14"/>
  <c r="R182" i="14"/>
  <c r="Q182" i="14"/>
  <c r="P182" i="14"/>
  <c r="O182" i="14"/>
  <c r="N182" i="14"/>
  <c r="M182" i="14"/>
  <c r="L182" i="14"/>
  <c r="K182" i="14"/>
  <c r="J182" i="14"/>
  <c r="I182" i="14"/>
  <c r="H182" i="14"/>
  <c r="G182" i="14"/>
  <c r="F182" i="14"/>
  <c r="E182" i="14"/>
  <c r="D182" i="14"/>
  <c r="AO182" i="14" s="1"/>
  <c r="AJ181" i="14"/>
  <c r="AI181" i="14"/>
  <c r="AH181" i="14"/>
  <c r="AG181" i="14"/>
  <c r="AF181" i="14"/>
  <c r="AE181" i="14"/>
  <c r="AD181" i="14"/>
  <c r="AC181" i="14"/>
  <c r="AB181" i="14"/>
  <c r="AA181" i="14"/>
  <c r="Z181" i="14"/>
  <c r="Y181" i="14"/>
  <c r="X181" i="14"/>
  <c r="AM181" i="14" s="1"/>
  <c r="W181" i="14"/>
  <c r="V181" i="14"/>
  <c r="U181" i="14"/>
  <c r="T181" i="14"/>
  <c r="S181" i="14"/>
  <c r="R181" i="14"/>
  <c r="Q181" i="14"/>
  <c r="P181" i="14"/>
  <c r="O181" i="14"/>
  <c r="N181" i="14"/>
  <c r="M181" i="14"/>
  <c r="L181" i="14"/>
  <c r="K181" i="14"/>
  <c r="J181" i="14"/>
  <c r="I181" i="14"/>
  <c r="H181" i="14"/>
  <c r="G181" i="14"/>
  <c r="F181" i="14"/>
  <c r="E181" i="14"/>
  <c r="D181" i="14"/>
  <c r="C181" i="14"/>
  <c r="AJ180" i="14"/>
  <c r="AI180" i="14"/>
  <c r="AH180" i="14"/>
  <c r="AG180" i="14"/>
  <c r="AF180" i="14"/>
  <c r="AE180" i="14"/>
  <c r="AD180" i="14"/>
  <c r="AC180" i="14"/>
  <c r="AB180" i="14"/>
  <c r="AA180" i="14"/>
  <c r="Z180" i="14"/>
  <c r="Y180" i="14"/>
  <c r="X180" i="14"/>
  <c r="W180" i="14"/>
  <c r="V180" i="14"/>
  <c r="U180" i="14"/>
  <c r="T180" i="14"/>
  <c r="S180" i="14"/>
  <c r="R180" i="14"/>
  <c r="Q180" i="14"/>
  <c r="P180" i="14"/>
  <c r="O180" i="14"/>
  <c r="N180" i="14"/>
  <c r="M180" i="14"/>
  <c r="L180" i="14"/>
  <c r="K180" i="14"/>
  <c r="J180" i="14"/>
  <c r="I180" i="14"/>
  <c r="H180" i="14"/>
  <c r="G180" i="14"/>
  <c r="AO180" i="14" s="1"/>
  <c r="F180" i="14"/>
  <c r="E180" i="14"/>
  <c r="D180" i="14"/>
  <c r="AN179" i="14"/>
  <c r="AJ179" i="14"/>
  <c r="AI179" i="14"/>
  <c r="AH179" i="14"/>
  <c r="AG179" i="14"/>
  <c r="AF179" i="14"/>
  <c r="AE179" i="14"/>
  <c r="AD179" i="14"/>
  <c r="AC179" i="14"/>
  <c r="AB179" i="14"/>
  <c r="AA179" i="14"/>
  <c r="Z179" i="14"/>
  <c r="Y179" i="14"/>
  <c r="X179" i="14"/>
  <c r="W179" i="14"/>
  <c r="V179" i="14"/>
  <c r="U179" i="14"/>
  <c r="T179" i="14"/>
  <c r="S179" i="14"/>
  <c r="R179" i="14"/>
  <c r="Q179" i="14"/>
  <c r="P179" i="14"/>
  <c r="O179" i="14"/>
  <c r="N179" i="14"/>
  <c r="M179" i="14"/>
  <c r="L179" i="14"/>
  <c r="K179" i="14"/>
  <c r="J179" i="14"/>
  <c r="I179" i="14"/>
  <c r="H179" i="14"/>
  <c r="G179" i="14"/>
  <c r="F179" i="14"/>
  <c r="E179" i="14"/>
  <c r="D179" i="14"/>
  <c r="AJ178" i="14"/>
  <c r="AI178" i="14"/>
  <c r="AH178" i="14"/>
  <c r="AG178" i="14"/>
  <c r="AF178" i="14"/>
  <c r="AE178" i="14"/>
  <c r="AD178" i="14"/>
  <c r="AC178" i="14"/>
  <c r="AB178" i="14"/>
  <c r="AA178" i="14"/>
  <c r="Z178" i="14"/>
  <c r="Y178" i="14"/>
  <c r="X178" i="14"/>
  <c r="W178" i="14"/>
  <c r="V178" i="14"/>
  <c r="U178" i="14"/>
  <c r="T178" i="14"/>
  <c r="AM178" i="14" s="1"/>
  <c r="S178" i="14"/>
  <c r="R178" i="14"/>
  <c r="Q178" i="14"/>
  <c r="P178" i="14"/>
  <c r="O178" i="14"/>
  <c r="N178" i="14"/>
  <c r="M178" i="14"/>
  <c r="L178" i="14"/>
  <c r="K178" i="14"/>
  <c r="J178" i="14"/>
  <c r="I178" i="14"/>
  <c r="H178" i="14"/>
  <c r="G178" i="14"/>
  <c r="F178" i="14"/>
  <c r="E178" i="14"/>
  <c r="D178" i="14"/>
  <c r="AO177" i="14"/>
  <c r="AJ177" i="14"/>
  <c r="AI177" i="14"/>
  <c r="AH177" i="14"/>
  <c r="AG177" i="14"/>
  <c r="AF177" i="14"/>
  <c r="AE177" i="14"/>
  <c r="AD177" i="14"/>
  <c r="AC177" i="14"/>
  <c r="AB177" i="14"/>
  <c r="AA177" i="14"/>
  <c r="Z177" i="14"/>
  <c r="Y177" i="14"/>
  <c r="X177" i="14"/>
  <c r="W177" i="14"/>
  <c r="V177" i="14"/>
  <c r="U177" i="14"/>
  <c r="T177" i="14"/>
  <c r="S177" i="14"/>
  <c r="R177" i="14"/>
  <c r="Q177" i="14"/>
  <c r="P177" i="14"/>
  <c r="O177" i="14"/>
  <c r="N177" i="14"/>
  <c r="M177" i="14"/>
  <c r="L177" i="14"/>
  <c r="AN177" i="14" s="1"/>
  <c r="K177" i="14"/>
  <c r="J177" i="14"/>
  <c r="I177" i="14"/>
  <c r="H177" i="14"/>
  <c r="G177" i="14"/>
  <c r="F177" i="14"/>
  <c r="E177" i="14"/>
  <c r="D177" i="14"/>
  <c r="AJ176" i="14"/>
  <c r="AI176" i="14"/>
  <c r="AH176" i="14"/>
  <c r="AG176" i="14"/>
  <c r="AF176" i="14"/>
  <c r="AE176" i="14"/>
  <c r="AD176" i="14"/>
  <c r="AC176" i="14"/>
  <c r="AB176" i="14"/>
  <c r="AA176" i="14"/>
  <c r="Z176" i="14"/>
  <c r="Y176" i="14"/>
  <c r="X176" i="14"/>
  <c r="W176" i="14"/>
  <c r="V176" i="14"/>
  <c r="U176" i="14"/>
  <c r="T176" i="14"/>
  <c r="S176" i="14"/>
  <c r="R176" i="14"/>
  <c r="Q176" i="14"/>
  <c r="P176" i="14"/>
  <c r="O176" i="14"/>
  <c r="N176" i="14"/>
  <c r="M176" i="14"/>
  <c r="L176" i="14"/>
  <c r="K176" i="14"/>
  <c r="J176" i="14"/>
  <c r="I176" i="14"/>
  <c r="H176" i="14"/>
  <c r="G176" i="14"/>
  <c r="F176" i="14"/>
  <c r="E176" i="14"/>
  <c r="D176" i="14"/>
  <c r="AO176" i="14" s="1"/>
  <c r="C176" i="14"/>
  <c r="AO175" i="14"/>
  <c r="AJ175" i="14"/>
  <c r="AI175" i="14"/>
  <c r="AH175" i="14"/>
  <c r="AG175" i="14"/>
  <c r="AF175" i="14"/>
  <c r="AE175" i="14"/>
  <c r="AD175" i="14"/>
  <c r="AC175" i="14"/>
  <c r="AB175" i="14"/>
  <c r="AA175" i="14"/>
  <c r="Z175" i="14"/>
  <c r="Y175" i="14"/>
  <c r="X175" i="14"/>
  <c r="W175" i="14"/>
  <c r="V175" i="14"/>
  <c r="U175" i="14"/>
  <c r="T175" i="14"/>
  <c r="S175" i="14"/>
  <c r="R175" i="14"/>
  <c r="Q175" i="14"/>
  <c r="P175" i="14"/>
  <c r="O175" i="14"/>
  <c r="N175" i="14"/>
  <c r="M175" i="14"/>
  <c r="L175" i="14"/>
  <c r="AN175" i="14" s="1"/>
  <c r="K175" i="14"/>
  <c r="J175" i="14"/>
  <c r="I175" i="14"/>
  <c r="H175" i="14"/>
  <c r="G175" i="14"/>
  <c r="F175" i="14"/>
  <c r="E175" i="14"/>
  <c r="D175" i="14"/>
  <c r="AM174" i="14"/>
  <c r="AJ174" i="14"/>
  <c r="AI174" i="14"/>
  <c r="AH174" i="14"/>
  <c r="AG174" i="14"/>
  <c r="AF174" i="14"/>
  <c r="AE174" i="14"/>
  <c r="AD174" i="14"/>
  <c r="AC174" i="14"/>
  <c r="AB174" i="14"/>
  <c r="AA174" i="14"/>
  <c r="Z174" i="14"/>
  <c r="Y174" i="14"/>
  <c r="X174" i="14"/>
  <c r="W174" i="14"/>
  <c r="V174" i="14"/>
  <c r="U174" i="14"/>
  <c r="T174" i="14"/>
  <c r="S174" i="14"/>
  <c r="R174" i="14"/>
  <c r="Q174" i="14"/>
  <c r="AN174" i="14" s="1"/>
  <c r="P174" i="14"/>
  <c r="O174" i="14"/>
  <c r="N174" i="14"/>
  <c r="M174" i="14"/>
  <c r="L174" i="14"/>
  <c r="K174" i="14"/>
  <c r="J174" i="14"/>
  <c r="I174" i="14"/>
  <c r="H174" i="14"/>
  <c r="G174" i="14"/>
  <c r="F174" i="14"/>
  <c r="E174" i="14"/>
  <c r="D174" i="14"/>
  <c r="C174" i="14"/>
  <c r="AJ173" i="14"/>
  <c r="AI173" i="14"/>
  <c r="AH173" i="14"/>
  <c r="AG173" i="14"/>
  <c r="AF173" i="14"/>
  <c r="AE173" i="14"/>
  <c r="AD173" i="14"/>
  <c r="AC173" i="14"/>
  <c r="AB173" i="14"/>
  <c r="AA173" i="14"/>
  <c r="Z173" i="14"/>
  <c r="Y173" i="14"/>
  <c r="X173" i="14"/>
  <c r="W173" i="14"/>
  <c r="V173" i="14"/>
  <c r="U173" i="14"/>
  <c r="T173" i="14"/>
  <c r="AM173" i="14" s="1"/>
  <c r="S173" i="14"/>
  <c r="R173" i="14"/>
  <c r="Q173" i="14"/>
  <c r="P173" i="14"/>
  <c r="O173" i="14"/>
  <c r="N173" i="14"/>
  <c r="M173" i="14"/>
  <c r="L173" i="14"/>
  <c r="AN173" i="14" s="1"/>
  <c r="K173" i="14"/>
  <c r="J173" i="14"/>
  <c r="I173" i="14"/>
  <c r="H173" i="14"/>
  <c r="G173" i="14"/>
  <c r="F173" i="14"/>
  <c r="E173" i="14"/>
  <c r="D173" i="14"/>
  <c r="AJ172" i="14"/>
  <c r="AI172" i="14"/>
  <c r="AH172" i="14"/>
  <c r="AG172" i="14"/>
  <c r="AF172" i="14"/>
  <c r="AE172" i="14"/>
  <c r="AD172" i="14"/>
  <c r="AC172" i="14"/>
  <c r="AB172" i="14"/>
  <c r="AA172" i="14"/>
  <c r="Z172" i="14"/>
  <c r="Y172" i="14"/>
  <c r="X172" i="14"/>
  <c r="W172" i="14"/>
  <c r="V172" i="14"/>
  <c r="U172" i="14"/>
  <c r="T172" i="14"/>
  <c r="AM172" i="14" s="1"/>
  <c r="S172" i="14"/>
  <c r="R172" i="14"/>
  <c r="Q172" i="14"/>
  <c r="P172" i="14"/>
  <c r="O172" i="14"/>
  <c r="N172" i="14"/>
  <c r="M172" i="14"/>
  <c r="L172" i="14"/>
  <c r="K172" i="14"/>
  <c r="J172" i="14"/>
  <c r="I172" i="14"/>
  <c r="H172" i="14"/>
  <c r="G172" i="14"/>
  <c r="F172" i="14"/>
  <c r="E172" i="14"/>
  <c r="D172" i="14"/>
  <c r="AO172" i="14" s="1"/>
  <c r="C172" i="14"/>
  <c r="AJ171" i="14"/>
  <c r="AI171" i="14"/>
  <c r="AH171" i="14"/>
  <c r="AG171" i="14"/>
  <c r="AF171" i="14"/>
  <c r="AE171" i="14"/>
  <c r="AD171" i="14"/>
  <c r="AC171" i="14"/>
  <c r="AB171" i="14"/>
  <c r="AA171" i="14"/>
  <c r="Z171" i="14"/>
  <c r="Y171" i="14"/>
  <c r="X171" i="14"/>
  <c r="W171" i="14"/>
  <c r="V171" i="14"/>
  <c r="U171" i="14"/>
  <c r="T171" i="14"/>
  <c r="AM171" i="14" s="1"/>
  <c r="S171" i="14"/>
  <c r="R171" i="14"/>
  <c r="Q171" i="14"/>
  <c r="P171" i="14"/>
  <c r="O171" i="14"/>
  <c r="N171" i="14"/>
  <c r="M171" i="14"/>
  <c r="L171" i="14"/>
  <c r="K171" i="14"/>
  <c r="J171" i="14"/>
  <c r="I171" i="14"/>
  <c r="H171" i="14"/>
  <c r="G171" i="14"/>
  <c r="F171" i="14"/>
  <c r="AO171" i="14" s="1"/>
  <c r="E171" i="14"/>
  <c r="D171" i="14"/>
  <c r="AM170" i="14"/>
  <c r="AJ170" i="14"/>
  <c r="AI170" i="14"/>
  <c r="AH170" i="14"/>
  <c r="AG170" i="14"/>
  <c r="AF170" i="14"/>
  <c r="AE170" i="14"/>
  <c r="AD170" i="14"/>
  <c r="AC170" i="14"/>
  <c r="AB170" i="14"/>
  <c r="AA170" i="14"/>
  <c r="Z170" i="14"/>
  <c r="Y170" i="14"/>
  <c r="X170" i="14"/>
  <c r="W170" i="14"/>
  <c r="V170" i="14"/>
  <c r="U170" i="14"/>
  <c r="T170" i="14"/>
  <c r="S170" i="14"/>
  <c r="R170" i="14"/>
  <c r="Q170" i="14"/>
  <c r="P170" i="14"/>
  <c r="O170" i="14"/>
  <c r="N170" i="14"/>
  <c r="M170" i="14"/>
  <c r="L170" i="14"/>
  <c r="AN170" i="14" s="1"/>
  <c r="K170" i="14"/>
  <c r="J170" i="14"/>
  <c r="I170" i="14"/>
  <c r="H170" i="14"/>
  <c r="G170" i="14"/>
  <c r="F170" i="14"/>
  <c r="E170" i="14"/>
  <c r="AO170" i="14" s="1"/>
  <c r="D170" i="14"/>
  <c r="C170" i="14"/>
  <c r="AJ169" i="14"/>
  <c r="AI169" i="14"/>
  <c r="AH169" i="14"/>
  <c r="AG169" i="14"/>
  <c r="AF169" i="14"/>
  <c r="AE169" i="14"/>
  <c r="AD169" i="14"/>
  <c r="AC169" i="14"/>
  <c r="AB169" i="14"/>
  <c r="AA169" i="14"/>
  <c r="Z169" i="14"/>
  <c r="Y169" i="14"/>
  <c r="X169" i="14"/>
  <c r="W169" i="14"/>
  <c r="V169" i="14"/>
  <c r="U169" i="14"/>
  <c r="T169" i="14"/>
  <c r="S169" i="14"/>
  <c r="R169" i="14"/>
  <c r="Q169" i="14"/>
  <c r="P169" i="14"/>
  <c r="O169" i="14"/>
  <c r="N169" i="14"/>
  <c r="M169" i="14"/>
  <c r="L169" i="14"/>
  <c r="K169" i="14"/>
  <c r="J169" i="14"/>
  <c r="I169" i="14"/>
  <c r="H169" i="14"/>
  <c r="G169" i="14"/>
  <c r="F169" i="14"/>
  <c r="E169" i="14"/>
  <c r="D169" i="14"/>
  <c r="AJ168" i="14"/>
  <c r="AI168" i="14"/>
  <c r="AH168" i="14"/>
  <c r="AG168" i="14"/>
  <c r="AF168" i="14"/>
  <c r="AE168" i="14"/>
  <c r="AD168" i="14"/>
  <c r="AC168" i="14"/>
  <c r="AB168" i="14"/>
  <c r="AA168" i="14"/>
  <c r="Z168" i="14"/>
  <c r="Y168" i="14"/>
  <c r="X168" i="14"/>
  <c r="W168" i="14"/>
  <c r="V168" i="14"/>
  <c r="U168" i="14"/>
  <c r="T168" i="14"/>
  <c r="S168" i="14"/>
  <c r="R168" i="14"/>
  <c r="Q168" i="14"/>
  <c r="P168" i="14"/>
  <c r="O168" i="14"/>
  <c r="N168" i="14"/>
  <c r="M168" i="14"/>
  <c r="L168" i="14"/>
  <c r="K168" i="14"/>
  <c r="J168" i="14"/>
  <c r="I168" i="14"/>
  <c r="H168" i="14"/>
  <c r="G168" i="14"/>
  <c r="F168" i="14"/>
  <c r="E168" i="14"/>
  <c r="D168" i="14"/>
  <c r="AO168" i="14" s="1"/>
  <c r="AJ167" i="14"/>
  <c r="AI167" i="14"/>
  <c r="AH167" i="14"/>
  <c r="AG167" i="14"/>
  <c r="AF167" i="14"/>
  <c r="AE167" i="14"/>
  <c r="AD167" i="14"/>
  <c r="AC167" i="14"/>
  <c r="AB167" i="14"/>
  <c r="AA167" i="14"/>
  <c r="Z167" i="14"/>
  <c r="Y167" i="14"/>
  <c r="X167" i="14"/>
  <c r="AM167" i="14" s="1"/>
  <c r="W167" i="14"/>
  <c r="V167" i="14"/>
  <c r="U167" i="14"/>
  <c r="T167" i="14"/>
  <c r="S167" i="14"/>
  <c r="R167" i="14"/>
  <c r="Q167" i="14"/>
  <c r="P167" i="14"/>
  <c r="O167" i="14"/>
  <c r="N167" i="14"/>
  <c r="AN167" i="14" s="1"/>
  <c r="M167" i="14"/>
  <c r="L167" i="14"/>
  <c r="K167" i="14"/>
  <c r="J167" i="14"/>
  <c r="I167" i="14"/>
  <c r="H167" i="14"/>
  <c r="G167" i="14"/>
  <c r="F167" i="14"/>
  <c r="E167" i="14"/>
  <c r="D167" i="14"/>
  <c r="C167" i="14"/>
  <c r="AJ166" i="14"/>
  <c r="AI166" i="14"/>
  <c r="AH166" i="14"/>
  <c r="AG166" i="14"/>
  <c r="AF166" i="14"/>
  <c r="AE166" i="14"/>
  <c r="AD166" i="14"/>
  <c r="AC166" i="14"/>
  <c r="AB166" i="14"/>
  <c r="AL166" i="14" s="1"/>
  <c r="AA166" i="14"/>
  <c r="Z166" i="14"/>
  <c r="Y166" i="14"/>
  <c r="X166" i="14"/>
  <c r="W166" i="14"/>
  <c r="V166" i="14"/>
  <c r="U166" i="14"/>
  <c r="T166" i="14"/>
  <c r="S166" i="14"/>
  <c r="R166" i="14"/>
  <c r="Q166" i="14"/>
  <c r="P166" i="14"/>
  <c r="O166" i="14"/>
  <c r="N166" i="14"/>
  <c r="M166" i="14"/>
  <c r="L166" i="14"/>
  <c r="K166" i="14"/>
  <c r="J166" i="14"/>
  <c r="I166" i="14"/>
  <c r="H166" i="14"/>
  <c r="G166" i="14"/>
  <c r="AO166" i="14" s="1"/>
  <c r="F166" i="14"/>
  <c r="E166" i="14"/>
  <c r="D166" i="14"/>
  <c r="AN165" i="14"/>
  <c r="AJ165" i="14"/>
  <c r="AI165" i="14"/>
  <c r="AH165" i="14"/>
  <c r="AL165" i="14" s="1"/>
  <c r="AG165" i="14"/>
  <c r="AF165" i="14"/>
  <c r="AE165" i="14"/>
  <c r="AD165" i="14"/>
  <c r="AC165" i="14"/>
  <c r="AB165" i="14"/>
  <c r="AA165" i="14"/>
  <c r="Z165" i="14"/>
  <c r="Y165" i="14"/>
  <c r="X165" i="14"/>
  <c r="W165" i="14"/>
  <c r="AM165" i="14" s="1"/>
  <c r="V165" i="14"/>
  <c r="U165" i="14"/>
  <c r="T165" i="14"/>
  <c r="S165" i="14"/>
  <c r="R165" i="14"/>
  <c r="Q165" i="14"/>
  <c r="P165" i="14"/>
  <c r="O165" i="14"/>
  <c r="N165" i="14"/>
  <c r="M165" i="14"/>
  <c r="L165" i="14"/>
  <c r="K165" i="14"/>
  <c r="J165" i="14"/>
  <c r="I165" i="14"/>
  <c r="H165" i="14"/>
  <c r="G165" i="14"/>
  <c r="F165" i="14"/>
  <c r="E165" i="14"/>
  <c r="D165" i="14"/>
  <c r="AJ164" i="14"/>
  <c r="AI164" i="14"/>
  <c r="AH164" i="14"/>
  <c r="AG164" i="14"/>
  <c r="AF164" i="14"/>
  <c r="AE164" i="14"/>
  <c r="AD164" i="14"/>
  <c r="AC164" i="14"/>
  <c r="AB164" i="14"/>
  <c r="AA164" i="14"/>
  <c r="Z164" i="14"/>
  <c r="Y164" i="14"/>
  <c r="X164" i="14"/>
  <c r="W164" i="14"/>
  <c r="V164" i="14"/>
  <c r="U164" i="14"/>
  <c r="T164" i="14"/>
  <c r="S164" i="14"/>
  <c r="R164" i="14"/>
  <c r="Q164" i="14"/>
  <c r="P164" i="14"/>
  <c r="O164" i="14"/>
  <c r="N164" i="14"/>
  <c r="M164" i="14"/>
  <c r="L164" i="14"/>
  <c r="AN164" i="14" s="1"/>
  <c r="K164" i="14"/>
  <c r="J164" i="14"/>
  <c r="I164" i="14"/>
  <c r="H164" i="14"/>
  <c r="G164" i="14"/>
  <c r="F164" i="14"/>
  <c r="E164" i="14"/>
  <c r="D164" i="14"/>
  <c r="AJ163" i="14"/>
  <c r="AI163" i="14"/>
  <c r="AH163" i="14"/>
  <c r="AG163" i="14"/>
  <c r="AF163" i="14"/>
  <c r="AE163" i="14"/>
  <c r="AD163" i="14"/>
  <c r="AC163" i="14"/>
  <c r="AB163" i="14"/>
  <c r="AA163" i="14"/>
  <c r="Z163" i="14"/>
  <c r="Y163" i="14"/>
  <c r="X163" i="14"/>
  <c r="W163" i="14"/>
  <c r="V163" i="14"/>
  <c r="U163" i="14"/>
  <c r="T163" i="14"/>
  <c r="AM163" i="14" s="1"/>
  <c r="S163" i="14"/>
  <c r="R163" i="14"/>
  <c r="Q163" i="14"/>
  <c r="P163" i="14"/>
  <c r="O163" i="14"/>
  <c r="N163" i="14"/>
  <c r="M163" i="14"/>
  <c r="L163" i="14"/>
  <c r="K163" i="14"/>
  <c r="J163" i="14"/>
  <c r="I163" i="14"/>
  <c r="H163" i="14"/>
  <c r="G163" i="14"/>
  <c r="F163" i="14"/>
  <c r="E163" i="14"/>
  <c r="D163" i="14"/>
  <c r="AO163" i="14" s="1"/>
  <c r="AJ162" i="14"/>
  <c r="AI162" i="14"/>
  <c r="AH162" i="14"/>
  <c r="AG162" i="14"/>
  <c r="AF162" i="14"/>
  <c r="AE162" i="14"/>
  <c r="AD162" i="14"/>
  <c r="AC162" i="14"/>
  <c r="AB162" i="14"/>
  <c r="AA162" i="14"/>
  <c r="Z162" i="14"/>
  <c r="Y162" i="14"/>
  <c r="X162" i="14"/>
  <c r="W162" i="14"/>
  <c r="V162" i="14"/>
  <c r="U162" i="14"/>
  <c r="T162" i="14"/>
  <c r="AM162" i="14" s="1"/>
  <c r="S162" i="14"/>
  <c r="R162" i="14"/>
  <c r="Q162" i="14"/>
  <c r="P162" i="14"/>
  <c r="O162" i="14"/>
  <c r="N162" i="14"/>
  <c r="M162" i="14"/>
  <c r="L162" i="14"/>
  <c r="AN162" i="14" s="1"/>
  <c r="K162" i="14"/>
  <c r="J162" i="14"/>
  <c r="I162" i="14"/>
  <c r="H162" i="14"/>
  <c r="G162" i="14"/>
  <c r="F162" i="14"/>
  <c r="E162" i="14"/>
  <c r="D162" i="14"/>
  <c r="AO162" i="14" s="1"/>
  <c r="C162" i="14"/>
  <c r="AJ161" i="14"/>
  <c r="AI161" i="14"/>
  <c r="AH161" i="14"/>
  <c r="AG161" i="14"/>
  <c r="AF161" i="14"/>
  <c r="AE161" i="14"/>
  <c r="AD161" i="14"/>
  <c r="AC161" i="14"/>
  <c r="AB161" i="14"/>
  <c r="AA161" i="14"/>
  <c r="Z161" i="14"/>
  <c r="Y161" i="14"/>
  <c r="X161" i="14"/>
  <c r="W161" i="14"/>
  <c r="V161" i="14"/>
  <c r="U161" i="14"/>
  <c r="T161" i="14"/>
  <c r="S161" i="14"/>
  <c r="R161" i="14"/>
  <c r="Q161" i="14"/>
  <c r="P161" i="14"/>
  <c r="O161" i="14"/>
  <c r="N161" i="14"/>
  <c r="M161" i="14"/>
  <c r="L161" i="14"/>
  <c r="AN161" i="14" s="1"/>
  <c r="K161" i="14"/>
  <c r="J161" i="14"/>
  <c r="I161" i="14"/>
  <c r="H161" i="14"/>
  <c r="G161" i="14"/>
  <c r="F161" i="14"/>
  <c r="AO161" i="14" s="1"/>
  <c r="E161" i="14"/>
  <c r="D161" i="14"/>
  <c r="AJ160" i="14"/>
  <c r="AI160" i="14"/>
  <c r="AH160" i="14"/>
  <c r="AG160" i="14"/>
  <c r="AF160" i="14"/>
  <c r="AE160" i="14"/>
  <c r="AD160" i="14"/>
  <c r="AC160" i="14"/>
  <c r="AB160" i="14"/>
  <c r="AA160" i="14"/>
  <c r="Z160" i="14"/>
  <c r="Y160" i="14"/>
  <c r="X160" i="14"/>
  <c r="W160" i="14"/>
  <c r="V160" i="14"/>
  <c r="AM160" i="14" s="1"/>
  <c r="U160" i="14"/>
  <c r="T160" i="14"/>
  <c r="S160" i="14"/>
  <c r="R160" i="14"/>
  <c r="Q160" i="14"/>
  <c r="AN160" i="14" s="1"/>
  <c r="P160" i="14"/>
  <c r="O160" i="14"/>
  <c r="N160" i="14"/>
  <c r="M160" i="14"/>
  <c r="L160" i="14"/>
  <c r="K160" i="14"/>
  <c r="J160" i="14"/>
  <c r="I160" i="14"/>
  <c r="H160" i="14"/>
  <c r="G160" i="14"/>
  <c r="F160" i="14"/>
  <c r="E160" i="14"/>
  <c r="D160" i="14"/>
  <c r="C160" i="14"/>
  <c r="AJ159" i="14"/>
  <c r="AI159" i="14"/>
  <c r="AH159" i="14"/>
  <c r="AG159" i="14"/>
  <c r="AF159" i="14"/>
  <c r="AE159" i="14"/>
  <c r="AD159" i="14"/>
  <c r="AC159" i="14"/>
  <c r="AB159" i="14"/>
  <c r="AA159" i="14"/>
  <c r="Z159" i="14"/>
  <c r="Y159" i="14"/>
  <c r="X159" i="14"/>
  <c r="W159" i="14"/>
  <c r="V159" i="14"/>
  <c r="U159" i="14"/>
  <c r="T159" i="14"/>
  <c r="AM159" i="14" s="1"/>
  <c r="S159" i="14"/>
  <c r="R159" i="14"/>
  <c r="Q159" i="14"/>
  <c r="P159" i="14"/>
  <c r="O159" i="14"/>
  <c r="N159" i="14"/>
  <c r="M159" i="14"/>
  <c r="L159" i="14"/>
  <c r="K159" i="14"/>
  <c r="J159" i="14"/>
  <c r="I159" i="14"/>
  <c r="H159" i="14"/>
  <c r="G159" i="14"/>
  <c r="F159" i="14"/>
  <c r="E159" i="14"/>
  <c r="D159" i="14"/>
  <c r="AJ158" i="14"/>
  <c r="AI158" i="14"/>
  <c r="AH158" i="14"/>
  <c r="AG158" i="14"/>
  <c r="AF158" i="14"/>
  <c r="AE158" i="14"/>
  <c r="AD158" i="14"/>
  <c r="AL158" i="14" s="1"/>
  <c r="AC158" i="14"/>
  <c r="AB158" i="14"/>
  <c r="AA158" i="14"/>
  <c r="Z158" i="14"/>
  <c r="Y158" i="14"/>
  <c r="X158" i="14"/>
  <c r="W158" i="14"/>
  <c r="V158" i="14"/>
  <c r="U158" i="14"/>
  <c r="T158" i="14"/>
  <c r="S158" i="14"/>
  <c r="R158" i="14"/>
  <c r="Q158" i="14"/>
  <c r="P158" i="14"/>
  <c r="AN158" i="14" s="1"/>
  <c r="O158" i="14"/>
  <c r="N158" i="14"/>
  <c r="M158" i="14"/>
  <c r="L158" i="14"/>
  <c r="K158" i="14"/>
  <c r="J158" i="14"/>
  <c r="I158" i="14"/>
  <c r="H158" i="14"/>
  <c r="G158" i="14"/>
  <c r="F158" i="14"/>
  <c r="E158" i="14"/>
  <c r="D158" i="14"/>
  <c r="AJ157" i="14"/>
  <c r="AI157" i="14"/>
  <c r="AH157" i="14"/>
  <c r="AG157" i="14"/>
  <c r="AF157" i="14"/>
  <c r="AE157" i="14"/>
  <c r="AD157" i="14"/>
  <c r="AC157" i="14"/>
  <c r="AB157" i="14"/>
  <c r="AA157" i="14"/>
  <c r="Z157" i="14"/>
  <c r="Y157" i="14"/>
  <c r="X157" i="14"/>
  <c r="W157" i="14"/>
  <c r="V157" i="14"/>
  <c r="U157" i="14"/>
  <c r="T157" i="14"/>
  <c r="AM157" i="14" s="1"/>
  <c r="S157" i="14"/>
  <c r="R157" i="14"/>
  <c r="Q157" i="14"/>
  <c r="P157" i="14"/>
  <c r="O157" i="14"/>
  <c r="N157" i="14"/>
  <c r="M157" i="14"/>
  <c r="L157" i="14"/>
  <c r="K157" i="14"/>
  <c r="J157" i="14"/>
  <c r="I157" i="14"/>
  <c r="H157" i="14"/>
  <c r="G157" i="14"/>
  <c r="F157" i="14"/>
  <c r="AO157" i="14" s="1"/>
  <c r="E157" i="14"/>
  <c r="D157" i="14"/>
  <c r="AJ156" i="14"/>
  <c r="AI156" i="14"/>
  <c r="AH156" i="14"/>
  <c r="AG156" i="14"/>
  <c r="AF156" i="14"/>
  <c r="AE156" i="14"/>
  <c r="AD156" i="14"/>
  <c r="AC156" i="14"/>
  <c r="AB156" i="14"/>
  <c r="AA156" i="14"/>
  <c r="Z156" i="14"/>
  <c r="Y156" i="14"/>
  <c r="X156" i="14"/>
  <c r="W156" i="14"/>
  <c r="V156" i="14"/>
  <c r="U156" i="14"/>
  <c r="T156" i="14"/>
  <c r="S156" i="14"/>
  <c r="R156" i="14"/>
  <c r="Q156" i="14"/>
  <c r="P156" i="14"/>
  <c r="O156" i="14"/>
  <c r="N156" i="14"/>
  <c r="M156" i="14"/>
  <c r="L156" i="14"/>
  <c r="AN156" i="14" s="1"/>
  <c r="K156" i="14"/>
  <c r="AO156" i="14" s="1"/>
  <c r="J156" i="14"/>
  <c r="I156" i="14"/>
  <c r="H156" i="14"/>
  <c r="G156" i="14"/>
  <c r="F156" i="14"/>
  <c r="E156" i="14"/>
  <c r="D156" i="14"/>
  <c r="C156" i="14"/>
  <c r="AJ155" i="14"/>
  <c r="AI155" i="14"/>
  <c r="AH155" i="14"/>
  <c r="AG155" i="14"/>
  <c r="AF155" i="14"/>
  <c r="AE155" i="14"/>
  <c r="AD155" i="14"/>
  <c r="AC155" i="14"/>
  <c r="AB155" i="14"/>
  <c r="AA155" i="14"/>
  <c r="Z155" i="14"/>
  <c r="Y155" i="14"/>
  <c r="X155" i="14"/>
  <c r="W155" i="14"/>
  <c r="V155" i="14"/>
  <c r="U155" i="14"/>
  <c r="AM155" i="14" s="1"/>
  <c r="T155" i="14"/>
  <c r="S155" i="14"/>
  <c r="R155" i="14"/>
  <c r="Q155" i="14"/>
  <c r="P155" i="14"/>
  <c r="O155" i="14"/>
  <c r="N155" i="14"/>
  <c r="M155" i="14"/>
  <c r="AN155" i="14" s="1"/>
  <c r="L155" i="14"/>
  <c r="K155" i="14"/>
  <c r="J155" i="14"/>
  <c r="I155" i="14"/>
  <c r="H155" i="14"/>
  <c r="G155" i="14"/>
  <c r="F155" i="14"/>
  <c r="E155" i="14"/>
  <c r="D155" i="14"/>
  <c r="AO155" i="14" s="1"/>
  <c r="AJ154" i="14"/>
  <c r="AI154" i="14"/>
  <c r="AH154" i="14"/>
  <c r="AG154" i="14"/>
  <c r="AF154" i="14"/>
  <c r="AE154" i="14"/>
  <c r="AD154" i="14"/>
  <c r="AC154" i="14"/>
  <c r="AB154" i="14"/>
  <c r="AA154" i="14"/>
  <c r="Z154" i="14"/>
  <c r="Y154" i="14"/>
  <c r="X154" i="14"/>
  <c r="W154" i="14"/>
  <c r="V154" i="14"/>
  <c r="U154" i="14"/>
  <c r="T154" i="14"/>
  <c r="S154" i="14"/>
  <c r="R154" i="14"/>
  <c r="Q154" i="14"/>
  <c r="P154" i="14"/>
  <c r="O154" i="14"/>
  <c r="N154" i="14"/>
  <c r="M154" i="14"/>
  <c r="AN154" i="14" s="1"/>
  <c r="L154" i="14"/>
  <c r="K154" i="14"/>
  <c r="J154" i="14"/>
  <c r="I154" i="14"/>
  <c r="H154" i="14"/>
  <c r="G154" i="14"/>
  <c r="F154" i="14"/>
  <c r="E154" i="14"/>
  <c r="D154" i="14"/>
  <c r="C154" i="14"/>
  <c r="AM153" i="14"/>
  <c r="AJ153" i="14"/>
  <c r="AI153" i="14"/>
  <c r="AH153" i="14"/>
  <c r="AG153" i="14"/>
  <c r="AF153" i="14"/>
  <c r="AE153" i="14"/>
  <c r="AD153" i="14"/>
  <c r="AC153" i="14"/>
  <c r="AB153" i="14"/>
  <c r="AA153" i="14"/>
  <c r="Z153" i="14"/>
  <c r="Y153" i="14"/>
  <c r="X153" i="14"/>
  <c r="W153" i="14"/>
  <c r="V153" i="14"/>
  <c r="U153" i="14"/>
  <c r="T153" i="14"/>
  <c r="S153" i="14"/>
  <c r="R153" i="14"/>
  <c r="Q153" i="14"/>
  <c r="P153" i="14"/>
  <c r="O153" i="14"/>
  <c r="N153" i="14"/>
  <c r="M153" i="14"/>
  <c r="L153" i="14"/>
  <c r="K153" i="14"/>
  <c r="J153" i="14"/>
  <c r="I153" i="14"/>
  <c r="H153" i="14"/>
  <c r="G153" i="14"/>
  <c r="F153" i="14"/>
  <c r="E153" i="14"/>
  <c r="D153" i="14"/>
  <c r="AO153" i="14" s="1"/>
  <c r="C153" i="14"/>
  <c r="AJ152" i="14"/>
  <c r="AI152" i="14"/>
  <c r="AH152" i="14"/>
  <c r="AG152" i="14"/>
  <c r="AF152" i="14"/>
  <c r="AE152" i="14"/>
  <c r="AD152" i="14"/>
  <c r="AC152" i="14"/>
  <c r="AB152" i="14"/>
  <c r="AA152" i="14"/>
  <c r="Z152" i="14"/>
  <c r="Y152" i="14"/>
  <c r="X152" i="14"/>
  <c r="W152" i="14"/>
  <c r="V152" i="14"/>
  <c r="U152" i="14"/>
  <c r="T152" i="14"/>
  <c r="S152" i="14"/>
  <c r="R152" i="14"/>
  <c r="Q152" i="14"/>
  <c r="P152" i="14"/>
  <c r="O152" i="14"/>
  <c r="N152" i="14"/>
  <c r="M152" i="14"/>
  <c r="L152" i="14"/>
  <c r="K152" i="14"/>
  <c r="J152" i="14"/>
  <c r="I152" i="14"/>
  <c r="H152" i="14"/>
  <c r="G152" i="14"/>
  <c r="AO152" i="14" s="1"/>
  <c r="F152" i="14"/>
  <c r="E152" i="14"/>
  <c r="D152" i="14"/>
  <c r="AN151" i="14"/>
  <c r="AJ151" i="14"/>
  <c r="AI151" i="14"/>
  <c r="AH151" i="14"/>
  <c r="AG151" i="14"/>
  <c r="AF151" i="14"/>
  <c r="AE151" i="14"/>
  <c r="AD151" i="14"/>
  <c r="AC151" i="14"/>
  <c r="AB151" i="14"/>
  <c r="AA151" i="14"/>
  <c r="Z151" i="14"/>
  <c r="Y151" i="14"/>
  <c r="X151" i="14"/>
  <c r="AM151" i="14" s="1"/>
  <c r="W151" i="14"/>
  <c r="V151" i="14"/>
  <c r="U151" i="14"/>
  <c r="T151" i="14"/>
  <c r="S151" i="14"/>
  <c r="R151" i="14"/>
  <c r="Q151" i="14"/>
  <c r="P151" i="14"/>
  <c r="O151" i="14"/>
  <c r="N151" i="14"/>
  <c r="M151" i="14"/>
  <c r="L151" i="14"/>
  <c r="K151" i="14"/>
  <c r="J151" i="14"/>
  <c r="I151" i="14"/>
  <c r="H151" i="14"/>
  <c r="G151" i="14"/>
  <c r="F151" i="14"/>
  <c r="E151" i="14"/>
  <c r="D151" i="14"/>
  <c r="AJ150" i="14"/>
  <c r="AI150" i="14"/>
  <c r="AH150" i="14"/>
  <c r="AG150" i="14"/>
  <c r="AF150" i="14"/>
  <c r="AE150" i="14"/>
  <c r="AD150" i="14"/>
  <c r="AC150" i="14"/>
  <c r="AB150" i="14"/>
  <c r="AA150" i="14"/>
  <c r="Z150" i="14"/>
  <c r="Y150" i="14"/>
  <c r="X150" i="14"/>
  <c r="W150" i="14"/>
  <c r="V150" i="14"/>
  <c r="U150" i="14"/>
  <c r="T150" i="14"/>
  <c r="AM150" i="14" s="1"/>
  <c r="S150" i="14"/>
  <c r="R150" i="14"/>
  <c r="Q150" i="14"/>
  <c r="P150" i="14"/>
  <c r="O150" i="14"/>
  <c r="N150" i="14"/>
  <c r="M150" i="14"/>
  <c r="L150" i="14"/>
  <c r="AN150" i="14" s="1"/>
  <c r="K150" i="14"/>
  <c r="J150" i="14"/>
  <c r="I150" i="14"/>
  <c r="H150" i="14"/>
  <c r="G150" i="14"/>
  <c r="F150" i="14"/>
  <c r="E150" i="14"/>
  <c r="D150" i="14"/>
  <c r="AJ149" i="14"/>
  <c r="AI149" i="14"/>
  <c r="AH149" i="14"/>
  <c r="AG149" i="14"/>
  <c r="AF149" i="14"/>
  <c r="AE149" i="14"/>
  <c r="AD149" i="14"/>
  <c r="AC149" i="14"/>
  <c r="AB149" i="14"/>
  <c r="AA149" i="14"/>
  <c r="Z149" i="14"/>
  <c r="Y149" i="14"/>
  <c r="X149" i="14"/>
  <c r="W149" i="14"/>
  <c r="V149" i="14"/>
  <c r="U149" i="14"/>
  <c r="T149" i="14"/>
  <c r="S149" i="14"/>
  <c r="R149" i="14"/>
  <c r="Q149" i="14"/>
  <c r="P149" i="14"/>
  <c r="O149" i="14"/>
  <c r="N149" i="14"/>
  <c r="M149" i="14"/>
  <c r="L149" i="14"/>
  <c r="AN149" i="14" s="1"/>
  <c r="K149" i="14"/>
  <c r="J149" i="14"/>
  <c r="I149" i="14"/>
  <c r="H149" i="14"/>
  <c r="G149" i="14"/>
  <c r="F149" i="14"/>
  <c r="E149" i="14"/>
  <c r="D149" i="14"/>
  <c r="AO149" i="14" s="1"/>
  <c r="C149" i="14"/>
  <c r="AJ148" i="14"/>
  <c r="AI148" i="14"/>
  <c r="AH148" i="14"/>
  <c r="AG148" i="14"/>
  <c r="AF148" i="14"/>
  <c r="AE148" i="14"/>
  <c r="AD148" i="14"/>
  <c r="AC148" i="14"/>
  <c r="AB148" i="14"/>
  <c r="AA148" i="14"/>
  <c r="Z148" i="14"/>
  <c r="Y148" i="14"/>
  <c r="X148" i="14"/>
  <c r="W148" i="14"/>
  <c r="V148" i="14"/>
  <c r="U148" i="14"/>
  <c r="T148" i="14"/>
  <c r="S148" i="14"/>
  <c r="R148" i="14"/>
  <c r="Q148" i="14"/>
  <c r="P148" i="14"/>
  <c r="O148" i="14"/>
  <c r="N148" i="14"/>
  <c r="M148" i="14"/>
  <c r="L148" i="14"/>
  <c r="K148" i="14"/>
  <c r="J148" i="14"/>
  <c r="I148" i="14"/>
  <c r="H148" i="14"/>
  <c r="G148" i="14"/>
  <c r="F148" i="14"/>
  <c r="E148" i="14"/>
  <c r="D148" i="14"/>
  <c r="C148" i="14"/>
  <c r="AN147" i="14"/>
  <c r="AJ147" i="14"/>
  <c r="AI147" i="14"/>
  <c r="AH147" i="14"/>
  <c r="AG147" i="14"/>
  <c r="AF147" i="14"/>
  <c r="AE147" i="14"/>
  <c r="AD147" i="14"/>
  <c r="AC147" i="14"/>
  <c r="AB147" i="14"/>
  <c r="AA147" i="14"/>
  <c r="Z147" i="14"/>
  <c r="Y147" i="14"/>
  <c r="X147" i="14"/>
  <c r="W147" i="14"/>
  <c r="V147" i="14"/>
  <c r="U147" i="14"/>
  <c r="T147" i="14"/>
  <c r="AM147" i="14" s="1"/>
  <c r="S147" i="14"/>
  <c r="R147" i="14"/>
  <c r="Q147" i="14"/>
  <c r="P147" i="14"/>
  <c r="O147" i="14"/>
  <c r="N147" i="14"/>
  <c r="M147" i="14"/>
  <c r="L147" i="14"/>
  <c r="K147" i="14"/>
  <c r="J147" i="14"/>
  <c r="I147" i="14"/>
  <c r="H147" i="14"/>
  <c r="G147" i="14"/>
  <c r="F147" i="14"/>
  <c r="AO147" i="14" s="1"/>
  <c r="E147" i="14"/>
  <c r="D147" i="14"/>
  <c r="AJ146" i="14"/>
  <c r="AI146" i="14"/>
  <c r="AH146" i="14"/>
  <c r="AG146" i="14"/>
  <c r="AF146" i="14"/>
  <c r="AE146" i="14"/>
  <c r="AD146" i="14"/>
  <c r="AC146" i="14"/>
  <c r="AB146" i="14"/>
  <c r="AA146" i="14"/>
  <c r="Z146" i="14"/>
  <c r="Y146" i="14"/>
  <c r="X146" i="14"/>
  <c r="W146" i="14"/>
  <c r="V146" i="14"/>
  <c r="AM146" i="14" s="1"/>
  <c r="U146" i="14"/>
  <c r="T146" i="14"/>
  <c r="S146" i="14"/>
  <c r="R146" i="14"/>
  <c r="Q146" i="14"/>
  <c r="P146" i="14"/>
  <c r="O146" i="14"/>
  <c r="N146" i="14"/>
  <c r="M146" i="14"/>
  <c r="L146" i="14"/>
  <c r="K146" i="14"/>
  <c r="J146" i="14"/>
  <c r="I146" i="14"/>
  <c r="H146" i="14"/>
  <c r="G146" i="14"/>
  <c r="F146" i="14"/>
  <c r="E146" i="14"/>
  <c r="D146" i="14"/>
  <c r="AO146" i="14" s="1"/>
  <c r="C146" i="14"/>
  <c r="AJ145" i="14"/>
  <c r="AI145" i="14"/>
  <c r="AH145" i="14"/>
  <c r="AG145" i="14"/>
  <c r="AF145" i="14"/>
  <c r="AE145" i="14"/>
  <c r="AD145" i="14"/>
  <c r="AC145" i="14"/>
  <c r="AB145" i="14"/>
  <c r="AA145" i="14"/>
  <c r="Z145" i="14"/>
  <c r="Y145" i="14"/>
  <c r="X145" i="14"/>
  <c r="W145" i="14"/>
  <c r="V145" i="14"/>
  <c r="U145" i="14"/>
  <c r="T145" i="14"/>
  <c r="AM145" i="14" s="1"/>
  <c r="S145" i="14"/>
  <c r="R145" i="14"/>
  <c r="Q145" i="14"/>
  <c r="P145" i="14"/>
  <c r="O145" i="14"/>
  <c r="N145" i="14"/>
  <c r="M145" i="14"/>
  <c r="L145" i="14"/>
  <c r="K145" i="14"/>
  <c r="J145" i="14"/>
  <c r="I145" i="14"/>
  <c r="H145" i="14"/>
  <c r="G145" i="14"/>
  <c r="F145" i="14"/>
  <c r="E145" i="14"/>
  <c r="AO145" i="14" s="1"/>
  <c r="D145" i="14"/>
  <c r="AJ144" i="14"/>
  <c r="AI144" i="14"/>
  <c r="AH144" i="14"/>
  <c r="AG144" i="14"/>
  <c r="AF144" i="14"/>
  <c r="AE144" i="14"/>
  <c r="AD144" i="14"/>
  <c r="AC144" i="14"/>
  <c r="AB144" i="14"/>
  <c r="AA144" i="14"/>
  <c r="Z144" i="14"/>
  <c r="Y144" i="14"/>
  <c r="X144" i="14"/>
  <c r="W144" i="14"/>
  <c r="V144" i="14"/>
  <c r="U144" i="14"/>
  <c r="T144" i="14"/>
  <c r="S144" i="14"/>
  <c r="R144" i="14"/>
  <c r="Q144" i="14"/>
  <c r="P144" i="14"/>
  <c r="AN144" i="14" s="1"/>
  <c r="O144" i="14"/>
  <c r="N144" i="14"/>
  <c r="M144" i="14"/>
  <c r="L144" i="14"/>
  <c r="K144" i="14"/>
  <c r="J144" i="14"/>
  <c r="I144" i="14"/>
  <c r="H144" i="14"/>
  <c r="G144" i="14"/>
  <c r="F144" i="14"/>
  <c r="E144" i="14"/>
  <c r="D144" i="14"/>
  <c r="C144" i="14"/>
  <c r="AJ143" i="14"/>
  <c r="AI143" i="14"/>
  <c r="AH143" i="14"/>
  <c r="AG143" i="14"/>
  <c r="AF143" i="14"/>
  <c r="AE143" i="14"/>
  <c r="AD143" i="14"/>
  <c r="AC143" i="14"/>
  <c r="AB143" i="14"/>
  <c r="AA143" i="14"/>
  <c r="Z143" i="14"/>
  <c r="Y143" i="14"/>
  <c r="X143" i="14"/>
  <c r="W143" i="14"/>
  <c r="V143" i="14"/>
  <c r="U143" i="14"/>
  <c r="T143" i="14"/>
  <c r="AM143" i="14" s="1"/>
  <c r="S143" i="14"/>
  <c r="R143" i="14"/>
  <c r="Q143" i="14"/>
  <c r="P143" i="14"/>
  <c r="O143" i="14"/>
  <c r="N143" i="14"/>
  <c r="M143" i="14"/>
  <c r="L143" i="14"/>
  <c r="K143" i="14"/>
  <c r="J143" i="14"/>
  <c r="I143" i="14"/>
  <c r="H143" i="14"/>
  <c r="G143" i="14"/>
  <c r="F143" i="14"/>
  <c r="AO143" i="14" s="1"/>
  <c r="E143" i="14"/>
  <c r="D143" i="14"/>
  <c r="AJ142" i="14"/>
  <c r="AI142" i="14"/>
  <c r="AH142" i="14"/>
  <c r="AG142" i="14"/>
  <c r="AF142" i="14"/>
  <c r="AE142" i="14"/>
  <c r="AD142" i="14"/>
  <c r="AC142" i="14"/>
  <c r="AB142" i="14"/>
  <c r="AA142" i="14"/>
  <c r="Z142" i="14"/>
  <c r="AM142" i="14" s="1"/>
  <c r="Y142" i="14"/>
  <c r="X142" i="14"/>
  <c r="W142" i="14"/>
  <c r="V142" i="14"/>
  <c r="U142" i="14"/>
  <c r="T142" i="14"/>
  <c r="S142" i="14"/>
  <c r="R142" i="14"/>
  <c r="Q142" i="14"/>
  <c r="P142" i="14"/>
  <c r="O142" i="14"/>
  <c r="N142" i="14"/>
  <c r="M142" i="14"/>
  <c r="L142" i="14"/>
  <c r="K142" i="14"/>
  <c r="J142" i="14"/>
  <c r="I142" i="14"/>
  <c r="H142" i="14"/>
  <c r="G142" i="14"/>
  <c r="F142" i="14"/>
  <c r="E142" i="14"/>
  <c r="AO142" i="14" s="1"/>
  <c r="D142" i="14"/>
  <c r="C142" i="14"/>
  <c r="AJ141" i="14"/>
  <c r="AI141" i="14"/>
  <c r="AH141" i="14"/>
  <c r="AG141" i="14"/>
  <c r="AF141" i="14"/>
  <c r="AE141" i="14"/>
  <c r="AD141" i="14"/>
  <c r="AC141" i="14"/>
  <c r="AB141" i="14"/>
  <c r="AA141" i="14"/>
  <c r="Z141" i="14"/>
  <c r="Y141" i="14"/>
  <c r="X141" i="14"/>
  <c r="W141" i="14"/>
  <c r="V141" i="14"/>
  <c r="U141" i="14"/>
  <c r="AM141" i="14" s="1"/>
  <c r="T141" i="14"/>
  <c r="S141" i="14"/>
  <c r="R141" i="14"/>
  <c r="Q141" i="14"/>
  <c r="P141" i="14"/>
  <c r="O141" i="14"/>
  <c r="N141" i="14"/>
  <c r="M141" i="14"/>
  <c r="L141" i="14"/>
  <c r="K141" i="14"/>
  <c r="J141" i="14"/>
  <c r="I141" i="14"/>
  <c r="H141" i="14"/>
  <c r="G141" i="14"/>
  <c r="F141" i="14"/>
  <c r="E141" i="14"/>
  <c r="D141" i="14"/>
  <c r="AJ140" i="14"/>
  <c r="AI140" i="14"/>
  <c r="AH140" i="14"/>
  <c r="AG140" i="14"/>
  <c r="AF140" i="14"/>
  <c r="AE140" i="14"/>
  <c r="AD140" i="14"/>
  <c r="AC140" i="14"/>
  <c r="AB140" i="14"/>
  <c r="AA140" i="14"/>
  <c r="Z140" i="14"/>
  <c r="Y140" i="14"/>
  <c r="X140" i="14"/>
  <c r="W140" i="14"/>
  <c r="V140" i="14"/>
  <c r="U140" i="14"/>
  <c r="T140" i="14"/>
  <c r="S140" i="14"/>
  <c r="R140" i="14"/>
  <c r="Q140" i="14"/>
  <c r="P140" i="14"/>
  <c r="O140" i="14"/>
  <c r="N140" i="14"/>
  <c r="M140" i="14"/>
  <c r="AN140" i="14" s="1"/>
  <c r="L140" i="14"/>
  <c r="K140" i="14"/>
  <c r="J140" i="14"/>
  <c r="I140" i="14"/>
  <c r="H140" i="14"/>
  <c r="G140" i="14"/>
  <c r="F140" i="14"/>
  <c r="E140" i="14"/>
  <c r="D140" i="14"/>
  <c r="AO140" i="14" s="1"/>
  <c r="C140" i="14"/>
  <c r="AJ139" i="14"/>
  <c r="AI139" i="14"/>
  <c r="AH139" i="14"/>
  <c r="AG139" i="14"/>
  <c r="AF139" i="14"/>
  <c r="AE139" i="14"/>
  <c r="AD139" i="14"/>
  <c r="AC139" i="14"/>
  <c r="AB139" i="14"/>
  <c r="AA139" i="14"/>
  <c r="Z139" i="14"/>
  <c r="Y139" i="14"/>
  <c r="X139" i="14"/>
  <c r="W139" i="14"/>
  <c r="V139" i="14"/>
  <c r="U139" i="14"/>
  <c r="T139" i="14"/>
  <c r="S139" i="14"/>
  <c r="R139" i="14"/>
  <c r="Q139" i="14"/>
  <c r="P139" i="14"/>
  <c r="O139" i="14"/>
  <c r="N139" i="14"/>
  <c r="M139" i="14"/>
  <c r="L139" i="14"/>
  <c r="K139" i="14"/>
  <c r="J139" i="14"/>
  <c r="I139" i="14"/>
  <c r="H139" i="14"/>
  <c r="G139" i="14"/>
  <c r="F139" i="14"/>
  <c r="E139" i="14"/>
  <c r="D139" i="14"/>
  <c r="C139" i="14"/>
  <c r="AJ138" i="14"/>
  <c r="AI138" i="14"/>
  <c r="AH138" i="14"/>
  <c r="AG138" i="14"/>
  <c r="AF138" i="14"/>
  <c r="AE138" i="14"/>
  <c r="AD138" i="14"/>
  <c r="AC138" i="14"/>
  <c r="AB138" i="14"/>
  <c r="AA138" i="14"/>
  <c r="Z138" i="14"/>
  <c r="Y138" i="14"/>
  <c r="X138" i="14"/>
  <c r="W138" i="14"/>
  <c r="V138" i="14"/>
  <c r="U138" i="14"/>
  <c r="T138" i="14"/>
  <c r="S138" i="14"/>
  <c r="R138" i="14"/>
  <c r="Q138" i="14"/>
  <c r="P138" i="14"/>
  <c r="O138" i="14"/>
  <c r="N138" i="14"/>
  <c r="M138" i="14"/>
  <c r="L138" i="14"/>
  <c r="K138" i="14"/>
  <c r="J138" i="14"/>
  <c r="I138" i="14"/>
  <c r="H138" i="14"/>
  <c r="G138" i="14"/>
  <c r="F138" i="14"/>
  <c r="E138" i="14"/>
  <c r="D138" i="14"/>
  <c r="AJ137" i="14"/>
  <c r="AI137" i="14"/>
  <c r="AH137" i="14"/>
  <c r="AG137" i="14"/>
  <c r="AF137" i="14"/>
  <c r="AE137" i="14"/>
  <c r="AD137" i="14"/>
  <c r="AC137" i="14"/>
  <c r="AB137" i="14"/>
  <c r="AA137" i="14"/>
  <c r="Z137" i="14"/>
  <c r="Y137" i="14"/>
  <c r="X137" i="14"/>
  <c r="W137" i="14"/>
  <c r="AM137" i="14" s="1"/>
  <c r="V137" i="14"/>
  <c r="U137" i="14"/>
  <c r="T137" i="14"/>
  <c r="S137" i="14"/>
  <c r="R137" i="14"/>
  <c r="Q137" i="14"/>
  <c r="P137" i="14"/>
  <c r="O137" i="14"/>
  <c r="N137" i="14"/>
  <c r="M137" i="14"/>
  <c r="L137" i="14"/>
  <c r="AN137" i="14" s="1"/>
  <c r="K137" i="14"/>
  <c r="J137" i="14"/>
  <c r="I137" i="14"/>
  <c r="H137" i="14"/>
  <c r="G137" i="14"/>
  <c r="F137" i="14"/>
  <c r="E137" i="14"/>
  <c r="D137" i="14"/>
  <c r="AJ136" i="14"/>
  <c r="AI136" i="14"/>
  <c r="AH136" i="14"/>
  <c r="AG136" i="14"/>
  <c r="AF136" i="14"/>
  <c r="AE136" i="14"/>
  <c r="AD136" i="14"/>
  <c r="AC136" i="14"/>
  <c r="AL136" i="14" s="1"/>
  <c r="AB136" i="14"/>
  <c r="AA136" i="14"/>
  <c r="Z136" i="14"/>
  <c r="Y136" i="14"/>
  <c r="X136" i="14"/>
  <c r="W136" i="14"/>
  <c r="V136" i="14"/>
  <c r="U136" i="14"/>
  <c r="T136" i="14"/>
  <c r="AM136" i="14" s="1"/>
  <c r="S136" i="14"/>
  <c r="R136" i="14"/>
  <c r="Q136" i="14"/>
  <c r="P136" i="14"/>
  <c r="O136" i="14"/>
  <c r="N136" i="14"/>
  <c r="M136" i="14"/>
  <c r="L136" i="14"/>
  <c r="K136" i="14"/>
  <c r="J136" i="14"/>
  <c r="I136" i="14"/>
  <c r="H136" i="14"/>
  <c r="G136" i="14"/>
  <c r="F136" i="14"/>
  <c r="E136" i="14"/>
  <c r="D136" i="14"/>
  <c r="AJ134" i="14"/>
  <c r="AI134" i="14"/>
  <c r="AH134" i="14"/>
  <c r="AG134" i="14"/>
  <c r="AF134" i="14"/>
  <c r="AE134" i="14"/>
  <c r="AD134" i="14"/>
  <c r="AC134" i="14"/>
  <c r="AB134" i="14"/>
  <c r="AA134" i="14"/>
  <c r="Z134" i="14"/>
  <c r="Y134" i="14"/>
  <c r="X134" i="14"/>
  <c r="W134" i="14"/>
  <c r="V134" i="14"/>
  <c r="U134" i="14"/>
  <c r="T134" i="14"/>
  <c r="S134" i="14"/>
  <c r="R134" i="14"/>
  <c r="Q134" i="14"/>
  <c r="AN134" i="14" s="1"/>
  <c r="P134" i="14"/>
  <c r="O134" i="14"/>
  <c r="N134" i="14"/>
  <c r="M134" i="14"/>
  <c r="L134" i="14"/>
  <c r="K134" i="14"/>
  <c r="J134" i="14"/>
  <c r="I134" i="14"/>
  <c r="H134" i="14"/>
  <c r="G134" i="14"/>
  <c r="F134" i="14"/>
  <c r="E134" i="14"/>
  <c r="D134" i="14"/>
  <c r="C134" i="14"/>
  <c r="AJ133" i="14"/>
  <c r="AI133" i="14"/>
  <c r="AH133" i="14"/>
  <c r="AG133" i="14"/>
  <c r="AF133" i="14"/>
  <c r="AE133" i="14"/>
  <c r="AD133" i="14"/>
  <c r="AC133" i="14"/>
  <c r="AB133" i="14"/>
  <c r="AL133" i="14" s="1"/>
  <c r="AA133" i="14"/>
  <c r="Z133" i="14"/>
  <c r="Y133" i="14"/>
  <c r="X133" i="14"/>
  <c r="AM133" i="14" s="1"/>
  <c r="W133" i="14"/>
  <c r="V133" i="14"/>
  <c r="U133" i="14"/>
  <c r="T133" i="14"/>
  <c r="S133" i="14"/>
  <c r="R133" i="14"/>
  <c r="Q133" i="14"/>
  <c r="P133" i="14"/>
  <c r="O133" i="14"/>
  <c r="N133" i="14"/>
  <c r="M133" i="14"/>
  <c r="L133" i="14"/>
  <c r="K133" i="14"/>
  <c r="J133" i="14"/>
  <c r="I133" i="14"/>
  <c r="H133" i="14"/>
  <c r="G133" i="14"/>
  <c r="F133" i="14"/>
  <c r="E133" i="14"/>
  <c r="D133" i="14"/>
  <c r="C133" i="14"/>
  <c r="AN132" i="14"/>
  <c r="AJ132" i="14"/>
  <c r="AI132" i="14"/>
  <c r="AH132" i="14"/>
  <c r="AG132" i="14"/>
  <c r="AF132" i="14"/>
  <c r="AE132" i="14"/>
  <c r="AD132" i="14"/>
  <c r="AC132" i="14"/>
  <c r="AB132" i="14"/>
  <c r="AA132" i="14"/>
  <c r="Z132" i="14"/>
  <c r="Y132" i="14"/>
  <c r="X132" i="14"/>
  <c r="W132" i="14"/>
  <c r="V132" i="14"/>
  <c r="U132" i="14"/>
  <c r="T132" i="14"/>
  <c r="S132" i="14"/>
  <c r="R132" i="14"/>
  <c r="Q132" i="14"/>
  <c r="P132" i="14"/>
  <c r="O132" i="14"/>
  <c r="N132" i="14"/>
  <c r="M132" i="14"/>
  <c r="L132" i="14"/>
  <c r="K132" i="14"/>
  <c r="J132" i="14"/>
  <c r="I132" i="14"/>
  <c r="H132" i="14"/>
  <c r="G132" i="14"/>
  <c r="F132" i="14"/>
  <c r="E132" i="14"/>
  <c r="AO132" i="14" s="1"/>
  <c r="D132" i="14"/>
  <c r="AJ131" i="14"/>
  <c r="AI131" i="14"/>
  <c r="AH131" i="14"/>
  <c r="AG131" i="14"/>
  <c r="AF131" i="14"/>
  <c r="AE131" i="14"/>
  <c r="AD131" i="14"/>
  <c r="AC131" i="14"/>
  <c r="AB131" i="14"/>
  <c r="AA131" i="14"/>
  <c r="Z131" i="14"/>
  <c r="Y131" i="14"/>
  <c r="X131" i="14"/>
  <c r="AM131" i="14" s="1"/>
  <c r="W131" i="14"/>
  <c r="V131" i="14"/>
  <c r="U131" i="14"/>
  <c r="T131" i="14"/>
  <c r="S131" i="14"/>
  <c r="R131" i="14"/>
  <c r="AN131" i="14" s="1"/>
  <c r="Q131" i="14"/>
  <c r="P131" i="14"/>
  <c r="O131" i="14"/>
  <c r="N131" i="14"/>
  <c r="M131" i="14"/>
  <c r="L131" i="14"/>
  <c r="K131" i="14"/>
  <c r="J131" i="14"/>
  <c r="I131" i="14"/>
  <c r="H131" i="14"/>
  <c r="G131" i="14"/>
  <c r="F131" i="14"/>
  <c r="E131" i="14"/>
  <c r="D131" i="14"/>
  <c r="AJ130" i="14"/>
  <c r="AI130" i="14"/>
  <c r="AH130" i="14"/>
  <c r="AG130" i="14"/>
  <c r="AF130" i="14"/>
  <c r="AE130" i="14"/>
  <c r="AD130" i="14"/>
  <c r="AC130" i="14"/>
  <c r="AL130" i="14" s="1"/>
  <c r="AB130" i="14"/>
  <c r="AA130" i="14"/>
  <c r="Z130" i="14"/>
  <c r="Y130" i="14"/>
  <c r="X130" i="14"/>
  <c r="W130" i="14"/>
  <c r="V130" i="14"/>
  <c r="U130" i="14"/>
  <c r="T130" i="14"/>
  <c r="S130" i="14"/>
  <c r="R130" i="14"/>
  <c r="Q130" i="14"/>
  <c r="P130" i="14"/>
  <c r="O130" i="14"/>
  <c r="N130" i="14"/>
  <c r="M130" i="14"/>
  <c r="L130" i="14"/>
  <c r="K130" i="14"/>
  <c r="J130" i="14"/>
  <c r="I130" i="14"/>
  <c r="H130" i="14"/>
  <c r="G130" i="14"/>
  <c r="F130" i="14"/>
  <c r="E130" i="14"/>
  <c r="D130" i="14"/>
  <c r="AM129" i="14"/>
  <c r="AJ129" i="14"/>
  <c r="AI129" i="14"/>
  <c r="AH129" i="14"/>
  <c r="AG129" i="14"/>
  <c r="AF129" i="14"/>
  <c r="AE129" i="14"/>
  <c r="AD129" i="14"/>
  <c r="AC129" i="14"/>
  <c r="AB129" i="14"/>
  <c r="AA129" i="14"/>
  <c r="Z129" i="14"/>
  <c r="Y129" i="14"/>
  <c r="X129" i="14"/>
  <c r="W129" i="14"/>
  <c r="V129" i="14"/>
  <c r="U129" i="14"/>
  <c r="T129" i="14"/>
  <c r="S129" i="14"/>
  <c r="R129" i="14"/>
  <c r="Q129" i="14"/>
  <c r="P129" i="14"/>
  <c r="O129" i="14"/>
  <c r="N129" i="14"/>
  <c r="M129" i="14"/>
  <c r="L129" i="14"/>
  <c r="K129" i="14"/>
  <c r="J129" i="14"/>
  <c r="AO129" i="14" s="1"/>
  <c r="I129" i="14"/>
  <c r="H129" i="14"/>
  <c r="G129" i="14"/>
  <c r="F129" i="14"/>
  <c r="E129" i="14"/>
  <c r="D129" i="14"/>
  <c r="AJ128" i="14"/>
  <c r="AI128" i="14"/>
  <c r="AH128" i="14"/>
  <c r="AG128" i="14"/>
  <c r="AF128" i="14"/>
  <c r="AE128" i="14"/>
  <c r="AD128" i="14"/>
  <c r="AC128" i="14"/>
  <c r="AB128" i="14"/>
  <c r="AL128" i="14" s="1"/>
  <c r="AA128" i="14"/>
  <c r="Z128" i="14"/>
  <c r="Y128" i="14"/>
  <c r="X128" i="14"/>
  <c r="W128" i="14"/>
  <c r="V128" i="14"/>
  <c r="U128" i="14"/>
  <c r="T128" i="14"/>
  <c r="S128" i="14"/>
  <c r="R128" i="14"/>
  <c r="Q128" i="14"/>
  <c r="P128" i="14"/>
  <c r="O128" i="14"/>
  <c r="N128" i="14"/>
  <c r="M128" i="14"/>
  <c r="L128" i="14"/>
  <c r="K128" i="14"/>
  <c r="J128" i="14"/>
  <c r="I128" i="14"/>
  <c r="H128" i="14"/>
  <c r="G128" i="14"/>
  <c r="AO128" i="14" s="1"/>
  <c r="F128" i="14"/>
  <c r="E128" i="14"/>
  <c r="D128" i="14"/>
  <c r="AM127" i="14"/>
  <c r="AJ127" i="14"/>
  <c r="AI127" i="14"/>
  <c r="AH127" i="14"/>
  <c r="AG127" i="14"/>
  <c r="AF127" i="14"/>
  <c r="AE127" i="14"/>
  <c r="AD127" i="14"/>
  <c r="AC127" i="14"/>
  <c r="AB127" i="14"/>
  <c r="AA127" i="14"/>
  <c r="Z127" i="14"/>
  <c r="Y127" i="14"/>
  <c r="X127" i="14"/>
  <c r="W127" i="14"/>
  <c r="V127" i="14"/>
  <c r="U127" i="14"/>
  <c r="T127" i="14"/>
  <c r="S127" i="14"/>
  <c r="R127" i="14"/>
  <c r="Q127" i="14"/>
  <c r="P127" i="14"/>
  <c r="O127" i="14"/>
  <c r="N127" i="14"/>
  <c r="AN127" i="14" s="1"/>
  <c r="M127" i="14"/>
  <c r="L127" i="14"/>
  <c r="K127" i="14"/>
  <c r="J127" i="14"/>
  <c r="AO127" i="14" s="1"/>
  <c r="I127" i="14"/>
  <c r="H127" i="14"/>
  <c r="G127" i="14"/>
  <c r="F127" i="14"/>
  <c r="E127" i="14"/>
  <c r="D127" i="14"/>
  <c r="AJ126" i="14"/>
  <c r="AI126" i="14"/>
  <c r="AH126" i="14"/>
  <c r="AG126" i="14"/>
  <c r="AF126" i="14"/>
  <c r="AE126" i="14"/>
  <c r="AD126" i="14"/>
  <c r="AC126" i="14"/>
  <c r="AB126" i="14"/>
  <c r="AA126" i="14"/>
  <c r="Z126" i="14"/>
  <c r="Y126" i="14"/>
  <c r="X126" i="14"/>
  <c r="W126" i="14"/>
  <c r="V126" i="14"/>
  <c r="U126" i="14"/>
  <c r="T126" i="14"/>
  <c r="S126" i="14"/>
  <c r="R126" i="14"/>
  <c r="Q126" i="14"/>
  <c r="AN126" i="14" s="1"/>
  <c r="P126" i="14"/>
  <c r="O126" i="14"/>
  <c r="N126" i="14"/>
  <c r="M126" i="14"/>
  <c r="L126" i="14"/>
  <c r="K126" i="14"/>
  <c r="J126" i="14"/>
  <c r="I126" i="14"/>
  <c r="H126" i="14"/>
  <c r="G126" i="14"/>
  <c r="F126" i="14"/>
  <c r="E126" i="14"/>
  <c r="D126" i="14"/>
  <c r="C126" i="14"/>
  <c r="AO125" i="14"/>
  <c r="AJ125" i="14"/>
  <c r="AI125" i="14"/>
  <c r="AH125" i="14"/>
  <c r="AG125" i="14"/>
  <c r="AF125" i="14"/>
  <c r="AE125" i="14"/>
  <c r="AD125" i="14"/>
  <c r="AC125" i="14"/>
  <c r="AB125" i="14"/>
  <c r="AA125" i="14"/>
  <c r="Z125" i="14"/>
  <c r="Y125" i="14"/>
  <c r="X125" i="14"/>
  <c r="W125" i="14"/>
  <c r="V125" i="14"/>
  <c r="U125" i="14"/>
  <c r="T125" i="14"/>
  <c r="S125" i="14"/>
  <c r="R125" i="14"/>
  <c r="Q125" i="14"/>
  <c r="P125" i="14"/>
  <c r="O125" i="14"/>
  <c r="N125" i="14"/>
  <c r="M125" i="14"/>
  <c r="L125" i="14"/>
  <c r="AN125" i="14" s="1"/>
  <c r="K125" i="14"/>
  <c r="J125" i="14"/>
  <c r="I125" i="14"/>
  <c r="H125" i="14"/>
  <c r="G125" i="14"/>
  <c r="F125" i="14"/>
  <c r="E125" i="14"/>
  <c r="D125" i="14"/>
  <c r="AJ124" i="14"/>
  <c r="AI124" i="14"/>
  <c r="AH124" i="14"/>
  <c r="AG124" i="14"/>
  <c r="AF124" i="14"/>
  <c r="AE124" i="14"/>
  <c r="AD124" i="14"/>
  <c r="AC124" i="14"/>
  <c r="AB124" i="14"/>
  <c r="AA124" i="14"/>
  <c r="Z124" i="14"/>
  <c r="Y124" i="14"/>
  <c r="X124" i="14"/>
  <c r="W124" i="14"/>
  <c r="V124" i="14"/>
  <c r="AM124" i="14" s="1"/>
  <c r="U124" i="14"/>
  <c r="T124" i="14"/>
  <c r="S124" i="14"/>
  <c r="R124" i="14"/>
  <c r="Q124" i="14"/>
  <c r="P124" i="14"/>
  <c r="O124" i="14"/>
  <c r="N124" i="14"/>
  <c r="M124" i="14"/>
  <c r="L124" i="14"/>
  <c r="K124" i="14"/>
  <c r="J124" i="14"/>
  <c r="I124" i="14"/>
  <c r="H124" i="14"/>
  <c r="G124" i="14"/>
  <c r="F124" i="14"/>
  <c r="E124" i="14"/>
  <c r="D124" i="14"/>
  <c r="AO124" i="14" s="1"/>
  <c r="AJ123" i="14"/>
  <c r="AI123" i="14"/>
  <c r="AH123" i="14"/>
  <c r="AG123" i="14"/>
  <c r="AF123" i="14"/>
  <c r="AE123" i="14"/>
  <c r="AD123" i="14"/>
  <c r="AC123" i="14"/>
  <c r="AB123" i="14"/>
  <c r="AA123" i="14"/>
  <c r="Z123" i="14"/>
  <c r="Y123" i="14"/>
  <c r="X123" i="14"/>
  <c r="W123" i="14"/>
  <c r="V123" i="14"/>
  <c r="U123" i="14"/>
  <c r="T123" i="14"/>
  <c r="AM123" i="14" s="1"/>
  <c r="S123" i="14"/>
  <c r="R123" i="14"/>
  <c r="Q123" i="14"/>
  <c r="P123" i="14"/>
  <c r="O123" i="14"/>
  <c r="N123" i="14"/>
  <c r="M123" i="14"/>
  <c r="L123" i="14"/>
  <c r="K123" i="14"/>
  <c r="J123" i="14"/>
  <c r="I123" i="14"/>
  <c r="H123" i="14"/>
  <c r="G123" i="14"/>
  <c r="F123" i="14"/>
  <c r="AO123" i="14" s="1"/>
  <c r="E123" i="14"/>
  <c r="D123" i="14"/>
  <c r="AJ122" i="14"/>
  <c r="AI122" i="14"/>
  <c r="AH122" i="14"/>
  <c r="AG122" i="14"/>
  <c r="AF122" i="14"/>
  <c r="AE122" i="14"/>
  <c r="AL122" i="14" s="1"/>
  <c r="AD122" i="14"/>
  <c r="AC122" i="14"/>
  <c r="AB122" i="14"/>
  <c r="AA122" i="14"/>
  <c r="Z122" i="14"/>
  <c r="Y122" i="14"/>
  <c r="X122" i="14"/>
  <c r="W122" i="14"/>
  <c r="V122" i="14"/>
  <c r="U122" i="14"/>
  <c r="T122" i="14"/>
  <c r="S122" i="14"/>
  <c r="R122" i="14"/>
  <c r="Q122" i="14"/>
  <c r="P122" i="14"/>
  <c r="O122" i="14"/>
  <c r="N122" i="14"/>
  <c r="M122" i="14"/>
  <c r="L122" i="14"/>
  <c r="AN122" i="14" s="1"/>
  <c r="K122" i="14"/>
  <c r="AO122" i="14" s="1"/>
  <c r="J122" i="14"/>
  <c r="I122" i="14"/>
  <c r="H122" i="14"/>
  <c r="G122" i="14"/>
  <c r="F122" i="14"/>
  <c r="E122" i="14"/>
  <c r="D122" i="14"/>
  <c r="AJ121" i="14"/>
  <c r="AI121" i="14"/>
  <c r="AH121" i="14"/>
  <c r="AG121" i="14"/>
  <c r="AF121" i="14"/>
  <c r="AE121" i="14"/>
  <c r="AD121" i="14"/>
  <c r="AC121" i="14"/>
  <c r="AB121" i="14"/>
  <c r="AA121" i="14"/>
  <c r="Z121" i="14"/>
  <c r="Y121" i="14"/>
  <c r="X121" i="14"/>
  <c r="W121" i="14"/>
  <c r="V121" i="14"/>
  <c r="U121" i="14"/>
  <c r="T121" i="14"/>
  <c r="AM121" i="14" s="1"/>
  <c r="S121" i="14"/>
  <c r="R121" i="14"/>
  <c r="Q121" i="14"/>
  <c r="P121" i="14"/>
  <c r="O121" i="14"/>
  <c r="N121" i="14"/>
  <c r="M121" i="14"/>
  <c r="L121" i="14"/>
  <c r="K121" i="14"/>
  <c r="J121" i="14"/>
  <c r="I121" i="14"/>
  <c r="H121" i="14"/>
  <c r="G121" i="14"/>
  <c r="F121" i="14"/>
  <c r="E121" i="14"/>
  <c r="D121" i="14"/>
  <c r="AJ120" i="14"/>
  <c r="AI120" i="14"/>
  <c r="AH120" i="14"/>
  <c r="AG120" i="14"/>
  <c r="AF120" i="14"/>
  <c r="AE120" i="14"/>
  <c r="AD120" i="14"/>
  <c r="AC120" i="14"/>
  <c r="AB120" i="14"/>
  <c r="AA120" i="14"/>
  <c r="Z120" i="14"/>
  <c r="Y120" i="14"/>
  <c r="X120" i="14"/>
  <c r="W120" i="14"/>
  <c r="V120" i="14"/>
  <c r="U120" i="14"/>
  <c r="T120" i="14"/>
  <c r="S120" i="14"/>
  <c r="R120" i="14"/>
  <c r="Q120" i="14"/>
  <c r="P120" i="14"/>
  <c r="O120" i="14"/>
  <c r="N120" i="14"/>
  <c r="M120" i="14"/>
  <c r="AN120" i="14" s="1"/>
  <c r="L120" i="14"/>
  <c r="K120" i="14"/>
  <c r="J120" i="14"/>
  <c r="I120" i="14"/>
  <c r="H120" i="14"/>
  <c r="G120" i="14"/>
  <c r="F120" i="14"/>
  <c r="E120" i="14"/>
  <c r="D120" i="14"/>
  <c r="C120" i="14"/>
  <c r="AJ119" i="14"/>
  <c r="AI119" i="14"/>
  <c r="AH119" i="14"/>
  <c r="AG119" i="14"/>
  <c r="AF119" i="14"/>
  <c r="AE119" i="14"/>
  <c r="AD119" i="14"/>
  <c r="AC119" i="14"/>
  <c r="AB119" i="14"/>
  <c r="AA119" i="14"/>
  <c r="Z119" i="14"/>
  <c r="Y119" i="14"/>
  <c r="X119" i="14"/>
  <c r="AM119" i="14" s="1"/>
  <c r="W119" i="14"/>
  <c r="V119" i="14"/>
  <c r="U119" i="14"/>
  <c r="T119" i="14"/>
  <c r="S119" i="14"/>
  <c r="R119" i="14"/>
  <c r="Q119" i="14"/>
  <c r="P119" i="14"/>
  <c r="O119" i="14"/>
  <c r="N119" i="14"/>
  <c r="M119" i="14"/>
  <c r="L119" i="14"/>
  <c r="K119" i="14"/>
  <c r="J119" i="14"/>
  <c r="I119" i="14"/>
  <c r="H119" i="14"/>
  <c r="G119" i="14"/>
  <c r="F119" i="14"/>
  <c r="E119" i="14"/>
  <c r="D119" i="14"/>
  <c r="C119" i="14"/>
  <c r="AJ118" i="14"/>
  <c r="AI118" i="14"/>
  <c r="AH118" i="14"/>
  <c r="AG118" i="14"/>
  <c r="AF118" i="14"/>
  <c r="AE118" i="14"/>
  <c r="AD118" i="14"/>
  <c r="AC118" i="14"/>
  <c r="AB118" i="14"/>
  <c r="AL118" i="14" s="1"/>
  <c r="AA118" i="14"/>
  <c r="Z118" i="14"/>
  <c r="Y118" i="14"/>
  <c r="X118" i="14"/>
  <c r="W118" i="14"/>
  <c r="V118" i="14"/>
  <c r="U118" i="14"/>
  <c r="T118" i="14"/>
  <c r="S118" i="14"/>
  <c r="R118" i="14"/>
  <c r="Q118" i="14"/>
  <c r="P118" i="14"/>
  <c r="O118" i="14"/>
  <c r="N118" i="14"/>
  <c r="M118" i="14"/>
  <c r="L118" i="14"/>
  <c r="AN118" i="14" s="1"/>
  <c r="K118" i="14"/>
  <c r="J118" i="14"/>
  <c r="I118" i="14"/>
  <c r="H118" i="14"/>
  <c r="G118" i="14"/>
  <c r="F118" i="14"/>
  <c r="E118" i="14"/>
  <c r="AO118" i="14" s="1"/>
  <c r="D118" i="14"/>
  <c r="AJ117" i="14"/>
  <c r="AI117" i="14"/>
  <c r="AH117" i="14"/>
  <c r="AG117" i="14"/>
  <c r="AF117" i="14"/>
  <c r="AE117" i="14"/>
  <c r="AL117" i="14" s="1"/>
  <c r="AD117" i="14"/>
  <c r="AC117" i="14"/>
  <c r="AB117" i="14"/>
  <c r="AA117" i="14"/>
  <c r="Z117" i="14"/>
  <c r="Y117" i="14"/>
  <c r="X117" i="14"/>
  <c r="W117" i="14"/>
  <c r="AM117" i="14" s="1"/>
  <c r="V117" i="14"/>
  <c r="U117" i="14"/>
  <c r="T117" i="14"/>
  <c r="S117" i="14"/>
  <c r="R117" i="14"/>
  <c r="AN117" i="14" s="1"/>
  <c r="Q117" i="14"/>
  <c r="P117" i="14"/>
  <c r="O117" i="14"/>
  <c r="N117" i="14"/>
  <c r="M117" i="14"/>
  <c r="L117" i="14"/>
  <c r="K117" i="14"/>
  <c r="J117" i="14"/>
  <c r="I117" i="14"/>
  <c r="H117" i="14"/>
  <c r="G117" i="14"/>
  <c r="F117" i="14"/>
  <c r="E117" i="14"/>
  <c r="D117" i="14"/>
  <c r="AJ116" i="14"/>
  <c r="AI116" i="14"/>
  <c r="AH116" i="14"/>
  <c r="AG116" i="14"/>
  <c r="AF116" i="14"/>
  <c r="AE116" i="14"/>
  <c r="AD116" i="14"/>
  <c r="AC116" i="14"/>
  <c r="AB116" i="14"/>
  <c r="AA116" i="14"/>
  <c r="Z116" i="14"/>
  <c r="Y116" i="14"/>
  <c r="X116" i="14"/>
  <c r="W116" i="14"/>
  <c r="V116" i="14"/>
  <c r="U116" i="14"/>
  <c r="T116" i="14"/>
  <c r="S116" i="14"/>
  <c r="R116" i="14"/>
  <c r="Q116" i="14"/>
  <c r="P116" i="14"/>
  <c r="O116" i="14"/>
  <c r="N116" i="14"/>
  <c r="M116" i="14"/>
  <c r="L116" i="14"/>
  <c r="AN116" i="14" s="1"/>
  <c r="K116" i="14"/>
  <c r="J116" i="14"/>
  <c r="I116" i="14"/>
  <c r="H116" i="14"/>
  <c r="G116" i="14"/>
  <c r="F116" i="14"/>
  <c r="E116" i="14"/>
  <c r="D116" i="14"/>
  <c r="C116" i="14"/>
  <c r="AO115" i="14"/>
  <c r="AJ115" i="14"/>
  <c r="AI115" i="14"/>
  <c r="AH115" i="14"/>
  <c r="AG115" i="14"/>
  <c r="AF115" i="14"/>
  <c r="AE115" i="14"/>
  <c r="AD115" i="14"/>
  <c r="AC115" i="14"/>
  <c r="AB115" i="14"/>
  <c r="AA115" i="14"/>
  <c r="Z115" i="14"/>
  <c r="Y115" i="14"/>
  <c r="X115" i="14"/>
  <c r="W115" i="14"/>
  <c r="V115" i="14"/>
  <c r="U115" i="14"/>
  <c r="T115" i="14"/>
  <c r="S115" i="14"/>
  <c r="R115" i="14"/>
  <c r="Q115" i="14"/>
  <c r="P115" i="14"/>
  <c r="O115" i="14"/>
  <c r="N115" i="14"/>
  <c r="M115" i="14"/>
  <c r="L115" i="14"/>
  <c r="K115" i="14"/>
  <c r="J115" i="14"/>
  <c r="I115" i="14"/>
  <c r="H115" i="14"/>
  <c r="G115" i="14"/>
  <c r="F115" i="14"/>
  <c r="E115" i="14"/>
  <c r="D115" i="14"/>
  <c r="AJ114" i="14"/>
  <c r="AI114" i="14"/>
  <c r="AL114" i="14" s="1"/>
  <c r="AH114" i="14"/>
  <c r="AG114" i="14"/>
  <c r="AF114" i="14"/>
  <c r="AE114" i="14"/>
  <c r="AD114" i="14"/>
  <c r="AC114" i="14"/>
  <c r="AB114" i="14"/>
  <c r="AA114" i="14"/>
  <c r="Z114" i="14"/>
  <c r="Y114" i="14"/>
  <c r="X114" i="14"/>
  <c r="W114" i="14"/>
  <c r="V114" i="14"/>
  <c r="U114" i="14"/>
  <c r="T114" i="14"/>
  <c r="S114" i="14"/>
  <c r="R114" i="14"/>
  <c r="Q114" i="14"/>
  <c r="P114" i="14"/>
  <c r="O114" i="14"/>
  <c r="N114" i="14"/>
  <c r="M114" i="14"/>
  <c r="L114" i="14"/>
  <c r="K114" i="14"/>
  <c r="J114" i="14"/>
  <c r="I114" i="14"/>
  <c r="H114" i="14"/>
  <c r="G114" i="14"/>
  <c r="F114" i="14"/>
  <c r="E114" i="14"/>
  <c r="D114" i="14"/>
  <c r="AN113" i="14"/>
  <c r="AJ113" i="14"/>
  <c r="AI113" i="14"/>
  <c r="AH113" i="14"/>
  <c r="AG113" i="14"/>
  <c r="AF113" i="14"/>
  <c r="AE113" i="14"/>
  <c r="AD113" i="14"/>
  <c r="AC113" i="14"/>
  <c r="AB113" i="14"/>
  <c r="AL113" i="14" s="1"/>
  <c r="AA113" i="14"/>
  <c r="Z113" i="14"/>
  <c r="Y113" i="14"/>
  <c r="X113" i="14"/>
  <c r="AM113" i="14" s="1"/>
  <c r="W113" i="14"/>
  <c r="V113" i="14"/>
  <c r="U113" i="14"/>
  <c r="T113" i="14"/>
  <c r="S113" i="14"/>
  <c r="R113" i="14"/>
  <c r="Q113" i="14"/>
  <c r="P113" i="14"/>
  <c r="O113" i="14"/>
  <c r="N113" i="14"/>
  <c r="M113" i="14"/>
  <c r="L113" i="14"/>
  <c r="K113" i="14"/>
  <c r="J113" i="14"/>
  <c r="AO113" i="14" s="1"/>
  <c r="I113" i="14"/>
  <c r="H113" i="14"/>
  <c r="G113" i="14"/>
  <c r="F113" i="14"/>
  <c r="E113" i="14"/>
  <c r="D113" i="14"/>
  <c r="C113" i="14"/>
  <c r="AN112" i="14"/>
  <c r="AJ112" i="14"/>
  <c r="AI112" i="14"/>
  <c r="AH112" i="14"/>
  <c r="AG112" i="14"/>
  <c r="AF112" i="14"/>
  <c r="AE112" i="14"/>
  <c r="AD112" i="14"/>
  <c r="AC112" i="14"/>
  <c r="AB112" i="14"/>
  <c r="AA112" i="14"/>
  <c r="Z112" i="14"/>
  <c r="Y112" i="14"/>
  <c r="X112" i="14"/>
  <c r="W112" i="14"/>
  <c r="V112" i="14"/>
  <c r="U112" i="14"/>
  <c r="AM112" i="14" s="1"/>
  <c r="T112" i="14"/>
  <c r="S112" i="14"/>
  <c r="R112" i="14"/>
  <c r="Q112" i="14"/>
  <c r="P112" i="14"/>
  <c r="O112" i="14"/>
  <c r="N112" i="14"/>
  <c r="M112" i="14"/>
  <c r="L112" i="14"/>
  <c r="K112" i="14"/>
  <c r="J112" i="14"/>
  <c r="I112" i="14"/>
  <c r="H112" i="14"/>
  <c r="G112" i="14"/>
  <c r="F112" i="14"/>
  <c r="E112" i="14"/>
  <c r="D112" i="14"/>
  <c r="AO112" i="14" s="1"/>
  <c r="AJ111" i="14"/>
  <c r="AI111" i="14"/>
  <c r="AH111" i="14"/>
  <c r="AG111" i="14"/>
  <c r="AF111" i="14"/>
  <c r="AE111" i="14"/>
  <c r="AD111" i="14"/>
  <c r="AC111" i="14"/>
  <c r="AB111" i="14"/>
  <c r="AA111" i="14"/>
  <c r="Z111" i="14"/>
  <c r="Y111" i="14"/>
  <c r="X111" i="14"/>
  <c r="W111" i="14"/>
  <c r="V111" i="14"/>
  <c r="U111" i="14"/>
  <c r="T111" i="14"/>
  <c r="S111" i="14"/>
  <c r="R111" i="14"/>
  <c r="Q111" i="14"/>
  <c r="P111" i="14"/>
  <c r="O111" i="14"/>
  <c r="N111" i="14"/>
  <c r="M111" i="14"/>
  <c r="L111" i="14"/>
  <c r="AN111" i="14" s="1"/>
  <c r="K111" i="14"/>
  <c r="J111" i="14"/>
  <c r="I111" i="14"/>
  <c r="H111" i="14"/>
  <c r="G111" i="14"/>
  <c r="F111" i="14"/>
  <c r="E111" i="14"/>
  <c r="D111" i="14"/>
  <c r="AO111" i="14" s="1"/>
  <c r="AJ110" i="14"/>
  <c r="AI110" i="14"/>
  <c r="AH110" i="14"/>
  <c r="AG110" i="14"/>
  <c r="AF110" i="14"/>
  <c r="AE110" i="14"/>
  <c r="AD110" i="14"/>
  <c r="AC110" i="14"/>
  <c r="AB110" i="14"/>
  <c r="AA110" i="14"/>
  <c r="Z110" i="14"/>
  <c r="Y110" i="14"/>
  <c r="X110" i="14"/>
  <c r="W110" i="14"/>
  <c r="V110" i="14"/>
  <c r="U110" i="14"/>
  <c r="T110" i="14"/>
  <c r="S110" i="14"/>
  <c r="R110" i="14"/>
  <c r="AN110" i="14" s="1"/>
  <c r="Q110" i="14"/>
  <c r="P110" i="14"/>
  <c r="O110" i="14"/>
  <c r="N110" i="14"/>
  <c r="M110" i="14"/>
  <c r="L110" i="14"/>
  <c r="K110" i="14"/>
  <c r="J110" i="14"/>
  <c r="I110" i="14"/>
  <c r="H110" i="14"/>
  <c r="G110" i="14"/>
  <c r="F110" i="14"/>
  <c r="E110" i="14"/>
  <c r="D110" i="14"/>
  <c r="AO110" i="14" s="1"/>
  <c r="AJ109" i="14"/>
  <c r="AI109" i="14"/>
  <c r="AH109" i="14"/>
  <c r="AG109" i="14"/>
  <c r="AF109" i="14"/>
  <c r="AE109" i="14"/>
  <c r="AD109" i="14"/>
  <c r="AC109" i="14"/>
  <c r="AB109" i="14"/>
  <c r="AA109" i="14"/>
  <c r="Z109" i="14"/>
  <c r="Y109" i="14"/>
  <c r="X109" i="14"/>
  <c r="W109" i="14"/>
  <c r="V109" i="14"/>
  <c r="U109" i="14"/>
  <c r="T109" i="14"/>
  <c r="S109" i="14"/>
  <c r="R109" i="14"/>
  <c r="Q109" i="14"/>
  <c r="P109" i="14"/>
  <c r="O109" i="14"/>
  <c r="N109" i="14"/>
  <c r="M109" i="14"/>
  <c r="L109" i="14"/>
  <c r="K109" i="14"/>
  <c r="J109" i="14"/>
  <c r="I109" i="14"/>
  <c r="H109" i="14"/>
  <c r="G109" i="14"/>
  <c r="F109" i="14"/>
  <c r="E109" i="14"/>
  <c r="D109" i="14"/>
  <c r="AN108" i="14"/>
  <c r="AJ108" i="14"/>
  <c r="AI108" i="14"/>
  <c r="AH108" i="14"/>
  <c r="AG108" i="14"/>
  <c r="AF108" i="14"/>
  <c r="AE108" i="14"/>
  <c r="AD108" i="14"/>
  <c r="AL108" i="14" s="1"/>
  <c r="AC108" i="14"/>
  <c r="AB108" i="14"/>
  <c r="AA108" i="14"/>
  <c r="Z108" i="14"/>
  <c r="Y108" i="14"/>
  <c r="X108" i="14"/>
  <c r="W108" i="14"/>
  <c r="AM108" i="14" s="1"/>
  <c r="V108" i="14"/>
  <c r="U108" i="14"/>
  <c r="T108" i="14"/>
  <c r="S108" i="14"/>
  <c r="R108" i="14"/>
  <c r="Q108" i="14"/>
  <c r="P108" i="14"/>
  <c r="O108" i="14"/>
  <c r="N108" i="14"/>
  <c r="M108" i="14"/>
  <c r="L108" i="14"/>
  <c r="K108" i="14"/>
  <c r="J108" i="14"/>
  <c r="I108" i="14"/>
  <c r="H108" i="14"/>
  <c r="G108" i="14"/>
  <c r="F108" i="14"/>
  <c r="E108" i="14"/>
  <c r="D108" i="14"/>
  <c r="AJ107" i="14"/>
  <c r="AI107" i="14"/>
  <c r="AH107" i="14"/>
  <c r="AG107" i="14"/>
  <c r="AF107" i="14"/>
  <c r="AE107" i="14"/>
  <c r="AD107" i="14"/>
  <c r="AC107" i="14"/>
  <c r="AB107" i="14"/>
  <c r="AA107" i="14"/>
  <c r="Z107" i="14"/>
  <c r="Y107" i="14"/>
  <c r="X107" i="14"/>
  <c r="W107" i="14"/>
  <c r="V107" i="14"/>
  <c r="U107" i="14"/>
  <c r="T107" i="14"/>
  <c r="S107" i="14"/>
  <c r="R107" i="14"/>
  <c r="Q107" i="14"/>
  <c r="P107" i="14"/>
  <c r="O107" i="14"/>
  <c r="N107" i="14"/>
  <c r="M107" i="14"/>
  <c r="L107" i="14"/>
  <c r="K107" i="14"/>
  <c r="J107" i="14"/>
  <c r="I107" i="14"/>
  <c r="H107" i="14"/>
  <c r="G107" i="14"/>
  <c r="F107" i="14"/>
  <c r="E107" i="14"/>
  <c r="D107" i="14"/>
  <c r="AN106" i="14"/>
  <c r="AJ106" i="14"/>
  <c r="AI106" i="14"/>
  <c r="AH106" i="14"/>
  <c r="AG106" i="14"/>
  <c r="AF106" i="14"/>
  <c r="AE106" i="14"/>
  <c r="AD106" i="14"/>
  <c r="AC106" i="14"/>
  <c r="AB106" i="14"/>
  <c r="AL106" i="14" s="1"/>
  <c r="AA106" i="14"/>
  <c r="Z106" i="14"/>
  <c r="Y106" i="14"/>
  <c r="X106" i="14"/>
  <c r="W106" i="14"/>
  <c r="V106" i="14"/>
  <c r="U106" i="14"/>
  <c r="T106" i="14"/>
  <c r="S106" i="14"/>
  <c r="R106" i="14"/>
  <c r="Q106" i="14"/>
  <c r="P106" i="14"/>
  <c r="O106" i="14"/>
  <c r="N106" i="14"/>
  <c r="M106" i="14"/>
  <c r="L106" i="14"/>
  <c r="K106" i="14"/>
  <c r="J106" i="14"/>
  <c r="I106" i="14"/>
  <c r="H106" i="14"/>
  <c r="G106" i="14"/>
  <c r="F106" i="14"/>
  <c r="E106" i="14"/>
  <c r="D106" i="14"/>
  <c r="C106" i="14"/>
  <c r="AJ105" i="14"/>
  <c r="AI105" i="14"/>
  <c r="AH105" i="14"/>
  <c r="AG105" i="14"/>
  <c r="AF105" i="14"/>
  <c r="AE105" i="14"/>
  <c r="AD105" i="14"/>
  <c r="AC105" i="14"/>
  <c r="AB105" i="14"/>
  <c r="AA105" i="14"/>
  <c r="Z105" i="14"/>
  <c r="Y105" i="14"/>
  <c r="X105" i="14"/>
  <c r="W105" i="14"/>
  <c r="V105" i="14"/>
  <c r="AM105" i="14" s="1"/>
  <c r="U105" i="14"/>
  <c r="T105" i="14"/>
  <c r="S105" i="14"/>
  <c r="R105" i="14"/>
  <c r="Q105" i="14"/>
  <c r="P105" i="14"/>
  <c r="O105" i="14"/>
  <c r="N105" i="14"/>
  <c r="M105" i="14"/>
  <c r="L105" i="14"/>
  <c r="K105" i="14"/>
  <c r="J105" i="14"/>
  <c r="I105" i="14"/>
  <c r="H105" i="14"/>
  <c r="G105" i="14"/>
  <c r="F105" i="14"/>
  <c r="E105" i="14"/>
  <c r="D105" i="14"/>
  <c r="C105" i="14"/>
  <c r="AJ104" i="14"/>
  <c r="AI104" i="14"/>
  <c r="AH104" i="14"/>
  <c r="AG104" i="14"/>
  <c r="AF104" i="14"/>
  <c r="AE104" i="14"/>
  <c r="AD104" i="14"/>
  <c r="AC104" i="14"/>
  <c r="AB104" i="14"/>
  <c r="AA104" i="14"/>
  <c r="Z104" i="14"/>
  <c r="Y104" i="14"/>
  <c r="X104" i="14"/>
  <c r="W104" i="14"/>
  <c r="V104" i="14"/>
  <c r="U104" i="14"/>
  <c r="T104" i="14"/>
  <c r="S104" i="14"/>
  <c r="R104" i="14"/>
  <c r="Q104" i="14"/>
  <c r="P104" i="14"/>
  <c r="O104" i="14"/>
  <c r="N104" i="14"/>
  <c r="M104" i="14"/>
  <c r="L104" i="14"/>
  <c r="K104" i="14"/>
  <c r="J104" i="14"/>
  <c r="I104" i="14"/>
  <c r="H104" i="14"/>
  <c r="G104" i="14"/>
  <c r="F104" i="14"/>
  <c r="E104" i="14"/>
  <c r="D104" i="14"/>
  <c r="AJ103" i="14"/>
  <c r="AI103" i="14"/>
  <c r="AH103" i="14"/>
  <c r="AG103" i="14"/>
  <c r="AF103" i="14"/>
  <c r="AE103" i="14"/>
  <c r="AD103" i="14"/>
  <c r="AL103" i="14" s="1"/>
  <c r="AC103" i="14"/>
  <c r="AB103" i="14"/>
  <c r="AA103" i="14"/>
  <c r="Z103" i="14"/>
  <c r="Y103" i="14"/>
  <c r="X103" i="14"/>
  <c r="W103" i="14"/>
  <c r="V103" i="14"/>
  <c r="AM103" i="14" s="1"/>
  <c r="U103" i="14"/>
  <c r="T103" i="14"/>
  <c r="S103" i="14"/>
  <c r="R103" i="14"/>
  <c r="Q103" i="14"/>
  <c r="P103" i="14"/>
  <c r="AN103" i="14" s="1"/>
  <c r="O103" i="14"/>
  <c r="N103" i="14"/>
  <c r="M103" i="14"/>
  <c r="L103" i="14"/>
  <c r="K103" i="14"/>
  <c r="J103" i="14"/>
  <c r="I103" i="14"/>
  <c r="H103" i="14"/>
  <c r="AO103" i="14" s="1"/>
  <c r="G103" i="14"/>
  <c r="F103" i="14"/>
  <c r="E103" i="14"/>
  <c r="D103" i="14"/>
  <c r="AJ102" i="14"/>
  <c r="AI102" i="14"/>
  <c r="AH102" i="14"/>
  <c r="AL102" i="14" s="1"/>
  <c r="AG102" i="14"/>
  <c r="AF102" i="14"/>
  <c r="AE102" i="14"/>
  <c r="AD102" i="14"/>
  <c r="AC102" i="14"/>
  <c r="AB102" i="14"/>
  <c r="AA102" i="14"/>
  <c r="Z102" i="14"/>
  <c r="Y102" i="14"/>
  <c r="X102" i="14"/>
  <c r="W102" i="14"/>
  <c r="V102" i="14"/>
  <c r="U102" i="14"/>
  <c r="T102" i="14"/>
  <c r="S102" i="14"/>
  <c r="R102" i="14"/>
  <c r="Q102" i="14"/>
  <c r="P102" i="14"/>
  <c r="O102" i="14"/>
  <c r="N102" i="14"/>
  <c r="M102" i="14"/>
  <c r="L102" i="14"/>
  <c r="K102" i="14"/>
  <c r="J102" i="14"/>
  <c r="I102" i="14"/>
  <c r="H102" i="14"/>
  <c r="G102" i="14"/>
  <c r="F102" i="14"/>
  <c r="E102" i="14"/>
  <c r="D102" i="14"/>
  <c r="C102" i="14"/>
  <c r="AM101" i="14"/>
  <c r="AJ101" i="14"/>
  <c r="AI101" i="14"/>
  <c r="AH101" i="14"/>
  <c r="AG101" i="14"/>
  <c r="AF101" i="14"/>
  <c r="AE101" i="14"/>
  <c r="AD101" i="14"/>
  <c r="AC101" i="14"/>
  <c r="AB101" i="14"/>
  <c r="AA101" i="14"/>
  <c r="Z101" i="14"/>
  <c r="Y101" i="14"/>
  <c r="X101" i="14"/>
  <c r="W101" i="14"/>
  <c r="V101" i="14"/>
  <c r="U101" i="14"/>
  <c r="T101" i="14"/>
  <c r="S101" i="14"/>
  <c r="R101" i="14"/>
  <c r="Q101" i="14"/>
  <c r="P101" i="14"/>
  <c r="O101" i="14"/>
  <c r="N101" i="14"/>
  <c r="M101" i="14"/>
  <c r="L101" i="14"/>
  <c r="K101" i="14"/>
  <c r="J101" i="14"/>
  <c r="AO101" i="14" s="1"/>
  <c r="I101" i="14"/>
  <c r="H101" i="14"/>
  <c r="G101" i="14"/>
  <c r="F101" i="14"/>
  <c r="E101" i="14"/>
  <c r="D101" i="14"/>
  <c r="C101" i="14"/>
  <c r="AJ100" i="14"/>
  <c r="AI100" i="14"/>
  <c r="AH100" i="14"/>
  <c r="AG100" i="14"/>
  <c r="AF100" i="14"/>
  <c r="AE100" i="14"/>
  <c r="AD100" i="14"/>
  <c r="AC100" i="14"/>
  <c r="AB100" i="14"/>
  <c r="AA100" i="14"/>
  <c r="Z100" i="14"/>
  <c r="Y100" i="14"/>
  <c r="X100" i="14"/>
  <c r="W100" i="14"/>
  <c r="V100" i="14"/>
  <c r="U100" i="14"/>
  <c r="T100" i="14"/>
  <c r="S100" i="14"/>
  <c r="R100" i="14"/>
  <c r="Q100" i="14"/>
  <c r="P100" i="14"/>
  <c r="O100" i="14"/>
  <c r="N100" i="14"/>
  <c r="M100" i="14"/>
  <c r="L100" i="14"/>
  <c r="K100" i="14"/>
  <c r="J100" i="14"/>
  <c r="I100" i="14"/>
  <c r="H100" i="14"/>
  <c r="G100" i="14"/>
  <c r="AO100" i="14" s="1"/>
  <c r="F100" i="14"/>
  <c r="E100" i="14"/>
  <c r="D100" i="14"/>
  <c r="AO99" i="14"/>
  <c r="AJ99" i="14"/>
  <c r="AI99" i="14"/>
  <c r="AH99" i="14"/>
  <c r="AG99" i="14"/>
  <c r="AF99" i="14"/>
  <c r="AE99" i="14"/>
  <c r="AD99" i="14"/>
  <c r="AC99" i="14"/>
  <c r="AB99" i="14"/>
  <c r="AA99" i="14"/>
  <c r="Z99" i="14"/>
  <c r="Y99" i="14"/>
  <c r="X99" i="14"/>
  <c r="W99" i="14"/>
  <c r="V99" i="14"/>
  <c r="U99" i="14"/>
  <c r="T99" i="14"/>
  <c r="S99" i="14"/>
  <c r="R99" i="14"/>
  <c r="Q99" i="14"/>
  <c r="P99" i="14"/>
  <c r="O99" i="14"/>
  <c r="N99" i="14"/>
  <c r="M99" i="14"/>
  <c r="L99" i="14"/>
  <c r="AN99" i="14" s="1"/>
  <c r="K99" i="14"/>
  <c r="J99" i="14"/>
  <c r="I99" i="14"/>
  <c r="H99" i="14"/>
  <c r="G99" i="14"/>
  <c r="F99" i="14"/>
  <c r="E99" i="14"/>
  <c r="D99" i="14"/>
  <c r="C99" i="14"/>
  <c r="AJ98" i="14"/>
  <c r="AI98" i="14"/>
  <c r="AH98" i="14"/>
  <c r="AG98" i="14"/>
  <c r="AF98" i="14"/>
  <c r="AE98" i="14"/>
  <c r="AD98" i="14"/>
  <c r="AC98" i="14"/>
  <c r="AB98" i="14"/>
  <c r="AA98" i="14"/>
  <c r="Z98" i="14"/>
  <c r="Y98" i="14"/>
  <c r="X98" i="14"/>
  <c r="W98" i="14"/>
  <c r="V98" i="14"/>
  <c r="U98" i="14"/>
  <c r="T98" i="14"/>
  <c r="S98" i="14"/>
  <c r="R98" i="14"/>
  <c r="Q98" i="14"/>
  <c r="P98" i="14"/>
  <c r="O98" i="14"/>
  <c r="AN98" i="14" s="1"/>
  <c r="N98" i="14"/>
  <c r="M98" i="14"/>
  <c r="L98" i="14"/>
  <c r="K98" i="14"/>
  <c r="J98" i="14"/>
  <c r="I98" i="14"/>
  <c r="H98" i="14"/>
  <c r="G98" i="14"/>
  <c r="F98" i="14"/>
  <c r="E98" i="14"/>
  <c r="D98" i="14"/>
  <c r="AJ97" i="14"/>
  <c r="AI97" i="14"/>
  <c r="AH97" i="14"/>
  <c r="AG97" i="14"/>
  <c r="AF97" i="14"/>
  <c r="AE97" i="14"/>
  <c r="AD97" i="14"/>
  <c r="AC97" i="14"/>
  <c r="AB97" i="14"/>
  <c r="AA97" i="14"/>
  <c r="Z97" i="14"/>
  <c r="Y97" i="14"/>
  <c r="X97" i="14"/>
  <c r="W97" i="14"/>
  <c r="V97" i="14"/>
  <c r="U97" i="14"/>
  <c r="T97" i="14"/>
  <c r="S97" i="14"/>
  <c r="R97" i="14"/>
  <c r="Q97" i="14"/>
  <c r="P97" i="14"/>
  <c r="O97" i="14"/>
  <c r="N97" i="14"/>
  <c r="M97" i="14"/>
  <c r="L97" i="14"/>
  <c r="K97" i="14"/>
  <c r="J97" i="14"/>
  <c r="I97" i="14"/>
  <c r="H97" i="14"/>
  <c r="G97" i="14"/>
  <c r="F97" i="14"/>
  <c r="E97" i="14"/>
  <c r="D97" i="14"/>
  <c r="AO97" i="14" s="1"/>
  <c r="AJ96" i="14"/>
  <c r="AI96" i="14"/>
  <c r="AH96" i="14"/>
  <c r="AG96" i="14"/>
  <c r="AF96" i="14"/>
  <c r="AE96" i="14"/>
  <c r="AD96" i="14"/>
  <c r="AL96" i="14" s="1"/>
  <c r="AC96" i="14"/>
  <c r="AB96" i="14"/>
  <c r="AA96" i="14"/>
  <c r="Z96" i="14"/>
  <c r="Y96" i="14"/>
  <c r="X96" i="14"/>
  <c r="W96" i="14"/>
  <c r="V96" i="14"/>
  <c r="U96" i="14"/>
  <c r="T96" i="14"/>
  <c r="S96" i="14"/>
  <c r="R96" i="14"/>
  <c r="Q96" i="14"/>
  <c r="P96" i="14"/>
  <c r="O96" i="14"/>
  <c r="AN96" i="14" s="1"/>
  <c r="N96" i="14"/>
  <c r="M96" i="14"/>
  <c r="L96" i="14"/>
  <c r="K96" i="14"/>
  <c r="J96" i="14"/>
  <c r="I96" i="14"/>
  <c r="H96" i="14"/>
  <c r="G96" i="14"/>
  <c r="F96" i="14"/>
  <c r="E96" i="14"/>
  <c r="D96" i="14"/>
  <c r="AO95" i="14"/>
  <c r="AJ95" i="14"/>
  <c r="AI95" i="14"/>
  <c r="AH95" i="14"/>
  <c r="AG95" i="14"/>
  <c r="AF95" i="14"/>
  <c r="AE95" i="14"/>
  <c r="AD95" i="14"/>
  <c r="AC95" i="14"/>
  <c r="AB95" i="14"/>
  <c r="AA95" i="14"/>
  <c r="Z95" i="14"/>
  <c r="Y95" i="14"/>
  <c r="X95" i="14"/>
  <c r="W95" i="14"/>
  <c r="V95" i="14"/>
  <c r="U95" i="14"/>
  <c r="T95" i="14"/>
  <c r="AM95" i="14" s="1"/>
  <c r="S95" i="14"/>
  <c r="R95" i="14"/>
  <c r="Q95" i="14"/>
  <c r="P95" i="14"/>
  <c r="O95" i="14"/>
  <c r="N95" i="14"/>
  <c r="M95" i="14"/>
  <c r="L95" i="14"/>
  <c r="K95" i="14"/>
  <c r="J95" i="14"/>
  <c r="I95" i="14"/>
  <c r="H95" i="14"/>
  <c r="G95" i="14"/>
  <c r="F95" i="14"/>
  <c r="E95" i="14"/>
  <c r="D95" i="14"/>
  <c r="AJ94" i="14"/>
  <c r="AI94" i="14"/>
  <c r="AH94" i="14"/>
  <c r="AG94" i="14"/>
  <c r="AF94" i="14"/>
  <c r="AE94" i="14"/>
  <c r="AD94" i="14"/>
  <c r="AC94" i="14"/>
  <c r="AB94" i="14"/>
  <c r="AA94" i="14"/>
  <c r="Z94" i="14"/>
  <c r="Y94" i="14"/>
  <c r="AM94" i="14" s="1"/>
  <c r="X94" i="14"/>
  <c r="W94" i="14"/>
  <c r="V94" i="14"/>
  <c r="U94" i="14"/>
  <c r="T94" i="14"/>
  <c r="S94" i="14"/>
  <c r="R94" i="14"/>
  <c r="Q94" i="14"/>
  <c r="P94" i="14"/>
  <c r="O94" i="14"/>
  <c r="N94" i="14"/>
  <c r="M94" i="14"/>
  <c r="L94" i="14"/>
  <c r="AN94" i="14" s="1"/>
  <c r="K94" i="14"/>
  <c r="AO94" i="14" s="1"/>
  <c r="J94" i="14"/>
  <c r="I94" i="14"/>
  <c r="H94" i="14"/>
  <c r="G94" i="14"/>
  <c r="F94" i="14"/>
  <c r="E94" i="14"/>
  <c r="D94" i="14"/>
  <c r="AJ93" i="14"/>
  <c r="AI93" i="14"/>
  <c r="AH93" i="14"/>
  <c r="AG93" i="14"/>
  <c r="AF93" i="14"/>
  <c r="AE93" i="14"/>
  <c r="AD93" i="14"/>
  <c r="AC93" i="14"/>
  <c r="AB93" i="14"/>
  <c r="AA93" i="14"/>
  <c r="Z93" i="14"/>
  <c r="Y93" i="14"/>
  <c r="X93" i="14"/>
  <c r="AM93" i="14" s="1"/>
  <c r="W93" i="14"/>
  <c r="V93" i="14"/>
  <c r="U93" i="14"/>
  <c r="T93" i="14"/>
  <c r="S93" i="14"/>
  <c r="R93" i="14"/>
  <c r="Q93" i="14"/>
  <c r="P93" i="14"/>
  <c r="O93" i="14"/>
  <c r="N93" i="14"/>
  <c r="M93" i="14"/>
  <c r="L93" i="14"/>
  <c r="K93" i="14"/>
  <c r="J93" i="14"/>
  <c r="I93" i="14"/>
  <c r="H93" i="14"/>
  <c r="G93" i="14"/>
  <c r="F93" i="14"/>
  <c r="E93" i="14"/>
  <c r="D93" i="14"/>
  <c r="AO93" i="14" s="1"/>
  <c r="AJ92" i="14"/>
  <c r="AI92" i="14"/>
  <c r="AH92" i="14"/>
  <c r="AG92" i="14"/>
  <c r="AF92" i="14"/>
  <c r="AE92" i="14"/>
  <c r="AD92" i="14"/>
  <c r="AC92" i="14"/>
  <c r="AB92" i="14"/>
  <c r="AA92" i="14"/>
  <c r="Z92" i="14"/>
  <c r="Y92" i="14"/>
  <c r="X92" i="14"/>
  <c r="W92" i="14"/>
  <c r="V92" i="14"/>
  <c r="U92" i="14"/>
  <c r="T92" i="14"/>
  <c r="S92" i="14"/>
  <c r="R92" i="14"/>
  <c r="Q92" i="14"/>
  <c r="P92" i="14"/>
  <c r="O92" i="14"/>
  <c r="N92" i="14"/>
  <c r="M92" i="14"/>
  <c r="AN92" i="14" s="1"/>
  <c r="L92" i="14"/>
  <c r="K92" i="14"/>
  <c r="J92" i="14"/>
  <c r="I92" i="14"/>
  <c r="H92" i="14"/>
  <c r="G92" i="14"/>
  <c r="F92" i="14"/>
  <c r="E92" i="14"/>
  <c r="D92" i="14"/>
  <c r="C92" i="14"/>
  <c r="AM91" i="14"/>
  <c r="AJ91" i="14"/>
  <c r="AI91" i="14"/>
  <c r="AH91" i="14"/>
  <c r="AG91" i="14"/>
  <c r="AF91" i="14"/>
  <c r="AE91" i="14"/>
  <c r="AD91" i="14"/>
  <c r="AC91" i="14"/>
  <c r="AB91" i="14"/>
  <c r="AA91" i="14"/>
  <c r="Z91" i="14"/>
  <c r="Y91" i="14"/>
  <c r="X91" i="14"/>
  <c r="W91" i="14"/>
  <c r="V91" i="14"/>
  <c r="U91" i="14"/>
  <c r="T91" i="14"/>
  <c r="S91" i="14"/>
  <c r="R91" i="14"/>
  <c r="Q91" i="14"/>
  <c r="P91" i="14"/>
  <c r="O91" i="14"/>
  <c r="N91" i="14"/>
  <c r="M91" i="14"/>
  <c r="L91" i="14"/>
  <c r="K91" i="14"/>
  <c r="J91" i="14"/>
  <c r="I91" i="14"/>
  <c r="H91" i="14"/>
  <c r="G91" i="14"/>
  <c r="F91" i="14"/>
  <c r="E91" i="14"/>
  <c r="D91" i="14"/>
  <c r="AO91" i="14" s="1"/>
  <c r="C91" i="14"/>
  <c r="AN90" i="14"/>
  <c r="AJ90" i="14"/>
  <c r="AI90" i="14"/>
  <c r="AH90" i="14"/>
  <c r="AG90" i="14"/>
  <c r="AF90" i="14"/>
  <c r="AE90" i="14"/>
  <c r="AD90" i="14"/>
  <c r="AC90" i="14"/>
  <c r="AB90" i="14"/>
  <c r="AA90" i="14"/>
  <c r="Z90" i="14"/>
  <c r="Y90" i="14"/>
  <c r="X90" i="14"/>
  <c r="W90" i="14"/>
  <c r="V90" i="14"/>
  <c r="U90" i="14"/>
  <c r="T90" i="14"/>
  <c r="S90" i="14"/>
  <c r="R90" i="14"/>
  <c r="Q90" i="14"/>
  <c r="P90" i="14"/>
  <c r="O90" i="14"/>
  <c r="N90" i="14"/>
  <c r="M90" i="14"/>
  <c r="L90" i="14"/>
  <c r="K90" i="14"/>
  <c r="J90" i="14"/>
  <c r="I90" i="14"/>
  <c r="H90" i="14"/>
  <c r="G90" i="14"/>
  <c r="F90" i="14"/>
  <c r="E90" i="14"/>
  <c r="AO90" i="14" s="1"/>
  <c r="D90" i="14"/>
  <c r="AJ89" i="14"/>
  <c r="AI89" i="14"/>
  <c r="AH89" i="14"/>
  <c r="AG89" i="14"/>
  <c r="AF89" i="14"/>
  <c r="AE89" i="14"/>
  <c r="AD89" i="14"/>
  <c r="AC89" i="14"/>
  <c r="AB89" i="14"/>
  <c r="AA89" i="14"/>
  <c r="Z89" i="14"/>
  <c r="Y89" i="14"/>
  <c r="X89" i="14"/>
  <c r="W89" i="14"/>
  <c r="AM89" i="14" s="1"/>
  <c r="V89" i="14"/>
  <c r="U89" i="14"/>
  <c r="T89" i="14"/>
  <c r="S89" i="14"/>
  <c r="R89" i="14"/>
  <c r="AN89" i="14" s="1"/>
  <c r="Q89" i="14"/>
  <c r="P89" i="14"/>
  <c r="O89" i="14"/>
  <c r="N89" i="14"/>
  <c r="M89" i="14"/>
  <c r="L89" i="14"/>
  <c r="K89" i="14"/>
  <c r="J89" i="14"/>
  <c r="I89" i="14"/>
  <c r="H89" i="14"/>
  <c r="G89" i="14"/>
  <c r="F89" i="14"/>
  <c r="E89" i="14"/>
  <c r="D89" i="14"/>
  <c r="AO89" i="14" s="1"/>
  <c r="AJ88" i="14"/>
  <c r="AI88" i="14"/>
  <c r="AH88" i="14"/>
  <c r="AG88" i="14"/>
  <c r="AF88" i="14"/>
  <c r="AE88" i="14"/>
  <c r="AD88" i="14"/>
  <c r="AC88" i="14"/>
  <c r="AB88" i="14"/>
  <c r="AA88" i="14"/>
  <c r="Z88" i="14"/>
  <c r="Y88" i="14"/>
  <c r="X88" i="14"/>
  <c r="W88" i="14"/>
  <c r="V88" i="14"/>
  <c r="U88" i="14"/>
  <c r="T88" i="14"/>
  <c r="S88" i="14"/>
  <c r="R88" i="14"/>
  <c r="Q88" i="14"/>
  <c r="P88" i="14"/>
  <c r="O88" i="14"/>
  <c r="N88" i="14"/>
  <c r="M88" i="14"/>
  <c r="L88" i="14"/>
  <c r="K88" i="14"/>
  <c r="J88" i="14"/>
  <c r="I88" i="14"/>
  <c r="H88" i="14"/>
  <c r="G88" i="14"/>
  <c r="F88" i="14"/>
  <c r="E88" i="14"/>
  <c r="D88" i="14"/>
  <c r="AO88" i="14" s="1"/>
  <c r="C88" i="14"/>
  <c r="AM87" i="14"/>
  <c r="AJ87" i="14"/>
  <c r="AI87" i="14"/>
  <c r="AH87" i="14"/>
  <c r="AG87" i="14"/>
  <c r="AF87" i="14"/>
  <c r="AE87" i="14"/>
  <c r="AD87" i="14"/>
  <c r="AC87" i="14"/>
  <c r="AB87" i="14"/>
  <c r="AA87" i="14"/>
  <c r="Z87" i="14"/>
  <c r="Y87" i="14"/>
  <c r="X87" i="14"/>
  <c r="W87" i="14"/>
  <c r="V87" i="14"/>
  <c r="U87" i="14"/>
  <c r="T87" i="14"/>
  <c r="S87" i="14"/>
  <c r="R87" i="14"/>
  <c r="Q87" i="14"/>
  <c r="P87" i="14"/>
  <c r="O87" i="14"/>
  <c r="N87" i="14"/>
  <c r="M87" i="14"/>
  <c r="L87" i="14"/>
  <c r="K87" i="14"/>
  <c r="J87" i="14"/>
  <c r="I87" i="14"/>
  <c r="H87" i="14"/>
  <c r="G87" i="14"/>
  <c r="F87" i="14"/>
  <c r="E87" i="14"/>
  <c r="D87" i="14"/>
  <c r="AO87" i="14" s="1"/>
  <c r="AJ86" i="14"/>
  <c r="AI86" i="14"/>
  <c r="AH86" i="14"/>
  <c r="AG86" i="14"/>
  <c r="AF86" i="14"/>
  <c r="AE86" i="14"/>
  <c r="AD86" i="14"/>
  <c r="AC86" i="14"/>
  <c r="AB86" i="14"/>
  <c r="AA86" i="14"/>
  <c r="Z86" i="14"/>
  <c r="Y86" i="14"/>
  <c r="X86" i="14"/>
  <c r="W86" i="14"/>
  <c r="V86" i="14"/>
  <c r="U86" i="14"/>
  <c r="T86" i="14"/>
  <c r="S86" i="14"/>
  <c r="R86" i="14"/>
  <c r="Q86" i="14"/>
  <c r="P86" i="14"/>
  <c r="O86" i="14"/>
  <c r="N86" i="14"/>
  <c r="M86" i="14"/>
  <c r="L86" i="14"/>
  <c r="AN86" i="14" s="1"/>
  <c r="K86" i="14"/>
  <c r="J86" i="14"/>
  <c r="I86" i="14"/>
  <c r="H86" i="14"/>
  <c r="G86" i="14"/>
  <c r="F86" i="14"/>
  <c r="E86" i="14"/>
  <c r="D86" i="14"/>
  <c r="AM85" i="14"/>
  <c r="AJ85" i="14"/>
  <c r="AI85" i="14"/>
  <c r="AH85" i="14"/>
  <c r="AG85" i="14"/>
  <c r="AF85" i="14"/>
  <c r="AE85" i="14"/>
  <c r="AD85" i="14"/>
  <c r="AC85" i="14"/>
  <c r="AB85" i="14"/>
  <c r="AA85" i="14"/>
  <c r="Z85" i="14"/>
  <c r="Y85" i="14"/>
  <c r="X85" i="14"/>
  <c r="W85" i="14"/>
  <c r="V85" i="14"/>
  <c r="U85" i="14"/>
  <c r="T85" i="14"/>
  <c r="S85" i="14"/>
  <c r="R85" i="14"/>
  <c r="Q85" i="14"/>
  <c r="P85" i="14"/>
  <c r="O85" i="14"/>
  <c r="N85" i="14"/>
  <c r="M85" i="14"/>
  <c r="L85" i="14"/>
  <c r="K85" i="14"/>
  <c r="J85" i="14"/>
  <c r="I85" i="14"/>
  <c r="H85" i="14"/>
  <c r="G85" i="14"/>
  <c r="F85" i="14"/>
  <c r="E85" i="14"/>
  <c r="D85" i="14"/>
  <c r="AO85" i="14" s="1"/>
  <c r="C85" i="14"/>
  <c r="AJ84" i="14"/>
  <c r="AI84" i="14"/>
  <c r="AH84" i="14"/>
  <c r="AG84" i="14"/>
  <c r="AF84" i="14"/>
  <c r="AE84" i="14"/>
  <c r="AD84" i="14"/>
  <c r="AC84" i="14"/>
  <c r="AB84" i="14"/>
  <c r="AA84" i="14"/>
  <c r="Z84" i="14"/>
  <c r="Y84" i="14"/>
  <c r="X84" i="14"/>
  <c r="AM84" i="14" s="1"/>
  <c r="W84" i="14"/>
  <c r="V84" i="14"/>
  <c r="U84" i="14"/>
  <c r="T84" i="14"/>
  <c r="S84" i="14"/>
  <c r="R84" i="14"/>
  <c r="Q84" i="14"/>
  <c r="P84" i="14"/>
  <c r="O84" i="14"/>
  <c r="AN84" i="14" s="1"/>
  <c r="N84" i="14"/>
  <c r="M84" i="14"/>
  <c r="L84" i="14"/>
  <c r="K84" i="14"/>
  <c r="J84" i="14"/>
  <c r="I84" i="14"/>
  <c r="H84" i="14"/>
  <c r="G84" i="14"/>
  <c r="F84" i="14"/>
  <c r="E84" i="14"/>
  <c r="D84" i="14"/>
  <c r="AO84" i="14" s="1"/>
  <c r="C84" i="14"/>
  <c r="AJ83" i="14"/>
  <c r="AI83" i="14"/>
  <c r="AH83" i="14"/>
  <c r="AG83" i="14"/>
  <c r="AF83" i="14"/>
  <c r="AE83" i="14"/>
  <c r="AD83" i="14"/>
  <c r="AC83" i="14"/>
  <c r="AB83" i="14"/>
  <c r="AA83" i="14"/>
  <c r="Z83" i="14"/>
  <c r="Y83" i="14"/>
  <c r="X83" i="14"/>
  <c r="W83" i="14"/>
  <c r="V83" i="14"/>
  <c r="U83" i="14"/>
  <c r="T83" i="14"/>
  <c r="AM83" i="14" s="1"/>
  <c r="S83" i="14"/>
  <c r="R83" i="14"/>
  <c r="Q83" i="14"/>
  <c r="P83" i="14"/>
  <c r="O83" i="14"/>
  <c r="N83" i="14"/>
  <c r="M83" i="14"/>
  <c r="L83" i="14"/>
  <c r="K83" i="14"/>
  <c r="J83" i="14"/>
  <c r="I83" i="14"/>
  <c r="H83" i="14"/>
  <c r="G83" i="14"/>
  <c r="F83" i="14"/>
  <c r="E83" i="14"/>
  <c r="D83" i="14"/>
  <c r="AO83" i="14" s="1"/>
  <c r="AJ82" i="14"/>
  <c r="AI82" i="14"/>
  <c r="AH82" i="14"/>
  <c r="AG82" i="14"/>
  <c r="AF82" i="14"/>
  <c r="AE82" i="14"/>
  <c r="AD82" i="14"/>
  <c r="AC82" i="14"/>
  <c r="AB82" i="14"/>
  <c r="AA82" i="14"/>
  <c r="Z82" i="14"/>
  <c r="Y82" i="14"/>
  <c r="X82" i="14"/>
  <c r="W82" i="14"/>
  <c r="V82" i="14"/>
  <c r="U82" i="14"/>
  <c r="T82" i="14"/>
  <c r="S82" i="14"/>
  <c r="R82" i="14"/>
  <c r="Q82" i="14"/>
  <c r="P82" i="14"/>
  <c r="O82" i="14"/>
  <c r="AN82" i="14" s="1"/>
  <c r="N82" i="14"/>
  <c r="M82" i="14"/>
  <c r="L82" i="14"/>
  <c r="K82" i="14"/>
  <c r="J82" i="14"/>
  <c r="I82" i="14"/>
  <c r="H82" i="14"/>
  <c r="G82" i="14"/>
  <c r="F82" i="14"/>
  <c r="E82" i="14"/>
  <c r="D82" i="14"/>
  <c r="C82" i="14"/>
  <c r="AJ81" i="14"/>
  <c r="AI81" i="14"/>
  <c r="AH81" i="14"/>
  <c r="AG81" i="14"/>
  <c r="AF81" i="14"/>
  <c r="AE81" i="14"/>
  <c r="AD81" i="14"/>
  <c r="AC81" i="14"/>
  <c r="AB81" i="14"/>
  <c r="AA81" i="14"/>
  <c r="Z81" i="14"/>
  <c r="Y81" i="14"/>
  <c r="X81" i="14"/>
  <c r="W81" i="14"/>
  <c r="V81" i="14"/>
  <c r="U81" i="14"/>
  <c r="T81" i="14"/>
  <c r="S81" i="14"/>
  <c r="R81" i="14"/>
  <c r="Q81" i="14"/>
  <c r="P81" i="14"/>
  <c r="O81" i="14"/>
  <c r="N81" i="14"/>
  <c r="M81" i="14"/>
  <c r="L81" i="14"/>
  <c r="K81" i="14"/>
  <c r="J81" i="14"/>
  <c r="I81" i="14"/>
  <c r="H81" i="14"/>
  <c r="AO81" i="14" s="1"/>
  <c r="G81" i="14"/>
  <c r="F81" i="14"/>
  <c r="E81" i="14"/>
  <c r="D81" i="14"/>
  <c r="AO80" i="14"/>
  <c r="AJ80" i="14"/>
  <c r="AI80" i="14"/>
  <c r="AH80" i="14"/>
  <c r="AG80" i="14"/>
  <c r="AF80" i="14"/>
  <c r="AE80" i="14"/>
  <c r="AD80" i="14"/>
  <c r="AC80" i="14"/>
  <c r="AB80" i="14"/>
  <c r="AA80" i="14"/>
  <c r="Z80" i="14"/>
  <c r="Y80" i="14"/>
  <c r="X80" i="14"/>
  <c r="W80" i="14"/>
  <c r="V80" i="14"/>
  <c r="U80" i="14"/>
  <c r="T80" i="14"/>
  <c r="S80" i="14"/>
  <c r="R80" i="14"/>
  <c r="Q80" i="14"/>
  <c r="P80" i="14"/>
  <c r="O80" i="14"/>
  <c r="N80" i="14"/>
  <c r="M80" i="14"/>
  <c r="L80" i="14"/>
  <c r="AN80" i="14" s="1"/>
  <c r="K80" i="14"/>
  <c r="J80" i="14"/>
  <c r="I80" i="14"/>
  <c r="H80" i="14"/>
  <c r="G80" i="14"/>
  <c r="F80" i="14"/>
  <c r="E80" i="14"/>
  <c r="D80" i="14"/>
  <c r="C80" i="14"/>
  <c r="AJ79" i="14"/>
  <c r="AI79" i="14"/>
  <c r="AH79" i="14"/>
  <c r="AG79" i="14"/>
  <c r="AF79" i="14"/>
  <c r="AE79" i="14"/>
  <c r="AD79" i="14"/>
  <c r="AC79" i="14"/>
  <c r="AB79" i="14"/>
  <c r="AA79" i="14"/>
  <c r="Z79" i="14"/>
  <c r="Y79" i="14"/>
  <c r="X79" i="14"/>
  <c r="W79" i="14"/>
  <c r="V79" i="14"/>
  <c r="U79" i="14"/>
  <c r="T79" i="14"/>
  <c r="AM79" i="14" s="1"/>
  <c r="S79" i="14"/>
  <c r="R79" i="14"/>
  <c r="Q79" i="14"/>
  <c r="P79" i="14"/>
  <c r="O79" i="14"/>
  <c r="N79" i="14"/>
  <c r="M79" i="14"/>
  <c r="L79" i="14"/>
  <c r="K79" i="14"/>
  <c r="J79" i="14"/>
  <c r="I79" i="14"/>
  <c r="H79" i="14"/>
  <c r="G79" i="14"/>
  <c r="F79" i="14"/>
  <c r="E79" i="14"/>
  <c r="D79" i="14"/>
  <c r="AJ78" i="14"/>
  <c r="AI78" i="14"/>
  <c r="AH78" i="14"/>
  <c r="AG78" i="14"/>
  <c r="AF78" i="14"/>
  <c r="AE78" i="14"/>
  <c r="AD78" i="14"/>
  <c r="AC78" i="14"/>
  <c r="AB78" i="14"/>
  <c r="AA78" i="14"/>
  <c r="Z78" i="14"/>
  <c r="Y78" i="14"/>
  <c r="X78" i="14"/>
  <c r="W78" i="14"/>
  <c r="V78" i="14"/>
  <c r="U78" i="14"/>
  <c r="T78" i="14"/>
  <c r="S78" i="14"/>
  <c r="R78" i="14"/>
  <c r="Q78" i="14"/>
  <c r="P78" i="14"/>
  <c r="O78" i="14"/>
  <c r="N78" i="14"/>
  <c r="M78" i="14"/>
  <c r="AN78" i="14" s="1"/>
  <c r="L78" i="14"/>
  <c r="K78" i="14"/>
  <c r="J78" i="14"/>
  <c r="I78" i="14"/>
  <c r="H78" i="14"/>
  <c r="G78" i="14"/>
  <c r="F78" i="14"/>
  <c r="E78" i="14"/>
  <c r="D78" i="14"/>
  <c r="AJ77" i="14"/>
  <c r="AI77" i="14"/>
  <c r="AH77" i="14"/>
  <c r="AG77" i="14"/>
  <c r="AF77" i="14"/>
  <c r="AE77" i="14"/>
  <c r="AD77" i="14"/>
  <c r="AC77" i="14"/>
  <c r="AB77" i="14"/>
  <c r="AA77" i="14"/>
  <c r="Z77" i="14"/>
  <c r="Y77" i="14"/>
  <c r="X77" i="14"/>
  <c r="W77" i="14"/>
  <c r="V77" i="14"/>
  <c r="AM77" i="14" s="1"/>
  <c r="U77" i="14"/>
  <c r="T77" i="14"/>
  <c r="S77" i="14"/>
  <c r="R77" i="14"/>
  <c r="Q77" i="14"/>
  <c r="P77" i="14"/>
  <c r="O77" i="14"/>
  <c r="N77" i="14"/>
  <c r="M77" i="14"/>
  <c r="L77" i="14"/>
  <c r="K77" i="14"/>
  <c r="J77" i="14"/>
  <c r="I77" i="14"/>
  <c r="H77" i="14"/>
  <c r="G77" i="14"/>
  <c r="F77" i="14"/>
  <c r="E77" i="14"/>
  <c r="D77" i="14"/>
  <c r="C77" i="14"/>
  <c r="AJ76" i="14"/>
  <c r="AI76" i="14"/>
  <c r="AH76" i="14"/>
  <c r="AG76" i="14"/>
  <c r="AF76" i="14"/>
  <c r="AE76" i="14"/>
  <c r="AD76" i="14"/>
  <c r="AC76" i="14"/>
  <c r="AB76" i="14"/>
  <c r="AA76" i="14"/>
  <c r="Z76" i="14"/>
  <c r="Y76" i="14"/>
  <c r="X76" i="14"/>
  <c r="W76" i="14"/>
  <c r="V76" i="14"/>
  <c r="U76" i="14"/>
  <c r="T76" i="14"/>
  <c r="S76" i="14"/>
  <c r="R76" i="14"/>
  <c r="Q76" i="14"/>
  <c r="P76" i="14"/>
  <c r="O76" i="14"/>
  <c r="AN76" i="14" s="1"/>
  <c r="N76" i="14"/>
  <c r="M76" i="14"/>
  <c r="L76" i="14"/>
  <c r="K76" i="14"/>
  <c r="AO76" i="14" s="1"/>
  <c r="J76" i="14"/>
  <c r="I76" i="14"/>
  <c r="H76" i="14"/>
  <c r="G76" i="14"/>
  <c r="F76" i="14"/>
  <c r="E76" i="14"/>
  <c r="D76" i="14"/>
  <c r="AN75" i="14"/>
  <c r="AJ75" i="14"/>
  <c r="AI75" i="14"/>
  <c r="AH75" i="14"/>
  <c r="AG75" i="14"/>
  <c r="AF75" i="14"/>
  <c r="AE75" i="14"/>
  <c r="AD75" i="14"/>
  <c r="AC75" i="14"/>
  <c r="AB75" i="14"/>
  <c r="AA75" i="14"/>
  <c r="Z75" i="14"/>
  <c r="Y75" i="14"/>
  <c r="X75" i="14"/>
  <c r="AM75" i="14" s="1"/>
  <c r="W75" i="14"/>
  <c r="V75" i="14"/>
  <c r="U75" i="14"/>
  <c r="T75" i="14"/>
  <c r="S75" i="14"/>
  <c r="R75" i="14"/>
  <c r="Q75" i="14"/>
  <c r="P75" i="14"/>
  <c r="O75" i="14"/>
  <c r="N75" i="14"/>
  <c r="M75" i="14"/>
  <c r="L75" i="14"/>
  <c r="K75" i="14"/>
  <c r="J75" i="14"/>
  <c r="AO75" i="14" s="1"/>
  <c r="I75" i="14"/>
  <c r="H75" i="14"/>
  <c r="G75" i="14"/>
  <c r="F75" i="14"/>
  <c r="E75" i="14"/>
  <c r="D75" i="14"/>
  <c r="AJ74" i="14"/>
  <c r="AI74" i="14"/>
  <c r="AH74" i="14"/>
  <c r="AG74" i="14"/>
  <c r="AF74" i="14"/>
  <c r="AE74" i="14"/>
  <c r="AD74" i="14"/>
  <c r="AC74" i="14"/>
  <c r="AB74" i="14"/>
  <c r="AA74" i="14"/>
  <c r="Z74" i="14"/>
  <c r="Y74" i="14"/>
  <c r="X74" i="14"/>
  <c r="W74" i="14"/>
  <c r="V74" i="14"/>
  <c r="U74" i="14"/>
  <c r="T74" i="14"/>
  <c r="S74" i="14"/>
  <c r="R74" i="14"/>
  <c r="Q74" i="14"/>
  <c r="P74" i="14"/>
  <c r="O74" i="14"/>
  <c r="N74" i="14"/>
  <c r="M74" i="14"/>
  <c r="L74" i="14"/>
  <c r="AN74" i="14" s="1"/>
  <c r="K74" i="14"/>
  <c r="J74" i="14"/>
  <c r="I74" i="14"/>
  <c r="H74" i="14"/>
  <c r="G74" i="14"/>
  <c r="F74" i="14"/>
  <c r="E74" i="14"/>
  <c r="D74" i="14"/>
  <c r="AO74" i="14" s="1"/>
  <c r="C74" i="14"/>
  <c r="AJ73" i="14"/>
  <c r="AI73" i="14"/>
  <c r="AH73" i="14"/>
  <c r="AG73" i="14"/>
  <c r="AF73" i="14"/>
  <c r="AE73" i="14"/>
  <c r="AD73" i="14"/>
  <c r="AC73" i="14"/>
  <c r="AB73" i="14"/>
  <c r="AA73" i="14"/>
  <c r="Z73" i="14"/>
  <c r="Y73" i="14"/>
  <c r="X73" i="14"/>
  <c r="W73" i="14"/>
  <c r="V73" i="14"/>
  <c r="U73" i="14"/>
  <c r="T73" i="14"/>
  <c r="S73" i="14"/>
  <c r="R73" i="14"/>
  <c r="Q73" i="14"/>
  <c r="P73" i="14"/>
  <c r="O73" i="14"/>
  <c r="N73" i="14"/>
  <c r="M73" i="14"/>
  <c r="L73" i="14"/>
  <c r="K73" i="14"/>
  <c r="J73" i="14"/>
  <c r="I73" i="14"/>
  <c r="H73" i="14"/>
  <c r="G73" i="14"/>
  <c r="F73" i="14"/>
  <c r="E73" i="14"/>
  <c r="D73" i="14"/>
  <c r="C73" i="14"/>
  <c r="AJ72" i="14"/>
  <c r="AI72" i="14"/>
  <c r="AH72" i="14"/>
  <c r="AG72" i="14"/>
  <c r="AF72" i="14"/>
  <c r="AE72" i="14"/>
  <c r="AD72" i="14"/>
  <c r="AC72" i="14"/>
  <c r="AB72" i="14"/>
  <c r="AL72" i="14" s="1"/>
  <c r="AA72" i="14"/>
  <c r="Z72" i="14"/>
  <c r="Y72" i="14"/>
  <c r="X72" i="14"/>
  <c r="W72" i="14"/>
  <c r="V72" i="14"/>
  <c r="U72" i="14"/>
  <c r="T72" i="14"/>
  <c r="AM72" i="14" s="1"/>
  <c r="S72" i="14"/>
  <c r="R72" i="14"/>
  <c r="Q72" i="14"/>
  <c r="P72" i="14"/>
  <c r="O72" i="14"/>
  <c r="N72" i="14"/>
  <c r="M72" i="14"/>
  <c r="L72" i="14"/>
  <c r="AN72" i="14" s="1"/>
  <c r="K72" i="14"/>
  <c r="J72" i="14"/>
  <c r="I72" i="14"/>
  <c r="H72" i="14"/>
  <c r="G72" i="14"/>
  <c r="AO72" i="14" s="1"/>
  <c r="F72" i="14"/>
  <c r="E72" i="14"/>
  <c r="D72" i="14"/>
  <c r="C72" i="14"/>
  <c r="AJ71" i="14"/>
  <c r="AI71" i="14"/>
  <c r="AH71" i="14"/>
  <c r="AG71" i="14"/>
  <c r="AF71" i="14"/>
  <c r="AE71" i="14"/>
  <c r="AD71" i="14"/>
  <c r="AC71" i="14"/>
  <c r="AB71" i="14"/>
  <c r="AA71" i="14"/>
  <c r="Z71" i="14"/>
  <c r="Y71" i="14"/>
  <c r="X71" i="14"/>
  <c r="W71" i="14"/>
  <c r="V71" i="14"/>
  <c r="U71" i="14"/>
  <c r="T71" i="14"/>
  <c r="S71" i="14"/>
  <c r="R71" i="14"/>
  <c r="AN71" i="14" s="1"/>
  <c r="Q71" i="14"/>
  <c r="P71" i="14"/>
  <c r="O71" i="14"/>
  <c r="N71" i="14"/>
  <c r="M71" i="14"/>
  <c r="L71" i="14"/>
  <c r="K71" i="14"/>
  <c r="J71" i="14"/>
  <c r="I71" i="14"/>
  <c r="H71" i="14"/>
  <c r="G71" i="14"/>
  <c r="F71" i="14"/>
  <c r="E71" i="14"/>
  <c r="D71" i="14"/>
  <c r="AT70" i="14"/>
  <c r="AT69" i="14"/>
  <c r="C69" i="14"/>
  <c r="C199" i="14" s="1"/>
  <c r="C68" i="14"/>
  <c r="C198" i="14" s="1"/>
  <c r="C67" i="14"/>
  <c r="AT66" i="14"/>
  <c r="C66" i="14"/>
  <c r="C196" i="14" s="1"/>
  <c r="AT65" i="14"/>
  <c r="C65" i="14"/>
  <c r="C130" i="14" s="1"/>
  <c r="C64" i="14"/>
  <c r="C63" i="14"/>
  <c r="C128" i="14" s="1"/>
  <c r="AT62" i="14"/>
  <c r="C62" i="14"/>
  <c r="C192" i="14" s="1"/>
  <c r="C61" i="14"/>
  <c r="C191" i="14" s="1"/>
  <c r="C60" i="14"/>
  <c r="C125" i="14" s="1"/>
  <c r="C59" i="14"/>
  <c r="C189" i="14" s="1"/>
  <c r="AT58" i="14"/>
  <c r="C58" i="14"/>
  <c r="C123" i="14" s="1"/>
  <c r="C57" i="14"/>
  <c r="C56" i="14"/>
  <c r="AT55" i="14"/>
  <c r="C55" i="14"/>
  <c r="C185" i="14" s="1"/>
  <c r="C54" i="14"/>
  <c r="C184" i="14" s="1"/>
  <c r="C53" i="14"/>
  <c r="AT52" i="14"/>
  <c r="C52" i="14"/>
  <c r="C182" i="14" s="1"/>
  <c r="AT51" i="14"/>
  <c r="C51" i="14"/>
  <c r="C50" i="14"/>
  <c r="C180" i="14" s="1"/>
  <c r="C49" i="14"/>
  <c r="AT49" i="14" s="1"/>
  <c r="AT48" i="14"/>
  <c r="C48" i="14"/>
  <c r="C178" i="14" s="1"/>
  <c r="C47" i="14"/>
  <c r="C177" i="14" s="1"/>
  <c r="C46" i="14"/>
  <c r="C111" i="14" s="1"/>
  <c r="C45" i="14"/>
  <c r="AT44" i="14"/>
  <c r="C44" i="14"/>
  <c r="C109" i="14" s="1"/>
  <c r="C43" i="14"/>
  <c r="C42" i="14"/>
  <c r="C107" i="14" s="1"/>
  <c r="AT41" i="14"/>
  <c r="C41" i="14"/>
  <c r="C171" i="14" s="1"/>
  <c r="C40" i="14"/>
  <c r="C39" i="14"/>
  <c r="AT38" i="14"/>
  <c r="C38" i="14"/>
  <c r="C168" i="14" s="1"/>
  <c r="AT37" i="14"/>
  <c r="C37" i="14"/>
  <c r="C36" i="14"/>
  <c r="C166" i="14" s="1"/>
  <c r="AT35" i="14"/>
  <c r="C35" i="14"/>
  <c r="C165" i="14" s="1"/>
  <c r="AT34" i="14"/>
  <c r="C34" i="14"/>
  <c r="C164" i="14" s="1"/>
  <c r="C33" i="14"/>
  <c r="C98" i="14" s="1"/>
  <c r="C32" i="14"/>
  <c r="C97" i="14" s="1"/>
  <c r="C31" i="14"/>
  <c r="C30" i="14"/>
  <c r="C95" i="14" s="1"/>
  <c r="C29" i="14"/>
  <c r="C28" i="14"/>
  <c r="AT27" i="14"/>
  <c r="C27" i="14"/>
  <c r="C157" i="14" s="1"/>
  <c r="C26" i="14"/>
  <c r="C25" i="14"/>
  <c r="AT24" i="14"/>
  <c r="C24" i="14"/>
  <c r="C89" i="14" s="1"/>
  <c r="C23" i="14"/>
  <c r="C22" i="14"/>
  <c r="AL21" i="14"/>
  <c r="C21" i="14"/>
  <c r="C151" i="14" s="1"/>
  <c r="AL20" i="14"/>
  <c r="AT20" i="14" s="1"/>
  <c r="C20" i="14"/>
  <c r="C150" i="14" s="1"/>
  <c r="C19" i="14"/>
  <c r="C18" i="14"/>
  <c r="C83" i="14" s="1"/>
  <c r="C17" i="14"/>
  <c r="C147" i="14" s="1"/>
  <c r="C16" i="14"/>
  <c r="C81" i="14" s="1"/>
  <c r="C15" i="14"/>
  <c r="C145" i="14" s="1"/>
  <c r="C14" i="14"/>
  <c r="C79" i="14" s="1"/>
  <c r="AW13" i="14"/>
  <c r="C13" i="14"/>
  <c r="C12" i="14"/>
  <c r="C11" i="14"/>
  <c r="C141" i="14" s="1"/>
  <c r="C10" i="14"/>
  <c r="C75" i="14" s="1"/>
  <c r="C9" i="14"/>
  <c r="C8" i="14"/>
  <c r="C138" i="14" s="1"/>
  <c r="C7" i="14"/>
  <c r="C137" i="14" s="1"/>
  <c r="AW6" i="14"/>
  <c r="B6" i="14" s="1"/>
  <c r="B136" i="14" s="1"/>
  <c r="C6" i="14"/>
  <c r="B3" i="14"/>
  <c r="AW7" i="14" s="1"/>
  <c r="AU11" i="14" s="1"/>
  <c r="AO138" i="14" l="1"/>
  <c r="AO73" i="14"/>
  <c r="AO71" i="14"/>
  <c r="AL137" i="14"/>
  <c r="AL75" i="14"/>
  <c r="AL151" i="14"/>
  <c r="AQ72" i="14"/>
  <c r="AR7" i="14" s="1"/>
  <c r="AL84" i="14"/>
  <c r="AU10" i="14"/>
  <c r="AL112" i="14"/>
  <c r="AL86" i="14"/>
  <c r="AL110" i="14"/>
  <c r="AL146" i="14"/>
  <c r="AL193" i="14"/>
  <c r="AL93" i="14"/>
  <c r="AL155" i="14"/>
  <c r="AL159" i="14"/>
  <c r="AL82" i="14"/>
  <c r="AL104" i="14"/>
  <c r="AL144" i="14"/>
  <c r="AL147" i="14"/>
  <c r="AQ147" i="14" s="1"/>
  <c r="AS17" i="14" s="1"/>
  <c r="AL176" i="14"/>
  <c r="AL194" i="14"/>
  <c r="AL79" i="14"/>
  <c r="AL89" i="14"/>
  <c r="AL94" i="14"/>
  <c r="AL156" i="14"/>
  <c r="AL199" i="14"/>
  <c r="AL74" i="14"/>
  <c r="AL92" i="14"/>
  <c r="AL109" i="14"/>
  <c r="AL116" i="14"/>
  <c r="AL152" i="14"/>
  <c r="AL167" i="14"/>
  <c r="AQ167" i="14" s="1"/>
  <c r="AL174" i="14"/>
  <c r="AL126" i="14"/>
  <c r="AL131" i="14"/>
  <c r="AL142" i="14"/>
  <c r="AQ142" i="14" s="1"/>
  <c r="AS12" i="14" s="1"/>
  <c r="AL179" i="14"/>
  <c r="AL192" i="14"/>
  <c r="AL198" i="14"/>
  <c r="AL157" i="14"/>
  <c r="AQ157" i="14" s="1"/>
  <c r="AS27" i="14" s="1"/>
  <c r="AL80" i="14"/>
  <c r="AL100" i="14"/>
  <c r="AL150" i="14"/>
  <c r="AQ150" i="14" s="1"/>
  <c r="AS20" i="14" s="1"/>
  <c r="AL169" i="14"/>
  <c r="AL175" i="14"/>
  <c r="AL177" i="14"/>
  <c r="AL107" i="14"/>
  <c r="AQ113" i="14"/>
  <c r="AR48" i="14" s="1"/>
  <c r="AL127" i="14"/>
  <c r="AL143" i="14"/>
  <c r="AL195" i="14"/>
  <c r="AL88" i="14"/>
  <c r="AL98" i="14"/>
  <c r="AL148" i="14"/>
  <c r="AL125" i="14"/>
  <c r="AL160" i="14"/>
  <c r="AQ74" i="14"/>
  <c r="AR9" i="14" s="1"/>
  <c r="AQ123" i="14"/>
  <c r="C175" i="14"/>
  <c r="C110" i="14"/>
  <c r="AT53" i="14"/>
  <c r="AM71" i="14"/>
  <c r="AT28" i="14"/>
  <c r="AM99" i="14"/>
  <c r="AQ99" i="14" s="1"/>
  <c r="AR34" i="14" s="1"/>
  <c r="AO105" i="14"/>
  <c r="AM115" i="14"/>
  <c r="AL140" i="14"/>
  <c r="AQ140" i="14" s="1"/>
  <c r="AS10" i="14" s="1"/>
  <c r="AL145" i="14"/>
  <c r="AO167" i="14"/>
  <c r="AM169" i="14"/>
  <c r="AN172" i="14"/>
  <c r="AN194" i="14"/>
  <c r="C93" i="14"/>
  <c r="C158" i="14"/>
  <c r="AO107" i="14"/>
  <c r="AO160" i="14"/>
  <c r="AT45" i="14"/>
  <c r="AQ79" i="14"/>
  <c r="AR14" i="14" s="1"/>
  <c r="AL138" i="14"/>
  <c r="AL149" i="14"/>
  <c r="AN152" i="14"/>
  <c r="AN168" i="14"/>
  <c r="AQ169" i="14"/>
  <c r="AL196" i="14"/>
  <c r="AQ196" i="14" s="1"/>
  <c r="AQ176" i="14"/>
  <c r="C197" i="14"/>
  <c r="C132" i="14"/>
  <c r="AM73" i="14"/>
  <c r="C159" i="14"/>
  <c r="AT29" i="14"/>
  <c r="C94" i="14"/>
  <c r="AQ94" i="14" s="1"/>
  <c r="AL78" i="14"/>
  <c r="AN104" i="14"/>
  <c r="AO109" i="14"/>
  <c r="C193" i="14"/>
  <c r="AT63" i="14"/>
  <c r="AQ89" i="14"/>
  <c r="AL90" i="14"/>
  <c r="AQ90" i="14" s="1"/>
  <c r="AR25" i="14" s="1"/>
  <c r="AQ97" i="14"/>
  <c r="AM107" i="14"/>
  <c r="AN124" i="14"/>
  <c r="AQ124" i="14" s="1"/>
  <c r="AR59" i="14" s="1"/>
  <c r="AL124" i="14"/>
  <c r="AO126" i="14"/>
  <c r="AM139" i="14"/>
  <c r="AN166" i="14"/>
  <c r="AL168" i="14"/>
  <c r="AL191" i="14"/>
  <c r="C179" i="14"/>
  <c r="C114" i="14"/>
  <c r="AQ107" i="14"/>
  <c r="AQ109" i="14"/>
  <c r="C124" i="14"/>
  <c r="C163" i="14"/>
  <c r="AO82" i="14"/>
  <c r="C169" i="14"/>
  <c r="C104" i="14"/>
  <c r="AT59" i="14"/>
  <c r="AT64" i="14"/>
  <c r="AO78" i="14"/>
  <c r="AN79" i="14"/>
  <c r="AN81" i="14"/>
  <c r="C100" i="14"/>
  <c r="AN123" i="14"/>
  <c r="AM126" i="14"/>
  <c r="AO131" i="14"/>
  <c r="AL141" i="14"/>
  <c r="AL185" i="14"/>
  <c r="C155" i="14"/>
  <c r="AQ155" i="14" s="1"/>
  <c r="C90" i="14"/>
  <c r="C183" i="14"/>
  <c r="C118" i="14"/>
  <c r="AT25" i="14"/>
  <c r="C161" i="14"/>
  <c r="C96" i="14"/>
  <c r="AN73" i="14"/>
  <c r="AQ168" i="14"/>
  <c r="AS38" i="14" s="1"/>
  <c r="C136" i="14"/>
  <c r="C71" i="14"/>
  <c r="C143" i="14"/>
  <c r="C78" i="14"/>
  <c r="C152" i="14"/>
  <c r="C87" i="14"/>
  <c r="AN77" i="14"/>
  <c r="AM78" i="14"/>
  <c r="AQ84" i="14"/>
  <c r="AR19" i="14" s="1"/>
  <c r="AM86" i="14"/>
  <c r="AM98" i="14"/>
  <c r="AN101" i="14"/>
  <c r="AO102" i="14"/>
  <c r="AQ102" i="14" s="1"/>
  <c r="AR37" i="14" s="1"/>
  <c r="AN107" i="14"/>
  <c r="AN109" i="14"/>
  <c r="AL111" i="14"/>
  <c r="AQ111" i="14" s="1"/>
  <c r="AR46" i="14" s="1"/>
  <c r="AL121" i="14"/>
  <c r="AT22" i="14"/>
  <c r="AT31" i="14"/>
  <c r="C121" i="14"/>
  <c r="C186" i="14"/>
  <c r="AL73" i="14"/>
  <c r="AM76" i="14"/>
  <c r="AM82" i="14"/>
  <c r="AL85" i="14"/>
  <c r="AL87" i="14"/>
  <c r="AM88" i="14"/>
  <c r="AM92" i="14"/>
  <c r="AL97" i="14"/>
  <c r="AL99" i="14"/>
  <c r="AM100" i="14"/>
  <c r="AO104" i="14"/>
  <c r="AN105" i="14"/>
  <c r="AL119" i="14"/>
  <c r="AM122" i="14"/>
  <c r="AQ122" i="14" s="1"/>
  <c r="AN130" i="14"/>
  <c r="AL132" i="14"/>
  <c r="AM154" i="14"/>
  <c r="AO159" i="14"/>
  <c r="AQ159" i="14" s="1"/>
  <c r="AS29" i="14" s="1"/>
  <c r="AL162" i="14"/>
  <c r="AQ162" i="14" s="1"/>
  <c r="AL178" i="14"/>
  <c r="AM179" i="14"/>
  <c r="AM187" i="14"/>
  <c r="C173" i="14"/>
  <c r="AT43" i="14"/>
  <c r="C108" i="14"/>
  <c r="C194" i="14"/>
  <c r="C129" i="14"/>
  <c r="AT21" i="14"/>
  <c r="AM74" i="14"/>
  <c r="AN85" i="14"/>
  <c r="AN87" i="14"/>
  <c r="AM80" i="14"/>
  <c r="AL91" i="14"/>
  <c r="AQ91" i="14" s="1"/>
  <c r="AR26" i="14" s="1"/>
  <c r="AL95" i="14"/>
  <c r="AN142" i="14"/>
  <c r="AN181" i="14"/>
  <c r="C86" i="14"/>
  <c r="AM161" i="14"/>
  <c r="AO108" i="14"/>
  <c r="AM96" i="14"/>
  <c r="AM104" i="14"/>
  <c r="AO117" i="14"/>
  <c r="AN128" i="14"/>
  <c r="AQ128" i="14" s="1"/>
  <c r="AM156" i="14"/>
  <c r="AQ156" i="14" s="1"/>
  <c r="AS26" i="14" s="1"/>
  <c r="AM180" i="14"/>
  <c r="AQ189" i="14"/>
  <c r="AS59" i="14" s="1"/>
  <c r="AQ199" i="14"/>
  <c r="AT67" i="14"/>
  <c r="AM81" i="14"/>
  <c r="AO86" i="14"/>
  <c r="AQ86" i="14" s="1"/>
  <c r="AR21" i="14" s="1"/>
  <c r="AQ93" i="14"/>
  <c r="AR28" i="14" s="1"/>
  <c r="AM110" i="14"/>
  <c r="AQ110" i="14" s="1"/>
  <c r="AR45" i="14" s="1"/>
  <c r="AQ117" i="14"/>
  <c r="AO119" i="14"/>
  <c r="AO121" i="14"/>
  <c r="AL123" i="14"/>
  <c r="AO133" i="14"/>
  <c r="AQ133" i="14" s="1"/>
  <c r="AO136" i="14"/>
  <c r="AQ136" i="14" s="1"/>
  <c r="AS6" i="14" s="1"/>
  <c r="AN146" i="14"/>
  <c r="AN148" i="14"/>
  <c r="AL154" i="14"/>
  <c r="AL164" i="14"/>
  <c r="AL170" i="14"/>
  <c r="AQ170" i="14" s="1"/>
  <c r="AS40" i="14" s="1"/>
  <c r="AL172" i="14"/>
  <c r="AQ172" i="14" s="1"/>
  <c r="AS42" i="14" s="1"/>
  <c r="AO178" i="14"/>
  <c r="AL181" i="14"/>
  <c r="AQ181" i="14" s="1"/>
  <c r="AM184" i="14"/>
  <c r="AO187" i="14"/>
  <c r="AQ187" i="14" s="1"/>
  <c r="AS57" i="14" s="1"/>
  <c r="AM189" i="14"/>
  <c r="AN190" i="14"/>
  <c r="AM191" i="14"/>
  <c r="AN199" i="14"/>
  <c r="AO92" i="14"/>
  <c r="AQ92" i="14" s="1"/>
  <c r="AM97" i="14"/>
  <c r="AL101" i="14"/>
  <c r="AQ101" i="14" s="1"/>
  <c r="AM102" i="14"/>
  <c r="AM114" i="14"/>
  <c r="AN115" i="14"/>
  <c r="AQ115" i="14" s="1"/>
  <c r="AR50" i="14" s="1"/>
  <c r="AO116" i="14"/>
  <c r="AQ116" i="14" s="1"/>
  <c r="AR51" i="14" s="1"/>
  <c r="AL120" i="14"/>
  <c r="AO130" i="14"/>
  <c r="AQ130" i="14" s="1"/>
  <c r="AL134" i="14"/>
  <c r="AN139" i="14"/>
  <c r="AO144" i="14"/>
  <c r="AN169" i="14"/>
  <c r="AN171" i="14"/>
  <c r="AO174" i="14"/>
  <c r="AM176" i="14"/>
  <c r="AO185" i="14"/>
  <c r="AQ185" i="14" s="1"/>
  <c r="AM185" i="14"/>
  <c r="AM196" i="14"/>
  <c r="C187" i="14"/>
  <c r="AT57" i="14"/>
  <c r="AL77" i="14"/>
  <c r="AM90" i="14"/>
  <c r="AN91" i="14"/>
  <c r="AN93" i="14"/>
  <c r="AM109" i="14"/>
  <c r="AO114" i="14"/>
  <c r="AQ114" i="14" s="1"/>
  <c r="AM128" i="14"/>
  <c r="AN129" i="14"/>
  <c r="AQ129" i="14" s="1"/>
  <c r="AR64" i="14" s="1"/>
  <c r="AM138" i="14"/>
  <c r="AM140" i="14"/>
  <c r="AN141" i="14"/>
  <c r="AN143" i="14"/>
  <c r="AQ143" i="14" s="1"/>
  <c r="AS13" i="14" s="1"/>
  <c r="AN145" i="14"/>
  <c r="AM149" i="14"/>
  <c r="AO154" i="14"/>
  <c r="AO158" i="14"/>
  <c r="AQ158" i="14" s="1"/>
  <c r="AN159" i="14"/>
  <c r="AO164" i="14"/>
  <c r="AM166" i="14"/>
  <c r="AQ166" i="14" s="1"/>
  <c r="AS36" i="14" s="1"/>
  <c r="AM168" i="14"/>
  <c r="AL173" i="14"/>
  <c r="AO179" i="14"/>
  <c r="AO181" i="14"/>
  <c r="AM194" i="14"/>
  <c r="AO106" i="14"/>
  <c r="AM111" i="14"/>
  <c r="AL115" i="14"/>
  <c r="AM116" i="14"/>
  <c r="AM130" i="14"/>
  <c r="AL139" i="14"/>
  <c r="AO150" i="14"/>
  <c r="AM152" i="14"/>
  <c r="AQ152" i="14" s="1"/>
  <c r="AN157" i="14"/>
  <c r="AL161" i="14"/>
  <c r="AN163" i="14"/>
  <c r="AQ163" i="14" s="1"/>
  <c r="AM164" i="14"/>
  <c r="AL171" i="14"/>
  <c r="AQ171" i="14" s="1"/>
  <c r="AN180" i="14"/>
  <c r="AN182" i="14"/>
  <c r="AM183" i="14"/>
  <c r="AL186" i="14"/>
  <c r="AM198" i="14"/>
  <c r="AQ198" i="14" s="1"/>
  <c r="AS68" i="14" s="1"/>
  <c r="AN83" i="14"/>
  <c r="AM106" i="14"/>
  <c r="AO120" i="14"/>
  <c r="AM125" i="14"/>
  <c r="AL129" i="14"/>
  <c r="AO134" i="14"/>
  <c r="AO137" i="14"/>
  <c r="AQ137" i="14" s="1"/>
  <c r="AS7" i="14" s="1"/>
  <c r="AM144" i="14"/>
  <c r="AQ144" i="14"/>
  <c r="AS14" i="14" s="1"/>
  <c r="AO148" i="14"/>
  <c r="AM148" i="14"/>
  <c r="AN153" i="14"/>
  <c r="AQ153" i="14" s="1"/>
  <c r="AS23" i="14" s="1"/>
  <c r="AL153" i="14"/>
  <c r="AN178" i="14"/>
  <c r="AL180" i="14"/>
  <c r="AL184" i="14"/>
  <c r="AO186" i="14"/>
  <c r="AN187" i="14"/>
  <c r="AL182" i="14"/>
  <c r="AQ183" i="14"/>
  <c r="AO190" i="14"/>
  <c r="AQ190" i="14" s="1"/>
  <c r="AN191" i="14"/>
  <c r="AQ191" i="14" s="1"/>
  <c r="AS61" i="14" s="1"/>
  <c r="AN88" i="14"/>
  <c r="AQ88" i="14" s="1"/>
  <c r="AN100" i="14"/>
  <c r="C122" i="14"/>
  <c r="AT50" i="14"/>
  <c r="AQ75" i="14"/>
  <c r="AR10" i="14" s="1"/>
  <c r="AO77" i="14"/>
  <c r="AO79" i="14"/>
  <c r="AL81" i="14"/>
  <c r="AN95" i="14"/>
  <c r="AO96" i="14"/>
  <c r="AO98" i="14"/>
  <c r="AQ98" i="14" s="1"/>
  <c r="AR33" i="14" s="1"/>
  <c r="AL105" i="14"/>
  <c r="AQ105" i="14" s="1"/>
  <c r="C115" i="14"/>
  <c r="AM118" i="14"/>
  <c r="AQ118" i="14" s="1"/>
  <c r="AR53" i="14" s="1"/>
  <c r="AN119" i="14"/>
  <c r="AQ119" i="14" s="1"/>
  <c r="AR54" i="14" s="1"/>
  <c r="AN121" i="14"/>
  <c r="AM132" i="14"/>
  <c r="AQ132" i="14" s="1"/>
  <c r="AN133" i="14"/>
  <c r="AN136" i="14"/>
  <c r="AM158" i="14"/>
  <c r="AO165" i="14"/>
  <c r="AQ165" i="14" s="1"/>
  <c r="AO169" i="14"/>
  <c r="AO188" i="14"/>
  <c r="AL189" i="14"/>
  <c r="AM190" i="14"/>
  <c r="AQ192" i="14"/>
  <c r="AO197" i="14"/>
  <c r="AQ197" i="14" s="1"/>
  <c r="AS67" i="14" s="1"/>
  <c r="AO199" i="14"/>
  <c r="AM199" i="14"/>
  <c r="AL71" i="14"/>
  <c r="AQ71" i="14" s="1"/>
  <c r="AR6" i="14" s="1"/>
  <c r="AL76" i="14"/>
  <c r="AL83" i="14"/>
  <c r="AQ83" i="14" s="1"/>
  <c r="AR18" i="14" s="1"/>
  <c r="AN97" i="14"/>
  <c r="AN102" i="14"/>
  <c r="C112" i="14"/>
  <c r="AQ112" i="14" s="1"/>
  <c r="AN114" i="14"/>
  <c r="AM120" i="14"/>
  <c r="AQ125" i="14"/>
  <c r="AR60" i="14" s="1"/>
  <c r="AM134" i="14"/>
  <c r="AN138" i="14"/>
  <c r="AO139" i="14"/>
  <c r="AO141" i="14"/>
  <c r="AO151" i="14"/>
  <c r="AQ151" i="14" s="1"/>
  <c r="AS21" i="14" s="1"/>
  <c r="AL163" i="14"/>
  <c r="AO173" i="14"/>
  <c r="AM175" i="14"/>
  <c r="AN176" i="14"/>
  <c r="AM177" i="14"/>
  <c r="AN185" i="14"/>
  <c r="AM186" i="14"/>
  <c r="AQ186" i="14" s="1"/>
  <c r="AL187" i="14"/>
  <c r="AQ188" i="14"/>
  <c r="AS58" i="14" s="1"/>
  <c r="AO193" i="14"/>
  <c r="AQ193" i="14" s="1"/>
  <c r="AO195" i="14"/>
  <c r="AQ195" i="14" s="1"/>
  <c r="B71" i="14"/>
  <c r="C76" i="14"/>
  <c r="C127" i="14"/>
  <c r="C103" i="14"/>
  <c r="AQ103" i="14" s="1"/>
  <c r="C117" i="14"/>
  <c r="C131" i="14"/>
  <c r="AS41" i="14" l="1"/>
  <c r="AS62" i="14"/>
  <c r="AS37" i="14"/>
  <c r="AR68" i="14"/>
  <c r="AR57" i="14"/>
  <c r="AS32" i="14"/>
  <c r="AR27" i="14"/>
  <c r="AS60" i="14"/>
  <c r="AR49" i="14"/>
  <c r="AR58" i="14"/>
  <c r="AR29" i="14"/>
  <c r="AS46" i="14"/>
  <c r="AR40" i="14"/>
  <c r="AS63" i="14"/>
  <c r="AR52" i="14"/>
  <c r="AS66" i="14"/>
  <c r="AR38" i="14"/>
  <c r="AR23" i="14"/>
  <c r="AS33" i="14"/>
  <c r="AS53" i="14"/>
  <c r="AS56" i="14"/>
  <c r="AS28" i="14"/>
  <c r="AR65" i="14"/>
  <c r="AR47" i="14"/>
  <c r="AR24" i="14"/>
  <c r="AS39" i="14"/>
  <c r="AS22" i="14"/>
  <c r="AQ77" i="14"/>
  <c r="AR12" i="14" s="1"/>
  <c r="AQ73" i="14"/>
  <c r="AR8" i="14" s="1"/>
  <c r="AQ138" i="14"/>
  <c r="AS8" i="14" s="1"/>
  <c r="AQ145" i="14"/>
  <c r="AS15" i="14" s="1"/>
  <c r="AQ80" i="14"/>
  <c r="AR15" i="14" s="1"/>
  <c r="AQ139" i="14"/>
  <c r="AS9" i="14" s="1"/>
  <c r="AQ146" i="14"/>
  <c r="AS16" i="14" s="1"/>
  <c r="AQ174" i="14"/>
  <c r="AQ87" i="14"/>
  <c r="AR22" i="14" s="1"/>
  <c r="AQ85" i="14"/>
  <c r="AR20" i="14" s="1"/>
  <c r="AQ76" i="14"/>
  <c r="AR11" i="14" s="1"/>
  <c r="AQ164" i="14"/>
  <c r="AS34" i="14" s="1"/>
  <c r="AQ95" i="14"/>
  <c r="AR30" i="14" s="1"/>
  <c r="AQ120" i="14"/>
  <c r="AR55" i="14" s="1"/>
  <c r="AQ177" i="14"/>
  <c r="AS47" i="14" s="1"/>
  <c r="AQ184" i="14"/>
  <c r="AS54" i="14" s="1"/>
  <c r="AQ178" i="14"/>
  <c r="AS48" i="14" s="1"/>
  <c r="AQ173" i="14"/>
  <c r="AS43" i="14" s="1"/>
  <c r="AQ149" i="14"/>
  <c r="AS19" i="14" s="1"/>
  <c r="AQ161" i="14"/>
  <c r="AQ126" i="14"/>
  <c r="AR61" i="14" s="1"/>
  <c r="AQ160" i="14"/>
  <c r="AS30" i="14" s="1"/>
  <c r="AQ127" i="14"/>
  <c r="AR62" i="14" s="1"/>
  <c r="AQ141" i="14"/>
  <c r="AS11" i="14" s="1"/>
  <c r="AQ121" i="14"/>
  <c r="AQ100" i="14"/>
  <c r="AR35" i="14" s="1"/>
  <c r="AQ180" i="14"/>
  <c r="AQ194" i="14"/>
  <c r="AS64" i="14" s="1"/>
  <c r="AQ81" i="14"/>
  <c r="AR16" i="14" s="1"/>
  <c r="AQ179" i="14"/>
  <c r="AQ131" i="14"/>
  <c r="AR66" i="14" s="1"/>
  <c r="AS69" i="14"/>
  <c r="AS70" i="14"/>
  <c r="AQ104" i="14"/>
  <c r="AR39" i="14" s="1"/>
  <c r="AQ134" i="14"/>
  <c r="AQ175" i="14"/>
  <c r="AS45" i="14" s="1"/>
  <c r="AQ96" i="14"/>
  <c r="AQ82" i="14"/>
  <c r="AR17" i="14" s="1"/>
  <c r="AQ78" i="14"/>
  <c r="AR13" i="14" s="1"/>
  <c r="AQ154" i="14"/>
  <c r="AS24" i="14" s="1"/>
  <c r="AQ108" i="14"/>
  <c r="AR43" i="14" s="1"/>
  <c r="AQ148" i="14"/>
  <c r="AS18" i="14" s="1"/>
  <c r="AQ182" i="14"/>
  <c r="AS52" i="14" s="1"/>
  <c r="AQ106" i="14"/>
  <c r="AR41" i="14" s="1"/>
  <c r="AS50" i="14" l="1"/>
  <c r="AR56" i="14"/>
  <c r="AR63" i="14"/>
  <c r="AR44" i="14"/>
  <c r="AS51" i="14"/>
  <c r="AS49" i="14"/>
  <c r="AR42" i="14"/>
  <c r="AS35" i="14"/>
  <c r="AS65" i="14"/>
  <c r="AR36" i="14"/>
  <c r="AR31" i="14"/>
  <c r="AS44" i="14"/>
  <c r="AR32" i="14"/>
  <c r="AS31" i="14"/>
  <c r="AS55" i="14"/>
  <c r="AS25" i="14"/>
  <c r="AR67" i="14"/>
  <c r="AR69" i="14"/>
  <c r="AR70" i="14"/>
  <c r="C2" i="7" l="1"/>
  <c r="B3" i="13"/>
  <c r="B11" i="1" l="1"/>
  <c r="AJ199" i="13" l="1"/>
  <c r="AI199" i="13"/>
  <c r="AH199" i="13"/>
  <c r="AG199" i="13"/>
  <c r="AF199" i="13"/>
  <c r="AE199" i="13"/>
  <c r="AD199" i="13"/>
  <c r="AC199" i="13"/>
  <c r="AB199" i="13"/>
  <c r="AA199" i="13"/>
  <c r="Z199" i="13"/>
  <c r="Y199" i="13"/>
  <c r="X199" i="13"/>
  <c r="W199" i="13"/>
  <c r="V199" i="13"/>
  <c r="U199" i="13"/>
  <c r="T199" i="13"/>
  <c r="S199" i="13"/>
  <c r="R199" i="13"/>
  <c r="Q199" i="13"/>
  <c r="P199" i="13"/>
  <c r="O199" i="13"/>
  <c r="N199" i="13"/>
  <c r="M199" i="13"/>
  <c r="L199" i="13"/>
  <c r="K199" i="13"/>
  <c r="J199" i="13"/>
  <c r="I199" i="13"/>
  <c r="H199" i="13"/>
  <c r="G199" i="13"/>
  <c r="F199" i="13"/>
  <c r="E199" i="13"/>
  <c r="D199" i="13"/>
  <c r="AJ198" i="13"/>
  <c r="AI198" i="13"/>
  <c r="AH198" i="13"/>
  <c r="AG198" i="13"/>
  <c r="AF198" i="13"/>
  <c r="AE198" i="13"/>
  <c r="AD198" i="13"/>
  <c r="AC198" i="13"/>
  <c r="AB198" i="13"/>
  <c r="AA198" i="13"/>
  <c r="Z198" i="13"/>
  <c r="Y198" i="13"/>
  <c r="X198" i="13"/>
  <c r="W198" i="13"/>
  <c r="V198" i="13"/>
  <c r="U198" i="13"/>
  <c r="T198" i="13"/>
  <c r="S198" i="13"/>
  <c r="R198" i="13"/>
  <c r="Q198" i="13"/>
  <c r="P198" i="13"/>
  <c r="O198" i="13"/>
  <c r="N198" i="13"/>
  <c r="M198" i="13"/>
  <c r="L198" i="13"/>
  <c r="K198" i="13"/>
  <c r="J198" i="13"/>
  <c r="I198" i="13"/>
  <c r="H198" i="13"/>
  <c r="G198" i="13"/>
  <c r="F198" i="13"/>
  <c r="E198" i="13"/>
  <c r="D198" i="13"/>
  <c r="AJ197" i="13"/>
  <c r="AI197" i="13"/>
  <c r="AH197" i="13"/>
  <c r="AG197" i="13"/>
  <c r="AF197" i="13"/>
  <c r="AE197" i="13"/>
  <c r="AD197" i="13"/>
  <c r="AC197" i="13"/>
  <c r="AB197" i="13"/>
  <c r="AA197" i="13"/>
  <c r="Z197" i="13"/>
  <c r="Y197" i="13"/>
  <c r="X197" i="13"/>
  <c r="W197" i="13"/>
  <c r="V197" i="13"/>
  <c r="U197" i="13"/>
  <c r="T197" i="13"/>
  <c r="S197" i="13"/>
  <c r="R197" i="13"/>
  <c r="Q197" i="13"/>
  <c r="P197" i="13"/>
  <c r="O197" i="13"/>
  <c r="N197" i="13"/>
  <c r="M197" i="13"/>
  <c r="L197" i="13"/>
  <c r="AN197" i="13" s="1"/>
  <c r="K197" i="13"/>
  <c r="J197" i="13"/>
  <c r="I197" i="13"/>
  <c r="H197" i="13"/>
  <c r="G197" i="13"/>
  <c r="F197" i="13"/>
  <c r="E197" i="13"/>
  <c r="D197" i="13"/>
  <c r="AO197" i="13" s="1"/>
  <c r="AJ196" i="13"/>
  <c r="AI196" i="13"/>
  <c r="AH196" i="13"/>
  <c r="AG196" i="13"/>
  <c r="AF196" i="13"/>
  <c r="AE196" i="13"/>
  <c r="AD196" i="13"/>
  <c r="AC196" i="13"/>
  <c r="AB196" i="13"/>
  <c r="AA196" i="13"/>
  <c r="Z196" i="13"/>
  <c r="Y196" i="13"/>
  <c r="X196" i="13"/>
  <c r="W196" i="13"/>
  <c r="V196" i="13"/>
  <c r="U196" i="13"/>
  <c r="T196" i="13"/>
  <c r="S196" i="13"/>
  <c r="R196" i="13"/>
  <c r="Q196" i="13"/>
  <c r="P196" i="13"/>
  <c r="O196" i="13"/>
  <c r="N196" i="13"/>
  <c r="M196" i="13"/>
  <c r="L196" i="13"/>
  <c r="K196" i="13"/>
  <c r="J196" i="13"/>
  <c r="I196" i="13"/>
  <c r="H196" i="13"/>
  <c r="G196" i="13"/>
  <c r="F196" i="13"/>
  <c r="E196" i="13"/>
  <c r="D196" i="13"/>
  <c r="AO196" i="13" s="1"/>
  <c r="AJ195" i="13"/>
  <c r="AI195" i="13"/>
  <c r="AH195" i="13"/>
  <c r="AG195" i="13"/>
  <c r="AF195" i="13"/>
  <c r="AE195" i="13"/>
  <c r="AD195" i="13"/>
  <c r="AC195" i="13"/>
  <c r="AB195" i="13"/>
  <c r="AA195" i="13"/>
  <c r="Z195" i="13"/>
  <c r="Y195" i="13"/>
  <c r="X195" i="13"/>
  <c r="W195" i="13"/>
  <c r="V195" i="13"/>
  <c r="U195" i="13"/>
  <c r="T195" i="13"/>
  <c r="S195" i="13"/>
  <c r="R195" i="13"/>
  <c r="Q195" i="13"/>
  <c r="P195" i="13"/>
  <c r="O195" i="13"/>
  <c r="N195" i="13"/>
  <c r="M195" i="13"/>
  <c r="L195" i="13"/>
  <c r="K195" i="13"/>
  <c r="J195" i="13"/>
  <c r="I195" i="13"/>
  <c r="H195" i="13"/>
  <c r="G195" i="13"/>
  <c r="F195" i="13"/>
  <c r="E195" i="13"/>
  <c r="D195" i="13"/>
  <c r="AJ194" i="13"/>
  <c r="AI194" i="13"/>
  <c r="AH194" i="13"/>
  <c r="AG194" i="13"/>
  <c r="AF194" i="13"/>
  <c r="AE194" i="13"/>
  <c r="AD194" i="13"/>
  <c r="AC194" i="13"/>
  <c r="AB194" i="13"/>
  <c r="AA194" i="13"/>
  <c r="Z194" i="13"/>
  <c r="Y194" i="13"/>
  <c r="X194" i="13"/>
  <c r="W194" i="13"/>
  <c r="V194" i="13"/>
  <c r="U194" i="13"/>
  <c r="T194" i="13"/>
  <c r="S194" i="13"/>
  <c r="R194" i="13"/>
  <c r="Q194" i="13"/>
  <c r="P194" i="13"/>
  <c r="O194" i="13"/>
  <c r="N194" i="13"/>
  <c r="M194" i="13"/>
  <c r="L194" i="13"/>
  <c r="K194" i="13"/>
  <c r="J194" i="13"/>
  <c r="I194" i="13"/>
  <c r="H194" i="13"/>
  <c r="G194" i="13"/>
  <c r="F194" i="13"/>
  <c r="E194" i="13"/>
  <c r="D194" i="13"/>
  <c r="AJ193" i="13"/>
  <c r="AI193" i="13"/>
  <c r="AH193" i="13"/>
  <c r="AG193" i="13"/>
  <c r="AF193" i="13"/>
  <c r="AE193" i="13"/>
  <c r="AD193" i="13"/>
  <c r="AC193" i="13"/>
  <c r="AB193" i="13"/>
  <c r="AA193" i="13"/>
  <c r="Z193" i="13"/>
  <c r="Y193" i="13"/>
  <c r="X193" i="13"/>
  <c r="W193" i="13"/>
  <c r="V193" i="13"/>
  <c r="U193" i="13"/>
  <c r="T193" i="13"/>
  <c r="S193" i="13"/>
  <c r="R193" i="13"/>
  <c r="Q193" i="13"/>
  <c r="P193" i="13"/>
  <c r="O193" i="13"/>
  <c r="N193" i="13"/>
  <c r="M193" i="13"/>
  <c r="L193" i="13"/>
  <c r="K193" i="13"/>
  <c r="J193" i="13"/>
  <c r="I193" i="13"/>
  <c r="H193" i="13"/>
  <c r="G193" i="13"/>
  <c r="F193" i="13"/>
  <c r="E193" i="13"/>
  <c r="D193" i="13"/>
  <c r="AJ192" i="13"/>
  <c r="AI192" i="13"/>
  <c r="AH192" i="13"/>
  <c r="AG192" i="13"/>
  <c r="AF192" i="13"/>
  <c r="AE192" i="13"/>
  <c r="AD192" i="13"/>
  <c r="AC192" i="13"/>
  <c r="AB192" i="13"/>
  <c r="AA192" i="13"/>
  <c r="Z192" i="13"/>
  <c r="Y192" i="13"/>
  <c r="X192" i="13"/>
  <c r="W192" i="13"/>
  <c r="V192" i="13"/>
  <c r="U192" i="13"/>
  <c r="T192" i="13"/>
  <c r="S192" i="13"/>
  <c r="R192" i="13"/>
  <c r="Q192" i="13"/>
  <c r="P192" i="13"/>
  <c r="O192" i="13"/>
  <c r="N192" i="13"/>
  <c r="M192" i="13"/>
  <c r="L192" i="13"/>
  <c r="K192" i="13"/>
  <c r="J192" i="13"/>
  <c r="I192" i="13"/>
  <c r="H192" i="13"/>
  <c r="G192" i="13"/>
  <c r="F192" i="13"/>
  <c r="E192" i="13"/>
  <c r="D192" i="13"/>
  <c r="AO192" i="13" s="1"/>
  <c r="AJ191" i="13"/>
  <c r="AI191" i="13"/>
  <c r="AH191" i="13"/>
  <c r="AG191" i="13"/>
  <c r="AF191" i="13"/>
  <c r="AE191" i="13"/>
  <c r="AD191" i="13"/>
  <c r="AC191" i="13"/>
  <c r="AB191" i="13"/>
  <c r="AA191" i="13"/>
  <c r="Z191" i="13"/>
  <c r="Y191" i="13"/>
  <c r="X191" i="13"/>
  <c r="W191" i="13"/>
  <c r="V191" i="13"/>
  <c r="U191" i="13"/>
  <c r="T191" i="13"/>
  <c r="S191" i="13"/>
  <c r="R191" i="13"/>
  <c r="Q191" i="13"/>
  <c r="P191" i="13"/>
  <c r="O191" i="13"/>
  <c r="N191" i="13"/>
  <c r="M191" i="13"/>
  <c r="L191" i="13"/>
  <c r="K191" i="13"/>
  <c r="J191" i="13"/>
  <c r="I191" i="13"/>
  <c r="H191" i="13"/>
  <c r="G191" i="13"/>
  <c r="F191" i="13"/>
  <c r="E191" i="13"/>
  <c r="D191" i="13"/>
  <c r="AJ190" i="13"/>
  <c r="AI190" i="13"/>
  <c r="AH190" i="13"/>
  <c r="AG190" i="13"/>
  <c r="AF190" i="13"/>
  <c r="AE190" i="13"/>
  <c r="AD190" i="13"/>
  <c r="AC190" i="13"/>
  <c r="AB190" i="13"/>
  <c r="AA190" i="13"/>
  <c r="Z190" i="13"/>
  <c r="Y190" i="13"/>
  <c r="X190" i="13"/>
  <c r="W190" i="13"/>
  <c r="V190" i="13"/>
  <c r="U190" i="13"/>
  <c r="T190" i="13"/>
  <c r="S190" i="13"/>
  <c r="R190" i="13"/>
  <c r="Q190" i="13"/>
  <c r="P190" i="13"/>
  <c r="O190" i="13"/>
  <c r="N190" i="13"/>
  <c r="M190" i="13"/>
  <c r="L190" i="13"/>
  <c r="K190" i="13"/>
  <c r="J190" i="13"/>
  <c r="I190" i="13"/>
  <c r="H190" i="13"/>
  <c r="G190" i="13"/>
  <c r="F190" i="13"/>
  <c r="E190" i="13"/>
  <c r="D190" i="13"/>
  <c r="AJ189" i="13"/>
  <c r="AI189" i="13"/>
  <c r="AH189" i="13"/>
  <c r="AG189" i="13"/>
  <c r="AF189" i="13"/>
  <c r="AE189" i="13"/>
  <c r="AD189" i="13"/>
  <c r="AC189" i="13"/>
  <c r="AB189" i="13"/>
  <c r="AA189" i="13"/>
  <c r="Z189" i="13"/>
  <c r="Y189" i="13"/>
  <c r="X189" i="13"/>
  <c r="W189" i="13"/>
  <c r="V189" i="13"/>
  <c r="U189" i="13"/>
  <c r="T189" i="13"/>
  <c r="S189" i="13"/>
  <c r="R189" i="13"/>
  <c r="Q189" i="13"/>
  <c r="P189" i="13"/>
  <c r="O189" i="13"/>
  <c r="N189" i="13"/>
  <c r="M189" i="13"/>
  <c r="L189" i="13"/>
  <c r="AN189" i="13" s="1"/>
  <c r="K189" i="13"/>
  <c r="J189" i="13"/>
  <c r="I189" i="13"/>
  <c r="H189" i="13"/>
  <c r="G189" i="13"/>
  <c r="F189" i="13"/>
  <c r="E189" i="13"/>
  <c r="D189" i="13"/>
  <c r="AJ188" i="13"/>
  <c r="AI188" i="13"/>
  <c r="AH188" i="13"/>
  <c r="AG188" i="13"/>
  <c r="AF188" i="13"/>
  <c r="AE188" i="13"/>
  <c r="AD188" i="13"/>
  <c r="AC188" i="13"/>
  <c r="AB188" i="13"/>
  <c r="AA188" i="13"/>
  <c r="Z188" i="13"/>
  <c r="Y188" i="13"/>
  <c r="X188" i="13"/>
  <c r="W188" i="13"/>
  <c r="V188" i="13"/>
  <c r="U188" i="13"/>
  <c r="T188" i="13"/>
  <c r="S188" i="13"/>
  <c r="R188" i="13"/>
  <c r="Q188" i="13"/>
  <c r="P188" i="13"/>
  <c r="O188" i="13"/>
  <c r="N188" i="13"/>
  <c r="M188" i="13"/>
  <c r="L188" i="13"/>
  <c r="K188" i="13"/>
  <c r="J188" i="13"/>
  <c r="I188" i="13"/>
  <c r="H188" i="13"/>
  <c r="G188" i="13"/>
  <c r="F188" i="13"/>
  <c r="E188" i="13"/>
  <c r="D188" i="13"/>
  <c r="AO188" i="13" s="1"/>
  <c r="AJ187" i="13"/>
  <c r="AI187" i="13"/>
  <c r="AH187" i="13"/>
  <c r="AG187" i="13"/>
  <c r="AF187" i="13"/>
  <c r="AE187" i="13"/>
  <c r="AD187" i="13"/>
  <c r="AC187" i="13"/>
  <c r="AB187" i="13"/>
  <c r="AA187" i="13"/>
  <c r="Z187" i="13"/>
  <c r="Y187" i="13"/>
  <c r="X187" i="13"/>
  <c r="W187" i="13"/>
  <c r="V187" i="13"/>
  <c r="U187" i="13"/>
  <c r="AM187" i="13" s="1"/>
  <c r="T187" i="13"/>
  <c r="S187" i="13"/>
  <c r="R187" i="13"/>
  <c r="Q187" i="13"/>
  <c r="P187" i="13"/>
  <c r="O187" i="13"/>
  <c r="N187" i="13"/>
  <c r="M187" i="13"/>
  <c r="L187" i="13"/>
  <c r="K187" i="13"/>
  <c r="J187" i="13"/>
  <c r="I187" i="13"/>
  <c r="H187" i="13"/>
  <c r="G187" i="13"/>
  <c r="F187" i="13"/>
  <c r="E187" i="13"/>
  <c r="D187" i="13"/>
  <c r="AJ186" i="13"/>
  <c r="AI186" i="13"/>
  <c r="AH186" i="13"/>
  <c r="AG186" i="13"/>
  <c r="AF186" i="13"/>
  <c r="AE186" i="13"/>
  <c r="AD186" i="13"/>
  <c r="AC186" i="13"/>
  <c r="AB186" i="13"/>
  <c r="AA186" i="13"/>
  <c r="Z186" i="13"/>
  <c r="Y186" i="13"/>
  <c r="X186" i="13"/>
  <c r="W186" i="13"/>
  <c r="V186" i="13"/>
  <c r="U186" i="13"/>
  <c r="T186" i="13"/>
  <c r="S186" i="13"/>
  <c r="R186" i="13"/>
  <c r="Q186" i="13"/>
  <c r="P186" i="13"/>
  <c r="O186" i="13"/>
  <c r="N186" i="13"/>
  <c r="M186" i="13"/>
  <c r="L186" i="13"/>
  <c r="K186" i="13"/>
  <c r="J186" i="13"/>
  <c r="I186" i="13"/>
  <c r="H186" i="13"/>
  <c r="G186" i="13"/>
  <c r="F186" i="13"/>
  <c r="E186" i="13"/>
  <c r="D186" i="13"/>
  <c r="AJ185" i="13"/>
  <c r="AI185" i="13"/>
  <c r="AH185" i="13"/>
  <c r="AG185" i="13"/>
  <c r="AF185" i="13"/>
  <c r="AE185" i="13"/>
  <c r="AD185" i="13"/>
  <c r="AC185" i="13"/>
  <c r="AB185" i="13"/>
  <c r="AA185" i="13"/>
  <c r="Z185" i="13"/>
  <c r="Y185" i="13"/>
  <c r="X185" i="13"/>
  <c r="W185" i="13"/>
  <c r="V185" i="13"/>
  <c r="U185" i="13"/>
  <c r="T185" i="13"/>
  <c r="S185" i="13"/>
  <c r="R185" i="13"/>
  <c r="Q185" i="13"/>
  <c r="P185" i="13"/>
  <c r="O185" i="13"/>
  <c r="N185" i="13"/>
  <c r="M185" i="13"/>
  <c r="L185" i="13"/>
  <c r="K185" i="13"/>
  <c r="J185" i="13"/>
  <c r="I185" i="13"/>
  <c r="H185" i="13"/>
  <c r="G185" i="13"/>
  <c r="F185" i="13"/>
  <c r="E185" i="13"/>
  <c r="D185" i="13"/>
  <c r="AJ184" i="13"/>
  <c r="AI184" i="13"/>
  <c r="AH184" i="13"/>
  <c r="AG184" i="13"/>
  <c r="AF184" i="13"/>
  <c r="AE184" i="13"/>
  <c r="AD184" i="13"/>
  <c r="AC184" i="13"/>
  <c r="AB184" i="13"/>
  <c r="AA184" i="13"/>
  <c r="Z184" i="13"/>
  <c r="Y184" i="13"/>
  <c r="X184" i="13"/>
  <c r="W184" i="13"/>
  <c r="V184" i="13"/>
  <c r="U184" i="13"/>
  <c r="T184" i="13"/>
  <c r="S184" i="13"/>
  <c r="R184" i="13"/>
  <c r="Q184" i="13"/>
  <c r="P184" i="13"/>
  <c r="O184" i="13"/>
  <c r="N184" i="13"/>
  <c r="M184" i="13"/>
  <c r="L184" i="13"/>
  <c r="K184" i="13"/>
  <c r="J184" i="13"/>
  <c r="I184" i="13"/>
  <c r="H184" i="13"/>
  <c r="G184" i="13"/>
  <c r="F184" i="13"/>
  <c r="E184" i="13"/>
  <c r="D184" i="13"/>
  <c r="AJ183" i="13"/>
  <c r="AI183" i="13"/>
  <c r="AH183" i="13"/>
  <c r="AG183" i="13"/>
  <c r="AF183" i="13"/>
  <c r="AE183" i="13"/>
  <c r="AD183" i="13"/>
  <c r="AC183" i="13"/>
  <c r="AB183" i="13"/>
  <c r="AA183" i="13"/>
  <c r="Z183" i="13"/>
  <c r="Y183" i="13"/>
  <c r="X183" i="13"/>
  <c r="W183" i="13"/>
  <c r="V183" i="13"/>
  <c r="U183" i="13"/>
  <c r="T183" i="13"/>
  <c r="S183" i="13"/>
  <c r="R183" i="13"/>
  <c r="Q183" i="13"/>
  <c r="P183" i="13"/>
  <c r="O183" i="13"/>
  <c r="N183" i="13"/>
  <c r="M183" i="13"/>
  <c r="L183" i="13"/>
  <c r="K183" i="13"/>
  <c r="J183" i="13"/>
  <c r="I183" i="13"/>
  <c r="H183" i="13"/>
  <c r="G183" i="13"/>
  <c r="F183" i="13"/>
  <c r="E183" i="13"/>
  <c r="D183" i="13"/>
  <c r="AJ182" i="13"/>
  <c r="AI182" i="13"/>
  <c r="AH182" i="13"/>
  <c r="AG182" i="13"/>
  <c r="AF182" i="13"/>
  <c r="AE182" i="13"/>
  <c r="AD182" i="13"/>
  <c r="AC182" i="13"/>
  <c r="AB182" i="13"/>
  <c r="AA182" i="13"/>
  <c r="Z182" i="13"/>
  <c r="Y182" i="13"/>
  <c r="X182" i="13"/>
  <c r="W182" i="13"/>
  <c r="V182" i="13"/>
  <c r="U182" i="13"/>
  <c r="T182" i="13"/>
  <c r="S182" i="13"/>
  <c r="R182" i="13"/>
  <c r="Q182" i="13"/>
  <c r="P182" i="13"/>
  <c r="O182" i="13"/>
  <c r="N182" i="13"/>
  <c r="M182" i="13"/>
  <c r="L182" i="13"/>
  <c r="AN182" i="13" s="1"/>
  <c r="K182" i="13"/>
  <c r="J182" i="13"/>
  <c r="I182" i="13"/>
  <c r="H182" i="13"/>
  <c r="G182" i="13"/>
  <c r="F182" i="13"/>
  <c r="E182" i="13"/>
  <c r="D182" i="13"/>
  <c r="AO182" i="13" s="1"/>
  <c r="AJ181" i="13"/>
  <c r="AI181" i="13"/>
  <c r="AH181" i="13"/>
  <c r="AG181" i="13"/>
  <c r="AF181" i="13"/>
  <c r="AE181" i="13"/>
  <c r="AD181" i="13"/>
  <c r="AC181" i="13"/>
  <c r="AB181" i="13"/>
  <c r="AA181" i="13"/>
  <c r="Z181" i="13"/>
  <c r="Y181" i="13"/>
  <c r="X181" i="13"/>
  <c r="W181" i="13"/>
  <c r="V181" i="13"/>
  <c r="U181" i="13"/>
  <c r="T181" i="13"/>
  <c r="S181" i="13"/>
  <c r="R181" i="13"/>
  <c r="Q181" i="13"/>
  <c r="P181" i="13"/>
  <c r="O181" i="13"/>
  <c r="N181" i="13"/>
  <c r="M181" i="13"/>
  <c r="L181" i="13"/>
  <c r="AN181" i="13" s="1"/>
  <c r="K181" i="13"/>
  <c r="J181" i="13"/>
  <c r="I181" i="13"/>
  <c r="H181" i="13"/>
  <c r="G181" i="13"/>
  <c r="F181" i="13"/>
  <c r="E181" i="13"/>
  <c r="D181" i="13"/>
  <c r="AJ180" i="13"/>
  <c r="AI180" i="13"/>
  <c r="AH180" i="13"/>
  <c r="AG180" i="13"/>
  <c r="AF180" i="13"/>
  <c r="AE180" i="13"/>
  <c r="AD180" i="13"/>
  <c r="AC180" i="13"/>
  <c r="AB180" i="13"/>
  <c r="AA180" i="13"/>
  <c r="Z180" i="13"/>
  <c r="Y180" i="13"/>
  <c r="X180" i="13"/>
  <c r="W180" i="13"/>
  <c r="V180" i="13"/>
  <c r="U180" i="13"/>
  <c r="T180" i="13"/>
  <c r="S180" i="13"/>
  <c r="R180" i="13"/>
  <c r="Q180" i="13"/>
  <c r="P180" i="13"/>
  <c r="O180" i="13"/>
  <c r="N180" i="13"/>
  <c r="M180" i="13"/>
  <c r="L180" i="13"/>
  <c r="K180" i="13"/>
  <c r="J180" i="13"/>
  <c r="I180" i="13"/>
  <c r="H180" i="13"/>
  <c r="G180" i="13"/>
  <c r="F180" i="13"/>
  <c r="E180" i="13"/>
  <c r="D180" i="13"/>
  <c r="AJ179" i="13"/>
  <c r="AI179" i="13"/>
  <c r="AH179" i="13"/>
  <c r="AG179" i="13"/>
  <c r="AF179" i="13"/>
  <c r="AE179" i="13"/>
  <c r="AD179" i="13"/>
  <c r="AC179" i="13"/>
  <c r="AB179" i="13"/>
  <c r="AA179" i="13"/>
  <c r="Z179" i="13"/>
  <c r="Y179" i="13"/>
  <c r="X179" i="13"/>
  <c r="W179" i="13"/>
  <c r="V179" i="13"/>
  <c r="U179" i="13"/>
  <c r="T179" i="13"/>
  <c r="S179" i="13"/>
  <c r="R179" i="13"/>
  <c r="Q179" i="13"/>
  <c r="P179" i="13"/>
  <c r="O179" i="13"/>
  <c r="N179" i="13"/>
  <c r="M179" i="13"/>
  <c r="L179" i="13"/>
  <c r="AN179" i="13" s="1"/>
  <c r="K179" i="13"/>
  <c r="J179" i="13"/>
  <c r="I179" i="13"/>
  <c r="H179" i="13"/>
  <c r="G179" i="13"/>
  <c r="F179" i="13"/>
  <c r="E179" i="13"/>
  <c r="D179" i="13"/>
  <c r="AJ178" i="13"/>
  <c r="AI178" i="13"/>
  <c r="AH178" i="13"/>
  <c r="AG178" i="13"/>
  <c r="AF178" i="13"/>
  <c r="AE178" i="13"/>
  <c r="AD178" i="13"/>
  <c r="AC178" i="13"/>
  <c r="AB178" i="13"/>
  <c r="AA178" i="13"/>
  <c r="Z178" i="13"/>
  <c r="Y178" i="13"/>
  <c r="X178" i="13"/>
  <c r="W178" i="13"/>
  <c r="V178" i="13"/>
  <c r="U178" i="13"/>
  <c r="T178" i="13"/>
  <c r="S178" i="13"/>
  <c r="R178" i="13"/>
  <c r="Q178" i="13"/>
  <c r="P178" i="13"/>
  <c r="O178" i="13"/>
  <c r="N178" i="13"/>
  <c r="M178" i="13"/>
  <c r="L178" i="13"/>
  <c r="K178" i="13"/>
  <c r="J178" i="13"/>
  <c r="I178" i="13"/>
  <c r="H178" i="13"/>
  <c r="G178" i="13"/>
  <c r="F178" i="13"/>
  <c r="E178" i="13"/>
  <c r="D178" i="13"/>
  <c r="AJ177" i="13"/>
  <c r="AI177" i="13"/>
  <c r="AH177" i="13"/>
  <c r="AG177" i="13"/>
  <c r="AF177" i="13"/>
  <c r="AE177" i="13"/>
  <c r="AD177" i="13"/>
  <c r="AC177" i="13"/>
  <c r="AB177" i="13"/>
  <c r="AA177" i="13"/>
  <c r="Z177" i="13"/>
  <c r="Y177" i="13"/>
  <c r="X177" i="13"/>
  <c r="W177" i="13"/>
  <c r="V177" i="13"/>
  <c r="U177" i="13"/>
  <c r="T177" i="13"/>
  <c r="S177" i="13"/>
  <c r="R177" i="13"/>
  <c r="Q177" i="13"/>
  <c r="P177" i="13"/>
  <c r="O177" i="13"/>
  <c r="N177" i="13"/>
  <c r="M177" i="13"/>
  <c r="L177" i="13"/>
  <c r="K177" i="13"/>
  <c r="J177" i="13"/>
  <c r="I177" i="13"/>
  <c r="H177" i="13"/>
  <c r="G177" i="13"/>
  <c r="F177" i="13"/>
  <c r="E177" i="13"/>
  <c r="D177" i="13"/>
  <c r="AJ176" i="13"/>
  <c r="AI176" i="13"/>
  <c r="AH176" i="13"/>
  <c r="AG176" i="13"/>
  <c r="AF176" i="13"/>
  <c r="AE176" i="13"/>
  <c r="AD176" i="13"/>
  <c r="AC176" i="13"/>
  <c r="AB176" i="13"/>
  <c r="AA176" i="13"/>
  <c r="Z176" i="13"/>
  <c r="Y176" i="13"/>
  <c r="X176" i="13"/>
  <c r="W176" i="13"/>
  <c r="V176" i="13"/>
  <c r="U176" i="13"/>
  <c r="T176" i="13"/>
  <c r="S176" i="13"/>
  <c r="R176" i="13"/>
  <c r="Q176" i="13"/>
  <c r="P176" i="13"/>
  <c r="O176" i="13"/>
  <c r="N176" i="13"/>
  <c r="M176" i="13"/>
  <c r="L176" i="13"/>
  <c r="K176" i="13"/>
  <c r="J176" i="13"/>
  <c r="I176" i="13"/>
  <c r="H176" i="13"/>
  <c r="G176" i="13"/>
  <c r="F176" i="13"/>
  <c r="E176" i="13"/>
  <c r="D176" i="13"/>
  <c r="AJ175" i="13"/>
  <c r="AI175" i="13"/>
  <c r="AH175" i="13"/>
  <c r="AG175" i="13"/>
  <c r="AF175" i="13"/>
  <c r="AE175" i="13"/>
  <c r="AD175" i="13"/>
  <c r="AC175" i="13"/>
  <c r="AB175" i="13"/>
  <c r="AA175" i="13"/>
  <c r="Z175" i="13"/>
  <c r="Y175" i="13"/>
  <c r="X175" i="13"/>
  <c r="W175" i="13"/>
  <c r="V175" i="13"/>
  <c r="U175" i="13"/>
  <c r="T175" i="13"/>
  <c r="S175" i="13"/>
  <c r="R175" i="13"/>
  <c r="Q175" i="13"/>
  <c r="P175" i="13"/>
  <c r="O175" i="13"/>
  <c r="N175" i="13"/>
  <c r="M175" i="13"/>
  <c r="L175" i="13"/>
  <c r="K175" i="13"/>
  <c r="J175" i="13"/>
  <c r="I175" i="13"/>
  <c r="H175" i="13"/>
  <c r="G175" i="13"/>
  <c r="F175" i="13"/>
  <c r="E175" i="13"/>
  <c r="D175" i="13"/>
  <c r="AJ174" i="13"/>
  <c r="AI174" i="13"/>
  <c r="AH174" i="13"/>
  <c r="AG174" i="13"/>
  <c r="AF174" i="13"/>
  <c r="AE174" i="13"/>
  <c r="AD174" i="13"/>
  <c r="AC174" i="13"/>
  <c r="AB174" i="13"/>
  <c r="AA174" i="13"/>
  <c r="Z174" i="13"/>
  <c r="Y174" i="13"/>
  <c r="X174" i="13"/>
  <c r="W174" i="13"/>
  <c r="V174" i="13"/>
  <c r="U174" i="13"/>
  <c r="T174" i="13"/>
  <c r="AM174" i="13" s="1"/>
  <c r="S174" i="13"/>
  <c r="R174" i="13"/>
  <c r="Q174" i="13"/>
  <c r="P174" i="13"/>
  <c r="O174" i="13"/>
  <c r="N174" i="13"/>
  <c r="M174" i="13"/>
  <c r="L174" i="13"/>
  <c r="AN174" i="13" s="1"/>
  <c r="K174" i="13"/>
  <c r="J174" i="13"/>
  <c r="I174" i="13"/>
  <c r="H174" i="13"/>
  <c r="G174" i="13"/>
  <c r="F174" i="13"/>
  <c r="E174" i="13"/>
  <c r="D174" i="13"/>
  <c r="AO174" i="13" s="1"/>
  <c r="AJ173" i="13"/>
  <c r="AI173" i="13"/>
  <c r="AH173" i="13"/>
  <c r="AG173" i="13"/>
  <c r="AF173" i="13"/>
  <c r="AE173" i="13"/>
  <c r="AD173" i="13"/>
  <c r="AC173" i="13"/>
  <c r="AB173" i="13"/>
  <c r="AA173" i="13"/>
  <c r="Z173" i="13"/>
  <c r="Y173" i="13"/>
  <c r="X173" i="13"/>
  <c r="W173" i="13"/>
  <c r="V173" i="13"/>
  <c r="U173" i="13"/>
  <c r="T173" i="13"/>
  <c r="S173" i="13"/>
  <c r="R173" i="13"/>
  <c r="Q173" i="13"/>
  <c r="P173" i="13"/>
  <c r="O173" i="13"/>
  <c r="N173" i="13"/>
  <c r="M173" i="13"/>
  <c r="L173" i="13"/>
  <c r="AN173" i="13" s="1"/>
  <c r="K173" i="13"/>
  <c r="J173" i="13"/>
  <c r="I173" i="13"/>
  <c r="H173" i="13"/>
  <c r="G173" i="13"/>
  <c r="F173" i="13"/>
  <c r="E173" i="13"/>
  <c r="D173" i="13"/>
  <c r="AJ172" i="13"/>
  <c r="AI172" i="13"/>
  <c r="AH172" i="13"/>
  <c r="AG172" i="13"/>
  <c r="AF172" i="13"/>
  <c r="AE172" i="13"/>
  <c r="AD172" i="13"/>
  <c r="AC172" i="13"/>
  <c r="AB172" i="13"/>
  <c r="AA172" i="13"/>
  <c r="Z172" i="13"/>
  <c r="Y172" i="13"/>
  <c r="X172" i="13"/>
  <c r="W172" i="13"/>
  <c r="V172" i="13"/>
  <c r="U172" i="13"/>
  <c r="T172" i="13"/>
  <c r="S172" i="13"/>
  <c r="R172" i="13"/>
  <c r="Q172" i="13"/>
  <c r="P172" i="13"/>
  <c r="O172" i="13"/>
  <c r="N172" i="13"/>
  <c r="M172" i="13"/>
  <c r="L172" i="13"/>
  <c r="K172" i="13"/>
  <c r="J172" i="13"/>
  <c r="I172" i="13"/>
  <c r="H172" i="13"/>
  <c r="G172" i="13"/>
  <c r="F172" i="13"/>
  <c r="E172" i="13"/>
  <c r="D172" i="13"/>
  <c r="AJ171" i="13"/>
  <c r="AI171" i="13"/>
  <c r="AH171" i="13"/>
  <c r="AG171" i="13"/>
  <c r="AF171" i="13"/>
  <c r="AE171" i="13"/>
  <c r="AD171" i="13"/>
  <c r="AC171" i="13"/>
  <c r="AB171" i="13"/>
  <c r="AA171" i="13"/>
  <c r="Z171" i="13"/>
  <c r="Y171" i="13"/>
  <c r="X171" i="13"/>
  <c r="W171" i="13"/>
  <c r="V171" i="13"/>
  <c r="U171" i="13"/>
  <c r="T171" i="13"/>
  <c r="S171" i="13"/>
  <c r="R171" i="13"/>
  <c r="Q171" i="13"/>
  <c r="P171" i="13"/>
  <c r="O171" i="13"/>
  <c r="N171" i="13"/>
  <c r="M171" i="13"/>
  <c r="L171" i="13"/>
  <c r="K171" i="13"/>
  <c r="J171" i="13"/>
  <c r="I171" i="13"/>
  <c r="H171" i="13"/>
  <c r="G171" i="13"/>
  <c r="F171" i="13"/>
  <c r="E171" i="13"/>
  <c r="D171" i="13"/>
  <c r="AJ170" i="13"/>
  <c r="AI170" i="13"/>
  <c r="AH170" i="13"/>
  <c r="AG170" i="13"/>
  <c r="AF170" i="13"/>
  <c r="AE170" i="13"/>
  <c r="AD170" i="13"/>
  <c r="AC170" i="13"/>
  <c r="AB170" i="13"/>
  <c r="AA170" i="13"/>
  <c r="Z170" i="13"/>
  <c r="Y170" i="13"/>
  <c r="X170" i="13"/>
  <c r="W170" i="13"/>
  <c r="V170" i="13"/>
  <c r="U170" i="13"/>
  <c r="T170" i="13"/>
  <c r="S170" i="13"/>
  <c r="R170" i="13"/>
  <c r="Q170" i="13"/>
  <c r="P170" i="13"/>
  <c r="O170" i="13"/>
  <c r="N170" i="13"/>
  <c r="M170" i="13"/>
  <c r="L170" i="13"/>
  <c r="K170" i="13"/>
  <c r="J170" i="13"/>
  <c r="I170" i="13"/>
  <c r="H170" i="13"/>
  <c r="G170" i="13"/>
  <c r="F170" i="13"/>
  <c r="E170" i="13"/>
  <c r="D170" i="13"/>
  <c r="AJ169" i="13"/>
  <c r="AI169" i="13"/>
  <c r="AH169" i="13"/>
  <c r="AG169" i="13"/>
  <c r="AF169" i="13"/>
  <c r="AE169" i="13"/>
  <c r="AD169" i="13"/>
  <c r="AC169" i="13"/>
  <c r="AB169" i="13"/>
  <c r="AA169" i="13"/>
  <c r="Z169" i="13"/>
  <c r="Y169" i="13"/>
  <c r="X169" i="13"/>
  <c r="W169" i="13"/>
  <c r="V169" i="13"/>
  <c r="U169" i="13"/>
  <c r="T169" i="13"/>
  <c r="S169" i="13"/>
  <c r="R169" i="13"/>
  <c r="Q169" i="13"/>
  <c r="P169" i="13"/>
  <c r="O169" i="13"/>
  <c r="N169" i="13"/>
  <c r="M169" i="13"/>
  <c r="L169" i="13"/>
  <c r="K169" i="13"/>
  <c r="J169" i="13"/>
  <c r="I169" i="13"/>
  <c r="H169" i="13"/>
  <c r="G169" i="13"/>
  <c r="F169" i="13"/>
  <c r="E169" i="13"/>
  <c r="D169" i="13"/>
  <c r="C169" i="13"/>
  <c r="AJ168" i="13"/>
  <c r="AI168" i="13"/>
  <c r="AH168" i="13"/>
  <c r="AG168" i="13"/>
  <c r="AF168" i="13"/>
  <c r="AE168" i="13"/>
  <c r="AD168" i="13"/>
  <c r="AC168" i="13"/>
  <c r="AB168" i="13"/>
  <c r="AA168" i="13"/>
  <c r="Z168" i="13"/>
  <c r="Y168" i="13"/>
  <c r="X168" i="13"/>
  <c r="W168" i="13"/>
  <c r="V168" i="13"/>
  <c r="U168" i="13"/>
  <c r="T168" i="13"/>
  <c r="S168" i="13"/>
  <c r="R168" i="13"/>
  <c r="Q168" i="13"/>
  <c r="P168" i="13"/>
  <c r="O168" i="13"/>
  <c r="N168" i="13"/>
  <c r="M168" i="13"/>
  <c r="L168" i="13"/>
  <c r="K168" i="13"/>
  <c r="J168" i="13"/>
  <c r="I168" i="13"/>
  <c r="H168" i="13"/>
  <c r="G168" i="13"/>
  <c r="F168" i="13"/>
  <c r="E168" i="13"/>
  <c r="D168" i="13"/>
  <c r="AO168" i="13" s="1"/>
  <c r="AJ167" i="13"/>
  <c r="AI167" i="13"/>
  <c r="AH167" i="13"/>
  <c r="AG167" i="13"/>
  <c r="AF167" i="13"/>
  <c r="AE167" i="13"/>
  <c r="AD167" i="13"/>
  <c r="AC167" i="13"/>
  <c r="AB167" i="13"/>
  <c r="AA167" i="13"/>
  <c r="Z167" i="13"/>
  <c r="Y167" i="13"/>
  <c r="X167" i="13"/>
  <c r="W167" i="13"/>
  <c r="V167" i="13"/>
  <c r="U167" i="13"/>
  <c r="T167" i="13"/>
  <c r="S167" i="13"/>
  <c r="R167" i="13"/>
  <c r="Q167" i="13"/>
  <c r="P167" i="13"/>
  <c r="O167" i="13"/>
  <c r="N167" i="13"/>
  <c r="M167" i="13"/>
  <c r="L167" i="13"/>
  <c r="K167" i="13"/>
  <c r="J167" i="13"/>
  <c r="I167" i="13"/>
  <c r="H167" i="13"/>
  <c r="G167" i="13"/>
  <c r="F167" i="13"/>
  <c r="E167" i="13"/>
  <c r="D167" i="13"/>
  <c r="AJ166" i="13"/>
  <c r="AI166" i="13"/>
  <c r="AH166" i="13"/>
  <c r="AG166" i="13"/>
  <c r="AF166" i="13"/>
  <c r="AE166" i="13"/>
  <c r="AD166" i="13"/>
  <c r="AC166" i="13"/>
  <c r="AB166" i="13"/>
  <c r="AA166" i="13"/>
  <c r="Z166" i="13"/>
  <c r="Y166" i="13"/>
  <c r="X166" i="13"/>
  <c r="W166" i="13"/>
  <c r="V166" i="13"/>
  <c r="U166" i="13"/>
  <c r="T166" i="13"/>
  <c r="S166" i="13"/>
  <c r="R166" i="13"/>
  <c r="Q166" i="13"/>
  <c r="P166" i="13"/>
  <c r="O166" i="13"/>
  <c r="N166" i="13"/>
  <c r="M166" i="13"/>
  <c r="L166" i="13"/>
  <c r="K166" i="13"/>
  <c r="J166" i="13"/>
  <c r="I166" i="13"/>
  <c r="H166" i="13"/>
  <c r="G166" i="13"/>
  <c r="F166" i="13"/>
  <c r="E166" i="13"/>
  <c r="D166" i="13"/>
  <c r="AJ165" i="13"/>
  <c r="AI165" i="13"/>
  <c r="AH165" i="13"/>
  <c r="AG165" i="13"/>
  <c r="AF165" i="13"/>
  <c r="AE165" i="13"/>
  <c r="AD165" i="13"/>
  <c r="AC165" i="13"/>
  <c r="AB165" i="13"/>
  <c r="AA165" i="13"/>
  <c r="Z165" i="13"/>
  <c r="Y165" i="13"/>
  <c r="X165" i="13"/>
  <c r="W165" i="13"/>
  <c r="V165" i="13"/>
  <c r="U165" i="13"/>
  <c r="T165" i="13"/>
  <c r="S165" i="13"/>
  <c r="R165" i="13"/>
  <c r="Q165" i="13"/>
  <c r="P165" i="13"/>
  <c r="O165" i="13"/>
  <c r="N165" i="13"/>
  <c r="M165" i="13"/>
  <c r="AN165" i="13" s="1"/>
  <c r="L165" i="13"/>
  <c r="K165" i="13"/>
  <c r="J165" i="13"/>
  <c r="I165" i="13"/>
  <c r="H165" i="13"/>
  <c r="G165" i="13"/>
  <c r="F165" i="13"/>
  <c r="E165" i="13"/>
  <c r="D165" i="13"/>
  <c r="AJ164" i="13"/>
  <c r="AI164" i="13"/>
  <c r="AH164" i="13"/>
  <c r="AG164" i="13"/>
  <c r="AF164" i="13"/>
  <c r="AE164" i="13"/>
  <c r="AD164" i="13"/>
  <c r="AC164" i="13"/>
  <c r="AB164" i="13"/>
  <c r="AA164" i="13"/>
  <c r="Z164" i="13"/>
  <c r="Y164" i="13"/>
  <c r="X164" i="13"/>
  <c r="W164" i="13"/>
  <c r="V164" i="13"/>
  <c r="U164" i="13"/>
  <c r="T164" i="13"/>
  <c r="S164" i="13"/>
  <c r="R164" i="13"/>
  <c r="Q164" i="13"/>
  <c r="P164" i="13"/>
  <c r="O164" i="13"/>
  <c r="N164" i="13"/>
  <c r="M164" i="13"/>
  <c r="L164" i="13"/>
  <c r="K164" i="13"/>
  <c r="J164" i="13"/>
  <c r="I164" i="13"/>
  <c r="H164" i="13"/>
  <c r="G164" i="13"/>
  <c r="F164" i="13"/>
  <c r="E164" i="13"/>
  <c r="D164" i="13"/>
  <c r="AJ163" i="13"/>
  <c r="AI163" i="13"/>
  <c r="AH163" i="13"/>
  <c r="AG163" i="13"/>
  <c r="AF163" i="13"/>
  <c r="AE163" i="13"/>
  <c r="AD163" i="13"/>
  <c r="AC163" i="13"/>
  <c r="AB163" i="13"/>
  <c r="AA163" i="13"/>
  <c r="Z163" i="13"/>
  <c r="Y163" i="13"/>
  <c r="X163" i="13"/>
  <c r="W163" i="13"/>
  <c r="V163" i="13"/>
  <c r="U163" i="13"/>
  <c r="T163" i="13"/>
  <c r="S163" i="13"/>
  <c r="R163" i="13"/>
  <c r="Q163" i="13"/>
  <c r="P163" i="13"/>
  <c r="O163" i="13"/>
  <c r="N163" i="13"/>
  <c r="M163" i="13"/>
  <c r="L163" i="13"/>
  <c r="K163" i="13"/>
  <c r="J163" i="13"/>
  <c r="I163" i="13"/>
  <c r="H163" i="13"/>
  <c r="G163" i="13"/>
  <c r="F163" i="13"/>
  <c r="E163" i="13"/>
  <c r="D163" i="13"/>
  <c r="AJ162" i="13"/>
  <c r="AI162" i="13"/>
  <c r="AH162" i="13"/>
  <c r="AG162" i="13"/>
  <c r="AF162" i="13"/>
  <c r="AE162" i="13"/>
  <c r="AD162" i="13"/>
  <c r="AC162" i="13"/>
  <c r="AB162" i="13"/>
  <c r="AA162" i="13"/>
  <c r="Z162" i="13"/>
  <c r="Y162" i="13"/>
  <c r="X162" i="13"/>
  <c r="W162" i="13"/>
  <c r="V162" i="13"/>
  <c r="U162" i="13"/>
  <c r="T162" i="13"/>
  <c r="S162" i="13"/>
  <c r="R162" i="13"/>
  <c r="Q162" i="13"/>
  <c r="P162" i="13"/>
  <c r="O162" i="13"/>
  <c r="N162" i="13"/>
  <c r="M162" i="13"/>
  <c r="L162" i="13"/>
  <c r="K162" i="13"/>
  <c r="J162" i="13"/>
  <c r="I162" i="13"/>
  <c r="H162" i="13"/>
  <c r="G162" i="13"/>
  <c r="F162" i="13"/>
  <c r="E162" i="13"/>
  <c r="D162" i="13"/>
  <c r="AJ161" i="13"/>
  <c r="AI161" i="13"/>
  <c r="AH161" i="13"/>
  <c r="AG161" i="13"/>
  <c r="AF161" i="13"/>
  <c r="AE161" i="13"/>
  <c r="AD161" i="13"/>
  <c r="AC161" i="13"/>
  <c r="AB161" i="13"/>
  <c r="AA161" i="13"/>
  <c r="Z161" i="13"/>
  <c r="Y161" i="13"/>
  <c r="X161" i="13"/>
  <c r="W161" i="13"/>
  <c r="V161" i="13"/>
  <c r="U161" i="13"/>
  <c r="T161" i="13"/>
  <c r="S161" i="13"/>
  <c r="R161" i="13"/>
  <c r="Q161" i="13"/>
  <c r="P161" i="13"/>
  <c r="O161" i="13"/>
  <c r="N161" i="13"/>
  <c r="M161" i="13"/>
  <c r="L161" i="13"/>
  <c r="K161" i="13"/>
  <c r="J161" i="13"/>
  <c r="I161" i="13"/>
  <c r="H161" i="13"/>
  <c r="G161" i="13"/>
  <c r="F161" i="13"/>
  <c r="E161" i="13"/>
  <c r="D161" i="13"/>
  <c r="AJ160" i="13"/>
  <c r="AI160" i="13"/>
  <c r="AH160" i="13"/>
  <c r="AG160" i="13"/>
  <c r="AF160" i="13"/>
  <c r="AE160" i="13"/>
  <c r="AD160" i="13"/>
  <c r="AC160" i="13"/>
  <c r="AB160" i="13"/>
  <c r="AA160" i="13"/>
  <c r="Z160" i="13"/>
  <c r="Y160" i="13"/>
  <c r="X160" i="13"/>
  <c r="W160" i="13"/>
  <c r="V160" i="13"/>
  <c r="U160" i="13"/>
  <c r="T160" i="13"/>
  <c r="AM160" i="13" s="1"/>
  <c r="S160" i="13"/>
  <c r="R160" i="13"/>
  <c r="Q160" i="13"/>
  <c r="P160" i="13"/>
  <c r="O160" i="13"/>
  <c r="N160" i="13"/>
  <c r="M160" i="13"/>
  <c r="L160" i="13"/>
  <c r="K160" i="13"/>
  <c r="J160" i="13"/>
  <c r="I160" i="13"/>
  <c r="H160" i="13"/>
  <c r="G160" i="13"/>
  <c r="F160" i="13"/>
  <c r="E160" i="13"/>
  <c r="D160" i="13"/>
  <c r="AO160" i="13" s="1"/>
  <c r="AJ159" i="13"/>
  <c r="AI159" i="13"/>
  <c r="AH159" i="13"/>
  <c r="AG159" i="13"/>
  <c r="AF159" i="13"/>
  <c r="AE159" i="13"/>
  <c r="AD159" i="13"/>
  <c r="AC159" i="13"/>
  <c r="AB159" i="13"/>
  <c r="AA159" i="13"/>
  <c r="Z159" i="13"/>
  <c r="Y159" i="13"/>
  <c r="X159" i="13"/>
  <c r="W159" i="13"/>
  <c r="V159" i="13"/>
  <c r="U159" i="13"/>
  <c r="AM159" i="13" s="1"/>
  <c r="T159" i="13"/>
  <c r="S159" i="13"/>
  <c r="R159" i="13"/>
  <c r="Q159" i="13"/>
  <c r="P159" i="13"/>
  <c r="O159" i="13"/>
  <c r="N159" i="13"/>
  <c r="M159" i="13"/>
  <c r="L159" i="13"/>
  <c r="K159" i="13"/>
  <c r="J159" i="13"/>
  <c r="I159" i="13"/>
  <c r="H159" i="13"/>
  <c r="G159" i="13"/>
  <c r="F159" i="13"/>
  <c r="E159" i="13"/>
  <c r="D159" i="13"/>
  <c r="AJ158" i="13"/>
  <c r="AI158" i="13"/>
  <c r="AH158" i="13"/>
  <c r="AG158" i="13"/>
  <c r="AF158" i="13"/>
  <c r="AE158" i="13"/>
  <c r="AD158" i="13"/>
  <c r="AC158" i="13"/>
  <c r="AB158" i="13"/>
  <c r="AA158" i="13"/>
  <c r="Z158" i="13"/>
  <c r="Y158" i="13"/>
  <c r="X158" i="13"/>
  <c r="W158" i="13"/>
  <c r="V158" i="13"/>
  <c r="U158" i="13"/>
  <c r="T158" i="13"/>
  <c r="S158" i="13"/>
  <c r="R158" i="13"/>
  <c r="Q158" i="13"/>
  <c r="P158" i="13"/>
  <c r="O158" i="13"/>
  <c r="N158" i="13"/>
  <c r="M158" i="13"/>
  <c r="L158" i="13"/>
  <c r="K158" i="13"/>
  <c r="J158" i="13"/>
  <c r="I158" i="13"/>
  <c r="H158" i="13"/>
  <c r="G158" i="13"/>
  <c r="F158" i="13"/>
  <c r="E158" i="13"/>
  <c r="D158" i="13"/>
  <c r="AJ157" i="13"/>
  <c r="AI157" i="13"/>
  <c r="AH157" i="13"/>
  <c r="AG157" i="13"/>
  <c r="AF157" i="13"/>
  <c r="AE157" i="13"/>
  <c r="AD157" i="13"/>
  <c r="AC157" i="13"/>
  <c r="AB157" i="13"/>
  <c r="AA157" i="13"/>
  <c r="Z157" i="13"/>
  <c r="Y157" i="13"/>
  <c r="X157" i="13"/>
  <c r="W157" i="13"/>
  <c r="V157" i="13"/>
  <c r="U157" i="13"/>
  <c r="T157" i="13"/>
  <c r="S157" i="13"/>
  <c r="R157" i="13"/>
  <c r="Q157" i="13"/>
  <c r="P157" i="13"/>
  <c r="O157" i="13"/>
  <c r="N157" i="13"/>
  <c r="M157" i="13"/>
  <c r="L157" i="13"/>
  <c r="K157" i="13"/>
  <c r="J157" i="13"/>
  <c r="I157" i="13"/>
  <c r="H157" i="13"/>
  <c r="G157" i="13"/>
  <c r="F157" i="13"/>
  <c r="E157" i="13"/>
  <c r="D157" i="13"/>
  <c r="AJ156" i="13"/>
  <c r="AI156" i="13"/>
  <c r="AH156" i="13"/>
  <c r="AG156" i="13"/>
  <c r="AF156" i="13"/>
  <c r="AE156" i="13"/>
  <c r="AD156" i="13"/>
  <c r="AC156" i="13"/>
  <c r="AB156" i="13"/>
  <c r="AA156" i="13"/>
  <c r="Z156" i="13"/>
  <c r="Y156" i="13"/>
  <c r="X156" i="13"/>
  <c r="W156" i="13"/>
  <c r="V156" i="13"/>
  <c r="U156" i="13"/>
  <c r="T156" i="13"/>
  <c r="S156" i="13"/>
  <c r="R156" i="13"/>
  <c r="Q156" i="13"/>
  <c r="P156" i="13"/>
  <c r="O156" i="13"/>
  <c r="N156" i="13"/>
  <c r="M156" i="13"/>
  <c r="L156" i="13"/>
  <c r="K156" i="13"/>
  <c r="J156" i="13"/>
  <c r="I156" i="13"/>
  <c r="H156" i="13"/>
  <c r="G156" i="13"/>
  <c r="F156" i="13"/>
  <c r="E156" i="13"/>
  <c r="AO156" i="13" s="1"/>
  <c r="D156" i="13"/>
  <c r="AJ155" i="13"/>
  <c r="AI155" i="13"/>
  <c r="AH155" i="13"/>
  <c r="AG155" i="13"/>
  <c r="AF155" i="13"/>
  <c r="AE155" i="13"/>
  <c r="AD155" i="13"/>
  <c r="AC155" i="13"/>
  <c r="AB155" i="13"/>
  <c r="AA155" i="13"/>
  <c r="Z155" i="13"/>
  <c r="Y155" i="13"/>
  <c r="X155" i="13"/>
  <c r="W155" i="13"/>
  <c r="V155" i="13"/>
  <c r="U155" i="13"/>
  <c r="T155" i="13"/>
  <c r="S155" i="13"/>
  <c r="R155" i="13"/>
  <c r="Q155" i="13"/>
  <c r="P155" i="13"/>
  <c r="O155" i="13"/>
  <c r="N155" i="13"/>
  <c r="M155" i="13"/>
  <c r="L155" i="13"/>
  <c r="K155" i="13"/>
  <c r="J155" i="13"/>
  <c r="I155" i="13"/>
  <c r="H155" i="13"/>
  <c r="G155" i="13"/>
  <c r="F155" i="13"/>
  <c r="E155" i="13"/>
  <c r="D155" i="13"/>
  <c r="AJ154" i="13"/>
  <c r="AI154" i="13"/>
  <c r="AH154" i="13"/>
  <c r="AG154" i="13"/>
  <c r="AF154" i="13"/>
  <c r="AE154" i="13"/>
  <c r="AD154" i="13"/>
  <c r="AC154" i="13"/>
  <c r="AB154" i="13"/>
  <c r="AA154" i="13"/>
  <c r="Z154" i="13"/>
  <c r="Y154" i="13"/>
  <c r="X154" i="13"/>
  <c r="W154" i="13"/>
  <c r="V154" i="13"/>
  <c r="U154" i="13"/>
  <c r="T154" i="13"/>
  <c r="S154" i="13"/>
  <c r="R154" i="13"/>
  <c r="Q154" i="13"/>
  <c r="P154" i="13"/>
  <c r="O154" i="13"/>
  <c r="N154" i="13"/>
  <c r="M154" i="13"/>
  <c r="L154" i="13"/>
  <c r="AN154" i="13" s="1"/>
  <c r="K154" i="13"/>
  <c r="J154" i="13"/>
  <c r="I154" i="13"/>
  <c r="H154" i="13"/>
  <c r="G154" i="13"/>
  <c r="F154" i="13"/>
  <c r="E154" i="13"/>
  <c r="D154" i="13"/>
  <c r="AO154" i="13" s="1"/>
  <c r="AJ153" i="13"/>
  <c r="AI153" i="13"/>
  <c r="AH153" i="13"/>
  <c r="AG153" i="13"/>
  <c r="AF153" i="13"/>
  <c r="AE153" i="13"/>
  <c r="AD153" i="13"/>
  <c r="AC153" i="13"/>
  <c r="AB153" i="13"/>
  <c r="AA153" i="13"/>
  <c r="Z153" i="13"/>
  <c r="Y153" i="13"/>
  <c r="X153" i="13"/>
  <c r="W153" i="13"/>
  <c r="V153" i="13"/>
  <c r="U153" i="13"/>
  <c r="T153" i="13"/>
  <c r="S153" i="13"/>
  <c r="R153" i="13"/>
  <c r="Q153" i="13"/>
  <c r="P153" i="13"/>
  <c r="O153" i="13"/>
  <c r="N153" i="13"/>
  <c r="M153" i="13"/>
  <c r="AN153" i="13" s="1"/>
  <c r="L153" i="13"/>
  <c r="K153" i="13"/>
  <c r="J153" i="13"/>
  <c r="I153" i="13"/>
  <c r="H153" i="13"/>
  <c r="G153" i="13"/>
  <c r="F153" i="13"/>
  <c r="E153" i="13"/>
  <c r="D153" i="13"/>
  <c r="AJ152" i="13"/>
  <c r="AI152" i="13"/>
  <c r="AH152" i="13"/>
  <c r="AG152" i="13"/>
  <c r="AF152" i="13"/>
  <c r="AE152" i="13"/>
  <c r="AD152" i="13"/>
  <c r="AC152" i="13"/>
  <c r="AB152" i="13"/>
  <c r="AA152" i="13"/>
  <c r="Z152" i="13"/>
  <c r="Y152" i="13"/>
  <c r="X152" i="13"/>
  <c r="W152" i="13"/>
  <c r="V152" i="13"/>
  <c r="U152" i="13"/>
  <c r="T152" i="13"/>
  <c r="S152" i="13"/>
  <c r="R152" i="13"/>
  <c r="Q152" i="13"/>
  <c r="P152" i="13"/>
  <c r="O152" i="13"/>
  <c r="N152" i="13"/>
  <c r="M152" i="13"/>
  <c r="L152" i="13"/>
  <c r="K152" i="13"/>
  <c r="J152" i="13"/>
  <c r="I152" i="13"/>
  <c r="H152" i="13"/>
  <c r="G152" i="13"/>
  <c r="F152" i="13"/>
  <c r="AO152" i="13" s="1"/>
  <c r="E152" i="13"/>
  <c r="D152" i="13"/>
  <c r="AJ151" i="13"/>
  <c r="AI151" i="13"/>
  <c r="AH151" i="13"/>
  <c r="AG151" i="13"/>
  <c r="AF151" i="13"/>
  <c r="AE151" i="13"/>
  <c r="AD151" i="13"/>
  <c r="AC151" i="13"/>
  <c r="AB151" i="13"/>
  <c r="AA151" i="13"/>
  <c r="Z151" i="13"/>
  <c r="Y151" i="13"/>
  <c r="X151" i="13"/>
  <c r="W151" i="13"/>
  <c r="V151" i="13"/>
  <c r="U151" i="13"/>
  <c r="T151" i="13"/>
  <c r="S151" i="13"/>
  <c r="R151" i="13"/>
  <c r="Q151" i="13"/>
  <c r="P151" i="13"/>
  <c r="O151" i="13"/>
  <c r="N151" i="13"/>
  <c r="M151" i="13"/>
  <c r="L151" i="13"/>
  <c r="K151" i="13"/>
  <c r="J151" i="13"/>
  <c r="I151" i="13"/>
  <c r="H151" i="13"/>
  <c r="G151" i="13"/>
  <c r="F151" i="13"/>
  <c r="E151" i="13"/>
  <c r="D151" i="13"/>
  <c r="AJ150" i="13"/>
  <c r="AI150" i="13"/>
  <c r="AH150" i="13"/>
  <c r="AG150" i="13"/>
  <c r="AF150" i="13"/>
  <c r="AE150" i="13"/>
  <c r="AD150" i="13"/>
  <c r="AC150" i="13"/>
  <c r="AB150" i="13"/>
  <c r="AA150" i="13"/>
  <c r="Z150" i="13"/>
  <c r="Y150" i="13"/>
  <c r="X150" i="13"/>
  <c r="W150" i="13"/>
  <c r="V150" i="13"/>
  <c r="U150" i="13"/>
  <c r="T150" i="13"/>
  <c r="S150" i="13"/>
  <c r="R150" i="13"/>
  <c r="Q150" i="13"/>
  <c r="P150" i="13"/>
  <c r="O150" i="13"/>
  <c r="N150" i="13"/>
  <c r="M150" i="13"/>
  <c r="L150" i="13"/>
  <c r="K150" i="13"/>
  <c r="J150" i="13"/>
  <c r="I150" i="13"/>
  <c r="H150" i="13"/>
  <c r="G150" i="13"/>
  <c r="F150" i="13"/>
  <c r="E150" i="13"/>
  <c r="D150" i="13"/>
  <c r="AJ149" i="13"/>
  <c r="AI149" i="13"/>
  <c r="AH149" i="13"/>
  <c r="AG149" i="13"/>
  <c r="AF149" i="13"/>
  <c r="AE149" i="13"/>
  <c r="AD149" i="13"/>
  <c r="AC149" i="13"/>
  <c r="AL149" i="13" s="1"/>
  <c r="AB149" i="13"/>
  <c r="AA149" i="13"/>
  <c r="Z149" i="13"/>
  <c r="Y149" i="13"/>
  <c r="X149" i="13"/>
  <c r="W149" i="13"/>
  <c r="V149" i="13"/>
  <c r="U149" i="13"/>
  <c r="T149" i="13"/>
  <c r="S149" i="13"/>
  <c r="R149" i="13"/>
  <c r="Q149" i="13"/>
  <c r="P149" i="13"/>
  <c r="O149" i="13"/>
  <c r="N149" i="13"/>
  <c r="M149" i="13"/>
  <c r="L149" i="13"/>
  <c r="K149" i="13"/>
  <c r="J149" i="13"/>
  <c r="I149" i="13"/>
  <c r="H149" i="13"/>
  <c r="G149" i="13"/>
  <c r="F149" i="13"/>
  <c r="E149" i="13"/>
  <c r="D149" i="13"/>
  <c r="AJ148" i="13"/>
  <c r="AI148" i="13"/>
  <c r="AH148" i="13"/>
  <c r="AG148" i="13"/>
  <c r="AF148" i="13"/>
  <c r="AE148" i="13"/>
  <c r="AD148" i="13"/>
  <c r="AC148" i="13"/>
  <c r="AB148" i="13"/>
  <c r="AA148" i="13"/>
  <c r="Z148" i="13"/>
  <c r="Y148" i="13"/>
  <c r="X148" i="13"/>
  <c r="W148" i="13"/>
  <c r="V148" i="13"/>
  <c r="U148" i="13"/>
  <c r="T148" i="13"/>
  <c r="S148" i="13"/>
  <c r="R148" i="13"/>
  <c r="Q148" i="13"/>
  <c r="P148" i="13"/>
  <c r="O148" i="13"/>
  <c r="N148" i="13"/>
  <c r="M148" i="13"/>
  <c r="AN148" i="13" s="1"/>
  <c r="L148" i="13"/>
  <c r="K148" i="13"/>
  <c r="J148" i="13"/>
  <c r="I148" i="13"/>
  <c r="H148" i="13"/>
  <c r="G148" i="13"/>
  <c r="F148" i="13"/>
  <c r="E148" i="13"/>
  <c r="D148" i="13"/>
  <c r="AJ147" i="13"/>
  <c r="AI147" i="13"/>
  <c r="AH147" i="13"/>
  <c r="AG147" i="13"/>
  <c r="AF147" i="13"/>
  <c r="AE147" i="13"/>
  <c r="AD147" i="13"/>
  <c r="AC147" i="13"/>
  <c r="AB147" i="13"/>
  <c r="AA147" i="13"/>
  <c r="Z147" i="13"/>
  <c r="Y147" i="13"/>
  <c r="X147" i="13"/>
  <c r="W147" i="13"/>
  <c r="V147" i="13"/>
  <c r="U147" i="13"/>
  <c r="T147" i="13"/>
  <c r="S147" i="13"/>
  <c r="R147" i="13"/>
  <c r="Q147" i="13"/>
  <c r="P147" i="13"/>
  <c r="O147" i="13"/>
  <c r="N147" i="13"/>
  <c r="M147" i="13"/>
  <c r="L147" i="13"/>
  <c r="K147" i="13"/>
  <c r="J147" i="13"/>
  <c r="I147" i="13"/>
  <c r="H147" i="13"/>
  <c r="G147" i="13"/>
  <c r="F147" i="13"/>
  <c r="E147" i="13"/>
  <c r="D147" i="13"/>
  <c r="AJ146" i="13"/>
  <c r="AI146" i="13"/>
  <c r="AH146" i="13"/>
  <c r="AG146" i="13"/>
  <c r="AF146" i="13"/>
  <c r="AE146" i="13"/>
  <c r="AD146" i="13"/>
  <c r="AC146" i="13"/>
  <c r="AB146" i="13"/>
  <c r="AA146" i="13"/>
  <c r="Z146" i="13"/>
  <c r="Y146" i="13"/>
  <c r="X146" i="13"/>
  <c r="W146" i="13"/>
  <c r="V146" i="13"/>
  <c r="U146" i="13"/>
  <c r="T146" i="13"/>
  <c r="S146" i="13"/>
  <c r="R146" i="13"/>
  <c r="Q146" i="13"/>
  <c r="P146" i="13"/>
  <c r="O146" i="13"/>
  <c r="N146" i="13"/>
  <c r="M146" i="13"/>
  <c r="L146" i="13"/>
  <c r="K146" i="13"/>
  <c r="J146" i="13"/>
  <c r="I146" i="13"/>
  <c r="H146" i="13"/>
  <c r="G146" i="13"/>
  <c r="F146" i="13"/>
  <c r="E146" i="13"/>
  <c r="D146" i="13"/>
  <c r="AJ145" i="13"/>
  <c r="AI145" i="13"/>
  <c r="AH145" i="13"/>
  <c r="AG145" i="13"/>
  <c r="AF145" i="13"/>
  <c r="AE145" i="13"/>
  <c r="AD145" i="13"/>
  <c r="AC145" i="13"/>
  <c r="AL145" i="13" s="1"/>
  <c r="AB145" i="13"/>
  <c r="AA145" i="13"/>
  <c r="Z145" i="13"/>
  <c r="Y145" i="13"/>
  <c r="X145" i="13"/>
  <c r="W145" i="13"/>
  <c r="V145" i="13"/>
  <c r="U145" i="13"/>
  <c r="T145" i="13"/>
  <c r="S145" i="13"/>
  <c r="R145" i="13"/>
  <c r="Q145" i="13"/>
  <c r="P145" i="13"/>
  <c r="O145" i="13"/>
  <c r="N145" i="13"/>
  <c r="AN145" i="13" s="1"/>
  <c r="M145" i="13"/>
  <c r="L145" i="13"/>
  <c r="K145" i="13"/>
  <c r="J145" i="13"/>
  <c r="I145" i="13"/>
  <c r="H145" i="13"/>
  <c r="G145" i="13"/>
  <c r="F145" i="13"/>
  <c r="E145" i="13"/>
  <c r="D145" i="13"/>
  <c r="C145" i="13"/>
  <c r="AJ144" i="13"/>
  <c r="AI144" i="13"/>
  <c r="AH144" i="13"/>
  <c r="AG144" i="13"/>
  <c r="AF144" i="13"/>
  <c r="AE144" i="13"/>
  <c r="AD144" i="13"/>
  <c r="AC144" i="13"/>
  <c r="AB144" i="13"/>
  <c r="AA144" i="13"/>
  <c r="Z144" i="13"/>
  <c r="Y144" i="13"/>
  <c r="X144" i="13"/>
  <c r="W144" i="13"/>
  <c r="V144" i="13"/>
  <c r="U144" i="13"/>
  <c r="T144" i="13"/>
  <c r="S144" i="13"/>
  <c r="R144" i="13"/>
  <c r="Q144" i="13"/>
  <c r="P144" i="13"/>
  <c r="O144" i="13"/>
  <c r="N144" i="13"/>
  <c r="M144" i="13"/>
  <c r="L144" i="13"/>
  <c r="K144" i="13"/>
  <c r="J144" i="13"/>
  <c r="I144" i="13"/>
  <c r="H144" i="13"/>
  <c r="G144" i="13"/>
  <c r="F144" i="13"/>
  <c r="E144" i="13"/>
  <c r="D144" i="13"/>
  <c r="AO144" i="13" s="1"/>
  <c r="AJ143" i="13"/>
  <c r="AI143" i="13"/>
  <c r="AH143" i="13"/>
  <c r="AG143" i="13"/>
  <c r="AF143" i="13"/>
  <c r="AE143" i="13"/>
  <c r="AD143" i="13"/>
  <c r="AC143" i="13"/>
  <c r="AB143" i="13"/>
  <c r="AA143" i="13"/>
  <c r="Z143" i="13"/>
  <c r="Y143" i="13"/>
  <c r="X143" i="13"/>
  <c r="W143" i="13"/>
  <c r="V143" i="13"/>
  <c r="U143" i="13"/>
  <c r="T143" i="13"/>
  <c r="S143" i="13"/>
  <c r="R143" i="13"/>
  <c r="Q143" i="13"/>
  <c r="P143" i="13"/>
  <c r="O143" i="13"/>
  <c r="N143" i="13"/>
  <c r="M143" i="13"/>
  <c r="L143" i="13"/>
  <c r="K143" i="13"/>
  <c r="J143" i="13"/>
  <c r="I143" i="13"/>
  <c r="H143" i="13"/>
  <c r="G143" i="13"/>
  <c r="F143" i="13"/>
  <c r="E143" i="13"/>
  <c r="D143" i="13"/>
  <c r="AJ142" i="13"/>
  <c r="AI142" i="13"/>
  <c r="AH142" i="13"/>
  <c r="AG142" i="13"/>
  <c r="AF142" i="13"/>
  <c r="AE142" i="13"/>
  <c r="AD142" i="13"/>
  <c r="AC142" i="13"/>
  <c r="AB142" i="13"/>
  <c r="AA142" i="13"/>
  <c r="Z142" i="13"/>
  <c r="Y142" i="13"/>
  <c r="X142" i="13"/>
  <c r="W142" i="13"/>
  <c r="V142" i="13"/>
  <c r="U142" i="13"/>
  <c r="T142" i="13"/>
  <c r="S142" i="13"/>
  <c r="R142" i="13"/>
  <c r="Q142" i="13"/>
  <c r="P142" i="13"/>
  <c r="O142" i="13"/>
  <c r="N142" i="13"/>
  <c r="M142" i="13"/>
  <c r="L142" i="13"/>
  <c r="K142" i="13"/>
  <c r="J142" i="13"/>
  <c r="I142" i="13"/>
  <c r="H142" i="13"/>
  <c r="G142" i="13"/>
  <c r="F142" i="13"/>
  <c r="E142" i="13"/>
  <c r="D142" i="13"/>
  <c r="AJ141" i="13"/>
  <c r="AI141" i="13"/>
  <c r="AH141" i="13"/>
  <c r="AG141" i="13"/>
  <c r="AF141" i="13"/>
  <c r="AE141" i="13"/>
  <c r="AD141" i="13"/>
  <c r="AC141" i="13"/>
  <c r="AL141" i="13" s="1"/>
  <c r="AB141" i="13"/>
  <c r="AA141" i="13"/>
  <c r="Z141" i="13"/>
  <c r="Y141" i="13"/>
  <c r="X141" i="13"/>
  <c r="W141" i="13"/>
  <c r="V141" i="13"/>
  <c r="U141" i="13"/>
  <c r="T141" i="13"/>
  <c r="S141" i="13"/>
  <c r="R141" i="13"/>
  <c r="Q141" i="13"/>
  <c r="P141" i="13"/>
  <c r="O141" i="13"/>
  <c r="N141" i="13"/>
  <c r="M141" i="13"/>
  <c r="L141" i="13"/>
  <c r="K141" i="13"/>
  <c r="J141" i="13"/>
  <c r="I141" i="13"/>
  <c r="H141" i="13"/>
  <c r="G141" i="13"/>
  <c r="F141" i="13"/>
  <c r="E141" i="13"/>
  <c r="D141" i="13"/>
  <c r="AJ140" i="13"/>
  <c r="AI140" i="13"/>
  <c r="AH140" i="13"/>
  <c r="AG140" i="13"/>
  <c r="AF140" i="13"/>
  <c r="AE140" i="13"/>
  <c r="AD140" i="13"/>
  <c r="AC140" i="13"/>
  <c r="AB140" i="13"/>
  <c r="AA140" i="13"/>
  <c r="Z140" i="13"/>
  <c r="Y140" i="13"/>
  <c r="X140" i="13"/>
  <c r="W140" i="13"/>
  <c r="V140" i="13"/>
  <c r="U140" i="13"/>
  <c r="T140" i="13"/>
  <c r="S140" i="13"/>
  <c r="R140" i="13"/>
  <c r="Q140" i="13"/>
  <c r="P140" i="13"/>
  <c r="O140" i="13"/>
  <c r="N140" i="13"/>
  <c r="M140" i="13"/>
  <c r="AN140" i="13" s="1"/>
  <c r="L140" i="13"/>
  <c r="K140" i="13"/>
  <c r="J140" i="13"/>
  <c r="I140" i="13"/>
  <c r="H140" i="13"/>
  <c r="G140" i="13"/>
  <c r="F140" i="13"/>
  <c r="E140" i="13"/>
  <c r="D140" i="13"/>
  <c r="AJ139" i="13"/>
  <c r="AI139" i="13"/>
  <c r="AH139" i="13"/>
  <c r="AG139" i="13"/>
  <c r="AF139" i="13"/>
  <c r="AE139" i="13"/>
  <c r="AD139" i="13"/>
  <c r="AC139" i="13"/>
  <c r="AB139" i="13"/>
  <c r="AA139" i="13"/>
  <c r="Z139" i="13"/>
  <c r="Y139" i="13"/>
  <c r="X139" i="13"/>
  <c r="W139" i="13"/>
  <c r="V139" i="13"/>
  <c r="U139" i="13"/>
  <c r="T139" i="13"/>
  <c r="S139" i="13"/>
  <c r="R139" i="13"/>
  <c r="Q139" i="13"/>
  <c r="P139" i="13"/>
  <c r="O139" i="13"/>
  <c r="N139" i="13"/>
  <c r="M139" i="13"/>
  <c r="L139" i="13"/>
  <c r="K139" i="13"/>
  <c r="J139" i="13"/>
  <c r="I139" i="13"/>
  <c r="H139" i="13"/>
  <c r="G139" i="13"/>
  <c r="F139" i="13"/>
  <c r="E139" i="13"/>
  <c r="D139" i="13"/>
  <c r="AJ138" i="13"/>
  <c r="AI138" i="13"/>
  <c r="AH138" i="13"/>
  <c r="AG138" i="13"/>
  <c r="AF138" i="13"/>
  <c r="AE138" i="13"/>
  <c r="AD138" i="13"/>
  <c r="AC138" i="13"/>
  <c r="AB138" i="13"/>
  <c r="AA138" i="13"/>
  <c r="Z138" i="13"/>
  <c r="Y138" i="13"/>
  <c r="X138" i="13"/>
  <c r="W138" i="13"/>
  <c r="V138" i="13"/>
  <c r="U138" i="13"/>
  <c r="T138" i="13"/>
  <c r="S138" i="13"/>
  <c r="R138" i="13"/>
  <c r="Q138" i="13"/>
  <c r="P138" i="13"/>
  <c r="O138" i="13"/>
  <c r="N138" i="13"/>
  <c r="M138" i="13"/>
  <c r="L138" i="13"/>
  <c r="K138" i="13"/>
  <c r="J138" i="13"/>
  <c r="I138" i="13"/>
  <c r="H138" i="13"/>
  <c r="G138" i="13"/>
  <c r="F138" i="13"/>
  <c r="E138" i="13"/>
  <c r="D138" i="13"/>
  <c r="AJ137" i="13"/>
  <c r="AI137" i="13"/>
  <c r="AH137" i="13"/>
  <c r="AG137" i="13"/>
  <c r="AF137" i="13"/>
  <c r="AE137" i="13"/>
  <c r="AD137" i="13"/>
  <c r="AC137" i="13"/>
  <c r="AL137" i="13" s="1"/>
  <c r="AB137" i="13"/>
  <c r="AA137" i="13"/>
  <c r="Z137" i="13"/>
  <c r="Y137" i="13"/>
  <c r="X137" i="13"/>
  <c r="W137" i="13"/>
  <c r="V137" i="13"/>
  <c r="U137" i="13"/>
  <c r="T137" i="13"/>
  <c r="S137" i="13"/>
  <c r="R137" i="13"/>
  <c r="Q137" i="13"/>
  <c r="P137" i="13"/>
  <c r="O137" i="13"/>
  <c r="N137" i="13"/>
  <c r="M137" i="13"/>
  <c r="L137" i="13"/>
  <c r="AN137" i="13" s="1"/>
  <c r="K137" i="13"/>
  <c r="J137" i="13"/>
  <c r="I137" i="13"/>
  <c r="H137" i="13"/>
  <c r="G137" i="13"/>
  <c r="F137" i="13"/>
  <c r="E137" i="13"/>
  <c r="D137" i="13"/>
  <c r="AJ136" i="13"/>
  <c r="AI136" i="13"/>
  <c r="AH136" i="13"/>
  <c r="AG136" i="13"/>
  <c r="AF136" i="13"/>
  <c r="AE136" i="13"/>
  <c r="AD136" i="13"/>
  <c r="AC136" i="13"/>
  <c r="AB136" i="13"/>
  <c r="AA136" i="13"/>
  <c r="Z136" i="13"/>
  <c r="Y136" i="13"/>
  <c r="X136" i="13"/>
  <c r="W136" i="13"/>
  <c r="V136" i="13"/>
  <c r="U136" i="13"/>
  <c r="T136" i="13"/>
  <c r="S136" i="13"/>
  <c r="R136" i="13"/>
  <c r="Q136" i="13"/>
  <c r="P136" i="13"/>
  <c r="O136" i="13"/>
  <c r="N136" i="13"/>
  <c r="M136" i="13"/>
  <c r="L136" i="13"/>
  <c r="K136" i="13"/>
  <c r="J136" i="13"/>
  <c r="I136" i="13"/>
  <c r="H136" i="13"/>
  <c r="G136" i="13"/>
  <c r="F136" i="13"/>
  <c r="E136" i="13"/>
  <c r="AO136" i="13" s="1"/>
  <c r="D136" i="13"/>
  <c r="AJ134" i="13"/>
  <c r="AI134" i="13"/>
  <c r="AH134" i="13"/>
  <c r="AG134" i="13"/>
  <c r="AF134" i="13"/>
  <c r="AE134" i="13"/>
  <c r="AD134" i="13"/>
  <c r="AC134" i="13"/>
  <c r="AB134" i="13"/>
  <c r="AA134" i="13"/>
  <c r="Z134" i="13"/>
  <c r="Y134" i="13"/>
  <c r="X134" i="13"/>
  <c r="W134" i="13"/>
  <c r="V134" i="13"/>
  <c r="U134" i="13"/>
  <c r="T134" i="13"/>
  <c r="S134" i="13"/>
  <c r="R134" i="13"/>
  <c r="Q134" i="13"/>
  <c r="P134" i="13"/>
  <c r="O134" i="13"/>
  <c r="N134" i="13"/>
  <c r="M134" i="13"/>
  <c r="L134" i="13"/>
  <c r="K134" i="13"/>
  <c r="J134" i="13"/>
  <c r="I134" i="13"/>
  <c r="H134" i="13"/>
  <c r="G134" i="13"/>
  <c r="F134" i="13"/>
  <c r="E134" i="13"/>
  <c r="D134" i="13"/>
  <c r="AJ133" i="13"/>
  <c r="AI133" i="13"/>
  <c r="AH133" i="13"/>
  <c r="AG133" i="13"/>
  <c r="AF133" i="13"/>
  <c r="AE133" i="13"/>
  <c r="AD133" i="13"/>
  <c r="AC133" i="13"/>
  <c r="AB133" i="13"/>
  <c r="AA133" i="13"/>
  <c r="Z133" i="13"/>
  <c r="Y133" i="13"/>
  <c r="X133" i="13"/>
  <c r="W133" i="13"/>
  <c r="V133" i="13"/>
  <c r="U133" i="13"/>
  <c r="T133" i="13"/>
  <c r="S133" i="13"/>
  <c r="R133" i="13"/>
  <c r="Q133" i="13"/>
  <c r="P133" i="13"/>
  <c r="O133" i="13"/>
  <c r="N133" i="13"/>
  <c r="M133" i="13"/>
  <c r="L133" i="13"/>
  <c r="K133" i="13"/>
  <c r="J133" i="13"/>
  <c r="I133" i="13"/>
  <c r="H133" i="13"/>
  <c r="G133" i="13"/>
  <c r="F133" i="13"/>
  <c r="E133" i="13"/>
  <c r="D133" i="13"/>
  <c r="AJ132" i="13"/>
  <c r="AI132" i="13"/>
  <c r="AH132" i="13"/>
  <c r="AG132" i="13"/>
  <c r="AF132" i="13"/>
  <c r="AE132" i="13"/>
  <c r="AD132" i="13"/>
  <c r="AC132" i="13"/>
  <c r="AB132" i="13"/>
  <c r="AA132" i="13"/>
  <c r="Z132" i="13"/>
  <c r="AM132" i="13" s="1"/>
  <c r="Y132" i="13"/>
  <c r="X132" i="13"/>
  <c r="W132" i="13"/>
  <c r="V132" i="13"/>
  <c r="U132" i="13"/>
  <c r="T132" i="13"/>
  <c r="S132" i="13"/>
  <c r="R132" i="13"/>
  <c r="Q132" i="13"/>
  <c r="P132" i="13"/>
  <c r="O132" i="13"/>
  <c r="N132" i="13"/>
  <c r="M132" i="13"/>
  <c r="L132" i="13"/>
  <c r="K132" i="13"/>
  <c r="J132" i="13"/>
  <c r="I132" i="13"/>
  <c r="H132" i="13"/>
  <c r="G132" i="13"/>
  <c r="F132" i="13"/>
  <c r="E132" i="13"/>
  <c r="D132" i="13"/>
  <c r="AJ131" i="13"/>
  <c r="AI131" i="13"/>
  <c r="AH131" i="13"/>
  <c r="AG131" i="13"/>
  <c r="AF131" i="13"/>
  <c r="AE131" i="13"/>
  <c r="AD131" i="13"/>
  <c r="AC131" i="13"/>
  <c r="AB131" i="13"/>
  <c r="AA131" i="13"/>
  <c r="Z131" i="13"/>
  <c r="Y131" i="13"/>
  <c r="X131" i="13"/>
  <c r="W131" i="13"/>
  <c r="V131" i="13"/>
  <c r="U131" i="13"/>
  <c r="T131" i="13"/>
  <c r="S131" i="13"/>
  <c r="R131" i="13"/>
  <c r="Q131" i="13"/>
  <c r="P131" i="13"/>
  <c r="O131" i="13"/>
  <c r="N131" i="13"/>
  <c r="M131" i="13"/>
  <c r="L131" i="13"/>
  <c r="K131" i="13"/>
  <c r="J131" i="13"/>
  <c r="I131" i="13"/>
  <c r="H131" i="13"/>
  <c r="G131" i="13"/>
  <c r="F131" i="13"/>
  <c r="E131" i="13"/>
  <c r="AO131" i="13" s="1"/>
  <c r="D131" i="13"/>
  <c r="AJ130" i="13"/>
  <c r="AI130" i="13"/>
  <c r="AH130" i="13"/>
  <c r="AG130" i="13"/>
  <c r="AF130" i="13"/>
  <c r="AE130" i="13"/>
  <c r="AD130" i="13"/>
  <c r="AC130" i="13"/>
  <c r="AB130" i="13"/>
  <c r="AA130" i="13"/>
  <c r="Z130" i="13"/>
  <c r="Y130" i="13"/>
  <c r="X130" i="13"/>
  <c r="W130" i="13"/>
  <c r="V130" i="13"/>
  <c r="U130" i="13"/>
  <c r="T130" i="13"/>
  <c r="S130" i="13"/>
  <c r="R130" i="13"/>
  <c r="Q130" i="13"/>
  <c r="P130" i="13"/>
  <c r="O130" i="13"/>
  <c r="N130" i="13"/>
  <c r="M130" i="13"/>
  <c r="L130" i="13"/>
  <c r="K130" i="13"/>
  <c r="J130" i="13"/>
  <c r="I130" i="13"/>
  <c r="H130" i="13"/>
  <c r="G130" i="13"/>
  <c r="F130" i="13"/>
  <c r="E130" i="13"/>
  <c r="D130" i="13"/>
  <c r="AJ129" i="13"/>
  <c r="AI129" i="13"/>
  <c r="AH129" i="13"/>
  <c r="AG129" i="13"/>
  <c r="AF129" i="13"/>
  <c r="AE129" i="13"/>
  <c r="AD129" i="13"/>
  <c r="AC129" i="13"/>
  <c r="AB129" i="13"/>
  <c r="AA129" i="13"/>
  <c r="Z129" i="13"/>
  <c r="Y129" i="13"/>
  <c r="X129" i="13"/>
  <c r="W129" i="13"/>
  <c r="V129" i="13"/>
  <c r="U129" i="13"/>
  <c r="T129" i="13"/>
  <c r="S129" i="13"/>
  <c r="R129" i="13"/>
  <c r="Q129" i="13"/>
  <c r="P129" i="13"/>
  <c r="O129" i="13"/>
  <c r="N129" i="13"/>
  <c r="M129" i="13"/>
  <c r="L129" i="13"/>
  <c r="K129" i="13"/>
  <c r="J129" i="13"/>
  <c r="I129" i="13"/>
  <c r="H129" i="13"/>
  <c r="G129" i="13"/>
  <c r="F129" i="13"/>
  <c r="E129" i="13"/>
  <c r="D129" i="13"/>
  <c r="AJ128" i="13"/>
  <c r="AI128" i="13"/>
  <c r="AH128" i="13"/>
  <c r="AG128" i="13"/>
  <c r="AF128" i="13"/>
  <c r="AE128" i="13"/>
  <c r="AD128" i="13"/>
  <c r="AC128" i="13"/>
  <c r="AB128" i="13"/>
  <c r="AA128" i="13"/>
  <c r="Z128" i="13"/>
  <c r="Y128" i="13"/>
  <c r="X128" i="13"/>
  <c r="W128" i="13"/>
  <c r="V128" i="13"/>
  <c r="U128" i="13"/>
  <c r="AM128" i="13" s="1"/>
  <c r="T128" i="13"/>
  <c r="S128" i="13"/>
  <c r="R128" i="13"/>
  <c r="Q128" i="13"/>
  <c r="P128" i="13"/>
  <c r="O128" i="13"/>
  <c r="N128" i="13"/>
  <c r="M128" i="13"/>
  <c r="L128" i="13"/>
  <c r="K128" i="13"/>
  <c r="J128" i="13"/>
  <c r="I128" i="13"/>
  <c r="H128" i="13"/>
  <c r="G128" i="13"/>
  <c r="F128" i="13"/>
  <c r="E128" i="13"/>
  <c r="D128" i="13"/>
  <c r="AO128" i="13" s="1"/>
  <c r="AJ127" i="13"/>
  <c r="AI127" i="13"/>
  <c r="AH127" i="13"/>
  <c r="AG127" i="13"/>
  <c r="AF127" i="13"/>
  <c r="AE127" i="13"/>
  <c r="AD127" i="13"/>
  <c r="AC127" i="13"/>
  <c r="AB127" i="13"/>
  <c r="AA127" i="13"/>
  <c r="Z127" i="13"/>
  <c r="Y127" i="13"/>
  <c r="X127" i="13"/>
  <c r="W127" i="13"/>
  <c r="V127" i="13"/>
  <c r="U127" i="13"/>
  <c r="T127" i="13"/>
  <c r="S127" i="13"/>
  <c r="R127" i="13"/>
  <c r="Q127" i="13"/>
  <c r="P127" i="13"/>
  <c r="O127" i="13"/>
  <c r="N127" i="13"/>
  <c r="M127" i="13"/>
  <c r="L127" i="13"/>
  <c r="K127" i="13"/>
  <c r="J127" i="13"/>
  <c r="I127" i="13"/>
  <c r="H127" i="13"/>
  <c r="G127" i="13"/>
  <c r="F127" i="13"/>
  <c r="E127" i="13"/>
  <c r="D127" i="13"/>
  <c r="AO127" i="13" s="1"/>
  <c r="AJ126" i="13"/>
  <c r="AI126" i="13"/>
  <c r="AH126" i="13"/>
  <c r="AG126" i="13"/>
  <c r="AF126" i="13"/>
  <c r="AE126" i="13"/>
  <c r="AD126" i="13"/>
  <c r="AC126" i="13"/>
  <c r="AB126" i="13"/>
  <c r="AA126" i="13"/>
  <c r="Z126" i="13"/>
  <c r="Y126" i="13"/>
  <c r="X126" i="13"/>
  <c r="W126" i="13"/>
  <c r="V126" i="13"/>
  <c r="U126" i="13"/>
  <c r="T126" i="13"/>
  <c r="S126" i="13"/>
  <c r="R126" i="13"/>
  <c r="Q126" i="13"/>
  <c r="P126" i="13"/>
  <c r="O126" i="13"/>
  <c r="N126" i="13"/>
  <c r="M126" i="13"/>
  <c r="AN126" i="13" s="1"/>
  <c r="L126" i="13"/>
  <c r="K126" i="13"/>
  <c r="J126" i="13"/>
  <c r="I126" i="13"/>
  <c r="H126" i="13"/>
  <c r="G126" i="13"/>
  <c r="F126" i="13"/>
  <c r="E126" i="13"/>
  <c r="D126" i="13"/>
  <c r="AJ125" i="13"/>
  <c r="AI125" i="13"/>
  <c r="AH125" i="13"/>
  <c r="AG125" i="13"/>
  <c r="AF125" i="13"/>
  <c r="AE125" i="13"/>
  <c r="AD125" i="13"/>
  <c r="AL125" i="13" s="1"/>
  <c r="AC125" i="13"/>
  <c r="AB125" i="13"/>
  <c r="AA125" i="13"/>
  <c r="Z125" i="13"/>
  <c r="Y125" i="13"/>
  <c r="X125" i="13"/>
  <c r="W125" i="13"/>
  <c r="V125" i="13"/>
  <c r="U125" i="13"/>
  <c r="T125" i="13"/>
  <c r="S125" i="13"/>
  <c r="R125" i="13"/>
  <c r="Q125" i="13"/>
  <c r="P125" i="13"/>
  <c r="O125" i="13"/>
  <c r="N125" i="13"/>
  <c r="M125" i="13"/>
  <c r="L125" i="13"/>
  <c r="K125" i="13"/>
  <c r="J125" i="13"/>
  <c r="I125" i="13"/>
  <c r="H125" i="13"/>
  <c r="G125" i="13"/>
  <c r="F125" i="13"/>
  <c r="E125" i="13"/>
  <c r="D125" i="13"/>
  <c r="AJ124" i="13"/>
  <c r="AI124" i="13"/>
  <c r="AH124" i="13"/>
  <c r="AG124" i="13"/>
  <c r="AF124" i="13"/>
  <c r="AE124" i="13"/>
  <c r="AD124" i="13"/>
  <c r="AC124" i="13"/>
  <c r="AB124" i="13"/>
  <c r="AA124" i="13"/>
  <c r="Z124" i="13"/>
  <c r="Y124" i="13"/>
  <c r="X124" i="13"/>
  <c r="W124" i="13"/>
  <c r="V124" i="13"/>
  <c r="U124" i="13"/>
  <c r="T124" i="13"/>
  <c r="S124" i="13"/>
  <c r="R124" i="13"/>
  <c r="Q124" i="13"/>
  <c r="P124" i="13"/>
  <c r="O124" i="13"/>
  <c r="N124" i="13"/>
  <c r="M124" i="13"/>
  <c r="L124" i="13"/>
  <c r="K124" i="13"/>
  <c r="J124" i="13"/>
  <c r="I124" i="13"/>
  <c r="H124" i="13"/>
  <c r="G124" i="13"/>
  <c r="F124" i="13"/>
  <c r="E124" i="13"/>
  <c r="D124" i="13"/>
  <c r="AJ123" i="13"/>
  <c r="AI123" i="13"/>
  <c r="AH123" i="13"/>
  <c r="AG123" i="13"/>
  <c r="AF123" i="13"/>
  <c r="AE123" i="13"/>
  <c r="AD123" i="13"/>
  <c r="AC123" i="13"/>
  <c r="AB123" i="13"/>
  <c r="AA123" i="13"/>
  <c r="Z123" i="13"/>
  <c r="Y123" i="13"/>
  <c r="X123" i="13"/>
  <c r="W123" i="13"/>
  <c r="V123" i="13"/>
  <c r="U123" i="13"/>
  <c r="T123" i="13"/>
  <c r="S123" i="13"/>
  <c r="R123" i="13"/>
  <c r="Q123" i="13"/>
  <c r="P123" i="13"/>
  <c r="O123" i="13"/>
  <c r="N123" i="13"/>
  <c r="M123" i="13"/>
  <c r="L123" i="13"/>
  <c r="K123" i="13"/>
  <c r="J123" i="13"/>
  <c r="I123" i="13"/>
  <c r="H123" i="13"/>
  <c r="G123" i="13"/>
  <c r="F123" i="13"/>
  <c r="E123" i="13"/>
  <c r="D123" i="13"/>
  <c r="AJ122" i="13"/>
  <c r="AI122" i="13"/>
  <c r="AH122" i="13"/>
  <c r="AG122" i="13"/>
  <c r="AF122" i="13"/>
  <c r="AE122" i="13"/>
  <c r="AD122" i="13"/>
  <c r="AC122" i="13"/>
  <c r="AB122" i="13"/>
  <c r="AA122" i="13"/>
  <c r="Z122" i="13"/>
  <c r="Y122" i="13"/>
  <c r="X122" i="13"/>
  <c r="W122" i="13"/>
  <c r="V122" i="13"/>
  <c r="U122" i="13"/>
  <c r="T122" i="13"/>
  <c r="S122" i="13"/>
  <c r="R122" i="13"/>
  <c r="Q122" i="13"/>
  <c r="P122" i="13"/>
  <c r="O122" i="13"/>
  <c r="N122" i="13"/>
  <c r="M122" i="13"/>
  <c r="L122" i="13"/>
  <c r="K122" i="13"/>
  <c r="J122" i="13"/>
  <c r="I122" i="13"/>
  <c r="H122" i="13"/>
  <c r="G122" i="13"/>
  <c r="F122" i="13"/>
  <c r="E122" i="13"/>
  <c r="D122" i="13"/>
  <c r="AJ121" i="13"/>
  <c r="AI121" i="13"/>
  <c r="AH121" i="13"/>
  <c r="AG121" i="13"/>
  <c r="AF121" i="13"/>
  <c r="AE121" i="13"/>
  <c r="AD121" i="13"/>
  <c r="AC121" i="13"/>
  <c r="AB121" i="13"/>
  <c r="AA121" i="13"/>
  <c r="Z121" i="13"/>
  <c r="Y121" i="13"/>
  <c r="X121" i="13"/>
  <c r="W121" i="13"/>
  <c r="V121" i="13"/>
  <c r="U121" i="13"/>
  <c r="T121" i="13"/>
  <c r="S121" i="13"/>
  <c r="R121" i="13"/>
  <c r="Q121" i="13"/>
  <c r="P121" i="13"/>
  <c r="O121" i="13"/>
  <c r="N121" i="13"/>
  <c r="M121" i="13"/>
  <c r="L121" i="13"/>
  <c r="K121" i="13"/>
  <c r="J121" i="13"/>
  <c r="I121" i="13"/>
  <c r="H121" i="13"/>
  <c r="G121" i="13"/>
  <c r="F121" i="13"/>
  <c r="E121" i="13"/>
  <c r="D121" i="13"/>
  <c r="AJ120" i="13"/>
  <c r="AI120" i="13"/>
  <c r="AH120" i="13"/>
  <c r="AG120" i="13"/>
  <c r="AF120" i="13"/>
  <c r="AE120" i="13"/>
  <c r="AD120" i="13"/>
  <c r="AC120" i="13"/>
  <c r="AB120" i="13"/>
  <c r="AA120" i="13"/>
  <c r="Z120" i="13"/>
  <c r="Y120" i="13"/>
  <c r="X120" i="13"/>
  <c r="W120" i="13"/>
  <c r="V120" i="13"/>
  <c r="U120" i="13"/>
  <c r="T120" i="13"/>
  <c r="S120" i="13"/>
  <c r="R120" i="13"/>
  <c r="Q120" i="13"/>
  <c r="P120" i="13"/>
  <c r="O120" i="13"/>
  <c r="N120" i="13"/>
  <c r="M120" i="13"/>
  <c r="L120" i="13"/>
  <c r="K120" i="13"/>
  <c r="J120" i="13"/>
  <c r="I120" i="13"/>
  <c r="H120" i="13"/>
  <c r="G120" i="13"/>
  <c r="F120" i="13"/>
  <c r="E120" i="13"/>
  <c r="D120" i="13"/>
  <c r="AO120" i="13" s="1"/>
  <c r="AJ119" i="13"/>
  <c r="AI119" i="13"/>
  <c r="AH119" i="13"/>
  <c r="AG119" i="13"/>
  <c r="AF119" i="13"/>
  <c r="AE119" i="13"/>
  <c r="AD119" i="13"/>
  <c r="AC119" i="13"/>
  <c r="AB119" i="13"/>
  <c r="AA119" i="13"/>
  <c r="Z119" i="13"/>
  <c r="Y119" i="13"/>
  <c r="X119" i="13"/>
  <c r="W119" i="13"/>
  <c r="V119" i="13"/>
  <c r="AM119" i="13" s="1"/>
  <c r="U119" i="13"/>
  <c r="T119" i="13"/>
  <c r="S119" i="13"/>
  <c r="R119" i="13"/>
  <c r="Q119" i="13"/>
  <c r="P119" i="13"/>
  <c r="O119" i="13"/>
  <c r="N119" i="13"/>
  <c r="M119" i="13"/>
  <c r="L119" i="13"/>
  <c r="K119" i="13"/>
  <c r="J119" i="13"/>
  <c r="I119" i="13"/>
  <c r="H119" i="13"/>
  <c r="G119" i="13"/>
  <c r="F119" i="13"/>
  <c r="E119" i="13"/>
  <c r="D119" i="13"/>
  <c r="AJ118" i="13"/>
  <c r="AI118" i="13"/>
  <c r="AH118" i="13"/>
  <c r="AG118" i="13"/>
  <c r="AF118" i="13"/>
  <c r="AE118" i="13"/>
  <c r="AD118" i="13"/>
  <c r="AC118" i="13"/>
  <c r="AB118" i="13"/>
  <c r="AA118" i="13"/>
  <c r="Z118" i="13"/>
  <c r="Y118" i="13"/>
  <c r="X118" i="13"/>
  <c r="W118" i="13"/>
  <c r="V118" i="13"/>
  <c r="U118" i="13"/>
  <c r="T118" i="13"/>
  <c r="S118" i="13"/>
  <c r="R118" i="13"/>
  <c r="Q118" i="13"/>
  <c r="P118" i="13"/>
  <c r="O118" i="13"/>
  <c r="N118" i="13"/>
  <c r="M118" i="13"/>
  <c r="L118" i="13"/>
  <c r="K118" i="13"/>
  <c r="J118" i="13"/>
  <c r="I118" i="13"/>
  <c r="H118" i="13"/>
  <c r="G118" i="13"/>
  <c r="F118" i="13"/>
  <c r="E118" i="13"/>
  <c r="D118" i="13"/>
  <c r="AJ117" i="13"/>
  <c r="AI117" i="13"/>
  <c r="AH117" i="13"/>
  <c r="AG117" i="13"/>
  <c r="AF117" i="13"/>
  <c r="AE117" i="13"/>
  <c r="AD117" i="13"/>
  <c r="AC117" i="13"/>
  <c r="AB117" i="13"/>
  <c r="AA117" i="13"/>
  <c r="Z117" i="13"/>
  <c r="Y117" i="13"/>
  <c r="X117" i="13"/>
  <c r="W117" i="13"/>
  <c r="V117" i="13"/>
  <c r="U117" i="13"/>
  <c r="T117" i="13"/>
  <c r="S117" i="13"/>
  <c r="R117" i="13"/>
  <c r="Q117" i="13"/>
  <c r="P117" i="13"/>
  <c r="O117" i="13"/>
  <c r="N117" i="13"/>
  <c r="M117" i="13"/>
  <c r="L117" i="13"/>
  <c r="K117" i="13"/>
  <c r="J117" i="13"/>
  <c r="I117" i="13"/>
  <c r="H117" i="13"/>
  <c r="G117" i="13"/>
  <c r="F117" i="13"/>
  <c r="E117" i="13"/>
  <c r="D117" i="13"/>
  <c r="AJ116" i="13"/>
  <c r="AI116" i="13"/>
  <c r="AH116" i="13"/>
  <c r="AG116" i="13"/>
  <c r="AF116" i="13"/>
  <c r="AE116" i="13"/>
  <c r="AD116" i="13"/>
  <c r="AC116" i="13"/>
  <c r="AB116" i="13"/>
  <c r="AA116" i="13"/>
  <c r="Z116" i="13"/>
  <c r="Y116" i="13"/>
  <c r="X116" i="13"/>
  <c r="W116" i="13"/>
  <c r="V116" i="13"/>
  <c r="U116" i="13"/>
  <c r="T116" i="13"/>
  <c r="S116" i="13"/>
  <c r="R116" i="13"/>
  <c r="Q116" i="13"/>
  <c r="P116" i="13"/>
  <c r="O116" i="13"/>
  <c r="N116" i="13"/>
  <c r="M116" i="13"/>
  <c r="L116" i="13"/>
  <c r="K116" i="13"/>
  <c r="J116" i="13"/>
  <c r="I116" i="13"/>
  <c r="H116" i="13"/>
  <c r="G116" i="13"/>
  <c r="F116" i="13"/>
  <c r="E116" i="13"/>
  <c r="AO116" i="13" s="1"/>
  <c r="D116" i="13"/>
  <c r="AJ115" i="13"/>
  <c r="AI115" i="13"/>
  <c r="AH115" i="13"/>
  <c r="AG115" i="13"/>
  <c r="AF115" i="13"/>
  <c r="AE115" i="13"/>
  <c r="AD115" i="13"/>
  <c r="AC115" i="13"/>
  <c r="AB115" i="13"/>
  <c r="AA115" i="13"/>
  <c r="Z115" i="13"/>
  <c r="Y115" i="13"/>
  <c r="X115" i="13"/>
  <c r="W115" i="13"/>
  <c r="V115" i="13"/>
  <c r="U115" i="13"/>
  <c r="T115" i="13"/>
  <c r="S115" i="13"/>
  <c r="R115" i="13"/>
  <c r="Q115" i="13"/>
  <c r="P115" i="13"/>
  <c r="O115" i="13"/>
  <c r="N115" i="13"/>
  <c r="M115" i="13"/>
  <c r="L115" i="13"/>
  <c r="K115" i="13"/>
  <c r="J115" i="13"/>
  <c r="I115" i="13"/>
  <c r="H115" i="13"/>
  <c r="G115" i="13"/>
  <c r="F115" i="13"/>
  <c r="E115" i="13"/>
  <c r="D115" i="13"/>
  <c r="AJ114" i="13"/>
  <c r="AI114" i="13"/>
  <c r="AH114" i="13"/>
  <c r="AG114" i="13"/>
  <c r="AF114" i="13"/>
  <c r="AE114" i="13"/>
  <c r="AD114" i="13"/>
  <c r="AC114" i="13"/>
  <c r="AB114" i="13"/>
  <c r="AA114" i="13"/>
  <c r="Z114" i="13"/>
  <c r="Y114" i="13"/>
  <c r="X114" i="13"/>
  <c r="W114" i="13"/>
  <c r="V114" i="13"/>
  <c r="U114" i="13"/>
  <c r="T114" i="13"/>
  <c r="S114" i="13"/>
  <c r="R114" i="13"/>
  <c r="Q114" i="13"/>
  <c r="P114" i="13"/>
  <c r="O114" i="13"/>
  <c r="N114" i="13"/>
  <c r="M114" i="13"/>
  <c r="L114" i="13"/>
  <c r="K114" i="13"/>
  <c r="J114" i="13"/>
  <c r="I114" i="13"/>
  <c r="H114" i="13"/>
  <c r="G114" i="13"/>
  <c r="F114" i="13"/>
  <c r="E114" i="13"/>
  <c r="D114" i="13"/>
  <c r="AJ113" i="13"/>
  <c r="AI113" i="13"/>
  <c r="AH113" i="13"/>
  <c r="AG113" i="13"/>
  <c r="AF113" i="13"/>
  <c r="AE113" i="13"/>
  <c r="AD113" i="13"/>
  <c r="AC113" i="13"/>
  <c r="AB113" i="13"/>
  <c r="AA113" i="13"/>
  <c r="Z113" i="13"/>
  <c r="Y113" i="13"/>
  <c r="X113" i="13"/>
  <c r="W113" i="13"/>
  <c r="V113" i="13"/>
  <c r="U113" i="13"/>
  <c r="T113" i="13"/>
  <c r="S113" i="13"/>
  <c r="R113" i="13"/>
  <c r="Q113" i="13"/>
  <c r="P113" i="13"/>
  <c r="O113" i="13"/>
  <c r="N113" i="13"/>
  <c r="M113" i="13"/>
  <c r="L113" i="13"/>
  <c r="K113" i="13"/>
  <c r="J113" i="13"/>
  <c r="I113" i="13"/>
  <c r="H113" i="13"/>
  <c r="G113" i="13"/>
  <c r="F113" i="13"/>
  <c r="E113" i="13"/>
  <c r="D113" i="13"/>
  <c r="AJ112" i="13"/>
  <c r="AI112" i="13"/>
  <c r="AH112" i="13"/>
  <c r="AG112" i="13"/>
  <c r="AF112" i="13"/>
  <c r="AE112" i="13"/>
  <c r="AD112" i="13"/>
  <c r="AC112" i="13"/>
  <c r="AB112" i="13"/>
  <c r="AA112" i="13"/>
  <c r="Z112" i="13"/>
  <c r="Y112" i="13"/>
  <c r="AM112" i="13" s="1"/>
  <c r="X112" i="13"/>
  <c r="W112" i="13"/>
  <c r="V112" i="13"/>
  <c r="U112" i="13"/>
  <c r="T112" i="13"/>
  <c r="S112" i="13"/>
  <c r="R112" i="13"/>
  <c r="Q112" i="13"/>
  <c r="P112" i="13"/>
  <c r="O112" i="13"/>
  <c r="N112" i="13"/>
  <c r="M112" i="13"/>
  <c r="L112" i="13"/>
  <c r="K112" i="13"/>
  <c r="J112" i="13"/>
  <c r="I112" i="13"/>
  <c r="H112" i="13"/>
  <c r="G112" i="13"/>
  <c r="F112" i="13"/>
  <c r="E112" i="13"/>
  <c r="D112" i="13"/>
  <c r="AO112" i="13" s="1"/>
  <c r="AJ111" i="13"/>
  <c r="AI111" i="13"/>
  <c r="AH111" i="13"/>
  <c r="AG111" i="13"/>
  <c r="AF111" i="13"/>
  <c r="AE111" i="13"/>
  <c r="AD111" i="13"/>
  <c r="AC111" i="13"/>
  <c r="AB111" i="13"/>
  <c r="AA111" i="13"/>
  <c r="Z111" i="13"/>
  <c r="Y111" i="13"/>
  <c r="X111" i="13"/>
  <c r="W111" i="13"/>
  <c r="V111" i="13"/>
  <c r="U111" i="13"/>
  <c r="T111" i="13"/>
  <c r="S111" i="13"/>
  <c r="R111" i="13"/>
  <c r="Q111" i="13"/>
  <c r="P111" i="13"/>
  <c r="O111" i="13"/>
  <c r="N111" i="13"/>
  <c r="M111" i="13"/>
  <c r="L111" i="13"/>
  <c r="K111" i="13"/>
  <c r="J111" i="13"/>
  <c r="I111" i="13"/>
  <c r="H111" i="13"/>
  <c r="G111" i="13"/>
  <c r="F111" i="13"/>
  <c r="E111" i="13"/>
  <c r="D111" i="13"/>
  <c r="AJ110" i="13"/>
  <c r="AI110" i="13"/>
  <c r="AH110" i="13"/>
  <c r="AG110" i="13"/>
  <c r="AF110" i="13"/>
  <c r="AE110" i="13"/>
  <c r="AD110" i="13"/>
  <c r="AC110" i="13"/>
  <c r="AB110" i="13"/>
  <c r="AA110" i="13"/>
  <c r="Z110" i="13"/>
  <c r="Y110" i="13"/>
  <c r="X110" i="13"/>
  <c r="W110" i="13"/>
  <c r="V110" i="13"/>
  <c r="U110" i="13"/>
  <c r="T110" i="13"/>
  <c r="S110" i="13"/>
  <c r="R110" i="13"/>
  <c r="Q110" i="13"/>
  <c r="P110" i="13"/>
  <c r="O110" i="13"/>
  <c r="N110" i="13"/>
  <c r="M110" i="13"/>
  <c r="L110" i="13"/>
  <c r="K110" i="13"/>
  <c r="J110" i="13"/>
  <c r="I110" i="13"/>
  <c r="H110" i="13"/>
  <c r="G110" i="13"/>
  <c r="F110" i="13"/>
  <c r="E110" i="13"/>
  <c r="D110" i="13"/>
  <c r="AJ109" i="13"/>
  <c r="AI109" i="13"/>
  <c r="AH109" i="13"/>
  <c r="AG109" i="13"/>
  <c r="AF109" i="13"/>
  <c r="AE109" i="13"/>
  <c r="AD109" i="13"/>
  <c r="AC109" i="13"/>
  <c r="AB109" i="13"/>
  <c r="AA109" i="13"/>
  <c r="Z109" i="13"/>
  <c r="Y109" i="13"/>
  <c r="X109" i="13"/>
  <c r="W109" i="13"/>
  <c r="V109" i="13"/>
  <c r="U109" i="13"/>
  <c r="T109" i="13"/>
  <c r="AM109" i="13" s="1"/>
  <c r="S109" i="13"/>
  <c r="R109" i="13"/>
  <c r="Q109" i="13"/>
  <c r="P109" i="13"/>
  <c r="O109" i="13"/>
  <c r="N109" i="13"/>
  <c r="M109" i="13"/>
  <c r="L109" i="13"/>
  <c r="K109" i="13"/>
  <c r="J109" i="13"/>
  <c r="I109" i="13"/>
  <c r="H109" i="13"/>
  <c r="G109" i="13"/>
  <c r="F109" i="13"/>
  <c r="E109" i="13"/>
  <c r="D109" i="13"/>
  <c r="AJ108" i="13"/>
  <c r="AI108" i="13"/>
  <c r="AH108" i="13"/>
  <c r="AG108" i="13"/>
  <c r="AF108" i="13"/>
  <c r="AE108" i="13"/>
  <c r="AD108" i="13"/>
  <c r="AC108" i="13"/>
  <c r="AB108" i="13"/>
  <c r="AA108" i="13"/>
  <c r="Z108" i="13"/>
  <c r="Y108" i="13"/>
  <c r="X108" i="13"/>
  <c r="W108" i="13"/>
  <c r="V108" i="13"/>
  <c r="U108" i="13"/>
  <c r="T108" i="13"/>
  <c r="S108" i="13"/>
  <c r="R108" i="13"/>
  <c r="Q108" i="13"/>
  <c r="P108" i="13"/>
  <c r="O108" i="13"/>
  <c r="N108" i="13"/>
  <c r="M108" i="13"/>
  <c r="L108" i="13"/>
  <c r="K108" i="13"/>
  <c r="J108" i="13"/>
  <c r="I108" i="13"/>
  <c r="H108" i="13"/>
  <c r="G108" i="13"/>
  <c r="F108" i="13"/>
  <c r="E108" i="13"/>
  <c r="D108" i="13"/>
  <c r="AO108" i="13" s="1"/>
  <c r="AJ107" i="13"/>
  <c r="AI107" i="13"/>
  <c r="AH107" i="13"/>
  <c r="AG107" i="13"/>
  <c r="AF107" i="13"/>
  <c r="AE107" i="13"/>
  <c r="AD107" i="13"/>
  <c r="AC107" i="13"/>
  <c r="AB107" i="13"/>
  <c r="AA107" i="13"/>
  <c r="Z107" i="13"/>
  <c r="Y107" i="13"/>
  <c r="X107" i="13"/>
  <c r="W107" i="13"/>
  <c r="V107" i="13"/>
  <c r="U107" i="13"/>
  <c r="T107" i="13"/>
  <c r="S107" i="13"/>
  <c r="R107" i="13"/>
  <c r="Q107" i="13"/>
  <c r="P107" i="13"/>
  <c r="O107" i="13"/>
  <c r="N107" i="13"/>
  <c r="M107" i="13"/>
  <c r="L107" i="13"/>
  <c r="K107" i="13"/>
  <c r="J107" i="13"/>
  <c r="I107" i="13"/>
  <c r="H107" i="13"/>
  <c r="G107" i="13"/>
  <c r="F107" i="13"/>
  <c r="E107" i="13"/>
  <c r="D107" i="13"/>
  <c r="AJ106" i="13"/>
  <c r="AI106" i="13"/>
  <c r="AH106" i="13"/>
  <c r="AG106" i="13"/>
  <c r="AF106" i="13"/>
  <c r="AE106" i="13"/>
  <c r="AD106" i="13"/>
  <c r="AC106" i="13"/>
  <c r="AB106" i="13"/>
  <c r="AA106" i="13"/>
  <c r="Z106" i="13"/>
  <c r="Y106" i="13"/>
  <c r="X106" i="13"/>
  <c r="W106" i="13"/>
  <c r="V106" i="13"/>
  <c r="U106" i="13"/>
  <c r="T106" i="13"/>
  <c r="S106" i="13"/>
  <c r="R106" i="13"/>
  <c r="Q106" i="13"/>
  <c r="P106" i="13"/>
  <c r="O106" i="13"/>
  <c r="N106" i="13"/>
  <c r="M106" i="13"/>
  <c r="L106" i="13"/>
  <c r="K106" i="13"/>
  <c r="J106" i="13"/>
  <c r="I106" i="13"/>
  <c r="H106" i="13"/>
  <c r="G106" i="13"/>
  <c r="F106" i="13"/>
  <c r="E106" i="13"/>
  <c r="D106" i="13"/>
  <c r="AJ105" i="13"/>
  <c r="AI105" i="13"/>
  <c r="AH105" i="13"/>
  <c r="AG105" i="13"/>
  <c r="AF105" i="13"/>
  <c r="AE105" i="13"/>
  <c r="AD105" i="13"/>
  <c r="AC105" i="13"/>
  <c r="AB105" i="13"/>
  <c r="AA105" i="13"/>
  <c r="Z105" i="13"/>
  <c r="Y105" i="13"/>
  <c r="X105" i="13"/>
  <c r="W105" i="13"/>
  <c r="V105" i="13"/>
  <c r="U105" i="13"/>
  <c r="T105" i="13"/>
  <c r="S105" i="13"/>
  <c r="R105" i="13"/>
  <c r="Q105" i="13"/>
  <c r="P105" i="13"/>
  <c r="O105" i="13"/>
  <c r="N105" i="13"/>
  <c r="M105" i="13"/>
  <c r="L105" i="13"/>
  <c r="K105" i="13"/>
  <c r="J105" i="13"/>
  <c r="I105" i="13"/>
  <c r="H105" i="13"/>
  <c r="G105" i="13"/>
  <c r="F105" i="13"/>
  <c r="E105" i="13"/>
  <c r="D105" i="13"/>
  <c r="AJ104" i="13"/>
  <c r="AI104" i="13"/>
  <c r="AH104" i="13"/>
  <c r="AG104" i="13"/>
  <c r="AF104" i="13"/>
  <c r="AE104" i="13"/>
  <c r="AD104" i="13"/>
  <c r="AC104" i="13"/>
  <c r="AB104" i="13"/>
  <c r="AA104" i="13"/>
  <c r="Z104" i="13"/>
  <c r="Y104" i="13"/>
  <c r="X104" i="13"/>
  <c r="W104" i="13"/>
  <c r="V104" i="13"/>
  <c r="U104" i="13"/>
  <c r="T104" i="13"/>
  <c r="S104" i="13"/>
  <c r="R104" i="13"/>
  <c r="Q104" i="13"/>
  <c r="P104" i="13"/>
  <c r="O104" i="13"/>
  <c r="N104" i="13"/>
  <c r="M104" i="13"/>
  <c r="L104" i="13"/>
  <c r="K104" i="13"/>
  <c r="J104" i="13"/>
  <c r="I104" i="13"/>
  <c r="H104" i="13"/>
  <c r="G104" i="13"/>
  <c r="F104" i="13"/>
  <c r="E104" i="13"/>
  <c r="D104" i="13"/>
  <c r="AO104" i="13" s="1"/>
  <c r="AJ103" i="13"/>
  <c r="AI103" i="13"/>
  <c r="AH103" i="13"/>
  <c r="AG103" i="13"/>
  <c r="AF103" i="13"/>
  <c r="AE103" i="13"/>
  <c r="AD103" i="13"/>
  <c r="AC103" i="13"/>
  <c r="AB103" i="13"/>
  <c r="AA103" i="13"/>
  <c r="Z103" i="13"/>
  <c r="Y103" i="13"/>
  <c r="X103" i="13"/>
  <c r="W103" i="13"/>
  <c r="V103" i="13"/>
  <c r="U103" i="13"/>
  <c r="T103" i="13"/>
  <c r="S103" i="13"/>
  <c r="R103" i="13"/>
  <c r="Q103" i="13"/>
  <c r="P103" i="13"/>
  <c r="O103" i="13"/>
  <c r="N103" i="13"/>
  <c r="M103" i="13"/>
  <c r="L103" i="13"/>
  <c r="K103" i="13"/>
  <c r="J103" i="13"/>
  <c r="I103" i="13"/>
  <c r="H103" i="13"/>
  <c r="G103" i="13"/>
  <c r="F103" i="13"/>
  <c r="E103" i="13"/>
  <c r="D103" i="13"/>
  <c r="AJ102" i="13"/>
  <c r="AI102" i="13"/>
  <c r="AH102" i="13"/>
  <c r="AG102" i="13"/>
  <c r="AF102" i="13"/>
  <c r="AE102" i="13"/>
  <c r="AD102" i="13"/>
  <c r="AC102" i="13"/>
  <c r="AB102" i="13"/>
  <c r="AA102" i="13"/>
  <c r="Z102" i="13"/>
  <c r="Y102" i="13"/>
  <c r="X102" i="13"/>
  <c r="W102" i="13"/>
  <c r="V102" i="13"/>
  <c r="U102" i="13"/>
  <c r="T102" i="13"/>
  <c r="S102" i="13"/>
  <c r="R102" i="13"/>
  <c r="Q102" i="13"/>
  <c r="P102" i="13"/>
  <c r="O102" i="13"/>
  <c r="N102" i="13"/>
  <c r="M102" i="13"/>
  <c r="L102" i="13"/>
  <c r="K102" i="13"/>
  <c r="J102" i="13"/>
  <c r="I102" i="13"/>
  <c r="H102" i="13"/>
  <c r="G102" i="13"/>
  <c r="F102" i="13"/>
  <c r="E102" i="13"/>
  <c r="D102" i="13"/>
  <c r="AJ101" i="13"/>
  <c r="AI101" i="13"/>
  <c r="AH101" i="13"/>
  <c r="AG101" i="13"/>
  <c r="AF101" i="13"/>
  <c r="AE101" i="13"/>
  <c r="AD101" i="13"/>
  <c r="AC101" i="13"/>
  <c r="AB101" i="13"/>
  <c r="AA101" i="13"/>
  <c r="Z101" i="13"/>
  <c r="Y101" i="13"/>
  <c r="X101" i="13"/>
  <c r="W101" i="13"/>
  <c r="V101" i="13"/>
  <c r="U101" i="13"/>
  <c r="T101" i="13"/>
  <c r="S101" i="13"/>
  <c r="R101" i="13"/>
  <c r="Q101" i="13"/>
  <c r="P101" i="13"/>
  <c r="O101" i="13"/>
  <c r="N101" i="13"/>
  <c r="M101" i="13"/>
  <c r="L101" i="13"/>
  <c r="K101" i="13"/>
  <c r="J101" i="13"/>
  <c r="I101" i="13"/>
  <c r="H101" i="13"/>
  <c r="G101" i="13"/>
  <c r="F101" i="13"/>
  <c r="E101" i="13"/>
  <c r="D101" i="13"/>
  <c r="AJ100" i="13"/>
  <c r="AI100" i="13"/>
  <c r="AH100" i="13"/>
  <c r="AG100" i="13"/>
  <c r="AF100" i="13"/>
  <c r="AE100" i="13"/>
  <c r="AD100" i="13"/>
  <c r="AC100" i="13"/>
  <c r="AB100" i="13"/>
  <c r="AA100" i="13"/>
  <c r="Z100" i="13"/>
  <c r="AM100" i="13" s="1"/>
  <c r="Y100" i="13"/>
  <c r="X100" i="13"/>
  <c r="W100" i="13"/>
  <c r="V100" i="13"/>
  <c r="U100" i="13"/>
  <c r="T100" i="13"/>
  <c r="S100" i="13"/>
  <c r="R100" i="13"/>
  <c r="Q100" i="13"/>
  <c r="P100" i="13"/>
  <c r="O100" i="13"/>
  <c r="N100" i="13"/>
  <c r="M100" i="13"/>
  <c r="L100" i="13"/>
  <c r="K100" i="13"/>
  <c r="J100" i="13"/>
  <c r="I100" i="13"/>
  <c r="H100" i="13"/>
  <c r="G100" i="13"/>
  <c r="F100" i="13"/>
  <c r="E100" i="13"/>
  <c r="AO100" i="13" s="1"/>
  <c r="D100" i="13"/>
  <c r="AJ99" i="13"/>
  <c r="AI99" i="13"/>
  <c r="AH99" i="13"/>
  <c r="AG99" i="13"/>
  <c r="AF99" i="13"/>
  <c r="AE99" i="13"/>
  <c r="AD99" i="13"/>
  <c r="AC99" i="13"/>
  <c r="AB99" i="13"/>
  <c r="AA99" i="13"/>
  <c r="Z99" i="13"/>
  <c r="Y99" i="13"/>
  <c r="X99" i="13"/>
  <c r="W99" i="13"/>
  <c r="V99" i="13"/>
  <c r="U99" i="13"/>
  <c r="T99" i="13"/>
  <c r="S99" i="13"/>
  <c r="R99" i="13"/>
  <c r="Q99" i="13"/>
  <c r="P99" i="13"/>
  <c r="O99" i="13"/>
  <c r="N99" i="13"/>
  <c r="M99" i="13"/>
  <c r="L99" i="13"/>
  <c r="K99" i="13"/>
  <c r="J99" i="13"/>
  <c r="I99" i="13"/>
  <c r="H99" i="13"/>
  <c r="G99" i="13"/>
  <c r="F99" i="13"/>
  <c r="E99" i="13"/>
  <c r="D99" i="13"/>
  <c r="AO99" i="13" s="1"/>
  <c r="AJ98" i="13"/>
  <c r="AI98" i="13"/>
  <c r="AH98" i="13"/>
  <c r="AG98" i="13"/>
  <c r="AF98" i="13"/>
  <c r="AE98" i="13"/>
  <c r="AD98" i="13"/>
  <c r="AC98" i="13"/>
  <c r="AB98" i="13"/>
  <c r="AA98" i="13"/>
  <c r="Z98" i="13"/>
  <c r="Y98" i="13"/>
  <c r="X98" i="13"/>
  <c r="W98" i="13"/>
  <c r="V98" i="13"/>
  <c r="U98" i="13"/>
  <c r="T98" i="13"/>
  <c r="S98" i="13"/>
  <c r="R98" i="13"/>
  <c r="Q98" i="13"/>
  <c r="P98" i="13"/>
  <c r="O98" i="13"/>
  <c r="N98" i="13"/>
  <c r="M98" i="13"/>
  <c r="L98" i="13"/>
  <c r="K98" i="13"/>
  <c r="J98" i="13"/>
  <c r="I98" i="13"/>
  <c r="H98" i="13"/>
  <c r="G98" i="13"/>
  <c r="F98" i="13"/>
  <c r="E98" i="13"/>
  <c r="D98" i="13"/>
  <c r="AJ97" i="13"/>
  <c r="AI97" i="13"/>
  <c r="AH97" i="13"/>
  <c r="AG97" i="13"/>
  <c r="AF97" i="13"/>
  <c r="AE97" i="13"/>
  <c r="AD97" i="13"/>
  <c r="AC97" i="13"/>
  <c r="AB97" i="13"/>
  <c r="AA97" i="13"/>
  <c r="Z97" i="13"/>
  <c r="Y97" i="13"/>
  <c r="X97" i="13"/>
  <c r="W97" i="13"/>
  <c r="V97" i="13"/>
  <c r="U97" i="13"/>
  <c r="T97" i="13"/>
  <c r="S97" i="13"/>
  <c r="R97" i="13"/>
  <c r="Q97" i="13"/>
  <c r="P97" i="13"/>
  <c r="O97" i="13"/>
  <c r="N97" i="13"/>
  <c r="M97" i="13"/>
  <c r="L97" i="13"/>
  <c r="K97" i="13"/>
  <c r="J97" i="13"/>
  <c r="I97" i="13"/>
  <c r="H97" i="13"/>
  <c r="G97" i="13"/>
  <c r="F97" i="13"/>
  <c r="E97" i="13"/>
  <c r="D97" i="13"/>
  <c r="AJ96" i="13"/>
  <c r="AI96" i="13"/>
  <c r="AH96" i="13"/>
  <c r="AG96" i="13"/>
  <c r="AF96" i="13"/>
  <c r="AE96" i="13"/>
  <c r="AD96" i="13"/>
  <c r="AC96" i="13"/>
  <c r="AB96" i="13"/>
  <c r="AA96" i="13"/>
  <c r="Z96" i="13"/>
  <c r="Y96" i="13"/>
  <c r="X96" i="13"/>
  <c r="W96" i="13"/>
  <c r="V96" i="13"/>
  <c r="U96" i="13"/>
  <c r="T96" i="13"/>
  <c r="AM96" i="13" s="1"/>
  <c r="S96" i="13"/>
  <c r="R96" i="13"/>
  <c r="Q96" i="13"/>
  <c r="P96" i="13"/>
  <c r="O96" i="13"/>
  <c r="N96" i="13"/>
  <c r="M96" i="13"/>
  <c r="L96" i="13"/>
  <c r="K96" i="13"/>
  <c r="J96" i="13"/>
  <c r="I96" i="13"/>
  <c r="H96" i="13"/>
  <c r="G96" i="13"/>
  <c r="F96" i="13"/>
  <c r="E96" i="13"/>
  <c r="D96" i="13"/>
  <c r="AO96" i="13" s="1"/>
  <c r="AJ95" i="13"/>
  <c r="AI95" i="13"/>
  <c r="AH95" i="13"/>
  <c r="AG95" i="13"/>
  <c r="AF95" i="13"/>
  <c r="AE95" i="13"/>
  <c r="AD95" i="13"/>
  <c r="AC95" i="13"/>
  <c r="AB95" i="13"/>
  <c r="AA95" i="13"/>
  <c r="Z95" i="13"/>
  <c r="Y95" i="13"/>
  <c r="X95" i="13"/>
  <c r="W95" i="13"/>
  <c r="V95" i="13"/>
  <c r="U95" i="13"/>
  <c r="T95" i="13"/>
  <c r="S95" i="13"/>
  <c r="R95" i="13"/>
  <c r="Q95" i="13"/>
  <c r="P95" i="13"/>
  <c r="O95" i="13"/>
  <c r="N95" i="13"/>
  <c r="M95" i="13"/>
  <c r="L95" i="13"/>
  <c r="K95" i="13"/>
  <c r="J95" i="13"/>
  <c r="I95" i="13"/>
  <c r="H95" i="13"/>
  <c r="G95" i="13"/>
  <c r="F95" i="13"/>
  <c r="E95" i="13"/>
  <c r="D95" i="13"/>
  <c r="AJ94" i="13"/>
  <c r="AI94" i="13"/>
  <c r="AH94" i="13"/>
  <c r="AG94" i="13"/>
  <c r="AF94" i="13"/>
  <c r="AE94" i="13"/>
  <c r="AD94" i="13"/>
  <c r="AC94" i="13"/>
  <c r="AB94" i="13"/>
  <c r="AA94" i="13"/>
  <c r="Z94" i="13"/>
  <c r="Y94" i="13"/>
  <c r="X94" i="13"/>
  <c r="W94" i="13"/>
  <c r="V94" i="13"/>
  <c r="U94" i="13"/>
  <c r="T94" i="13"/>
  <c r="S94" i="13"/>
  <c r="R94" i="13"/>
  <c r="Q94" i="13"/>
  <c r="P94" i="13"/>
  <c r="O94" i="13"/>
  <c r="N94" i="13"/>
  <c r="M94" i="13"/>
  <c r="L94" i="13"/>
  <c r="K94" i="13"/>
  <c r="J94" i="13"/>
  <c r="I94" i="13"/>
  <c r="H94" i="13"/>
  <c r="G94" i="13"/>
  <c r="F94" i="13"/>
  <c r="E94" i="13"/>
  <c r="D94" i="13"/>
  <c r="AJ93" i="13"/>
  <c r="AI93" i="13"/>
  <c r="AH93" i="13"/>
  <c r="AG93" i="13"/>
  <c r="AF93" i="13"/>
  <c r="AE93" i="13"/>
  <c r="AD93" i="13"/>
  <c r="AC93" i="13"/>
  <c r="AB93" i="13"/>
  <c r="AA93" i="13"/>
  <c r="Z93" i="13"/>
  <c r="Y93" i="13"/>
  <c r="X93" i="13"/>
  <c r="W93" i="13"/>
  <c r="V93" i="13"/>
  <c r="U93" i="13"/>
  <c r="T93" i="13"/>
  <c r="S93" i="13"/>
  <c r="R93" i="13"/>
  <c r="Q93" i="13"/>
  <c r="P93" i="13"/>
  <c r="O93" i="13"/>
  <c r="N93" i="13"/>
  <c r="M93" i="13"/>
  <c r="L93" i="13"/>
  <c r="AN93" i="13" s="1"/>
  <c r="K93" i="13"/>
  <c r="J93" i="13"/>
  <c r="I93" i="13"/>
  <c r="H93" i="13"/>
  <c r="G93" i="13"/>
  <c r="F93" i="13"/>
  <c r="E93" i="13"/>
  <c r="D93" i="13"/>
  <c r="AJ92" i="13"/>
  <c r="AI92" i="13"/>
  <c r="AH92" i="13"/>
  <c r="AG92" i="13"/>
  <c r="AF92" i="13"/>
  <c r="AE92" i="13"/>
  <c r="AD92" i="13"/>
  <c r="AC92" i="13"/>
  <c r="AB92" i="13"/>
  <c r="AL92" i="13" s="1"/>
  <c r="AA92" i="13"/>
  <c r="Z92" i="13"/>
  <c r="Y92" i="13"/>
  <c r="X92" i="13"/>
  <c r="W92" i="13"/>
  <c r="V92" i="13"/>
  <c r="U92" i="13"/>
  <c r="T92" i="13"/>
  <c r="S92" i="13"/>
  <c r="R92" i="13"/>
  <c r="Q92" i="13"/>
  <c r="P92" i="13"/>
  <c r="O92" i="13"/>
  <c r="N92" i="13"/>
  <c r="M92" i="13"/>
  <c r="L92" i="13"/>
  <c r="K92" i="13"/>
  <c r="J92" i="13"/>
  <c r="I92" i="13"/>
  <c r="H92" i="13"/>
  <c r="G92" i="13"/>
  <c r="F92" i="13"/>
  <c r="E92" i="13"/>
  <c r="D92" i="13"/>
  <c r="AJ91" i="13"/>
  <c r="AI91" i="13"/>
  <c r="AH91" i="13"/>
  <c r="AG91" i="13"/>
  <c r="AF91" i="13"/>
  <c r="AE91" i="13"/>
  <c r="AD91" i="13"/>
  <c r="AC91" i="13"/>
  <c r="AB91" i="13"/>
  <c r="AA91" i="13"/>
  <c r="Z91" i="13"/>
  <c r="Y91" i="13"/>
  <c r="X91" i="13"/>
  <c r="W91" i="13"/>
  <c r="V91" i="13"/>
  <c r="U91" i="13"/>
  <c r="T91" i="13"/>
  <c r="S91" i="13"/>
  <c r="R91" i="13"/>
  <c r="Q91" i="13"/>
  <c r="P91" i="13"/>
  <c r="O91" i="13"/>
  <c r="N91" i="13"/>
  <c r="M91" i="13"/>
  <c r="L91" i="13"/>
  <c r="K91" i="13"/>
  <c r="J91" i="13"/>
  <c r="I91" i="13"/>
  <c r="H91" i="13"/>
  <c r="G91" i="13"/>
  <c r="F91" i="13"/>
  <c r="E91" i="13"/>
  <c r="D91" i="13"/>
  <c r="AO91" i="13" s="1"/>
  <c r="AJ90" i="13"/>
  <c r="AI90" i="13"/>
  <c r="AH90" i="13"/>
  <c r="AG90" i="13"/>
  <c r="AF90" i="13"/>
  <c r="AE90" i="13"/>
  <c r="AD90" i="13"/>
  <c r="AC90" i="13"/>
  <c r="AB90" i="13"/>
  <c r="AA90" i="13"/>
  <c r="Z90" i="13"/>
  <c r="Y90" i="13"/>
  <c r="X90" i="13"/>
  <c r="W90" i="13"/>
  <c r="V90" i="13"/>
  <c r="U90" i="13"/>
  <c r="T90" i="13"/>
  <c r="S90" i="13"/>
  <c r="R90" i="13"/>
  <c r="Q90" i="13"/>
  <c r="P90" i="13"/>
  <c r="O90" i="13"/>
  <c r="N90" i="13"/>
  <c r="M90" i="13"/>
  <c r="L90" i="13"/>
  <c r="K90" i="13"/>
  <c r="J90" i="13"/>
  <c r="I90" i="13"/>
  <c r="H90" i="13"/>
  <c r="G90" i="13"/>
  <c r="F90" i="13"/>
  <c r="E90" i="13"/>
  <c r="D90" i="13"/>
  <c r="AJ89" i="13"/>
  <c r="AI89" i="13"/>
  <c r="AH89" i="13"/>
  <c r="AG89" i="13"/>
  <c r="AF89" i="13"/>
  <c r="AE89" i="13"/>
  <c r="AD89" i="13"/>
  <c r="AC89" i="13"/>
  <c r="AB89" i="13"/>
  <c r="AA89" i="13"/>
  <c r="Z89" i="13"/>
  <c r="Y89" i="13"/>
  <c r="X89" i="13"/>
  <c r="W89" i="13"/>
  <c r="V89" i="13"/>
  <c r="U89" i="13"/>
  <c r="T89" i="13"/>
  <c r="S89" i="13"/>
  <c r="R89" i="13"/>
  <c r="Q89" i="13"/>
  <c r="P89" i="13"/>
  <c r="O89" i="13"/>
  <c r="N89" i="13"/>
  <c r="M89" i="13"/>
  <c r="L89" i="13"/>
  <c r="AN89" i="13" s="1"/>
  <c r="K89" i="13"/>
  <c r="J89" i="13"/>
  <c r="I89" i="13"/>
  <c r="H89" i="13"/>
  <c r="G89" i="13"/>
  <c r="F89" i="13"/>
  <c r="E89" i="13"/>
  <c r="D89" i="13"/>
  <c r="AO89" i="13" s="1"/>
  <c r="AJ88" i="13"/>
  <c r="AI88" i="13"/>
  <c r="AH88" i="13"/>
  <c r="AG88" i="13"/>
  <c r="AF88" i="13"/>
  <c r="AE88" i="13"/>
  <c r="AD88" i="13"/>
  <c r="AC88" i="13"/>
  <c r="AB88" i="13"/>
  <c r="AA88" i="13"/>
  <c r="Z88" i="13"/>
  <c r="Y88" i="13"/>
  <c r="X88" i="13"/>
  <c r="W88" i="13"/>
  <c r="V88" i="13"/>
  <c r="U88" i="13"/>
  <c r="T88" i="13"/>
  <c r="S88" i="13"/>
  <c r="R88" i="13"/>
  <c r="Q88" i="13"/>
  <c r="P88" i="13"/>
  <c r="O88" i="13"/>
  <c r="N88" i="13"/>
  <c r="M88" i="13"/>
  <c r="AN88" i="13" s="1"/>
  <c r="L88" i="13"/>
  <c r="K88" i="13"/>
  <c r="J88" i="13"/>
  <c r="I88" i="13"/>
  <c r="H88" i="13"/>
  <c r="G88" i="13"/>
  <c r="F88" i="13"/>
  <c r="E88" i="13"/>
  <c r="D88" i="13"/>
  <c r="AJ87" i="13"/>
  <c r="AI87" i="13"/>
  <c r="AH87" i="13"/>
  <c r="AG87" i="13"/>
  <c r="AF87" i="13"/>
  <c r="AE87" i="13"/>
  <c r="AD87" i="13"/>
  <c r="AC87" i="13"/>
  <c r="AB87" i="13"/>
  <c r="AA87" i="13"/>
  <c r="Z87" i="13"/>
  <c r="Y87" i="13"/>
  <c r="X87" i="13"/>
  <c r="W87" i="13"/>
  <c r="V87" i="13"/>
  <c r="U87" i="13"/>
  <c r="T87" i="13"/>
  <c r="S87" i="13"/>
  <c r="R87" i="13"/>
  <c r="Q87" i="13"/>
  <c r="P87" i="13"/>
  <c r="O87" i="13"/>
  <c r="N87" i="13"/>
  <c r="M87" i="13"/>
  <c r="L87" i="13"/>
  <c r="K87" i="13"/>
  <c r="J87" i="13"/>
  <c r="I87" i="13"/>
  <c r="H87" i="13"/>
  <c r="G87" i="13"/>
  <c r="F87" i="13"/>
  <c r="E87" i="13"/>
  <c r="D87" i="13"/>
  <c r="AO87" i="13" s="1"/>
  <c r="AJ86" i="13"/>
  <c r="AI86" i="13"/>
  <c r="AH86" i="13"/>
  <c r="AG86" i="13"/>
  <c r="AF86" i="13"/>
  <c r="AE86" i="13"/>
  <c r="AD86" i="13"/>
  <c r="AC86" i="13"/>
  <c r="AB86" i="13"/>
  <c r="AA86" i="13"/>
  <c r="Z86" i="13"/>
  <c r="Y86" i="13"/>
  <c r="X86" i="13"/>
  <c r="W86" i="13"/>
  <c r="V86" i="13"/>
  <c r="U86" i="13"/>
  <c r="T86" i="13"/>
  <c r="S86" i="13"/>
  <c r="R86" i="13"/>
  <c r="Q86" i="13"/>
  <c r="P86" i="13"/>
  <c r="O86" i="13"/>
  <c r="N86" i="13"/>
  <c r="M86" i="13"/>
  <c r="L86" i="13"/>
  <c r="K86" i="13"/>
  <c r="J86" i="13"/>
  <c r="I86" i="13"/>
  <c r="H86" i="13"/>
  <c r="G86" i="13"/>
  <c r="F86" i="13"/>
  <c r="E86" i="13"/>
  <c r="D86" i="13"/>
  <c r="AJ85" i="13"/>
  <c r="AI85" i="13"/>
  <c r="AH85" i="13"/>
  <c r="AG85" i="13"/>
  <c r="AF85" i="13"/>
  <c r="AE85" i="13"/>
  <c r="AD85" i="13"/>
  <c r="AC85" i="13"/>
  <c r="AL85" i="13" s="1"/>
  <c r="AB85" i="13"/>
  <c r="AA85" i="13"/>
  <c r="Z85" i="13"/>
  <c r="Y85" i="13"/>
  <c r="X85" i="13"/>
  <c r="W85" i="13"/>
  <c r="V85" i="13"/>
  <c r="U85" i="13"/>
  <c r="T85" i="13"/>
  <c r="S85" i="13"/>
  <c r="R85" i="13"/>
  <c r="Q85" i="13"/>
  <c r="P85" i="13"/>
  <c r="O85" i="13"/>
  <c r="N85" i="13"/>
  <c r="M85" i="13"/>
  <c r="L85" i="13"/>
  <c r="K85" i="13"/>
  <c r="J85" i="13"/>
  <c r="I85" i="13"/>
  <c r="H85" i="13"/>
  <c r="G85" i="13"/>
  <c r="F85" i="13"/>
  <c r="E85" i="13"/>
  <c r="D85" i="13"/>
  <c r="AJ84" i="13"/>
  <c r="AI84" i="13"/>
  <c r="AH84" i="13"/>
  <c r="AG84" i="13"/>
  <c r="AF84" i="13"/>
  <c r="AE84" i="13"/>
  <c r="AD84" i="13"/>
  <c r="AC84" i="13"/>
  <c r="AB84" i="13"/>
  <c r="AA84" i="13"/>
  <c r="Z84" i="13"/>
  <c r="Y84" i="13"/>
  <c r="X84" i="13"/>
  <c r="W84" i="13"/>
  <c r="V84" i="13"/>
  <c r="U84" i="13"/>
  <c r="T84" i="13"/>
  <c r="S84" i="13"/>
  <c r="R84" i="13"/>
  <c r="Q84" i="13"/>
  <c r="P84" i="13"/>
  <c r="O84" i="13"/>
  <c r="N84" i="13"/>
  <c r="M84" i="13"/>
  <c r="L84" i="13"/>
  <c r="K84" i="13"/>
  <c r="J84" i="13"/>
  <c r="I84" i="13"/>
  <c r="H84" i="13"/>
  <c r="G84" i="13"/>
  <c r="F84" i="13"/>
  <c r="E84" i="13"/>
  <c r="D84" i="13"/>
  <c r="AO84" i="13" s="1"/>
  <c r="AJ83" i="13"/>
  <c r="AI83" i="13"/>
  <c r="AH83" i="13"/>
  <c r="AG83" i="13"/>
  <c r="AF83" i="13"/>
  <c r="AE83" i="13"/>
  <c r="AD83" i="13"/>
  <c r="AC83" i="13"/>
  <c r="AB83" i="13"/>
  <c r="AA83" i="13"/>
  <c r="Z83" i="13"/>
  <c r="Y83" i="13"/>
  <c r="X83" i="13"/>
  <c r="W83" i="13"/>
  <c r="V83" i="13"/>
  <c r="U83" i="13"/>
  <c r="T83" i="13"/>
  <c r="S83" i="13"/>
  <c r="R83" i="13"/>
  <c r="Q83" i="13"/>
  <c r="P83" i="13"/>
  <c r="O83" i="13"/>
  <c r="N83" i="13"/>
  <c r="M83" i="13"/>
  <c r="L83" i="13"/>
  <c r="K83" i="13"/>
  <c r="J83" i="13"/>
  <c r="I83" i="13"/>
  <c r="H83" i="13"/>
  <c r="G83" i="13"/>
  <c r="F83" i="13"/>
  <c r="E83" i="13"/>
  <c r="D83" i="13"/>
  <c r="AO83" i="13" s="1"/>
  <c r="AJ82" i="13"/>
  <c r="AI82" i="13"/>
  <c r="AH82" i="13"/>
  <c r="AG82" i="13"/>
  <c r="AF82" i="13"/>
  <c r="AE82" i="13"/>
  <c r="AD82" i="13"/>
  <c r="AC82" i="13"/>
  <c r="AB82" i="13"/>
  <c r="AA82" i="13"/>
  <c r="Z82" i="13"/>
  <c r="Y82" i="13"/>
  <c r="X82" i="13"/>
  <c r="W82" i="13"/>
  <c r="V82" i="13"/>
  <c r="U82" i="13"/>
  <c r="T82" i="13"/>
  <c r="S82" i="13"/>
  <c r="R82" i="13"/>
  <c r="Q82" i="13"/>
  <c r="P82" i="13"/>
  <c r="O82" i="13"/>
  <c r="N82" i="13"/>
  <c r="M82" i="13"/>
  <c r="L82" i="13"/>
  <c r="K82" i="13"/>
  <c r="J82" i="13"/>
  <c r="I82" i="13"/>
  <c r="H82" i="13"/>
  <c r="G82" i="13"/>
  <c r="F82" i="13"/>
  <c r="E82" i="13"/>
  <c r="D82" i="13"/>
  <c r="AJ81" i="13"/>
  <c r="AI81" i="13"/>
  <c r="AH81" i="13"/>
  <c r="AG81" i="13"/>
  <c r="AF81" i="13"/>
  <c r="AE81" i="13"/>
  <c r="AD81" i="13"/>
  <c r="AC81" i="13"/>
  <c r="AB81" i="13"/>
  <c r="AA81" i="13"/>
  <c r="Z81" i="13"/>
  <c r="Y81" i="13"/>
  <c r="X81" i="13"/>
  <c r="W81" i="13"/>
  <c r="V81" i="13"/>
  <c r="U81" i="13"/>
  <c r="T81" i="13"/>
  <c r="S81" i="13"/>
  <c r="R81" i="13"/>
  <c r="Q81" i="13"/>
  <c r="P81" i="13"/>
  <c r="O81" i="13"/>
  <c r="N81" i="13"/>
  <c r="M81" i="13"/>
  <c r="L81" i="13"/>
  <c r="K81" i="13"/>
  <c r="J81" i="13"/>
  <c r="I81" i="13"/>
  <c r="H81" i="13"/>
  <c r="G81" i="13"/>
  <c r="F81" i="13"/>
  <c r="E81" i="13"/>
  <c r="D81" i="13"/>
  <c r="AJ80" i="13"/>
  <c r="AI80" i="13"/>
  <c r="AH80" i="13"/>
  <c r="AG80" i="13"/>
  <c r="AF80" i="13"/>
  <c r="AE80" i="13"/>
  <c r="AD80" i="13"/>
  <c r="AC80" i="13"/>
  <c r="AB80" i="13"/>
  <c r="AA80" i="13"/>
  <c r="Z80" i="13"/>
  <c r="Y80" i="13"/>
  <c r="X80" i="13"/>
  <c r="W80" i="13"/>
  <c r="V80" i="13"/>
  <c r="U80" i="13"/>
  <c r="T80" i="13"/>
  <c r="S80" i="13"/>
  <c r="R80" i="13"/>
  <c r="Q80" i="13"/>
  <c r="P80" i="13"/>
  <c r="O80" i="13"/>
  <c r="N80" i="13"/>
  <c r="M80" i="13"/>
  <c r="L80" i="13"/>
  <c r="K80" i="13"/>
  <c r="J80" i="13"/>
  <c r="I80" i="13"/>
  <c r="H80" i="13"/>
  <c r="G80" i="13"/>
  <c r="F80" i="13"/>
  <c r="E80" i="13"/>
  <c r="AO80" i="13" s="1"/>
  <c r="D80" i="13"/>
  <c r="C80" i="13"/>
  <c r="AJ79" i="13"/>
  <c r="AI79" i="13"/>
  <c r="AH79" i="13"/>
  <c r="AG79" i="13"/>
  <c r="AF79" i="13"/>
  <c r="AE79" i="13"/>
  <c r="AD79" i="13"/>
  <c r="AC79" i="13"/>
  <c r="AB79" i="13"/>
  <c r="AA79" i="13"/>
  <c r="Z79" i="13"/>
  <c r="Y79" i="13"/>
  <c r="X79" i="13"/>
  <c r="W79" i="13"/>
  <c r="V79" i="13"/>
  <c r="AM79" i="13" s="1"/>
  <c r="U79" i="13"/>
  <c r="T79" i="13"/>
  <c r="S79" i="13"/>
  <c r="R79" i="13"/>
  <c r="Q79" i="13"/>
  <c r="P79" i="13"/>
  <c r="O79" i="13"/>
  <c r="N79" i="13"/>
  <c r="M79" i="13"/>
  <c r="L79" i="13"/>
  <c r="K79" i="13"/>
  <c r="J79" i="13"/>
  <c r="I79" i="13"/>
  <c r="H79" i="13"/>
  <c r="G79" i="13"/>
  <c r="F79" i="13"/>
  <c r="E79" i="13"/>
  <c r="D79" i="13"/>
  <c r="AO79" i="13" s="1"/>
  <c r="AJ78" i="13"/>
  <c r="AI78" i="13"/>
  <c r="AH78" i="13"/>
  <c r="AG78" i="13"/>
  <c r="AF78" i="13"/>
  <c r="AE78" i="13"/>
  <c r="AD78" i="13"/>
  <c r="AC78" i="13"/>
  <c r="AB78" i="13"/>
  <c r="AA78" i="13"/>
  <c r="Z78" i="13"/>
  <c r="Y78" i="13"/>
  <c r="X78" i="13"/>
  <c r="W78" i="13"/>
  <c r="V78" i="13"/>
  <c r="U78" i="13"/>
  <c r="T78" i="13"/>
  <c r="S78" i="13"/>
  <c r="R78" i="13"/>
  <c r="Q78" i="13"/>
  <c r="P78" i="13"/>
  <c r="O78" i="13"/>
  <c r="N78" i="13"/>
  <c r="M78" i="13"/>
  <c r="L78" i="13"/>
  <c r="K78" i="13"/>
  <c r="J78" i="13"/>
  <c r="I78" i="13"/>
  <c r="H78" i="13"/>
  <c r="G78" i="13"/>
  <c r="F78" i="13"/>
  <c r="E78" i="13"/>
  <c r="D78" i="13"/>
  <c r="AJ77" i="13"/>
  <c r="AI77" i="13"/>
  <c r="AH77" i="13"/>
  <c r="AG77" i="13"/>
  <c r="AF77" i="13"/>
  <c r="AE77" i="13"/>
  <c r="AD77" i="13"/>
  <c r="AC77" i="13"/>
  <c r="AB77" i="13"/>
  <c r="AA77" i="13"/>
  <c r="Z77" i="13"/>
  <c r="Y77" i="13"/>
  <c r="X77" i="13"/>
  <c r="W77" i="13"/>
  <c r="V77" i="13"/>
  <c r="U77" i="13"/>
  <c r="T77" i="13"/>
  <c r="S77" i="13"/>
  <c r="R77" i="13"/>
  <c r="Q77" i="13"/>
  <c r="P77" i="13"/>
  <c r="O77" i="13"/>
  <c r="N77" i="13"/>
  <c r="M77" i="13"/>
  <c r="L77" i="13"/>
  <c r="K77" i="13"/>
  <c r="J77" i="13"/>
  <c r="I77" i="13"/>
  <c r="H77" i="13"/>
  <c r="G77" i="13"/>
  <c r="F77" i="13"/>
  <c r="E77" i="13"/>
  <c r="D77" i="13"/>
  <c r="AJ76" i="13"/>
  <c r="AI76" i="13"/>
  <c r="AH76" i="13"/>
  <c r="AG76" i="13"/>
  <c r="AF76" i="13"/>
  <c r="AE76" i="13"/>
  <c r="AD76" i="13"/>
  <c r="AC76" i="13"/>
  <c r="AB76" i="13"/>
  <c r="AA76" i="13"/>
  <c r="Z76" i="13"/>
  <c r="Y76" i="13"/>
  <c r="X76" i="13"/>
  <c r="W76" i="13"/>
  <c r="V76" i="13"/>
  <c r="U76" i="13"/>
  <c r="T76" i="13"/>
  <c r="S76" i="13"/>
  <c r="R76" i="13"/>
  <c r="Q76" i="13"/>
  <c r="P76" i="13"/>
  <c r="O76" i="13"/>
  <c r="N76" i="13"/>
  <c r="M76" i="13"/>
  <c r="L76" i="13"/>
  <c r="K76" i="13"/>
  <c r="J76" i="13"/>
  <c r="I76" i="13"/>
  <c r="H76" i="13"/>
  <c r="G76" i="13"/>
  <c r="F76" i="13"/>
  <c r="E76" i="13"/>
  <c r="AO76" i="13" s="1"/>
  <c r="D76" i="13"/>
  <c r="AJ75" i="13"/>
  <c r="AI75" i="13"/>
  <c r="AH75" i="13"/>
  <c r="AG75" i="13"/>
  <c r="AF75" i="13"/>
  <c r="AE75" i="13"/>
  <c r="AD75" i="13"/>
  <c r="AC75" i="13"/>
  <c r="AB75" i="13"/>
  <c r="AA75" i="13"/>
  <c r="Z75" i="13"/>
  <c r="Y75" i="13"/>
  <c r="X75" i="13"/>
  <c r="W75" i="13"/>
  <c r="V75" i="13"/>
  <c r="U75" i="13"/>
  <c r="T75" i="13"/>
  <c r="S75" i="13"/>
  <c r="R75" i="13"/>
  <c r="Q75" i="13"/>
  <c r="P75" i="13"/>
  <c r="O75" i="13"/>
  <c r="N75" i="13"/>
  <c r="M75" i="13"/>
  <c r="L75" i="13"/>
  <c r="K75" i="13"/>
  <c r="J75" i="13"/>
  <c r="I75" i="13"/>
  <c r="H75" i="13"/>
  <c r="G75" i="13"/>
  <c r="F75" i="13"/>
  <c r="E75" i="13"/>
  <c r="D75" i="13"/>
  <c r="AJ74" i="13"/>
  <c r="AI74" i="13"/>
  <c r="AH74" i="13"/>
  <c r="AG74" i="13"/>
  <c r="AF74" i="13"/>
  <c r="AE74" i="13"/>
  <c r="AD74" i="13"/>
  <c r="AC74" i="13"/>
  <c r="AB74" i="13"/>
  <c r="AA74" i="13"/>
  <c r="Z74" i="13"/>
  <c r="Y74" i="13"/>
  <c r="X74" i="13"/>
  <c r="W74" i="13"/>
  <c r="V74" i="13"/>
  <c r="U74" i="13"/>
  <c r="T74" i="13"/>
  <c r="AM74" i="13" s="1"/>
  <c r="S74" i="13"/>
  <c r="R74" i="13"/>
  <c r="Q74" i="13"/>
  <c r="P74" i="13"/>
  <c r="O74" i="13"/>
  <c r="N74" i="13"/>
  <c r="M74" i="13"/>
  <c r="L74" i="13"/>
  <c r="K74" i="13"/>
  <c r="J74" i="13"/>
  <c r="I74" i="13"/>
  <c r="H74" i="13"/>
  <c r="G74" i="13"/>
  <c r="F74" i="13"/>
  <c r="E74" i="13"/>
  <c r="D74" i="13"/>
  <c r="AO74" i="13" s="1"/>
  <c r="AJ73" i="13"/>
  <c r="AI73" i="13"/>
  <c r="AH73" i="13"/>
  <c r="AG73" i="13"/>
  <c r="AF73" i="13"/>
  <c r="AE73" i="13"/>
  <c r="AD73" i="13"/>
  <c r="AC73" i="13"/>
  <c r="AB73" i="13"/>
  <c r="AA73" i="13"/>
  <c r="Z73" i="13"/>
  <c r="Y73" i="13"/>
  <c r="X73" i="13"/>
  <c r="W73" i="13"/>
  <c r="V73" i="13"/>
  <c r="U73" i="13"/>
  <c r="T73" i="13"/>
  <c r="S73" i="13"/>
  <c r="R73" i="13"/>
  <c r="Q73" i="13"/>
  <c r="P73" i="13"/>
  <c r="O73" i="13"/>
  <c r="N73" i="13"/>
  <c r="M73" i="13"/>
  <c r="L73" i="13"/>
  <c r="K73" i="13"/>
  <c r="J73" i="13"/>
  <c r="I73" i="13"/>
  <c r="H73" i="13"/>
  <c r="G73" i="13"/>
  <c r="F73" i="13"/>
  <c r="E73" i="13"/>
  <c r="D73" i="13"/>
  <c r="AJ72" i="13"/>
  <c r="AI72" i="13"/>
  <c r="AH72" i="13"/>
  <c r="AG72" i="13"/>
  <c r="AF72" i="13"/>
  <c r="AE72" i="13"/>
  <c r="AD72" i="13"/>
  <c r="AC72" i="13"/>
  <c r="AB72" i="13"/>
  <c r="AA72" i="13"/>
  <c r="Z72" i="13"/>
  <c r="Y72" i="13"/>
  <c r="X72" i="13"/>
  <c r="W72" i="13"/>
  <c r="V72" i="13"/>
  <c r="U72" i="13"/>
  <c r="T72" i="13"/>
  <c r="S72" i="13"/>
  <c r="R72" i="13"/>
  <c r="Q72" i="13"/>
  <c r="P72" i="13"/>
  <c r="O72" i="13"/>
  <c r="N72" i="13"/>
  <c r="M72" i="13"/>
  <c r="L72" i="13"/>
  <c r="K72" i="13"/>
  <c r="J72" i="13"/>
  <c r="I72" i="13"/>
  <c r="H72" i="13"/>
  <c r="G72" i="13"/>
  <c r="F72" i="13"/>
  <c r="E72" i="13"/>
  <c r="D72" i="13"/>
  <c r="AO72" i="13" s="1"/>
  <c r="AJ71" i="13"/>
  <c r="AI71" i="13"/>
  <c r="AH71" i="13"/>
  <c r="AG71" i="13"/>
  <c r="AF71" i="13"/>
  <c r="AE71" i="13"/>
  <c r="AD71" i="13"/>
  <c r="AC71" i="13"/>
  <c r="AB71" i="13"/>
  <c r="AA71" i="13"/>
  <c r="Z71" i="13"/>
  <c r="Y71" i="13"/>
  <c r="X71" i="13"/>
  <c r="W71" i="13"/>
  <c r="V71" i="13"/>
  <c r="U71" i="13"/>
  <c r="T71" i="13"/>
  <c r="S71" i="13"/>
  <c r="R71" i="13"/>
  <c r="Q71" i="13"/>
  <c r="P71" i="13"/>
  <c r="O71" i="13"/>
  <c r="N71" i="13"/>
  <c r="M71" i="13"/>
  <c r="L71" i="13"/>
  <c r="K71" i="13"/>
  <c r="J71" i="13"/>
  <c r="I71" i="13"/>
  <c r="H71" i="13"/>
  <c r="G71" i="13"/>
  <c r="F71" i="13"/>
  <c r="E71" i="13"/>
  <c r="D71" i="13"/>
  <c r="AT70" i="13"/>
  <c r="C69" i="13"/>
  <c r="C199" i="13" s="1"/>
  <c r="C68" i="13"/>
  <c r="C198" i="13" s="1"/>
  <c r="C67" i="13"/>
  <c r="C132" i="13" s="1"/>
  <c r="C66" i="13"/>
  <c r="C131" i="13" s="1"/>
  <c r="C65" i="13"/>
  <c r="C64" i="13"/>
  <c r="C63" i="13"/>
  <c r="C128" i="13" s="1"/>
  <c r="C62" i="13"/>
  <c r="C61" i="13"/>
  <c r="C191" i="13" s="1"/>
  <c r="C60" i="13"/>
  <c r="C190" i="13" s="1"/>
  <c r="C59" i="13"/>
  <c r="C124" i="13" s="1"/>
  <c r="C58" i="13"/>
  <c r="C123" i="13" s="1"/>
  <c r="C57" i="13"/>
  <c r="C56" i="13"/>
  <c r="C186" i="13" s="1"/>
  <c r="C55" i="13"/>
  <c r="C120" i="13" s="1"/>
  <c r="C54" i="13"/>
  <c r="C119" i="13" s="1"/>
  <c r="C53" i="13"/>
  <c r="C52" i="13"/>
  <c r="C51" i="13"/>
  <c r="C116" i="13" s="1"/>
  <c r="C50" i="13"/>
  <c r="C49" i="13"/>
  <c r="C179" i="13" s="1"/>
  <c r="C48" i="13"/>
  <c r="C178" i="13" s="1"/>
  <c r="C47" i="13"/>
  <c r="C112" i="13" s="1"/>
  <c r="C46" i="13"/>
  <c r="C45" i="13"/>
  <c r="C44" i="13"/>
  <c r="C174" i="13" s="1"/>
  <c r="C43" i="13"/>
  <c r="C108" i="13" s="1"/>
  <c r="C42" i="13"/>
  <c r="C107" i="13" s="1"/>
  <c r="C41" i="13"/>
  <c r="C40" i="13"/>
  <c r="C39" i="13"/>
  <c r="C104" i="13" s="1"/>
  <c r="C38" i="13"/>
  <c r="C37" i="13"/>
  <c r="C167" i="13" s="1"/>
  <c r="C36" i="13"/>
  <c r="C166" i="13" s="1"/>
  <c r="C35" i="13"/>
  <c r="C100" i="13" s="1"/>
  <c r="C34" i="13"/>
  <c r="C33" i="13"/>
  <c r="C32" i="13"/>
  <c r="C162" i="13" s="1"/>
  <c r="C31" i="13"/>
  <c r="C96" i="13" s="1"/>
  <c r="C30" i="13"/>
  <c r="C95" i="13" s="1"/>
  <c r="C29" i="13"/>
  <c r="C28" i="13"/>
  <c r="C27" i="13"/>
  <c r="C92" i="13" s="1"/>
  <c r="C26" i="13"/>
  <c r="C25" i="13"/>
  <c r="C155" i="13" s="1"/>
  <c r="C24" i="13"/>
  <c r="C154" i="13" s="1"/>
  <c r="C23" i="13"/>
  <c r="C88" i="13" s="1"/>
  <c r="C22" i="13"/>
  <c r="C21" i="13"/>
  <c r="C20" i="13"/>
  <c r="C150" i="13" s="1"/>
  <c r="C19" i="13"/>
  <c r="C149" i="13" s="1"/>
  <c r="C18" i="13"/>
  <c r="C83" i="13" s="1"/>
  <c r="C17" i="13"/>
  <c r="C147" i="13" s="1"/>
  <c r="C16" i="13"/>
  <c r="C146" i="13" s="1"/>
  <c r="C15" i="13"/>
  <c r="C14" i="13"/>
  <c r="C79" i="13" s="1"/>
  <c r="C13" i="13"/>
  <c r="C12" i="13"/>
  <c r="C11" i="13"/>
  <c r="C76" i="13" s="1"/>
  <c r="C10" i="13"/>
  <c r="C75" i="13" s="1"/>
  <c r="C9" i="13"/>
  <c r="C8" i="13"/>
  <c r="C138" i="13" s="1"/>
  <c r="AW7" i="13"/>
  <c r="C7" i="13"/>
  <c r="C72" i="13" s="1"/>
  <c r="AW6" i="13"/>
  <c r="B6" i="13" s="1"/>
  <c r="AL6" i="13"/>
  <c r="AT6" i="13" s="1"/>
  <c r="C6" i="13"/>
  <c r="C71" i="13" s="1"/>
  <c r="AQ191" i="13" l="1"/>
  <c r="AS61" i="13" s="1"/>
  <c r="AU11" i="13"/>
  <c r="AU10" i="13"/>
  <c r="AM80" i="13"/>
  <c r="AO92" i="13"/>
  <c r="AN97" i="13"/>
  <c r="AM107" i="13"/>
  <c r="AM114" i="13"/>
  <c r="AQ114" i="13"/>
  <c r="AR49" i="13" s="1"/>
  <c r="AM116" i="13"/>
  <c r="AO119" i="13"/>
  <c r="AN119" i="13"/>
  <c r="AQ119" i="13" s="1"/>
  <c r="AO125" i="13"/>
  <c r="AO130" i="13"/>
  <c r="AM130" i="13"/>
  <c r="C136" i="13"/>
  <c r="AQ136" i="13" s="1"/>
  <c r="AS6" i="13" s="1"/>
  <c r="AM147" i="13"/>
  <c r="C148" i="13"/>
  <c r="AM151" i="13"/>
  <c r="AM152" i="13"/>
  <c r="AN157" i="13"/>
  <c r="AO158" i="13"/>
  <c r="AN158" i="13"/>
  <c r="AQ158" i="13" s="1"/>
  <c r="AS28" i="13" s="1"/>
  <c r="AM158" i="13"/>
  <c r="AL161" i="13"/>
  <c r="AM163" i="13"/>
  <c r="AM168" i="13"/>
  <c r="AO173" i="13"/>
  <c r="AM173" i="13"/>
  <c r="AN177" i="13"/>
  <c r="AN185" i="13"/>
  <c r="AN186" i="13"/>
  <c r="AM186" i="13"/>
  <c r="AL189" i="13"/>
  <c r="AN191" i="13"/>
  <c r="AN196" i="13"/>
  <c r="AQ196" i="13" s="1"/>
  <c r="AS66" i="13" s="1"/>
  <c r="AM72" i="13"/>
  <c r="AM76" i="13"/>
  <c r="AM83" i="13"/>
  <c r="C84" i="13"/>
  <c r="AM87" i="13"/>
  <c r="AQ87" i="13" s="1"/>
  <c r="AO88" i="13"/>
  <c r="AM98" i="13"/>
  <c r="AO103" i="13"/>
  <c r="AN108" i="13"/>
  <c r="AL113" i="13"/>
  <c r="AO115" i="13"/>
  <c r="AM126" i="13"/>
  <c r="AN130" i="13"/>
  <c r="AQ130" i="13" s="1"/>
  <c r="AR65" i="13" s="1"/>
  <c r="AM139" i="13"/>
  <c r="AO140" i="13"/>
  <c r="AM140" i="13"/>
  <c r="AL140" i="13"/>
  <c r="AO148" i="13"/>
  <c r="AM148" i="13"/>
  <c r="AQ148" i="13" s="1"/>
  <c r="AS18" i="13" s="1"/>
  <c r="AL148" i="13"/>
  <c r="AO153" i="13"/>
  <c r="AM153" i="13"/>
  <c r="AO164" i="13"/>
  <c r="AM164" i="13"/>
  <c r="AO178" i="13"/>
  <c r="AQ178" i="13" s="1"/>
  <c r="AS48" i="13" s="1"/>
  <c r="AN178" i="13"/>
  <c r="AM178" i="13"/>
  <c r="AL185" i="13"/>
  <c r="AM191" i="13"/>
  <c r="C197" i="13"/>
  <c r="AN74" i="13"/>
  <c r="AO75" i="13"/>
  <c r="AN84" i="13"/>
  <c r="AO90" i="13"/>
  <c r="AO94" i="13"/>
  <c r="AM94" i="13"/>
  <c r="AM103" i="13"/>
  <c r="AN104" i="13"/>
  <c r="AL108" i="13"/>
  <c r="AM115" i="13"/>
  <c r="AN120" i="13"/>
  <c r="AQ120" i="13" s="1"/>
  <c r="AM131" i="13"/>
  <c r="C137" i="13"/>
  <c r="AO141" i="13"/>
  <c r="AN141" i="13"/>
  <c r="AN144" i="13"/>
  <c r="AO145" i="13"/>
  <c r="AO155" i="13"/>
  <c r="AQ155" i="13" s="1"/>
  <c r="AS25" i="13" s="1"/>
  <c r="AN155" i="13"/>
  <c r="AO165" i="13"/>
  <c r="AM165" i="13"/>
  <c r="AN168" i="13"/>
  <c r="AQ168" i="13" s="1"/>
  <c r="AS38" i="13" s="1"/>
  <c r="AO169" i="13"/>
  <c r="AM169" i="13"/>
  <c r="AM179" i="13"/>
  <c r="AN183" i="13"/>
  <c r="AN188" i="13"/>
  <c r="C193" i="13"/>
  <c r="AN80" i="13"/>
  <c r="AO95" i="13"/>
  <c r="AQ95" i="13" s="1"/>
  <c r="AR30" i="13" s="1"/>
  <c r="AM99" i="13"/>
  <c r="AL100" i="13"/>
  <c r="AL101" i="13"/>
  <c r="AN105" i="13"/>
  <c r="AM105" i="13"/>
  <c r="AO111" i="13"/>
  <c r="AQ111" i="13" s="1"/>
  <c r="AR46" i="13" s="1"/>
  <c r="AN111" i="13"/>
  <c r="AN116" i="13"/>
  <c r="AL120" i="13"/>
  <c r="AM124" i="13"/>
  <c r="AM127" i="13"/>
  <c r="AO132" i="13"/>
  <c r="AQ132" i="13" s="1"/>
  <c r="AR67" i="13" s="1"/>
  <c r="AL132" i="13"/>
  <c r="AN136" i="13"/>
  <c r="AO137" i="13"/>
  <c r="AO149" i="13"/>
  <c r="AN149" i="13"/>
  <c r="AM155" i="13"/>
  <c r="AM156" i="13"/>
  <c r="AQ156" i="13"/>
  <c r="AS26" i="13" s="1"/>
  <c r="C161" i="13"/>
  <c r="AN169" i="13"/>
  <c r="AQ169" i="13" s="1"/>
  <c r="AS39" i="13" s="1"/>
  <c r="AO170" i="13"/>
  <c r="AN170" i="13"/>
  <c r="AM175" i="13"/>
  <c r="AO180" i="13"/>
  <c r="AQ180" i="13" s="1"/>
  <c r="AS50" i="13" s="1"/>
  <c r="AN180" i="13"/>
  <c r="AM180" i="13"/>
  <c r="AM183" i="13"/>
  <c r="AO189" i="13"/>
  <c r="AQ189" i="13" s="1"/>
  <c r="AS59" i="13" s="1"/>
  <c r="AO193" i="13"/>
  <c r="AM193" i="13"/>
  <c r="AO198" i="13"/>
  <c r="AQ198" i="13" s="1"/>
  <c r="AS68" i="13" s="1"/>
  <c r="AN198" i="13"/>
  <c r="AM108" i="13"/>
  <c r="AN117" i="13"/>
  <c r="AM117" i="13"/>
  <c r="AN122" i="13"/>
  <c r="AO123" i="13"/>
  <c r="AQ123" i="13" s="1"/>
  <c r="AR58" i="13" s="1"/>
  <c r="AO133" i="13"/>
  <c r="AQ133" i="13" s="1"/>
  <c r="AR68" i="13" s="1"/>
  <c r="AN133" i="13"/>
  <c r="AN142" i="13"/>
  <c r="AN160" i="13"/>
  <c r="AQ160" i="13" s="1"/>
  <c r="AS30" i="13" s="1"/>
  <c r="AO161" i="13"/>
  <c r="AM161" i="13"/>
  <c r="AN166" i="13"/>
  <c r="AM166" i="13"/>
  <c r="AN171" i="13"/>
  <c r="AO176" i="13"/>
  <c r="AQ176" i="13" s="1"/>
  <c r="AS46" i="13" s="1"/>
  <c r="AM176" i="13"/>
  <c r="AO184" i="13"/>
  <c r="AN184" i="13"/>
  <c r="AM184" i="13"/>
  <c r="AM188" i="13"/>
  <c r="AQ188" i="13" s="1"/>
  <c r="AS58" i="13" s="1"/>
  <c r="AM192" i="13"/>
  <c r="AN193" i="13"/>
  <c r="AN194" i="13"/>
  <c r="AM194" i="13"/>
  <c r="AN199" i="13"/>
  <c r="AL71" i="13"/>
  <c r="AN77" i="13"/>
  <c r="AM77" i="13"/>
  <c r="AL80" i="13"/>
  <c r="AM86" i="13"/>
  <c r="AM88" i="13"/>
  <c r="AM92" i="13"/>
  <c r="AM95" i="13"/>
  <c r="AN101" i="13"/>
  <c r="AO107" i="13"/>
  <c r="AM111" i="13"/>
  <c r="AN112" i="13"/>
  <c r="AQ112" i="13" s="1"/>
  <c r="AR47" i="13" s="1"/>
  <c r="AL116" i="13"/>
  <c r="AM118" i="13"/>
  <c r="AO134" i="13"/>
  <c r="AQ134" i="13" s="1"/>
  <c r="AR70" i="13" s="1"/>
  <c r="AN143" i="13"/>
  <c r="AN146" i="13"/>
  <c r="AM146" i="13"/>
  <c r="AN150" i="13"/>
  <c r="C157" i="13"/>
  <c r="AN161" i="13"/>
  <c r="AQ161" i="13" s="1"/>
  <c r="AS31" i="13" s="1"/>
  <c r="AO162" i="13"/>
  <c r="AQ162" i="13" s="1"/>
  <c r="AS32" i="13" s="1"/>
  <c r="AN162" i="13"/>
  <c r="AN167" i="13"/>
  <c r="AL169" i="13"/>
  <c r="AM171" i="13"/>
  <c r="AO172" i="13"/>
  <c r="AM172" i="13"/>
  <c r="AL172" i="13"/>
  <c r="C181" i="13"/>
  <c r="C185" i="13"/>
  <c r="AN195" i="13"/>
  <c r="AM199" i="13"/>
  <c r="AO71" i="13"/>
  <c r="AM75" i="13"/>
  <c r="AM81" i="13"/>
  <c r="AL84" i="13"/>
  <c r="AM71" i="13"/>
  <c r="AL73" i="13"/>
  <c r="AM84" i="13"/>
  <c r="AN86" i="13"/>
  <c r="AN87" i="13"/>
  <c r="AM91" i="13"/>
  <c r="AM104" i="13"/>
  <c r="AQ104" i="13" s="1"/>
  <c r="AR39" i="13" s="1"/>
  <c r="AL112" i="13"/>
  <c r="AN118" i="13"/>
  <c r="AM120" i="13"/>
  <c r="AM123" i="13"/>
  <c r="AO124" i="13"/>
  <c r="AN134" i="13"/>
  <c r="AN138" i="13"/>
  <c r="AM138" i="13"/>
  <c r="AM143" i="13"/>
  <c r="C144" i="13"/>
  <c r="AN151" i="13"/>
  <c r="AN156" i="13"/>
  <c r="AO157" i="13"/>
  <c r="AQ157" i="13" s="1"/>
  <c r="AS27" i="13" s="1"/>
  <c r="AN163" i="13"/>
  <c r="AM167" i="13"/>
  <c r="C173" i="13"/>
  <c r="AO177" i="13"/>
  <c r="AQ177" i="13" s="1"/>
  <c r="AS47" i="13" s="1"/>
  <c r="AO181" i="13"/>
  <c r="AQ181" i="13" s="1"/>
  <c r="AS51" i="13" s="1"/>
  <c r="AO185" i="13"/>
  <c r="AM185" i="13"/>
  <c r="AQ185" i="13" s="1"/>
  <c r="AS55" i="13" s="1"/>
  <c r="AO190" i="13"/>
  <c r="AQ190" i="13" s="1"/>
  <c r="AS60" i="13" s="1"/>
  <c r="AN190" i="13"/>
  <c r="AM195" i="13"/>
  <c r="AM196" i="13"/>
  <c r="AQ116" i="13"/>
  <c r="AQ172" i="13"/>
  <c r="AS42" i="13" s="1"/>
  <c r="AQ88" i="13"/>
  <c r="AQ108" i="13"/>
  <c r="AR43" i="13" s="1"/>
  <c r="AL197" i="13"/>
  <c r="AL177" i="13"/>
  <c r="AL174" i="13"/>
  <c r="AQ174" i="13" s="1"/>
  <c r="AS44" i="13" s="1"/>
  <c r="AL181" i="13"/>
  <c r="AL193" i="13"/>
  <c r="AQ193" i="13" s="1"/>
  <c r="AS63" i="13" s="1"/>
  <c r="AL104" i="13"/>
  <c r="AL173" i="13"/>
  <c r="AQ173" i="13" s="1"/>
  <c r="AS43" i="13" s="1"/>
  <c r="AL105" i="13"/>
  <c r="AQ105" i="13" s="1"/>
  <c r="AR40" i="13" s="1"/>
  <c r="AL129" i="13"/>
  <c r="AL199" i="13"/>
  <c r="AL117" i="13"/>
  <c r="AL124" i="13"/>
  <c r="AL178" i="13"/>
  <c r="AL109" i="13"/>
  <c r="AL133" i="13"/>
  <c r="AL121" i="13"/>
  <c r="AL170" i="13"/>
  <c r="AL106" i="13"/>
  <c r="AL176" i="13"/>
  <c r="AL190" i="13"/>
  <c r="AL128" i="13"/>
  <c r="AL103" i="13"/>
  <c r="AL182" i="13"/>
  <c r="AL157" i="13"/>
  <c r="AR23" i="13"/>
  <c r="AL78" i="13"/>
  <c r="AL88" i="13"/>
  <c r="AL153" i="13"/>
  <c r="AQ153" i="13" s="1"/>
  <c r="AS23" i="13" s="1"/>
  <c r="AL154" i="13"/>
  <c r="AL96" i="13"/>
  <c r="AL89" i="13"/>
  <c r="AL165" i="13"/>
  <c r="AQ165" i="13" s="1"/>
  <c r="AS35" i="13" s="1"/>
  <c r="AL94" i="13"/>
  <c r="AL99" i="13"/>
  <c r="AL164" i="13"/>
  <c r="AL158" i="13"/>
  <c r="AL91" i="13"/>
  <c r="AL98" i="13"/>
  <c r="AL97" i="13"/>
  <c r="AL93" i="13"/>
  <c r="AL162" i="13"/>
  <c r="AL95" i="13"/>
  <c r="AL155" i="13"/>
  <c r="AL102" i="13"/>
  <c r="AL76" i="13"/>
  <c r="AL75" i="13"/>
  <c r="AL77" i="13"/>
  <c r="AL81" i="13"/>
  <c r="AL72" i="13"/>
  <c r="AQ75" i="13"/>
  <c r="AR10" i="13" s="1"/>
  <c r="C194" i="13"/>
  <c r="C129" i="13"/>
  <c r="AN75" i="13"/>
  <c r="AN76" i="13"/>
  <c r="AM82" i="13"/>
  <c r="AL87" i="13"/>
  <c r="AL90" i="13"/>
  <c r="C115" i="13"/>
  <c r="C180" i="13"/>
  <c r="AM73" i="13"/>
  <c r="AO78" i="13"/>
  <c r="AN83" i="13"/>
  <c r="AQ84" i="13"/>
  <c r="AR19" i="13" s="1"/>
  <c r="AN85" i="13"/>
  <c r="AM90" i="13"/>
  <c r="AN94" i="13"/>
  <c r="AQ94" i="13" s="1"/>
  <c r="AR29" i="13" s="1"/>
  <c r="AO97" i="13"/>
  <c r="AQ97" i="13" s="1"/>
  <c r="AR32" i="13" s="1"/>
  <c r="AO106" i="13"/>
  <c r="AQ106" i="13" s="1"/>
  <c r="AR41" i="13" s="1"/>
  <c r="AN113" i="13"/>
  <c r="AL115" i="13"/>
  <c r="AL118" i="13"/>
  <c r="AM129" i="13"/>
  <c r="AN131" i="13"/>
  <c r="AQ131" i="13" s="1"/>
  <c r="AR66" i="13" s="1"/>
  <c r="AN132" i="13"/>
  <c r="AL136" i="13"/>
  <c r="AL144" i="13"/>
  <c r="AO159" i="13"/>
  <c r="AQ159" i="13" s="1"/>
  <c r="AS29" i="13" s="1"/>
  <c r="AL159" i="13"/>
  <c r="AM162" i="13"/>
  <c r="AM170" i="13"/>
  <c r="AQ170" i="13" s="1"/>
  <c r="AS40" i="13" s="1"/>
  <c r="AN172" i="13"/>
  <c r="AO175" i="13"/>
  <c r="AQ175" i="13" s="1"/>
  <c r="AS45" i="13" s="1"/>
  <c r="AL175" i="13"/>
  <c r="AL184" i="13"/>
  <c r="AQ184" i="13" s="1"/>
  <c r="AS54" i="13" s="1"/>
  <c r="AL192" i="13"/>
  <c r="AL194" i="13"/>
  <c r="C99" i="13"/>
  <c r="C164" i="13"/>
  <c r="C142" i="13"/>
  <c r="C77" i="13"/>
  <c r="C171" i="13"/>
  <c r="C106" i="13"/>
  <c r="C195" i="13"/>
  <c r="C130" i="13"/>
  <c r="AO77" i="13"/>
  <c r="AO86" i="13"/>
  <c r="AM89" i="13"/>
  <c r="AQ89" i="13" s="1"/>
  <c r="AR24" i="13" s="1"/>
  <c r="AN91" i="13"/>
  <c r="AQ91" i="13" s="1"/>
  <c r="AR26" i="13" s="1"/>
  <c r="AN92" i="13"/>
  <c r="AQ92" i="13" s="1"/>
  <c r="AR27" i="13" s="1"/>
  <c r="AN102" i="13"/>
  <c r="AO105" i="13"/>
  <c r="AO114" i="13"/>
  <c r="AN121" i="13"/>
  <c r="AL123" i="13"/>
  <c r="AL126" i="13"/>
  <c r="AO143" i="13"/>
  <c r="AL143" i="13"/>
  <c r="AO151" i="13"/>
  <c r="AL151" i="13"/>
  <c r="AQ151" i="13" s="1"/>
  <c r="AM154" i="13"/>
  <c r="AQ154" i="13" s="1"/>
  <c r="AS24" i="13" s="1"/>
  <c r="AN164" i="13"/>
  <c r="C165" i="13"/>
  <c r="AO166" i="13"/>
  <c r="AQ166" i="13" s="1"/>
  <c r="AS36" i="13" s="1"/>
  <c r="AL166" i="13"/>
  <c r="AM177" i="13"/>
  <c r="AO183" i="13"/>
  <c r="AL183" i="13"/>
  <c r="AO191" i="13"/>
  <c r="AL191" i="13"/>
  <c r="AO199" i="13"/>
  <c r="AQ199" i="13" s="1"/>
  <c r="C151" i="13"/>
  <c r="C86" i="13"/>
  <c r="AN71" i="13"/>
  <c r="AQ71" i="13" s="1"/>
  <c r="AR6" i="13" s="1"/>
  <c r="AN73" i="13"/>
  <c r="AM78" i="13"/>
  <c r="AN82" i="13"/>
  <c r="AL83" i="13"/>
  <c r="AO85" i="13"/>
  <c r="AQ85" i="13" s="1"/>
  <c r="AR20" i="13" s="1"/>
  <c r="AM97" i="13"/>
  <c r="AN99" i="13"/>
  <c r="AQ99" i="13" s="1"/>
  <c r="AR34" i="13" s="1"/>
  <c r="AN100" i="13"/>
  <c r="AQ100" i="13" s="1"/>
  <c r="AR35" i="13" s="1"/>
  <c r="AM106" i="13"/>
  <c r="AN110" i="13"/>
  <c r="AO113" i="13"/>
  <c r="AQ113" i="13" s="1"/>
  <c r="AR48" i="13" s="1"/>
  <c r="AO122" i="13"/>
  <c r="AQ122" i="13" s="1"/>
  <c r="AR57" i="13" s="1"/>
  <c r="AN129" i="13"/>
  <c r="AL131" i="13"/>
  <c r="AL134" i="13"/>
  <c r="AM136" i="13"/>
  <c r="AM137" i="13"/>
  <c r="AQ137" i="13" s="1"/>
  <c r="AS7" i="13" s="1"/>
  <c r="AN139" i="13"/>
  <c r="AM144" i="13"/>
  <c r="AM145" i="13"/>
  <c r="AN147" i="13"/>
  <c r="AL156" i="13"/>
  <c r="AN187" i="13"/>
  <c r="C189" i="13"/>
  <c r="C103" i="13"/>
  <c r="C168" i="13"/>
  <c r="C175" i="13"/>
  <c r="C110" i="13"/>
  <c r="AN72" i="13"/>
  <c r="AN79" i="13"/>
  <c r="AQ80" i="13"/>
  <c r="AR15" i="13" s="1"/>
  <c r="AN81" i="13"/>
  <c r="AL86" i="13"/>
  <c r="AN90" i="13"/>
  <c r="AO93" i="13"/>
  <c r="AQ93" i="13" s="1"/>
  <c r="AR28" i="13" s="1"/>
  <c r="AO102" i="13"/>
  <c r="AQ102" i="13" s="1"/>
  <c r="AR37" i="13" s="1"/>
  <c r="AN109" i="13"/>
  <c r="AL111" i="13"/>
  <c r="AL114" i="13"/>
  <c r="AM125" i="13"/>
  <c r="AN127" i="13"/>
  <c r="AQ127" i="13" s="1"/>
  <c r="AR62" i="13" s="1"/>
  <c r="AN128" i="13"/>
  <c r="AQ128" i="13" s="1"/>
  <c r="AR63" i="13" s="1"/>
  <c r="AM134" i="13"/>
  <c r="C140" i="13"/>
  <c r="AQ140" i="13" s="1"/>
  <c r="AS10" i="13" s="1"/>
  <c r="C141" i="13"/>
  <c r="AO142" i="13"/>
  <c r="AL142" i="13"/>
  <c r="AO150" i="13"/>
  <c r="AL150" i="13"/>
  <c r="AO163" i="13"/>
  <c r="AQ163" i="13" s="1"/>
  <c r="AS33" i="13" s="1"/>
  <c r="AL163" i="13"/>
  <c r="AO171" i="13"/>
  <c r="AQ171" i="13" s="1"/>
  <c r="AS41" i="13" s="1"/>
  <c r="AL171" i="13"/>
  <c r="AL180" i="13"/>
  <c r="C127" i="13"/>
  <c r="C192" i="13"/>
  <c r="AL188" i="13"/>
  <c r="AL196" i="13"/>
  <c r="AL198" i="13"/>
  <c r="AO82" i="13"/>
  <c r="AN98" i="13"/>
  <c r="AO101" i="13"/>
  <c r="AQ101" i="13" s="1"/>
  <c r="AR36" i="13" s="1"/>
  <c r="AO110" i="13"/>
  <c r="AQ110" i="13" s="1"/>
  <c r="AR45" i="13" s="1"/>
  <c r="AR51" i="13"/>
  <c r="AL119" i="13"/>
  <c r="AL122" i="13"/>
  <c r="AM133" i="13"/>
  <c r="AN176" i="13"/>
  <c r="AO179" i="13"/>
  <c r="AQ179" i="13" s="1"/>
  <c r="AS49" i="13" s="1"/>
  <c r="AL179" i="13"/>
  <c r="C158" i="13"/>
  <c r="C93" i="13"/>
  <c r="AN107" i="13"/>
  <c r="AO121" i="13"/>
  <c r="AQ121" i="13" s="1"/>
  <c r="AR56" i="13" s="1"/>
  <c r="AM85" i="13"/>
  <c r="AM113" i="13"/>
  <c r="AN115" i="13"/>
  <c r="AM122" i="13"/>
  <c r="AO129" i="13"/>
  <c r="AQ129" i="13" s="1"/>
  <c r="AR64" i="13" s="1"/>
  <c r="AO139" i="13"/>
  <c r="AL139" i="13"/>
  <c r="AQ145" i="13"/>
  <c r="AS15" i="13" s="1"/>
  <c r="AO147" i="13"/>
  <c r="AL147" i="13"/>
  <c r="AM157" i="13"/>
  <c r="AN159" i="13"/>
  <c r="AN175" i="13"/>
  <c r="AO187" i="13"/>
  <c r="AQ187" i="13" s="1"/>
  <c r="AS57" i="13" s="1"/>
  <c r="AL187" i="13"/>
  <c r="AO195" i="13"/>
  <c r="AQ195" i="13" s="1"/>
  <c r="AS65" i="13" s="1"/>
  <c r="AL195" i="13"/>
  <c r="C139" i="13"/>
  <c r="C74" i="13"/>
  <c r="C182" i="13"/>
  <c r="C117" i="13"/>
  <c r="C87" i="13"/>
  <c r="C152" i="13"/>
  <c r="C159" i="13"/>
  <c r="C94" i="13"/>
  <c r="B136" i="13"/>
  <c r="B71" i="13"/>
  <c r="C111" i="13"/>
  <c r="C176" i="13"/>
  <c r="AO73" i="13"/>
  <c r="AL74" i="13"/>
  <c r="AQ74" i="13" s="1"/>
  <c r="AR9" i="13" s="1"/>
  <c r="AN78" i="13"/>
  <c r="AL79" i="13"/>
  <c r="AO81" i="13"/>
  <c r="AM93" i="13"/>
  <c r="AN95" i="13"/>
  <c r="AN96" i="13"/>
  <c r="AQ96" i="13" s="1"/>
  <c r="AR31" i="13" s="1"/>
  <c r="AM102" i="13"/>
  <c r="AN106" i="13"/>
  <c r="AO109" i="13"/>
  <c r="AQ109" i="13" s="1"/>
  <c r="AR44" i="13" s="1"/>
  <c r="AO118" i="13"/>
  <c r="AN125" i="13"/>
  <c r="AQ125" i="13" s="1"/>
  <c r="AR60" i="13" s="1"/>
  <c r="AL127" i="13"/>
  <c r="AL130" i="13"/>
  <c r="AM142" i="13"/>
  <c r="AM150" i="13"/>
  <c r="AL160" i="13"/>
  <c r="AL168" i="13"/>
  <c r="C177" i="13"/>
  <c r="AM181" i="13"/>
  <c r="AM182" i="13"/>
  <c r="AQ182" i="13" s="1"/>
  <c r="AS52" i="13" s="1"/>
  <c r="AM189" i="13"/>
  <c r="AM190" i="13"/>
  <c r="AN192" i="13"/>
  <c r="AQ192" i="13" s="1"/>
  <c r="AS62" i="13" s="1"/>
  <c r="AM197" i="13"/>
  <c r="AQ197" i="13" s="1"/>
  <c r="AS67" i="13" s="1"/>
  <c r="AM198" i="13"/>
  <c r="C187" i="13"/>
  <c r="C122" i="13"/>
  <c r="C170" i="13"/>
  <c r="C105" i="13"/>
  <c r="C183" i="13"/>
  <c r="C118" i="13"/>
  <c r="AQ76" i="13"/>
  <c r="AR11" i="13" s="1"/>
  <c r="AQ77" i="13"/>
  <c r="AR12" i="13" s="1"/>
  <c r="AL82" i="13"/>
  <c r="AO98" i="13"/>
  <c r="AQ98" i="13" s="1"/>
  <c r="AR33" i="13" s="1"/>
  <c r="AL107" i="13"/>
  <c r="AM121" i="13"/>
  <c r="AN123" i="13"/>
  <c r="AN124" i="13"/>
  <c r="AQ124" i="13" s="1"/>
  <c r="AR59" i="13" s="1"/>
  <c r="AM141" i="13"/>
  <c r="AQ141" i="13" s="1"/>
  <c r="AS11" i="13" s="1"/>
  <c r="AQ143" i="13"/>
  <c r="AS13" i="13" s="1"/>
  <c r="AQ144" i="13"/>
  <c r="AS14" i="13" s="1"/>
  <c r="AM149" i="13"/>
  <c r="AQ149" i="13" s="1"/>
  <c r="AS19" i="13" s="1"/>
  <c r="AN152" i="13"/>
  <c r="AQ152" i="13" s="1"/>
  <c r="C153" i="13"/>
  <c r="C143" i="13"/>
  <c r="C78" i="13"/>
  <c r="C91" i="13"/>
  <c r="C156" i="13"/>
  <c r="C163" i="13"/>
  <c r="C98" i="13"/>
  <c r="AL110" i="13"/>
  <c r="AM101" i="13"/>
  <c r="AN103" i="13"/>
  <c r="AQ103" i="13" s="1"/>
  <c r="AR38" i="13" s="1"/>
  <c r="AM110" i="13"/>
  <c r="AN114" i="13"/>
  <c r="AO117" i="13"/>
  <c r="AQ117" i="13" s="1"/>
  <c r="AO126" i="13"/>
  <c r="AQ126" i="13" s="1"/>
  <c r="AR61" i="13" s="1"/>
  <c r="AO138" i="13"/>
  <c r="AL138" i="13"/>
  <c r="AO146" i="13"/>
  <c r="AL146" i="13"/>
  <c r="AL152" i="13"/>
  <c r="AO167" i="13"/>
  <c r="AL167" i="13"/>
  <c r="AO186" i="13"/>
  <c r="AQ186" i="13" s="1"/>
  <c r="AS56" i="13" s="1"/>
  <c r="AL186" i="13"/>
  <c r="AO194" i="13"/>
  <c r="AQ194" i="13" s="1"/>
  <c r="AS64" i="13" s="1"/>
  <c r="C160" i="13"/>
  <c r="C172" i="13"/>
  <c r="C184" i="13"/>
  <c r="C188" i="13"/>
  <c r="C196" i="13"/>
  <c r="C73" i="13"/>
  <c r="C81" i="13"/>
  <c r="C85" i="13"/>
  <c r="C89" i="13"/>
  <c r="C97" i="13"/>
  <c r="C101" i="13"/>
  <c r="C109" i="13"/>
  <c r="C113" i="13"/>
  <c r="C121" i="13"/>
  <c r="C125" i="13"/>
  <c r="C133" i="13"/>
  <c r="C82" i="13"/>
  <c r="C90" i="13"/>
  <c r="C102" i="13"/>
  <c r="C114" i="13"/>
  <c r="C126" i="13"/>
  <c r="C134" i="13"/>
  <c r="AS70" i="13" l="1"/>
  <c r="AS69" i="13"/>
  <c r="AR55" i="13"/>
  <c r="AR54" i="13"/>
  <c r="AQ167" i="13"/>
  <c r="AS37" i="13" s="1"/>
  <c r="AQ115" i="13"/>
  <c r="AR50" i="13" s="1"/>
  <c r="AQ118" i="13"/>
  <c r="AR53" i="13" s="1"/>
  <c r="AQ164" i="13"/>
  <c r="AS34" i="13" s="1"/>
  <c r="AQ183" i="13"/>
  <c r="AS53" i="13" s="1"/>
  <c r="AQ107" i="13"/>
  <c r="AR42" i="13" s="1"/>
  <c r="AQ81" i="13"/>
  <c r="AR16" i="13" s="1"/>
  <c r="AQ73" i="13"/>
  <c r="AR8" i="13" s="1"/>
  <c r="AR52" i="13"/>
  <c r="AR69" i="13"/>
  <c r="AQ90" i="13"/>
  <c r="AR25" i="13" s="1"/>
  <c r="AQ72" i="13"/>
  <c r="AR7" i="13" s="1"/>
  <c r="AQ142" i="13"/>
  <c r="AS12" i="13" s="1"/>
  <c r="AQ83" i="13"/>
  <c r="AR18" i="13" s="1"/>
  <c r="AQ79" i="13"/>
  <c r="AR14" i="13" s="1"/>
  <c r="AQ147" i="13"/>
  <c r="AS17" i="13" s="1"/>
  <c r="AQ139" i="13"/>
  <c r="AS9" i="13" s="1"/>
  <c r="AQ150" i="13"/>
  <c r="AS20" i="13" s="1"/>
  <c r="AQ146" i="13"/>
  <c r="AS16" i="13" s="1"/>
  <c r="AQ138" i="13"/>
  <c r="AS8" i="13" s="1"/>
  <c r="AQ86" i="13"/>
  <c r="AS22" i="13"/>
  <c r="AS21" i="13"/>
  <c r="AQ82" i="13"/>
  <c r="AR17" i="13" s="1"/>
  <c r="AQ78" i="13"/>
  <c r="AR13" i="13" s="1"/>
  <c r="E59" i="11"/>
  <c r="G59" i="11" s="1"/>
  <c r="E58" i="11"/>
  <c r="G58" i="11" s="1"/>
  <c r="E57" i="11"/>
  <c r="G57" i="11" s="1"/>
  <c r="E56" i="11"/>
  <c r="G56" i="11" s="1"/>
  <c r="E55" i="11"/>
  <c r="G55" i="11" s="1"/>
  <c r="E54" i="11"/>
  <c r="G54" i="11" s="1"/>
  <c r="E53" i="11"/>
  <c r="G53" i="11" s="1"/>
  <c r="E52" i="11"/>
  <c r="G52" i="11" s="1"/>
  <c r="E51" i="11"/>
  <c r="G51" i="11" s="1"/>
  <c r="E50" i="11"/>
  <c r="G50" i="11" s="1"/>
  <c r="E49" i="11"/>
  <c r="G49" i="11" s="1"/>
  <c r="E48" i="11"/>
  <c r="G48" i="11" s="1"/>
  <c r="E47" i="11"/>
  <c r="G47" i="11" s="1"/>
  <c r="E46" i="11"/>
  <c r="G46" i="11" s="1"/>
  <c r="E45" i="11"/>
  <c r="G45" i="11" s="1"/>
  <c r="E44" i="11"/>
  <c r="G44" i="11" s="1"/>
  <c r="E43" i="11"/>
  <c r="G43" i="11" s="1"/>
  <c r="E42" i="11"/>
  <c r="G42" i="11" s="1"/>
  <c r="E41" i="11"/>
  <c r="G41" i="11" s="1"/>
  <c r="E40" i="11"/>
  <c r="G40" i="11" s="1"/>
  <c r="E39" i="11"/>
  <c r="G39" i="11" s="1"/>
  <c r="E38" i="11"/>
  <c r="G38" i="11" s="1"/>
  <c r="AR21" i="13" l="1"/>
  <c r="AR22" i="13"/>
  <c r="E29" i="11"/>
  <c r="G29" i="11" s="1"/>
  <c r="E28" i="11"/>
  <c r="G28" i="11" s="1"/>
  <c r="E27" i="11"/>
  <c r="G27" i="11" s="1"/>
  <c r="E26" i="11"/>
  <c r="G26" i="11" s="1"/>
  <c r="E25" i="11"/>
  <c r="G25" i="11" s="1"/>
  <c r="E24" i="11"/>
  <c r="G24" i="11" s="1"/>
  <c r="E23" i="11"/>
  <c r="G23" i="11" s="1"/>
  <c r="E22" i="11"/>
  <c r="G22" i="11" s="1"/>
  <c r="E21" i="11"/>
  <c r="G21" i="11" s="1"/>
  <c r="E19" i="11"/>
  <c r="G19" i="11" s="1"/>
  <c r="E18" i="11"/>
  <c r="G18" i="11" s="1"/>
  <c r="E17" i="11"/>
  <c r="G17" i="11" s="1"/>
  <c r="E16" i="11"/>
  <c r="G16" i="11" s="1"/>
  <c r="E14" i="11"/>
  <c r="G14" i="11" s="1"/>
  <c r="E13" i="11"/>
  <c r="G13" i="11" s="1"/>
  <c r="E12" i="11"/>
  <c r="G12" i="11" s="1"/>
  <c r="E11" i="11"/>
  <c r="G11" i="11" s="1"/>
  <c r="E10" i="11"/>
  <c r="G10" i="11" s="1"/>
  <c r="E9" i="11"/>
  <c r="G9" i="11" s="1"/>
  <c r="E8" i="11"/>
  <c r="G8" i="11" s="1"/>
  <c r="D7" i="4" l="1"/>
  <c r="M13" i="4"/>
  <c r="N13" i="4" s="1"/>
  <c r="D3" i="1" l="1"/>
  <c r="D5" i="4" s="1"/>
  <c r="D4" i="4" l="1"/>
  <c r="D6" i="4" s="1"/>
  <c r="AW17" i="14" s="1"/>
  <c r="AL35" i="14" l="1"/>
  <c r="AL27" i="14"/>
  <c r="AL56" i="14"/>
  <c r="AT56" i="14" s="1"/>
  <c r="AL50" i="14"/>
  <c r="AL49" i="14"/>
  <c r="AL64" i="14"/>
  <c r="AL58" i="14"/>
  <c r="AL52" i="14"/>
  <c r="AL46" i="14"/>
  <c r="AT46" i="14" s="1"/>
  <c r="AL40" i="14"/>
  <c r="AT40" i="14" s="1"/>
  <c r="AL28" i="14"/>
  <c r="AL57" i="14"/>
  <c r="AL45" i="14"/>
  <c r="AL39" i="14"/>
  <c r="AT39" i="14" s="1"/>
  <c r="AL34" i="14"/>
  <c r="AL33" i="14"/>
  <c r="AT33" i="14" s="1"/>
  <c r="AL38" i="14"/>
  <c r="AL26" i="14"/>
  <c r="AT26" i="14" s="1"/>
  <c r="AL61" i="14"/>
  <c r="AT61" i="14" s="1"/>
  <c r="AL55" i="14"/>
  <c r="AL43" i="14"/>
  <c r="AL25" i="14"/>
  <c r="AL37" i="14"/>
  <c r="AL66" i="14"/>
  <c r="AL60" i="14"/>
  <c r="AT60" i="14" s="1"/>
  <c r="AL54" i="14"/>
  <c r="AT54" i="14" s="1"/>
  <c r="AL42" i="14"/>
  <c r="AT42" i="14" s="1"/>
  <c r="AL48" i="14"/>
  <c r="AL63" i="14"/>
  <c r="AL44" i="14"/>
  <c r="AL32" i="14"/>
  <c r="AT32" i="14" s="1"/>
  <c r="AL69" i="14"/>
  <c r="AL30" i="14"/>
  <c r="AT30" i="14" s="1"/>
  <c r="AL29" i="14"/>
  <c r="AL51" i="14"/>
  <c r="AL31" i="14"/>
  <c r="AL24" i="14"/>
  <c r="AL23" i="14"/>
  <c r="AT23" i="14" s="1"/>
  <c r="AL68" i="14"/>
  <c r="AT68" i="14" s="1"/>
  <c r="AL36" i="14"/>
  <c r="AT36" i="14" s="1"/>
  <c r="AL59" i="14"/>
  <c r="AL65" i="14"/>
  <c r="AL47" i="14"/>
  <c r="AT47" i="14" s="1"/>
  <c r="AL41" i="14"/>
  <c r="AL62" i="14"/>
  <c r="AL67" i="14"/>
  <c r="AL53" i="14"/>
  <c r="AL6" i="14"/>
  <c r="AT6" i="14" s="1"/>
  <c r="AL22" i="14"/>
  <c r="AL12" i="14"/>
  <c r="AT12" i="14" s="1"/>
  <c r="AL10" i="14"/>
  <c r="AT10" i="14" s="1"/>
  <c r="AL14" i="14"/>
  <c r="AT14" i="14" s="1"/>
  <c r="AL16" i="14"/>
  <c r="AT16" i="14" s="1"/>
  <c r="AW11" i="14"/>
  <c r="AW9" i="14"/>
  <c r="AL9" i="14"/>
  <c r="AT9" i="14" s="1"/>
  <c r="AL7" i="14"/>
  <c r="AT7" i="14" s="1"/>
  <c r="AL11" i="14"/>
  <c r="AT11" i="14" s="1"/>
  <c r="AL15" i="14"/>
  <c r="AT15" i="14" s="1"/>
  <c r="AL13" i="14"/>
  <c r="AT13" i="14" s="1"/>
  <c r="AL19" i="14"/>
  <c r="AT19" i="14" s="1"/>
  <c r="AL8" i="14"/>
  <c r="AT8" i="14" s="1"/>
  <c r="AL18" i="14"/>
  <c r="AT18" i="14" s="1"/>
  <c r="AL17" i="14"/>
  <c r="AT17" i="14" s="1"/>
  <c r="AW16" i="14"/>
  <c r="AU15" i="14" s="1"/>
  <c r="AW15" i="14"/>
  <c r="AU8" i="14" s="1"/>
  <c r="AW10" i="14"/>
  <c r="AW8" i="14"/>
  <c r="AW17" i="13"/>
  <c r="AL10" i="13" s="1"/>
  <c r="AT10" i="13" s="1"/>
  <c r="AL61" i="13"/>
  <c r="AT61" i="13" s="1"/>
  <c r="AL49" i="13"/>
  <c r="AT49" i="13" s="1"/>
  <c r="AL37" i="13"/>
  <c r="AT37" i="13" s="1"/>
  <c r="AL25" i="13"/>
  <c r="AT25" i="13" s="1"/>
  <c r="AL44" i="13"/>
  <c r="AT44" i="13" s="1"/>
  <c r="AL34" i="13"/>
  <c r="AT34" i="13" s="1"/>
  <c r="AL22" i="13"/>
  <c r="AT22" i="13" s="1"/>
  <c r="AL68" i="13"/>
  <c r="AT68" i="13" s="1"/>
  <c r="AL56" i="13"/>
  <c r="AT56" i="13" s="1"/>
  <c r="AL32" i="13"/>
  <c r="AT32" i="13" s="1"/>
  <c r="AL20" i="13"/>
  <c r="AT20" i="13" s="1"/>
  <c r="AL46" i="13"/>
  <c r="AT46" i="13" s="1"/>
  <c r="AL63" i="13"/>
  <c r="AT63" i="13" s="1"/>
  <c r="AL51" i="13"/>
  <c r="AT51" i="13" s="1"/>
  <c r="AL39" i="13"/>
  <c r="AT39" i="13" s="1"/>
  <c r="AL27" i="13"/>
  <c r="AT27" i="13" s="1"/>
  <c r="AL58" i="13"/>
  <c r="AT58" i="13" s="1"/>
  <c r="AL65" i="13"/>
  <c r="AT65" i="13" s="1"/>
  <c r="AL67" i="13"/>
  <c r="AT67" i="13" s="1"/>
  <c r="AL55" i="13"/>
  <c r="AT55" i="13" s="1"/>
  <c r="AL43" i="13"/>
  <c r="AT43" i="13" s="1"/>
  <c r="AL31" i="13"/>
  <c r="AT31" i="13" s="1"/>
  <c r="AL62" i="13"/>
  <c r="AT62" i="13" s="1"/>
  <c r="AL50" i="13"/>
  <c r="AT50" i="13" s="1"/>
  <c r="AL38" i="13"/>
  <c r="AT38" i="13" s="1"/>
  <c r="AL26" i="13"/>
  <c r="AT26" i="13" s="1"/>
  <c r="AL64" i="13"/>
  <c r="AT64" i="13" s="1"/>
  <c r="AL33" i="13"/>
  <c r="AT33" i="13" s="1"/>
  <c r="AL30" i="13"/>
  <c r="AT30" i="13" s="1"/>
  <c r="AL59" i="13"/>
  <c r="AT59" i="13" s="1"/>
  <c r="AL52" i="13"/>
  <c r="AT52" i="13" s="1"/>
  <c r="AL29" i="13"/>
  <c r="AT29" i="13" s="1"/>
  <c r="AL45" i="13"/>
  <c r="AT45" i="13" s="1"/>
  <c r="AL42" i="13"/>
  <c r="AT42" i="13" s="1"/>
  <c r="AL66" i="13"/>
  <c r="AT66" i="13" s="1"/>
  <c r="AL48" i="13"/>
  <c r="AT48" i="13" s="1"/>
  <c r="AL35" i="13"/>
  <c r="AT35" i="13" s="1"/>
  <c r="AL21" i="13"/>
  <c r="AT21" i="13" s="1"/>
  <c r="AL69" i="13"/>
  <c r="AT69" i="13" s="1"/>
  <c r="AL41" i="13"/>
  <c r="AT41" i="13" s="1"/>
  <c r="AL24" i="13"/>
  <c r="AT24" i="13" s="1"/>
  <c r="AL28" i="13"/>
  <c r="AT28" i="13" s="1"/>
  <c r="AL57" i="13"/>
  <c r="AT57" i="13" s="1"/>
  <c r="AL54" i="13"/>
  <c r="AT54" i="13" s="1"/>
  <c r="AL60" i="13"/>
  <c r="AT60" i="13" s="1"/>
  <c r="AL47" i="13"/>
  <c r="AT47" i="13" s="1"/>
  <c r="AL53" i="13"/>
  <c r="AT53" i="13" s="1"/>
  <c r="AL40" i="13"/>
  <c r="AT40" i="13" s="1"/>
  <c r="AL36" i="13"/>
  <c r="AT36" i="13" s="1"/>
  <c r="AL23" i="13"/>
  <c r="AT23" i="13" s="1"/>
  <c r="E37" i="11"/>
  <c r="G37" i="11" s="1"/>
  <c r="E36" i="11"/>
  <c r="G36" i="11" s="1"/>
  <c r="E35" i="11"/>
  <c r="G35" i="11" s="1"/>
  <c r="E20" i="11"/>
  <c r="G20" i="11" s="1"/>
  <c r="E7" i="11"/>
  <c r="G7" i="11" s="1"/>
  <c r="E5" i="11"/>
  <c r="G5" i="11" s="1"/>
  <c r="E15" i="11"/>
  <c r="G15" i="11" s="1"/>
  <c r="E6" i="11"/>
  <c r="G6" i="11" s="1"/>
  <c r="I37" i="4"/>
  <c r="I29" i="4"/>
  <c r="I21" i="4"/>
  <c r="I36" i="4"/>
  <c r="I28" i="4"/>
  <c r="I20" i="4"/>
  <c r="I35" i="4"/>
  <c r="I27" i="4"/>
  <c r="I19" i="4"/>
  <c r="I34" i="4"/>
  <c r="I26" i="4"/>
  <c r="I25" i="4"/>
  <c r="I32" i="4"/>
  <c r="I24" i="4"/>
  <c r="I31" i="4"/>
  <c r="I30" i="4"/>
  <c r="I33" i="4"/>
  <c r="I23" i="4"/>
  <c r="I22" i="4"/>
  <c r="F18" i="4"/>
  <c r="I18" i="4"/>
  <c r="I17" i="4"/>
  <c r="D8" i="4"/>
  <c r="AW12" i="14" s="1"/>
  <c r="AU5" i="14" s="1"/>
  <c r="AS5" i="14" l="1"/>
  <c r="AR5" i="14"/>
  <c r="AV5" i="14"/>
  <c r="AU14" i="14"/>
  <c r="AU13" i="14"/>
  <c r="AT5" i="14"/>
  <c r="AW8" i="13"/>
  <c r="AL18" i="13"/>
  <c r="AT18" i="13" s="1"/>
  <c r="AL7" i="13"/>
  <c r="AT7" i="13" s="1"/>
  <c r="AL17" i="13"/>
  <c r="AT17" i="13" s="1"/>
  <c r="AW16" i="13"/>
  <c r="AU15" i="13" s="1"/>
  <c r="AW10" i="13"/>
  <c r="AU14" i="13" s="1"/>
  <c r="AL15" i="13"/>
  <c r="AT15" i="13" s="1"/>
  <c r="AW11" i="13"/>
  <c r="AU13" i="13" s="1"/>
  <c r="AW9" i="13"/>
  <c r="AL16" i="13"/>
  <c r="AT16" i="13" s="1"/>
  <c r="AL19" i="13"/>
  <c r="AT19" i="13" s="1"/>
  <c r="AL14" i="13"/>
  <c r="AT14" i="13" s="1"/>
  <c r="AL12" i="13"/>
  <c r="AT12" i="13" s="1"/>
  <c r="AL11" i="13"/>
  <c r="AT11" i="13" s="1"/>
  <c r="AL8" i="13"/>
  <c r="AT8" i="13" s="1"/>
  <c r="AL13" i="13"/>
  <c r="AT13" i="13" s="1"/>
  <c r="AL9" i="13"/>
  <c r="AT9" i="13" s="1"/>
  <c r="AW12" i="13"/>
  <c r="AU5" i="13" s="1"/>
  <c r="L14" i="4"/>
  <c r="AS5" i="13" l="1"/>
  <c r="AR5" i="13"/>
  <c r="AV5" i="13"/>
  <c r="AT5" i="13"/>
  <c r="B14" i="1"/>
  <c r="B13" i="1"/>
  <c r="B12" i="1"/>
  <c r="B10" i="1"/>
  <c r="B9" i="1"/>
  <c r="H14" i="4" l="1"/>
  <c r="I14" i="4"/>
  <c r="H15" i="4"/>
  <c r="I15" i="4"/>
  <c r="H16" i="4"/>
  <c r="I16" i="4"/>
  <c r="F17" i="4"/>
  <c r="G17" i="4"/>
  <c r="H17" i="4"/>
  <c r="G18" i="4"/>
  <c r="H18" i="4"/>
  <c r="F19" i="4"/>
  <c r="G19" i="4"/>
  <c r="H19" i="4"/>
  <c r="F20" i="4"/>
  <c r="G20" i="4"/>
  <c r="H20" i="4"/>
  <c r="F21" i="4"/>
  <c r="G21" i="4"/>
  <c r="H21" i="4"/>
  <c r="F22" i="4"/>
  <c r="G22" i="4"/>
  <c r="H22" i="4"/>
  <c r="F23" i="4"/>
  <c r="G23" i="4"/>
  <c r="H23" i="4"/>
  <c r="F24" i="4"/>
  <c r="G24" i="4"/>
  <c r="H24" i="4"/>
  <c r="F25" i="4"/>
  <c r="G25" i="4"/>
  <c r="H25" i="4"/>
  <c r="F26" i="4"/>
  <c r="G26" i="4"/>
  <c r="H26" i="4"/>
  <c r="F27" i="4"/>
  <c r="G27" i="4"/>
  <c r="H27" i="4"/>
  <c r="F28" i="4"/>
  <c r="G28" i="4"/>
  <c r="H28" i="4"/>
  <c r="F29" i="4"/>
  <c r="G29" i="4"/>
  <c r="H29" i="4"/>
  <c r="F30" i="4"/>
  <c r="G30" i="4"/>
  <c r="H30" i="4"/>
  <c r="F31" i="4"/>
  <c r="G31" i="4"/>
  <c r="H31" i="4"/>
  <c r="F32" i="4"/>
  <c r="G32" i="4"/>
  <c r="H32" i="4"/>
  <c r="F33" i="4"/>
  <c r="G33" i="4"/>
  <c r="H33" i="4"/>
  <c r="F34" i="4"/>
  <c r="G34" i="4"/>
  <c r="H34" i="4"/>
  <c r="F35" i="4"/>
  <c r="G35" i="4"/>
  <c r="H35" i="4"/>
  <c r="F36" i="4"/>
  <c r="G36" i="4"/>
  <c r="H36" i="4"/>
  <c r="F37" i="4"/>
  <c r="G37" i="4"/>
  <c r="H37" i="4"/>
  <c r="M14" i="4"/>
  <c r="N14" i="4" s="1"/>
  <c r="F14" i="4" s="1"/>
  <c r="AW14" i="14" s="1"/>
  <c r="AU7" i="14" s="1"/>
  <c r="M15" i="4"/>
  <c r="N15" i="4" s="1"/>
  <c r="F15" i="4" s="1"/>
  <c r="M16" i="4"/>
  <c r="N16" i="4" s="1"/>
  <c r="G16" i="4" s="1"/>
  <c r="M17" i="4"/>
  <c r="N17" i="4" s="1"/>
  <c r="M18" i="4"/>
  <c r="N18" i="4" s="1"/>
  <c r="M19" i="4"/>
  <c r="N19" i="4" s="1"/>
  <c r="M20" i="4"/>
  <c r="N20" i="4" s="1"/>
  <c r="M21" i="4"/>
  <c r="N21" i="4" s="1"/>
  <c r="M22" i="4"/>
  <c r="N22" i="4" s="1"/>
  <c r="M23" i="4"/>
  <c r="N23" i="4" s="1"/>
  <c r="M24" i="4"/>
  <c r="N24" i="4" s="1"/>
  <c r="M25" i="4"/>
  <c r="N25" i="4" s="1"/>
  <c r="M26" i="4"/>
  <c r="N26" i="4" s="1"/>
  <c r="M27" i="4"/>
  <c r="N27" i="4" s="1"/>
  <c r="M28" i="4"/>
  <c r="N28" i="4" s="1"/>
  <c r="M29" i="4"/>
  <c r="N29" i="4" s="1"/>
  <c r="M30" i="4"/>
  <c r="N30" i="4" s="1"/>
  <c r="M31" i="4"/>
  <c r="N31" i="4" s="1"/>
  <c r="M32" i="4"/>
  <c r="N32" i="4" s="1"/>
  <c r="M33" i="4"/>
  <c r="N33" i="4" s="1"/>
  <c r="M34" i="4"/>
  <c r="N34" i="4" s="1"/>
  <c r="M35" i="4"/>
  <c r="N35" i="4" s="1"/>
  <c r="M36" i="4"/>
  <c r="N36" i="4" s="1"/>
  <c r="M37" i="4"/>
  <c r="N37" i="4" s="1"/>
  <c r="G14" i="4" l="1"/>
  <c r="F16" i="4"/>
  <c r="G15" i="4"/>
  <c r="G13" i="4" l="1"/>
  <c r="F13" i="4"/>
  <c r="AW14" i="13" s="1"/>
  <c r="AU7" i="13" s="1"/>
  <c r="AW15" i="13" l="1"/>
  <c r="AU8" i="13" s="1"/>
  <c r="I13" i="4" l="1"/>
  <c r="H13" i="4"/>
  <c r="N24" i="5" l="1"/>
  <c r="M24" i="5" s="1"/>
  <c r="N17" i="5"/>
  <c r="M17" i="5" s="1"/>
  <c r="N18" i="5"/>
  <c r="M18" i="5" s="1"/>
  <c r="N20" i="5"/>
  <c r="M20" i="5" s="1"/>
  <c r="N22" i="5"/>
  <c r="M22" i="5" s="1"/>
  <c r="N23" i="5"/>
  <c r="M23" i="5" s="1"/>
  <c r="N19" i="5"/>
  <c r="M19" i="5" s="1"/>
  <c r="N21" i="5"/>
  <c r="M21" i="5" s="1"/>
  <c r="H5" i="1"/>
  <c r="E4" i="1" s="1"/>
  <c r="N102" i="5"/>
  <c r="N100" i="5"/>
  <c r="N98" i="5"/>
  <c r="N96" i="5"/>
  <c r="N94" i="5"/>
  <c r="N92" i="5"/>
  <c r="N90" i="5"/>
  <c r="N88" i="5"/>
  <c r="N86" i="5"/>
  <c r="N84" i="5"/>
  <c r="N82" i="5"/>
  <c r="N80" i="5"/>
  <c r="N78" i="5"/>
  <c r="N76" i="5"/>
  <c r="N74" i="5"/>
  <c r="N72" i="5"/>
  <c r="N70" i="5"/>
  <c r="N68" i="5"/>
  <c r="N66" i="5"/>
  <c r="N64" i="5"/>
  <c r="N62" i="5"/>
  <c r="N60" i="5"/>
  <c r="N58" i="5"/>
  <c r="N56" i="5"/>
  <c r="N54" i="5"/>
  <c r="N52" i="5"/>
  <c r="N50" i="5"/>
  <c r="N48" i="5"/>
  <c r="N46" i="5"/>
  <c r="N44" i="5"/>
  <c r="N42" i="5"/>
  <c r="N40" i="5"/>
  <c r="N103" i="5"/>
  <c r="N101" i="5"/>
  <c r="N99" i="5"/>
  <c r="N97" i="5"/>
  <c r="N95" i="5"/>
  <c r="N93" i="5"/>
  <c r="N91" i="5"/>
  <c r="N89" i="5"/>
  <c r="N87" i="5"/>
  <c r="N85" i="5"/>
  <c r="N83" i="5"/>
  <c r="N81" i="5"/>
  <c r="N79" i="5"/>
  <c r="N77" i="5"/>
  <c r="N75" i="5"/>
  <c r="N73" i="5"/>
  <c r="N71" i="5"/>
  <c r="N69" i="5"/>
  <c r="N67" i="5"/>
  <c r="N65" i="5"/>
  <c r="N63" i="5"/>
  <c r="N61" i="5"/>
  <c r="N59" i="5"/>
  <c r="N57" i="5"/>
  <c r="N55" i="5"/>
  <c r="N53" i="5"/>
  <c r="N51" i="5"/>
  <c r="N49" i="5"/>
  <c r="N47" i="5"/>
  <c r="N45" i="5"/>
  <c r="N43" i="5"/>
  <c r="N41" i="5"/>
  <c r="N39" i="5"/>
  <c r="N38" i="5"/>
  <c r="N34" i="5"/>
  <c r="N30" i="5"/>
  <c r="N15" i="5"/>
  <c r="N9" i="5"/>
  <c r="N5" i="5"/>
  <c r="N37" i="5"/>
  <c r="N35" i="5"/>
  <c r="N33" i="5"/>
  <c r="N31" i="5"/>
  <c r="N29" i="5"/>
  <c r="N27" i="5"/>
  <c r="N25" i="5"/>
  <c r="N14" i="5"/>
  <c r="N12" i="5"/>
  <c r="N10" i="5"/>
  <c r="N8" i="5"/>
  <c r="N6" i="5"/>
  <c r="N4" i="5"/>
  <c r="N36" i="5"/>
  <c r="N32" i="5"/>
  <c r="N28" i="5"/>
  <c r="N26" i="5"/>
  <c r="N16" i="5"/>
  <c r="N13" i="5"/>
  <c r="N11" i="5"/>
  <c r="N7" i="5"/>
  <c r="M16" i="5" l="1"/>
  <c r="O16" i="5" s="1"/>
  <c r="M28" i="5"/>
  <c r="O28" i="5" s="1"/>
  <c r="M6" i="5"/>
  <c r="O6" i="5" s="1"/>
  <c r="M14" i="5"/>
  <c r="O14" i="5" s="1"/>
  <c r="M25" i="5"/>
  <c r="O25" i="5" s="1"/>
  <c r="M7" i="5"/>
  <c r="O7" i="5" s="1"/>
  <c r="M13" i="5"/>
  <c r="O13" i="5" s="1"/>
  <c r="O18" i="5"/>
  <c r="M26" i="5"/>
  <c r="O26" i="5" s="1"/>
  <c r="M32" i="5"/>
  <c r="O32" i="5" s="1"/>
  <c r="M4" i="5"/>
  <c r="O4" i="5" s="1"/>
  <c r="M8" i="5"/>
  <c r="O8" i="5" s="1"/>
  <c r="M12" i="5"/>
  <c r="O12" i="5" s="1"/>
  <c r="O19" i="5"/>
  <c r="O23" i="5"/>
  <c r="M27" i="5"/>
  <c r="O27" i="5" s="1"/>
  <c r="M31" i="5"/>
  <c r="O31" i="5" s="1"/>
  <c r="M35" i="5"/>
  <c r="O35" i="5" s="1"/>
  <c r="M5" i="5"/>
  <c r="O5" i="5" s="1"/>
  <c r="M15" i="5"/>
  <c r="O15" i="5" s="1"/>
  <c r="O20" i="5"/>
  <c r="M30" i="5"/>
  <c r="O30" i="5" s="1"/>
  <c r="M38" i="5"/>
  <c r="O38" i="5" s="1"/>
  <c r="M41" i="5"/>
  <c r="O41" i="5" s="1"/>
  <c r="M45" i="5"/>
  <c r="O45" i="5" s="1"/>
  <c r="M49" i="5"/>
  <c r="O49" i="5" s="1"/>
  <c r="M53" i="5"/>
  <c r="O53" i="5" s="1"/>
  <c r="M57" i="5"/>
  <c r="O57" i="5" s="1"/>
  <c r="M61" i="5"/>
  <c r="O61" i="5" s="1"/>
  <c r="M65" i="5"/>
  <c r="O65" i="5" s="1"/>
  <c r="M69" i="5"/>
  <c r="O69" i="5" s="1"/>
  <c r="M73" i="5"/>
  <c r="O73" i="5" s="1"/>
  <c r="M77" i="5"/>
  <c r="O77" i="5" s="1"/>
  <c r="M81" i="5"/>
  <c r="O81" i="5" s="1"/>
  <c r="M85" i="5"/>
  <c r="O85" i="5" s="1"/>
  <c r="M89" i="5"/>
  <c r="O89" i="5" s="1"/>
  <c r="M93" i="5"/>
  <c r="O93" i="5" s="1"/>
  <c r="M97" i="5"/>
  <c r="O97" i="5" s="1"/>
  <c r="M101" i="5"/>
  <c r="O101" i="5" s="1"/>
  <c r="M40" i="5"/>
  <c r="O40" i="5" s="1"/>
  <c r="M44" i="5"/>
  <c r="O44" i="5" s="1"/>
  <c r="M48" i="5"/>
  <c r="O48" i="5" s="1"/>
  <c r="M52" i="5"/>
  <c r="O52" i="5" s="1"/>
  <c r="M56" i="5"/>
  <c r="O56" i="5" s="1"/>
  <c r="M60" i="5"/>
  <c r="O60" i="5" s="1"/>
  <c r="M64" i="5"/>
  <c r="O64" i="5" s="1"/>
  <c r="M68" i="5"/>
  <c r="O68" i="5" s="1"/>
  <c r="M72" i="5"/>
  <c r="O72" i="5" s="1"/>
  <c r="M76" i="5"/>
  <c r="O76" i="5" s="1"/>
  <c r="M80" i="5"/>
  <c r="O80" i="5" s="1"/>
  <c r="M84" i="5"/>
  <c r="O84" i="5" s="1"/>
  <c r="M88" i="5"/>
  <c r="O88" i="5" s="1"/>
  <c r="M92" i="5"/>
  <c r="O92" i="5" s="1"/>
  <c r="M96" i="5"/>
  <c r="O96" i="5" s="1"/>
  <c r="M100" i="5"/>
  <c r="O100" i="5" s="1"/>
  <c r="M11" i="5"/>
  <c r="O11" i="5" s="1"/>
  <c r="O22" i="5"/>
  <c r="M36" i="5"/>
  <c r="O36" i="5" s="1"/>
  <c r="M10" i="5"/>
  <c r="O10" i="5" s="1"/>
  <c r="O21" i="5"/>
  <c r="M29" i="5"/>
  <c r="O29" i="5" s="1"/>
  <c r="M33" i="5"/>
  <c r="O33" i="5" s="1"/>
  <c r="M37" i="5"/>
  <c r="O37" i="5" s="1"/>
  <c r="M9" i="5"/>
  <c r="O9" i="5" s="1"/>
  <c r="O17" i="5"/>
  <c r="O24" i="5"/>
  <c r="M34" i="5"/>
  <c r="O34" i="5" s="1"/>
  <c r="M39" i="5"/>
  <c r="O39" i="5" s="1"/>
  <c r="M43" i="5"/>
  <c r="O43" i="5" s="1"/>
  <c r="M47" i="5"/>
  <c r="O47" i="5" s="1"/>
  <c r="M51" i="5"/>
  <c r="O51" i="5" s="1"/>
  <c r="M55" i="5"/>
  <c r="O55" i="5" s="1"/>
  <c r="M59" i="5"/>
  <c r="O59" i="5" s="1"/>
  <c r="M63" i="5"/>
  <c r="O63" i="5" s="1"/>
  <c r="M67" i="5"/>
  <c r="O67" i="5" s="1"/>
  <c r="M71" i="5"/>
  <c r="O71" i="5" s="1"/>
  <c r="M75" i="5"/>
  <c r="O75" i="5" s="1"/>
  <c r="M79" i="5"/>
  <c r="O79" i="5" s="1"/>
  <c r="M83" i="5"/>
  <c r="O83" i="5" s="1"/>
  <c r="M87" i="5"/>
  <c r="O87" i="5" s="1"/>
  <c r="M91" i="5"/>
  <c r="O91" i="5" s="1"/>
  <c r="M95" i="5"/>
  <c r="O95" i="5" s="1"/>
  <c r="M99" i="5"/>
  <c r="O99" i="5" s="1"/>
  <c r="M103" i="5"/>
  <c r="O103" i="5" s="1"/>
  <c r="M42" i="5"/>
  <c r="O42" i="5" s="1"/>
  <c r="M46" i="5"/>
  <c r="O46" i="5" s="1"/>
  <c r="M50" i="5"/>
  <c r="O50" i="5" s="1"/>
  <c r="M54" i="5"/>
  <c r="O54" i="5" s="1"/>
  <c r="M58" i="5"/>
  <c r="O58" i="5" s="1"/>
  <c r="M62" i="5"/>
  <c r="O62" i="5" s="1"/>
  <c r="M66" i="5"/>
  <c r="O66" i="5" s="1"/>
  <c r="M70" i="5"/>
  <c r="O70" i="5" s="1"/>
  <c r="M74" i="5"/>
  <c r="O74" i="5" s="1"/>
  <c r="M78" i="5"/>
  <c r="O78" i="5" s="1"/>
  <c r="M82" i="5"/>
  <c r="O82" i="5" s="1"/>
  <c r="M86" i="5"/>
  <c r="O86" i="5" s="1"/>
  <c r="M90" i="5"/>
  <c r="O90" i="5" s="1"/>
  <c r="M94" i="5"/>
  <c r="O94" i="5" s="1"/>
  <c r="M98" i="5"/>
  <c r="O98" i="5" s="1"/>
  <c r="M102" i="5"/>
  <c r="O102" i="5"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YOSHIKI IWATA</author>
  </authors>
  <commentList>
    <comment ref="B10" authorId="0" shapeId="0" xr:uid="{00000000-0006-0000-0200-000001000000}">
      <text>
        <r>
          <rPr>
            <b/>
            <sz val="9"/>
            <color indexed="81"/>
            <rFont val="MS P ゴシック"/>
            <family val="3"/>
            <charset val="128"/>
          </rPr>
          <t>計測後記入
時間はマイコン依存のため、
相対数値を入力のこと</t>
        </r>
      </text>
    </comment>
    <comment ref="C12" authorId="0" shapeId="0" xr:uid="{00000000-0006-0000-0200-000002000000}">
      <text>
        <r>
          <rPr>
            <b/>
            <sz val="9"/>
            <color indexed="81"/>
            <rFont val="ＭＳ Ｐゴシック"/>
            <family val="3"/>
            <charset val="128"/>
          </rPr>
          <t>1つの場合は、機能名となるため、記載不要
機能名と合わせて、14文字以内で記入すること
"_"は1つまで使用可</t>
        </r>
      </text>
    </comment>
    <comment ref="E12" authorId="0" shapeId="0" xr:uid="{00000000-0006-0000-0200-000003000000}">
      <text>
        <r>
          <rPr>
            <b/>
            <sz val="9"/>
            <color indexed="81"/>
            <rFont val="ＭＳ Ｐゴシック"/>
            <family val="3"/>
            <charset val="128"/>
          </rPr>
          <t>リモートウォーニング信号を送信する場合は"○"</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鈴木　大助</author>
  </authors>
  <commentList>
    <comment ref="C3" authorId="0" shapeId="0" xr:uid="{00000000-0006-0000-0300-000001000000}">
      <text>
        <r>
          <rPr>
            <b/>
            <sz val="9"/>
            <color indexed="81"/>
            <rFont val="MS P ゴシック"/>
            <family val="3"/>
            <charset val="128"/>
          </rPr>
          <t xml:space="preserve">原則、TMC Spec内にて定義される機能名称を採用すること
記載例)
ECORUN
EPB
VSC
ICS
AHS
TPMS
PCS
FCM_LDA
FCM_LTC
FCM_LKA
DS1_LDA
DS1_LTC
DS1_LKA
ASPGSP
INFRA
BSM
CSR
VGRS
REARCAM
BADW
ARS
PSB
AUTOP
MM_AUDIO
MM_TEL
MM_NAVI_LV2
BRKPF
RSA
CSR_TTR
</t>
        </r>
      </text>
    </comment>
    <comment ref="P3" authorId="0" shapeId="0" xr:uid="{00000000-0006-0000-0300-000002000000}">
      <text>
        <r>
          <rPr>
            <b/>
            <sz val="9"/>
            <color indexed="81"/>
            <rFont val="MS P ゴシック"/>
            <family val="3"/>
            <charset val="128"/>
          </rPr>
          <t xml:space="preserve">Config関数の戻りの型を入力
</t>
        </r>
      </text>
    </comment>
    <comment ref="Q3" authorId="0" shapeId="0" xr:uid="{00000000-0006-0000-0300-000003000000}">
      <text>
        <r>
          <rPr>
            <b/>
            <sz val="9"/>
            <color indexed="81"/>
            <rFont val="MS P ゴシック"/>
            <family val="3"/>
            <charset val="128"/>
          </rPr>
          <t>Config関数の関数名を記載。
※引数も記載すること。
※終端の「;」は記載不要。
※信号名を使用する際は、信号名部分はすべて大文字とすること。</t>
        </r>
      </text>
    </comment>
    <comment ref="P33" authorId="0" shapeId="0" xr:uid="{00000000-0006-0000-0300-000004000000}">
      <text>
        <r>
          <rPr>
            <b/>
            <sz val="9"/>
            <color indexed="81"/>
            <rFont val="MS P ゴシック"/>
            <family val="3"/>
            <charset val="128"/>
          </rPr>
          <t>変数の型について記載
※「extern const」はtool側で付与するため記載不要</t>
        </r>
      </text>
    </comment>
    <comment ref="Q33" authorId="0" shapeId="0" xr:uid="{00000000-0006-0000-0300-000005000000}">
      <text>
        <r>
          <rPr>
            <b/>
            <sz val="9"/>
            <color indexed="81"/>
            <rFont val="MS P ゴシック"/>
            <family val="3"/>
            <charset val="128"/>
          </rPr>
          <t>Configに配置する変数名を記載。
※先頭の「extern const」、終端の「;」は記載不要。</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鈴木　大助</author>
    <author>YOSHIKI IWATA</author>
  </authors>
  <commentList>
    <comment ref="E2" authorId="0" shapeId="0" xr:uid="{00000000-0006-0000-0400-000001000000}">
      <text>
        <r>
          <rPr>
            <b/>
            <sz val="9"/>
            <color indexed="81"/>
            <rFont val="MS P ゴシック"/>
            <family val="3"/>
            <charset val="128"/>
          </rPr>
          <t>VSV側にて参照する情報</t>
        </r>
      </text>
    </comment>
    <comment ref="F2" authorId="1" shapeId="0" xr:uid="{00000000-0006-0000-0400-000002000000}">
      <text>
        <r>
          <rPr>
            <b/>
            <sz val="9"/>
            <color indexed="81"/>
            <rFont val="ＭＳ Ｐゴシック"/>
            <family val="3"/>
            <charset val="128"/>
          </rPr>
          <t>TYPE                      Period[ms]  ON Duty[%]  Start
OFF                          -           -              OFF
ON                           -           -               ON
FLASH_2000_D25_ON     2000        25%           ON 
FLASH_250_D50_ON       250         50%           ON
FLASH_1000_D50_ON     1000        50%           ON
FLASH_500_D50_ON       500         50%           ON
FLASH_600_D50_ON       600         50%           ON
FLASH_1500_D50_ON     1500        50%           ON
FLASH_2000_D50_ON     2000        50%           ON
FLASH_1000_D50_OFF    1000        50%          OFF
FLASH_2000_D75_ON     2000        75%           ON
FLASH_4000_D50_ON     4000        50%           ON
FLASH_300_D50_ON       300         50%           ON</t>
        </r>
      </text>
    </comment>
    <comment ref="G2" authorId="0" shapeId="0" xr:uid="{00000000-0006-0000-0400-000003000000}">
      <text>
        <r>
          <rPr>
            <b/>
            <sz val="9"/>
            <color indexed="81"/>
            <rFont val="MS P ゴシック"/>
            <family val="3"/>
            <charset val="128"/>
          </rPr>
          <t>VSV側にて参照する情報</t>
        </r>
      </text>
    </comment>
    <comment ref="H2" authorId="0" shapeId="0" xr:uid="{00000000-0006-0000-0400-000004000000}">
      <text>
        <r>
          <rPr>
            <b/>
            <sz val="9"/>
            <color indexed="81"/>
            <rFont val="MS P ゴシック"/>
            <family val="3"/>
            <charset val="128"/>
          </rPr>
          <t>[吹鳴パターン]_[周波数(Hz)]_[周期(sec)]_[Duty(%)]
e.x.
VR_800_1P2         /* volume reduction,  800Hz, 1.2   sec                 */
CO_800             /* continous,         800Hz                            */
SI_800_0P2         /* 1 times,           800Hz, 0.2   sec                 */
IN_800_1P2_D50     /* intermittent,      800Hz, 1.2   sec,  50   % duty   */
SI_1600_0P2_D50_X2 /* 2 times,          1600Hz, 0.2   sec,  50   % duty   */</t>
        </r>
      </text>
    </comment>
    <comment ref="I2" authorId="0" shapeId="0" xr:uid="{00000000-0006-0000-0400-000005000000}">
      <text>
        <r>
          <rPr>
            <b/>
            <sz val="9"/>
            <color indexed="81"/>
            <rFont val="MS P ゴシック"/>
            <family val="3"/>
            <charset val="128"/>
          </rPr>
          <t>VSV側にて参照する情報</t>
        </r>
      </text>
    </comment>
    <comment ref="J2" authorId="1" shapeId="0" xr:uid="{00000000-0006-0000-0400-000006000000}">
      <text>
        <r>
          <rPr>
            <b/>
            <sz val="9"/>
            <color indexed="81"/>
            <rFont val="MS P ゴシック"/>
            <family val="3"/>
            <charset val="128"/>
          </rPr>
          <t>Alert制御仕様書に定義されるWarningNoを記載
※アドバイス一覧にて定義されるメッセージNoと紐付くWarningNo</t>
        </r>
      </text>
    </comment>
    <comment ref="K2" authorId="0" shapeId="0" xr:uid="{00000000-0006-0000-0400-000007000000}">
      <text>
        <r>
          <rPr>
            <b/>
            <sz val="9"/>
            <color indexed="81"/>
            <rFont val="MS P ゴシック"/>
            <family val="3"/>
            <charset val="128"/>
          </rPr>
          <t>Vom::Alertにて参照する情報
Alert Option Available IF Listから選択</t>
        </r>
      </text>
    </comment>
    <comment ref="L2" authorId="1" shapeId="0" xr:uid="{00000000-0006-0000-0400-000008000000}">
      <text>
        <r>
          <rPr>
            <b/>
            <sz val="9"/>
            <color indexed="81"/>
            <rFont val="MS P ゴシック"/>
            <family val="3"/>
            <charset val="128"/>
          </rPr>
          <t>出力するCAN Signal名を記載</t>
        </r>
      </text>
    </comment>
    <comment ref="M2" authorId="1" shapeId="0" xr:uid="{00000000-0006-0000-0400-000009000000}">
      <text>
        <r>
          <rPr>
            <b/>
            <sz val="9"/>
            <color indexed="81"/>
            <rFont val="ＭＳ Ｐゴシック"/>
            <family val="3"/>
            <charset val="128"/>
          </rPr>
          <t>32文字以内とすること</t>
        </r>
      </text>
    </comment>
    <comment ref="H4" authorId="0" shapeId="0" xr:uid="{8AE70B16-726A-4856-AC06-1CEAFA341996}">
      <text>
        <r>
          <rPr>
            <sz val="10"/>
            <color indexed="81"/>
            <rFont val="Meiryo UI"/>
            <family val="3"/>
            <charset val="128"/>
          </rPr>
          <t>以下の吹鳴仕様(VSV側での対応を想定)：
3連発のブザーを2連発分の休止時間(280ms)を入れて断続吹鳴すること。
また3連発の吹鳴は鳴らし切り後に切替仕様とする。</t>
        </r>
      </text>
    </comment>
    <comment ref="H5" authorId="0" shapeId="0" xr:uid="{70222119-1BB7-4154-A203-398861B0224A}">
      <text>
        <r>
          <rPr>
            <b/>
            <sz val="9"/>
            <color indexed="81"/>
            <rFont val="MS P ゴシック"/>
            <family val="3"/>
            <charset val="128"/>
          </rPr>
          <t>サウンドファイルの再生はVSV側にて対応</t>
        </r>
      </text>
    </comment>
    <comment ref="H6" authorId="0" shapeId="0" xr:uid="{7D15AE83-A266-4F56-8DB5-C92D1D786C83}">
      <text>
        <r>
          <rPr>
            <b/>
            <sz val="9"/>
            <color indexed="81"/>
            <rFont val="MS P ゴシック"/>
            <family val="3"/>
            <charset val="128"/>
          </rPr>
          <t>サウンドファイルの再生はVSV側にて対応</t>
        </r>
      </text>
    </comment>
    <comment ref="H7" authorId="0" shapeId="0" xr:uid="{800B4BA8-4CE4-4C78-A0D2-6BAED78150B1}">
      <text>
        <r>
          <rPr>
            <b/>
            <sz val="9"/>
            <color indexed="81"/>
            <rFont val="MS P ゴシック"/>
            <family val="3"/>
            <charset val="128"/>
          </rPr>
          <t>サウンドファイルの再生はVSV側にて対応</t>
        </r>
      </text>
    </comment>
    <comment ref="H8" authorId="0" shapeId="0" xr:uid="{A085D72C-9895-4E6D-8099-39669E007D5A}">
      <text>
        <r>
          <rPr>
            <b/>
            <sz val="9"/>
            <color indexed="81"/>
            <rFont val="MS P ゴシック"/>
            <family val="3"/>
            <charset val="128"/>
          </rPr>
          <t>サウンドファイルの再生はVSV側にて対応</t>
        </r>
      </text>
    </comment>
    <comment ref="H9" authorId="0" shapeId="0" xr:uid="{8A308A66-D937-4116-8791-1E95C8397F17}">
      <text>
        <r>
          <rPr>
            <b/>
            <sz val="9"/>
            <color indexed="81"/>
            <rFont val="MS P ゴシック"/>
            <family val="3"/>
            <charset val="128"/>
          </rPr>
          <t>サウンドファイルの再生はVSV側にて対応</t>
        </r>
      </text>
    </comment>
    <comment ref="H10" authorId="0" shapeId="0" xr:uid="{260277B6-CBF7-4CA0-A6A1-3F4834F7870E}">
      <text>
        <r>
          <rPr>
            <b/>
            <sz val="9"/>
            <color indexed="81"/>
            <rFont val="MS P ゴシック"/>
            <family val="3"/>
            <charset val="128"/>
          </rPr>
          <t>サウンドファイルの再生はVSV側にて対応</t>
        </r>
      </text>
    </comment>
    <comment ref="H11" authorId="0" shapeId="0" xr:uid="{1BF5F95D-5F36-4F81-9386-E74076867171}">
      <text>
        <r>
          <rPr>
            <b/>
            <sz val="9"/>
            <color indexed="81"/>
            <rFont val="MS P ゴシック"/>
            <family val="3"/>
            <charset val="128"/>
          </rPr>
          <t>サウンドファイルの再生はVSV側にて対応</t>
        </r>
      </text>
    </comment>
    <comment ref="H12" authorId="0" shapeId="0" xr:uid="{4B3EE212-A7CF-47BB-A733-98E2A2529153}">
      <text>
        <r>
          <rPr>
            <b/>
            <sz val="9"/>
            <color indexed="81"/>
            <rFont val="MS P ゴシック"/>
            <family val="3"/>
            <charset val="128"/>
          </rPr>
          <t>サウンドファイルの再生はVSV側にて対応</t>
        </r>
      </text>
    </comment>
    <comment ref="H13" authorId="0" shapeId="0" xr:uid="{FACBB826-50C2-4C7A-806C-A29EF045570E}">
      <text>
        <r>
          <rPr>
            <b/>
            <sz val="9"/>
            <color indexed="81"/>
            <rFont val="MS P ゴシック"/>
            <family val="3"/>
            <charset val="128"/>
          </rPr>
          <t>サウンドファイルの再生はVSV側にて対応</t>
        </r>
      </text>
    </comment>
    <comment ref="H14" authorId="0" shapeId="0" xr:uid="{CE7BF89C-2E8A-4CAB-9EFA-3ED83A331926}">
      <text>
        <r>
          <rPr>
            <b/>
            <sz val="9"/>
            <color indexed="81"/>
            <rFont val="MS P ゴシック"/>
            <family val="3"/>
            <charset val="128"/>
          </rPr>
          <t>サウンドファイルの再生はVSV側にて対応</t>
        </r>
      </text>
    </comment>
    <comment ref="H15" authorId="0" shapeId="0" xr:uid="{5A1A5EF8-B04A-4545-8E61-B21539BBC8FA}">
      <text>
        <r>
          <rPr>
            <b/>
            <sz val="9"/>
            <color indexed="81"/>
            <rFont val="MS P ゴシック"/>
            <family val="3"/>
            <charset val="128"/>
          </rPr>
          <t>サウンドファイルの再生はVSV側にて対応</t>
        </r>
      </text>
    </comment>
    <comment ref="H16" authorId="0" shapeId="0" xr:uid="{C062C3BA-FE17-4A25-9517-4A415A0B32D5}">
      <text>
        <r>
          <rPr>
            <b/>
            <sz val="9"/>
            <color indexed="81"/>
            <rFont val="MS P ゴシック"/>
            <family val="3"/>
            <charset val="128"/>
          </rPr>
          <t>サウンドファイルの再生はVSV側にて対応</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YOSHIKI IWATA</author>
    <author>鈴木　大助</author>
  </authors>
  <commentList>
    <comment ref="B48" authorId="0" shapeId="0" xr:uid="{00000000-0006-0000-0900-000009000000}">
      <text>
        <r>
          <rPr>
            <b/>
            <sz val="9"/>
            <color indexed="81"/>
            <rFont val="ＭＳ Ｐゴシック"/>
            <family val="3"/>
            <charset val="128"/>
          </rPr>
          <t xml:space="preserve">電源状態は、各入力/出力信号の電源状態を記載する。
ALERT_CH_XXXの出力は、機能の電源状態を記載するので注意。
</t>
        </r>
      </text>
    </comment>
    <comment ref="C51" authorId="1" shapeId="0" xr:uid="{00000000-0006-0000-0900-00000A000000}">
      <text>
        <r>
          <rPr>
            <b/>
            <sz val="9"/>
            <color indexed="81"/>
            <rFont val="MS P ゴシック"/>
            <family val="3"/>
            <charset val="128"/>
          </rPr>
          <t xml:space="preserve">リモート送信条件成立：IG ON 且つ PTS ONが15[s]以上
</t>
        </r>
      </text>
    </comment>
    <comment ref="E51" authorId="1" shapeId="0" xr:uid="{00000000-0006-0000-0900-00000B000000}">
      <text>
        <r>
          <rPr>
            <b/>
            <sz val="9"/>
            <color indexed="81"/>
            <rFont val="MS P ゴシック"/>
            <family val="3"/>
            <charset val="128"/>
          </rPr>
          <t xml:space="preserve">IG ON 且つ ST OFF
</t>
        </r>
      </text>
    </comment>
    <comment ref="F51" authorId="1" shapeId="0" xr:uid="{00000000-0006-0000-0900-00000C000000}">
      <text>
        <r>
          <rPr>
            <b/>
            <sz val="9"/>
            <color indexed="81"/>
            <rFont val="MS P ゴシック"/>
            <family val="3"/>
            <charset val="128"/>
          </rPr>
          <t>IG ON</t>
        </r>
      </text>
    </comment>
    <comment ref="G51" authorId="1" shapeId="0" xr:uid="{00000000-0006-0000-0900-00000D000000}">
      <text>
        <r>
          <rPr>
            <b/>
            <sz val="9"/>
            <color indexed="81"/>
            <rFont val="MS P ゴシック"/>
            <family val="3"/>
            <charset val="128"/>
          </rPr>
          <t xml:space="preserve">IG OFF 且つ IG OFF後25[m]未満
</t>
        </r>
      </text>
    </comment>
    <comment ref="H51" authorId="1" shapeId="0" xr:uid="{00000000-0006-0000-0900-00000E000000}">
      <text>
        <r>
          <rPr>
            <b/>
            <sz val="9"/>
            <color indexed="81"/>
            <rFont val="MS P ゴシック"/>
            <family val="3"/>
            <charset val="128"/>
          </rPr>
          <t xml:space="preserve">IG OFF
</t>
        </r>
      </text>
    </comment>
    <comment ref="I51" authorId="1" shapeId="0" xr:uid="{00000000-0006-0000-0900-00000F000000}">
      <text>
        <r>
          <rPr>
            <b/>
            <sz val="9"/>
            <color indexed="81"/>
            <rFont val="MS P ゴシック"/>
            <family val="3"/>
            <charset val="128"/>
          </rPr>
          <t xml:space="preserve">IG ON 又は IG OFF後25[m]未満
</t>
        </r>
      </text>
    </comment>
    <comment ref="J51" authorId="1" shapeId="0" xr:uid="{00000000-0006-0000-0900-000010000000}">
      <text>
        <r>
          <rPr>
            <b/>
            <sz val="9"/>
            <color indexed="81"/>
            <rFont val="MS P ゴシック"/>
            <family val="3"/>
            <charset val="128"/>
          </rPr>
          <t>+B ON 又は ACC ON</t>
        </r>
      </text>
    </comment>
    <comment ref="B84" authorId="0" shapeId="0" xr:uid="{1D6236CC-183B-4B4B-A756-1B2929813381}">
      <text>
        <r>
          <rPr>
            <b/>
            <sz val="9"/>
            <color indexed="81"/>
            <rFont val="ＭＳ Ｐゴシック"/>
            <family val="3"/>
            <charset val="128"/>
          </rPr>
          <t xml:space="preserve">電源状態は、各入力/出力信号の電源状態を記載する。
ALERT_CH_XXXの出力は、機能の電源状態を記載するので注意。
</t>
        </r>
      </text>
    </comment>
    <comment ref="C87" authorId="1" shapeId="0" xr:uid="{6EB72797-7C06-4908-AC74-8FEEE43E0DCD}">
      <text>
        <r>
          <rPr>
            <b/>
            <sz val="9"/>
            <color indexed="81"/>
            <rFont val="MS P ゴシック"/>
            <family val="3"/>
            <charset val="128"/>
          </rPr>
          <t xml:space="preserve">リモート送信条件成立：IG ON 且つ PTS ONが15[s]以上
</t>
        </r>
      </text>
    </comment>
    <comment ref="E87" authorId="1" shapeId="0" xr:uid="{47231BBA-D04F-440F-B19F-F66F5188A5B9}">
      <text>
        <r>
          <rPr>
            <b/>
            <sz val="9"/>
            <color indexed="81"/>
            <rFont val="MS P ゴシック"/>
            <family val="3"/>
            <charset val="128"/>
          </rPr>
          <t xml:space="preserve">IG ON 且つ ST OFF
</t>
        </r>
      </text>
    </comment>
    <comment ref="F87" authorId="1" shapeId="0" xr:uid="{F5D48769-B727-4279-B19B-69AD8EA783A6}">
      <text>
        <r>
          <rPr>
            <b/>
            <sz val="9"/>
            <color indexed="81"/>
            <rFont val="MS P ゴシック"/>
            <family val="3"/>
            <charset val="128"/>
          </rPr>
          <t>IG ON</t>
        </r>
      </text>
    </comment>
    <comment ref="G87" authorId="1" shapeId="0" xr:uid="{B1B5AAF6-D33F-44E8-AABE-D95C14AA4CBA}">
      <text>
        <r>
          <rPr>
            <b/>
            <sz val="9"/>
            <color indexed="81"/>
            <rFont val="MS P ゴシック"/>
            <family val="3"/>
            <charset val="128"/>
          </rPr>
          <t xml:space="preserve">IG OFF 且つ IG OFF後25[m]未満
</t>
        </r>
      </text>
    </comment>
    <comment ref="H87" authorId="1" shapeId="0" xr:uid="{34D63F4F-7177-4946-9A56-B8370B044956}">
      <text>
        <r>
          <rPr>
            <b/>
            <sz val="9"/>
            <color indexed="81"/>
            <rFont val="MS P ゴシック"/>
            <family val="3"/>
            <charset val="128"/>
          </rPr>
          <t xml:space="preserve">IG OFF
</t>
        </r>
      </text>
    </comment>
    <comment ref="I87" authorId="1" shapeId="0" xr:uid="{8EE65304-AD44-4867-BFC9-9CAD2E94B0E1}">
      <text>
        <r>
          <rPr>
            <b/>
            <sz val="9"/>
            <color indexed="81"/>
            <rFont val="MS P ゴシック"/>
            <family val="3"/>
            <charset val="128"/>
          </rPr>
          <t xml:space="preserve">IG ON 又は IG OFF後25[m]未満
</t>
        </r>
      </text>
    </comment>
    <comment ref="J87" authorId="1" shapeId="0" xr:uid="{832BEA28-A150-4D00-AB4C-63440ECDD146}">
      <text>
        <r>
          <rPr>
            <b/>
            <sz val="9"/>
            <color indexed="81"/>
            <rFont val="MS P ゴシック"/>
            <family val="3"/>
            <charset val="128"/>
          </rPr>
          <t>+B ON 又は ACC ON</t>
        </r>
      </text>
    </comment>
  </commentList>
</comments>
</file>

<file path=xl/sharedStrings.xml><?xml version="1.0" encoding="utf-8"?>
<sst xmlns="http://schemas.openxmlformats.org/spreadsheetml/2006/main" count="4926" uniqueCount="423">
  <si>
    <t>更新履歴</t>
    <phoneticPr fontId="2"/>
  </si>
  <si>
    <t>更新内容</t>
    <phoneticPr fontId="2"/>
  </si>
  <si>
    <t>対象ソフトVer</t>
    <phoneticPr fontId="2"/>
  </si>
  <si>
    <t>Git(CommitID)</t>
    <phoneticPr fontId="2"/>
  </si>
  <si>
    <t>Component
Version</t>
    <phoneticPr fontId="2"/>
  </si>
  <si>
    <t>承認欄 [DENSO]</t>
    <phoneticPr fontId="2"/>
  </si>
  <si>
    <t>承認者</t>
  </si>
  <si>
    <t>承認日</t>
  </si>
  <si>
    <t>検討者</t>
  </si>
  <si>
    <t>検討日</t>
  </si>
  <si>
    <t>作成者</t>
  </si>
  <si>
    <t>作成日</t>
  </si>
  <si>
    <t>承認欄 [NTTデータMSE]</t>
  </si>
  <si>
    <t>コンポーネント</t>
    <phoneticPr fontId="2"/>
  </si>
  <si>
    <t>Vom::Alert</t>
    <phoneticPr fontId="2"/>
  </si>
  <si>
    <t>1.0.0</t>
    <phoneticPr fontId="2"/>
  </si>
  <si>
    <t>ROW</t>
    <phoneticPr fontId="2"/>
  </si>
  <si>
    <t>Ver.</t>
    <phoneticPr fontId="2"/>
  </si>
  <si>
    <t>モジュール名</t>
    <rPh sb="5" eb="6">
      <t>メイ</t>
    </rPh>
    <phoneticPr fontId="2"/>
  </si>
  <si>
    <t>対象仕様書</t>
    <rPh sb="0" eb="2">
      <t>タイショウ</t>
    </rPh>
    <rPh sb="2" eb="5">
      <t>シヨウショ</t>
    </rPh>
    <phoneticPr fontId="2"/>
  </si>
  <si>
    <t>新規作成</t>
    <rPh sb="0" eb="2">
      <t>シンキ</t>
    </rPh>
    <rPh sb="2" eb="4">
      <t>サクセイ</t>
    </rPh>
    <phoneticPr fontId="2"/>
  </si>
  <si>
    <t>振る舞い</t>
  </si>
  <si>
    <t>種類</t>
  </si>
  <si>
    <t>TT</t>
  </si>
  <si>
    <t>PD</t>
  </si>
  <si>
    <t>BC</t>
  </si>
  <si>
    <t>RW</t>
  </si>
  <si>
    <t>端子名称/
メッセージラベル</t>
  </si>
  <si>
    <t>信号名(データラベル)</t>
  </si>
  <si>
    <t>判定結果</t>
  </si>
  <si>
    <t>取り得る値</t>
  </si>
  <si>
    <t>-</t>
  </si>
  <si>
    <t>UNKNOWN</t>
  </si>
  <si>
    <t>有効電源状態</t>
    <rPh sb="0" eb="2">
      <t>ユウコウ</t>
    </rPh>
    <phoneticPr fontId="2"/>
  </si>
  <si>
    <t>No</t>
    <phoneticPr fontId="2"/>
  </si>
  <si>
    <t>VOM</t>
    <phoneticPr fontId="2"/>
  </si>
  <si>
    <t>機能名</t>
    <rPh sb="0" eb="3">
      <t>キノウメイ</t>
    </rPh>
    <phoneticPr fontId="2"/>
  </si>
  <si>
    <t>判定要素数</t>
    <rPh sb="0" eb="2">
      <t>ハンテイ</t>
    </rPh>
    <rPh sb="2" eb="4">
      <t>ヨウソ</t>
    </rPh>
    <rPh sb="4" eb="5">
      <t>スウ</t>
    </rPh>
    <phoneticPr fontId="2"/>
  </si>
  <si>
    <t>初期化関数名</t>
    <rPh sb="0" eb="3">
      <t>ショキカ</t>
    </rPh>
    <rPh sb="3" eb="5">
      <t>カンスウ</t>
    </rPh>
    <rPh sb="5" eb="6">
      <t>メイ</t>
    </rPh>
    <phoneticPr fontId="2"/>
  </si>
  <si>
    <t>RW</t>
    <phoneticPr fontId="2"/>
  </si>
  <si>
    <t>Srcchk</t>
  </si>
  <si>
    <t>RwTx</t>
    <phoneticPr fontId="2"/>
  </si>
  <si>
    <t>CH</t>
    <phoneticPr fontId="2"/>
  </si>
  <si>
    <t>CH Name</t>
    <phoneticPr fontId="2"/>
  </si>
  <si>
    <t>処理時間</t>
    <rPh sb="0" eb="2">
      <t>ショリ</t>
    </rPh>
    <rPh sb="2" eb="4">
      <t>ジカン</t>
    </rPh>
    <phoneticPr fontId="2"/>
  </si>
  <si>
    <t>VOM</t>
    <phoneticPr fontId="2"/>
  </si>
  <si>
    <t>ALERT_VOM_BAT_AO</t>
  </si>
  <si>
    <t>ALERT_VOM_BAT_WT</t>
  </si>
  <si>
    <t>ALERT_VOM_IGN_ON</t>
  </si>
  <si>
    <t>ALERT_VOM_VCS_ON</t>
  </si>
  <si>
    <t>NULL</t>
    <phoneticPr fontId="2"/>
  </si>
  <si>
    <t>REQ</t>
    <phoneticPr fontId="2"/>
  </si>
  <si>
    <t>Value</t>
  </si>
  <si>
    <t>TT機能判定</t>
  </si>
  <si>
    <t>BC機能判定</t>
  </si>
  <si>
    <t>PD機能判定</t>
  </si>
  <si>
    <t>RW機能判定</t>
  </si>
  <si>
    <t>文字数</t>
  </si>
  <si>
    <t>ALERT CH</t>
    <phoneticPr fontId="2"/>
  </si>
  <si>
    <t>→</t>
  </si>
  <si>
    <t>bit</t>
  </si>
  <si>
    <t>ALERT_VOM_RWT_EN</t>
  </si>
  <si>
    <t>[reserved]</t>
  </si>
  <si>
    <t>Master Table</t>
    <phoneticPr fontId="2"/>
  </si>
  <si>
    <t>Criteria</t>
    <phoneticPr fontId="2"/>
  </si>
  <si>
    <t>Mask</t>
    <phoneticPr fontId="2"/>
  </si>
  <si>
    <t>[reserved]</t>
    <phoneticPr fontId="2"/>
  </si>
  <si>
    <t>×</t>
    <phoneticPr fontId="2"/>
  </si>
  <si>
    <t xml:space="preserve">    {</t>
    <phoneticPr fontId="2"/>
  </si>
  <si>
    <t xml:space="preserve">    }</t>
    <phoneticPr fontId="2"/>
  </si>
  <si>
    <t>MtxSrch変数名</t>
    <phoneticPr fontId="2"/>
  </si>
  <si>
    <t>Use MtxSrch</t>
  </si>
  <si>
    <t>CRIT_NAME</t>
  </si>
  <si>
    <t>MASK_NAME</t>
  </si>
  <si>
    <t>MTXSRCH_DEF</t>
  </si>
  <si>
    <t>MTXSRCH_OUT_DEF</t>
  </si>
  <si>
    <t>SRCH_NUM</t>
  </si>
  <si>
    <t>SRC CHK</t>
  </si>
  <si>
    <t>ACT</t>
  </si>
  <si>
    <r>
      <t>ALERT_MTRX</t>
    </r>
    <r>
      <rPr>
        <sz val="11"/>
        <rFont val="ＭＳ Ｐゴシック"/>
        <family val="3"/>
        <charset val="128"/>
      </rPr>
      <t>変数名</t>
    </r>
    <rPh sb="10" eb="12">
      <t>ヘンスウ</t>
    </rPh>
    <rPh sb="12" eb="13">
      <t>メイ</t>
    </rPh>
    <phoneticPr fontId="9"/>
  </si>
  <si>
    <t>RWTX</t>
    <phoneticPr fontId="2"/>
  </si>
  <si>
    <t>};</t>
    <phoneticPr fontId="2"/>
  </si>
  <si>
    <t>貼り付けコード</t>
    <rPh sb="0" eb="1">
      <t>ハ</t>
    </rPh>
    <rPh sb="2" eb="3">
      <t>ツ</t>
    </rPh>
    <phoneticPr fontId="2"/>
  </si>
  <si>
    <t>Code for alert_mtrx.h</t>
    <phoneticPr fontId="2"/>
  </si>
  <si>
    <t>INDEX</t>
    <phoneticPr fontId="2"/>
  </si>
  <si>
    <t>Rev.</t>
    <phoneticPr fontId="2"/>
  </si>
  <si>
    <t>テンプレート変更内容</t>
    <rPh sb="6" eb="8">
      <t>ヘンコウ</t>
    </rPh>
    <rPh sb="8" eb="10">
      <t>ナイヨウ</t>
    </rPh>
    <phoneticPr fontId="2"/>
  </si>
  <si>
    <t>CH名称中間データ</t>
    <rPh sb="2" eb="4">
      <t>メイショウ</t>
    </rPh>
    <rPh sb="4" eb="6">
      <t>チュウカン</t>
    </rPh>
    <phoneticPr fontId="2"/>
  </si>
  <si>
    <t>ALERT_MTRX_NAME</t>
    <phoneticPr fontId="2"/>
  </si>
  <si>
    <t>変更者</t>
    <rPh sb="0" eb="2">
      <t>ヘンコウ</t>
    </rPh>
    <rPh sb="2" eb="3">
      <t>シャ</t>
    </rPh>
    <phoneticPr fontId="2"/>
  </si>
  <si>
    <t>岩田</t>
    <rPh sb="0" eb="2">
      <t>イワタ</t>
    </rPh>
    <phoneticPr fontId="2"/>
  </si>
  <si>
    <t>・Historyシートに変更者列を追加
・ALERT_MTRX_NAMEがCH名ではなく、機能名で出力されるように修正
・DSTテーブルの終端「};」の後ろに半角スペースが入らないように修正</t>
    <rPh sb="12" eb="14">
      <t>ヘンコウ</t>
    </rPh>
    <rPh sb="14" eb="15">
      <t>シャ</t>
    </rPh>
    <rPh sb="15" eb="16">
      <t>レツ</t>
    </rPh>
    <rPh sb="17" eb="19">
      <t>ツイカ</t>
    </rPh>
    <rPh sb="39" eb="40">
      <t>メイ</t>
    </rPh>
    <rPh sb="45" eb="47">
      <t>キノウ</t>
    </rPh>
    <rPh sb="47" eb="48">
      <t>メイ</t>
    </rPh>
    <rPh sb="49" eb="51">
      <t>シュツリョク</t>
    </rPh>
    <rPh sb="57" eb="59">
      <t>シュウセイ</t>
    </rPh>
    <rPh sb="69" eb="71">
      <t>シュウタン</t>
    </rPh>
    <rPh sb="76" eb="77">
      <t>ウシ</t>
    </rPh>
    <rPh sb="79" eb="81">
      <t>ハンカク</t>
    </rPh>
    <rPh sb="86" eb="87">
      <t>ハイ</t>
    </rPh>
    <rPh sb="93" eb="95">
      <t>シュウセイ</t>
    </rPh>
    <phoneticPr fontId="2"/>
  </si>
  <si>
    <t>ROW</t>
    <phoneticPr fontId="2"/>
  </si>
  <si>
    <t>MSE佐野</t>
    <rPh sb="3" eb="5">
      <t>サノ</t>
    </rPh>
    <phoneticPr fontId="2"/>
  </si>
  <si>
    <t>[表紙]
バージョン表示用の数式修正</t>
    <rPh sb="1" eb="3">
      <t>ヒョウシ</t>
    </rPh>
    <rPh sb="10" eb="12">
      <t>ヒョウジ</t>
    </rPh>
    <rPh sb="12" eb="13">
      <t>ヨウ</t>
    </rPh>
    <rPh sb="14" eb="16">
      <t>スウシキ</t>
    </rPh>
    <rPh sb="16" eb="18">
      <t>シュウセイ</t>
    </rPh>
    <phoneticPr fontId="2"/>
  </si>
  <si>
    <t>Matrix名</t>
    <rPh sb="6" eb="7">
      <t>メイ</t>
    </rPh>
    <phoneticPr fontId="2"/>
  </si>
  <si>
    <t>シート名称は、CH Nameと同じにすること。 1CHしか存在しない場合、機能名と同じにすること。</t>
    <phoneticPr fontId="2"/>
  </si>
  <si>
    <t>[Matrix]
・選択できる初期化関数名修正
・Matrix構造体名の欄を追加
・機能名とCH名の文字数制限による条件付き書式を追加</t>
    <rPh sb="10" eb="12">
      <t>センタク</t>
    </rPh>
    <rPh sb="15" eb="18">
      <t>ショキカ</t>
    </rPh>
    <rPh sb="18" eb="20">
      <t>カンスウ</t>
    </rPh>
    <rPh sb="20" eb="21">
      <t>メイ</t>
    </rPh>
    <rPh sb="21" eb="23">
      <t>シュウセイ</t>
    </rPh>
    <rPh sb="31" eb="34">
      <t>コウゾウタイ</t>
    </rPh>
    <rPh sb="34" eb="35">
      <t>メイ</t>
    </rPh>
    <rPh sb="36" eb="37">
      <t>ラン</t>
    </rPh>
    <rPh sb="38" eb="40">
      <t>ツイカ</t>
    </rPh>
    <rPh sb="42" eb="45">
      <t>キノウメイ</t>
    </rPh>
    <rPh sb="48" eb="49">
      <t>メイ</t>
    </rPh>
    <rPh sb="50" eb="53">
      <t>モジスウ</t>
    </rPh>
    <rPh sb="53" eb="55">
      <t>セイゲン</t>
    </rPh>
    <rPh sb="58" eb="60">
      <t>ジョウケン</t>
    </rPh>
    <rPh sb="60" eb="61">
      <t>ツ</t>
    </rPh>
    <rPh sb="62" eb="64">
      <t>ショシキ</t>
    </rPh>
    <rPh sb="65" eb="67">
      <t>ツイカ</t>
    </rPh>
    <phoneticPr fontId="2"/>
  </si>
  <si>
    <t>電源状態一覧</t>
    <rPh sb="0" eb="2">
      <t>デンゲン</t>
    </rPh>
    <rPh sb="2" eb="4">
      <t>ジョウタイ</t>
    </rPh>
    <rPh sb="4" eb="6">
      <t>イチラン</t>
    </rPh>
    <phoneticPr fontId="2"/>
  </si>
  <si>
    <t>＋B</t>
    <phoneticPr fontId="2"/>
  </si>
  <si>
    <t>IG-ON</t>
    <phoneticPr fontId="2"/>
  </si>
  <si>
    <t>IG-OFF</t>
    <phoneticPr fontId="2"/>
  </si>
  <si>
    <t>ACC-ON</t>
    <phoneticPr fontId="2"/>
  </si>
  <si>
    <t>ACC-OFF</t>
    <phoneticPr fontId="2"/>
  </si>
  <si>
    <t>出力なしは、ここでは定義しないこと。システム共通のALERT_REQ_UNKNOWNを使用するため。</t>
    <phoneticPr fontId="2"/>
  </si>
  <si>
    <t>MSE平出</t>
    <rPh sb="3" eb="5">
      <t>ヒライデ</t>
    </rPh>
    <phoneticPr fontId="2"/>
  </si>
  <si>
    <t>MSE鈴木大</t>
    <rPh sb="3" eb="5">
      <t>スズキ</t>
    </rPh>
    <rPh sb="5" eb="6">
      <t>ダイ</t>
    </rPh>
    <phoneticPr fontId="2"/>
  </si>
  <si>
    <t>[CH_Design]
・TT欄、BC欄の記載ルールをセルコメントとして追記。周期やDutyがわかるように変更。</t>
    <rPh sb="15" eb="16">
      <t>ラン</t>
    </rPh>
    <rPh sb="19" eb="20">
      <t>ラン</t>
    </rPh>
    <rPh sb="21" eb="23">
      <t>キサイ</t>
    </rPh>
    <rPh sb="36" eb="38">
      <t>ツイキ</t>
    </rPh>
    <rPh sb="39" eb="41">
      <t>シュウキ</t>
    </rPh>
    <rPh sb="53" eb="55">
      <t>ヘンコウ</t>
    </rPh>
    <phoneticPr fontId="2"/>
  </si>
  <si>
    <t>UNKNOWN</t>
    <phoneticPr fontId="2"/>
  </si>
  <si>
    <t>[CH_Design]
・StatusでUNKNOWNを指定できるようにダミー行を追加</t>
    <rPh sb="28" eb="30">
      <t>シテイ</t>
    </rPh>
    <rPh sb="39" eb="40">
      <t>ギョウ</t>
    </rPh>
    <rPh sb="41" eb="43">
      <t>ツイカ</t>
    </rPh>
    <phoneticPr fontId="2"/>
  </si>
  <si>
    <t>[AIRBAG]　テーブル作成シート
・DST数に接尾語"U"を追加</t>
    <rPh sb="13" eb="15">
      <t>サクセイ</t>
    </rPh>
    <rPh sb="23" eb="24">
      <t>スウ</t>
    </rPh>
    <rPh sb="25" eb="28">
      <t>セツビゴ</t>
    </rPh>
    <rPh sb="32" eb="34">
      <t>ツイカ</t>
    </rPh>
    <phoneticPr fontId="2"/>
  </si>
  <si>
    <t>[CH_Design]
・機能の電源状態を記載する欄を追加
・「コメント」を「条件」に変更
[AIRBAG]　テーブル作成シート
・Statusをリストから選択するように修正。
　リストの元は、CH_DesignのStausを使用。</t>
    <rPh sb="13" eb="15">
      <t>キノウ</t>
    </rPh>
    <rPh sb="16" eb="18">
      <t>デンゲン</t>
    </rPh>
    <rPh sb="18" eb="20">
      <t>ジョウタイ</t>
    </rPh>
    <rPh sb="21" eb="23">
      <t>キサイ</t>
    </rPh>
    <rPh sb="25" eb="26">
      <t>ラン</t>
    </rPh>
    <rPh sb="27" eb="29">
      <t>ツイカ</t>
    </rPh>
    <rPh sb="39" eb="41">
      <t>ジョウケン</t>
    </rPh>
    <rPh sb="43" eb="45">
      <t>ヘンコウ</t>
    </rPh>
    <rPh sb="78" eb="80">
      <t>センタク</t>
    </rPh>
    <rPh sb="85" eb="87">
      <t>シュウセイ</t>
    </rPh>
    <rPh sb="94" eb="95">
      <t>モト</t>
    </rPh>
    <rPh sb="113" eb="115">
      <t>シヨウ</t>
    </rPh>
    <phoneticPr fontId="2"/>
  </si>
  <si>
    <t>[AIRBAG]　テーブル作成シート
・64要素で出力させた際に、終端の"};"が出力されるように修正</t>
    <rPh sb="22" eb="24">
      <t>ヨウソ</t>
    </rPh>
    <rPh sb="25" eb="27">
      <t>シュツリョク</t>
    </rPh>
    <rPh sb="30" eb="31">
      <t>サイ</t>
    </rPh>
    <rPh sb="33" eb="35">
      <t>シュウタン</t>
    </rPh>
    <rPh sb="41" eb="43">
      <t>シュツリョク</t>
    </rPh>
    <rPh sb="49" eb="51">
      <t>シュウセイ</t>
    </rPh>
    <phoneticPr fontId="2"/>
  </si>
  <si>
    <t>[AIRBAG]　テーブル作成シート
・VOM CHKにIG OFF Bit追加</t>
    <rPh sb="38" eb="40">
      <t>ツイカ</t>
    </rPh>
    <phoneticPr fontId="2"/>
  </si>
  <si>
    <t>MSE内藤</t>
    <rPh sb="3" eb="5">
      <t>ナイトウ</t>
    </rPh>
    <phoneticPr fontId="2"/>
  </si>
  <si>
    <t>[真理値表]
出力判定方法（Index or Matrix Search）を記載する欄を追加</t>
    <rPh sb="1" eb="5">
      <t>シンリチヒョウ</t>
    </rPh>
    <rPh sb="7" eb="9">
      <t>シュツリョク</t>
    </rPh>
    <rPh sb="9" eb="11">
      <t>ハンテイ</t>
    </rPh>
    <rPh sb="11" eb="13">
      <t>ホウホウ</t>
    </rPh>
    <rPh sb="38" eb="40">
      <t>キサイ</t>
    </rPh>
    <rPh sb="42" eb="43">
      <t>ラン</t>
    </rPh>
    <rPh sb="44" eb="46">
      <t>ツイカ</t>
    </rPh>
    <phoneticPr fontId="2"/>
  </si>
  <si>
    <t>ロケーション</t>
    <phoneticPr fontId="2"/>
  </si>
  <si>
    <t>定義名</t>
    <rPh sb="0" eb="2">
      <t>テイギ</t>
    </rPh>
    <rPh sb="2" eb="3">
      <t>メイ</t>
    </rPh>
    <phoneticPr fontId="2"/>
  </si>
  <si>
    <t>ユーザ入力セル</t>
    <rPh sb="3" eb="5">
      <t>ニュウリョク</t>
    </rPh>
    <phoneticPr fontId="2"/>
  </si>
  <si>
    <t>自動計算セル</t>
    <rPh sb="0" eb="2">
      <t>ジドウ</t>
    </rPh>
    <rPh sb="2" eb="4">
      <t>ケイサン</t>
    </rPh>
    <phoneticPr fontId="2"/>
  </si>
  <si>
    <t>ALERT_VOM_IGN_OFF</t>
  </si>
  <si>
    <t>ALERT_VOM_IGN_OFF_WT</t>
  </si>
  <si>
    <t>REQ</t>
    <phoneticPr fontId="2"/>
  </si>
  <si>
    <t>Table Type</t>
    <phoneticPr fontId="2"/>
  </si>
  <si>
    <t>ALERT_VOM_BAT_AO</t>
    <phoneticPr fontId="2"/>
  </si>
  <si>
    <t>ALERT_VOM_BAT_WT</t>
    <phoneticPr fontId="2"/>
  </si>
  <si>
    <t>なし</t>
  </si>
  <si>
    <t>-</t>
    <phoneticPr fontId="2"/>
  </si>
  <si>
    <t>[真理値表]
・Referenceシートに命名変更
[Matrix]
・編集可能範囲設定
・入力仕様情報追加
[CH_Design]
・編集可能範囲設定
[AIRBAG]
・Table利用方式を選択式に変更
・Search Tableの凡例としてTT、Index Tableの凡例としてBCシートに命名変更し、新規作成</t>
    <rPh sb="1" eb="5">
      <t>シンリチヒョウ</t>
    </rPh>
    <rPh sb="21" eb="23">
      <t>メイメイ</t>
    </rPh>
    <rPh sb="23" eb="25">
      <t>ヘンコウ</t>
    </rPh>
    <rPh sb="36" eb="38">
      <t>ヘンシュウ</t>
    </rPh>
    <rPh sb="38" eb="40">
      <t>カノウ</t>
    </rPh>
    <rPh sb="40" eb="42">
      <t>ハンイ</t>
    </rPh>
    <rPh sb="42" eb="44">
      <t>セッテイ</t>
    </rPh>
    <rPh sb="46" eb="48">
      <t>ニュウリョク</t>
    </rPh>
    <rPh sb="48" eb="50">
      <t>シヨウ</t>
    </rPh>
    <rPh sb="50" eb="52">
      <t>ジョウホウ</t>
    </rPh>
    <rPh sb="52" eb="54">
      <t>ツイカ</t>
    </rPh>
    <rPh sb="68" eb="70">
      <t>ヘンシュウ</t>
    </rPh>
    <rPh sb="70" eb="72">
      <t>カノウ</t>
    </rPh>
    <rPh sb="72" eb="74">
      <t>ハンイ</t>
    </rPh>
    <rPh sb="74" eb="76">
      <t>セッテイ</t>
    </rPh>
    <rPh sb="118" eb="120">
      <t>ハンレイ</t>
    </rPh>
    <rPh sb="138" eb="140">
      <t>ハンレイ</t>
    </rPh>
    <rPh sb="149" eb="151">
      <t>メイメイ</t>
    </rPh>
    <rPh sb="151" eb="153">
      <t>ヘンコウ</t>
    </rPh>
    <rPh sb="155" eb="157">
      <t>シンキ</t>
    </rPh>
    <rPh sb="157" eb="159">
      <t>サクセイ</t>
    </rPh>
    <phoneticPr fontId="2"/>
  </si>
  <si>
    <t>１．本書の目的</t>
    <rPh sb="2" eb="4">
      <t>ホンショ</t>
    </rPh>
    <rPh sb="5" eb="7">
      <t>モクテキ</t>
    </rPh>
    <phoneticPr fontId="2"/>
  </si>
  <si>
    <t>２．上位文書</t>
    <rPh sb="2" eb="4">
      <t>ジョウイ</t>
    </rPh>
    <rPh sb="4" eb="6">
      <t>ブンショ</t>
    </rPh>
    <phoneticPr fontId="2"/>
  </si>
  <si>
    <t>３．用語の説明</t>
    <rPh sb="2" eb="4">
      <t>ヨウゴ</t>
    </rPh>
    <rPh sb="5" eb="7">
      <t>セツメイ</t>
    </rPh>
    <phoneticPr fontId="2"/>
  </si>
  <si>
    <t>#</t>
    <phoneticPr fontId="2"/>
  </si>
  <si>
    <t>用語</t>
    <rPh sb="0" eb="2">
      <t>ヨウゴ</t>
    </rPh>
    <phoneticPr fontId="2"/>
  </si>
  <si>
    <t>説明</t>
    <rPh sb="0" eb="2">
      <t>セツメイ</t>
    </rPh>
    <phoneticPr fontId="2"/>
  </si>
  <si>
    <t>Telltale</t>
  </si>
  <si>
    <t>Pop-up Display</t>
  </si>
  <si>
    <t>Buzzer/Chime</t>
  </si>
  <si>
    <t>Remote Warning</t>
  </si>
  <si>
    <t>TMC Specを分析した結果で、Vom::Alertの実装に必要となる情報を抽出し、Alert Config Toolのインプットとする。</t>
    <rPh sb="9" eb="11">
      <t>ブンセキ</t>
    </rPh>
    <rPh sb="13" eb="15">
      <t>ケッカ</t>
    </rPh>
    <rPh sb="28" eb="30">
      <t>ジッソウ</t>
    </rPh>
    <rPh sb="31" eb="33">
      <t>ヒツヨウ</t>
    </rPh>
    <rPh sb="36" eb="38">
      <t>ジョウホウ</t>
    </rPh>
    <rPh sb="39" eb="41">
      <t>チュウシュツ</t>
    </rPh>
    <phoneticPr fontId="2"/>
  </si>
  <si>
    <t>path</t>
    <phoneticPr fontId="2"/>
  </si>
  <si>
    <t>Alert設計資料</t>
    <rPh sb="5" eb="7">
      <t>セッケイ</t>
    </rPh>
    <rPh sb="7" eb="9">
      <t>シリョウ</t>
    </rPh>
    <phoneticPr fontId="2"/>
  </si>
  <si>
    <t>４．各シートの説明</t>
    <rPh sb="2" eb="3">
      <t>カク</t>
    </rPh>
    <rPh sb="7" eb="9">
      <t>セツメイ</t>
    </rPh>
    <phoneticPr fontId="2"/>
  </si>
  <si>
    <t>Matrix</t>
    <phoneticPr fontId="2"/>
  </si>
  <si>
    <t>Reference</t>
    <phoneticPr fontId="2"/>
  </si>
  <si>
    <t>History</t>
    <phoneticPr fontId="2"/>
  </si>
  <si>
    <t>Alert Config Tool</t>
    <phoneticPr fontId="2"/>
  </si>
  <si>
    <t>TMC Specと本設計書のトレースをデータベース管理するTool。</t>
    <rPh sb="9" eb="10">
      <t>ホン</t>
    </rPh>
    <rPh sb="10" eb="12">
      <t>セッケイ</t>
    </rPh>
    <rPh sb="12" eb="13">
      <t>ショ</t>
    </rPh>
    <rPh sb="25" eb="27">
      <t>カンリ</t>
    </rPh>
    <phoneticPr fontId="2"/>
  </si>
  <si>
    <t>CH</t>
    <phoneticPr fontId="2"/>
  </si>
  <si>
    <t>TT/BC</t>
    <phoneticPr fontId="2"/>
  </si>
  <si>
    <t>Alert Channel。 各Specを分析した結果で決定されるモジュール内分割単位。</t>
    <rPh sb="15" eb="16">
      <t>カク</t>
    </rPh>
    <rPh sb="21" eb="23">
      <t>ブンセキ</t>
    </rPh>
    <rPh sb="25" eb="27">
      <t>ケッカ</t>
    </rPh>
    <rPh sb="28" eb="30">
      <t>ケッテイ</t>
    </rPh>
    <rPh sb="38" eb="39">
      <t>ナイ</t>
    </rPh>
    <rPh sb="39" eb="41">
      <t>ブンカツ</t>
    </rPh>
    <rPh sb="41" eb="43">
      <t>タンイ</t>
    </rPh>
    <phoneticPr fontId="2"/>
  </si>
  <si>
    <t>REQ</t>
    <phoneticPr fontId="2"/>
  </si>
  <si>
    <r>
      <t xml:space="preserve">対象となるTMC Specならびに分析した結果で決定されるAlert Channel情報について記載する。
</t>
    </r>
    <r>
      <rPr>
        <sz val="11"/>
        <color rgb="FF0000FF"/>
        <rFont val="ＭＳ Ｐゴシック"/>
        <family val="3"/>
        <charset val="128"/>
        <scheme val="minor"/>
      </rPr>
      <t>Alert Config Toolのインプットとする。</t>
    </r>
    <rPh sb="0" eb="2">
      <t>タイショウ</t>
    </rPh>
    <rPh sb="17" eb="19">
      <t>ブンセキ</t>
    </rPh>
    <rPh sb="21" eb="23">
      <t>ケッカ</t>
    </rPh>
    <rPh sb="24" eb="26">
      <t>ケッテイ</t>
    </rPh>
    <rPh sb="42" eb="44">
      <t>ジョウホウ</t>
    </rPh>
    <rPh sb="48" eb="50">
      <t>キサイ</t>
    </rPh>
    <phoneticPr fontId="2"/>
  </si>
  <si>
    <r>
      <t xml:space="preserve">シート名は各CH名を採用する。
対象のTMC Specを分析した結果で、各CHのインプット/アウトプットの判定条件について記載する。
</t>
    </r>
    <r>
      <rPr>
        <sz val="11"/>
        <color rgb="FF0000FF"/>
        <rFont val="ＭＳ Ｐゴシック"/>
        <family val="3"/>
        <charset val="128"/>
        <scheme val="minor"/>
      </rPr>
      <t>コーディング時のインプットとする。</t>
    </r>
    <rPh sb="3" eb="4">
      <t>メイ</t>
    </rPh>
    <rPh sb="5" eb="6">
      <t>カク</t>
    </rPh>
    <rPh sb="8" eb="9">
      <t>メイ</t>
    </rPh>
    <rPh sb="10" eb="12">
      <t>サイヨウ</t>
    </rPh>
    <rPh sb="16" eb="18">
      <t>タイショウ</t>
    </rPh>
    <rPh sb="28" eb="30">
      <t>ブンセキ</t>
    </rPh>
    <rPh sb="32" eb="34">
      <t>ケッカ</t>
    </rPh>
    <rPh sb="36" eb="37">
      <t>カク</t>
    </rPh>
    <rPh sb="53" eb="55">
      <t>ハンテイ</t>
    </rPh>
    <rPh sb="55" eb="57">
      <t>ジョウケン</t>
    </rPh>
    <rPh sb="61" eb="63">
      <t>キサイ</t>
    </rPh>
    <rPh sb="73" eb="74">
      <t>ジ</t>
    </rPh>
    <phoneticPr fontId="2"/>
  </si>
  <si>
    <t>テンプレート変更履歴</t>
    <rPh sb="6" eb="8">
      <t>ヘンコウ</t>
    </rPh>
    <rPh sb="8" eb="10">
      <t>リレキ</t>
    </rPh>
    <phoneticPr fontId="2"/>
  </si>
  <si>
    <t>VOM</t>
    <phoneticPr fontId="2"/>
  </si>
  <si>
    <t>REQ</t>
    <phoneticPr fontId="2"/>
  </si>
  <si>
    <t>鈴木大</t>
    <rPh sb="0" eb="2">
      <t>スズキ</t>
    </rPh>
    <rPh sb="2" eb="3">
      <t>ダイ</t>
    </rPh>
    <phoneticPr fontId="2"/>
  </si>
  <si>
    <t>[reserved]</t>
    <phoneticPr fontId="2"/>
  </si>
  <si>
    <t>Table Type</t>
    <phoneticPr fontId="2"/>
  </si>
  <si>
    <t>対象のTMC Specを分析した際の中間成果物。参考情報として記載。メンテナンス対象外。</t>
    <rPh sb="0" eb="2">
      <t>タイショウ</t>
    </rPh>
    <rPh sb="12" eb="14">
      <t>ブンセキ</t>
    </rPh>
    <rPh sb="16" eb="17">
      <t>サイ</t>
    </rPh>
    <rPh sb="18" eb="20">
      <t>チュウカン</t>
    </rPh>
    <rPh sb="20" eb="23">
      <t>セイカブツ</t>
    </rPh>
    <rPh sb="24" eb="26">
      <t>サンコウ</t>
    </rPh>
    <rPh sb="26" eb="28">
      <t>ジョウホウ</t>
    </rPh>
    <rPh sb="31" eb="33">
      <t>キサイ</t>
    </rPh>
    <rPh sb="40" eb="43">
      <t>タイショウガイ</t>
    </rPh>
    <phoneticPr fontId="2"/>
  </si>
  <si>
    <t>入力</t>
    <phoneticPr fontId="2"/>
  </si>
  <si>
    <t>-</t>
    <phoneticPr fontId="2"/>
  </si>
  <si>
    <t>VOM</t>
    <phoneticPr fontId="2"/>
  </si>
  <si>
    <t>RWT_EN</t>
    <phoneticPr fontId="2"/>
  </si>
  <si>
    <t>VCS_ON</t>
    <phoneticPr fontId="2"/>
  </si>
  <si>
    <t>IGN_ON</t>
    <phoneticPr fontId="2"/>
  </si>
  <si>
    <t>IGN_OFF_WT</t>
    <phoneticPr fontId="2"/>
  </si>
  <si>
    <t>IGN_OFF</t>
    <phoneticPr fontId="2"/>
  </si>
  <si>
    <t>BAT_WT</t>
    <phoneticPr fontId="2"/>
  </si>
  <si>
    <t>BAT_AO</t>
    <phoneticPr fontId="2"/>
  </si>
  <si>
    <t>*</t>
  </si>
  <si>
    <t>0b/
1b</t>
    <phoneticPr fontId="2"/>
  </si>
  <si>
    <t>-</t>
    <phoneticPr fontId="2"/>
  </si>
  <si>
    <t>PD</t>
    <phoneticPr fontId="2"/>
  </si>
  <si>
    <t>５．入力セルの凡例</t>
    <rPh sb="2" eb="4">
      <t>ニュウリョク</t>
    </rPh>
    <rPh sb="7" eb="9">
      <t>ハンレイ</t>
    </rPh>
    <phoneticPr fontId="2"/>
  </si>
  <si>
    <t>なし</t>
    <phoneticPr fontId="2"/>
  </si>
  <si>
    <t>[はじめに]
・新規作成
[Reference]
・出力判定方法をTable Typeに命名変更
・出力をREQに命名変更
・真理値表にVomの内容を追記
[CH_Design]
・PD欄の記載内容をLComSpecのWarning Noに変更
・機能判定欄の内容をConfig_IFシートのOption Avairable Nameからの選択形式に変更
[TT/BC]
・StatusをREQに命名変更
・Referenceに記載のINPUT DATAの順番と同じになるようTTシートのDATA順を変更
[Config_IF]
・新規追加</t>
    <rPh sb="8" eb="10">
      <t>シンキ</t>
    </rPh>
    <rPh sb="10" eb="12">
      <t>サクセイ</t>
    </rPh>
    <rPh sb="26" eb="28">
      <t>シュツリョク</t>
    </rPh>
    <rPh sb="28" eb="30">
      <t>ハンテイ</t>
    </rPh>
    <rPh sb="30" eb="32">
      <t>ホウホウ</t>
    </rPh>
    <rPh sb="44" eb="46">
      <t>メイメイ</t>
    </rPh>
    <rPh sb="46" eb="48">
      <t>ヘンコウ</t>
    </rPh>
    <rPh sb="57" eb="59">
      <t>メイメイ</t>
    </rPh>
    <rPh sb="59" eb="61">
      <t>ヘンコウ</t>
    </rPh>
    <rPh sb="63" eb="67">
      <t>シンリチヒョウ</t>
    </rPh>
    <rPh sb="72" eb="74">
      <t>ナイヨウ</t>
    </rPh>
    <rPh sb="75" eb="77">
      <t>ツイキ</t>
    </rPh>
    <rPh sb="93" eb="94">
      <t>ラン</t>
    </rPh>
    <rPh sb="95" eb="97">
      <t>キサイ</t>
    </rPh>
    <rPh sb="97" eb="99">
      <t>ナイヨウ</t>
    </rPh>
    <rPh sb="120" eb="122">
      <t>ヘンコウ</t>
    </rPh>
    <rPh sb="124" eb="126">
      <t>キノウ</t>
    </rPh>
    <rPh sb="126" eb="128">
      <t>ハンテイ</t>
    </rPh>
    <rPh sb="128" eb="129">
      <t>ラン</t>
    </rPh>
    <rPh sb="130" eb="132">
      <t>ナイヨウ</t>
    </rPh>
    <rPh sb="170" eb="172">
      <t>センタク</t>
    </rPh>
    <rPh sb="172" eb="174">
      <t>ケイシキ</t>
    </rPh>
    <rPh sb="175" eb="177">
      <t>ヘンコウ</t>
    </rPh>
    <rPh sb="198" eb="200">
      <t>メイメイ</t>
    </rPh>
    <rPh sb="200" eb="202">
      <t>ヘンコウ</t>
    </rPh>
    <rPh sb="214" eb="216">
      <t>キサイ</t>
    </rPh>
    <rPh sb="228" eb="230">
      <t>ジュンバン</t>
    </rPh>
    <rPh sb="231" eb="232">
      <t>オナ</t>
    </rPh>
    <rPh sb="248" eb="249">
      <t>ジュン</t>
    </rPh>
    <rPh sb="250" eb="252">
      <t>ヘンコウ</t>
    </rPh>
    <rPh sb="266" eb="268">
      <t>シンキ</t>
    </rPh>
    <rPh sb="268" eb="270">
      <t>ツイカ</t>
    </rPh>
    <phoneticPr fontId="2"/>
  </si>
  <si>
    <t>Config_IF</t>
    <phoneticPr fontId="2"/>
  </si>
  <si>
    <t>Vehicle Operation Mode</t>
    <phoneticPr fontId="2"/>
  </si>
  <si>
    <t>Vehicle Operation Mode</t>
    <phoneticPr fontId="2"/>
  </si>
  <si>
    <t>[Matrix]
・数式不備を修正</t>
    <rPh sb="10" eb="12">
      <t>スウシキ</t>
    </rPh>
    <rPh sb="12" eb="14">
      <t>フビ</t>
    </rPh>
    <rPh sb="15" eb="17">
      <t>シュウセイ</t>
    </rPh>
    <phoneticPr fontId="2"/>
  </si>
  <si>
    <t>CH_Design</t>
    <phoneticPr fontId="2"/>
  </si>
  <si>
    <t>[はじめに]
・「４．各シートの説明」-「CH_Design」の「PD欄については、LComSpecにて定義されるWarning Noを記載する。」の記述を「PD欄については、Alert制御仕様書にて定義されるWarning Noを記載する。」に変更
[CH_Design]
・「LComSpecにて定義されるWarning Noを記載」を「Alert制御仕様書に定義されるWarningNoを記載」に変更</t>
    <rPh sb="75" eb="77">
      <t>キジュツ</t>
    </rPh>
    <rPh sb="93" eb="95">
      <t>セイギョ</t>
    </rPh>
    <rPh sb="95" eb="97">
      <t>シヨウ</t>
    </rPh>
    <rPh sb="97" eb="98">
      <t>ショ</t>
    </rPh>
    <rPh sb="123" eb="125">
      <t>ヘンコウ</t>
    </rPh>
    <rPh sb="176" eb="178">
      <t>セイギョ</t>
    </rPh>
    <rPh sb="178" eb="180">
      <t>シヨウ</t>
    </rPh>
    <rPh sb="180" eb="181">
      <t>ショ</t>
    </rPh>
    <rPh sb="182" eb="184">
      <t>テイギ</t>
    </rPh>
    <rPh sb="197" eb="199">
      <t>キサイ</t>
    </rPh>
    <rPh sb="201" eb="203">
      <t>ヘンコウ</t>
    </rPh>
    <phoneticPr fontId="2"/>
  </si>
  <si>
    <r>
      <t xml:space="preserve">対象のTMC Specにおいて、Vom::Alertが外部に提供する各CHの出力(REQ)について記載する。
</t>
    </r>
    <r>
      <rPr>
        <sz val="11"/>
        <color rgb="FFFF0000"/>
        <rFont val="ＭＳ Ｐゴシック"/>
        <family val="3"/>
        <charset val="128"/>
        <scheme val="minor"/>
      </rPr>
      <t>機能判定欄については、出力先によって実施責務が異なるため、出力先毎に有無を記載する。
　</t>
    </r>
    <r>
      <rPr>
        <sz val="11"/>
        <color rgb="FFFF0000"/>
        <rFont val="ＭＳ Ｐゴシック"/>
        <family val="2"/>
        <charset val="128"/>
        <scheme val="minor"/>
      </rPr>
      <t>TT</t>
    </r>
    <r>
      <rPr>
        <sz val="11"/>
        <color rgb="FFFF0000"/>
        <rFont val="ＭＳ Ｐゴシック"/>
        <family val="3"/>
        <charset val="128"/>
        <scheme val="minor"/>
      </rPr>
      <t>機能判定、</t>
    </r>
    <r>
      <rPr>
        <sz val="11"/>
        <color rgb="FFFF0000"/>
        <rFont val="ＭＳ Ｐゴシック"/>
        <family val="2"/>
        <charset val="128"/>
        <scheme val="minor"/>
      </rPr>
      <t>BC</t>
    </r>
    <r>
      <rPr>
        <sz val="11"/>
        <color rgb="FFFF0000"/>
        <rFont val="ＭＳ Ｐゴシック"/>
        <family val="3"/>
        <charset val="128"/>
        <scheme val="minor"/>
      </rPr>
      <t>機能判定、</t>
    </r>
    <r>
      <rPr>
        <sz val="11"/>
        <color rgb="FFFF0000"/>
        <rFont val="ＭＳ Ｐゴシック"/>
        <family val="2"/>
        <charset val="128"/>
        <scheme val="minor"/>
      </rPr>
      <t>PD</t>
    </r>
    <r>
      <rPr>
        <sz val="11"/>
        <color rgb="FFFF0000"/>
        <rFont val="ＭＳ Ｐゴシック"/>
        <family val="3"/>
        <charset val="128"/>
        <scheme val="minor"/>
      </rPr>
      <t>機能判定　：　</t>
    </r>
    <r>
      <rPr>
        <sz val="11"/>
        <color rgb="FFFF0000"/>
        <rFont val="ＭＳ Ｐゴシック"/>
        <family val="2"/>
        <charset val="128"/>
        <scheme val="minor"/>
      </rPr>
      <t>VSV</t>
    </r>
    <r>
      <rPr>
        <sz val="11"/>
        <color rgb="FFFF0000"/>
        <rFont val="ＭＳ Ｐゴシック"/>
        <family val="3"/>
        <charset val="128"/>
        <scheme val="minor"/>
      </rPr>
      <t>側にて参照
　RW機能判定　：　Vom::Alertにて参照
TMC Specにて定義される機能有無判定の要否について抽出した結果で記載する。
　※機種(e.x.775B)毎の要否ではないため、対象機種に応じた更新(メンテナンス)は行わない。
PD欄については、Alert制御仕様書にて定義されるWarning Noを記載する。</t>
    </r>
    <r>
      <rPr>
        <sz val="11"/>
        <color theme="1"/>
        <rFont val="ＭＳ Ｐゴシック"/>
        <family val="2"/>
        <charset val="128"/>
        <scheme val="minor"/>
      </rPr>
      <t xml:space="preserve">
</t>
    </r>
    <r>
      <rPr>
        <sz val="11"/>
        <color rgb="FF0000FF"/>
        <rFont val="ＭＳ Ｐゴシック"/>
        <family val="3"/>
        <charset val="128"/>
        <scheme val="minor"/>
      </rPr>
      <t>Alert Config Toolのインプットとする。</t>
    </r>
    <rPh sb="0" eb="2">
      <t>タイショウ</t>
    </rPh>
    <rPh sb="27" eb="29">
      <t>ガイブ</t>
    </rPh>
    <rPh sb="30" eb="32">
      <t>テイキョウ</t>
    </rPh>
    <rPh sb="34" eb="35">
      <t>カク</t>
    </rPh>
    <rPh sb="38" eb="40">
      <t>シュツリョク</t>
    </rPh>
    <rPh sb="49" eb="51">
      <t>キサイ</t>
    </rPh>
    <rPh sb="55" eb="57">
      <t>キノウ</t>
    </rPh>
    <rPh sb="57" eb="59">
      <t>ハンテイ</t>
    </rPh>
    <rPh sb="59" eb="60">
      <t>ラン</t>
    </rPh>
    <rPh sb="66" eb="68">
      <t>シュツリョク</t>
    </rPh>
    <rPh sb="68" eb="69">
      <t>サキ</t>
    </rPh>
    <rPh sb="73" eb="75">
      <t>ジッシ</t>
    </rPh>
    <rPh sb="75" eb="77">
      <t>セキム</t>
    </rPh>
    <rPh sb="78" eb="79">
      <t>コト</t>
    </rPh>
    <rPh sb="84" eb="86">
      <t>シュツリョク</t>
    </rPh>
    <rPh sb="86" eb="87">
      <t>サキ</t>
    </rPh>
    <rPh sb="87" eb="88">
      <t>ゴト</t>
    </rPh>
    <rPh sb="89" eb="91">
      <t>ウム</t>
    </rPh>
    <rPh sb="92" eb="94">
      <t>キサイ</t>
    </rPh>
    <rPh sb="128" eb="130">
      <t>サンショウ</t>
    </rPh>
    <rPh sb="134" eb="136">
      <t>キノウ</t>
    </rPh>
    <rPh sb="136" eb="138">
      <t>ハンテイ</t>
    </rPh>
    <rPh sb="153" eb="155">
      <t>サンショウ</t>
    </rPh>
    <rPh sb="166" eb="168">
      <t>テイギ</t>
    </rPh>
    <rPh sb="171" eb="173">
      <t>キノウ</t>
    </rPh>
    <rPh sb="173" eb="175">
      <t>ウム</t>
    </rPh>
    <rPh sb="175" eb="177">
      <t>ハンテイ</t>
    </rPh>
    <rPh sb="178" eb="180">
      <t>ヨウヒ</t>
    </rPh>
    <rPh sb="184" eb="186">
      <t>チュウシュツ</t>
    </rPh>
    <rPh sb="188" eb="190">
      <t>ケッカ</t>
    </rPh>
    <rPh sb="191" eb="193">
      <t>キサイ</t>
    </rPh>
    <rPh sb="199" eb="201">
      <t>キシュ</t>
    </rPh>
    <rPh sb="211" eb="212">
      <t>ゴト</t>
    </rPh>
    <rPh sb="213" eb="215">
      <t>ヨウヒ</t>
    </rPh>
    <rPh sb="222" eb="224">
      <t>タイショウ</t>
    </rPh>
    <rPh sb="224" eb="226">
      <t>キシュ</t>
    </rPh>
    <rPh sb="227" eb="228">
      <t>オウ</t>
    </rPh>
    <rPh sb="230" eb="232">
      <t>コウシン</t>
    </rPh>
    <rPh sb="241" eb="242">
      <t>オコナ</t>
    </rPh>
    <phoneticPr fontId="2"/>
  </si>
  <si>
    <t>https://aip01.dndev.net/bitbucket/scm/aip_tp/tmcapp_ict1_alert.git</t>
    <phoneticPr fontId="2"/>
  </si>
  <si>
    <t>Gitリポジトリ</t>
    <phoneticPr fontId="2"/>
  </si>
  <si>
    <t>[表紙]
Gitリポジトリを以下に更新
https://aip01.dndev.net/bitbucket/scm/aip_tp/tmcapp_ict1_alert.git</t>
    <rPh sb="1" eb="3">
      <t>ヒョウシ</t>
    </rPh>
    <rPh sb="14" eb="16">
      <t>イカ</t>
    </rPh>
    <rPh sb="17" eb="19">
      <t>コウシン</t>
    </rPh>
    <phoneticPr fontId="2"/>
  </si>
  <si>
    <t>Return</t>
    <phoneticPr fontId="2"/>
  </si>
  <si>
    <t>Type</t>
    <phoneticPr fontId="2"/>
  </si>
  <si>
    <r>
      <t xml:space="preserve">対象のTMC Specにおいて、
Vom::Alertが使用する外部ドメインIF
Vom::Alertが使用するConfig IF、定義
について記載する。
</t>
    </r>
    <r>
      <rPr>
        <sz val="11"/>
        <color rgb="FF0000FF"/>
        <rFont val="ＭＳ Ｐゴシック"/>
        <family val="3"/>
        <charset val="128"/>
        <scheme val="minor"/>
      </rPr>
      <t>Alert Config Toolのインプットとする。</t>
    </r>
    <rPh sb="28" eb="30">
      <t>シヨウ</t>
    </rPh>
    <rPh sb="32" eb="34">
      <t>ガイブ</t>
    </rPh>
    <rPh sb="66" eb="68">
      <t>テイギ</t>
    </rPh>
    <rPh sb="73" eb="75">
      <t>キサイ</t>
    </rPh>
    <phoneticPr fontId="2"/>
  </si>
  <si>
    <t>[Config_IF]
Alert Config IF List、Alert Config Definition Listを追加
[はじめに]
Alert Config IF List、Alert Config Definition Listに関するコメントを追記</t>
    <rPh sb="62" eb="64">
      <t>ツイカ</t>
    </rPh>
    <rPh sb="122" eb="123">
      <t>カン</t>
    </rPh>
    <rPh sb="130" eb="132">
      <t>ツイキ</t>
    </rPh>
    <phoneticPr fontId="2"/>
  </si>
  <si>
    <t>define Name</t>
    <phoneticPr fontId="2"/>
  </si>
  <si>
    <t>comment</t>
    <phoneticPr fontId="2"/>
  </si>
  <si>
    <t>comment</t>
    <phoneticPr fontId="2"/>
  </si>
  <si>
    <t>define</t>
    <phoneticPr fontId="2"/>
  </si>
  <si>
    <t>Value</t>
    <phoneticPr fontId="2"/>
  </si>
  <si>
    <t>calss</t>
    <phoneticPr fontId="2"/>
  </si>
  <si>
    <t>class</t>
    <phoneticPr fontId="2"/>
  </si>
  <si>
    <t>define</t>
    <phoneticPr fontId="2"/>
  </si>
  <si>
    <t>Constant Externs List</t>
    <phoneticPr fontId="2"/>
  </si>
  <si>
    <t>Config Function Name</t>
    <phoneticPr fontId="2"/>
  </si>
  <si>
    <t>Other Domain Define</t>
    <phoneticPr fontId="2"/>
  </si>
  <si>
    <t>Alert Domain Define</t>
    <phoneticPr fontId="2"/>
  </si>
  <si>
    <t>Alert Config IF List</t>
    <phoneticPr fontId="2"/>
  </si>
  <si>
    <t>Constant define</t>
    <phoneticPr fontId="2"/>
  </si>
  <si>
    <t>[Matrix]
モジュール名の全角文字チェック機能追加
[Config_IF]
フォーマット変更。
HWIDとOPTIDを統一。Alert独自定義を追加</t>
    <rPh sb="14" eb="15">
      <t>メイ</t>
    </rPh>
    <rPh sb="16" eb="18">
      <t>ゼンカク</t>
    </rPh>
    <rPh sb="18" eb="20">
      <t>モジ</t>
    </rPh>
    <rPh sb="24" eb="26">
      <t>キノウ</t>
    </rPh>
    <rPh sb="26" eb="28">
      <t>ツイカ</t>
    </rPh>
    <rPh sb="47" eb="49">
      <t>ヘンコウ</t>
    </rPh>
    <rPh sb="62" eb="64">
      <t>トウイツ</t>
    </rPh>
    <rPh sb="70" eb="72">
      <t>ドクジ</t>
    </rPh>
    <rPh sb="72" eb="74">
      <t>テイギ</t>
    </rPh>
    <rPh sb="75" eb="77">
      <t>ツイカ</t>
    </rPh>
    <phoneticPr fontId="2"/>
  </si>
  <si>
    <t>文字数</t>
    <rPh sb="0" eb="3">
      <t>モジスウ</t>
    </rPh>
    <phoneticPr fontId="2"/>
  </si>
  <si>
    <t>5.5.0</t>
    <phoneticPr fontId="2"/>
  </si>
  <si>
    <t>Index</t>
  </si>
  <si>
    <t>IG-OFF</t>
    <phoneticPr fontId="2"/>
  </si>
  <si>
    <t>ALERT_VOM_IGN_ON</t>
    <phoneticPr fontId="2"/>
  </si>
  <si>
    <t>vd_g_AlertS_clesonInit</t>
  </si>
  <si>
    <t>－</t>
  </si>
  <si>
    <t>CAN</t>
    <phoneticPr fontId="2"/>
  </si>
  <si>
    <t>IG-ON</t>
    <phoneticPr fontId="2"/>
  </si>
  <si>
    <t>通常(00b)/
未受信(01b)/
通信途絶(10b)/
未受信通信途絶(11b)</t>
  </si>
  <si>
    <t>00b</t>
  </si>
  <si>
    <t>00b</t>
    <phoneticPr fontId="2"/>
  </si>
  <si>
    <t>11b</t>
    <phoneticPr fontId="2"/>
  </si>
  <si>
    <t>**b</t>
    <phoneticPr fontId="2"/>
  </si>
  <si>
    <t>未受信</t>
    <rPh sb="0" eb="1">
      <t>ミ</t>
    </rPh>
    <rPh sb="1" eb="3">
      <t>ジュシン</t>
    </rPh>
    <phoneticPr fontId="2"/>
  </si>
  <si>
    <t>通信途絶</t>
    <rPh sb="0" eb="2">
      <t>ツウシン</t>
    </rPh>
    <rPh sb="2" eb="4">
      <t>トゼツ</t>
    </rPh>
    <phoneticPr fontId="2"/>
  </si>
  <si>
    <t>未受信通信途絶</t>
    <rPh sb="0" eb="7">
      <t>ミジュシンツウシントゼツ</t>
    </rPh>
    <phoneticPr fontId="2"/>
  </si>
  <si>
    <t>ブザー判定</t>
    <rPh sb="3" eb="5">
      <t>ハンテイ</t>
    </rPh>
    <phoneticPr fontId="2"/>
  </si>
  <si>
    <t>CSR1S08</t>
    <phoneticPr fontId="2"/>
  </si>
  <si>
    <t>0000b</t>
    <phoneticPr fontId="2"/>
  </si>
  <si>
    <t>通常 + RCTA/RCD検知</t>
    <rPh sb="0" eb="2">
      <t>ツウジョウ</t>
    </rPh>
    <rPh sb="13" eb="15">
      <t>ケンチ</t>
    </rPh>
    <phoneticPr fontId="2"/>
  </si>
  <si>
    <t>通常 + フロント検知（近距離）</t>
    <rPh sb="0" eb="2">
      <t>ツウジョウ</t>
    </rPh>
    <rPh sb="9" eb="11">
      <t>ケンチ</t>
    </rPh>
    <rPh sb="12" eb="15">
      <t>キンキョリ</t>
    </rPh>
    <phoneticPr fontId="2"/>
  </si>
  <si>
    <t>0001b</t>
    <phoneticPr fontId="2"/>
  </si>
  <si>
    <t>通常 + 停止</t>
    <rPh sb="0" eb="2">
      <t>ツウジョウ</t>
    </rPh>
    <rPh sb="5" eb="7">
      <t>テイシ</t>
    </rPh>
    <phoneticPr fontId="2"/>
  </si>
  <si>
    <t>0010b</t>
    <phoneticPr fontId="2"/>
  </si>
  <si>
    <t>0011b</t>
    <phoneticPr fontId="2"/>
  </si>
  <si>
    <t>0100b</t>
    <phoneticPr fontId="2"/>
  </si>
  <si>
    <t>0101b</t>
    <phoneticPr fontId="2"/>
  </si>
  <si>
    <t>0110b</t>
    <phoneticPr fontId="2"/>
  </si>
  <si>
    <t>0111b</t>
    <phoneticPr fontId="2"/>
  </si>
  <si>
    <t>1000b</t>
    <phoneticPr fontId="2"/>
  </si>
  <si>
    <t>1001b</t>
    <phoneticPr fontId="2"/>
  </si>
  <si>
    <t>1010b</t>
    <phoneticPr fontId="2"/>
  </si>
  <si>
    <t>1011b</t>
    <phoneticPr fontId="2"/>
  </si>
  <si>
    <t>1100b</t>
    <phoneticPr fontId="2"/>
  </si>
  <si>
    <t>1101b</t>
    <phoneticPr fontId="2"/>
  </si>
  <si>
    <t>1110b</t>
    <phoneticPr fontId="2"/>
  </si>
  <si>
    <t>1111b</t>
    <phoneticPr fontId="2"/>
  </si>
  <si>
    <t>01b</t>
    <phoneticPr fontId="2"/>
  </si>
  <si>
    <t>通常 + フロント検知（中距離）</t>
    <rPh sb="0" eb="2">
      <t>ツウジョウ</t>
    </rPh>
    <rPh sb="9" eb="11">
      <t>ケンチ</t>
    </rPh>
    <rPh sb="12" eb="15">
      <t>チュウキョリ</t>
    </rPh>
    <phoneticPr fontId="2"/>
  </si>
  <si>
    <t>通常 + フロント検知（遠距離）</t>
    <rPh sb="0" eb="2">
      <t>ツウジョウ</t>
    </rPh>
    <phoneticPr fontId="2"/>
  </si>
  <si>
    <t>通常 + フロント検知（最遠距離）</t>
    <rPh sb="0" eb="2">
      <t>ツウジョウ</t>
    </rPh>
    <phoneticPr fontId="2"/>
  </si>
  <si>
    <t>通常 + リア検知（近距離）</t>
    <rPh sb="0" eb="2">
      <t>ツウジョウ</t>
    </rPh>
    <phoneticPr fontId="2"/>
  </si>
  <si>
    <t>通常 + リア検知（中距離）</t>
    <rPh sb="0" eb="2">
      <t>ツウジョウ</t>
    </rPh>
    <phoneticPr fontId="2"/>
  </si>
  <si>
    <t>停止(0000b)/
RCTA/RCD検知(0001b)/
フロント検知（近距離）(0010b)/
フロント検知（中距離）(0011b)/
フロント検知（遠距離）(0100b)/
フロント検知（最遠距離）(0101b)/
リア検知（近距離）(0110b)/
リア検知（中距離）(0111b)/
リア検知（遠距離）(1000b)/
リア検知（最遠距離）(1001b)/
フロント&amp;リア検知（近距離）(1010b)/
フロント&amp;リア検知（中距離）(1011b)/
フロント&amp;リア検知（遠距離）(1100b)/
フロント&amp;リア検知（最遠距離）(1101b)/
未定義(1110b)/
未定義(1111b)</t>
    <rPh sb="0" eb="2">
      <t>テイシ</t>
    </rPh>
    <rPh sb="277" eb="280">
      <t>ミテイギ</t>
    </rPh>
    <phoneticPr fontId="2"/>
  </si>
  <si>
    <t>通常 + リア検知（遠距離）</t>
    <rPh sb="0" eb="2">
      <t>ツウジョウ</t>
    </rPh>
    <phoneticPr fontId="2"/>
  </si>
  <si>
    <t>通常 + リア検知（最遠距離）</t>
    <rPh sb="0" eb="2">
      <t>ツウジョウ</t>
    </rPh>
    <phoneticPr fontId="2"/>
  </si>
  <si>
    <t>通常 + フロント&amp;リア検知（近距離）</t>
    <rPh sb="0" eb="2">
      <t>ツウジョウ</t>
    </rPh>
    <phoneticPr fontId="2"/>
  </si>
  <si>
    <t>通常 + フロント&amp;リア検知（中距離）</t>
    <rPh sb="0" eb="2">
      <t>ツウジョウ</t>
    </rPh>
    <phoneticPr fontId="2"/>
  </si>
  <si>
    <t>通常 + フロント&amp;リア検知（遠距離）</t>
    <rPh sb="0" eb="2">
      <t>ツウジョウ</t>
    </rPh>
    <phoneticPr fontId="2"/>
  </si>
  <si>
    <t>通常 + フロント&amp;リア検知（最遠距離）</t>
    <rPh sb="0" eb="2">
      <t>ツウジョウ</t>
    </rPh>
    <phoneticPr fontId="2"/>
  </si>
  <si>
    <t>通常 + 未定義</t>
    <rPh sb="0" eb="2">
      <t>ツウジョウ</t>
    </rPh>
    <phoneticPr fontId="2"/>
  </si>
  <si>
    <t>LD</t>
  </si>
  <si>
    <t>RCTA</t>
    <phoneticPr fontId="2"/>
  </si>
  <si>
    <t>FR_CAD</t>
    <phoneticPr fontId="2"/>
  </si>
  <si>
    <t>FR_SD</t>
    <phoneticPr fontId="2"/>
  </si>
  <si>
    <t>FR_MD</t>
    <phoneticPr fontId="2"/>
  </si>
  <si>
    <t>FR_LD</t>
    <phoneticPr fontId="2"/>
  </si>
  <si>
    <t>RR_CAD</t>
    <phoneticPr fontId="2"/>
  </si>
  <si>
    <t>RR_SD</t>
    <phoneticPr fontId="2"/>
  </si>
  <si>
    <t>RR_MD</t>
    <phoneticPr fontId="2"/>
  </si>
  <si>
    <t>RR_LD</t>
    <phoneticPr fontId="2"/>
  </si>
  <si>
    <t>CAD</t>
    <phoneticPr fontId="2"/>
  </si>
  <si>
    <t>SD</t>
    <phoneticPr fontId="2"/>
  </si>
  <si>
    <t>MD</t>
    <phoneticPr fontId="2"/>
  </si>
  <si>
    <t>断続(RCTA)/
サウンドファイル「CSR Fr CAD」/
サウンドファイル「CSR Fr SD」/
サウンドファイル「CSR Fr MD」/
サウンドファイル「CSR Fr LD」/
サウンドファイル「CSR Rr CAD」/
サウンドファイル「CSR Rr SD」/
サウンドファイル「CSR Rr MD」/
サウンドファイル「CSR Rr LD」/
サウンドファイル「CSR Fr CAD」と「CSR Rr CAD」/
サウンドファイル「CSR Fr SD」と「CSR Rr SD」/
サウンドファイル「CSR Fr MD」と「CSR Rr MD」/
サウンドファイル「CSR Fr LD」と「CSR Rr LD」/
-</t>
    <rPh sb="0" eb="2">
      <t>ダンゾク</t>
    </rPh>
    <phoneticPr fontId="2"/>
  </si>
  <si>
    <t>断続(RCTA)</t>
    <phoneticPr fontId="2"/>
  </si>
  <si>
    <t>サウンドファイル「CSR Fr CAD」</t>
    <phoneticPr fontId="2"/>
  </si>
  <si>
    <t>サウンドファイル「CSR Fr SD」</t>
    <phoneticPr fontId="2"/>
  </si>
  <si>
    <t>サウンドファイル「CSR Fr MD」</t>
    <phoneticPr fontId="2"/>
  </si>
  <si>
    <t>サウンドファイル「CSR Fr LD」</t>
    <phoneticPr fontId="2"/>
  </si>
  <si>
    <t>サウンドファイル「CSR Rr CAD」</t>
    <phoneticPr fontId="2"/>
  </si>
  <si>
    <t>サウンドファイル「CSR Rr SD」</t>
    <phoneticPr fontId="2"/>
  </si>
  <si>
    <t>サウンドファイル「CSR Rr MD」</t>
    <phoneticPr fontId="2"/>
  </si>
  <si>
    <t>サウンドファイル「CSR Rr LD」</t>
    <phoneticPr fontId="2"/>
  </si>
  <si>
    <t>サウンドファイル「CSR Fr CAD」と「CSR Rr CAD」</t>
    <phoneticPr fontId="2"/>
  </si>
  <si>
    <t>サウンドファイル「CSR Fr SD」と「CSR Rr SD」</t>
    <phoneticPr fontId="2"/>
  </si>
  <si>
    <t>サウンドファイル「CSR Fr MD」と「CSR Rr MD」</t>
    <phoneticPr fontId="2"/>
  </si>
  <si>
    <t>サウンドファイル「CSR Fr LD」と「CSR Rr LD」</t>
    <phoneticPr fontId="2"/>
  </si>
  <si>
    <t>****b</t>
  </si>
  <si>
    <t>****b</t>
    <phoneticPr fontId="2"/>
  </si>
  <si>
    <t>UNKNOWN/
RCTA/
FR_CAD/
FR_SD/
FR_MD/
FR_LD/
RR_CAD/
RR_SD/
RR_MD/
RR_LD/
CAD/
SD/
MD/
LD</t>
    <phoneticPr fontId="2"/>
  </si>
  <si>
    <t>RCTA</t>
    <phoneticPr fontId="2"/>
  </si>
  <si>
    <t>FR_SD</t>
    <phoneticPr fontId="2"/>
  </si>
  <si>
    <t>FR_MD</t>
    <phoneticPr fontId="2"/>
  </si>
  <si>
    <t>RR_CAD</t>
    <phoneticPr fontId="2"/>
  </si>
  <si>
    <t>RR_SD</t>
    <phoneticPr fontId="2"/>
  </si>
  <si>
    <t>RR_LD</t>
    <phoneticPr fontId="2"/>
  </si>
  <si>
    <t>SD</t>
    <phoneticPr fontId="2"/>
  </si>
  <si>
    <t>MD</t>
    <phoneticPr fontId="2"/>
  </si>
  <si>
    <t>LD</t>
    <phoneticPr fontId="2"/>
  </si>
  <si>
    <t>CSR1S08</t>
    <phoneticPr fontId="2"/>
  </si>
  <si>
    <t>RCTA</t>
  </si>
  <si>
    <t>FR_CAD</t>
  </si>
  <si>
    <t>FR_SD</t>
  </si>
  <si>
    <t>FR_MD</t>
  </si>
  <si>
    <t>FR_LD</t>
  </si>
  <si>
    <t>RR_CAD</t>
  </si>
  <si>
    <t>RR_SD</t>
  </si>
  <si>
    <t>RR_MD</t>
  </si>
  <si>
    <t>RR_LD</t>
  </si>
  <si>
    <t>CAD</t>
  </si>
  <si>
    <t>SD</t>
  </si>
  <si>
    <t>MD</t>
  </si>
  <si>
    <t>LD</t>
    <phoneticPr fontId="2"/>
  </si>
  <si>
    <t>10b</t>
    <phoneticPr fontId="2"/>
  </si>
  <si>
    <t>MSE社本</t>
    <rPh sb="3" eb="5">
      <t>シャモト</t>
    </rPh>
    <phoneticPr fontId="2"/>
  </si>
  <si>
    <t>[TT][BC]
・AU列の数式を修正(メンバがNULLの場合に、(void *)(const U4 *)キャストをつけるように修正)</t>
    <rPh sb="12" eb="13">
      <t>レツ</t>
    </rPh>
    <rPh sb="14" eb="16">
      <t>スウシキ</t>
    </rPh>
    <rPh sb="17" eb="19">
      <t>シュウセイ</t>
    </rPh>
    <rPh sb="29" eb="31">
      <t>バアイ</t>
    </rPh>
    <rPh sb="64" eb="66">
      <t>シュウセイ</t>
    </rPh>
    <phoneticPr fontId="2"/>
  </si>
  <si>
    <t>[TT][BC]
・SearchTable/IndexTableを自動選択できるように数式を追加(B3セル)</t>
    <rPh sb="33" eb="35">
      <t>ジドウ</t>
    </rPh>
    <rPh sb="35" eb="37">
      <t>センタク</t>
    </rPh>
    <rPh sb="43" eb="45">
      <t>スウシキ</t>
    </rPh>
    <rPh sb="46" eb="48">
      <t>ツイカ</t>
    </rPh>
    <phoneticPr fontId="2"/>
  </si>
  <si>
    <t>CSR_BUZ_SIG</t>
    <phoneticPr fontId="2"/>
  </si>
  <si>
    <t>CSR1S08_STS</t>
    <phoneticPr fontId="2"/>
  </si>
  <si>
    <t>-</t>
    <phoneticPr fontId="2"/>
  </si>
  <si>
    <t>森</t>
    <rPh sb="0" eb="1">
      <t>モリ</t>
    </rPh>
    <phoneticPr fontId="2"/>
  </si>
  <si>
    <t>新規作成(流用元：alert_S_CLESON-CSTD-4-03-B-C0.xlsx)
840B QCS対応
[Matrix]シート
・対象仕様書変更
・ロケーション変更
[CH_Design]シート
・クリアランスソナー検知 インジケータON制御用REQを追加
[TT]シート
・クリアランスソナー検知 インジケータON制御を追加
[Reference]シート
・各キャプチャ画像を変更
・テルテール判定真理値表にクリアランスソナー検知 インジケータON制御を追加</t>
    <rPh sb="54" eb="56">
      <t>タイオウ</t>
    </rPh>
    <rPh sb="70" eb="72">
      <t>タイショウ</t>
    </rPh>
    <rPh sb="72" eb="75">
      <t>シヨウショ</t>
    </rPh>
    <rPh sb="75" eb="77">
      <t>ヘンコウ</t>
    </rPh>
    <rPh sb="85" eb="87">
      <t>ヘンコウ</t>
    </rPh>
    <rPh sb="124" eb="126">
      <t>セイギョ</t>
    </rPh>
    <rPh sb="126" eb="127">
      <t>ヨウ</t>
    </rPh>
    <rPh sb="131" eb="133">
      <t>ツイカ</t>
    </rPh>
    <rPh sb="185" eb="186">
      <t>カク</t>
    </rPh>
    <rPh sb="191" eb="193">
      <t>ガゾウ</t>
    </rPh>
    <rPh sb="194" eb="196">
      <t>ヘンコウ</t>
    </rPh>
    <rPh sb="205" eb="209">
      <t>シンリチヒョウ</t>
    </rPh>
    <rPh sb="230" eb="232">
      <t>セイギョ</t>
    </rPh>
    <phoneticPr fontId="2"/>
  </si>
  <si>
    <t>MSE小澤</t>
    <rPh sb="3" eb="5">
      <t>オザワ</t>
    </rPh>
    <phoneticPr fontId="2"/>
  </si>
  <si>
    <t>[はじめに]
・2.上位文書 #0 Alert設計資料 格納先パスを以下に変更
https://aip01.dndev.net/svn/aip/tmcapp/sd/evidence/trunk/02_Design/01_Vom/Alert/03_Component/alert_design.pptx
・2.上位文書 #1 LComSpec(warning.xlsx)を削除
[TT][BC]
・AU列の数式を修正(メンバがNULLの場合、NULLの定義名をvdp_PTR_NAに修正)</t>
    <rPh sb="10" eb="12">
      <t>ジョウイ</t>
    </rPh>
    <rPh sb="12" eb="14">
      <t>ブンショ</t>
    </rPh>
    <rPh sb="23" eb="25">
      <t>セッケイ</t>
    </rPh>
    <rPh sb="25" eb="27">
      <t>シリョウ</t>
    </rPh>
    <rPh sb="28" eb="30">
      <t>カクノウ</t>
    </rPh>
    <rPh sb="30" eb="31">
      <t>サキ</t>
    </rPh>
    <rPh sb="34" eb="36">
      <t>イカ</t>
    </rPh>
    <rPh sb="37" eb="39">
      <t>ヘンコウ</t>
    </rPh>
    <rPh sb="185" eb="187">
      <t>サクジョ</t>
    </rPh>
    <rPh sb="225" eb="227">
      <t>テイギ</t>
    </rPh>
    <rPh sb="227" eb="228">
      <t>メイ</t>
    </rPh>
    <phoneticPr fontId="2"/>
  </si>
  <si>
    <t>https://aip01.dndev.net/svn/aip/tmcapp/sd/evidence/trunk/02_Design/01_Vom/Alert/03_Component/alert_design.pptx</t>
    <phoneticPr fontId="2"/>
  </si>
  <si>
    <t>5.5.0</t>
  </si>
  <si>
    <t>1.1.0</t>
    <phoneticPr fontId="2"/>
  </si>
  <si>
    <t>19PFv3 CV(流用元：alert_S_CLESON-CSTD-4-05-A-C0.xlsx)
[Matrix]シート
・対象仕様書、ロケーション変更
[CH_Design]
・要求IDを更新
[Reference][Reference2]シート
・各キャプチャ画像を変更(仕様変化はあるが動作に変更なし)</t>
    <rPh sb="139" eb="141">
      <t>シヨウ</t>
    </rPh>
    <rPh sb="141" eb="143">
      <t>ヘンカ</t>
    </rPh>
    <rPh sb="147" eb="149">
      <t>ドウサ</t>
    </rPh>
    <rPh sb="150" eb="152">
      <t>ヘンコウ</t>
    </rPh>
    <phoneticPr fontId="2"/>
  </si>
  <si>
    <t>1.2.0</t>
    <phoneticPr fontId="2"/>
  </si>
  <si>
    <t>KSE八木春樹</t>
    <rPh sb="3" eb="7">
      <t>ヤギハルキ</t>
    </rPh>
    <phoneticPr fontId="2"/>
  </si>
  <si>
    <t xml:space="preserve">BEV シス検#2(流用元：alert_S_CLESON-CSTD-5-00-A-C0.c)
[Matrix]シート
CH削除
[CH_Design]シート
CH削除
[TT]シート
CH削除に伴い、シート削除
[VOL]シート
CH削除に伴い、シート削除
[CUTIN]シート
CH削除に伴い、シート削除
[Reference]シート
CH削除に伴い、真理値表の修正
</t>
    <rPh sb="6" eb="7">
      <t>ケン</t>
    </rPh>
    <rPh sb="55" eb="57">
      <t>ツイカ</t>
    </rPh>
    <rPh sb="61" eb="63">
      <t>サクジョ</t>
    </rPh>
    <rPh sb="104" eb="106">
      <t>サクジョ</t>
    </rPh>
    <rPh sb="164" eb="168">
      <t>シンリチヒョウ</t>
    </rPh>
    <rPh sb="168" eb="170">
      <t>ツイカ</t>
    </rPh>
    <rPh sb="173" eb="175">
      <t>サクジョ</t>
    </rPh>
    <rPh sb="176" eb="177">
      <t>トモナ</t>
    </rPh>
    <phoneticPr fontId="2"/>
  </si>
  <si>
    <t>S_ADBZR-CSTD-0-BZR01-REQ069-</t>
  </si>
  <si>
    <t>S_ADBZR-CSTD-0-BZR01-REQ057-</t>
  </si>
  <si>
    <t>S_ADBZR-CSTD-0-BZR01-REQ058-</t>
  </si>
  <si>
    <t>S_ADBZR-CSTD-0-BZR01-REQ059-</t>
  </si>
  <si>
    <t>S_ADBZR-CSTD-0-BZR01-REQ060-</t>
  </si>
  <si>
    <t>S_ADBZR-CSTD-0-BZR01-REQ061-</t>
  </si>
  <si>
    <t>S_ADBZR-CSTD-0-BZR01-REQ062-</t>
  </si>
  <si>
    <t>S_ADBZR-CSTD-0-BZR01-REQ063-</t>
  </si>
  <si>
    <t>S_ADBZR-CSTD-0-BZR01-REQ064-</t>
  </si>
  <si>
    <t>S_ADBZR-CSTD-0-BZR01-REQ065-</t>
  </si>
  <si>
    <t>S_ADBZR-CSTD-0-BZR01-REQ066-</t>
  </si>
  <si>
    <t>S_ADBZR-CSTD-0-BZR01-REQ067-</t>
  </si>
  <si>
    <t>S_ADBZR-CSTD-0-BZR01-REQ068-</t>
  </si>
  <si>
    <t>1.3.0</t>
    <phoneticPr fontId="2"/>
  </si>
  <si>
    <t>5.6.0</t>
    <phoneticPr fontId="2"/>
  </si>
  <si>
    <t>MET-S_ADBZR-CSTD-0-06-A-C0.xlsx</t>
    <phoneticPr fontId="2"/>
  </si>
  <si>
    <t>https://svn.geniie.net/bevs3/bevs3cdc/仕様書/MET/#1/tags/00.Product/v1.19/制御仕様</t>
    <phoneticPr fontId="2"/>
  </si>
  <si>
    <t>VOL0</t>
  </si>
  <si>
    <t>VOL1</t>
  </si>
  <si>
    <t>VOL2</t>
  </si>
  <si>
    <t>VOL3</t>
  </si>
  <si>
    <t>VOL4</t>
  </si>
  <si>
    <t>VOL5</t>
  </si>
  <si>
    <t>VOL6</t>
  </si>
  <si>
    <t>VOL7</t>
  </si>
  <si>
    <t>VOL</t>
    <phoneticPr fontId="2"/>
  </si>
  <si>
    <t>ALERT_CH_S_ADBZR_CSR_VOL</t>
  </si>
  <si>
    <t>音圧判定</t>
    <rPh sb="0" eb="2">
      <t>オンアツ</t>
    </rPh>
    <rPh sb="2" eb="4">
      <t>ハンテイ</t>
    </rPh>
    <phoneticPr fontId="2"/>
  </si>
  <si>
    <t>CSR_VOL_SIG</t>
    <phoneticPr fontId="2"/>
  </si>
  <si>
    <t>通常(0b)/
未受信(1b)</t>
    <phoneticPr fontId="2"/>
  </si>
  <si>
    <t>ブザー音圧 57dB±3dB(000b)/
ブザー音圧 59dB±3dB(001b)/
ブザー音圧 61dB±3dB(010b)/
ブザー音圧 63dB±3dB(011b)/
ブザー音圧 65dB±3dB(100b)/
ブザー音圧 67dB±3dB(101b)/
ブザー音圧 69dB±3dB(110b)/
ブザー音圧 71dB±3dB(111b)</t>
    <phoneticPr fontId="2"/>
  </si>
  <si>
    <t>UNKNOWN/
VOL0/
VOL1/
VOL2/
VOL3/
VOL4/
VOL5/
VOL6/
VOL7</t>
    <phoneticPr fontId="2"/>
  </si>
  <si>
    <t>通常 + ブザー音圧 57dB±3dB</t>
  </si>
  <si>
    <t>0b</t>
    <phoneticPr fontId="2"/>
  </si>
  <si>
    <t>000b</t>
    <phoneticPr fontId="2"/>
  </si>
  <si>
    <t>VOL0</t>
    <phoneticPr fontId="2"/>
  </si>
  <si>
    <t>通常 + ブザー音圧 59dB±3dB</t>
  </si>
  <si>
    <t>0b</t>
  </si>
  <si>
    <t>001b</t>
    <phoneticPr fontId="2"/>
  </si>
  <si>
    <t>VOL1</t>
    <phoneticPr fontId="2"/>
  </si>
  <si>
    <t>通常 + ブザー音圧 61dB±3dB</t>
  </si>
  <si>
    <t>010b</t>
    <phoneticPr fontId="2"/>
  </si>
  <si>
    <t>VOL2</t>
    <phoneticPr fontId="2"/>
  </si>
  <si>
    <t>通常 + ブザー音圧 63dB±3dB</t>
  </si>
  <si>
    <t>011b</t>
    <phoneticPr fontId="2"/>
  </si>
  <si>
    <t>VOL3</t>
    <phoneticPr fontId="2"/>
  </si>
  <si>
    <t>通常 + ブザー音圧 65dB±3dB</t>
  </si>
  <si>
    <t>100b</t>
    <phoneticPr fontId="2"/>
  </si>
  <si>
    <t>VOL4</t>
    <phoneticPr fontId="2"/>
  </si>
  <si>
    <t>通常 + ブザー音圧 67dB±3dB</t>
  </si>
  <si>
    <t>101b</t>
    <phoneticPr fontId="2"/>
  </si>
  <si>
    <t>VOL5</t>
    <phoneticPr fontId="2"/>
  </si>
  <si>
    <t>通常 + ブザー音圧 69dB±3dB</t>
  </si>
  <si>
    <t>110b</t>
    <phoneticPr fontId="2"/>
  </si>
  <si>
    <t>VOL6</t>
    <phoneticPr fontId="2"/>
  </si>
  <si>
    <t>通常 + ブザー音圧 71dB±3dB</t>
  </si>
  <si>
    <t>111b</t>
    <phoneticPr fontId="2"/>
  </si>
  <si>
    <t>VOL7</t>
    <phoneticPr fontId="2"/>
  </si>
  <si>
    <t>1b</t>
    <phoneticPr fontId="2"/>
  </si>
  <si>
    <t>***b</t>
    <phoneticPr fontId="2"/>
  </si>
  <si>
    <t>*b</t>
    <phoneticPr fontId="2"/>
  </si>
  <si>
    <t>△2</t>
  </si>
  <si>
    <t>△2</t>
    <phoneticPr fontId="2"/>
  </si>
  <si>
    <t>△1</t>
    <phoneticPr fontId="2"/>
  </si>
  <si>
    <t>BZ</t>
    <phoneticPr fontId="2"/>
  </si>
  <si>
    <t>ALERT_CH_S_ADBZR_CSR_BZ</t>
  </si>
  <si>
    <t>承認</t>
    <rPh sb="0" eb="2">
      <t>ショウニン</t>
    </rPh>
    <phoneticPr fontId="2"/>
  </si>
  <si>
    <t>検討</t>
    <rPh sb="0" eb="2">
      <t>ケントウ</t>
    </rPh>
    <phoneticPr fontId="2"/>
  </si>
  <si>
    <t>作成</t>
    <rPh sb="0" eb="2">
      <t>サクセイ</t>
    </rPh>
    <phoneticPr fontId="2"/>
  </si>
  <si>
    <t>&lt;DN確認印&gt;</t>
    <rPh sb="3" eb="6">
      <t>カクニンイン</t>
    </rPh>
    <rPh sb="6" eb="7">
      <t>ケンイン</t>
    </rPh>
    <phoneticPr fontId="2"/>
  </si>
  <si>
    <t>&lt;DN検討印&gt;</t>
    <rPh sb="3" eb="5">
      <t>ケントウ</t>
    </rPh>
    <rPh sb="5" eb="6">
      <t>イン</t>
    </rPh>
    <phoneticPr fontId="2"/>
  </si>
  <si>
    <t>&lt;OS作成印&gt;</t>
    <rPh sb="3" eb="5">
      <t>サクセイ</t>
    </rPh>
    <rPh sb="5" eb="6">
      <t>イン</t>
    </rPh>
    <phoneticPr fontId="2"/>
  </si>
  <si>
    <t>デンソーテクノ(株)</t>
  </si>
  <si>
    <t>&lt;DT確認印&gt;</t>
    <rPh sb="3" eb="6">
      <t>カクニンイン</t>
    </rPh>
    <rPh sb="6" eb="7">
      <t>ケンイン</t>
    </rPh>
    <phoneticPr fontId="2"/>
  </si>
  <si>
    <t>&lt;DT検討印&gt;</t>
    <rPh sb="3" eb="5">
      <t>ケントウ</t>
    </rPh>
    <rPh sb="5" eb="6">
      <t>イン</t>
    </rPh>
    <phoneticPr fontId="2"/>
  </si>
  <si>
    <t>&lt;DT作成印&gt;</t>
    <rPh sb="3" eb="5">
      <t>サクセイ</t>
    </rPh>
    <rPh sb="5" eb="6">
      <t>イン</t>
    </rPh>
    <phoneticPr fontId="2"/>
  </si>
  <si>
    <t>DENSO TECHNO PHIL., INC.</t>
    <phoneticPr fontId="2"/>
  </si>
  <si>
    <t>&lt;OS確認印&gt;</t>
    <rPh sb="3" eb="6">
      <t>カクニンイン</t>
    </rPh>
    <rPh sb="6" eb="7">
      <t>ケンイン</t>
    </rPh>
    <phoneticPr fontId="2"/>
  </si>
  <si>
    <t>&lt;OS検討印&gt;</t>
    <rPh sb="3" eb="5">
      <t>ケントウ</t>
    </rPh>
    <rPh sb="5" eb="6">
      <t>イン</t>
    </rPh>
    <phoneticPr fontId="2"/>
  </si>
  <si>
    <t xml:space="preserve"> </t>
    <phoneticPr fontId="2"/>
  </si>
  <si>
    <t>(株)デンソー</t>
  </si>
  <si>
    <t>ブザー音圧 57dB±3dB (MCUCONST参照)</t>
    <phoneticPr fontId="2"/>
  </si>
  <si>
    <t>ブザー音圧 59dB±3dB (MCUCONST参照)</t>
    <phoneticPr fontId="2"/>
  </si>
  <si>
    <t>ブザー音圧 61dB±3dB (MCUCONST参照)</t>
    <phoneticPr fontId="2"/>
  </si>
  <si>
    <t>ブザー音圧 63dB±3dB (MCUCONST参照)</t>
    <phoneticPr fontId="2"/>
  </si>
  <si>
    <t>ブザー音圧 65dB±3dB (MCUCONST参照)</t>
    <phoneticPr fontId="2"/>
  </si>
  <si>
    <t>ブザー音圧 67dB±3dB (MCUCONST参照)</t>
    <phoneticPr fontId="2"/>
  </si>
  <si>
    <t>ブザー音圧 69dB±3dB (MCUCONST参照)</t>
    <phoneticPr fontId="2"/>
  </si>
  <si>
    <t>ブザー音圧 71dB±3dB (MCUCONST参照)</t>
    <phoneticPr fontId="2"/>
  </si>
  <si>
    <t>ブザー音圧 57dB±3dB (MCUCONST参照)/
ブザー音圧 59dB±3dB (MCUCONST参照)/
ブザー音圧 61dB±3dB (MCUCONST参照)/
ブザー音圧 63dB±3dB (MCUCONST参照)/
ブザー音圧 65dB±3dB (MCUCONST参照)/
ブザー音圧 67dB±3dB (MCUCONST参照)/
ブザー音圧 69dB±3dB (MCUCONST参照)/
ブザー音圧 71dB±3dB (MCUCONST参照)/
-</t>
    <phoneticPr fontId="2"/>
  </si>
  <si>
    <t>承認欄 [DT]</t>
    <phoneticPr fontId="2"/>
  </si>
  <si>
    <t>DTPH Eunice</t>
  </si>
  <si>
    <r>
      <t xml:space="preserve">BEVシス検ADAS
BEV3CDMET-2019_S_ADBZR対応 (S_CLESON分)
△1 VOL CH追加
[Matrix]シート
VOL CH追加　
[CH_Design]シート
VOLのREQIDの追加
[VOL]シート
VOLのシート追加、
[Reference]シート
CH名
</t>
    </r>
    <r>
      <rPr>
        <b/>
        <sz val="11"/>
        <color rgb="FFFF0000"/>
        <rFont val="ＭＳ Ｐゴシック"/>
        <family val="3"/>
        <charset val="128"/>
        <scheme val="minor"/>
      </rPr>
      <t xml:space="preserve">※コードと設計書が一致になるように、
19PFv3とBEV3のVOL_CHからリバートしました
</t>
    </r>
    <r>
      <rPr>
        <sz val="11"/>
        <color rgb="FFFF0000"/>
        <rFont val="ＭＳ Ｐゴシック"/>
        <family val="3"/>
        <charset val="128"/>
        <scheme val="minor"/>
      </rPr>
      <t xml:space="preserve"> 
</t>
    </r>
    <r>
      <rPr>
        <sz val="11"/>
        <color rgb="FF0000FF"/>
        <rFont val="ＭＳ Ｐゴシック"/>
        <family val="3"/>
        <charset val="128"/>
        <scheme val="minor"/>
      </rPr>
      <t>△2 CSRの要求ID、仕様署名の更新(CLESON→S_ADBZR_CSR)
[Matrix]シート
CH名変更
[CH_Design]シート
CH名変更に従い、要求ID、REQIDの変更
[S_ADBZR_CSR]シート
シート名はS_CLESON→BZに変更
[Reference]シート
CH名</t>
    </r>
    <rPh sb="57" eb="59">
      <t>ツイカ</t>
    </rPh>
    <rPh sb="77" eb="79">
      <t>ツイカ</t>
    </rPh>
    <rPh sb="106" eb="108">
      <t>ツイカ</t>
    </rPh>
    <rPh sb="125" eb="127">
      <t>ツイカ</t>
    </rPh>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</si>
</sst>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1">
    <font>
      <sz val="11"/>
      <color theme="1"/>
      <name val="ＭＳ Ｐゴシック"/>
      <family val="2"/>
      <charset val="128"/>
      <scheme val="minor"/>
    </font>
    <font>
      <sz val="11"/>
      <color theme="0"/>
      <name val="ＭＳ Ｐゴシック"/>
      <family val="2"/>
      <charset val="128"/>
      <scheme val="minor"/>
    </font>
    <font>
      <sz val="6"/>
      <name val="ＭＳ Ｐゴシック"/>
      <family val="2"/>
      <charset val="128"/>
      <scheme val="minor"/>
    </font>
    <font>
      <u/>
      <sz val="11"/>
      <color theme="10"/>
      <name val="ＭＳ Ｐゴシック"/>
      <family val="2"/>
      <charset val="128"/>
      <scheme val="minor"/>
    </font>
    <font>
      <sz val="14"/>
      <color theme="0"/>
      <name val="ＭＳ Ｐゴシック"/>
      <family val="2"/>
      <charset val="128"/>
      <scheme val="minor"/>
    </font>
    <font>
      <sz val="11"/>
      <color theme="0"/>
      <name val="ＭＳ Ｐゴシック"/>
      <family val="3"/>
      <charset val="128"/>
      <scheme val="minor"/>
    </font>
    <font>
      <b/>
      <sz val="12"/>
      <color theme="1"/>
      <name val="ＭＳ Ｐゴシック"/>
      <family val="3"/>
      <charset val="128"/>
      <scheme val="minor"/>
    </font>
    <font>
      <b/>
      <sz val="9"/>
      <color indexed="81"/>
      <name val="ＭＳ Ｐゴシック"/>
      <family val="3"/>
      <charset val="128"/>
    </font>
    <font>
      <sz val="11"/>
      <color theme="9" tint="-0.249977111117893"/>
      <name val="ＭＳ Ｐゴシック"/>
      <family val="2"/>
      <charset val="128"/>
      <scheme val="minor"/>
    </font>
    <font>
      <sz val="11"/>
      <name val="ＭＳ Ｐゴシック"/>
      <family val="3"/>
      <charset val="128"/>
    </font>
    <font>
      <b/>
      <sz val="11"/>
      <color theme="1"/>
      <name val="ＭＳ Ｐゴシック"/>
      <family val="3"/>
      <charset val="128"/>
      <scheme val="minor"/>
    </font>
    <font>
      <sz val="11"/>
      <color rgb="FFFF0000"/>
      <name val="ＭＳ Ｐゴシック"/>
      <family val="2"/>
      <charset val="128"/>
      <scheme val="minor"/>
    </font>
    <font>
      <sz val="14"/>
      <color rgb="FFFF0000"/>
      <name val="ＭＳ Ｐゴシック"/>
      <family val="2"/>
      <charset val="128"/>
      <scheme val="minor"/>
    </font>
    <font>
      <b/>
      <sz val="9"/>
      <color indexed="81"/>
      <name val="MS P ゴシック"/>
      <family val="3"/>
      <charset val="128"/>
    </font>
    <font>
      <sz val="12"/>
      <color theme="1"/>
      <name val="ＭＳ Ｐゴシック"/>
      <family val="3"/>
      <charset val="128"/>
      <scheme val="minor"/>
    </font>
    <font>
      <sz val="11"/>
      <color theme="1"/>
      <name val="ＭＳ Ｐゴシック"/>
      <family val="3"/>
      <charset val="128"/>
      <scheme val="minor"/>
    </font>
    <font>
      <sz val="11"/>
      <name val="ＭＳ Ｐゴシック"/>
      <family val="2"/>
      <charset val="128"/>
      <scheme val="minor"/>
    </font>
    <font>
      <sz val="11"/>
      <color rgb="FF0000FF"/>
      <name val="ＭＳ Ｐゴシック"/>
      <family val="3"/>
      <charset val="128"/>
      <scheme val="minor"/>
    </font>
    <font>
      <sz val="11"/>
      <color rgb="FFFF0000"/>
      <name val="ＭＳ Ｐゴシック"/>
      <family val="3"/>
      <charset val="128"/>
      <scheme val="minor"/>
    </font>
    <font>
      <sz val="11"/>
      <name val="ＭＳ Ｐゴシック"/>
      <family val="3"/>
      <charset val="128"/>
      <scheme val="minor"/>
    </font>
    <font>
      <sz val="10"/>
      <color indexed="81"/>
      <name val="Meiryo UI"/>
      <family val="3"/>
      <charset val="128"/>
    </font>
    <font>
      <b/>
      <sz val="11"/>
      <color theme="1"/>
      <name val="Meiryo UI"/>
      <family val="3"/>
      <charset val="128"/>
    </font>
    <font>
      <sz val="11"/>
      <color theme="1"/>
      <name val="ＭＳ Ｐゴシック"/>
      <family val="2"/>
      <charset val="128"/>
      <scheme val="minor"/>
    </font>
    <font>
      <b/>
      <sz val="12"/>
      <color rgb="FFFF0000"/>
      <name val="ＭＳ Ｐゴシック"/>
      <family val="3"/>
      <charset val="128"/>
      <scheme val="minor"/>
    </font>
    <font>
      <sz val="12"/>
      <color rgb="FFFF0000"/>
      <name val="ＭＳ Ｐゴシック"/>
      <family val="3"/>
      <charset val="128"/>
      <scheme val="minor"/>
    </font>
    <font>
      <sz val="11"/>
      <color rgb="FF0000FF"/>
      <name val="ＭＳ Ｐゴシック"/>
      <family val="2"/>
      <charset val="128"/>
      <scheme val="minor"/>
    </font>
    <font>
      <sz val="11"/>
      <color theme="1"/>
      <name val="Meiryo UI"/>
      <family val="3"/>
      <charset val="128"/>
    </font>
    <font>
      <b/>
      <sz val="10"/>
      <color rgb="FFFF0000"/>
      <name val="Meiryo UI"/>
      <family val="3"/>
      <charset val="128"/>
    </font>
    <font>
      <b/>
      <sz val="12"/>
      <color theme="1"/>
      <name val="Meiryo UI"/>
      <family val="3"/>
      <charset val="128"/>
    </font>
    <font>
      <sz val="6"/>
      <color theme="0" tint="-0.499984740745262"/>
      <name val="Meiryo UI"/>
      <family val="3"/>
      <charset val="128"/>
    </font>
    <font>
      <b/>
      <sz val="11"/>
      <color rgb="FFFF0000"/>
      <name val="ＭＳ Ｐゴシック"/>
      <family val="3"/>
      <charset val="128"/>
      <scheme val="minor"/>
    </font>
  </fonts>
  <fills count="25">
    <fill>
      <patternFill patternType="none"/>
    </fill>
    <fill>
      <patternFill patternType="gray125"/>
    </fill>
    <fill>
      <patternFill patternType="solid">
        <fgColor theme="3"/>
        <bgColor indexed="64"/>
      </patternFill>
    </fill>
    <fill>
      <patternFill patternType="solid">
        <fgColor rgb="FF99CCFF"/>
        <bgColor indexed="64"/>
      </patternFill>
    </fill>
    <fill>
      <patternFill patternType="solid">
        <fgColor rgb="FFCCECFF"/>
        <bgColor indexed="64"/>
      </patternFill>
    </fill>
    <fill>
      <patternFill patternType="solid">
        <fgColor rgb="FF99FFCC"/>
        <bgColor indexed="64"/>
      </patternFill>
    </fill>
    <fill>
      <patternFill patternType="solid">
        <fgColor rgb="FFCCFFCC"/>
        <bgColor indexed="64"/>
      </patternFill>
    </fill>
    <fill>
      <patternFill patternType="solid">
        <fgColor rgb="FFFFCC99"/>
        <bgColor indexed="64"/>
      </patternFill>
    </fill>
    <fill>
      <patternFill patternType="solid">
        <fgColor rgb="FFFFFFCC"/>
        <bgColor indexed="64"/>
      </patternFill>
    </fill>
    <fill>
      <patternFill patternType="solid">
        <fgColor rgb="FFFF9999"/>
        <bgColor indexed="64"/>
      </patternFill>
    </fill>
    <fill>
      <patternFill patternType="solid">
        <fgColor rgb="FFFFCCCC"/>
        <bgColor indexed="64"/>
      </patternFill>
    </fill>
    <fill>
      <patternFill patternType="solid">
        <fgColor theme="9" tint="0.79998168889431442"/>
        <bgColor indexed="64"/>
      </patternFill>
    </fill>
    <fill>
      <patternFill patternType="solid">
        <fgColor rgb="FFFFFF00"/>
        <bgColor indexed="64"/>
      </patternFill>
    </fill>
    <fill>
      <patternFill patternType="solid">
        <fgColor theme="7" tint="0.39997558519241921"/>
        <bgColor indexed="64"/>
      </patternFill>
    </fill>
    <fill>
      <patternFill patternType="lightUp"/>
    </fill>
    <fill>
      <patternFill patternType="solid">
        <fgColor theme="0" tint="-0.249977111117893"/>
        <bgColor indexed="64"/>
      </patternFill>
    </fill>
    <fill>
      <patternFill patternType="solid">
        <fgColor rgb="FF00B0F0"/>
        <bgColor indexed="64"/>
      </patternFill>
    </fill>
    <fill>
      <patternFill patternType="solid">
        <fgColor rgb="FFCCCCFF"/>
        <bgColor indexed="64"/>
      </patternFill>
    </fill>
    <fill>
      <patternFill patternType="solid">
        <fgColor rgb="FFFBBDBD"/>
        <bgColor indexed="64"/>
      </patternFill>
    </fill>
    <fill>
      <patternFill patternType="solid">
        <fgColor rgb="FF0070C0"/>
        <bgColor indexed="64"/>
      </patternFill>
    </fill>
    <fill>
      <patternFill patternType="lightUp">
        <bgColor theme="0" tint="-0.249977111117893"/>
      </patternFill>
    </fill>
    <fill>
      <patternFill patternType="solid">
        <fgColor theme="6" tint="0.59999389629810485"/>
        <bgColor indexed="64"/>
      </patternFill>
    </fill>
    <fill>
      <patternFill patternType="solid">
        <fgColor rgb="FFCCFDB1"/>
        <bgColor indexed="64"/>
      </patternFill>
    </fill>
    <fill>
      <patternFill patternType="lightUp">
        <bgColor auto="1"/>
      </patternFill>
    </fill>
    <fill>
      <patternFill patternType="solid">
        <fgColor theme="8" tint="0.39997558519241921"/>
        <bgColor indexed="64"/>
      </patternFill>
    </fill>
  </fills>
  <borders count="79">
    <border>
      <left/>
      <right/>
      <top/>
      <bottom/>
      <diagonal/>
    </border>
    <border>
      <left style="medium">
        <color indexed="64"/>
      </left>
      <right style="thin">
        <color indexed="64"/>
      </right>
      <top style="thin">
        <color indexed="64"/>
      </top>
      <bottom style="double">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bottom style="thin">
        <color indexed="64"/>
      </bottom>
      <diagonal/>
    </border>
    <border>
      <left/>
      <right/>
      <top style="thin">
        <color indexed="64"/>
      </top>
      <bottom style="thin">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style="thin">
        <color indexed="64"/>
      </right>
      <top style="thin">
        <color indexed="64"/>
      </top>
      <bottom style="double">
        <color indexed="64"/>
      </bottom>
      <diagonal/>
    </border>
    <border>
      <left style="thin">
        <color indexed="64"/>
      </left>
      <right style="medium">
        <color indexed="64"/>
      </right>
      <top style="thin">
        <color indexed="64"/>
      </top>
      <bottom style="double">
        <color indexed="64"/>
      </bottom>
      <diagonal/>
    </border>
    <border>
      <left/>
      <right style="medium">
        <color indexed="64"/>
      </right>
      <top style="medium">
        <color indexed="64"/>
      </top>
      <bottom style="thin">
        <color indexed="64"/>
      </bottom>
      <diagonal/>
    </border>
    <border>
      <left style="medium">
        <color indexed="64"/>
      </left>
      <right style="double">
        <color indexed="64"/>
      </right>
      <top style="thin">
        <color indexed="64"/>
      </top>
      <bottom style="thin">
        <color indexed="64"/>
      </bottom>
      <diagonal/>
    </border>
    <border>
      <left style="medium">
        <color indexed="64"/>
      </left>
      <right style="double">
        <color indexed="64"/>
      </right>
      <top style="thin">
        <color indexed="64"/>
      </top>
      <bottom style="medium">
        <color indexed="64"/>
      </bottom>
      <diagonal/>
    </border>
    <border>
      <left/>
      <right/>
      <top/>
      <bottom style="thin">
        <color theme="0"/>
      </bottom>
      <diagonal/>
    </border>
    <border>
      <left style="medium">
        <color indexed="64"/>
      </left>
      <right style="medium">
        <color indexed="64"/>
      </right>
      <top style="medium">
        <color indexed="64"/>
      </top>
      <bottom style="thin">
        <color indexed="64"/>
      </bottom>
      <diagonal/>
    </border>
    <border>
      <left/>
      <right/>
      <top style="medium">
        <color indexed="64"/>
      </top>
      <bottom style="thin">
        <color indexed="64"/>
      </bottom>
      <diagonal/>
    </border>
    <border>
      <left style="medium">
        <color indexed="64"/>
      </left>
      <right style="medium">
        <color indexed="64"/>
      </right>
      <top/>
      <bottom style="thin">
        <color indexed="64"/>
      </bottom>
      <diagonal/>
    </border>
    <border>
      <left/>
      <right style="thin">
        <color indexed="64"/>
      </right>
      <top/>
      <bottom style="thin">
        <color indexed="64"/>
      </bottom>
      <diagonal/>
    </border>
    <border>
      <left/>
      <right style="thin">
        <color indexed="64"/>
      </right>
      <top style="thin">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style="double">
        <color indexed="64"/>
      </bottom>
      <diagonal/>
    </border>
    <border>
      <left style="thin">
        <color indexed="64"/>
      </left>
      <right/>
      <top/>
      <bottom style="thin">
        <color indexed="64"/>
      </bottom>
      <diagonal/>
    </border>
    <border>
      <left style="thin">
        <color indexed="64"/>
      </left>
      <right/>
      <top style="thin">
        <color indexed="64"/>
      </top>
      <bottom style="medium">
        <color indexed="64"/>
      </bottom>
      <diagonal/>
    </border>
    <border>
      <left/>
      <right style="thin">
        <color indexed="64"/>
      </right>
      <top style="thin">
        <color indexed="64"/>
      </top>
      <bottom style="thin">
        <color indexed="64"/>
      </bottom>
      <diagonal/>
    </border>
    <border>
      <left/>
      <right style="thin">
        <color indexed="64"/>
      </right>
      <top style="thin">
        <color indexed="64"/>
      </top>
      <bottom style="double">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double">
        <color indexed="64"/>
      </bottom>
      <diagonal/>
    </border>
    <border>
      <left style="medium">
        <color indexed="64"/>
      </left>
      <right style="medium">
        <color indexed="64"/>
      </right>
      <top style="thin">
        <color indexed="64"/>
      </top>
      <bottom style="medium">
        <color indexed="64"/>
      </bottom>
      <diagonal/>
    </border>
    <border>
      <left style="medium">
        <color indexed="64"/>
      </left>
      <right/>
      <top style="medium">
        <color indexed="64"/>
      </top>
      <bottom style="thin">
        <color indexed="64"/>
      </bottom>
      <diagonal/>
    </border>
    <border>
      <left style="medium">
        <color indexed="64"/>
      </left>
      <right style="thin">
        <color indexed="64"/>
      </right>
      <top style="medium">
        <color indexed="64"/>
      </top>
      <bottom style="double">
        <color indexed="64"/>
      </bottom>
      <diagonal/>
    </border>
    <border>
      <left style="thin">
        <color indexed="64"/>
      </left>
      <right style="thin">
        <color indexed="64"/>
      </right>
      <top style="medium">
        <color indexed="64"/>
      </top>
      <bottom style="double">
        <color indexed="64"/>
      </bottom>
      <diagonal/>
    </border>
    <border>
      <left style="thin">
        <color indexed="64"/>
      </left>
      <right/>
      <top style="medium">
        <color indexed="64"/>
      </top>
      <bottom style="double">
        <color indexed="64"/>
      </bottom>
      <diagonal/>
    </border>
    <border>
      <left style="thin">
        <color indexed="64"/>
      </left>
      <right style="medium">
        <color indexed="64"/>
      </right>
      <top style="medium">
        <color indexed="64"/>
      </top>
      <bottom style="double">
        <color indexed="64"/>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diagonalDown="1">
      <left style="medium">
        <color indexed="64"/>
      </left>
      <right style="double">
        <color indexed="64"/>
      </right>
      <top style="medium">
        <color indexed="64"/>
      </top>
      <bottom style="thin">
        <color indexed="64"/>
      </bottom>
      <diagonal style="thin">
        <color indexed="64"/>
      </diagonal>
    </border>
    <border>
      <left style="medium">
        <color indexed="64"/>
      </left>
      <right style="double">
        <color indexed="64"/>
      </right>
      <top style="thin">
        <color indexed="64"/>
      </top>
      <bottom style="double">
        <color indexed="64"/>
      </bottom>
      <diagonal/>
    </border>
    <border>
      <left style="medium">
        <color indexed="64"/>
      </left>
      <right style="double">
        <color indexed="64"/>
      </right>
      <top/>
      <bottom style="thin">
        <color indexed="64"/>
      </bottom>
      <diagonal/>
    </border>
    <border>
      <left/>
      <right style="medium">
        <color indexed="64"/>
      </right>
      <top style="thin">
        <color indexed="64"/>
      </top>
      <bottom style="thin">
        <color indexed="64"/>
      </bottom>
      <diagonal/>
    </border>
    <border>
      <left/>
      <right/>
      <top style="medium">
        <color indexed="64"/>
      </top>
      <bottom/>
      <diagonal/>
    </border>
    <border>
      <left style="medium">
        <color indexed="64"/>
      </left>
      <right style="medium">
        <color indexed="64"/>
      </right>
      <top style="medium">
        <color indexed="64"/>
      </top>
      <bottom/>
      <diagonal/>
    </border>
    <border>
      <left/>
      <right/>
      <top style="medium">
        <color indexed="64"/>
      </top>
      <bottom style="double">
        <color indexed="64"/>
      </bottom>
      <diagonal/>
    </border>
    <border>
      <left/>
      <right/>
      <top style="thin">
        <color indexed="64"/>
      </top>
      <bottom style="medium">
        <color indexed="64"/>
      </bottom>
      <diagonal/>
    </border>
    <border>
      <left style="thin">
        <color indexed="64"/>
      </left>
      <right style="double">
        <color indexed="64"/>
      </right>
      <top style="medium">
        <color indexed="64"/>
      </top>
      <bottom style="thin">
        <color indexed="64"/>
      </bottom>
      <diagonal/>
    </border>
    <border>
      <left style="thin">
        <color indexed="64"/>
      </left>
      <right style="double">
        <color indexed="64"/>
      </right>
      <top style="thin">
        <color indexed="64"/>
      </top>
      <bottom style="thin">
        <color indexed="64"/>
      </bottom>
      <diagonal/>
    </border>
    <border>
      <left style="thin">
        <color indexed="64"/>
      </left>
      <right style="double">
        <color indexed="64"/>
      </right>
      <top style="thin">
        <color indexed="64"/>
      </top>
      <bottom style="medium">
        <color indexed="64"/>
      </bottom>
      <diagonal/>
    </border>
    <border>
      <left/>
      <right style="thin">
        <color indexed="64"/>
      </right>
      <top style="medium">
        <color indexed="64"/>
      </top>
      <bottom style="double">
        <color indexed="64"/>
      </bottom>
      <diagonal/>
    </border>
    <border>
      <left/>
      <right style="medium">
        <color indexed="64"/>
      </right>
      <top style="medium">
        <color indexed="64"/>
      </top>
      <bottom style="double">
        <color indexed="64"/>
      </bottom>
      <diagonal/>
    </border>
    <border>
      <left/>
      <right style="medium">
        <color indexed="64"/>
      </right>
      <top/>
      <bottom style="thin">
        <color indexed="64"/>
      </bottom>
      <diagonal/>
    </border>
    <border>
      <left/>
      <right style="medium">
        <color indexed="64"/>
      </right>
      <top style="thin">
        <color indexed="64"/>
      </top>
      <bottom style="medium">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top style="thin">
        <color indexed="64"/>
      </top>
      <bottom/>
      <diagonal/>
    </border>
    <border>
      <left/>
      <right style="thin">
        <color indexed="64"/>
      </right>
      <top style="thin">
        <color indexed="64"/>
      </top>
      <bottom/>
      <diagonal/>
    </border>
    <border>
      <left/>
      <right/>
      <top style="thin">
        <color indexed="64"/>
      </top>
      <bottom/>
      <diagonal/>
    </border>
    <border>
      <left style="double">
        <color indexed="64"/>
      </left>
      <right/>
      <top style="medium">
        <color indexed="64"/>
      </top>
      <bottom style="thin">
        <color indexed="64"/>
      </bottom>
      <diagonal/>
    </border>
    <border>
      <left style="double">
        <color indexed="64"/>
      </left>
      <right/>
      <top style="thin">
        <color indexed="64"/>
      </top>
      <bottom style="thin">
        <color indexed="64"/>
      </bottom>
      <diagonal/>
    </border>
    <border>
      <left style="double">
        <color indexed="64"/>
      </left>
      <right/>
      <top style="thin">
        <color indexed="64"/>
      </top>
      <bottom style="medium">
        <color indexed="64"/>
      </bottom>
      <diagonal/>
    </border>
    <border>
      <left/>
      <right style="medium">
        <color indexed="64"/>
      </right>
      <top/>
      <bottom/>
      <diagonal/>
    </border>
    <border>
      <left style="medium">
        <color indexed="64"/>
      </left>
      <right style="thin">
        <color indexed="64"/>
      </right>
      <top/>
      <bottom/>
      <diagonal/>
    </border>
    <border>
      <left style="thin">
        <color indexed="64"/>
      </left>
      <right style="medium">
        <color indexed="64"/>
      </right>
      <top/>
      <bottom/>
      <diagonal/>
    </border>
    <border>
      <left style="double">
        <color indexed="64"/>
      </left>
      <right/>
      <top style="medium">
        <color indexed="64"/>
      </top>
      <bottom style="medium">
        <color indexed="64"/>
      </bottom>
      <diagonal/>
    </border>
    <border>
      <left/>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top style="medium">
        <color indexed="64"/>
      </top>
      <bottom style="thin">
        <color indexed="64"/>
      </bottom>
      <diagonal/>
    </border>
    <border>
      <left style="thin">
        <color indexed="64"/>
      </left>
      <right/>
      <top/>
      <bottom/>
      <diagonal/>
    </border>
    <border>
      <left/>
      <right style="thin">
        <color indexed="64"/>
      </right>
      <top/>
      <bottom/>
      <diagonal/>
    </border>
  </borders>
  <cellStyleXfs count="4">
    <xf numFmtId="0" fontId="0" fillId="0" borderId="0">
      <alignment vertical="center"/>
    </xf>
    <xf numFmtId="0" fontId="3" fillId="0" borderId="0" applyNumberFormat="0" applyFill="0" applyBorder="0" applyAlignment="0" applyProtection="0">
      <alignment vertical="center"/>
    </xf>
    <xf numFmtId="0" fontId="22" fillId="0" borderId="0">
      <alignment vertical="center"/>
    </xf>
    <xf numFmtId="0" fontId="22" fillId="0" borderId="0">
      <alignment vertical="center"/>
    </xf>
  </cellStyleXfs>
  <cellXfs count="394">
    <xf numFmtId="0" fontId="0" fillId="0" borderId="0" xfId="0">
      <alignment vertical="center"/>
    </xf>
    <xf numFmtId="0" fontId="0" fillId="0" borderId="2" xfId="0" applyBorder="1">
      <alignment vertical="center"/>
    </xf>
    <xf numFmtId="0" fontId="0" fillId="0" borderId="6" xfId="0" applyBorder="1">
      <alignment vertical="center"/>
    </xf>
    <xf numFmtId="0" fontId="0" fillId="0" borderId="7" xfId="0" applyBorder="1">
      <alignment vertical="center"/>
    </xf>
    <xf numFmtId="0" fontId="0" fillId="0" borderId="8" xfId="0" applyBorder="1">
      <alignment vertical="center"/>
    </xf>
    <xf numFmtId="0" fontId="0" fillId="0" borderId="9" xfId="0" applyBorder="1">
      <alignment vertical="center"/>
    </xf>
    <xf numFmtId="0" fontId="0" fillId="0" borderId="10" xfId="0" applyBorder="1">
      <alignment vertical="center"/>
    </xf>
    <xf numFmtId="0" fontId="1" fillId="2" borderId="0" xfId="0" applyFont="1" applyFill="1">
      <alignment vertical="center"/>
    </xf>
    <xf numFmtId="0" fontId="0" fillId="0" borderId="11" xfId="0" applyBorder="1" applyAlignment="1"/>
    <xf numFmtId="0" fontId="0" fillId="0" borderId="12" xfId="0" applyBorder="1" applyAlignment="1"/>
    <xf numFmtId="0" fontId="1" fillId="0" borderId="0" xfId="0" applyFont="1">
      <alignment vertical="center"/>
    </xf>
    <xf numFmtId="0" fontId="4" fillId="2" borderId="0" xfId="0" applyFont="1" applyFill="1" applyAlignment="1">
      <alignment horizontal="center" vertical="center"/>
    </xf>
    <xf numFmtId="0" fontId="5" fillId="0" borderId="0" xfId="0" applyFont="1">
      <alignment vertical="center"/>
    </xf>
    <xf numFmtId="0" fontId="0" fillId="0" borderId="13" xfId="0" applyBorder="1">
      <alignment vertical="center"/>
    </xf>
    <xf numFmtId="0" fontId="0" fillId="0" borderId="14" xfId="0" applyBorder="1">
      <alignment vertical="center"/>
    </xf>
    <xf numFmtId="0" fontId="0" fillId="0" borderId="15" xfId="0" applyBorder="1">
      <alignment vertical="center"/>
    </xf>
    <xf numFmtId="0" fontId="0" fillId="4" borderId="1" xfId="0" applyFill="1" applyBorder="1">
      <alignment vertical="center"/>
    </xf>
    <xf numFmtId="0" fontId="0" fillId="4" borderId="16" xfId="0" applyFill="1" applyBorder="1">
      <alignment vertical="center"/>
    </xf>
    <xf numFmtId="0" fontId="0" fillId="6" borderId="16" xfId="0" applyFill="1" applyBorder="1">
      <alignment vertical="center"/>
    </xf>
    <xf numFmtId="0" fontId="0" fillId="6" borderId="16" xfId="0" applyFill="1" applyBorder="1" applyAlignment="1">
      <alignment horizontal="center" vertical="center" wrapText="1"/>
    </xf>
    <xf numFmtId="0" fontId="0" fillId="8" borderId="16" xfId="0" applyFill="1" applyBorder="1">
      <alignment vertical="center"/>
    </xf>
    <xf numFmtId="0" fontId="0" fillId="10" borderId="16" xfId="0" applyFill="1" applyBorder="1">
      <alignment vertical="center"/>
    </xf>
    <xf numFmtId="0" fontId="0" fillId="10" borderId="17" xfId="0" applyFill="1" applyBorder="1">
      <alignment vertical="center"/>
    </xf>
    <xf numFmtId="0" fontId="0" fillId="0" borderId="19" xfId="0" applyBorder="1">
      <alignment vertical="center"/>
    </xf>
    <xf numFmtId="0" fontId="0" fillId="0" borderId="20" xfId="0" applyBorder="1">
      <alignment vertical="center"/>
    </xf>
    <xf numFmtId="0" fontId="1" fillId="2" borderId="21" xfId="0" applyFont="1" applyFill="1" applyBorder="1" applyAlignment="1">
      <alignment horizontal="right"/>
    </xf>
    <xf numFmtId="0" fontId="0" fillId="12" borderId="2" xfId="0" applyFill="1" applyBorder="1">
      <alignment vertical="center"/>
    </xf>
    <xf numFmtId="0" fontId="0" fillId="12" borderId="6" xfId="0" applyFill="1" applyBorder="1">
      <alignment vertical="center"/>
    </xf>
    <xf numFmtId="0" fontId="6" fillId="0" borderId="0" xfId="0" applyFont="1">
      <alignment vertical="center"/>
    </xf>
    <xf numFmtId="0" fontId="0" fillId="0" borderId="16" xfId="0" applyBorder="1" applyAlignment="1">
      <alignment vertical="center" wrapText="1"/>
    </xf>
    <xf numFmtId="0" fontId="0" fillId="0" borderId="28" xfId="0" applyBorder="1" applyAlignment="1">
      <alignment vertical="center" wrapText="1"/>
    </xf>
    <xf numFmtId="0" fontId="0" fillId="12" borderId="22" xfId="0" applyFill="1" applyBorder="1">
      <alignment vertical="center"/>
    </xf>
    <xf numFmtId="0" fontId="0" fillId="0" borderId="33" xfId="0" applyBorder="1">
      <alignment vertical="center"/>
    </xf>
    <xf numFmtId="0" fontId="0" fillId="14" borderId="33" xfId="0" applyFill="1" applyBorder="1">
      <alignment vertical="center"/>
    </xf>
    <xf numFmtId="0" fontId="0" fillId="0" borderId="34" xfId="0" applyBorder="1" applyAlignment="1">
      <alignment vertical="center" wrapText="1"/>
    </xf>
    <xf numFmtId="0" fontId="0" fillId="12" borderId="23" xfId="0" applyFill="1" applyBorder="1" applyAlignment="1">
      <alignment vertical="center"/>
    </xf>
    <xf numFmtId="0" fontId="0" fillId="0" borderId="27" xfId="0" applyBorder="1" applyAlignment="1">
      <alignment vertical="center"/>
    </xf>
    <xf numFmtId="0" fontId="0" fillId="0" borderId="14" xfId="0" applyBorder="1" applyAlignment="1">
      <alignment horizontal="center" vertical="center"/>
    </xf>
    <xf numFmtId="0" fontId="0" fillId="0" borderId="24" xfId="0" applyBorder="1" applyAlignment="1">
      <alignment horizontal="center" vertical="center"/>
    </xf>
    <xf numFmtId="0" fontId="0" fillId="0" borderId="33" xfId="0" applyBorder="1" applyAlignment="1">
      <alignment horizontal="center" vertical="center"/>
    </xf>
    <xf numFmtId="0" fontId="0" fillId="0" borderId="9" xfId="0" applyBorder="1" applyAlignment="1">
      <alignment horizontal="center" vertical="center"/>
    </xf>
    <xf numFmtId="0" fontId="0" fillId="0" borderId="35" xfId="0" applyBorder="1" applyAlignment="1">
      <alignment horizontal="center" vertical="center"/>
    </xf>
    <xf numFmtId="0" fontId="0" fillId="15" borderId="14" xfId="0" applyFill="1" applyBorder="1" applyAlignment="1">
      <alignment horizontal="center" vertical="center"/>
    </xf>
    <xf numFmtId="0" fontId="0" fillId="15" borderId="2" xfId="0" applyFill="1" applyBorder="1" applyAlignment="1">
      <alignment horizontal="center" vertical="center"/>
    </xf>
    <xf numFmtId="0" fontId="0" fillId="15" borderId="9" xfId="0" applyFill="1" applyBorder="1" applyAlignment="1">
      <alignment horizontal="center" vertical="center"/>
    </xf>
    <xf numFmtId="0" fontId="0" fillId="13" borderId="36" xfId="0" applyFill="1" applyBorder="1" applyAlignment="1">
      <alignment vertical="center"/>
    </xf>
    <xf numFmtId="0" fontId="0" fillId="13" borderId="23" xfId="0" applyFill="1" applyBorder="1" applyAlignment="1">
      <alignment vertical="center"/>
    </xf>
    <xf numFmtId="0" fontId="0" fillId="13" borderId="18" xfId="0" applyFill="1" applyBorder="1" applyAlignment="1">
      <alignment vertical="center"/>
    </xf>
    <xf numFmtId="0" fontId="0" fillId="0" borderId="0" xfId="0" applyFill="1" applyBorder="1">
      <alignment vertical="center"/>
    </xf>
    <xf numFmtId="0" fontId="0" fillId="7" borderId="2" xfId="0" applyFill="1" applyBorder="1">
      <alignment vertical="center"/>
    </xf>
    <xf numFmtId="0" fontId="0" fillId="16" borderId="3" xfId="0" applyFill="1" applyBorder="1">
      <alignment vertical="center"/>
    </xf>
    <xf numFmtId="0" fontId="0" fillId="16" borderId="6" xfId="0" applyFill="1" applyBorder="1">
      <alignment vertical="center"/>
    </xf>
    <xf numFmtId="0" fontId="0" fillId="16" borderId="8" xfId="0" applyFill="1" applyBorder="1">
      <alignment vertical="center"/>
    </xf>
    <xf numFmtId="0" fontId="0" fillId="12" borderId="14" xfId="0" applyFill="1" applyBorder="1">
      <alignment vertical="center"/>
    </xf>
    <xf numFmtId="0" fontId="0" fillId="7" borderId="14" xfId="0" applyFill="1" applyBorder="1">
      <alignment vertical="center"/>
    </xf>
    <xf numFmtId="0" fontId="0" fillId="12" borderId="8" xfId="0" applyFill="1" applyBorder="1">
      <alignment vertical="center"/>
    </xf>
    <xf numFmtId="0" fontId="0" fillId="12" borderId="9" xfId="0" applyFill="1" applyBorder="1">
      <alignment vertical="center"/>
    </xf>
    <xf numFmtId="0" fontId="0" fillId="7" borderId="9" xfId="0" applyFill="1" applyBorder="1">
      <alignment vertical="center"/>
    </xf>
    <xf numFmtId="0" fontId="1" fillId="19" borderId="0" xfId="0" applyFont="1" applyFill="1">
      <alignment vertical="center"/>
    </xf>
    <xf numFmtId="0" fontId="1" fillId="19" borderId="2" xfId="0" applyFont="1" applyFill="1" applyBorder="1">
      <alignment vertical="center"/>
    </xf>
    <xf numFmtId="0" fontId="8" fillId="8" borderId="2" xfId="0" applyFont="1" applyFill="1" applyBorder="1">
      <alignment vertical="center"/>
    </xf>
    <xf numFmtId="0" fontId="1" fillId="19" borderId="2" xfId="0" applyFont="1" applyFill="1" applyBorder="1" applyAlignment="1">
      <alignment horizontal="center" vertical="center"/>
    </xf>
    <xf numFmtId="0" fontId="0" fillId="0" borderId="0" xfId="0" applyFill="1" applyBorder="1" applyAlignment="1">
      <alignment horizontal="center" vertical="center"/>
    </xf>
    <xf numFmtId="0" fontId="0" fillId="0" borderId="2" xfId="0" applyFill="1" applyBorder="1" applyAlignment="1">
      <alignment horizontal="center" vertical="center"/>
    </xf>
    <xf numFmtId="0" fontId="0" fillId="0" borderId="0" xfId="0" applyAlignment="1">
      <alignment horizontal="center" vertical="center"/>
    </xf>
    <xf numFmtId="0" fontId="0" fillId="17" borderId="41" xfId="0" applyFill="1" applyBorder="1">
      <alignment vertical="center"/>
    </xf>
    <xf numFmtId="0" fontId="0" fillId="17" borderId="42" xfId="0" applyFill="1" applyBorder="1">
      <alignment vertical="center"/>
    </xf>
    <xf numFmtId="0" fontId="0" fillId="17" borderId="43" xfId="0" applyFill="1" applyBorder="1">
      <alignment vertical="center"/>
    </xf>
    <xf numFmtId="0" fontId="0" fillId="17" borderId="44" xfId="0" applyFill="1" applyBorder="1">
      <alignment vertical="center"/>
    </xf>
    <xf numFmtId="0" fontId="0" fillId="7" borderId="5" xfId="0" applyFill="1" applyBorder="1">
      <alignment vertical="center"/>
    </xf>
    <xf numFmtId="0" fontId="0" fillId="7" borderId="7" xfId="0" applyFill="1" applyBorder="1">
      <alignment vertical="center"/>
    </xf>
    <xf numFmtId="0" fontId="0" fillId="7" borderId="10" xfId="0" applyFill="1" applyBorder="1">
      <alignment vertical="center"/>
    </xf>
    <xf numFmtId="0" fontId="0" fillId="12" borderId="47" xfId="0" applyFill="1" applyBorder="1">
      <alignment vertical="center"/>
    </xf>
    <xf numFmtId="0" fontId="0" fillId="12" borderId="19" xfId="0" applyFill="1" applyBorder="1">
      <alignment vertical="center"/>
    </xf>
    <xf numFmtId="0" fontId="0" fillId="12" borderId="19" xfId="0" applyFill="1" applyBorder="1" applyAlignment="1">
      <alignment vertical="center" wrapText="1"/>
    </xf>
    <xf numFmtId="0" fontId="0" fillId="12" borderId="48" xfId="0" applyFill="1" applyBorder="1">
      <alignment vertical="center"/>
    </xf>
    <xf numFmtId="0" fontId="0" fillId="0" borderId="49" xfId="0" applyBorder="1">
      <alignment vertical="center"/>
    </xf>
    <xf numFmtId="0" fontId="0" fillId="0" borderId="7" xfId="0" applyBorder="1">
      <alignment vertical="center"/>
    </xf>
    <xf numFmtId="0" fontId="0" fillId="15" borderId="16" xfId="0" applyFill="1" applyBorder="1">
      <alignment vertical="center"/>
    </xf>
    <xf numFmtId="0" fontId="0" fillId="15" borderId="2" xfId="0" applyFill="1" applyBorder="1">
      <alignment vertical="center"/>
    </xf>
    <xf numFmtId="0" fontId="0" fillId="20" borderId="2" xfId="0" applyFill="1" applyBorder="1">
      <alignment vertical="center"/>
    </xf>
    <xf numFmtId="0" fontId="0" fillId="21" borderId="37" xfId="0" applyFill="1" applyBorder="1">
      <alignment vertical="center"/>
    </xf>
    <xf numFmtId="0" fontId="0" fillId="21" borderId="40" xfId="0" applyFill="1" applyBorder="1">
      <alignment vertical="center"/>
    </xf>
    <xf numFmtId="0" fontId="1" fillId="19" borderId="45" xfId="0" applyFont="1" applyFill="1" applyBorder="1" applyAlignment="1">
      <alignment vertical="center"/>
    </xf>
    <xf numFmtId="0" fontId="1" fillId="19" borderId="51" xfId="0" applyFont="1" applyFill="1" applyBorder="1" applyAlignment="1">
      <alignment vertical="center"/>
    </xf>
    <xf numFmtId="0" fontId="1" fillId="19" borderId="46" xfId="0" applyFont="1" applyFill="1" applyBorder="1" applyAlignment="1">
      <alignment vertical="center"/>
    </xf>
    <xf numFmtId="0" fontId="0" fillId="17" borderId="52" xfId="0" applyFill="1" applyBorder="1">
      <alignment vertical="center"/>
    </xf>
    <xf numFmtId="0" fontId="10" fillId="0" borderId="11" xfId="0" applyFont="1" applyBorder="1">
      <alignment vertical="center"/>
    </xf>
    <xf numFmtId="0" fontId="10" fillId="0" borderId="11" xfId="0" applyFont="1" applyBorder="1" applyAlignment="1">
      <alignment horizontal="left" vertical="center"/>
    </xf>
    <xf numFmtId="0" fontId="0" fillId="21" borderId="53" xfId="0" applyFill="1" applyBorder="1">
      <alignment vertical="center"/>
    </xf>
    <xf numFmtId="0" fontId="0" fillId="0" borderId="11" xfId="0" applyBorder="1">
      <alignment vertical="center"/>
    </xf>
    <xf numFmtId="0" fontId="0" fillId="0" borderId="12" xfId="0" applyBorder="1">
      <alignment vertical="center"/>
    </xf>
    <xf numFmtId="0" fontId="0" fillId="0" borderId="54" xfId="0" applyBorder="1">
      <alignment vertical="center"/>
    </xf>
    <xf numFmtId="0" fontId="0" fillId="0" borderId="7" xfId="0" applyBorder="1" applyAlignment="1">
      <alignment vertical="center" wrapText="1"/>
    </xf>
    <xf numFmtId="0" fontId="11" fillId="0" borderId="0" xfId="0" applyFont="1">
      <alignment vertical="center"/>
    </xf>
    <xf numFmtId="0" fontId="12" fillId="0" borderId="0" xfId="0" applyFont="1" applyAlignment="1"/>
    <xf numFmtId="0" fontId="0" fillId="0" borderId="33" xfId="0" quotePrefix="1" applyBorder="1">
      <alignment vertical="center"/>
    </xf>
    <xf numFmtId="0" fontId="0" fillId="0" borderId="35" xfId="0" applyBorder="1">
      <alignment vertical="center"/>
    </xf>
    <xf numFmtId="0" fontId="1" fillId="16" borderId="22" xfId="0" applyFont="1" applyFill="1" applyBorder="1">
      <alignment vertical="center"/>
    </xf>
    <xf numFmtId="0" fontId="14" fillId="12" borderId="43" xfId="0" applyFont="1" applyFill="1" applyBorder="1">
      <alignment vertical="center"/>
    </xf>
    <xf numFmtId="0" fontId="5" fillId="19" borderId="19" xfId="0" applyFont="1" applyFill="1" applyBorder="1">
      <alignment vertical="center"/>
    </xf>
    <xf numFmtId="0" fontId="5" fillId="19" borderId="20" xfId="0" applyFont="1" applyFill="1" applyBorder="1">
      <alignment vertical="center"/>
    </xf>
    <xf numFmtId="0" fontId="1" fillId="19" borderId="37" xfId="0" applyFont="1" applyFill="1" applyBorder="1" applyAlignment="1">
      <alignment horizontal="center" vertical="center"/>
    </xf>
    <xf numFmtId="0" fontId="5" fillId="19" borderId="38" xfId="0" applyFont="1" applyFill="1" applyBorder="1" applyAlignment="1">
      <alignment horizontal="center" vertical="center"/>
    </xf>
    <xf numFmtId="0" fontId="5" fillId="19" borderId="39" xfId="0" applyFont="1" applyFill="1" applyBorder="1" applyAlignment="1">
      <alignment horizontal="center" vertical="center"/>
    </xf>
    <xf numFmtId="0" fontId="5" fillId="19" borderId="37" xfId="0" applyFont="1" applyFill="1" applyBorder="1" applyAlignment="1">
      <alignment horizontal="center" vertical="center"/>
    </xf>
    <xf numFmtId="0" fontId="5" fillId="19" borderId="40" xfId="0" applyFont="1" applyFill="1" applyBorder="1" applyAlignment="1">
      <alignment horizontal="center" vertical="center"/>
    </xf>
    <xf numFmtId="0" fontId="5" fillId="19" borderId="58" xfId="0" applyFont="1" applyFill="1" applyBorder="1">
      <alignment vertical="center"/>
    </xf>
    <xf numFmtId="0" fontId="5" fillId="19" borderId="38" xfId="0" applyFont="1" applyFill="1" applyBorder="1">
      <alignment vertical="center"/>
    </xf>
    <xf numFmtId="0" fontId="5" fillId="19" borderId="40" xfId="0" applyFont="1" applyFill="1" applyBorder="1">
      <alignment vertical="center"/>
    </xf>
    <xf numFmtId="0" fontId="5" fillId="19" borderId="49" xfId="0" applyFont="1" applyFill="1" applyBorder="1">
      <alignment vertical="center"/>
    </xf>
    <xf numFmtId="0" fontId="0" fillId="12" borderId="14" xfId="0" applyFill="1" applyBorder="1" applyProtection="1">
      <alignment vertical="center"/>
    </xf>
    <xf numFmtId="0" fontId="0" fillId="12" borderId="2" xfId="0" applyFill="1" applyBorder="1" applyProtection="1">
      <alignment vertical="center"/>
    </xf>
    <xf numFmtId="0" fontId="0" fillId="12" borderId="6" xfId="0" applyFill="1" applyBorder="1" applyProtection="1">
      <alignment vertical="center"/>
    </xf>
    <xf numFmtId="0" fontId="0" fillId="7" borderId="15" xfId="0" applyFill="1" applyBorder="1">
      <alignment vertical="center"/>
    </xf>
    <xf numFmtId="0" fontId="0" fillId="12" borderId="25" xfId="0" applyFill="1" applyBorder="1" applyAlignment="1">
      <alignment horizontal="left" vertical="center"/>
    </xf>
    <xf numFmtId="0" fontId="0" fillId="12" borderId="14" xfId="0" applyFill="1" applyBorder="1" applyAlignment="1">
      <alignment horizontal="left" vertical="center"/>
    </xf>
    <xf numFmtId="0" fontId="0" fillId="0" borderId="5" xfId="0" applyBorder="1">
      <alignment vertical="center"/>
    </xf>
    <xf numFmtId="0" fontId="0" fillId="12" borderId="29" xfId="0" applyFill="1" applyBorder="1">
      <alignment vertical="center"/>
    </xf>
    <xf numFmtId="0" fontId="0" fillId="12" borderId="27" xfId="0" applyFill="1" applyBorder="1">
      <alignment vertical="center"/>
    </xf>
    <xf numFmtId="0" fontId="0" fillId="12" borderId="7" xfId="0" applyFill="1" applyBorder="1">
      <alignment vertical="center"/>
    </xf>
    <xf numFmtId="0" fontId="0" fillId="12" borderId="30" xfId="0" applyFill="1" applyBorder="1">
      <alignment vertical="center"/>
    </xf>
    <xf numFmtId="0" fontId="0" fillId="12" borderId="10" xfId="0" applyFill="1" applyBorder="1">
      <alignment vertical="center"/>
    </xf>
    <xf numFmtId="0" fontId="0" fillId="12" borderId="29" xfId="0" applyFill="1" applyBorder="1" applyProtection="1">
      <alignment vertical="center"/>
    </xf>
    <xf numFmtId="0" fontId="0" fillId="12" borderId="27" xfId="0" applyFill="1" applyBorder="1" applyProtection="1">
      <alignment vertical="center"/>
    </xf>
    <xf numFmtId="0" fontId="5" fillId="19" borderId="59" xfId="0" applyFont="1" applyFill="1" applyBorder="1" applyAlignment="1">
      <alignment horizontal="center" vertical="center"/>
    </xf>
    <xf numFmtId="0" fontId="0" fillId="17" borderId="60" xfId="0" applyFill="1" applyBorder="1">
      <alignment vertical="center"/>
    </xf>
    <xf numFmtId="0" fontId="0" fillId="17" borderId="50" xfId="0" applyFill="1" applyBorder="1">
      <alignment vertical="center"/>
    </xf>
    <xf numFmtId="0" fontId="0" fillId="17" borderId="61" xfId="0" applyFill="1" applyBorder="1">
      <alignment vertical="center"/>
    </xf>
    <xf numFmtId="0" fontId="16" fillId="0" borderId="2" xfId="0" applyFont="1" applyFill="1" applyBorder="1" applyAlignment="1">
      <alignment vertical="center"/>
    </xf>
    <xf numFmtId="0" fontId="0" fillId="7" borderId="2" xfId="0" applyFill="1" applyBorder="1" applyAlignment="1">
      <alignment horizontal="center" vertical="center"/>
    </xf>
    <xf numFmtId="0" fontId="0" fillId="18" borderId="62" xfId="0" applyFill="1" applyBorder="1" applyAlignment="1">
      <alignment vertical="center" textRotation="90"/>
    </xf>
    <xf numFmtId="0" fontId="0" fillId="15" borderId="62" xfId="0" applyFill="1" applyBorder="1" applyAlignment="1">
      <alignment vertical="center" textRotation="90"/>
    </xf>
    <xf numFmtId="0" fontId="0" fillId="0" borderId="14" xfId="0" applyFill="1" applyBorder="1" applyAlignment="1">
      <alignment horizontal="center" vertical="center"/>
    </xf>
    <xf numFmtId="0" fontId="1" fillId="19" borderId="65" xfId="0" applyFont="1" applyFill="1" applyBorder="1">
      <alignment vertical="center"/>
    </xf>
    <xf numFmtId="0" fontId="1" fillId="19" borderId="25" xfId="0" applyFont="1" applyFill="1" applyBorder="1">
      <alignment vertical="center"/>
    </xf>
    <xf numFmtId="0" fontId="0" fillId="0" borderId="2" xfId="0" applyFill="1" applyBorder="1" applyAlignment="1" applyProtection="1">
      <alignment horizontal="center" vertical="center"/>
    </xf>
    <xf numFmtId="0" fontId="0" fillId="7" borderId="7" xfId="0" applyFill="1" applyBorder="1" applyAlignment="1">
      <alignment horizontal="left" vertical="center"/>
    </xf>
    <xf numFmtId="0" fontId="0" fillId="7" borderId="63" xfId="0" applyFill="1" applyBorder="1" applyAlignment="1">
      <alignment vertical="top"/>
    </xf>
    <xf numFmtId="0" fontId="0" fillId="7" borderId="14" xfId="0" applyFill="1" applyBorder="1" applyAlignment="1">
      <alignment vertical="top"/>
    </xf>
    <xf numFmtId="0" fontId="0" fillId="7" borderId="62" xfId="0" applyFill="1" applyBorder="1" applyAlignment="1">
      <alignment vertical="top"/>
    </xf>
    <xf numFmtId="0" fontId="0" fillId="0" borderId="2" xfId="0" quotePrefix="1" applyBorder="1">
      <alignment vertical="center"/>
    </xf>
    <xf numFmtId="0" fontId="0" fillId="15" borderId="7" xfId="0" applyFill="1" applyBorder="1">
      <alignment vertical="center"/>
    </xf>
    <xf numFmtId="0" fontId="1" fillId="19" borderId="3" xfId="0" applyFont="1" applyFill="1" applyBorder="1">
      <alignment vertical="center"/>
    </xf>
    <xf numFmtId="0" fontId="0" fillId="12" borderId="26" xfId="0" applyFill="1" applyBorder="1" applyAlignment="1">
      <alignment horizontal="left" vertical="center"/>
    </xf>
    <xf numFmtId="0" fontId="0" fillId="12" borderId="9" xfId="0" applyFill="1" applyBorder="1" applyAlignment="1">
      <alignment horizontal="left" vertical="center"/>
    </xf>
    <xf numFmtId="0" fontId="0" fillId="12" borderId="31" xfId="0" applyFill="1" applyBorder="1" applyAlignment="1">
      <alignment horizontal="left" vertical="center"/>
    </xf>
    <xf numFmtId="0" fontId="0" fillId="12" borderId="2" xfId="0" applyFill="1" applyBorder="1" applyAlignment="1">
      <alignment horizontal="left" vertical="center"/>
    </xf>
    <xf numFmtId="0" fontId="5" fillId="19" borderId="59" xfId="0" applyFont="1" applyFill="1" applyBorder="1">
      <alignment vertical="center"/>
    </xf>
    <xf numFmtId="0" fontId="0" fillId="7" borderId="60" xfId="0" applyFill="1" applyBorder="1">
      <alignment vertical="center"/>
    </xf>
    <xf numFmtId="0" fontId="0" fillId="7" borderId="50" xfId="0" applyFill="1" applyBorder="1">
      <alignment vertical="center"/>
    </xf>
    <xf numFmtId="0" fontId="0" fillId="7" borderId="61" xfId="0" applyFill="1" applyBorder="1">
      <alignment vertical="center"/>
    </xf>
    <xf numFmtId="0" fontId="10" fillId="0" borderId="0" xfId="0" applyFont="1">
      <alignment vertical="center"/>
    </xf>
    <xf numFmtId="0" fontId="10" fillId="0" borderId="0" xfId="0" applyFont="1" applyBorder="1">
      <alignment vertical="center"/>
    </xf>
    <xf numFmtId="0" fontId="0" fillId="0" borderId="70" xfId="0" applyBorder="1">
      <alignment vertical="center"/>
    </xf>
    <xf numFmtId="0" fontId="0" fillId="0" borderId="13" xfId="0" applyBorder="1" applyAlignment="1">
      <alignment horizontal="left" vertical="center"/>
    </xf>
    <xf numFmtId="0" fontId="0" fillId="0" borderId="6" xfId="0" applyBorder="1" applyAlignment="1">
      <alignment horizontal="left" vertical="center"/>
    </xf>
    <xf numFmtId="0" fontId="0" fillId="0" borderId="0" xfId="0" applyAlignment="1">
      <alignment horizontal="left" vertical="center"/>
    </xf>
    <xf numFmtId="0" fontId="0" fillId="21" borderId="37" xfId="0" applyFill="1" applyBorder="1" applyAlignment="1">
      <alignment horizontal="left" vertical="center"/>
    </xf>
    <xf numFmtId="0" fontId="0" fillId="0" borderId="8" xfId="0" applyBorder="1" applyAlignment="1">
      <alignment horizontal="left" vertical="center"/>
    </xf>
    <xf numFmtId="0" fontId="0" fillId="0" borderId="15" xfId="0" applyBorder="1" applyAlignment="1">
      <alignment vertical="center" wrapText="1"/>
    </xf>
    <xf numFmtId="0" fontId="0" fillId="18" borderId="31" xfId="0" quotePrefix="1" applyFill="1" applyBorder="1">
      <alignment vertical="center"/>
    </xf>
    <xf numFmtId="0" fontId="0" fillId="18" borderId="31" xfId="0" applyFill="1" applyBorder="1" applyAlignment="1">
      <alignment vertical="center" textRotation="255"/>
    </xf>
    <xf numFmtId="0" fontId="0" fillId="18" borderId="32" xfId="0" applyFill="1" applyBorder="1" applyAlignment="1">
      <alignment vertical="center" wrapText="1"/>
    </xf>
    <xf numFmtId="0" fontId="0" fillId="15" borderId="25" xfId="0" applyFill="1" applyBorder="1" applyAlignment="1">
      <alignment horizontal="center" vertical="center"/>
    </xf>
    <xf numFmtId="0" fontId="0" fillId="15" borderId="31" xfId="0" applyFill="1" applyBorder="1" applyAlignment="1">
      <alignment horizontal="center" vertical="center"/>
    </xf>
    <xf numFmtId="0" fontId="0" fillId="15" borderId="26" xfId="0" applyFill="1" applyBorder="1" applyAlignment="1">
      <alignment horizontal="center" vertical="center"/>
    </xf>
    <xf numFmtId="0" fontId="0" fillId="12" borderId="74" xfId="0" applyFill="1" applyBorder="1">
      <alignment vertical="center"/>
    </xf>
    <xf numFmtId="0" fontId="0" fillId="13" borderId="74" xfId="0" applyFill="1" applyBorder="1">
      <alignment vertical="center"/>
    </xf>
    <xf numFmtId="0" fontId="0" fillId="13" borderId="44" xfId="0" applyFill="1" applyBorder="1">
      <alignment vertical="center"/>
    </xf>
    <xf numFmtId="0" fontId="0" fillId="12" borderId="44" xfId="0" applyFill="1" applyBorder="1">
      <alignment vertical="center"/>
    </xf>
    <xf numFmtId="0" fontId="1" fillId="19" borderId="13" xfId="0" applyFont="1" applyFill="1" applyBorder="1">
      <alignment vertical="center"/>
    </xf>
    <xf numFmtId="0" fontId="19" fillId="15" borderId="14" xfId="0" applyFont="1" applyFill="1" applyBorder="1">
      <alignment vertical="center"/>
    </xf>
    <xf numFmtId="0" fontId="19" fillId="15" borderId="15" xfId="0" applyFont="1" applyFill="1" applyBorder="1">
      <alignment vertical="center"/>
    </xf>
    <xf numFmtId="0" fontId="5" fillId="19" borderId="6" xfId="0" applyFont="1" applyFill="1" applyBorder="1">
      <alignment vertical="center"/>
    </xf>
    <xf numFmtId="0" fontId="5" fillId="19" borderId="8" xfId="0" applyFont="1" applyFill="1" applyBorder="1">
      <alignment vertical="center"/>
    </xf>
    <xf numFmtId="0" fontId="0" fillId="12" borderId="7" xfId="0" applyFill="1" applyBorder="1" applyAlignment="1">
      <alignment horizontal="left" vertical="center"/>
    </xf>
    <xf numFmtId="0" fontId="0" fillId="12" borderId="10" xfId="0" applyFill="1" applyBorder="1" applyAlignment="1">
      <alignment horizontal="left" vertical="center"/>
    </xf>
    <xf numFmtId="0" fontId="19" fillId="15" borderId="2" xfId="0" applyFont="1" applyFill="1" applyBorder="1">
      <alignment vertical="center"/>
    </xf>
    <xf numFmtId="0" fontId="5" fillId="19" borderId="4" xfId="0" applyFont="1" applyFill="1" applyBorder="1">
      <alignment vertical="center"/>
    </xf>
    <xf numFmtId="0" fontId="5" fillId="19" borderId="5" xfId="0" applyFont="1" applyFill="1" applyBorder="1">
      <alignment vertical="center"/>
    </xf>
    <xf numFmtId="0" fontId="1" fillId="19" borderId="6" xfId="0" applyFont="1" applyFill="1" applyBorder="1">
      <alignment vertical="center"/>
    </xf>
    <xf numFmtId="0" fontId="19" fillId="15" borderId="7" xfId="0" applyFont="1" applyFill="1" applyBorder="1">
      <alignment vertical="center"/>
    </xf>
    <xf numFmtId="0" fontId="5" fillId="19" borderId="76" xfId="0" applyFont="1" applyFill="1" applyBorder="1">
      <alignment vertical="center"/>
    </xf>
    <xf numFmtId="0" fontId="0" fillId="15" borderId="27" xfId="0" applyFill="1" applyBorder="1">
      <alignment vertical="center"/>
    </xf>
    <xf numFmtId="0" fontId="0" fillId="0" borderId="7" xfId="0" applyFill="1" applyBorder="1">
      <alignment vertical="center"/>
    </xf>
    <xf numFmtId="14" fontId="0" fillId="0" borderId="15" xfId="0" applyNumberFormat="1" applyBorder="1">
      <alignment vertical="center"/>
    </xf>
    <xf numFmtId="0" fontId="0" fillId="12" borderId="7" xfId="0" applyFill="1" applyBorder="1" applyAlignment="1">
      <alignment vertical="center" wrapText="1"/>
    </xf>
    <xf numFmtId="0" fontId="0" fillId="0" borderId="2" xfId="0" applyBorder="1" applyAlignment="1">
      <alignment horizontal="center" vertical="center"/>
    </xf>
    <xf numFmtId="0" fontId="1" fillId="19" borderId="66" xfId="0" applyFont="1" applyFill="1" applyBorder="1">
      <alignment vertical="center"/>
    </xf>
    <xf numFmtId="0" fontId="1" fillId="19" borderId="11" xfId="0" applyFont="1" applyFill="1" applyBorder="1">
      <alignment vertical="center"/>
    </xf>
    <xf numFmtId="0" fontId="0" fillId="12" borderId="2" xfId="0" applyFill="1" applyBorder="1" applyAlignment="1" applyProtection="1">
      <alignment horizontal="left" vertical="center"/>
    </xf>
    <xf numFmtId="0" fontId="0" fillId="15" borderId="7" xfId="0" applyFill="1" applyBorder="1" applyAlignment="1">
      <alignment vertical="center" wrapText="1"/>
    </xf>
    <xf numFmtId="0" fontId="0" fillId="15" borderId="17" xfId="0" quotePrefix="1" applyFill="1" applyBorder="1" applyAlignment="1">
      <alignment vertical="center" wrapText="1"/>
    </xf>
    <xf numFmtId="0" fontId="0" fillId="15" borderId="15" xfId="0" applyFill="1" applyBorder="1" applyAlignment="1">
      <alignment horizontal="center" vertical="center"/>
    </xf>
    <xf numFmtId="0" fontId="0" fillId="15" borderId="7" xfId="0" applyFill="1" applyBorder="1" applyAlignment="1">
      <alignment horizontal="center" vertical="center"/>
    </xf>
    <xf numFmtId="0" fontId="0" fillId="15" borderId="10" xfId="0" applyFill="1" applyBorder="1" applyAlignment="1">
      <alignment horizontal="center" vertical="center"/>
    </xf>
    <xf numFmtId="0" fontId="0" fillId="12" borderId="31" xfId="0" applyFill="1" applyBorder="1" applyAlignment="1" applyProtection="1">
      <alignment horizontal="left" vertical="center"/>
    </xf>
    <xf numFmtId="0" fontId="0" fillId="0" borderId="2" xfId="0" applyFill="1" applyBorder="1">
      <alignment vertical="center"/>
    </xf>
    <xf numFmtId="0" fontId="0" fillId="0" borderId="9" xfId="0" applyFill="1" applyBorder="1" applyAlignment="1">
      <alignment horizontal="center" vertical="center"/>
    </xf>
    <xf numFmtId="0" fontId="0" fillId="0" borderId="16" xfId="0" applyFill="1" applyBorder="1" applyAlignment="1">
      <alignment vertical="center" wrapText="1"/>
    </xf>
    <xf numFmtId="0" fontId="0" fillId="15" borderId="31" xfId="0" applyFill="1" applyBorder="1">
      <alignment vertical="center"/>
    </xf>
    <xf numFmtId="0" fontId="0" fillId="20" borderId="31" xfId="0" applyFill="1" applyBorder="1">
      <alignment vertical="center"/>
    </xf>
    <xf numFmtId="0" fontId="0" fillId="15" borderId="32" xfId="0" applyFill="1" applyBorder="1" applyAlignment="1">
      <alignment vertical="center" wrapText="1"/>
    </xf>
    <xf numFmtId="0" fontId="0" fillId="12" borderId="7" xfId="0" applyFill="1" applyBorder="1" applyProtection="1">
      <alignment vertical="center"/>
    </xf>
    <xf numFmtId="0" fontId="0" fillId="0" borderId="2" xfId="0" applyBorder="1" applyAlignment="1">
      <alignment horizontal="center" vertical="center"/>
    </xf>
    <xf numFmtId="14" fontId="0" fillId="0" borderId="14" xfId="0" applyNumberFormat="1" applyBorder="1">
      <alignment vertical="center"/>
    </xf>
    <xf numFmtId="14" fontId="0" fillId="0" borderId="7" xfId="0" applyNumberFormat="1" applyBorder="1">
      <alignment vertical="center"/>
    </xf>
    <xf numFmtId="0" fontId="0" fillId="23" borderId="2" xfId="0" applyFill="1" applyBorder="1">
      <alignment vertical="center"/>
    </xf>
    <xf numFmtId="0" fontId="16" fillId="7" borderId="62" xfId="0" applyFont="1" applyFill="1" applyBorder="1" applyAlignment="1">
      <alignment vertical="center"/>
    </xf>
    <xf numFmtId="0" fontId="21" fillId="0" borderId="0" xfId="0" applyFont="1">
      <alignment vertical="center"/>
    </xf>
    <xf numFmtId="0" fontId="0" fillId="0" borderId="14" xfId="0" applyFill="1" applyBorder="1" applyAlignment="1">
      <alignment vertical="center" wrapText="1"/>
    </xf>
    <xf numFmtId="0" fontId="0" fillId="0" borderId="6" xfId="0" applyBorder="1">
      <alignment vertical="center"/>
    </xf>
    <xf numFmtId="0" fontId="0" fillId="0" borderId="12" xfId="0" applyBorder="1">
      <alignment vertical="center"/>
    </xf>
    <xf numFmtId="0" fontId="0" fillId="0" borderId="7" xfId="0" applyBorder="1" applyAlignment="1">
      <alignment vertical="center" wrapText="1"/>
    </xf>
    <xf numFmtId="0" fontId="0" fillId="17" borderId="41" xfId="0" applyFill="1" applyBorder="1">
      <alignment vertical="center"/>
    </xf>
    <xf numFmtId="0" fontId="0" fillId="17" borderId="42" xfId="0" applyFill="1" applyBorder="1">
      <alignment vertical="center"/>
    </xf>
    <xf numFmtId="0" fontId="0" fillId="17" borderId="52" xfId="0" applyFill="1" applyBorder="1">
      <alignment vertical="center"/>
    </xf>
    <xf numFmtId="0" fontId="0" fillId="0" borderId="11" xfId="0" applyBorder="1">
      <alignment vertical="center"/>
    </xf>
    <xf numFmtId="0" fontId="3" fillId="0" borderId="15" xfId="1" applyBorder="1">
      <alignment vertical="center"/>
    </xf>
    <xf numFmtId="0" fontId="0" fillId="0" borderId="13" xfId="0" applyBorder="1" applyAlignment="1">
      <alignment horizontal="left" vertical="center"/>
    </xf>
    <xf numFmtId="0" fontId="0" fillId="0" borderId="71" xfId="0" applyBorder="1" applyAlignment="1">
      <alignment horizontal="left" vertical="center"/>
    </xf>
    <xf numFmtId="0" fontId="3" fillId="0" borderId="72" xfId="1" applyBorder="1">
      <alignment vertical="center"/>
    </xf>
    <xf numFmtId="0" fontId="0" fillId="0" borderId="0" xfId="0" applyBorder="1" applyAlignment="1">
      <alignment vertical="center" wrapText="1"/>
    </xf>
    <xf numFmtId="0" fontId="0" fillId="0" borderId="2" xfId="0" applyBorder="1" applyAlignment="1">
      <alignment vertical="top" wrapText="1"/>
    </xf>
    <xf numFmtId="14" fontId="0" fillId="0" borderId="2" xfId="0" applyNumberFormat="1" applyBorder="1">
      <alignment vertical="center"/>
    </xf>
    <xf numFmtId="0" fontId="1" fillId="19" borderId="66" xfId="0" applyFont="1" applyFill="1" applyBorder="1">
      <alignment vertical="center"/>
    </xf>
    <xf numFmtId="0" fontId="1" fillId="19" borderId="11" xfId="0" applyFont="1" applyFill="1" applyBorder="1">
      <alignment vertical="center"/>
    </xf>
    <xf numFmtId="0" fontId="18" fillId="12" borderId="7" xfId="0" applyFont="1" applyFill="1" applyBorder="1" applyProtection="1">
      <alignment vertical="center"/>
    </xf>
    <xf numFmtId="0" fontId="11" fillId="12" borderId="6" xfId="0" applyFont="1" applyFill="1" applyBorder="1" applyProtection="1">
      <alignment vertical="center"/>
    </xf>
    <xf numFmtId="0" fontId="11" fillId="0" borderId="6" xfId="0" applyFont="1" applyBorder="1">
      <alignment vertical="center"/>
    </xf>
    <xf numFmtId="0" fontId="18" fillId="0" borderId="2" xfId="0" applyFont="1" applyBorder="1" applyAlignment="1">
      <alignment vertical="center" wrapText="1"/>
    </xf>
    <xf numFmtId="0" fontId="18" fillId="0" borderId="14" xfId="0" applyFont="1" applyBorder="1">
      <alignment vertical="center"/>
    </xf>
    <xf numFmtId="0" fontId="18" fillId="0" borderId="2" xfId="0" applyFont="1" applyBorder="1">
      <alignment vertical="center"/>
    </xf>
    <xf numFmtId="14" fontId="18" fillId="0" borderId="14" xfId="0" applyNumberFormat="1" applyFont="1" applyBorder="1">
      <alignment vertical="center"/>
    </xf>
    <xf numFmtId="0" fontId="18" fillId="12" borderId="2" xfId="0" applyFont="1" applyFill="1" applyBorder="1" applyProtection="1">
      <alignment vertical="center"/>
    </xf>
    <xf numFmtId="0" fontId="18" fillId="12" borderId="29" xfId="0" applyFont="1" applyFill="1" applyBorder="1" applyProtection="1">
      <alignment vertical="center"/>
    </xf>
    <xf numFmtId="0" fontId="18" fillId="12" borderId="27" xfId="0" applyFont="1" applyFill="1" applyBorder="1" applyProtection="1">
      <alignment vertical="center"/>
    </xf>
    <xf numFmtId="0" fontId="23" fillId="0" borderId="0" xfId="0" applyFont="1">
      <alignment vertical="center"/>
    </xf>
    <xf numFmtId="0" fontId="18" fillId="0" borderId="0" xfId="0" applyFont="1">
      <alignment vertical="center"/>
    </xf>
    <xf numFmtId="0" fontId="24" fillId="12" borderId="43" xfId="0" applyFont="1" applyFill="1" applyBorder="1">
      <alignment vertical="center"/>
    </xf>
    <xf numFmtId="0" fontId="18" fillId="12" borderId="74" xfId="0" applyFont="1" applyFill="1" applyBorder="1">
      <alignment vertical="center"/>
    </xf>
    <xf numFmtId="0" fontId="18" fillId="12" borderId="44" xfId="0" applyFont="1" applyFill="1" applyBorder="1">
      <alignment vertical="center"/>
    </xf>
    <xf numFmtId="0" fontId="18" fillId="13" borderId="74" xfId="0" applyFont="1" applyFill="1" applyBorder="1">
      <alignment vertical="center"/>
    </xf>
    <xf numFmtId="0" fontId="18" fillId="13" borderId="44" xfId="0" applyFont="1" applyFill="1" applyBorder="1">
      <alignment vertical="center"/>
    </xf>
    <xf numFmtId="0" fontId="18" fillId="12" borderId="47" xfId="0" applyFont="1" applyFill="1" applyBorder="1">
      <alignment vertical="center"/>
    </xf>
    <xf numFmtId="0" fontId="18" fillId="12" borderId="23" xfId="0" applyFont="1" applyFill="1" applyBorder="1">
      <alignment vertical="center"/>
    </xf>
    <xf numFmtId="0" fontId="18" fillId="12" borderId="22" xfId="0" applyFont="1" applyFill="1" applyBorder="1">
      <alignment vertical="center"/>
    </xf>
    <xf numFmtId="0" fontId="18" fillId="13" borderId="36" xfId="0" applyFont="1" applyFill="1" applyBorder="1">
      <alignment vertical="center"/>
    </xf>
    <xf numFmtId="0" fontId="18" fillId="13" borderId="23" xfId="0" applyFont="1" applyFill="1" applyBorder="1">
      <alignment vertical="center"/>
    </xf>
    <xf numFmtId="0" fontId="18" fillId="13" borderId="18" xfId="0" applyFont="1" applyFill="1" applyBorder="1">
      <alignment vertical="center"/>
    </xf>
    <xf numFmtId="0" fontId="18" fillId="12" borderId="19" xfId="0" applyFont="1" applyFill="1" applyBorder="1">
      <alignment vertical="center"/>
    </xf>
    <xf numFmtId="0" fontId="18" fillId="0" borderId="27" xfId="0" applyFont="1" applyBorder="1">
      <alignment vertical="center"/>
    </xf>
    <xf numFmtId="0" fontId="18" fillId="0" borderId="33" xfId="0" applyFont="1" applyBorder="1">
      <alignment vertical="center"/>
    </xf>
    <xf numFmtId="0" fontId="18" fillId="15" borderId="31" xfId="0" applyFont="1" applyFill="1" applyBorder="1">
      <alignment vertical="center"/>
    </xf>
    <xf numFmtId="0" fontId="18" fillId="15" borderId="2" xfId="0" applyFont="1" applyFill="1" applyBorder="1">
      <alignment vertical="center"/>
    </xf>
    <xf numFmtId="0" fontId="18" fillId="15" borderId="7" xfId="0" applyFont="1" applyFill="1" applyBorder="1">
      <alignment vertical="center"/>
    </xf>
    <xf numFmtId="0" fontId="18" fillId="18" borderId="31" xfId="0" quotePrefix="1" applyFont="1" applyFill="1" applyBorder="1">
      <alignment vertical="center"/>
    </xf>
    <xf numFmtId="0" fontId="18" fillId="0" borderId="2" xfId="0" quotePrefix="1" applyFont="1" applyBorder="1">
      <alignment vertical="center"/>
    </xf>
    <xf numFmtId="0" fontId="18" fillId="20" borderId="31" xfId="0" applyFont="1" applyFill="1" applyBorder="1">
      <alignment vertical="center"/>
    </xf>
    <xf numFmtId="0" fontId="18" fillId="20" borderId="2" xfId="0" applyFont="1" applyFill="1" applyBorder="1">
      <alignment vertical="center"/>
    </xf>
    <xf numFmtId="0" fontId="18" fillId="23" borderId="2" xfId="0" applyFont="1" applyFill="1" applyBorder="1">
      <alignment vertical="center"/>
    </xf>
    <xf numFmtId="0" fontId="18" fillId="15" borderId="7" xfId="0" applyFont="1" applyFill="1" applyBorder="1" applyAlignment="1">
      <alignment vertical="center" wrapText="1"/>
    </xf>
    <xf numFmtId="0" fontId="18" fillId="12" borderId="19" xfId="0" applyFont="1" applyFill="1" applyBorder="1" applyAlignment="1">
      <alignment vertical="center" wrapText="1"/>
    </xf>
    <xf numFmtId="0" fontId="18" fillId="14" borderId="33" xfId="0" applyFont="1" applyFill="1" applyBorder="1">
      <alignment vertical="center"/>
    </xf>
    <xf numFmtId="0" fontId="18" fillId="18" borderId="31" xfId="0" applyFont="1" applyFill="1" applyBorder="1" applyAlignment="1">
      <alignment vertical="center" textRotation="255"/>
    </xf>
    <xf numFmtId="0" fontId="18" fillId="12" borderId="48" xfId="0" applyFont="1" applyFill="1" applyBorder="1">
      <alignment vertical="center"/>
    </xf>
    <xf numFmtId="0" fontId="18" fillId="18" borderId="32" xfId="0" applyFont="1" applyFill="1" applyBorder="1" applyAlignment="1">
      <alignment vertical="center" wrapText="1"/>
    </xf>
    <xf numFmtId="0" fontId="18" fillId="0" borderId="16" xfId="0" applyFont="1" applyBorder="1" applyAlignment="1">
      <alignment vertical="center" wrapText="1"/>
    </xf>
    <xf numFmtId="0" fontId="18" fillId="0" borderId="28" xfId="0" applyFont="1" applyBorder="1" applyAlignment="1">
      <alignment vertical="center" wrapText="1"/>
    </xf>
    <xf numFmtId="0" fontId="18" fillId="0" borderId="34" xfId="0" applyFont="1" applyBorder="1" applyAlignment="1">
      <alignment vertical="center" wrapText="1"/>
    </xf>
    <xf numFmtId="0" fontId="18" fillId="15" borderId="32" xfId="0" applyFont="1" applyFill="1" applyBorder="1" applyAlignment="1">
      <alignment vertical="center" wrapText="1"/>
    </xf>
    <xf numFmtId="0" fontId="18" fillId="15" borderId="16" xfId="0" applyFont="1" applyFill="1" applyBorder="1" applyAlignment="1">
      <alignment vertical="center" wrapText="1"/>
    </xf>
    <xf numFmtId="0" fontId="18" fillId="15" borderId="17" xfId="0" quotePrefix="1" applyFont="1" applyFill="1" applyBorder="1" applyAlignment="1">
      <alignment vertical="center" wrapText="1"/>
    </xf>
    <xf numFmtId="0" fontId="18" fillId="0" borderId="49" xfId="0" applyFont="1" applyBorder="1">
      <alignment vertical="center"/>
    </xf>
    <xf numFmtId="0" fontId="18" fillId="15" borderId="25" xfId="0" applyFont="1" applyFill="1" applyBorder="1" applyAlignment="1">
      <alignment horizontal="center" vertical="center"/>
    </xf>
    <xf numFmtId="0" fontId="18" fillId="0" borderId="14" xfId="0" applyFont="1" applyBorder="1" applyAlignment="1">
      <alignment horizontal="center" vertical="center"/>
    </xf>
    <xf numFmtId="0" fontId="18" fillId="0" borderId="24" xfId="0" applyFont="1" applyBorder="1" applyAlignment="1">
      <alignment horizontal="center" vertical="center"/>
    </xf>
    <xf numFmtId="0" fontId="18" fillId="15" borderId="14" xfId="0" applyFont="1" applyFill="1" applyBorder="1" applyAlignment="1">
      <alignment horizontal="center" vertical="center"/>
    </xf>
    <xf numFmtId="0" fontId="18" fillId="15" borderId="15" xfId="0" applyFont="1" applyFill="1" applyBorder="1" applyAlignment="1">
      <alignment horizontal="center" vertical="center"/>
    </xf>
    <xf numFmtId="0" fontId="18" fillId="0" borderId="19" xfId="0" applyFont="1" applyBorder="1">
      <alignment vertical="center"/>
    </xf>
    <xf numFmtId="0" fontId="18" fillId="15" borderId="31" xfId="0" applyFont="1" applyFill="1" applyBorder="1" applyAlignment="1">
      <alignment horizontal="center" vertical="center"/>
    </xf>
    <xf numFmtId="0" fontId="18" fillId="0" borderId="2" xfId="0" applyFont="1" applyBorder="1" applyAlignment="1">
      <alignment horizontal="center" vertical="center"/>
    </xf>
    <xf numFmtId="0" fontId="18" fillId="0" borderId="33" xfId="0" applyFont="1" applyBorder="1" applyAlignment="1">
      <alignment horizontal="center" vertical="center"/>
    </xf>
    <xf numFmtId="0" fontId="18" fillId="15" borderId="2" xfId="0" applyFont="1" applyFill="1" applyBorder="1" applyAlignment="1">
      <alignment horizontal="center" vertical="center"/>
    </xf>
    <xf numFmtId="0" fontId="18" fillId="15" borderId="7" xfId="0" applyFont="1" applyFill="1" applyBorder="1" applyAlignment="1">
      <alignment horizontal="center" vertical="center"/>
    </xf>
    <xf numFmtId="0" fontId="18" fillId="0" borderId="20" xfId="0" applyFont="1" applyBorder="1">
      <alignment vertical="center"/>
    </xf>
    <xf numFmtId="0" fontId="18" fillId="15" borderId="26" xfId="0" applyFont="1" applyFill="1" applyBorder="1" applyAlignment="1">
      <alignment horizontal="center" vertical="center"/>
    </xf>
    <xf numFmtId="0" fontId="18" fillId="0" borderId="9" xfId="0" applyFont="1" applyBorder="1" applyAlignment="1">
      <alignment horizontal="center" vertical="center"/>
    </xf>
    <xf numFmtId="0" fontId="18" fillId="0" borderId="35" xfId="0" applyFont="1" applyBorder="1" applyAlignment="1">
      <alignment horizontal="center" vertical="center" wrapText="1"/>
    </xf>
    <xf numFmtId="0" fontId="18" fillId="15" borderId="9" xfId="0" applyFont="1" applyFill="1" applyBorder="1" applyAlignment="1">
      <alignment horizontal="center" vertical="center"/>
    </xf>
    <xf numFmtId="0" fontId="18" fillId="15" borderId="10" xfId="0" applyFont="1" applyFill="1" applyBorder="1" applyAlignment="1">
      <alignment horizontal="center" vertical="center"/>
    </xf>
    <xf numFmtId="0" fontId="17" fillId="12" borderId="6" xfId="0" applyFont="1" applyFill="1" applyBorder="1" applyProtection="1">
      <alignment vertical="center"/>
    </xf>
    <xf numFmtId="0" fontId="17" fillId="12" borderId="7" xfId="0" applyFont="1" applyFill="1" applyBorder="1" applyProtection="1">
      <alignment vertical="center"/>
    </xf>
    <xf numFmtId="0" fontId="25" fillId="0" borderId="0" xfId="0" applyFont="1">
      <alignment vertical="center"/>
    </xf>
    <xf numFmtId="0" fontId="11" fillId="0" borderId="2" xfId="0" applyFont="1" applyBorder="1" applyAlignment="1">
      <alignment horizontal="center" vertical="center"/>
    </xf>
    <xf numFmtId="0" fontId="11" fillId="12" borderId="14" xfId="0" applyFont="1" applyFill="1" applyBorder="1">
      <alignment vertical="center"/>
    </xf>
    <xf numFmtId="0" fontId="18" fillId="12" borderId="14" xfId="0" applyFont="1" applyFill="1" applyBorder="1">
      <alignment vertical="center"/>
    </xf>
    <xf numFmtId="0" fontId="11" fillId="22" borderId="27" xfId="0" applyFont="1" applyFill="1" applyBorder="1" applyAlignment="1" applyProtection="1">
      <alignment vertical="center" textRotation="90"/>
    </xf>
    <xf numFmtId="0" fontId="25" fillId="0" borderId="33" xfId="0" applyFont="1" applyBorder="1">
      <alignment vertical="center"/>
    </xf>
    <xf numFmtId="0" fontId="26" fillId="0" borderId="0" xfId="3" applyFont="1">
      <alignment vertical="center"/>
    </xf>
    <xf numFmtId="0" fontId="27" fillId="0" borderId="0" xfId="3" applyFont="1" applyAlignment="1">
      <alignment horizontal="center" vertical="center"/>
    </xf>
    <xf numFmtId="0" fontId="28" fillId="0" borderId="0" xfId="3" applyFont="1" applyAlignment="1">
      <alignment horizontal="center" vertical="center"/>
    </xf>
    <xf numFmtId="0" fontId="21" fillId="0" borderId="0" xfId="3" applyFont="1">
      <alignment vertical="center"/>
    </xf>
    <xf numFmtId="0" fontId="26" fillId="0" borderId="0" xfId="3" applyFont="1" applyAlignment="1">
      <alignment horizontal="center" vertical="center"/>
    </xf>
    <xf numFmtId="0" fontId="29" fillId="0" borderId="0" xfId="3" applyFont="1" applyAlignment="1">
      <alignment horizontal="center" vertical="center"/>
    </xf>
    <xf numFmtId="0" fontId="26" fillId="0" borderId="64" xfId="3" applyFont="1" applyBorder="1">
      <alignment vertical="center"/>
    </xf>
    <xf numFmtId="0" fontId="26" fillId="0" borderId="66" xfId="3" applyFont="1" applyBorder="1">
      <alignment vertical="center"/>
    </xf>
    <xf numFmtId="0" fontId="26" fillId="0" borderId="65" xfId="3" applyFont="1" applyBorder="1">
      <alignment vertical="center"/>
    </xf>
    <xf numFmtId="0" fontId="26" fillId="0" borderId="77" xfId="3" applyFont="1" applyBorder="1">
      <alignment vertical="center"/>
    </xf>
    <xf numFmtId="0" fontId="26" fillId="0" borderId="78" xfId="3" applyFont="1" applyBorder="1">
      <alignment vertical="center"/>
    </xf>
    <xf numFmtId="0" fontId="26" fillId="0" borderId="78" xfId="3" applyFont="1" applyBorder="1" applyAlignment="1">
      <alignment horizontal="center" vertical="center"/>
    </xf>
    <xf numFmtId="0" fontId="26" fillId="0" borderId="77" xfId="3" applyFont="1" applyBorder="1" applyAlignment="1">
      <alignment horizontal="center" vertical="center"/>
    </xf>
    <xf numFmtId="0" fontId="26" fillId="0" borderId="29" xfId="3" applyFont="1" applyBorder="1">
      <alignment vertical="center"/>
    </xf>
    <xf numFmtId="0" fontId="26" fillId="0" borderId="11" xfId="3" applyFont="1" applyBorder="1">
      <alignment vertical="center"/>
    </xf>
    <xf numFmtId="0" fontId="26" fillId="0" borderId="25" xfId="3" applyFont="1" applyBorder="1">
      <alignment vertical="center"/>
    </xf>
    <xf numFmtId="0" fontId="11" fillId="0" borderId="2" xfId="0" applyFont="1" applyBorder="1">
      <alignment vertical="center"/>
    </xf>
    <xf numFmtId="14" fontId="18" fillId="0" borderId="7" xfId="0" applyNumberFormat="1" applyFont="1" applyBorder="1">
      <alignment vertical="center"/>
    </xf>
    <xf numFmtId="0" fontId="0" fillId="11" borderId="0" xfId="0" applyFill="1" applyBorder="1" applyAlignment="1"/>
    <xf numFmtId="0" fontId="0" fillId="24" borderId="16" xfId="0" applyFill="1" applyBorder="1">
      <alignment vertical="center"/>
    </xf>
    <xf numFmtId="0" fontId="0" fillId="24" borderId="17" xfId="0" applyFill="1" applyBorder="1">
      <alignment vertical="center"/>
    </xf>
    <xf numFmtId="0" fontId="26" fillId="0" borderId="27" xfId="3" applyFont="1" applyBorder="1" applyAlignment="1">
      <alignment horizontal="center" vertical="center"/>
    </xf>
    <xf numFmtId="0" fontId="26" fillId="0" borderId="12" xfId="3" applyFont="1" applyBorder="1" applyAlignment="1">
      <alignment horizontal="center" vertical="center"/>
    </xf>
    <xf numFmtId="0" fontId="26" fillId="0" borderId="31" xfId="3" applyFont="1" applyBorder="1" applyAlignment="1">
      <alignment horizontal="center" vertical="center"/>
    </xf>
    <xf numFmtId="0" fontId="0" fillId="11" borderId="11" xfId="0" applyFill="1" applyBorder="1" applyAlignment="1"/>
    <xf numFmtId="0" fontId="3" fillId="11" borderId="12" xfId="1" applyFill="1" applyBorder="1" applyAlignment="1"/>
    <xf numFmtId="0" fontId="0" fillId="11" borderId="12" xfId="0" applyFill="1" applyBorder="1" applyAlignment="1"/>
    <xf numFmtId="0" fontId="0" fillId="24" borderId="4" xfId="0" applyFill="1" applyBorder="1" applyAlignment="1">
      <alignment horizontal="center" vertical="center"/>
    </xf>
    <xf numFmtId="0" fontId="0" fillId="24" borderId="5" xfId="0" applyFill="1" applyBorder="1" applyAlignment="1">
      <alignment horizontal="center" vertical="center"/>
    </xf>
    <xf numFmtId="0" fontId="0" fillId="3" borderId="3" xfId="0" applyFill="1" applyBorder="1" applyAlignment="1">
      <alignment horizontal="center" vertical="center"/>
    </xf>
    <xf numFmtId="0" fontId="0" fillId="3" borderId="4" xfId="0" applyFill="1" applyBorder="1" applyAlignment="1">
      <alignment horizontal="center" vertical="center"/>
    </xf>
    <xf numFmtId="0" fontId="0" fillId="5" borderId="4" xfId="0" applyFill="1" applyBorder="1" applyAlignment="1">
      <alignment horizontal="center" vertical="center"/>
    </xf>
    <xf numFmtId="0" fontId="0" fillId="7" borderId="4" xfId="0" applyFill="1" applyBorder="1" applyAlignment="1">
      <alignment horizontal="center" vertical="center"/>
    </xf>
    <xf numFmtId="0" fontId="0" fillId="9" borderId="4" xfId="0" applyFill="1" applyBorder="1" applyAlignment="1">
      <alignment horizontal="center" vertical="center"/>
    </xf>
    <xf numFmtId="0" fontId="0" fillId="9" borderId="5" xfId="0" applyFill="1" applyBorder="1" applyAlignment="1">
      <alignment horizontal="center" vertical="center"/>
    </xf>
    <xf numFmtId="0" fontId="0" fillId="12" borderId="3" xfId="0" applyFill="1" applyBorder="1" applyAlignment="1">
      <alignment horizontal="center" vertical="center"/>
    </xf>
    <xf numFmtId="0" fontId="0" fillId="12" borderId="4" xfId="0" applyFill="1" applyBorder="1" applyAlignment="1">
      <alignment horizontal="center" vertical="center"/>
    </xf>
    <xf numFmtId="0" fontId="0" fillId="7" borderId="8" xfId="0" applyFill="1" applyBorder="1" applyAlignment="1">
      <alignment horizontal="center" vertical="center"/>
    </xf>
    <xf numFmtId="0" fontId="0" fillId="7" borderId="9" xfId="0" applyFill="1" applyBorder="1" applyAlignment="1">
      <alignment horizontal="center" vertical="center"/>
    </xf>
    <xf numFmtId="0" fontId="5" fillId="19" borderId="6" xfId="0" applyFont="1" applyFill="1" applyBorder="1" applyAlignment="1">
      <alignment horizontal="left" vertical="center"/>
    </xf>
    <xf numFmtId="0" fontId="5" fillId="19" borderId="56" xfId="0" applyFont="1" applyFill="1" applyBorder="1" applyAlignment="1">
      <alignment horizontal="left" vertical="center"/>
    </xf>
    <xf numFmtId="0" fontId="0" fillId="7" borderId="68" xfId="0" applyFill="1" applyBorder="1" applyAlignment="1">
      <alignment horizontal="left" vertical="center"/>
    </xf>
    <xf numFmtId="0" fontId="0" fillId="7" borderId="12" xfId="0" applyFill="1" applyBorder="1" applyAlignment="1">
      <alignment horizontal="left" vertical="center"/>
    </xf>
    <xf numFmtId="0" fontId="0" fillId="7" borderId="50" xfId="0" applyFill="1" applyBorder="1" applyAlignment="1">
      <alignment horizontal="left" vertical="center"/>
    </xf>
    <xf numFmtId="0" fontId="0" fillId="12" borderId="68" xfId="0" applyFill="1" applyBorder="1" applyAlignment="1">
      <alignment horizontal="left" vertical="center"/>
    </xf>
    <xf numFmtId="0" fontId="0" fillId="12" borderId="12" xfId="0" applyFill="1" applyBorder="1" applyAlignment="1">
      <alignment horizontal="left" vertical="center"/>
    </xf>
    <xf numFmtId="0" fontId="0" fillId="12" borderId="50" xfId="0" applyFill="1" applyBorder="1" applyAlignment="1">
      <alignment horizontal="left" vertical="center"/>
    </xf>
    <xf numFmtId="0" fontId="0" fillId="12" borderId="69" xfId="0" applyFill="1" applyBorder="1" applyAlignment="1">
      <alignment horizontal="left" vertical="center"/>
    </xf>
    <xf numFmtId="0" fontId="0" fillId="12" borderId="54" xfId="0" applyFill="1" applyBorder="1" applyAlignment="1">
      <alignment horizontal="left" vertical="center"/>
    </xf>
    <xf numFmtId="0" fontId="0" fillId="12" borderId="61" xfId="0" applyFill="1" applyBorder="1" applyAlignment="1">
      <alignment horizontal="left" vertical="center"/>
    </xf>
    <xf numFmtId="0" fontId="5" fillId="19" borderId="8" xfId="0" applyFont="1" applyFill="1" applyBorder="1" applyAlignment="1">
      <alignment horizontal="left" vertical="center"/>
    </xf>
    <xf numFmtId="0" fontId="5" fillId="19" borderId="57" xfId="0" applyFont="1" applyFill="1" applyBorder="1" applyAlignment="1">
      <alignment horizontal="left" vertical="center"/>
    </xf>
    <xf numFmtId="0" fontId="0" fillId="12" borderId="67" xfId="0" applyFill="1" applyBorder="1" applyAlignment="1">
      <alignment horizontal="left" vertical="center"/>
    </xf>
    <xf numFmtId="0" fontId="0" fillId="12" borderId="23" xfId="0" applyFill="1" applyBorder="1" applyAlignment="1">
      <alignment horizontal="left" vertical="center"/>
    </xf>
    <xf numFmtId="0" fontId="0" fillId="12" borderId="18" xfId="0" applyFill="1" applyBorder="1" applyAlignment="1">
      <alignment horizontal="left" vertical="center"/>
    </xf>
    <xf numFmtId="0" fontId="3" fillId="12" borderId="68" xfId="1" applyFill="1" applyBorder="1" applyAlignment="1" applyProtection="1">
      <alignment horizontal="left" vertical="center"/>
    </xf>
    <xf numFmtId="0" fontId="3" fillId="12" borderId="12" xfId="1" applyFill="1" applyBorder="1" applyAlignment="1" applyProtection="1">
      <alignment horizontal="left" vertical="center"/>
    </xf>
    <xf numFmtId="0" fontId="3" fillId="12" borderId="50" xfId="1" applyFill="1" applyBorder="1" applyAlignment="1" applyProtection="1">
      <alignment horizontal="left" vertical="center"/>
    </xf>
    <xf numFmtId="0" fontId="0" fillId="7" borderId="69" xfId="0" applyFill="1" applyBorder="1" applyAlignment="1">
      <alignment horizontal="left" vertical="center"/>
    </xf>
    <xf numFmtId="0" fontId="0" fillId="7" borderId="54" xfId="0" applyFill="1" applyBorder="1" applyAlignment="1">
      <alignment horizontal="left" vertical="center"/>
    </xf>
    <xf numFmtId="0" fontId="0" fillId="7" borderId="61" xfId="0" applyFill="1" applyBorder="1" applyAlignment="1">
      <alignment horizontal="left" vertical="center"/>
    </xf>
    <xf numFmtId="0" fontId="0" fillId="7" borderId="67" xfId="0" applyFill="1" applyBorder="1" applyAlignment="1">
      <alignment horizontal="left" vertical="center"/>
    </xf>
    <xf numFmtId="0" fontId="0" fillId="7" borderId="23" xfId="0" applyFill="1" applyBorder="1" applyAlignment="1">
      <alignment horizontal="left" vertical="center"/>
    </xf>
    <xf numFmtId="0" fontId="0" fillId="7" borderId="18" xfId="0" applyFill="1" applyBorder="1" applyAlignment="1">
      <alignment horizontal="left" vertical="center"/>
    </xf>
    <xf numFmtId="0" fontId="1" fillId="19" borderId="3" xfId="0" applyFont="1" applyFill="1" applyBorder="1" applyAlignment="1">
      <alignment horizontal="left" vertical="center"/>
    </xf>
    <xf numFmtId="0" fontId="1" fillId="19" borderId="55" xfId="0" applyFont="1" applyFill="1" applyBorder="1" applyAlignment="1">
      <alignment horizontal="left" vertical="center"/>
    </xf>
    <xf numFmtId="0" fontId="0" fillId="0" borderId="2" xfId="0" applyBorder="1" applyAlignment="1">
      <alignment horizontal="center" vertical="center" textRotation="90"/>
    </xf>
    <xf numFmtId="0" fontId="0" fillId="0" borderId="62" xfId="0" applyBorder="1" applyAlignment="1">
      <alignment horizontal="center" vertical="center" textRotation="90"/>
    </xf>
    <xf numFmtId="0" fontId="0" fillId="0" borderId="2" xfId="0" applyBorder="1" applyAlignment="1">
      <alignment horizontal="center" vertical="center"/>
    </xf>
    <xf numFmtId="0" fontId="0" fillId="0" borderId="62" xfId="0" applyBorder="1" applyAlignment="1">
      <alignment horizontal="center" vertical="center"/>
    </xf>
    <xf numFmtId="0" fontId="1" fillId="19" borderId="64" xfId="0" applyFont="1" applyFill="1" applyBorder="1">
      <alignment vertical="center"/>
    </xf>
    <xf numFmtId="0" fontId="1" fillId="19" borderId="66" xfId="0" applyFont="1" applyFill="1" applyBorder="1">
      <alignment vertical="center"/>
    </xf>
    <xf numFmtId="0" fontId="1" fillId="19" borderId="29" xfId="0" applyFont="1" applyFill="1" applyBorder="1">
      <alignment vertical="center"/>
    </xf>
    <xf numFmtId="0" fontId="1" fillId="19" borderId="11" xfId="0" applyFont="1" applyFill="1" applyBorder="1">
      <alignment vertical="center"/>
    </xf>
    <xf numFmtId="0" fontId="0" fillId="22" borderId="27" xfId="0" applyFill="1" applyBorder="1" applyAlignment="1" applyProtection="1">
      <alignment horizontal="center" vertical="center" textRotation="90"/>
    </xf>
    <xf numFmtId="0" fontId="0" fillId="22" borderId="31" xfId="0" applyFill="1" applyBorder="1" applyAlignment="1" applyProtection="1">
      <alignment horizontal="center" vertical="center" textRotation="90"/>
    </xf>
    <xf numFmtId="0" fontId="0" fillId="22" borderId="12" xfId="0" applyFill="1" applyBorder="1" applyAlignment="1" applyProtection="1">
      <alignment horizontal="center" vertical="center" textRotation="90"/>
    </xf>
    <xf numFmtId="0" fontId="18" fillId="22" borderId="27" xfId="0" applyFont="1" applyFill="1" applyBorder="1" applyAlignment="1" applyProtection="1">
      <alignment horizontal="center" vertical="center" textRotation="90"/>
    </xf>
    <xf numFmtId="0" fontId="18" fillId="22" borderId="12" xfId="0" applyFont="1" applyFill="1" applyBorder="1" applyAlignment="1" applyProtection="1">
      <alignment horizontal="center" vertical="center" textRotation="90"/>
    </xf>
    <xf numFmtId="0" fontId="18" fillId="22" borderId="31" xfId="0" applyFont="1" applyFill="1" applyBorder="1" applyAlignment="1" applyProtection="1">
      <alignment horizontal="center" vertical="center" textRotation="90"/>
    </xf>
    <xf numFmtId="0" fontId="18" fillId="18" borderId="68" xfId="0" applyFont="1" applyFill="1" applyBorder="1" applyAlignment="1">
      <alignment horizontal="left" vertical="center"/>
    </xf>
    <xf numFmtId="0" fontId="18" fillId="18" borderId="12" xfId="0" applyFont="1" applyFill="1" applyBorder="1" applyAlignment="1">
      <alignment horizontal="left" vertical="center"/>
    </xf>
    <xf numFmtId="0" fontId="18" fillId="18" borderId="31" xfId="0" applyFont="1" applyFill="1" applyBorder="1" applyAlignment="1">
      <alignment horizontal="left" vertical="center"/>
    </xf>
    <xf numFmtId="0" fontId="15" fillId="0" borderId="73" xfId="0" applyFont="1" applyBorder="1" applyAlignment="1">
      <alignment horizontal="center" vertical="center"/>
    </xf>
    <xf numFmtId="0" fontId="15" fillId="0" borderId="74" xfId="0" applyFont="1" applyBorder="1" applyAlignment="1">
      <alignment horizontal="center" vertical="center"/>
    </xf>
    <xf numFmtId="0" fontId="15" fillId="0" borderId="75" xfId="0" applyFont="1" applyBorder="1" applyAlignment="1">
      <alignment horizontal="center" vertical="center"/>
    </xf>
    <xf numFmtId="0" fontId="0" fillId="18" borderId="27" xfId="0" applyFill="1" applyBorder="1" applyAlignment="1">
      <alignment horizontal="left" vertical="center"/>
    </xf>
    <xf numFmtId="0" fontId="0" fillId="18" borderId="12" xfId="0" applyFill="1" applyBorder="1" applyAlignment="1">
      <alignment horizontal="left" vertical="center"/>
    </xf>
    <xf numFmtId="0" fontId="0" fillId="18" borderId="31" xfId="0" applyFill="1" applyBorder="1" applyAlignment="1">
      <alignment horizontal="left" vertical="center"/>
    </xf>
    <xf numFmtId="0" fontId="0" fillId="18" borderId="68" xfId="0" applyFill="1" applyBorder="1" applyAlignment="1">
      <alignment horizontal="left" vertical="center"/>
    </xf>
    <xf numFmtId="0" fontId="18" fillId="0" borderId="73" xfId="0" applyFont="1" applyBorder="1" applyAlignment="1">
      <alignment horizontal="center" vertical="center"/>
    </xf>
    <xf numFmtId="0" fontId="18" fillId="0" borderId="74" xfId="0" applyFont="1" applyBorder="1" applyAlignment="1">
      <alignment horizontal="center" vertical="center"/>
    </xf>
    <xf numFmtId="0" fontId="18" fillId="0" borderId="75" xfId="0" applyFont="1" applyBorder="1" applyAlignment="1">
      <alignment horizontal="center" vertical="center"/>
    </xf>
    <xf numFmtId="0" fontId="18" fillId="18" borderId="27" xfId="0" applyFont="1" applyFill="1" applyBorder="1" applyAlignment="1">
      <alignment horizontal="left" vertical="center"/>
    </xf>
  </cellXfs>
  <cellStyles count="4">
    <cellStyle name="ハイパーリンク" xfId="1" builtinId="8"/>
    <cellStyle name="標準" xfId="0" builtinId="0"/>
    <cellStyle name="標準 3 3 4 3" xfId="3" xr:uid="{AD555A37-7129-4F50-9165-6BF8FA75EBD7}"/>
    <cellStyle name="標準 30 2" xfId="2" xr:uid="{00000000-0005-0000-0000-000002000000}"/>
  </cellStyles>
  <dxfs count="10">
    <dxf>
      <fill>
        <patternFill>
          <bgColor theme="0" tint="-0.499984740745262"/>
        </patternFill>
      </fill>
    </dxf>
    <dxf>
      <fill>
        <patternFill>
          <bgColor theme="0" tint="-0.24994659260841701"/>
        </patternFill>
      </fill>
    </dxf>
    <dxf>
      <fill>
        <patternFill>
          <bgColor rgb="FFFFFF00"/>
        </patternFill>
      </fill>
    </dxf>
    <dxf>
      <fill>
        <patternFill>
          <bgColor theme="0" tint="-0.499984740745262"/>
        </patternFill>
      </fill>
    </dxf>
    <dxf>
      <fill>
        <patternFill>
          <bgColor theme="0" tint="-0.24994659260841701"/>
        </patternFill>
      </fill>
    </dxf>
    <dxf>
      <fill>
        <patternFill>
          <bgColor rgb="FFFFFF00"/>
        </patternFill>
      </fill>
    </dxf>
    <dxf>
      <font>
        <color rgb="FFFFFF00"/>
      </font>
      <fill>
        <patternFill>
          <bgColor rgb="FFFF0000"/>
        </patternFill>
      </fill>
    </dxf>
    <dxf>
      <font>
        <color rgb="FFFFFF00"/>
      </font>
      <fill>
        <patternFill>
          <bgColor rgb="FFFF0000"/>
        </patternFill>
      </fill>
    </dxf>
    <dxf>
      <font>
        <color rgb="FFFF0000"/>
      </font>
    </dxf>
    <dxf>
      <font>
        <color rgb="FFFFFF00"/>
      </font>
      <fill>
        <patternFill>
          <bgColor rgb="FFFF0000"/>
        </patternFill>
      </fill>
    </dxf>
  </dxfs>
  <tableStyles count="0" defaultTableStyle="TableStyleMedium2" defaultPivotStyle="PivotStyleLight16"/>
  <colors>
    <mruColors>
      <color rgb="FF0000FF"/>
      <color rgb="FF385D8A"/>
      <color rgb="FFCCFDB1"/>
      <color rgb="FFFFCCFF"/>
      <color rgb="FFCCCCFF"/>
      <color rgb="FFCC99FF"/>
      <color rgb="FFFFCC99"/>
      <color rgb="FFFBBDBD"/>
      <color rgb="FF79DCFF"/>
      <color rgb="FF66F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3.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externalLink" Target="externalLinks/externalLink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externalLink" Target="externalLinks/externalLink4.xml"/></Relationships>
</file>

<file path=xl/drawings/_rels/drawing1.xml.rels><?xml version="1.0" encoding="UTF-8" standalone="yes"?>
<Relationships xmlns="http://schemas.openxmlformats.org/package/2006/relationships"><Relationship Id="rId1" Type="http://schemas.openxmlformats.org/officeDocument/2006/relationships/image" Target="../media/image2.emf"/></Relationships>
</file>

<file path=xl/drawings/_rels/drawing4.xml.rels><?xml version="1.0" encoding="UTF-8" standalone="yes"?>
<Relationships xmlns="http://schemas.openxmlformats.org/package/2006/relationships"><Relationship Id="rId8" Type="http://schemas.openxmlformats.org/officeDocument/2006/relationships/image" Target="../media/image10.png"/><Relationship Id="rId13" Type="http://schemas.openxmlformats.org/officeDocument/2006/relationships/image" Target="../media/image15.emf"/><Relationship Id="rId3" Type="http://schemas.openxmlformats.org/officeDocument/2006/relationships/image" Target="../media/image5.emf"/><Relationship Id="rId7" Type="http://schemas.openxmlformats.org/officeDocument/2006/relationships/image" Target="../media/image9.emf"/><Relationship Id="rId12" Type="http://schemas.openxmlformats.org/officeDocument/2006/relationships/image" Target="../media/image14.emf"/><Relationship Id="rId2" Type="http://schemas.openxmlformats.org/officeDocument/2006/relationships/image" Target="../media/image4.png"/><Relationship Id="rId1" Type="http://schemas.openxmlformats.org/officeDocument/2006/relationships/image" Target="../media/image3.png"/><Relationship Id="rId6" Type="http://schemas.openxmlformats.org/officeDocument/2006/relationships/image" Target="../media/image8.emf"/><Relationship Id="rId11" Type="http://schemas.openxmlformats.org/officeDocument/2006/relationships/image" Target="../media/image13.emf"/><Relationship Id="rId5" Type="http://schemas.openxmlformats.org/officeDocument/2006/relationships/image" Target="../media/image7.emf"/><Relationship Id="rId10" Type="http://schemas.openxmlformats.org/officeDocument/2006/relationships/image" Target="../media/image12.png"/><Relationship Id="rId4" Type="http://schemas.openxmlformats.org/officeDocument/2006/relationships/image" Target="../media/image6.emf"/><Relationship Id="rId9" Type="http://schemas.openxmlformats.org/officeDocument/2006/relationships/image" Target="../media/image11.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xdr:twoCellAnchor>
    <xdr:from>
      <xdr:col>24</xdr:col>
      <xdr:colOff>0</xdr:colOff>
      <xdr:row>51</xdr:row>
      <xdr:rowOff>0</xdr:rowOff>
    </xdr:from>
    <xdr:to>
      <xdr:col>29</xdr:col>
      <xdr:colOff>0</xdr:colOff>
      <xdr:row>56</xdr:row>
      <xdr:rowOff>0</xdr:rowOff>
    </xdr:to>
    <xdr:cxnSp macro="">
      <xdr:nvCxnSpPr>
        <xdr:cNvPr id="2" name="直線コネクタ 1">
          <a:extLst>
            <a:ext uri="{FF2B5EF4-FFF2-40B4-BE49-F238E27FC236}">
              <a16:creationId xmlns:a16="http://schemas.microsoft.com/office/drawing/2014/main" id="{BD639D73-E677-48BA-80CD-9E0A08A9DD92}"/>
            </a:ext>
          </a:extLst>
        </xdr:cNvPr>
        <xdr:cNvCxnSpPr/>
      </xdr:nvCxnSpPr>
      <xdr:spPr>
        <a:xfrm flipH="1">
          <a:off x="3886200" y="8258175"/>
          <a:ext cx="809625" cy="80962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33</xdr:col>
      <xdr:colOff>161925</xdr:colOff>
      <xdr:row>35</xdr:row>
      <xdr:rowOff>19050</xdr:rowOff>
    </xdr:from>
    <xdr:to>
      <xdr:col>38</xdr:col>
      <xdr:colOff>161925</xdr:colOff>
      <xdr:row>40</xdr:row>
      <xdr:rowOff>19050</xdr:rowOff>
    </xdr:to>
    <xdr:cxnSp macro="">
      <xdr:nvCxnSpPr>
        <xdr:cNvPr id="3" name="直線コネクタ 2">
          <a:extLst>
            <a:ext uri="{FF2B5EF4-FFF2-40B4-BE49-F238E27FC236}">
              <a16:creationId xmlns:a16="http://schemas.microsoft.com/office/drawing/2014/main" id="{8986EEAC-5C13-4895-B2A9-7DE7BF1DDBE3}"/>
            </a:ext>
          </a:extLst>
        </xdr:cNvPr>
        <xdr:cNvCxnSpPr/>
      </xdr:nvCxnSpPr>
      <xdr:spPr>
        <a:xfrm flipH="1">
          <a:off x="5505450" y="5686425"/>
          <a:ext cx="809625" cy="80962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29</xdr:col>
      <xdr:colOff>9525</xdr:colOff>
      <xdr:row>34</xdr:row>
      <xdr:rowOff>142875</xdr:rowOff>
    </xdr:from>
    <xdr:to>
      <xdr:col>34</xdr:col>
      <xdr:colOff>9525</xdr:colOff>
      <xdr:row>39</xdr:row>
      <xdr:rowOff>142875</xdr:rowOff>
    </xdr:to>
    <xdr:cxnSp macro="">
      <xdr:nvCxnSpPr>
        <xdr:cNvPr id="4" name="直線コネクタ 3">
          <a:extLst>
            <a:ext uri="{FF2B5EF4-FFF2-40B4-BE49-F238E27FC236}">
              <a16:creationId xmlns:a16="http://schemas.microsoft.com/office/drawing/2014/main" id="{240F9D3B-AF66-45ED-AED2-8E4BAD5D6272}"/>
            </a:ext>
          </a:extLst>
        </xdr:cNvPr>
        <xdr:cNvCxnSpPr/>
      </xdr:nvCxnSpPr>
      <xdr:spPr>
        <a:xfrm flipH="1">
          <a:off x="4705350" y="5648325"/>
          <a:ext cx="809625" cy="80962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33</xdr:col>
      <xdr:colOff>152400</xdr:colOff>
      <xdr:row>43</xdr:row>
      <xdr:rowOff>9525</xdr:rowOff>
    </xdr:from>
    <xdr:to>
      <xdr:col>38</xdr:col>
      <xdr:colOff>152400</xdr:colOff>
      <xdr:row>48</xdr:row>
      <xdr:rowOff>9525</xdr:rowOff>
    </xdr:to>
    <xdr:cxnSp macro="">
      <xdr:nvCxnSpPr>
        <xdr:cNvPr id="5" name="直線コネクタ 4">
          <a:extLst>
            <a:ext uri="{FF2B5EF4-FFF2-40B4-BE49-F238E27FC236}">
              <a16:creationId xmlns:a16="http://schemas.microsoft.com/office/drawing/2014/main" id="{06F9F8FF-A1F9-4374-B96E-8068F9994C9A}"/>
            </a:ext>
          </a:extLst>
        </xdr:cNvPr>
        <xdr:cNvCxnSpPr/>
      </xdr:nvCxnSpPr>
      <xdr:spPr>
        <a:xfrm flipH="1">
          <a:off x="5495925" y="6972300"/>
          <a:ext cx="809625" cy="80962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33</xdr:col>
      <xdr:colOff>129540</xdr:colOff>
      <xdr:row>51</xdr:row>
      <xdr:rowOff>34290</xdr:rowOff>
    </xdr:from>
    <xdr:to>
      <xdr:col>36</xdr:col>
      <xdr:colOff>131445</xdr:colOff>
      <xdr:row>53</xdr:row>
      <xdr:rowOff>106680</xdr:rowOff>
    </xdr:to>
    <xdr:pic>
      <xdr:nvPicPr>
        <xdr:cNvPr id="7" name="図 6">
          <a:extLst>
            <a:ext uri="{FF2B5EF4-FFF2-40B4-BE49-F238E27FC236}">
              <a16:creationId xmlns:a16="http://schemas.microsoft.com/office/drawing/2014/main" id="{A343D103-35D5-63D2-48DE-3226D65BBBC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844415" y="8778240"/>
          <a:ext cx="430530" cy="41529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mc:AlternateContent xmlns:mc="http://schemas.openxmlformats.org/markup-compatibility/2006">
    <mc:Choice xmlns:a14="http://schemas.microsoft.com/office/drawing/2010/main" Requires="a14">
      <xdr:twoCellAnchor editAs="absolute">
        <xdr:from>
          <xdr:col>35</xdr:col>
          <xdr:colOff>85725</xdr:colOff>
          <xdr:row>53</xdr:row>
          <xdr:rowOff>28575</xdr:rowOff>
        </xdr:from>
        <xdr:to>
          <xdr:col>38</xdr:col>
          <xdr:colOff>123825</xdr:colOff>
          <xdr:row>55</xdr:row>
          <xdr:rowOff>152400</xdr:rowOff>
        </xdr:to>
        <xdr:sp macro="" textlink="">
          <xdr:nvSpPr>
            <xdr:cNvPr id="21505" name="inei1_REYES DYAN" hidden="1">
              <a:extLst>
                <a:ext uri="{63B3BB69-23CF-44E3-9099-C40C66FF867C}">
                  <a14:compatExt spid="_x0000_s21505"/>
                </a:ext>
                <a:ext uri="{FF2B5EF4-FFF2-40B4-BE49-F238E27FC236}">
                  <a16:creationId xmlns:a16="http://schemas.microsoft.com/office/drawing/2014/main" id="{00000000-0008-0000-0000-0000015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43</xdr:col>
      <xdr:colOff>100852</xdr:colOff>
      <xdr:row>0</xdr:row>
      <xdr:rowOff>134471</xdr:rowOff>
    </xdr:from>
    <xdr:to>
      <xdr:col>44</xdr:col>
      <xdr:colOff>526676</xdr:colOff>
      <xdr:row>2</xdr:row>
      <xdr:rowOff>2179545</xdr:rowOff>
    </xdr:to>
    <xdr:sp macro="" textlink="">
      <xdr:nvSpPr>
        <xdr:cNvPr id="2" name="正方形/長方形 1">
          <a:extLst>
            <a:ext uri="{FF2B5EF4-FFF2-40B4-BE49-F238E27FC236}">
              <a16:creationId xmlns:a16="http://schemas.microsoft.com/office/drawing/2014/main" id="{00000000-0008-0000-0600-000002000000}"/>
            </a:ext>
          </a:extLst>
        </xdr:cNvPr>
        <xdr:cNvSpPr/>
      </xdr:nvSpPr>
      <xdr:spPr>
        <a:xfrm>
          <a:off x="12464302" y="134471"/>
          <a:ext cx="3559549" cy="2387974"/>
        </a:xfrm>
        <a:prstGeom prst="rect">
          <a:avLst/>
        </a:prstGeom>
        <a:solidFill>
          <a:schemeClr val="tx1">
            <a:lumMod val="65000"/>
            <a:lumOff val="35000"/>
          </a:schemeClr>
        </a:solidFill>
        <a:ln w="127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nSpc>
              <a:spcPts val="1500"/>
            </a:lnSpc>
          </a:pPr>
          <a:r>
            <a:rPr kumimoji="1" lang="ja-JP" altLang="en-US" sz="1200" b="1">
              <a:solidFill>
                <a:schemeClr val="bg1"/>
              </a:solidFill>
              <a:effectLst/>
              <a:latin typeface="Tahoma" panose="020B0604030504040204" pitchFamily="34" charset="0"/>
              <a:ea typeface="+mn-ea"/>
              <a:cs typeface="Tahoma" panose="020B0604030504040204" pitchFamily="34" charset="0"/>
            </a:rPr>
            <a:t>入力は種別ごとにカラーリングする</a:t>
          </a:r>
          <a:endParaRPr kumimoji="1" lang="en-US" altLang="ja-JP" sz="1200" b="1">
            <a:solidFill>
              <a:schemeClr val="bg1"/>
            </a:solidFill>
            <a:effectLst/>
            <a:latin typeface="Tahoma" panose="020B0604030504040204" pitchFamily="34" charset="0"/>
            <a:ea typeface="+mn-ea"/>
            <a:cs typeface="Tahoma" panose="020B0604030504040204" pitchFamily="34" charset="0"/>
          </a:endParaRPr>
        </a:p>
        <a:p>
          <a:pPr>
            <a:lnSpc>
              <a:spcPts val="1500"/>
            </a:lnSpc>
          </a:pP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ja-JP" altLang="ja-JP" sz="1200" b="1">
              <a:solidFill>
                <a:srgbClr val="CCFFFF"/>
              </a:solidFill>
              <a:effectLst/>
              <a:latin typeface="Tahoma" panose="020B0604030504040204" pitchFamily="34" charset="0"/>
              <a:ea typeface="+mn-ea"/>
              <a:cs typeface="Tahoma" panose="020B0604030504040204" pitchFamily="34" charset="0"/>
            </a:rPr>
            <a:t>■</a:t>
          </a: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en-US" altLang="ja-JP" sz="1200" b="1">
              <a:solidFill>
                <a:srgbClr val="CCFFFF"/>
              </a:solidFill>
              <a:effectLst/>
              <a:latin typeface="Tahoma" panose="020B0604030504040204" pitchFamily="34" charset="0"/>
              <a:ea typeface="Tahoma" panose="020B0604030504040204" pitchFamily="34" charset="0"/>
              <a:cs typeface="Tahoma" panose="020B0604030504040204" pitchFamily="34" charset="0"/>
            </a:rPr>
            <a:t>Variation</a:t>
          </a:r>
          <a:endParaRPr lang="ja-JP" altLang="ja-JP" sz="1200" b="1">
            <a:solidFill>
              <a:srgbClr val="CCFF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ja-JP" altLang="ja-JP" sz="1200" b="1">
              <a:solidFill>
                <a:srgbClr val="FBBDBD"/>
              </a:solidFill>
              <a:effectLst/>
              <a:latin typeface="Tahoma" panose="020B0604030504040204" pitchFamily="34" charset="0"/>
              <a:ea typeface="+mn-ea"/>
              <a:cs typeface="Tahoma" panose="020B0604030504040204" pitchFamily="34" charset="0"/>
            </a:rPr>
            <a:t>■</a:t>
          </a: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en-US" altLang="ja-JP" sz="1200" b="1">
              <a:solidFill>
                <a:srgbClr val="FBBDBD"/>
              </a:solidFill>
              <a:effectLst/>
              <a:latin typeface="Tahoma" panose="020B0604030504040204" pitchFamily="34" charset="0"/>
              <a:ea typeface="Tahoma" panose="020B0604030504040204" pitchFamily="34" charset="0"/>
              <a:cs typeface="Tahoma" panose="020B0604030504040204" pitchFamily="34" charset="0"/>
            </a:rPr>
            <a:t>Vehicle Information</a:t>
          </a:r>
          <a:endParaRPr lang="ja-JP" altLang="ja-JP" sz="1200" b="1">
            <a:solidFill>
              <a:srgbClr val="FBBDBD"/>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ja-JP" altLang="ja-JP" sz="1200" b="1">
              <a:solidFill>
                <a:srgbClr val="FFFF99"/>
              </a:solidFill>
              <a:effectLst/>
              <a:latin typeface="Tahoma" panose="020B0604030504040204" pitchFamily="34" charset="0"/>
              <a:ea typeface="+mn-ea"/>
              <a:cs typeface="Tahoma" panose="020B0604030504040204" pitchFamily="34" charset="0"/>
            </a:rPr>
            <a:t>■</a:t>
          </a: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en-US" altLang="ja-JP" sz="1200" b="1">
              <a:solidFill>
                <a:srgbClr val="FFFF99"/>
              </a:solidFill>
              <a:effectLst/>
              <a:latin typeface="Tahoma" panose="020B0604030504040204" pitchFamily="34" charset="0"/>
              <a:ea typeface="Tahoma" panose="020B0604030504040204" pitchFamily="34" charset="0"/>
              <a:cs typeface="Tahoma" panose="020B0604030504040204" pitchFamily="34" charset="0"/>
            </a:rPr>
            <a:t>Power pass time</a:t>
          </a:r>
          <a:endParaRPr lang="ja-JP" altLang="ja-JP" sz="1200" b="1">
            <a:solidFill>
              <a:srgbClr val="FFFF99"/>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ja-JP" altLang="ja-JP" sz="1200" b="1">
              <a:solidFill>
                <a:srgbClr val="FFB9F0"/>
              </a:solidFill>
              <a:effectLst/>
              <a:latin typeface="Tahoma" panose="020B0604030504040204" pitchFamily="34" charset="0"/>
              <a:ea typeface="+mn-ea"/>
              <a:cs typeface="Tahoma" panose="020B0604030504040204" pitchFamily="34" charset="0"/>
            </a:rPr>
            <a:t>■</a:t>
          </a: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en-US" altLang="ja-JP" sz="1200" b="1">
              <a:solidFill>
                <a:srgbClr val="FFB9F0"/>
              </a:solidFill>
              <a:effectLst/>
              <a:latin typeface="Tahoma" panose="020B0604030504040204" pitchFamily="34" charset="0"/>
              <a:ea typeface="Tahoma" panose="020B0604030504040204" pitchFamily="34" charset="0"/>
              <a:cs typeface="Tahoma" panose="020B0604030504040204" pitchFamily="34" charset="0"/>
            </a:rPr>
            <a:t>Other Domain</a:t>
          </a:r>
          <a:endParaRPr lang="ja-JP" altLang="ja-JP" sz="1200" b="1">
            <a:solidFill>
              <a:srgbClr val="FFB9F0"/>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ja-JP" altLang="ja-JP" sz="1200" b="1">
              <a:solidFill>
                <a:srgbClr val="9FAAFF"/>
              </a:solidFill>
              <a:effectLst/>
              <a:latin typeface="Tahoma" panose="020B0604030504040204" pitchFamily="34" charset="0"/>
              <a:ea typeface="+mn-ea"/>
              <a:cs typeface="Tahoma" panose="020B0604030504040204" pitchFamily="34" charset="0"/>
            </a:rPr>
            <a:t>■</a:t>
          </a: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en-US" altLang="ja-JP" sz="1200" b="1">
              <a:solidFill>
                <a:srgbClr val="9FAAFF"/>
              </a:solidFill>
              <a:effectLst/>
              <a:latin typeface="Tahoma" panose="020B0604030504040204" pitchFamily="34" charset="0"/>
              <a:ea typeface="Tahoma" panose="020B0604030504040204" pitchFamily="34" charset="0"/>
              <a:cs typeface="Tahoma" panose="020B0604030504040204" pitchFamily="34" charset="0"/>
            </a:rPr>
            <a:t>HardWire</a:t>
          </a:r>
          <a:endParaRPr lang="ja-JP" altLang="ja-JP" sz="1200" b="1">
            <a:solidFill>
              <a:srgbClr val="9FAA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ja-JP" altLang="ja-JP" sz="1200" b="1">
              <a:solidFill>
                <a:srgbClr val="E2C1F5"/>
              </a:solidFill>
              <a:effectLst/>
              <a:latin typeface="Tahoma" panose="020B0604030504040204" pitchFamily="34" charset="0"/>
              <a:ea typeface="+mn-ea"/>
              <a:cs typeface="Tahoma" panose="020B0604030504040204" pitchFamily="34" charset="0"/>
            </a:rPr>
            <a:t>■</a:t>
          </a: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en-US" altLang="ja-JP" sz="1200" b="1">
              <a:solidFill>
                <a:srgbClr val="E2C1F5"/>
              </a:solidFill>
              <a:effectLst/>
              <a:latin typeface="Tahoma" panose="020B0604030504040204" pitchFamily="34" charset="0"/>
              <a:ea typeface="Tahoma" panose="020B0604030504040204" pitchFamily="34" charset="0"/>
              <a:cs typeface="Tahoma" panose="020B0604030504040204" pitchFamily="34" charset="0"/>
            </a:rPr>
            <a:t>CAN Rx Hook timeout</a:t>
          </a:r>
          <a:endParaRPr lang="ja-JP" altLang="ja-JP" sz="1200" b="1">
            <a:solidFill>
              <a:srgbClr val="E2C1F5"/>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ja-JP" altLang="ja-JP" sz="1200" b="1">
              <a:solidFill>
                <a:srgbClr val="A9D7B1"/>
              </a:solidFill>
              <a:effectLst/>
              <a:latin typeface="Tahoma" panose="020B0604030504040204" pitchFamily="34" charset="0"/>
              <a:ea typeface="+mn-ea"/>
              <a:cs typeface="Tahoma" panose="020B0604030504040204" pitchFamily="34" charset="0"/>
            </a:rPr>
            <a:t>■</a:t>
          </a: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en-US" altLang="ja-JP" sz="1200" b="1">
              <a:solidFill>
                <a:srgbClr val="A9D7B1"/>
              </a:solidFill>
              <a:effectLst/>
              <a:latin typeface="Tahoma" panose="020B0604030504040204" pitchFamily="34" charset="0"/>
              <a:ea typeface="Tahoma" panose="020B0604030504040204" pitchFamily="34" charset="0"/>
              <a:cs typeface="Tahoma" panose="020B0604030504040204" pitchFamily="34" charset="0"/>
            </a:rPr>
            <a:t>CAN Rx Hook Flag</a:t>
          </a:r>
          <a:endParaRPr lang="ja-JP" altLang="ja-JP" sz="1200" b="1">
            <a:solidFill>
              <a:srgbClr val="A9D7B1"/>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ja-JP" altLang="ja-JP" sz="1200" b="1">
              <a:solidFill>
                <a:srgbClr val="EFDE9F"/>
              </a:solidFill>
              <a:effectLst/>
              <a:latin typeface="Tahoma" panose="020B0604030504040204" pitchFamily="34" charset="0"/>
              <a:ea typeface="+mn-ea"/>
              <a:cs typeface="Tahoma" panose="020B0604030504040204" pitchFamily="34" charset="0"/>
            </a:rPr>
            <a:t>■</a:t>
          </a: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en-US" altLang="ja-JP" sz="1200" b="1">
              <a:solidFill>
                <a:srgbClr val="EFDE9F"/>
              </a:solidFill>
              <a:effectLst/>
              <a:latin typeface="Tahoma" panose="020B0604030504040204" pitchFamily="34" charset="0"/>
              <a:ea typeface="Tahoma" panose="020B0604030504040204" pitchFamily="34" charset="0"/>
              <a:cs typeface="Tahoma" panose="020B0604030504040204" pitchFamily="34" charset="0"/>
            </a:rPr>
            <a:t>CAN Rx Hook Signal</a:t>
          </a: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ja-JP" altLang="ja-JP" sz="1200" b="1">
              <a:solidFill>
                <a:srgbClr val="CCFDB1"/>
              </a:solidFill>
              <a:effectLst/>
              <a:latin typeface="Tahoma" panose="020B0604030504040204" pitchFamily="34" charset="0"/>
              <a:ea typeface="+mn-ea"/>
              <a:cs typeface="Tahoma" panose="020B0604030504040204" pitchFamily="34" charset="0"/>
            </a:rPr>
            <a:t>■</a:t>
          </a: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en-US" altLang="ja-JP" sz="1200" b="1">
              <a:solidFill>
                <a:srgbClr val="CCFDB1"/>
              </a:solidFill>
              <a:effectLst/>
              <a:latin typeface="Tahoma" panose="020B0604030504040204" pitchFamily="34" charset="0"/>
              <a:ea typeface="Tahoma" panose="020B0604030504040204" pitchFamily="34" charset="0"/>
              <a:cs typeface="Tahoma" panose="020B0604030504040204" pitchFamily="34" charset="0"/>
            </a:rPr>
            <a:t>CAN Rx Message Status &amp; Signal</a:t>
          </a:r>
        </a:p>
        <a:p>
          <a:pPr marL="0" marR="0" indent="0" algn="l" defTabSz="914400" eaLnBrk="1" fontAlgn="auto" latinLnBrk="0" hangingPunct="1">
            <a:lnSpc>
              <a:spcPts val="1400"/>
            </a:lnSpc>
            <a:spcBef>
              <a:spcPts val="0"/>
            </a:spcBef>
            <a:spcAft>
              <a:spcPts val="0"/>
            </a:spcAft>
            <a:buClrTx/>
            <a:buSzTx/>
            <a:buFontTx/>
            <a:buNone/>
            <a:tabLst/>
            <a:defRPr/>
          </a:pPr>
          <a:r>
            <a:rPr kumimoji="1" lang="ja-JP" altLang="en-US" sz="1200" b="1" baseline="0">
              <a:solidFill>
                <a:srgbClr val="CCFDB1"/>
              </a:solidFill>
              <a:effectLst/>
              <a:latin typeface="Tahoma" panose="020B0604030504040204" pitchFamily="34" charset="0"/>
              <a:cs typeface="Tahoma" panose="020B0604030504040204" pitchFamily="34" charset="0"/>
            </a:rPr>
            <a:t>　</a:t>
          </a:r>
          <a:r>
            <a:rPr kumimoji="1" lang="ja-JP" altLang="en-US" sz="1200" b="1" baseline="0">
              <a:solidFill>
                <a:schemeClr val="bg1"/>
              </a:solidFill>
              <a:effectLst/>
              <a:latin typeface="Tahoma" panose="020B0604030504040204" pitchFamily="34" charset="0"/>
              <a:cs typeface="Tahoma" panose="020B0604030504040204" pitchFamily="34" charset="0"/>
            </a:rPr>
            <a:t>■　（上記以外）</a:t>
          </a:r>
          <a:endParaRPr kumimoji="1" lang="ja-JP" altLang="en-US" sz="1200" b="1">
            <a:solidFill>
              <a:schemeClr val="bg1"/>
            </a:solidFill>
            <a:latin typeface="Tahoma" panose="020B0604030504040204" pitchFamily="34" charset="0"/>
            <a:cs typeface="Tahoma" panose="020B0604030504040204" pitchFamily="34" charset="0"/>
          </a:endParaRP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43</xdr:col>
      <xdr:colOff>100852</xdr:colOff>
      <xdr:row>0</xdr:row>
      <xdr:rowOff>134471</xdr:rowOff>
    </xdr:from>
    <xdr:to>
      <xdr:col>44</xdr:col>
      <xdr:colOff>526676</xdr:colOff>
      <xdr:row>2</xdr:row>
      <xdr:rowOff>2179545</xdr:rowOff>
    </xdr:to>
    <xdr:sp macro="" textlink="">
      <xdr:nvSpPr>
        <xdr:cNvPr id="2" name="正方形/長方形 1">
          <a:extLst>
            <a:ext uri="{FF2B5EF4-FFF2-40B4-BE49-F238E27FC236}">
              <a16:creationId xmlns:a16="http://schemas.microsoft.com/office/drawing/2014/main" id="{633681B9-3A9A-4736-BF24-0E8E9B67F362}"/>
            </a:ext>
          </a:extLst>
        </xdr:cNvPr>
        <xdr:cNvSpPr/>
      </xdr:nvSpPr>
      <xdr:spPr>
        <a:xfrm>
          <a:off x="12464302" y="134471"/>
          <a:ext cx="3559549" cy="2387974"/>
        </a:xfrm>
        <a:prstGeom prst="rect">
          <a:avLst/>
        </a:prstGeom>
        <a:solidFill>
          <a:schemeClr val="tx1">
            <a:lumMod val="65000"/>
            <a:lumOff val="35000"/>
          </a:schemeClr>
        </a:solidFill>
        <a:ln w="127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nSpc>
              <a:spcPts val="1500"/>
            </a:lnSpc>
          </a:pPr>
          <a:r>
            <a:rPr kumimoji="1" lang="ja-JP" altLang="en-US" sz="1200" b="1">
              <a:solidFill>
                <a:schemeClr val="bg1"/>
              </a:solidFill>
              <a:effectLst/>
              <a:latin typeface="Tahoma" panose="020B0604030504040204" pitchFamily="34" charset="0"/>
              <a:ea typeface="+mn-ea"/>
              <a:cs typeface="Tahoma" panose="020B0604030504040204" pitchFamily="34" charset="0"/>
            </a:rPr>
            <a:t>入力は種別ごとにカラーリングする</a:t>
          </a:r>
          <a:endParaRPr kumimoji="1" lang="en-US" altLang="ja-JP" sz="1200" b="1">
            <a:solidFill>
              <a:schemeClr val="bg1"/>
            </a:solidFill>
            <a:effectLst/>
            <a:latin typeface="Tahoma" panose="020B0604030504040204" pitchFamily="34" charset="0"/>
            <a:ea typeface="+mn-ea"/>
            <a:cs typeface="Tahoma" panose="020B0604030504040204" pitchFamily="34" charset="0"/>
          </a:endParaRPr>
        </a:p>
        <a:p>
          <a:pPr>
            <a:lnSpc>
              <a:spcPts val="1500"/>
            </a:lnSpc>
          </a:pP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ja-JP" altLang="ja-JP" sz="1200" b="1">
              <a:solidFill>
                <a:srgbClr val="CCFFFF"/>
              </a:solidFill>
              <a:effectLst/>
              <a:latin typeface="Tahoma" panose="020B0604030504040204" pitchFamily="34" charset="0"/>
              <a:ea typeface="+mn-ea"/>
              <a:cs typeface="Tahoma" panose="020B0604030504040204" pitchFamily="34" charset="0"/>
            </a:rPr>
            <a:t>■</a:t>
          </a: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en-US" altLang="ja-JP" sz="1200" b="1">
              <a:solidFill>
                <a:srgbClr val="CCFFFF"/>
              </a:solidFill>
              <a:effectLst/>
              <a:latin typeface="Tahoma" panose="020B0604030504040204" pitchFamily="34" charset="0"/>
              <a:ea typeface="Tahoma" panose="020B0604030504040204" pitchFamily="34" charset="0"/>
              <a:cs typeface="Tahoma" panose="020B0604030504040204" pitchFamily="34" charset="0"/>
            </a:rPr>
            <a:t>Variation</a:t>
          </a:r>
          <a:endParaRPr lang="ja-JP" altLang="ja-JP" sz="1200" b="1">
            <a:solidFill>
              <a:srgbClr val="CCFF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ja-JP" altLang="ja-JP" sz="1200" b="1">
              <a:solidFill>
                <a:srgbClr val="FBBDBD"/>
              </a:solidFill>
              <a:effectLst/>
              <a:latin typeface="Tahoma" panose="020B0604030504040204" pitchFamily="34" charset="0"/>
              <a:ea typeface="+mn-ea"/>
              <a:cs typeface="Tahoma" panose="020B0604030504040204" pitchFamily="34" charset="0"/>
            </a:rPr>
            <a:t>■</a:t>
          </a: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en-US" altLang="ja-JP" sz="1200" b="1">
              <a:solidFill>
                <a:srgbClr val="FBBDBD"/>
              </a:solidFill>
              <a:effectLst/>
              <a:latin typeface="Tahoma" panose="020B0604030504040204" pitchFamily="34" charset="0"/>
              <a:ea typeface="Tahoma" panose="020B0604030504040204" pitchFamily="34" charset="0"/>
              <a:cs typeface="Tahoma" panose="020B0604030504040204" pitchFamily="34" charset="0"/>
            </a:rPr>
            <a:t>Vehicle Information</a:t>
          </a:r>
          <a:endParaRPr lang="ja-JP" altLang="ja-JP" sz="1200" b="1">
            <a:solidFill>
              <a:srgbClr val="FBBDBD"/>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ja-JP" altLang="ja-JP" sz="1200" b="1">
              <a:solidFill>
                <a:srgbClr val="FFFF99"/>
              </a:solidFill>
              <a:effectLst/>
              <a:latin typeface="Tahoma" panose="020B0604030504040204" pitchFamily="34" charset="0"/>
              <a:ea typeface="+mn-ea"/>
              <a:cs typeface="Tahoma" panose="020B0604030504040204" pitchFamily="34" charset="0"/>
            </a:rPr>
            <a:t>■</a:t>
          </a: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en-US" altLang="ja-JP" sz="1200" b="1">
              <a:solidFill>
                <a:srgbClr val="FFFF99"/>
              </a:solidFill>
              <a:effectLst/>
              <a:latin typeface="Tahoma" panose="020B0604030504040204" pitchFamily="34" charset="0"/>
              <a:ea typeface="Tahoma" panose="020B0604030504040204" pitchFamily="34" charset="0"/>
              <a:cs typeface="Tahoma" panose="020B0604030504040204" pitchFamily="34" charset="0"/>
            </a:rPr>
            <a:t>Power pass time</a:t>
          </a:r>
          <a:endParaRPr lang="ja-JP" altLang="ja-JP" sz="1200" b="1">
            <a:solidFill>
              <a:srgbClr val="FFFF99"/>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ja-JP" altLang="ja-JP" sz="1200" b="1">
              <a:solidFill>
                <a:srgbClr val="FFB9F0"/>
              </a:solidFill>
              <a:effectLst/>
              <a:latin typeface="Tahoma" panose="020B0604030504040204" pitchFamily="34" charset="0"/>
              <a:ea typeface="+mn-ea"/>
              <a:cs typeface="Tahoma" panose="020B0604030504040204" pitchFamily="34" charset="0"/>
            </a:rPr>
            <a:t>■</a:t>
          </a: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en-US" altLang="ja-JP" sz="1200" b="1">
              <a:solidFill>
                <a:srgbClr val="FFB9F0"/>
              </a:solidFill>
              <a:effectLst/>
              <a:latin typeface="Tahoma" panose="020B0604030504040204" pitchFamily="34" charset="0"/>
              <a:ea typeface="Tahoma" panose="020B0604030504040204" pitchFamily="34" charset="0"/>
              <a:cs typeface="Tahoma" panose="020B0604030504040204" pitchFamily="34" charset="0"/>
            </a:rPr>
            <a:t>Other Domain</a:t>
          </a:r>
          <a:endParaRPr lang="ja-JP" altLang="ja-JP" sz="1200" b="1">
            <a:solidFill>
              <a:srgbClr val="FFB9F0"/>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ja-JP" altLang="ja-JP" sz="1200" b="1">
              <a:solidFill>
                <a:srgbClr val="9FAAFF"/>
              </a:solidFill>
              <a:effectLst/>
              <a:latin typeface="Tahoma" panose="020B0604030504040204" pitchFamily="34" charset="0"/>
              <a:ea typeface="+mn-ea"/>
              <a:cs typeface="Tahoma" panose="020B0604030504040204" pitchFamily="34" charset="0"/>
            </a:rPr>
            <a:t>■</a:t>
          </a: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en-US" altLang="ja-JP" sz="1200" b="1">
              <a:solidFill>
                <a:srgbClr val="9FAAFF"/>
              </a:solidFill>
              <a:effectLst/>
              <a:latin typeface="Tahoma" panose="020B0604030504040204" pitchFamily="34" charset="0"/>
              <a:ea typeface="Tahoma" panose="020B0604030504040204" pitchFamily="34" charset="0"/>
              <a:cs typeface="Tahoma" panose="020B0604030504040204" pitchFamily="34" charset="0"/>
            </a:rPr>
            <a:t>HardWire</a:t>
          </a:r>
          <a:endParaRPr lang="ja-JP" altLang="ja-JP" sz="1200" b="1">
            <a:solidFill>
              <a:srgbClr val="9FAA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ja-JP" altLang="ja-JP" sz="1200" b="1">
              <a:solidFill>
                <a:srgbClr val="E2C1F5"/>
              </a:solidFill>
              <a:effectLst/>
              <a:latin typeface="Tahoma" panose="020B0604030504040204" pitchFamily="34" charset="0"/>
              <a:ea typeface="+mn-ea"/>
              <a:cs typeface="Tahoma" panose="020B0604030504040204" pitchFamily="34" charset="0"/>
            </a:rPr>
            <a:t>■</a:t>
          </a: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en-US" altLang="ja-JP" sz="1200" b="1">
              <a:solidFill>
                <a:srgbClr val="E2C1F5"/>
              </a:solidFill>
              <a:effectLst/>
              <a:latin typeface="Tahoma" panose="020B0604030504040204" pitchFamily="34" charset="0"/>
              <a:ea typeface="Tahoma" panose="020B0604030504040204" pitchFamily="34" charset="0"/>
              <a:cs typeface="Tahoma" panose="020B0604030504040204" pitchFamily="34" charset="0"/>
            </a:rPr>
            <a:t>CAN Rx Hook timeout</a:t>
          </a:r>
          <a:endParaRPr lang="ja-JP" altLang="ja-JP" sz="1200" b="1">
            <a:solidFill>
              <a:srgbClr val="E2C1F5"/>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ja-JP" altLang="ja-JP" sz="1200" b="1">
              <a:solidFill>
                <a:srgbClr val="A9D7B1"/>
              </a:solidFill>
              <a:effectLst/>
              <a:latin typeface="Tahoma" panose="020B0604030504040204" pitchFamily="34" charset="0"/>
              <a:ea typeface="+mn-ea"/>
              <a:cs typeface="Tahoma" panose="020B0604030504040204" pitchFamily="34" charset="0"/>
            </a:rPr>
            <a:t>■</a:t>
          </a: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en-US" altLang="ja-JP" sz="1200" b="1">
              <a:solidFill>
                <a:srgbClr val="A9D7B1"/>
              </a:solidFill>
              <a:effectLst/>
              <a:latin typeface="Tahoma" panose="020B0604030504040204" pitchFamily="34" charset="0"/>
              <a:ea typeface="Tahoma" panose="020B0604030504040204" pitchFamily="34" charset="0"/>
              <a:cs typeface="Tahoma" panose="020B0604030504040204" pitchFamily="34" charset="0"/>
            </a:rPr>
            <a:t>CAN Rx Hook Flag</a:t>
          </a:r>
          <a:endParaRPr lang="ja-JP" altLang="ja-JP" sz="1200" b="1">
            <a:solidFill>
              <a:srgbClr val="A9D7B1"/>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ja-JP" altLang="ja-JP" sz="1200" b="1">
              <a:solidFill>
                <a:srgbClr val="EFDE9F"/>
              </a:solidFill>
              <a:effectLst/>
              <a:latin typeface="Tahoma" panose="020B0604030504040204" pitchFamily="34" charset="0"/>
              <a:ea typeface="+mn-ea"/>
              <a:cs typeface="Tahoma" panose="020B0604030504040204" pitchFamily="34" charset="0"/>
            </a:rPr>
            <a:t>■</a:t>
          </a: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en-US" altLang="ja-JP" sz="1200" b="1">
              <a:solidFill>
                <a:srgbClr val="EFDE9F"/>
              </a:solidFill>
              <a:effectLst/>
              <a:latin typeface="Tahoma" panose="020B0604030504040204" pitchFamily="34" charset="0"/>
              <a:ea typeface="Tahoma" panose="020B0604030504040204" pitchFamily="34" charset="0"/>
              <a:cs typeface="Tahoma" panose="020B0604030504040204" pitchFamily="34" charset="0"/>
            </a:rPr>
            <a:t>CAN Rx Hook Signal</a:t>
          </a: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ja-JP" altLang="ja-JP" sz="1200" b="1">
              <a:solidFill>
                <a:srgbClr val="CCFDB1"/>
              </a:solidFill>
              <a:effectLst/>
              <a:latin typeface="Tahoma" panose="020B0604030504040204" pitchFamily="34" charset="0"/>
              <a:ea typeface="+mn-ea"/>
              <a:cs typeface="Tahoma" panose="020B0604030504040204" pitchFamily="34" charset="0"/>
            </a:rPr>
            <a:t>■</a:t>
          </a: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en-US" altLang="ja-JP" sz="1200" b="1">
              <a:solidFill>
                <a:srgbClr val="CCFDB1"/>
              </a:solidFill>
              <a:effectLst/>
              <a:latin typeface="Tahoma" panose="020B0604030504040204" pitchFamily="34" charset="0"/>
              <a:ea typeface="Tahoma" panose="020B0604030504040204" pitchFamily="34" charset="0"/>
              <a:cs typeface="Tahoma" panose="020B0604030504040204" pitchFamily="34" charset="0"/>
            </a:rPr>
            <a:t>CAN Rx Message Status &amp; Signal</a:t>
          </a:r>
        </a:p>
        <a:p>
          <a:pPr marL="0" marR="0" indent="0" algn="l" defTabSz="914400" eaLnBrk="1" fontAlgn="auto" latinLnBrk="0" hangingPunct="1">
            <a:lnSpc>
              <a:spcPts val="1400"/>
            </a:lnSpc>
            <a:spcBef>
              <a:spcPts val="0"/>
            </a:spcBef>
            <a:spcAft>
              <a:spcPts val="0"/>
            </a:spcAft>
            <a:buClrTx/>
            <a:buSzTx/>
            <a:buFontTx/>
            <a:buNone/>
            <a:tabLst/>
            <a:defRPr/>
          </a:pPr>
          <a:r>
            <a:rPr kumimoji="1" lang="ja-JP" altLang="en-US" sz="1200" b="1" baseline="0">
              <a:solidFill>
                <a:srgbClr val="CCFDB1"/>
              </a:solidFill>
              <a:effectLst/>
              <a:latin typeface="Tahoma" panose="020B0604030504040204" pitchFamily="34" charset="0"/>
              <a:cs typeface="Tahoma" panose="020B0604030504040204" pitchFamily="34" charset="0"/>
            </a:rPr>
            <a:t>　</a:t>
          </a:r>
          <a:r>
            <a:rPr kumimoji="1" lang="ja-JP" altLang="en-US" sz="1200" b="1" baseline="0">
              <a:solidFill>
                <a:schemeClr val="bg1"/>
              </a:solidFill>
              <a:effectLst/>
              <a:latin typeface="Tahoma" panose="020B0604030504040204" pitchFamily="34" charset="0"/>
              <a:cs typeface="Tahoma" panose="020B0604030504040204" pitchFamily="34" charset="0"/>
            </a:rPr>
            <a:t>■　（上記以外）</a:t>
          </a:r>
          <a:endParaRPr kumimoji="1" lang="ja-JP" altLang="en-US" sz="1200" b="1">
            <a:solidFill>
              <a:schemeClr val="bg1"/>
            </a:solidFill>
            <a:latin typeface="Tahoma" panose="020B0604030504040204" pitchFamily="34" charset="0"/>
            <a:cs typeface="Tahoma" panose="020B0604030504040204" pitchFamily="34" charset="0"/>
          </a:endParaRPr>
        </a:p>
      </xdr:txBody>
    </xdr:sp>
    <xdr:clientData/>
  </xdr:twoCellAnchor>
</xdr:wsDr>
</file>

<file path=xl/drawings/drawing4.xml><?xml version="1.0" encoding="utf-8"?>
<xdr:wsDr xmlns:xdr="http://schemas.openxmlformats.org/drawingml/2006/spreadsheetDrawing" xmlns:a="http://schemas.openxmlformats.org/drawingml/2006/main">
  <xdr:twoCellAnchor editAs="oneCell">
    <xdr:from>
      <xdr:col>18</xdr:col>
      <xdr:colOff>11206</xdr:colOff>
      <xdr:row>124</xdr:row>
      <xdr:rowOff>33618</xdr:rowOff>
    </xdr:from>
    <xdr:to>
      <xdr:col>39</xdr:col>
      <xdr:colOff>56471</xdr:colOff>
      <xdr:row>130</xdr:row>
      <xdr:rowOff>49746</xdr:rowOff>
    </xdr:to>
    <xdr:pic>
      <xdr:nvPicPr>
        <xdr:cNvPr id="14" name="図 13">
          <a:extLst>
            <a:ext uri="{FF2B5EF4-FFF2-40B4-BE49-F238E27FC236}">
              <a16:creationId xmlns:a16="http://schemas.microsoft.com/office/drawing/2014/main" id="{9394A596-5A1A-2BCE-84DC-25DF2D45A6B7}"/>
            </a:ext>
          </a:extLst>
        </xdr:cNvPr>
        <xdr:cNvPicPr>
          <a:picLocks noChangeAspect="1"/>
        </xdr:cNvPicPr>
      </xdr:nvPicPr>
      <xdr:blipFill>
        <a:blip xmlns:r="http://schemas.openxmlformats.org/officeDocument/2006/relationships" r:embed="rId1"/>
        <a:stretch>
          <a:fillRect/>
        </a:stretch>
      </xdr:blipFill>
      <xdr:spPr>
        <a:xfrm>
          <a:off x="22221265" y="28832736"/>
          <a:ext cx="14400000" cy="1024657"/>
        </a:xfrm>
        <a:prstGeom prst="rect">
          <a:avLst/>
        </a:prstGeom>
        <a:ln>
          <a:solidFill>
            <a:schemeClr val="tx1"/>
          </a:solidFill>
        </a:ln>
      </xdr:spPr>
    </xdr:pic>
    <xdr:clientData/>
  </xdr:twoCellAnchor>
  <xdr:twoCellAnchor editAs="oneCell">
    <xdr:from>
      <xdr:col>78</xdr:col>
      <xdr:colOff>405765</xdr:colOff>
      <xdr:row>50</xdr:row>
      <xdr:rowOff>424815</xdr:rowOff>
    </xdr:from>
    <xdr:to>
      <xdr:col>84</xdr:col>
      <xdr:colOff>325755</xdr:colOff>
      <xdr:row>50</xdr:row>
      <xdr:rowOff>2303594</xdr:rowOff>
    </xdr:to>
    <xdr:pic>
      <xdr:nvPicPr>
        <xdr:cNvPr id="29" name="図 28">
          <a:extLst>
            <a:ext uri="{FF2B5EF4-FFF2-40B4-BE49-F238E27FC236}">
              <a16:creationId xmlns:a16="http://schemas.microsoft.com/office/drawing/2014/main" id="{C8E57CD8-39AE-2402-D9D4-BDB03D62F55F}"/>
            </a:ext>
          </a:extLst>
        </xdr:cNvPr>
        <xdr:cNvPicPr>
          <a:picLocks noChangeAspect="1"/>
        </xdr:cNvPicPr>
      </xdr:nvPicPr>
      <xdr:blipFill>
        <a:blip xmlns:r="http://schemas.openxmlformats.org/officeDocument/2006/relationships" r:embed="rId2"/>
        <a:stretch>
          <a:fillRect/>
        </a:stretch>
      </xdr:blipFill>
      <xdr:spPr>
        <a:xfrm>
          <a:off x="56917590" y="10730865"/>
          <a:ext cx="3577590" cy="1890209"/>
        </a:xfrm>
        <a:prstGeom prst="rect">
          <a:avLst/>
        </a:prstGeom>
        <a:solidFill>
          <a:schemeClr val="bg1"/>
        </a:solidFill>
      </xdr:spPr>
    </xdr:pic>
    <xdr:clientData/>
  </xdr:twoCellAnchor>
  <xdr:twoCellAnchor editAs="oneCell">
    <xdr:from>
      <xdr:col>78</xdr:col>
      <xdr:colOff>369570</xdr:colOff>
      <xdr:row>46</xdr:row>
      <xdr:rowOff>87631</xdr:rowOff>
    </xdr:from>
    <xdr:to>
      <xdr:col>84</xdr:col>
      <xdr:colOff>436245</xdr:colOff>
      <xdr:row>50</xdr:row>
      <xdr:rowOff>420920</xdr:rowOff>
    </xdr:to>
    <xdr:pic>
      <xdr:nvPicPr>
        <xdr:cNvPr id="27" name="図 26">
          <a:extLst>
            <a:ext uri="{FF2B5EF4-FFF2-40B4-BE49-F238E27FC236}">
              <a16:creationId xmlns:a16="http://schemas.microsoft.com/office/drawing/2014/main" id="{895A39F5-2350-FCD3-82D7-F30FCA0D53D6}"/>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56881395" y="8021956"/>
          <a:ext cx="3735705" cy="2705014"/>
        </a:xfrm>
        <a:prstGeom prst="rect">
          <a:avLst/>
        </a:prstGeom>
        <a:solidFill>
          <a:schemeClr val="bg1"/>
        </a:solidFill>
      </xdr:spPr>
    </xdr:pic>
    <xdr:clientData/>
  </xdr:twoCellAnchor>
  <xdr:twoCellAnchor editAs="oneCell">
    <xdr:from>
      <xdr:col>66</xdr:col>
      <xdr:colOff>554802</xdr:colOff>
      <xdr:row>50</xdr:row>
      <xdr:rowOff>2481992</xdr:rowOff>
    </xdr:from>
    <xdr:to>
      <xdr:col>73</xdr:col>
      <xdr:colOff>244848</xdr:colOff>
      <xdr:row>53</xdr:row>
      <xdr:rowOff>149813</xdr:rowOff>
    </xdr:to>
    <xdr:pic>
      <xdr:nvPicPr>
        <xdr:cNvPr id="22" name="図 21">
          <a:extLst>
            <a:ext uri="{FF2B5EF4-FFF2-40B4-BE49-F238E27FC236}">
              <a16:creationId xmlns:a16="http://schemas.microsoft.com/office/drawing/2014/main" id="{E60F8452-17DA-D112-6928-D679FE2A4FF7}"/>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49490890" y="12634521"/>
          <a:ext cx="3916345" cy="861498"/>
        </a:xfrm>
        <a:prstGeom prst="rect">
          <a:avLst/>
        </a:prstGeom>
        <a:solidFill>
          <a:schemeClr val="bg1"/>
        </a:solidFill>
      </xdr:spPr>
    </xdr:pic>
    <xdr:clientData/>
  </xdr:twoCellAnchor>
  <xdr:twoCellAnchor editAs="oneCell">
    <xdr:from>
      <xdr:col>66</xdr:col>
      <xdr:colOff>592628</xdr:colOff>
      <xdr:row>46</xdr:row>
      <xdr:rowOff>21129</xdr:rowOff>
    </xdr:from>
    <xdr:to>
      <xdr:col>73</xdr:col>
      <xdr:colOff>55764</xdr:colOff>
      <xdr:row>50</xdr:row>
      <xdr:rowOff>2457820</xdr:rowOff>
    </xdr:to>
    <xdr:pic>
      <xdr:nvPicPr>
        <xdr:cNvPr id="21" name="図 20">
          <a:extLst>
            <a:ext uri="{FF2B5EF4-FFF2-40B4-BE49-F238E27FC236}">
              <a16:creationId xmlns:a16="http://schemas.microsoft.com/office/drawing/2014/main" id="{686DAEFA-8D12-D47F-DEB3-FE03C3FA5E35}"/>
            </a:ext>
          </a:extLst>
        </xdr:cNvPr>
        <xdr:cNvPicPr>
          <a:picLocks noChangeAspect="1" noChangeArrowheads="1"/>
        </xdr:cNvPicPr>
      </xdr:nvPicPr>
      <xdr:blipFill>
        <a:blip xmlns:r="http://schemas.openxmlformats.org/officeDocument/2006/relationships" r:embed="rId5" cstate="print">
          <a:extLst>
            <a:ext uri="{28A0092B-C50C-407E-A947-70E740481C1C}">
              <a14:useLocalDpi xmlns:a14="http://schemas.microsoft.com/office/drawing/2010/main" val="0"/>
            </a:ext>
          </a:extLst>
        </a:blip>
        <a:srcRect/>
        <a:stretch>
          <a:fillRect/>
        </a:stretch>
      </xdr:blipFill>
      <xdr:spPr bwMode="auto">
        <a:xfrm>
          <a:off x="49585764" y="8039447"/>
          <a:ext cx="3702281" cy="4795947"/>
        </a:xfrm>
        <a:prstGeom prst="rect">
          <a:avLst/>
        </a:prstGeom>
        <a:solidFill>
          <a:schemeClr val="bg1"/>
        </a:solidFill>
      </xdr:spPr>
    </xdr:pic>
    <xdr:clientData/>
  </xdr:twoCellAnchor>
  <xdr:twoCellAnchor editAs="oneCell">
    <xdr:from>
      <xdr:col>41</xdr:col>
      <xdr:colOff>1</xdr:colOff>
      <xdr:row>48</xdr:row>
      <xdr:rowOff>0</xdr:rowOff>
    </xdr:from>
    <xdr:to>
      <xdr:col>65</xdr:col>
      <xdr:colOff>530737</xdr:colOff>
      <xdr:row>86</xdr:row>
      <xdr:rowOff>1333500</xdr:rowOff>
    </xdr:to>
    <xdr:pic>
      <xdr:nvPicPr>
        <xdr:cNvPr id="12" name="図 11">
          <a:extLst>
            <a:ext uri="{FF2B5EF4-FFF2-40B4-BE49-F238E27FC236}">
              <a16:creationId xmlns:a16="http://schemas.microsoft.com/office/drawing/2014/main" id="{AD3EB47E-8555-70DD-588B-B042816ACFB5}"/>
            </a:ext>
          </a:extLst>
        </xdr:cNvPr>
        <xdr:cNvPicPr>
          <a:picLocks noChangeAspect="1" noChangeArrowheads="1"/>
        </xdr:cNvPicPr>
      </xdr:nvPicPr>
      <xdr:blipFill>
        <a:blip xmlns:r="http://schemas.openxmlformats.org/officeDocument/2006/relationships" r:embed="rId6" cstate="print">
          <a:extLst>
            <a:ext uri="{28A0092B-C50C-407E-A947-70E740481C1C}">
              <a14:useLocalDpi xmlns:a14="http://schemas.microsoft.com/office/drawing/2010/main" val="0"/>
            </a:ext>
          </a:extLst>
        </a:blip>
        <a:srcRect/>
        <a:stretch>
          <a:fillRect/>
        </a:stretch>
      </xdr:blipFill>
      <xdr:spPr bwMode="auto">
        <a:xfrm>
          <a:off x="32766001" y="9144000"/>
          <a:ext cx="14246736" cy="14668500"/>
        </a:xfrm>
        <a:prstGeom prst="rect">
          <a:avLst/>
        </a:prstGeom>
        <a:solidFill>
          <a:schemeClr val="bg1"/>
        </a:solidFill>
      </xdr:spPr>
    </xdr:pic>
    <xdr:clientData/>
  </xdr:twoCellAnchor>
  <xdr:twoCellAnchor editAs="oneCell">
    <xdr:from>
      <xdr:col>18</xdr:col>
      <xdr:colOff>0</xdr:colOff>
      <xdr:row>43</xdr:row>
      <xdr:rowOff>0</xdr:rowOff>
    </xdr:from>
    <xdr:to>
      <xdr:col>39</xdr:col>
      <xdr:colOff>553262</xdr:colOff>
      <xdr:row>121</xdr:row>
      <xdr:rowOff>152400</xdr:rowOff>
    </xdr:to>
    <xdr:pic>
      <xdr:nvPicPr>
        <xdr:cNvPr id="5" name="図 4">
          <a:extLst>
            <a:ext uri="{FF2B5EF4-FFF2-40B4-BE49-F238E27FC236}">
              <a16:creationId xmlns:a16="http://schemas.microsoft.com/office/drawing/2014/main" id="{59B9CEB3-B8CD-CA81-CF19-1C990B1442DA}"/>
            </a:ext>
          </a:extLst>
        </xdr:cNvPr>
        <xdr:cNvPicPr>
          <a:picLocks noChangeAspect="1" noChangeArrowheads="1"/>
        </xdr:cNvPicPr>
      </xdr:nvPicPr>
      <xdr:blipFill>
        <a:blip xmlns:r="http://schemas.openxmlformats.org/officeDocument/2006/relationships" r:embed="rId7" cstate="print">
          <a:extLst>
            <a:ext uri="{28A0092B-C50C-407E-A947-70E740481C1C}">
              <a14:useLocalDpi xmlns:a14="http://schemas.microsoft.com/office/drawing/2010/main" val="0"/>
            </a:ext>
          </a:extLst>
        </a:blip>
        <a:srcRect/>
        <a:stretch>
          <a:fillRect/>
        </a:stretch>
      </xdr:blipFill>
      <xdr:spPr bwMode="auto">
        <a:xfrm>
          <a:off x="19975286" y="7606393"/>
          <a:ext cx="13398677" cy="21760543"/>
        </a:xfrm>
        <a:prstGeom prst="rect">
          <a:avLst/>
        </a:prstGeom>
        <a:solidFill>
          <a:schemeClr val="bg1"/>
        </a:solidFill>
      </xdr:spPr>
    </xdr:pic>
    <xdr:clientData/>
  </xdr:twoCellAnchor>
  <xdr:twoCellAnchor editAs="oneCell">
    <xdr:from>
      <xdr:col>66</xdr:col>
      <xdr:colOff>562200</xdr:colOff>
      <xdr:row>55</xdr:row>
      <xdr:rowOff>36756</xdr:rowOff>
    </xdr:from>
    <xdr:to>
      <xdr:col>72</xdr:col>
      <xdr:colOff>93116</xdr:colOff>
      <xdr:row>56</xdr:row>
      <xdr:rowOff>57689</xdr:rowOff>
    </xdr:to>
    <xdr:pic>
      <xdr:nvPicPr>
        <xdr:cNvPr id="120" name="図 119">
          <a:extLst>
            <a:ext uri="{FF2B5EF4-FFF2-40B4-BE49-F238E27FC236}">
              <a16:creationId xmlns:a16="http://schemas.microsoft.com/office/drawing/2014/main" id="{6EA5E770-56D8-9E3E-282A-7A19846835E8}"/>
            </a:ext>
          </a:extLst>
        </xdr:cNvPr>
        <xdr:cNvPicPr>
          <a:picLocks noChangeAspect="1"/>
        </xdr:cNvPicPr>
      </xdr:nvPicPr>
      <xdr:blipFill>
        <a:blip xmlns:r="http://schemas.openxmlformats.org/officeDocument/2006/relationships" r:embed="rId8"/>
        <a:stretch>
          <a:fillRect/>
        </a:stretch>
      </xdr:blipFill>
      <xdr:spPr>
        <a:xfrm>
          <a:off x="49498288" y="13719138"/>
          <a:ext cx="3152097" cy="181402"/>
        </a:xfrm>
        <a:prstGeom prst="rect">
          <a:avLst/>
        </a:prstGeom>
      </xdr:spPr>
    </xdr:pic>
    <xdr:clientData/>
  </xdr:twoCellAnchor>
  <xdr:twoCellAnchor editAs="oneCell">
    <xdr:from>
      <xdr:col>66</xdr:col>
      <xdr:colOff>571500</xdr:colOff>
      <xdr:row>54</xdr:row>
      <xdr:rowOff>22635</xdr:rowOff>
    </xdr:from>
    <xdr:to>
      <xdr:col>72</xdr:col>
      <xdr:colOff>325273</xdr:colOff>
      <xdr:row>55</xdr:row>
      <xdr:rowOff>18803</xdr:rowOff>
    </xdr:to>
    <xdr:pic>
      <xdr:nvPicPr>
        <xdr:cNvPr id="119" name="図 118">
          <a:extLst>
            <a:ext uri="{FF2B5EF4-FFF2-40B4-BE49-F238E27FC236}">
              <a16:creationId xmlns:a16="http://schemas.microsoft.com/office/drawing/2014/main" id="{B4455C26-703D-8CF7-8549-10D2DD1C50CB}"/>
            </a:ext>
          </a:extLst>
        </xdr:cNvPr>
        <xdr:cNvPicPr>
          <a:picLocks noChangeAspect="1"/>
        </xdr:cNvPicPr>
      </xdr:nvPicPr>
      <xdr:blipFill>
        <a:blip xmlns:r="http://schemas.openxmlformats.org/officeDocument/2006/relationships" r:embed="rId9"/>
        <a:stretch>
          <a:fillRect/>
        </a:stretch>
      </xdr:blipFill>
      <xdr:spPr>
        <a:xfrm>
          <a:off x="49507588" y="13536929"/>
          <a:ext cx="3384479" cy="175686"/>
        </a:xfrm>
        <a:prstGeom prst="rect">
          <a:avLst/>
        </a:prstGeom>
      </xdr:spPr>
    </xdr:pic>
    <xdr:clientData/>
  </xdr:twoCellAnchor>
  <xdr:twoCellAnchor>
    <xdr:from>
      <xdr:col>1</xdr:col>
      <xdr:colOff>414616</xdr:colOff>
      <xdr:row>72</xdr:row>
      <xdr:rowOff>22413</xdr:rowOff>
    </xdr:from>
    <xdr:to>
      <xdr:col>1</xdr:col>
      <xdr:colOff>4146176</xdr:colOff>
      <xdr:row>77</xdr:row>
      <xdr:rowOff>15209</xdr:rowOff>
    </xdr:to>
    <xdr:sp macro="" textlink="">
      <xdr:nvSpPr>
        <xdr:cNvPr id="42" name="線吹き出し 1 (枠付き) 41">
          <a:extLst>
            <a:ext uri="{FF2B5EF4-FFF2-40B4-BE49-F238E27FC236}">
              <a16:creationId xmlns:a16="http://schemas.microsoft.com/office/drawing/2014/main" id="{00000000-0008-0000-0900-00002A000000}"/>
            </a:ext>
          </a:extLst>
        </xdr:cNvPr>
        <xdr:cNvSpPr/>
      </xdr:nvSpPr>
      <xdr:spPr>
        <a:xfrm>
          <a:off x="1100416" y="19272438"/>
          <a:ext cx="3731560" cy="850046"/>
        </a:xfrm>
        <a:prstGeom prst="borderCallout1">
          <a:avLst>
            <a:gd name="adj1" fmla="val 979"/>
            <a:gd name="adj2" fmla="val 61543"/>
            <a:gd name="adj3" fmla="val -32972"/>
            <a:gd name="adj4" fmla="val 176392"/>
          </a:avLst>
        </a:prstGeom>
        <a:solidFill>
          <a:schemeClr val="accent5">
            <a:lumMod val="20000"/>
            <a:lumOff val="80000"/>
          </a:schemeClr>
        </a:solidFill>
        <a:ln>
          <a:solidFill>
            <a:schemeClr val="accent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IG-OFF</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時は未受信で通知されるよう通信ソフトに指定することで、</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IG</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情報は、通信状態に含め入力にはしない</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28</xdr:col>
      <xdr:colOff>20279</xdr:colOff>
      <xdr:row>48</xdr:row>
      <xdr:rowOff>132192</xdr:rowOff>
    </xdr:from>
    <xdr:to>
      <xdr:col>29</xdr:col>
      <xdr:colOff>172810</xdr:colOff>
      <xdr:row>121</xdr:row>
      <xdr:rowOff>136071</xdr:rowOff>
    </xdr:to>
    <xdr:sp macro="" textlink="">
      <xdr:nvSpPr>
        <xdr:cNvPr id="56" name="正方形/長方形 55">
          <a:extLst>
            <a:ext uri="{FF2B5EF4-FFF2-40B4-BE49-F238E27FC236}">
              <a16:creationId xmlns:a16="http://schemas.microsoft.com/office/drawing/2014/main" id="{00000000-0008-0000-0900-000038000000}"/>
            </a:ext>
          </a:extLst>
        </xdr:cNvPr>
        <xdr:cNvSpPr/>
      </xdr:nvSpPr>
      <xdr:spPr>
        <a:xfrm>
          <a:off x="26118779" y="8663871"/>
          <a:ext cx="764852" cy="20686736"/>
        </a:xfrm>
        <a:prstGeom prst="rect">
          <a:avLst/>
        </a:prstGeom>
        <a:noFill/>
        <a:ln w="381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25</xdr:col>
      <xdr:colOff>283429</xdr:colOff>
      <xdr:row>45</xdr:row>
      <xdr:rowOff>98413</xdr:rowOff>
    </xdr:from>
    <xdr:to>
      <xdr:col>27</xdr:col>
      <xdr:colOff>400386</xdr:colOff>
      <xdr:row>48</xdr:row>
      <xdr:rowOff>2128</xdr:rowOff>
    </xdr:to>
    <xdr:sp macro="" textlink="">
      <xdr:nvSpPr>
        <xdr:cNvPr id="57" name="線吹き出し 1 (枠付き) 56">
          <a:extLst>
            <a:ext uri="{FF2B5EF4-FFF2-40B4-BE49-F238E27FC236}">
              <a16:creationId xmlns:a16="http://schemas.microsoft.com/office/drawing/2014/main" id="{00000000-0008-0000-0900-000039000000}"/>
            </a:ext>
          </a:extLst>
        </xdr:cNvPr>
        <xdr:cNvSpPr/>
      </xdr:nvSpPr>
      <xdr:spPr>
        <a:xfrm>
          <a:off x="24544965" y="8099413"/>
          <a:ext cx="1341600" cy="434394"/>
        </a:xfrm>
        <a:prstGeom prst="borderCallout1">
          <a:avLst>
            <a:gd name="adj1" fmla="val 96574"/>
            <a:gd name="adj2" fmla="val 73681"/>
            <a:gd name="adj3" fmla="val 255852"/>
            <a:gd name="adj4" fmla="val 118872"/>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IG-ON</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機能</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31</xdr:col>
      <xdr:colOff>18235</xdr:colOff>
      <xdr:row>48</xdr:row>
      <xdr:rowOff>172762</xdr:rowOff>
    </xdr:from>
    <xdr:to>
      <xdr:col>32</xdr:col>
      <xdr:colOff>476251</xdr:colOff>
      <xdr:row>121</xdr:row>
      <xdr:rowOff>163285</xdr:rowOff>
    </xdr:to>
    <xdr:sp macro="" textlink="">
      <xdr:nvSpPr>
        <xdr:cNvPr id="62" name="正方形/長方形 61">
          <a:extLst>
            <a:ext uri="{FF2B5EF4-FFF2-40B4-BE49-F238E27FC236}">
              <a16:creationId xmlns:a16="http://schemas.microsoft.com/office/drawing/2014/main" id="{00000000-0008-0000-0900-00003E000000}"/>
            </a:ext>
          </a:extLst>
        </xdr:cNvPr>
        <xdr:cNvSpPr/>
      </xdr:nvSpPr>
      <xdr:spPr>
        <a:xfrm>
          <a:off x="27953699" y="8704441"/>
          <a:ext cx="1070338" cy="20673380"/>
        </a:xfrm>
        <a:prstGeom prst="rect">
          <a:avLst/>
        </a:prstGeom>
        <a:noFill/>
        <a:ln w="381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66</xdr:col>
      <xdr:colOff>485890</xdr:colOff>
      <xdr:row>45</xdr:row>
      <xdr:rowOff>133349</xdr:rowOff>
    </xdr:from>
    <xdr:to>
      <xdr:col>73</xdr:col>
      <xdr:colOff>367666</xdr:colOff>
      <xdr:row>57</xdr:row>
      <xdr:rowOff>11206</xdr:rowOff>
    </xdr:to>
    <xdr:sp macro="" textlink="">
      <xdr:nvSpPr>
        <xdr:cNvPr id="63" name="正方形/長方形 62">
          <a:extLst>
            <a:ext uri="{FF2B5EF4-FFF2-40B4-BE49-F238E27FC236}">
              <a16:creationId xmlns:a16="http://schemas.microsoft.com/office/drawing/2014/main" id="{00000000-0008-0000-0900-00003F000000}"/>
            </a:ext>
          </a:extLst>
        </xdr:cNvPr>
        <xdr:cNvSpPr/>
      </xdr:nvSpPr>
      <xdr:spPr>
        <a:xfrm>
          <a:off x="49421978" y="7753349"/>
          <a:ext cx="4117600" cy="6276416"/>
        </a:xfrm>
        <a:prstGeom prst="rect">
          <a:avLst/>
        </a:prstGeom>
        <a:noFill/>
        <a:ln w="381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74</xdr:col>
      <xdr:colOff>396917</xdr:colOff>
      <xdr:row>40</xdr:row>
      <xdr:rowOff>132679</xdr:rowOff>
    </xdr:from>
    <xdr:to>
      <xdr:col>80</xdr:col>
      <xdr:colOff>527243</xdr:colOff>
      <xdr:row>44</xdr:row>
      <xdr:rowOff>67541</xdr:rowOff>
    </xdr:to>
    <xdr:sp macro="" textlink="">
      <xdr:nvSpPr>
        <xdr:cNvPr id="65" name="線吹き出し 1 (枠付き) 64">
          <a:extLst>
            <a:ext uri="{FF2B5EF4-FFF2-40B4-BE49-F238E27FC236}">
              <a16:creationId xmlns:a16="http://schemas.microsoft.com/office/drawing/2014/main" id="{00000000-0008-0000-0900-000041000000}"/>
            </a:ext>
          </a:extLst>
        </xdr:cNvPr>
        <xdr:cNvSpPr/>
      </xdr:nvSpPr>
      <xdr:spPr>
        <a:xfrm>
          <a:off x="54173946" y="6856208"/>
          <a:ext cx="3761032" cy="629627"/>
        </a:xfrm>
        <a:prstGeom prst="borderCallout1">
          <a:avLst>
            <a:gd name="adj1" fmla="val 34056"/>
            <a:gd name="adj2" fmla="val 585"/>
            <a:gd name="adj3" fmla="val 141378"/>
            <a:gd name="adj4" fmla="val -31872"/>
          </a:avLst>
        </a:prstGeom>
        <a:solidFill>
          <a:schemeClr val="accent5">
            <a:lumMod val="20000"/>
            <a:lumOff val="80000"/>
          </a:schemeClr>
        </a:solidFill>
        <a:ln>
          <a:solidFill>
            <a:srgbClr val="385D8A"/>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サウンドファイルの再生は</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VSV</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側にて実施。</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Vom::Alert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からは</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CSR_BUZ</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による判定結果を通知する</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ja-JP" altLang="en-US" sz="800" b="1">
              <a:solidFill>
                <a:srgbClr val="FF0000"/>
              </a:solidFill>
              <a:latin typeface="Meiryo UI" panose="020B0604030504040204" pitchFamily="50" charset="-128"/>
              <a:ea typeface="Meiryo UI" panose="020B0604030504040204" pitchFamily="50" charset="-128"/>
              <a:cs typeface="Meiryo UI" panose="020B0604030504040204" pitchFamily="50" charset="-128"/>
            </a:rPr>
            <a:t>「</a:t>
          </a:r>
          <a:r>
            <a:rPr kumimoji="1" lang="en-US" altLang="ja-JP" sz="800" b="1">
              <a:solidFill>
                <a:srgbClr val="FF0000"/>
              </a:solidFill>
              <a:latin typeface="Meiryo UI" panose="020B0604030504040204" pitchFamily="50" charset="-128"/>
              <a:ea typeface="Meiryo UI" panose="020B0604030504040204" pitchFamily="50" charset="-128"/>
              <a:cs typeface="Meiryo UI" panose="020B0604030504040204" pitchFamily="50" charset="-128"/>
            </a:rPr>
            <a:t>UNR158</a:t>
          </a:r>
          <a:r>
            <a:rPr kumimoji="1" lang="ja-JP" altLang="en-US" sz="800" b="1">
              <a:solidFill>
                <a:srgbClr val="FF0000"/>
              </a:solidFill>
              <a:latin typeface="Meiryo UI" panose="020B0604030504040204" pitchFamily="50" charset="-128"/>
              <a:ea typeface="Meiryo UI" panose="020B0604030504040204" pitchFamily="50" charset="-128"/>
              <a:cs typeface="Meiryo UI" panose="020B0604030504040204" pitchFamily="50" charset="-128"/>
            </a:rPr>
            <a:t>に従い～」の文章が追記されているがソフト変更不要</a:t>
          </a:r>
          <a:endParaRPr kumimoji="1" lang="en-US" altLang="ja-JP" sz="800" b="1">
            <a:solidFill>
              <a:srgbClr val="FF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66</xdr:col>
      <xdr:colOff>431441</xdr:colOff>
      <xdr:row>43</xdr:row>
      <xdr:rowOff>91510</xdr:rowOff>
    </xdr:from>
    <xdr:to>
      <xdr:col>74</xdr:col>
      <xdr:colOff>598714</xdr:colOff>
      <xdr:row>46</xdr:row>
      <xdr:rowOff>10089</xdr:rowOff>
    </xdr:to>
    <xdr:sp macro="" textlink="">
      <xdr:nvSpPr>
        <xdr:cNvPr id="15" name="テキスト ボックス 14">
          <a:extLst>
            <a:ext uri="{FF2B5EF4-FFF2-40B4-BE49-F238E27FC236}">
              <a16:creationId xmlns:a16="http://schemas.microsoft.com/office/drawing/2014/main" id="{00000000-0008-0000-0900-00000F000000}"/>
            </a:ext>
          </a:extLst>
        </xdr:cNvPr>
        <xdr:cNvSpPr txBox="1"/>
      </xdr:nvSpPr>
      <xdr:spPr>
        <a:xfrm>
          <a:off x="49798155" y="7697903"/>
          <a:ext cx="5065845" cy="49007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200">
              <a:solidFill>
                <a:srgbClr val="FF0000"/>
              </a:solidFill>
              <a:latin typeface="Meiryo UI" panose="020B0604030504040204" pitchFamily="50" charset="-128"/>
              <a:ea typeface="Meiryo UI" panose="020B0604030504040204" pitchFamily="50" charset="-128"/>
            </a:rPr>
            <a:t>MET-S_ADBZR-CSTD-0-XX-X-XX_Appendix-CLESON.docx</a:t>
          </a:r>
          <a:endParaRPr kumimoji="1" lang="ja-JP" altLang="en-US" sz="1200">
            <a:solidFill>
              <a:srgbClr val="FF0000"/>
            </a:solidFill>
            <a:latin typeface="Meiryo UI" panose="020B0604030504040204" pitchFamily="50" charset="-128"/>
            <a:ea typeface="Meiryo UI" panose="020B0604030504040204" pitchFamily="50" charset="-128"/>
          </a:endParaRPr>
        </a:p>
      </xdr:txBody>
    </xdr:sp>
    <xdr:clientData/>
  </xdr:twoCellAnchor>
  <xdr:twoCellAnchor>
    <xdr:from>
      <xdr:col>32</xdr:col>
      <xdr:colOff>476251</xdr:colOff>
      <xdr:row>64</xdr:row>
      <xdr:rowOff>49530</xdr:rowOff>
    </xdr:from>
    <xdr:to>
      <xdr:col>54</xdr:col>
      <xdr:colOff>674783</xdr:colOff>
      <xdr:row>82</xdr:row>
      <xdr:rowOff>134006</xdr:rowOff>
    </xdr:to>
    <xdr:cxnSp macro="">
      <xdr:nvCxnSpPr>
        <xdr:cNvPr id="105" name="直線矢印コネクタ 104">
          <a:extLst>
            <a:ext uri="{FF2B5EF4-FFF2-40B4-BE49-F238E27FC236}">
              <a16:creationId xmlns:a16="http://schemas.microsoft.com/office/drawing/2014/main" id="{00000000-0008-0000-0900-000069000000}"/>
            </a:ext>
          </a:extLst>
        </xdr:cNvPr>
        <xdr:cNvCxnSpPr>
          <a:stCxn id="62" idx="3"/>
          <a:endCxn id="101" idx="1"/>
        </xdr:cNvCxnSpPr>
      </xdr:nvCxnSpPr>
      <xdr:spPr>
        <a:xfrm flipV="1">
          <a:off x="32208108" y="15697744"/>
          <a:ext cx="15166389" cy="3322976"/>
        </a:xfrm>
        <a:prstGeom prst="straightConnector1">
          <a:avLst/>
        </a:prstGeom>
        <a:ln w="28575">
          <a:solidFill>
            <a:schemeClr val="accent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65</xdr:col>
      <xdr:colOff>674370</xdr:colOff>
      <xdr:row>50</xdr:row>
      <xdr:rowOff>1316083</xdr:rowOff>
    </xdr:from>
    <xdr:to>
      <xdr:col>68</xdr:col>
      <xdr:colOff>177710</xdr:colOff>
      <xdr:row>63</xdr:row>
      <xdr:rowOff>165191</xdr:rowOff>
    </xdr:to>
    <xdr:cxnSp macro="">
      <xdr:nvCxnSpPr>
        <xdr:cNvPr id="115" name="直線矢印コネクタ 114">
          <a:extLst>
            <a:ext uri="{FF2B5EF4-FFF2-40B4-BE49-F238E27FC236}">
              <a16:creationId xmlns:a16="http://schemas.microsoft.com/office/drawing/2014/main" id="{00000000-0008-0000-0900-000073000000}"/>
            </a:ext>
          </a:extLst>
        </xdr:cNvPr>
        <xdr:cNvCxnSpPr>
          <a:cxnSpLocks/>
          <a:stCxn id="101" idx="3"/>
        </xdr:cNvCxnSpPr>
      </xdr:nvCxnSpPr>
      <xdr:spPr>
        <a:xfrm flipV="1">
          <a:off x="54858013" y="11916047"/>
          <a:ext cx="1544411" cy="3720465"/>
        </a:xfrm>
        <a:prstGeom prst="straightConnector1">
          <a:avLst/>
        </a:prstGeom>
        <a:ln w="28575">
          <a:solidFill>
            <a:schemeClr val="accent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54</xdr:col>
      <xdr:colOff>674783</xdr:colOff>
      <xdr:row>48</xdr:row>
      <xdr:rowOff>207917</xdr:rowOff>
    </xdr:from>
    <xdr:to>
      <xdr:col>65</xdr:col>
      <xdr:colOff>674370</xdr:colOff>
      <xdr:row>86</xdr:row>
      <xdr:rowOff>1347106</xdr:rowOff>
    </xdr:to>
    <xdr:sp macro="" textlink="">
      <xdr:nvSpPr>
        <xdr:cNvPr id="101" name="正方形/長方形 100">
          <a:extLst>
            <a:ext uri="{FF2B5EF4-FFF2-40B4-BE49-F238E27FC236}">
              <a16:creationId xmlns:a16="http://schemas.microsoft.com/office/drawing/2014/main" id="{00000000-0008-0000-0900-000065000000}"/>
            </a:ext>
          </a:extLst>
        </xdr:cNvPr>
        <xdr:cNvSpPr/>
      </xdr:nvSpPr>
      <xdr:spPr>
        <a:xfrm>
          <a:off x="47374497" y="8739596"/>
          <a:ext cx="7483516" cy="13916296"/>
        </a:xfrm>
        <a:prstGeom prst="rect">
          <a:avLst/>
        </a:prstGeom>
        <a:noFill/>
        <a:ln w="381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70</xdr:col>
      <xdr:colOff>296620</xdr:colOff>
      <xdr:row>57</xdr:row>
      <xdr:rowOff>91720</xdr:rowOff>
    </xdr:from>
    <xdr:to>
      <xdr:col>76</xdr:col>
      <xdr:colOff>511854</xdr:colOff>
      <xdr:row>61</xdr:row>
      <xdr:rowOff>92453</xdr:rowOff>
    </xdr:to>
    <xdr:sp macro="" textlink="">
      <xdr:nvSpPr>
        <xdr:cNvPr id="106" name="線吹き出し 1 (枠付き) 84">
          <a:extLst>
            <a:ext uri="{FF2B5EF4-FFF2-40B4-BE49-F238E27FC236}">
              <a16:creationId xmlns:a16="http://schemas.microsoft.com/office/drawing/2014/main" id="{DB015AAC-3B74-40F7-B4FA-EC45B2EBCA6F}"/>
            </a:ext>
          </a:extLst>
        </xdr:cNvPr>
        <xdr:cNvSpPr/>
      </xdr:nvSpPr>
      <xdr:spPr>
        <a:xfrm>
          <a:off x="51653179" y="14110279"/>
          <a:ext cx="3845940" cy="673086"/>
        </a:xfrm>
        <a:prstGeom prst="borderCallout1">
          <a:avLst>
            <a:gd name="adj1" fmla="val 34056"/>
            <a:gd name="adj2" fmla="val 585"/>
            <a:gd name="adj3" fmla="val -66132"/>
            <a:gd name="adj4" fmla="val -6328"/>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音圧の変更は</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VSV</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側にて実施。</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Vom::Alert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からは</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CSR_VOL</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による判定結果を通知する。</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80</xdr:col>
      <xdr:colOff>525338</xdr:colOff>
      <xdr:row>42</xdr:row>
      <xdr:rowOff>110588</xdr:rowOff>
    </xdr:from>
    <xdr:to>
      <xdr:col>81</xdr:col>
      <xdr:colOff>414337</xdr:colOff>
      <xdr:row>46</xdr:row>
      <xdr:rowOff>13334</xdr:rowOff>
    </xdr:to>
    <xdr:cxnSp macro="">
      <xdr:nvCxnSpPr>
        <xdr:cNvPr id="113" name="直線コネクタ 112">
          <a:extLst>
            <a:ext uri="{FF2B5EF4-FFF2-40B4-BE49-F238E27FC236}">
              <a16:creationId xmlns:a16="http://schemas.microsoft.com/office/drawing/2014/main" id="{B205E3D7-A998-C733-3AA0-213FB289C726}"/>
            </a:ext>
          </a:extLst>
        </xdr:cNvPr>
        <xdr:cNvCxnSpPr>
          <a:stCxn id="65" idx="0"/>
          <a:endCxn id="114" idx="0"/>
        </xdr:cNvCxnSpPr>
      </xdr:nvCxnSpPr>
      <xdr:spPr>
        <a:xfrm>
          <a:off x="58256363" y="7311488"/>
          <a:ext cx="498599" cy="636171"/>
        </a:xfrm>
        <a:prstGeom prst="line">
          <a:avLst/>
        </a:prstGeom>
        <a:ln w="38100"/>
      </xdr:spPr>
      <xdr:style>
        <a:lnRef idx="1">
          <a:schemeClr val="accent1"/>
        </a:lnRef>
        <a:fillRef idx="0">
          <a:schemeClr val="accent1"/>
        </a:fillRef>
        <a:effectRef idx="0">
          <a:schemeClr val="accent1"/>
        </a:effectRef>
        <a:fontRef idx="minor">
          <a:schemeClr val="tx1"/>
        </a:fontRef>
      </xdr:style>
    </xdr:cxnSp>
    <xdr:clientData/>
  </xdr:twoCellAnchor>
  <xdr:twoCellAnchor>
    <xdr:from>
      <xdr:col>78</xdr:col>
      <xdr:colOff>292417</xdr:colOff>
      <xdr:row>46</xdr:row>
      <xdr:rowOff>13334</xdr:rowOff>
    </xdr:from>
    <xdr:to>
      <xdr:col>84</xdr:col>
      <xdr:colOff>536257</xdr:colOff>
      <xdr:row>49</xdr:row>
      <xdr:rowOff>1628775</xdr:rowOff>
    </xdr:to>
    <xdr:sp macro="" textlink="">
      <xdr:nvSpPr>
        <xdr:cNvPr id="114" name="正方形/長方形 113">
          <a:extLst>
            <a:ext uri="{FF2B5EF4-FFF2-40B4-BE49-F238E27FC236}">
              <a16:creationId xmlns:a16="http://schemas.microsoft.com/office/drawing/2014/main" id="{B8BBF2A5-61F6-4257-93B1-EB88076D45FF}"/>
            </a:ext>
          </a:extLst>
        </xdr:cNvPr>
        <xdr:cNvSpPr/>
      </xdr:nvSpPr>
      <xdr:spPr>
        <a:xfrm>
          <a:off x="56804242" y="7947659"/>
          <a:ext cx="3901440" cy="2291716"/>
        </a:xfrm>
        <a:prstGeom prst="rect">
          <a:avLst/>
        </a:prstGeom>
        <a:noFill/>
        <a:ln w="381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78</xdr:col>
      <xdr:colOff>283910</xdr:colOff>
      <xdr:row>49</xdr:row>
      <xdr:rowOff>1676400</xdr:rowOff>
    </xdr:from>
    <xdr:to>
      <xdr:col>84</xdr:col>
      <xdr:colOff>544830</xdr:colOff>
      <xdr:row>50</xdr:row>
      <xdr:rowOff>2428875</xdr:rowOff>
    </xdr:to>
    <xdr:sp macro="" textlink="">
      <xdr:nvSpPr>
        <xdr:cNvPr id="69" name="正方形/長方形 68">
          <a:extLst>
            <a:ext uri="{FF2B5EF4-FFF2-40B4-BE49-F238E27FC236}">
              <a16:creationId xmlns:a16="http://schemas.microsoft.com/office/drawing/2014/main" id="{00000000-0008-0000-0900-000045000000}"/>
            </a:ext>
          </a:extLst>
        </xdr:cNvPr>
        <xdr:cNvSpPr/>
      </xdr:nvSpPr>
      <xdr:spPr>
        <a:xfrm>
          <a:off x="56795735" y="10287000"/>
          <a:ext cx="3918520" cy="2447925"/>
        </a:xfrm>
        <a:prstGeom prst="rect">
          <a:avLst/>
        </a:prstGeom>
        <a:noFill/>
        <a:ln w="381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85</xdr:col>
      <xdr:colOff>298725</xdr:colOff>
      <xdr:row>50</xdr:row>
      <xdr:rowOff>1276276</xdr:rowOff>
    </xdr:from>
    <xdr:to>
      <xdr:col>91</xdr:col>
      <xdr:colOff>248603</xdr:colOff>
      <xdr:row>50</xdr:row>
      <xdr:rowOff>2286000</xdr:rowOff>
    </xdr:to>
    <xdr:sp macro="" textlink="">
      <xdr:nvSpPr>
        <xdr:cNvPr id="75" name="線吹き出し 1 (枠付き) 74">
          <a:extLst>
            <a:ext uri="{FF2B5EF4-FFF2-40B4-BE49-F238E27FC236}">
              <a16:creationId xmlns:a16="http://schemas.microsoft.com/office/drawing/2014/main" id="{00000000-0008-0000-0900-00004B000000}"/>
            </a:ext>
          </a:extLst>
        </xdr:cNvPr>
        <xdr:cNvSpPr/>
      </xdr:nvSpPr>
      <xdr:spPr>
        <a:xfrm>
          <a:off x="61806413" y="11348964"/>
          <a:ext cx="3664628" cy="1009724"/>
        </a:xfrm>
        <a:prstGeom prst="borderCallout1">
          <a:avLst>
            <a:gd name="adj1" fmla="val 34056"/>
            <a:gd name="adj2" fmla="val 585"/>
            <a:gd name="adj3" fmla="val 52550"/>
            <a:gd name="adj4" fmla="val -11303"/>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3</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連発吹鳴</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+2</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連発休止は</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VSV</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側にて実施。</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Vom::Alert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からは</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CSR_BUZ</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による判定結果を通知する。</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ja-JP" altLang="en-US" sz="800" b="1">
              <a:solidFill>
                <a:srgbClr val="FF0000"/>
              </a:solidFill>
              <a:latin typeface="Meiryo UI" panose="020B0604030504040204" pitchFamily="50" charset="-128"/>
              <a:ea typeface="Meiryo UI" panose="020B0604030504040204" pitchFamily="50" charset="-128"/>
              <a:cs typeface="Meiryo UI" panose="020B0604030504040204" pitchFamily="50" charset="-128"/>
            </a:rPr>
            <a:t>「ただし、図３における～」の文章が追記されているがソフト変更不要</a:t>
          </a:r>
          <a:endParaRPr kumimoji="1" lang="en-US" altLang="ja-JP" sz="800" b="1">
            <a:solidFill>
              <a:srgbClr val="FF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78</xdr:col>
      <xdr:colOff>277178</xdr:colOff>
      <xdr:row>50</xdr:row>
      <xdr:rowOff>2573655</xdr:rowOff>
    </xdr:from>
    <xdr:to>
      <xdr:col>84</xdr:col>
      <xdr:colOff>560070</xdr:colOff>
      <xdr:row>71</xdr:row>
      <xdr:rowOff>152401</xdr:rowOff>
    </xdr:to>
    <xdr:sp macro="" textlink="">
      <xdr:nvSpPr>
        <xdr:cNvPr id="137" name="正方形/長方形 136">
          <a:extLst>
            <a:ext uri="{FF2B5EF4-FFF2-40B4-BE49-F238E27FC236}">
              <a16:creationId xmlns:a16="http://schemas.microsoft.com/office/drawing/2014/main" id="{91437A58-F086-4E65-978A-6E01BB5FF938}"/>
            </a:ext>
          </a:extLst>
        </xdr:cNvPr>
        <xdr:cNvSpPr/>
      </xdr:nvSpPr>
      <xdr:spPr>
        <a:xfrm>
          <a:off x="56789003" y="12879705"/>
          <a:ext cx="3940492" cy="3884296"/>
        </a:xfrm>
        <a:prstGeom prst="rect">
          <a:avLst/>
        </a:prstGeom>
        <a:noFill/>
        <a:ln w="381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76</xdr:col>
      <xdr:colOff>515664</xdr:colOff>
      <xdr:row>59</xdr:row>
      <xdr:rowOff>95897</xdr:rowOff>
    </xdr:from>
    <xdr:to>
      <xdr:col>78</xdr:col>
      <xdr:colOff>282893</xdr:colOff>
      <xdr:row>62</xdr:row>
      <xdr:rowOff>24765</xdr:rowOff>
    </xdr:to>
    <xdr:cxnSp macro="">
      <xdr:nvCxnSpPr>
        <xdr:cNvPr id="138" name="直線コネクタ 137">
          <a:extLst>
            <a:ext uri="{FF2B5EF4-FFF2-40B4-BE49-F238E27FC236}">
              <a16:creationId xmlns:a16="http://schemas.microsoft.com/office/drawing/2014/main" id="{29E58077-B28D-43EF-B8AA-F972B4697D7B}"/>
            </a:ext>
          </a:extLst>
        </xdr:cNvPr>
        <xdr:cNvCxnSpPr>
          <a:stCxn id="106" idx="0"/>
        </xdr:cNvCxnSpPr>
      </xdr:nvCxnSpPr>
      <xdr:spPr>
        <a:xfrm>
          <a:off x="55502929" y="14450632"/>
          <a:ext cx="977464" cy="433133"/>
        </a:xfrm>
        <a:prstGeom prst="line">
          <a:avLst/>
        </a:prstGeom>
        <a:ln w="38100"/>
      </xdr:spPr>
      <xdr:style>
        <a:lnRef idx="1">
          <a:schemeClr val="accent1"/>
        </a:lnRef>
        <a:fillRef idx="0">
          <a:schemeClr val="accent1"/>
        </a:fillRef>
        <a:effectRef idx="0">
          <a:schemeClr val="accent1"/>
        </a:effectRef>
        <a:fontRef idx="minor">
          <a:schemeClr val="tx1"/>
        </a:fontRef>
      </xdr:style>
    </xdr:cxnSp>
    <xdr:clientData/>
  </xdr:twoCellAnchor>
  <xdr:twoCellAnchor>
    <xdr:from>
      <xdr:col>78</xdr:col>
      <xdr:colOff>275273</xdr:colOff>
      <xdr:row>72</xdr:row>
      <xdr:rowOff>102870</xdr:rowOff>
    </xdr:from>
    <xdr:to>
      <xdr:col>85</xdr:col>
      <xdr:colOff>93281</xdr:colOff>
      <xdr:row>78</xdr:row>
      <xdr:rowOff>142875</xdr:rowOff>
    </xdr:to>
    <xdr:sp macro="" textlink="">
      <xdr:nvSpPr>
        <xdr:cNvPr id="141" name="正方形/長方形 140">
          <a:extLst>
            <a:ext uri="{FF2B5EF4-FFF2-40B4-BE49-F238E27FC236}">
              <a16:creationId xmlns:a16="http://schemas.microsoft.com/office/drawing/2014/main" id="{BA0EA1F0-D6E1-4834-958F-56C47F8E1500}"/>
            </a:ext>
          </a:extLst>
        </xdr:cNvPr>
        <xdr:cNvSpPr/>
      </xdr:nvSpPr>
      <xdr:spPr>
        <a:xfrm>
          <a:off x="56787098" y="16885920"/>
          <a:ext cx="4085208" cy="1068705"/>
        </a:xfrm>
        <a:prstGeom prst="rect">
          <a:avLst/>
        </a:prstGeom>
        <a:noFill/>
        <a:ln w="381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78</xdr:col>
      <xdr:colOff>351473</xdr:colOff>
      <xdr:row>79</xdr:row>
      <xdr:rowOff>123825</xdr:rowOff>
    </xdr:from>
    <xdr:to>
      <xdr:col>83</xdr:col>
      <xdr:colOff>415800</xdr:colOff>
      <xdr:row>81</xdr:row>
      <xdr:rowOff>34522</xdr:rowOff>
    </xdr:to>
    <xdr:pic>
      <xdr:nvPicPr>
        <xdr:cNvPr id="143" name="図 142">
          <a:extLst>
            <a:ext uri="{FF2B5EF4-FFF2-40B4-BE49-F238E27FC236}">
              <a16:creationId xmlns:a16="http://schemas.microsoft.com/office/drawing/2014/main" id="{D31BDFBD-C98D-9822-8D63-6B1F880E589C}"/>
            </a:ext>
          </a:extLst>
        </xdr:cNvPr>
        <xdr:cNvPicPr>
          <a:picLocks noChangeAspect="1"/>
        </xdr:cNvPicPr>
      </xdr:nvPicPr>
      <xdr:blipFill>
        <a:blip xmlns:r="http://schemas.openxmlformats.org/officeDocument/2006/relationships" r:embed="rId10"/>
        <a:stretch>
          <a:fillRect/>
        </a:stretch>
      </xdr:blipFill>
      <xdr:spPr>
        <a:xfrm>
          <a:off x="56863298" y="18107025"/>
          <a:ext cx="3112327" cy="291697"/>
        </a:xfrm>
        <a:prstGeom prst="rect">
          <a:avLst/>
        </a:prstGeom>
      </xdr:spPr>
    </xdr:pic>
    <xdr:clientData/>
  </xdr:twoCellAnchor>
  <xdr:twoCellAnchor>
    <xdr:from>
      <xdr:col>78</xdr:col>
      <xdr:colOff>273368</xdr:colOff>
      <xdr:row>79</xdr:row>
      <xdr:rowOff>66675</xdr:rowOff>
    </xdr:from>
    <xdr:to>
      <xdr:col>85</xdr:col>
      <xdr:colOff>97091</xdr:colOff>
      <xdr:row>81</xdr:row>
      <xdr:rowOff>114300</xdr:rowOff>
    </xdr:to>
    <xdr:sp macro="" textlink="">
      <xdr:nvSpPr>
        <xdr:cNvPr id="144" name="正方形/長方形 143">
          <a:extLst>
            <a:ext uri="{FF2B5EF4-FFF2-40B4-BE49-F238E27FC236}">
              <a16:creationId xmlns:a16="http://schemas.microsoft.com/office/drawing/2014/main" id="{63C67E10-E280-4B99-AADD-C13A4409A7D9}"/>
            </a:ext>
          </a:extLst>
        </xdr:cNvPr>
        <xdr:cNvSpPr/>
      </xdr:nvSpPr>
      <xdr:spPr>
        <a:xfrm>
          <a:off x="56785193" y="18049875"/>
          <a:ext cx="4090923" cy="428625"/>
        </a:xfrm>
        <a:prstGeom prst="rect">
          <a:avLst/>
        </a:prstGeom>
        <a:noFill/>
        <a:ln w="381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85</xdr:col>
      <xdr:colOff>311468</xdr:colOff>
      <xdr:row>78</xdr:row>
      <xdr:rowOff>123825</xdr:rowOff>
    </xdr:from>
    <xdr:to>
      <xdr:col>89</xdr:col>
      <xdr:colOff>349568</xdr:colOff>
      <xdr:row>80</xdr:row>
      <xdr:rowOff>158115</xdr:rowOff>
    </xdr:to>
    <xdr:sp macro="" textlink="">
      <xdr:nvSpPr>
        <xdr:cNvPr id="145" name="線吹き出し 1 (枠付き) 74">
          <a:extLst>
            <a:ext uri="{FF2B5EF4-FFF2-40B4-BE49-F238E27FC236}">
              <a16:creationId xmlns:a16="http://schemas.microsoft.com/office/drawing/2014/main" id="{73231376-D326-4AA8-ACB1-D67D466616E4}"/>
            </a:ext>
          </a:extLst>
        </xdr:cNvPr>
        <xdr:cNvSpPr/>
      </xdr:nvSpPr>
      <xdr:spPr>
        <a:xfrm>
          <a:off x="61090493" y="17935575"/>
          <a:ext cx="2476500" cy="396240"/>
        </a:xfrm>
        <a:prstGeom prst="borderCallout1">
          <a:avLst>
            <a:gd name="adj1" fmla="val 54888"/>
            <a:gd name="adj2" fmla="val -118"/>
            <a:gd name="adj3" fmla="val 84084"/>
            <a:gd name="adj4" fmla="val -13682"/>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1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M_MAVCUS</a:t>
          </a:r>
          <a:r>
            <a:rPr kumimoji="1" lang="ja-JP" altLang="en-US" sz="11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の仕様にて対応</a:t>
          </a:r>
          <a:endParaRPr kumimoji="1" lang="en-US" altLang="ja-JP" sz="11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11</xdr:col>
      <xdr:colOff>54428</xdr:colOff>
      <xdr:row>100</xdr:row>
      <xdr:rowOff>17102</xdr:rowOff>
    </xdr:from>
    <xdr:to>
      <xdr:col>11</xdr:col>
      <xdr:colOff>2204357</xdr:colOff>
      <xdr:row>104</xdr:row>
      <xdr:rowOff>9823</xdr:rowOff>
    </xdr:to>
    <xdr:sp macro="" textlink="">
      <xdr:nvSpPr>
        <xdr:cNvPr id="2" name="線吹き出し 1 (枠付き) 42">
          <a:extLst>
            <a:ext uri="{FF2B5EF4-FFF2-40B4-BE49-F238E27FC236}">
              <a16:creationId xmlns:a16="http://schemas.microsoft.com/office/drawing/2014/main" id="{F37C4DCC-9E8D-4B0A-9EBC-14492B77CFBF}"/>
            </a:ext>
          </a:extLst>
        </xdr:cNvPr>
        <xdr:cNvSpPr/>
      </xdr:nvSpPr>
      <xdr:spPr>
        <a:xfrm>
          <a:off x="8531678" y="25476066"/>
          <a:ext cx="2149929" cy="700293"/>
        </a:xfrm>
        <a:prstGeom prst="borderCallout1">
          <a:avLst>
            <a:gd name="adj1" fmla="val -12470"/>
            <a:gd name="adj2" fmla="val 66657"/>
            <a:gd name="adj3" fmla="val -84276"/>
            <a:gd name="adj4" fmla="val -14664"/>
          </a:avLst>
        </a:prstGeom>
        <a:solidFill>
          <a:schemeClr val="accent5">
            <a:lumMod val="20000"/>
            <a:lumOff val="80000"/>
          </a:schemeClr>
        </a:solidFill>
        <a:ln>
          <a:solidFill>
            <a:schemeClr val="accent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途絶時は前回値保持のため、未受信ビットのみを入力とする</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1</xdr:col>
      <xdr:colOff>3850822</xdr:colOff>
      <xdr:row>99</xdr:row>
      <xdr:rowOff>149679</xdr:rowOff>
    </xdr:from>
    <xdr:to>
      <xdr:col>10</xdr:col>
      <xdr:colOff>645578</xdr:colOff>
      <xdr:row>105</xdr:row>
      <xdr:rowOff>0</xdr:rowOff>
    </xdr:to>
    <xdr:sp macro="" textlink="">
      <xdr:nvSpPr>
        <xdr:cNvPr id="3" name="線吹き出し 1 (枠付き) 43">
          <a:extLst>
            <a:ext uri="{FF2B5EF4-FFF2-40B4-BE49-F238E27FC236}">
              <a16:creationId xmlns:a16="http://schemas.microsoft.com/office/drawing/2014/main" id="{13904F62-B412-4D18-AD64-061AF90321ED}"/>
            </a:ext>
          </a:extLst>
        </xdr:cNvPr>
        <xdr:cNvSpPr/>
      </xdr:nvSpPr>
      <xdr:spPr>
        <a:xfrm>
          <a:off x="4531179" y="25431750"/>
          <a:ext cx="3298970" cy="911679"/>
        </a:xfrm>
        <a:prstGeom prst="borderCallout1">
          <a:avLst>
            <a:gd name="adj1" fmla="val -12470"/>
            <a:gd name="adj2" fmla="val 66657"/>
            <a:gd name="adj3" fmla="val -65249"/>
            <a:gd name="adj4" fmla="val 95300"/>
          </a:avLst>
        </a:prstGeom>
        <a:solidFill>
          <a:schemeClr val="accent5">
            <a:lumMod val="20000"/>
            <a:lumOff val="80000"/>
          </a:schemeClr>
        </a:solidFill>
        <a:ln>
          <a:solidFill>
            <a:schemeClr val="accent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IG-OFF</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時は未受信で通知されるよう通信ソフトに指定することで、</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IG</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情報は、通信状態に含め入力にはしない</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editAs="oneCell">
    <xdr:from>
      <xdr:col>18</xdr:col>
      <xdr:colOff>0</xdr:colOff>
      <xdr:row>1</xdr:row>
      <xdr:rowOff>0</xdr:rowOff>
    </xdr:from>
    <xdr:to>
      <xdr:col>38</xdr:col>
      <xdr:colOff>361640</xdr:colOff>
      <xdr:row>42</xdr:row>
      <xdr:rowOff>57150</xdr:rowOff>
    </xdr:to>
    <xdr:pic>
      <xdr:nvPicPr>
        <xdr:cNvPr id="4" name="図 3">
          <a:extLst>
            <a:ext uri="{FF2B5EF4-FFF2-40B4-BE49-F238E27FC236}">
              <a16:creationId xmlns:a16="http://schemas.microsoft.com/office/drawing/2014/main" id="{14FFB956-0AA0-990F-755A-341549FB6BAD}"/>
            </a:ext>
          </a:extLst>
        </xdr:cNvPr>
        <xdr:cNvPicPr>
          <a:picLocks noChangeAspect="1" noChangeArrowheads="1"/>
        </xdr:cNvPicPr>
      </xdr:nvPicPr>
      <xdr:blipFill>
        <a:blip xmlns:r="http://schemas.openxmlformats.org/officeDocument/2006/relationships" r:embed="rId11">
          <a:extLst>
            <a:ext uri="{28A0092B-C50C-407E-A947-70E740481C1C}">
              <a14:useLocalDpi xmlns:a14="http://schemas.microsoft.com/office/drawing/2010/main" val="0"/>
            </a:ext>
          </a:extLst>
        </a:blip>
        <a:srcRect/>
        <a:stretch>
          <a:fillRect/>
        </a:stretch>
      </xdr:blipFill>
      <xdr:spPr bwMode="auto">
        <a:xfrm>
          <a:off x="20026313" y="166688"/>
          <a:ext cx="12753665" cy="6881812"/>
        </a:xfrm>
        <a:prstGeom prst="rect">
          <a:avLst/>
        </a:prstGeom>
        <a:solidFill>
          <a:schemeClr val="bg1"/>
        </a:solidFill>
      </xdr:spPr>
    </xdr:pic>
    <xdr:clientData/>
  </xdr:twoCellAnchor>
  <xdr:twoCellAnchor editAs="oneCell">
    <xdr:from>
      <xdr:col>78</xdr:col>
      <xdr:colOff>325754</xdr:colOff>
      <xdr:row>50</xdr:row>
      <xdr:rowOff>2640331</xdr:rowOff>
    </xdr:from>
    <xdr:to>
      <xdr:col>84</xdr:col>
      <xdr:colOff>436334</xdr:colOff>
      <xdr:row>71</xdr:row>
      <xdr:rowOff>76200</xdr:rowOff>
    </xdr:to>
    <xdr:pic>
      <xdr:nvPicPr>
        <xdr:cNvPr id="30" name="図 29">
          <a:extLst>
            <a:ext uri="{FF2B5EF4-FFF2-40B4-BE49-F238E27FC236}">
              <a16:creationId xmlns:a16="http://schemas.microsoft.com/office/drawing/2014/main" id="{2B63BBB0-0802-9A69-29CD-C623EDDFB6EA}"/>
            </a:ext>
          </a:extLst>
        </xdr:cNvPr>
        <xdr:cNvPicPr>
          <a:picLocks noChangeAspect="1" noChangeArrowheads="1"/>
        </xdr:cNvPicPr>
      </xdr:nvPicPr>
      <xdr:blipFill>
        <a:blip xmlns:r="http://schemas.openxmlformats.org/officeDocument/2006/relationships" r:embed="rId12" cstate="print">
          <a:extLst>
            <a:ext uri="{28A0092B-C50C-407E-A947-70E740481C1C}">
              <a14:useLocalDpi xmlns:a14="http://schemas.microsoft.com/office/drawing/2010/main" val="0"/>
            </a:ext>
          </a:extLst>
        </a:blip>
        <a:srcRect/>
        <a:stretch>
          <a:fillRect/>
        </a:stretch>
      </xdr:blipFill>
      <xdr:spPr bwMode="auto">
        <a:xfrm>
          <a:off x="56837579" y="12946381"/>
          <a:ext cx="3779610" cy="3741419"/>
        </a:xfrm>
        <a:prstGeom prst="rect">
          <a:avLst/>
        </a:prstGeom>
        <a:solidFill>
          <a:schemeClr val="bg1"/>
        </a:solidFill>
      </xdr:spPr>
    </xdr:pic>
    <xdr:clientData/>
  </xdr:twoCellAnchor>
  <xdr:twoCellAnchor editAs="oneCell">
    <xdr:from>
      <xdr:col>78</xdr:col>
      <xdr:colOff>342900</xdr:colOff>
      <xdr:row>73</xdr:row>
      <xdr:rowOff>62865</xdr:rowOff>
    </xdr:from>
    <xdr:to>
      <xdr:col>85</xdr:col>
      <xdr:colOff>28575</xdr:colOff>
      <xdr:row>78</xdr:row>
      <xdr:rowOff>77935</xdr:rowOff>
    </xdr:to>
    <xdr:pic>
      <xdr:nvPicPr>
        <xdr:cNvPr id="31" name="図 30">
          <a:extLst>
            <a:ext uri="{FF2B5EF4-FFF2-40B4-BE49-F238E27FC236}">
              <a16:creationId xmlns:a16="http://schemas.microsoft.com/office/drawing/2014/main" id="{C5292BA6-BE11-778E-D246-195260112E4D}"/>
            </a:ext>
          </a:extLst>
        </xdr:cNvPr>
        <xdr:cNvPicPr>
          <a:picLocks noChangeAspect="1" noChangeArrowheads="1"/>
        </xdr:cNvPicPr>
      </xdr:nvPicPr>
      <xdr:blipFill>
        <a:blip xmlns:r="http://schemas.openxmlformats.org/officeDocument/2006/relationships" r:embed="rId13" cstate="print">
          <a:extLst>
            <a:ext uri="{28A0092B-C50C-407E-A947-70E740481C1C}">
              <a14:useLocalDpi xmlns:a14="http://schemas.microsoft.com/office/drawing/2010/main" val="0"/>
            </a:ext>
          </a:extLst>
        </a:blip>
        <a:srcRect/>
        <a:stretch>
          <a:fillRect/>
        </a:stretch>
      </xdr:blipFill>
      <xdr:spPr bwMode="auto">
        <a:xfrm>
          <a:off x="56854725" y="17017365"/>
          <a:ext cx="3952875" cy="872320"/>
        </a:xfrm>
        <a:prstGeom prst="rect">
          <a:avLst/>
        </a:prstGeom>
        <a:solidFill>
          <a:schemeClr val="bg1"/>
        </a:solidFill>
      </xdr:spPr>
    </xdr:pic>
    <xdr:clientData/>
  </xdr:twoCellAnchor>
  <xdr:twoCellAnchor>
    <xdr:from>
      <xdr:col>85</xdr:col>
      <xdr:colOff>284799</xdr:colOff>
      <xdr:row>72</xdr:row>
      <xdr:rowOff>66675</xdr:rowOff>
    </xdr:from>
    <xdr:to>
      <xdr:col>89</xdr:col>
      <xdr:colOff>569595</xdr:colOff>
      <xdr:row>76</xdr:row>
      <xdr:rowOff>59129</xdr:rowOff>
    </xdr:to>
    <xdr:sp macro="" textlink="">
      <xdr:nvSpPr>
        <xdr:cNvPr id="142" name="線吹き出し 1 (枠付き) 74">
          <a:extLst>
            <a:ext uri="{FF2B5EF4-FFF2-40B4-BE49-F238E27FC236}">
              <a16:creationId xmlns:a16="http://schemas.microsoft.com/office/drawing/2014/main" id="{309C06D0-5FD3-4D59-8034-4E4F0A094787}"/>
            </a:ext>
          </a:extLst>
        </xdr:cNvPr>
        <xdr:cNvSpPr/>
      </xdr:nvSpPr>
      <xdr:spPr>
        <a:xfrm>
          <a:off x="61063824" y="16849725"/>
          <a:ext cx="2723196" cy="678254"/>
        </a:xfrm>
        <a:prstGeom prst="borderCallout1">
          <a:avLst>
            <a:gd name="adj1" fmla="val 54888"/>
            <a:gd name="adj2" fmla="val -118"/>
            <a:gd name="adj3" fmla="val 115822"/>
            <a:gd name="adj4" fmla="val -11627"/>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1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優先度および</a:t>
          </a:r>
          <a:r>
            <a:rPr kumimoji="1" lang="en-US" altLang="ja-JP" sz="11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CH</a:t>
          </a:r>
          <a:r>
            <a:rPr kumimoji="1" lang="ja-JP" altLang="en-US" sz="11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の違いによる動作であり、</a:t>
          </a:r>
          <a:endParaRPr kumimoji="1" lang="en-US" altLang="ja-JP" sz="11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ja-JP" altLang="en-US" sz="11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個別の制御は追加不要</a:t>
          </a:r>
          <a:endParaRPr kumimoji="1" lang="en-US" altLang="ja-JP" sz="11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31</xdr:col>
      <xdr:colOff>504265</xdr:colOff>
      <xdr:row>127</xdr:row>
      <xdr:rowOff>116998</xdr:rowOff>
    </xdr:from>
    <xdr:to>
      <xdr:col>33</xdr:col>
      <xdr:colOff>3886</xdr:colOff>
      <xdr:row>128</xdr:row>
      <xdr:rowOff>145676</xdr:rowOff>
    </xdr:to>
    <xdr:sp macro="" textlink="">
      <xdr:nvSpPr>
        <xdr:cNvPr id="7" name="正方形/長方形 6">
          <a:extLst>
            <a:ext uri="{FF2B5EF4-FFF2-40B4-BE49-F238E27FC236}">
              <a16:creationId xmlns:a16="http://schemas.microsoft.com/office/drawing/2014/main" id="{D05EF7F1-76D2-45AF-92C3-C6E874EC046B}"/>
            </a:ext>
          </a:extLst>
        </xdr:cNvPr>
        <xdr:cNvSpPr/>
      </xdr:nvSpPr>
      <xdr:spPr>
        <a:xfrm>
          <a:off x="28664647" y="27963616"/>
          <a:ext cx="709857" cy="185560"/>
        </a:xfrm>
        <a:prstGeom prst="rect">
          <a:avLst/>
        </a:prstGeom>
        <a:noFill/>
        <a:ln w="381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37</xdr:col>
      <xdr:colOff>387396</xdr:colOff>
      <xdr:row>122</xdr:row>
      <xdr:rowOff>150574</xdr:rowOff>
    </xdr:from>
    <xdr:to>
      <xdr:col>39</xdr:col>
      <xdr:colOff>440467</xdr:colOff>
      <xdr:row>125</xdr:row>
      <xdr:rowOff>145858</xdr:rowOff>
    </xdr:to>
    <xdr:sp macro="" textlink="">
      <xdr:nvSpPr>
        <xdr:cNvPr id="8" name="線吹き出し 1 (枠付き) 58">
          <a:extLst>
            <a:ext uri="{FF2B5EF4-FFF2-40B4-BE49-F238E27FC236}">
              <a16:creationId xmlns:a16="http://schemas.microsoft.com/office/drawing/2014/main" id="{00438D8A-278C-49EC-A42C-96C8D64B70CC}"/>
            </a:ext>
          </a:extLst>
        </xdr:cNvPr>
        <xdr:cNvSpPr/>
      </xdr:nvSpPr>
      <xdr:spPr>
        <a:xfrm>
          <a:off x="32178484" y="27212780"/>
          <a:ext cx="1263307" cy="465931"/>
        </a:xfrm>
        <a:prstGeom prst="borderCallout1">
          <a:avLst>
            <a:gd name="adj1" fmla="val 18992"/>
            <a:gd name="adj2" fmla="val -844"/>
            <a:gd name="adj3" fmla="val 173965"/>
            <a:gd name="adj4" fmla="val -219572"/>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途絶時は非吹鳴</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31</xdr:col>
      <xdr:colOff>504266</xdr:colOff>
      <xdr:row>129</xdr:row>
      <xdr:rowOff>4838</xdr:rowOff>
    </xdr:from>
    <xdr:to>
      <xdr:col>33</xdr:col>
      <xdr:colOff>3886</xdr:colOff>
      <xdr:row>130</xdr:row>
      <xdr:rowOff>33617</xdr:rowOff>
    </xdr:to>
    <xdr:sp macro="" textlink="">
      <xdr:nvSpPr>
        <xdr:cNvPr id="9" name="正方形/長方形 8">
          <a:extLst>
            <a:ext uri="{FF2B5EF4-FFF2-40B4-BE49-F238E27FC236}">
              <a16:creationId xmlns:a16="http://schemas.microsoft.com/office/drawing/2014/main" id="{7425A78C-2119-4DC6-99E7-663FF1506453}"/>
            </a:ext>
          </a:extLst>
        </xdr:cNvPr>
        <xdr:cNvSpPr/>
      </xdr:nvSpPr>
      <xdr:spPr>
        <a:xfrm>
          <a:off x="28664648" y="28165220"/>
          <a:ext cx="709856" cy="185662"/>
        </a:xfrm>
        <a:prstGeom prst="rect">
          <a:avLst/>
        </a:prstGeom>
        <a:noFill/>
        <a:ln w="381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37</xdr:col>
      <xdr:colOff>218053</xdr:colOff>
      <xdr:row>127</xdr:row>
      <xdr:rowOff>7733</xdr:rowOff>
    </xdr:from>
    <xdr:to>
      <xdr:col>40</xdr:col>
      <xdr:colOff>6623</xdr:colOff>
      <xdr:row>130</xdr:row>
      <xdr:rowOff>54349</xdr:rowOff>
    </xdr:to>
    <xdr:sp macro="" textlink="">
      <xdr:nvSpPr>
        <xdr:cNvPr id="10" name="線吹き出し 1 (枠付き) 90">
          <a:extLst>
            <a:ext uri="{FF2B5EF4-FFF2-40B4-BE49-F238E27FC236}">
              <a16:creationId xmlns:a16="http://schemas.microsoft.com/office/drawing/2014/main" id="{55A32096-133A-43DA-B3C0-6B74210BC61A}"/>
            </a:ext>
          </a:extLst>
        </xdr:cNvPr>
        <xdr:cNvSpPr/>
      </xdr:nvSpPr>
      <xdr:spPr>
        <a:xfrm>
          <a:off x="32009141" y="27854351"/>
          <a:ext cx="1603923" cy="517263"/>
        </a:xfrm>
        <a:prstGeom prst="borderCallout1">
          <a:avLst>
            <a:gd name="adj1" fmla="val 18758"/>
            <a:gd name="adj2" fmla="val 198"/>
            <a:gd name="adj3" fmla="val 74435"/>
            <a:gd name="adj4" fmla="val -160405"/>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途絶時は前回信号値</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29</xdr:col>
      <xdr:colOff>316940</xdr:colOff>
      <xdr:row>127</xdr:row>
      <xdr:rowOff>111202</xdr:rowOff>
    </xdr:from>
    <xdr:to>
      <xdr:col>31</xdr:col>
      <xdr:colOff>493059</xdr:colOff>
      <xdr:row>130</xdr:row>
      <xdr:rowOff>30940</xdr:rowOff>
    </xdr:to>
    <xdr:sp macro="" textlink="">
      <xdr:nvSpPr>
        <xdr:cNvPr id="11" name="正方形/長方形 10">
          <a:extLst>
            <a:ext uri="{FF2B5EF4-FFF2-40B4-BE49-F238E27FC236}">
              <a16:creationId xmlns:a16="http://schemas.microsoft.com/office/drawing/2014/main" id="{BB6BAA4A-8527-4D20-8834-80A61F2855EA}"/>
            </a:ext>
          </a:extLst>
        </xdr:cNvPr>
        <xdr:cNvSpPr/>
      </xdr:nvSpPr>
      <xdr:spPr>
        <a:xfrm>
          <a:off x="27267087" y="27957820"/>
          <a:ext cx="1386354" cy="390385"/>
        </a:xfrm>
        <a:prstGeom prst="rect">
          <a:avLst/>
        </a:prstGeom>
        <a:noFill/>
        <a:ln w="381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29</xdr:col>
      <xdr:colOff>598621</xdr:colOff>
      <xdr:row>122</xdr:row>
      <xdr:rowOff>1</xdr:rowOff>
    </xdr:from>
    <xdr:to>
      <xdr:col>32</xdr:col>
      <xdr:colOff>123265</xdr:colOff>
      <xdr:row>124</xdr:row>
      <xdr:rowOff>153054</xdr:rowOff>
    </xdr:to>
    <xdr:sp macro="" textlink="">
      <xdr:nvSpPr>
        <xdr:cNvPr id="13" name="線吹き出し 1 (枠付き) 87">
          <a:extLst>
            <a:ext uri="{FF2B5EF4-FFF2-40B4-BE49-F238E27FC236}">
              <a16:creationId xmlns:a16="http://schemas.microsoft.com/office/drawing/2014/main" id="{1386FFE3-1CD4-4D34-A490-72BC5B442EB6}"/>
            </a:ext>
          </a:extLst>
        </xdr:cNvPr>
        <xdr:cNvSpPr/>
      </xdr:nvSpPr>
      <xdr:spPr>
        <a:xfrm>
          <a:off x="27548768" y="27062207"/>
          <a:ext cx="1339997" cy="466818"/>
        </a:xfrm>
        <a:prstGeom prst="borderCallout1">
          <a:avLst>
            <a:gd name="adj1" fmla="val 100816"/>
            <a:gd name="adj2" fmla="val 82382"/>
            <a:gd name="adj3" fmla="val 198635"/>
            <a:gd name="adj4" fmla="val 59884"/>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初期値は非吹鳴</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Ok41103\kojin\windows\&#65411;&#65438;&#65405;&#65400;&#65412;&#65391;&#65420;&#65439;\020620&#65306;03G-BOOK&#65306;IDPW.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BODYE1-FS1\MG_&#25216;2\windows\TEMP\(02,03)&#26032;&#35215;&#28857;&#22793;&#21270;&#28857;.xls"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36554;&#20001;&#20181;&#27096;"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Bodye1-soft2\dn_dev\job\&#22522;&#30436;&#12477;&#12501;&#12488;&#25972;&#20633;\11.display\&#12510;&#12491;&#12517;&#12450;&#12523;\&#12304;&#30707;&#20489;&#32232;&#38598;&#20013;&#12305;DisplayStateTransitionTable_ver.0.07.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020620：03G-BOOK：IDPW"/>
      <sheetName val="#REF"/>
      <sheetName val="選択肢"/>
      <sheetName val="入力規則"/>
      <sheetName val="IDPW(AW)"/>
      <sheetName val="スケジュール"/>
      <sheetName val="IDPW(全体)"/>
      <sheetName val="V205複合試験"/>
      <sheetName val="V200複合試験_担当分け (2)"/>
      <sheetName val="全項目help"/>
      <sheetName val="_REF"/>
      <sheetName val="020620_03G-BOOK_IDPW"/>
      <sheetName val="List"/>
      <sheetName val="Sheet2"/>
      <sheetName val="Setting"/>
      <sheetName val="ChoiceValues"/>
      <sheetName val="リスト"/>
      <sheetName val="Dropdowns"/>
      <sheetName val="緊急度"/>
      <sheetName val="03_リスト"/>
      <sheetName val="電源ボード"/>
      <sheetName val="ブラウザ遷移"/>
      <sheetName val="アミューズメント連携"/>
      <sheetName val="ini"/>
      <sheetName val="MOTO"/>
      <sheetName val="分類"/>
      <sheetName val="区分リスト"/>
      <sheetName val="ResultSummary"/>
      <sheetName val="Spec_List (19MC-DCM) "/>
      <sheetName val="紐づけ作業_TG3"/>
      <sheetName val="CV開発案件_ソフト"/>
      <sheetName val="要件_仕様0124版"/>
      <sheetName val="課題"/>
      <sheetName val="01_はじめに"/>
      <sheetName val="10_変更履歴"/>
      <sheetName val="11_方針"/>
      <sheetName val="設計書_サンプル(DCMTG3S-53)"/>
      <sheetName val="21_レビュー指摘一覧"/>
      <sheetName val="99_凡例"/>
      <sheetName val="紐づけ作業_TG2"/>
      <sheetName val="項目集計"/>
      <sheetName val="評価項目_15PF"/>
      <sheetName val="評価項目_19PF"/>
      <sheetName val="TS集計"/>
      <sheetName val="V200複合試験_担当分け_(2)"/>
      <sheetName val="Spec_List_(19MC-DCM)_"/>
      <sheetName val="Version"/>
      <sheetName val="データ定義"/>
      <sheetName val="Cooling Unit"/>
      <sheetName val="Summary"/>
      <sheetName val="ﾃﾞｰﾀﾍﾞｰｽ"/>
      <sheetName val="凡例・注記記載用"/>
      <sheetName val="Inf"/>
      <sheetName val="17CY利用OSS"/>
      <sheetName val="特性"/>
      <sheetName val="For legend, note"/>
      <sheetName val="mapReg(4)"/>
      <sheetName val="４．ナビモデル"/>
      <sheetName val="３．サウンドモデル"/>
      <sheetName val="２．ラジオモデル"/>
      <sheetName val="V200複合試験_担当分け_(2)1"/>
      <sheetName val="Spec_List_(19MC-DCM)_1"/>
      <sheetName val="Cooling_Unit"/>
      <sheetName val="1.概述"/>
      <sheetName val="OpenIssueList"/>
      <sheetName val="PullDown"/>
      <sheetName val="ECU基盤"/>
      <sheetName val="Name2"/>
      <sheetName val="Name3"/>
      <sheetName val="Company"/>
      <sheetName val="Name"/>
      <sheetName val="エンジン型式"/>
      <sheetName val="分类数据"/>
      <sheetName val="index"/>
      <sheetName val="表紙"/>
      <sheetName val="選定一覧"/>
      <sheetName val="材料受差"/>
      <sheetName val="入力リスト"/>
      <sheetName val="議事・勧告一覧"/>
      <sheetName val="rom map"/>
      <sheetName val="前提書情報"/>
      <sheetName val="工数ｺｰﾄﾞﾌﾟﾙﾀﾞｳﾝﾘｽﾄ"/>
      <sheetName val="DataList"/>
      <sheetName val="字段定义"/>
      <sheetName val="メニュー画面"/>
      <sheetName val="Cover"/>
      <sheetName val="DataInputRule"/>
      <sheetName val="投資ﾌｫﾛｰ"/>
      <sheetName val="説明"/>
      <sheetName val="祝日"/>
      <sheetName val="車両仕様"/>
      <sheetName val="選択リスト"/>
      <sheetName val="改訂履歴"/>
      <sheetName val="Q&amp;A確認"/>
      <sheetName val="#REF!"/>
      <sheetName val="信息定义"/>
      <sheetName val="★DropDown"/>
      <sheetName val="加工費"/>
      <sheetName val="R32C_116グループ（144Pin版）"/>
      <sheetName val="MN103SH40Q"/>
      <sheetName val="Sheet1"/>
      <sheetName val="⑥フューエル"/>
      <sheetName val="STEP1-Definition"/>
      <sheetName val="No.31"/>
      <sheetName val="階層一覧"/>
      <sheetName val="测试计划"/>
      <sheetName val="2.2.4_起動終了時"/>
      <sheetName val="全戻りﾊﾞｸﾞ"/>
      <sheetName val="DataShare"/>
      <sheetName val="ＯＰＭ設備"/>
      <sheetName val="償却計算"/>
      <sheetName val="技術費"/>
      <sheetName val="消耗材"/>
      <sheetName val="生産用消耗工具費"/>
      <sheetName val="投資込みＭＪ原価"/>
      <sheetName val="ＭＪ加工費"/>
      <sheetName val="仕損根拠"/>
      <sheetName val="DetailSequence"/>
      <sheetName val="ERRＩＤ90"/>
      <sheetName val="vocabulary"/>
      <sheetName val="Calibration"/>
      <sheetName val="CVBS"/>
      <sheetName val="RGB"/>
      <sheetName val="調査シート"/>
      <sheetName val="SCH"/>
      <sheetName val="发行控制"/>
      <sheetName val="Vibrate test"/>
      <sheetName val="Data"/>
      <sheetName val="注釈"/>
      <sheetName val="仕向け決定用情報取得(GM250)"/>
      <sheetName val="付録①（GM用）"/>
      <sheetName val="Data.Share"/>
      <sheetName val="Func.Share"/>
      <sheetName val="引言"/>
      <sheetName val="100万未満"/>
      <sheetName val="MessageList"/>
      <sheetName val="生産日報"/>
      <sheetName val="dial　check"/>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ow r="1">
          <cell r="A1">
            <v>0</v>
          </cell>
        </row>
      </sheetData>
      <sheetData sheetId="29"/>
      <sheetData sheetId="30"/>
      <sheetData sheetId="31"/>
      <sheetData sheetId="32"/>
      <sheetData sheetId="33"/>
      <sheetData sheetId="34"/>
      <sheetData sheetId="35"/>
      <sheetData sheetId="36"/>
      <sheetData sheetId="37"/>
      <sheetData sheetId="38"/>
      <sheetData sheetId="39"/>
      <sheetData sheetId="40" refreshError="1"/>
      <sheetData sheetId="41"/>
      <sheetData sheetId="42">
        <row r="1">
          <cell r="A1">
            <v>0</v>
          </cell>
        </row>
      </sheetData>
      <sheetData sheetId="43" refreshError="1"/>
      <sheetData sheetId="44"/>
      <sheetData sheetId="45">
        <row r="1">
          <cell r="A1">
            <v>0</v>
          </cell>
        </row>
      </sheetData>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sheetData sheetId="61"/>
      <sheetData sheetId="62"/>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GVIF1"/>
      <sheetName val="GVIF2"/>
      <sheetName val="作業要領"/>
      <sheetName val="INDEX"/>
      <sheetName val="端子№判定基準設定"/>
      <sheetName val="試験ﾒﾆｭｰ"/>
      <sheetName val="放射_LW"/>
      <sheetName val="放射_AM"/>
      <sheetName val="放射_SW"/>
      <sheetName val="放射_ｽﾏｰﾄ"/>
      <sheetName val="放射_FM"/>
      <sheetName val="放射_TV1"/>
      <sheetName val="放射_TV2"/>
      <sheetName val="放射_TV3"/>
      <sheetName val="放射_TV1 (北米・台・韓)"/>
      <sheetName val="放射_TV2 (北米・台・韓)"/>
      <sheetName val="放射_TV3 (北米・台・韓)"/>
      <sheetName val="放射_TV1 (欧・豪・中近・中国)"/>
      <sheetName val="放射_TV2 (欧・豪・中近・中国)"/>
      <sheetName val="放射_TV3 (欧・豪・中近・中国)"/>
      <sheetName val="放射_ｷｰﾚｽ1_国内・北米"/>
      <sheetName val="放射_ｷｰﾚｽ1_中近東・豪州"/>
      <sheetName val="放射_ｷｰﾚｽ1_ｼﾝｶﾞﾎﾟｰﾙ"/>
      <sheetName val="放射_ｷｰﾚｽ2_欧州"/>
      <sheetName val="放射_電話_国内1"/>
      <sheetName val="放射_電話_国内2"/>
      <sheetName val="放射_電話_北米1"/>
      <sheetName val="放射_電話_北米2"/>
      <sheetName val="放射_電話_欧州・豪州・中近東1"/>
      <sheetName val="放射_電話_欧州・豪州・中近東2"/>
      <sheetName val="放射_GPS1"/>
      <sheetName val="放射_GPS2"/>
      <sheetName val="伝導_LW"/>
      <sheetName val="伝導_AM"/>
      <sheetName val="伝導_SW"/>
      <sheetName val="伝導_ｽﾏｰﾄ"/>
      <sheetName val="伝導_FM・TV1"/>
      <sheetName val="伝導_TV2"/>
      <sheetName val="伝導_TV3"/>
      <sheetName val="伝導_TV1 (北米・台・韓)"/>
      <sheetName val="伝導_TV2 (北米・台・韓)"/>
      <sheetName val="伝導_TV3 (北米・台・韓)"/>
      <sheetName val="伝導_TV1 (欧・豪・中近・中国)"/>
      <sheetName val="伝導_TV2 (欧・豪・中近・中国)"/>
      <sheetName val="伝導_TV3 (欧・豪・中近・中国)"/>
      <sheetName val="伝導_ｷｰﾚｽ1_国内・北米"/>
      <sheetName val="伝導_ｷｰﾚｽ1_中近東・豪州"/>
      <sheetName val="伝導_ｷｰﾚｽ1_ｼﾝｶﾞﾎﾟｰﾙ"/>
      <sheetName val="伝導_ｷｰﾚｽ2_欧州"/>
      <sheetName val="伝導_電話_国内1"/>
      <sheetName val="伝導_電話_国内2"/>
      <sheetName val="伝導_電話_北米1"/>
      <sheetName val="伝導_電話_北米2"/>
      <sheetName val="伝導_電話_欧州・豪州・中近東1"/>
      <sheetName val="伝導_電話_欧州・豪州・中近東2"/>
      <sheetName val="試験結果まとめ（ｸﾞﾗﾌ）"/>
      <sheetName val="試験結果まとめ（編集ｸﾞﾗﾌ）"/>
      <sheetName val="試験結果まとめ（一覧表）"/>
      <sheetName val="Packaging"/>
      <sheetName val="95実績"/>
      <sheetName val="NF-CAR(MT)STEP"/>
      <sheetName val="設定"/>
      <sheetName val="⑥フューエル"/>
      <sheetName val="目次"/>
      <sheetName val="エンジン型式"/>
      <sheetName val="放射_TV1_(北米・台・韓)"/>
      <sheetName val="放射_TV2_(北米・台・韓)"/>
      <sheetName val="放射_TV3_(北米・台・韓)"/>
      <sheetName val="放射_TV1_(欧・豪・中近・中国)"/>
      <sheetName val="放射_TV2_(欧・豪・中近・中国)"/>
      <sheetName val="放射_TV3_(欧・豪・中近・中国)"/>
      <sheetName val="伝導_TV1_(北米・台・韓)"/>
      <sheetName val="伝導_TV2_(北米・台・韓)"/>
      <sheetName val="伝導_TV3_(北米・台・韓)"/>
      <sheetName val="伝導_TV1_(欧・豪・中近・中国)"/>
      <sheetName val="伝導_TV2_(欧・豪・中近・中国)"/>
      <sheetName val="伝導_TV3_(欧・豪・中近・中国)"/>
      <sheetName val="要求仕様Ｑ＆Ａ-ソフト"/>
      <sheetName val="DataList"/>
      <sheetName val="MDL製造仕様書"/>
      <sheetName val="リスト"/>
      <sheetName val="(02,03)新規点変化点"/>
      <sheetName val="リリース前チェック"/>
      <sheetName val="集計用"/>
      <sheetName val="List"/>
      <sheetName val="ﾊﾟﾗﾒｰﾀｰ表"/>
      <sheetName val="Menu List"/>
      <sheetName val="開発QA棚卸"/>
      <sheetName val="Inf"/>
      <sheetName val="集計"/>
      <sheetName val="Q&amp;A確認"/>
      <sheetName val="OpenIssueList"/>
      <sheetName val="ドメイン"/>
      <sheetName val="Sector Assignment"/>
      <sheetName val="パラメータ設定表"/>
      <sheetName val="CS2_SmcDriverインテグ項目"/>
      <sheetName val="XSSマイコン依存部 (基本設定)"/>
      <sheetName val="信息定义"/>
      <sheetName val="議事・勧告一覧"/>
      <sheetName val="发行控制"/>
      <sheetName val="Data Definition"/>
      <sheetName val="rom map"/>
      <sheetName val="Calcul"/>
      <sheetName val="Data"/>
      <sheetName val="ROUTE"/>
      <sheetName val="課題管理"/>
      <sheetName val="調査シート"/>
      <sheetName val="【Vardef】机能一览配置"/>
      <sheetName val="PullDown"/>
      <sheetName val="分类数据"/>
      <sheetName val="引言"/>
      <sheetName val="#REF!"/>
      <sheetName val="コマンド認識, DTMF"/>
      <sheetName val="県別ﾏﾙﾁ"/>
      <sheetName val="車両仕様"/>
      <sheetName val="FMEA記載方法"/>
      <sheetName val="基本情報"/>
      <sheetName val="リスク"/>
      <sheetName val="改訂履歴"/>
      <sheetName val="ソフト開発"/>
      <sheetName val="開発範囲・規約"/>
      <sheetName val="品質"/>
      <sheetName val="開発日程"/>
      <sheetName val="STEP1-Definition"/>
      <sheetName val="ListWork"/>
      <sheetName val="Config - dspmgr"/>
      <sheetName val="凡例・注記記載用"/>
      <sheetName val="入力パラメータ"/>
      <sheetName val="原紙"/>
      <sheetName val="マスタテーブル登録データ"/>
      <sheetName val="記入シート"/>
      <sheetName val="format"/>
      <sheetName val="検査シート"/>
      <sheetName val="1.概述"/>
      <sheetName val="InterFace"/>
      <sheetName val="集計表"/>
      <sheetName val="vocabulary"/>
      <sheetName val="Calibration"/>
      <sheetName val="CVBS"/>
      <sheetName val="RGB"/>
      <sheetName val="DetailSequence"/>
      <sheetName val="日程"/>
      <sheetName val="進捗"/>
      <sheetName val="印刷"/>
      <sheetName val="★ONS_MSG_list"/>
      <sheetName val="Defined Layout Screen_Ver.0.6"/>
      <sheetName val="ｲﾝﾊﾟｸﾄ影響台数集計表"/>
      <sheetName val="実勢(売上)台数表"/>
      <sheetName val="月別企画台数表"/>
      <sheetName val="プロジェクト一覧表(現行)"/>
      <sheetName val="限界利益表(半期別)"/>
      <sheetName val="機種マスタ"/>
      <sheetName val="機種ﾏｽﾀ（他車）"/>
      <sheetName val="売上高表(半期別)"/>
      <sheetName val="地点情報データ応答"/>
      <sheetName val="階層一覧"/>
      <sheetName val="リソーセス算出"/>
      <sheetName val="定義"/>
      <sheetName val="ドメイン一覧"/>
      <sheetName val="変更区分一覧"/>
      <sheetName val="難易度量一覧"/>
      <sheetName val="ユーザ一覧"/>
      <sheetName val="Normal(Mark)"/>
      <sheetName val="リストデータ"/>
      <sheetName val="②P071中計　工数パターン1312更新"/>
      <sheetName val="FBtbl"/>
      <sheetName val="R0-10表紙"/>
      <sheetName val="入力規則"/>
      <sheetName val="#REF"/>
      <sheetName val="Contents"/>
      <sheetName val="選択肢"/>
      <sheetName val="DTF"/>
      <sheetName val="module"/>
      <sheetName val="DataTable"/>
      <sheetName val="Func.Share"/>
      <sheetName val="場所指定地図"/>
      <sheetName val="ﾕｰｻﾞｰ設定"/>
      <sheetName val="入力"/>
      <sheetName val="MOTO"/>
      <sheetName val="ERRＩＤ90"/>
      <sheetName val="メイン"/>
      <sheetName val="一覧１"/>
      <sheetName val="No.31"/>
      <sheetName val="Cover"/>
      <sheetName val="LS1 and LS2"/>
      <sheetName val="00"/>
    </sheetNames>
    <sheetDataSet>
      <sheetData sheetId="0" refreshError="1"/>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row r="7">
          <cell r="B7" t="str">
            <v>評価結果ｸﾞﾗﾌ</v>
          </cell>
        </row>
      </sheetData>
      <sheetData sheetId="58"/>
      <sheetData sheetId="59" refreshError="1"/>
      <sheetData sheetId="60" refreshError="1"/>
      <sheetData sheetId="61" refreshError="1"/>
      <sheetData sheetId="62" refreshError="1"/>
      <sheetData sheetId="63" refreshError="1"/>
      <sheetData sheetId="64" refreshError="1"/>
      <sheetData sheetId="65" refreshError="1"/>
      <sheetData sheetId="66"/>
      <sheetData sheetId="67"/>
      <sheetData sheetId="68"/>
      <sheetData sheetId="69"/>
      <sheetData sheetId="70"/>
      <sheetData sheetId="71"/>
      <sheetData sheetId="72"/>
      <sheetData sheetId="73"/>
      <sheetData sheetId="74"/>
      <sheetData sheetId="75"/>
      <sheetData sheetId="76"/>
      <sheetData sheetId="77" refreshError="1"/>
      <sheetData sheetId="78" refreshError="1"/>
      <sheetData sheetId="79"/>
      <sheetData sheetId="80"/>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車両仕様"/>
      <sheetName val="車両仕様_x0000_4?_x0000__x0000__x0011__x0000__x0000_"/>
      <sheetName val="車両仕様 _x0000__x0000_?_x0012_?瞳?"/>
      <sheetName val="対米新旧差"/>
      <sheetName val="購入品費入り"/>
      <sheetName val="品名なし"/>
      <sheetName val="Sheet3"/>
      <sheetName val="500以上"/>
      <sheetName val="WARPより"/>
      <sheetName val="aug05"/>
      <sheetName val="jul05"/>
      <sheetName val="RR Diff  Progressive(28-Aug (2)"/>
      <sheetName val="RR Diff  Progressive(4-Sep-03)"/>
      <sheetName val="NICHE"/>
      <sheetName val="CAR"/>
      <sheetName val="COM"/>
      <sheetName val="TMMT"/>
      <sheetName val="TMUK"/>
      <sheetName val="CHRONOLOGY INDEX"/>
      <sheetName val="&lt;"/>
      <sheetName val="TMF"/>
      <sheetName val="SC430"/>
      <sheetName val="CBU"/>
      <sheetName val="&gt;"/>
      <sheetName val="COST REC. DISCREP."/>
      <sheetName val="車両仕様_x0000_ New02㾐"/>
      <sheetName val="車両仕様_x0000__x0000__x0000_ꎨ_x0012_窉瞳㾐"/>
      <sheetName val="表紙"/>
      <sheetName val="車両基本情報"/>
      <sheetName val="月別生産台数"/>
      <sheetName val="Sheet1"/>
      <sheetName val="アラジン"/>
      <sheetName val="入力用"/>
      <sheetName val="本体価格検討"/>
      <sheetName val="Competitor"/>
      <sheetName val="車両仕様 "/>
      <sheetName val="#REF"/>
      <sheetName val="MARCH-APRIL. 03"/>
      <sheetName val="sum_gtm"/>
      <sheetName val="検証確認シート"/>
      <sheetName val="帳票説明"/>
      <sheetName val="車両仕様?4???_x0011_??"/>
      <sheetName val="車両仕様 ???_x0012_?瞳?"/>
      <sheetName val="車両仕様? New02㾐"/>
      <sheetName val="車両仕様???ꎨ_x0012_窉瞳㾐"/>
      <sheetName val="車両仕様?4??_x0011_?"/>
      <sheetName val="車両仕様4??_x0011_?"/>
      <sheetName val="F Lead"/>
      <sheetName val="007SS"/>
      <sheetName val="2005．05．26Iwasaki"/>
      <sheetName val="Corona"/>
      <sheetName val="隠し"/>
      <sheetName val="車両仕様 __x0012__瞳_"/>
      <sheetName val="車両仕様4_"/>
      <sheetName val="ﾃｽﾄﾃﾞｰﾀ一覧"/>
      <sheetName val="車両仕様 ____x0012__瞳_"/>
      <sheetName val="車両仕様_4____x0011___"/>
      <sheetName val="車両仕様_ New02㾐"/>
      <sheetName val="車両仕様___ꎨ_x0012_窉瞳㾐"/>
      <sheetName val="車両仕様_4___x0011__"/>
      <sheetName val="車両仕様4___x0011__"/>
      <sheetName val="Distributor &amp; Dealer code"/>
      <sheetName val="T1 &amp; T2 Code"/>
      <sheetName val="All of Part list rev.49"/>
      <sheetName val="All of Part list rev.49 (PNo)"/>
      <sheetName val="車型仕様"/>
      <sheetName val="02年9月 まとめ 32βＨ"/>
      <sheetName val="車両ｽﾍﾟｯｸ表"/>
      <sheetName val="NOV"/>
      <sheetName val="D88D CAL"/>
      <sheetName val="Comparison"/>
      <sheetName val="parameter"/>
      <sheetName val="ES UX  27 40.464"/>
      <sheetName val="Part No."/>
      <sheetName val="715L Unit Price"/>
      <sheetName val="MARCH_APRIL_ 03"/>
      <sheetName val="MASTER FILE"/>
      <sheetName val="REPUESTOS LPA"/>
      <sheetName val="TALLER"/>
      <sheetName val="6770T02"/>
      <sheetName val="Oct Truckfest GMAC BC"/>
      <sheetName val="Corolla Gas"/>
      <sheetName val="tbContab05"/>
      <sheetName val="TCL1"/>
      <sheetName val="REVICED"/>
      <sheetName val="PL_1_2"/>
      <sheetName val="ESSBASE"/>
      <sheetName val="TANI"/>
      <sheetName val="091L"/>
      <sheetName val="200L"/>
      <sheetName val="180L"/>
      <sheetName val="Table"/>
      <sheetName val="11パラメータ"/>
      <sheetName val="保有ﾘｽﾄ"/>
      <sheetName val="Price"/>
      <sheetName val="ﾄﾖﾀUNIT"/>
      <sheetName val="投資ﾌｫﾛｰ"/>
      <sheetName val="RACK (CB)new"/>
      <sheetName val="001N99"/>
      <sheetName val="479T"/>
      <sheetName val="pre"/>
      <sheetName val="계실5-1"/>
      <sheetName val="%E8%BB%8A%E4%B8%A1%E4%BB%95%E6%"/>
      <sheetName val="ｲﾝﾊﾟｸﾄ影響台数集計表"/>
      <sheetName val="実勢(売上)台数表"/>
      <sheetName val="月別企画台数表"/>
      <sheetName val="プロジェクト一覧表(現行)"/>
      <sheetName val="限界利益表(半期別)"/>
      <sheetName val="機種マスタ"/>
      <sheetName val="機種ﾏｽﾀ（他車）"/>
      <sheetName val="売上高表(半期別)"/>
      <sheetName val="★작성양식"/>
      <sheetName val="仕入住原"/>
      <sheetName val="Datos HHRR"/>
      <sheetName val="進度管理表"/>
      <sheetName val="PP_LETTER"/>
      <sheetName val="７月発注分 (VLOOK)"/>
      <sheetName val="DBS040_RPT.RPT"/>
      <sheetName val="Plate_Bumper"/>
      <sheetName val="DATA"/>
      <sheetName val="Plate_Bumper (Summary)"/>
      <sheetName val="Inpanel"/>
      <sheetName val="Interior Trim"/>
      <sheetName val="Assumptions"/>
      <sheetName val="現調化効果"/>
      <sheetName val="日供品"/>
      <sheetName val="FAD Sum"/>
      <sheetName val="Medium"/>
      <sheetName val="Small"/>
      <sheetName val="車両仕様 _x005f_x0000__x005f_x0000___x005f_x0012__瞳_"/>
      <sheetName val="車両仕様_x005f_x0000_4__x005f_x0000__x005f_x0000__x00"/>
      <sheetName val="車両仕様_x005f_x0000_ New02㾐"/>
      <sheetName val="車両仕様_x005f_x0000__x005f_x0000__x005f_x0000_ꎨ_x001"/>
      <sheetName val="車両仕様 ____x005f_x0012__瞳_"/>
      <sheetName val="車両仕様_4____x005f_x0011___"/>
      <sheetName val="車両仕様___ꎨ_x005f_x0012_窉瞳㾐"/>
      <sheetName val="車両仕様_4___x005f_x0011__"/>
      <sheetName val="車両仕様4___x005f_x0011__"/>
      <sheetName val="車両仕様 __x005f_x0012__瞳_"/>
      <sheetName val="性能"/>
      <sheetName val="Wenger"/>
      <sheetName val="銷售&amp;毛利"/>
      <sheetName val="latest"/>
      <sheetName val="2005 TKM"/>
      <sheetName val="諸元表STR58043"/>
      <sheetName val="Actual"/>
      <sheetName val="AS"/>
      <sheetName val="Avanza"/>
      <sheetName val="Hiace"/>
      <sheetName val="Comm CKD"/>
      <sheetName val="Alphard"/>
      <sheetName val="Supp.List"/>
      <sheetName val="ＦＣ～FT"/>
      <sheetName val="Regional Penetration"/>
      <sheetName val="094W原紙 "/>
      <sheetName val="ヘッダ"/>
      <sheetName val="TMMI"/>
      <sheetName val="Parts"/>
      <sheetName val="97RAW"/>
      <sheetName val="costing"/>
      <sheetName val="Sheet2"/>
      <sheetName val="NAME"/>
      <sheetName val="Risk &amp; Opps"/>
      <sheetName val="長計対比"/>
      <sheetName val="投資･工数推移"/>
      <sheetName val="推移"/>
      <sheetName val="?"/>
      <sheetName val="TR"/>
      <sheetName val="542F"/>
      <sheetName val="CPF"/>
      <sheetName val="編集"/>
      <sheetName val="PAIData"/>
      <sheetName val="NCastalone"/>
      <sheetName val="dongia (2)"/>
      <sheetName val="Volumes"/>
      <sheetName val="⑪1ﾊﾞﾘｴｰｼｮﾝ(16LX)△１"/>
      <sheetName val="加工費"/>
      <sheetName val="車両仕様 嗼1嗼1噌1鲌"/>
      <sheetName val="車両仕様 勜+勜+匬+鲌"/>
      <sheetName val=" PART 479W LHD"/>
      <sheetName val=" PART MYY5A"/>
      <sheetName val="DUTRO"/>
      <sheetName val="Y230"/>
      <sheetName val="MASTER"/>
      <sheetName val="設定"/>
      <sheetName val="⑥フューエル"/>
      <sheetName val="電子ﾎﾞﾘｭｰﾑ設定値（740Nと同一）"/>
      <sheetName val="ﾌﾟﾙﾀﾞｳﾝﾒﾆｭｰ"/>
      <sheetName val="設品表01-3-23作成"/>
      <sheetName val="wire"/>
      <sheetName val="EquipmentTrimming Cabin NS"/>
      <sheetName val="MTRX96"/>
      <sheetName val="ｻﾝﾌﾟﾙ取出日程"/>
      <sheetName val="NWEA1180"/>
      <sheetName val="金型申入書ﾃﾞｰﾀ(05.7～)"/>
      <sheetName val="原単位表"/>
      <sheetName val="方針書表紙"/>
      <sheetName val="工数データ"/>
      <sheetName val="S-PLAN"/>
      <sheetName val="610L611L品番一覧"/>
      <sheetName val="【Input】見積基礎情報（海外生産分)"/>
      <sheetName val="IM-P-L-JB "/>
      <sheetName val="797T輸入部品リスト"/>
      <sheetName val="テーブル"/>
      <sheetName val="Master Updated(517)"/>
      <sheetName val="４-２．151項目累積（日本）"/>
      <sheetName val="５-２．151項目累積（北米）"/>
      <sheetName val="５-１．151項目詳細（北米）"/>
      <sheetName val="545N仕様ﾗﾌ2"/>
      <sheetName val="商品力向上"/>
      <sheetName val="OP-PD"/>
      <sheetName val="６２３Ｔ"/>
      <sheetName val="Main 2"/>
      <sheetName val="Datasheet from R. Hinds"/>
      <sheetName val="GMT900 IPC"/>
      <sheetName val="HORAS_TRAB"/>
      <sheetName val="Resumo_Corolla"/>
      <sheetName val="GASTOS_COROLLA"/>
      <sheetName val="CALC"/>
      <sheetName val="ﾘｽﾄ候補"/>
      <sheetName val="ｺｰﾄﾞ表"/>
      <sheetName val="①評価項目_メーカー"/>
      <sheetName val="車両仕様_x005f_x0000_4__x005f_x0000__x005f_x0011__x00"/>
      <sheetName val="車両仕様4__x005f_x0000__x005f_x0011__x005f_x0000_"/>
      <sheetName val="車両仕様 _x005f_x005f_x005f_x0000__x005f_x005f_x005f_x0000_"/>
      <sheetName val="車両仕様_x005f_x005f_x005f_x0000_4__x005f_x005f_x0000"/>
      <sheetName val="車両仕様_x005f_x005f_x005f_x0000_ New02㾐"/>
      <sheetName val="車両仕様_x005f_x005f_x005f_x0000__x005f_x005f_x005f_x0000__"/>
      <sheetName val="車両仕様 __x005f_x005f_x005f_x0012__瞳_"/>
      <sheetName val="車両仕様4__x005f_x005f_x005f_x0000__x005f_x005f_x0011"/>
      <sheetName val="車両仕様_4____x005f_x005f_x005f_x0011___"/>
      <sheetName val="車両仕様 ____x005f_x005f_x005f_x0012__瞳_"/>
      <sheetName val="車両仕様___ꎨ_x005f_x005f_x005f_x0012_窉瞳㾐"/>
      <sheetName val="車両仕様_4___x005f_x005f_x005f_x0011__"/>
      <sheetName val="車両仕様4___x005f_x005f_x005f_x0011__"/>
      <sheetName val="車両仕様 _x005f_x005f_x005f_x005f_x005f_x005f_x005f_x0000__"/>
      <sheetName val="車両仕様_x005f_x005f_x005f_x005f_x005f_x005f_x005f_x0000_4_"/>
      <sheetName val="車両仕様_x005f_x005f_x005f_x005f_x005f_x005f_x005f_x0000_ N"/>
      <sheetName val="車両仕様_x005f_x005f_x005f_x005f_x005f_x005f_x005f_x0000__x"/>
      <sheetName val="車両仕様 __x005f_x005f_x005f_x005f_x005f_x005f_x005f_x0012_"/>
      <sheetName val="車両仕様4__x005f_x005f_x005f_x005f_x005f_x005f_x005f_x0000_"/>
      <sheetName val="車両仕様_4____x005f_x005f_x005f_x005f_x005f_x005f_x00"/>
      <sheetName val="車両仕様 ____x005f_x005f_x005f_x005f_x005f_x005f_x001"/>
      <sheetName val="車両仕様___ꎨ_x005f_x005f_x005f_x005f_x005f_x005f_x001"/>
      <sheetName val="車両仕様_4___x005f_x005f_x005f_x005f_x005f_x005f_x001"/>
      <sheetName val="車両仕様4___x005f_x005f_x005f_x005f_x005f_x005f_x0011"/>
      <sheetName val="EFFY_MAZDA"/>
      <sheetName val="ﾌﾟﾙﾀﾞｳﾝﾒﾆｭｰ用ｺｰﾄﾞ表"/>
      <sheetName val="_"/>
      <sheetName val="RMBSS's Triggered"/>
      <sheetName val="ED AND EDOV"/>
      <sheetName val="④要素記号一覧表"/>
      <sheetName val="START"/>
      <sheetName val="Blue Flag"/>
      <sheetName val="Calc Sheet Budget"/>
      <sheetName val="見積一覧（１案）"/>
      <sheetName val="部品"/>
      <sheetName val="sebelumCR"/>
      <sheetName val="08TMME"/>
      <sheetName val="VCPT"/>
      <sheetName val="promo lists 2011"/>
      <sheetName val="(5)Individual_DM"/>
      <sheetName val="FOList"/>
      <sheetName val="WIP Cal Sheet"/>
      <sheetName val="Pricing overview"/>
      <sheetName val="駆動系1"/>
      <sheetName val="393.N"/>
      <sheetName val="CæÊ _x0015_ Op"/>
      <sheetName val="ƒƒCƒ“‰æ–Ê _x0015_ Op"/>
      <sheetName val="メイン画面 _x0015_ Op"/>
      <sheetName val="160th NPCC_Nov'10"/>
      <sheetName val="image"/>
      <sheetName val="HHB90007_DAT"/>
      <sheetName val="Idx"/>
      <sheetName val="Lookup Table"/>
      <sheetName val="PRICE LIST"/>
      <sheetName val="車両仕様_x0000__x0000_毛_x0000_利_x0000__x0000__x0000_"/>
      <sheetName val="車両仕様_x0000_ᵣ逰ᵣ邀ᵣ郰ᵣ"/>
      <sheetName val="車両仕様??毛?利???"/>
      <sheetName val="車両仕様?ᵣ逰ᵣ邀ᵣ郰ᵣ"/>
      <sheetName val="REQUEST_TABLE"/>
      <sheetName val="車両仕様__毛_利___"/>
      <sheetName val="車両仕様_ᵣ逰ᵣ邀ᵣ郰ᵣ"/>
      <sheetName val="他"/>
      <sheetName val="part"/>
      <sheetName val="Vectra"/>
      <sheetName val="PRADO"/>
      <sheetName val="Previous"/>
      <sheetName val="帳票拡大"/>
      <sheetName val="NON-FLEET"/>
      <sheetName val="Reference "/>
      <sheetName val="車両仕様 _x005f_x0000__x005f_x0000_?_x005f_x0012_?瞳?"/>
      <sheetName val="車両仕様_x005f_x0000_4?_x005f_x0000__x005f_x0000__x00"/>
      <sheetName val="車両仕様?4???_x005f_x0011_??"/>
      <sheetName val="車両仕様 ???_x005f_x0012_?瞳?"/>
      <sheetName val="車両仕様???ꎨ_x005f_x0012_窉瞳㾐"/>
      <sheetName val="車両仕様?4??_x005f_x0011_?"/>
      <sheetName val="車両仕様4??_x005f_x0011_?"/>
      <sheetName val="A"/>
      <sheetName val="ｂB"/>
      <sheetName val="ｶﾛｰﾗ（1）"/>
      <sheetName val="TOTAL"/>
      <sheetName val="Proto"/>
      <sheetName val="表紙(代表者)"/>
      <sheetName val="車両仕様_x0000_4?_x0000__x0000_ _x0000__x0000_"/>
      <sheetName val="車両仕様 _x0000__x0000_? ?瞳?"/>
      <sheetName val="車両仕様_x0000__x0000__x0000_ꎨ 窉瞳㾐"/>
      <sheetName val="車両仕様?4??? ??"/>
      <sheetName val="車両仕様 ??? ?瞳?"/>
      <sheetName val="車両仕様???ꎨ 窉瞳㾐"/>
      <sheetName val="車両仕様?4?? ?"/>
      <sheetName val="車両仕様4?? ?"/>
      <sheetName val="車両仕様 _ _瞳_"/>
      <sheetName val="車両仕様 ___ _瞳_"/>
      <sheetName val="車両仕様_4___ __"/>
      <sheetName val="車両仕様___ꎨ 窉瞳㾐"/>
      <sheetName val="車両仕様_4__ _"/>
      <sheetName val="車両仕様4__ _"/>
      <sheetName val="paramètres"/>
      <sheetName val="ＣＡＭＹ　ＭⅢ"/>
      <sheetName val="C-2"/>
      <sheetName val="OTHERS x620"/>
      <sheetName val="Ref"/>
      <sheetName val="TOTAL P2"/>
      <sheetName val="415T原"/>
      <sheetName val="PAC14"/>
      <sheetName val="部品表"/>
      <sheetName val="■07中期明細雛形"/>
      <sheetName val="BUYERS"/>
      <sheetName val="Status"/>
      <sheetName val="PR"/>
      <sheetName val="大物部品"/>
      <sheetName val="C1(TMENG)"/>
      <sheetName val="C2(TMENG)"/>
      <sheetName val=""/>
      <sheetName val="Annexes toutes bases"/>
      <sheetName val="マスター"/>
      <sheetName val="IPOTESI PIANO STATICA"/>
      <sheetName val="車両仕様4?"/>
      <sheetName val="画面説明"/>
      <sheetName val="基本情報"/>
      <sheetName val="ANIjan'99"/>
      <sheetName val="コード表"/>
      <sheetName val="改定記録"/>
      <sheetName val="為替前提"/>
      <sheetName val="matrix"/>
      <sheetName val="Loss Time"/>
      <sheetName val="Price range IT"/>
      <sheetName val="PCD"/>
      <sheetName val="Avensis+d seg  in &amp; out of UK+F"/>
      <sheetName val="NAVI"/>
      <sheetName val="#ofclose .xl"/>
      <sheetName val="JY134J"/>
      <sheetName val="PA2000"/>
      <sheetName val="ﾘｽﾄ"/>
      <sheetName val="No12 營業成本表 cost1"/>
      <sheetName val="GPP損益実績"/>
      <sheetName val="解説a"/>
      <sheetName val="従推"/>
      <sheetName val="BaseSheet1"/>
      <sheetName val="その他"/>
      <sheetName val="変更履歴"/>
      <sheetName val="引言"/>
      <sheetName val="信息定义"/>
      <sheetName val="Navigation"/>
      <sheetName val="PullDown"/>
      <sheetName val="1.概述"/>
      <sheetName val="Drop-down Menu List"/>
      <sheetName val="Open Item List"/>
      <sheetName val="MDL製造仕様書"/>
      <sheetName val="調査シート"/>
      <sheetName val="差異詳細(インクルード)"/>
      <sheetName val="差異詳細(bm)"/>
      <sheetName val="差異詳細(jb2)"/>
      <sheetName val="差異詳細(jh)"/>
      <sheetName val="差異詳細(ji)"/>
      <sheetName val="差異詳細(jx)"/>
      <sheetName val="車両仕様 _x005f_x005f_x005f_x005f_x005f_x005f_x005f_x005f_x"/>
      <sheetName val="車両仕様_x005f_x005f_x005f_x005f_x005f_x005f_x005f_x005f_x0"/>
      <sheetName val="車両仕様 __x005f_x005f_x005f_x005f_x005f_x005f_x005f_x005f_"/>
      <sheetName val="車両仕様4__x005f_x005f_x005f_x005f_x005f_x005f_x005f_x005f_"/>
      <sheetName val="車両仕様 ____x005f_x005f_x005f_x005f_x005f_x005f_x005"/>
      <sheetName val="車両仕様___ꎨ_x005f_x005f_x005f_x005f_x005f_x005f_x005"/>
      <sheetName val="車両仕様_4___x005f_x005f_x005f_x005f_x005f_x005f_x005"/>
      <sheetName val="車両仕様4___x005f_x005f_x005f_x005f_x005f_x005f_x005f"/>
      <sheetName val="車両仕様_x0000_4__x0000__x0000__x00"/>
      <sheetName val="車両仕様_x0000__x0000__x0000_ꎨ_x001"/>
      <sheetName val="車両仕様_x0000_4__x0000__x0011__x00"/>
      <sheetName val="車両仕様4__x0000__x0011__x0000_"/>
      <sheetName val="車両仕様 _x005f_x0000__x005f_x0000_"/>
      <sheetName val="車両仕様_x005f_x0000_4__x0000"/>
      <sheetName val="車両仕様_x005f_x0000__x005f_x0000__"/>
      <sheetName val="車両仕様4__x005f_x0000__x0011"/>
      <sheetName val="車両仕様 _x005f_x005f_x005f_x0000__"/>
      <sheetName val="車両仕様_x005f_x005f_x005f_x0000_4_"/>
      <sheetName val="車両仕様_x005f_x005f_x005f_x0000_ N"/>
      <sheetName val="車両仕様_x005f_x005f_x005f_x0000__x"/>
      <sheetName val="車両仕様 __x005f_x005f_x005f_x0012_"/>
      <sheetName val="車両仕様4__x005f_x005f_x005f_x0000_"/>
      <sheetName val="車両仕様_4____x005f_x005f_x00"/>
      <sheetName val="車両仕様 ____x005f_x005f_x001"/>
      <sheetName val="車両仕様___ꎨ_x005f_x005f_x001"/>
      <sheetName val="車両仕様_4___x005f_x005f_x001"/>
      <sheetName val="車両仕様4___x005f_x005f_x0011"/>
      <sheetName val="車両仕様 _x005f_x005f_x005f_x005f_x"/>
      <sheetName val="車両仕様_x005f_x005f_x005f_x005f_x0"/>
      <sheetName val="車両仕様 __x005f_x005f_x005f_x005f_"/>
      <sheetName val="車両仕様4__x005f_x005f_x005f_x005f_"/>
      <sheetName val="車両仕様 ____x005f_x005f_x005"/>
      <sheetName val="車両仕様___ꎨ_x005f_x005f_x005"/>
      <sheetName val="車両仕様_4___x005f_x005f_x005"/>
      <sheetName val="車両仕様4___x005f_x005f_x005f"/>
      <sheetName val="Sheet5"/>
      <sheetName val="ベンダー名"/>
      <sheetName val="chitiet"/>
      <sheetName val="gvl"/>
      <sheetName val="DON GIA"/>
      <sheetName val="CHITIET VL-NC"/>
      <sheetName val="Tiepdia"/>
      <sheetName val="TDTKP"/>
      <sheetName val="TONGKE3p "/>
      <sheetName val="VCV-BE-TONG"/>
      <sheetName val="TNHCHINH"/>
      <sheetName val="S"/>
      <sheetName val="車両仕様 _x0000__x0000__x000a__x0000__x0000__x0000__x0000_"/>
      <sheetName val="車両仕様_x0000_ῃ_x0000__x0014__x0000__x0000__x0000__x0000_"/>
      <sheetName val="車両仕様_x0000__x0000__x0000__x0000_胲䇘誹⇾"/>
      <sheetName val="車両仕様_x0000__x0000__x0000__x0000_帅_xdae2_Ǿ"/>
      <sheetName val="車両仕様_x0000_ῆ玐ῆꆠῨ"/>
      <sheetName val="Nenkei"/>
      <sheetName val="COST5"/>
      <sheetName val="2 - Summary"/>
      <sheetName val="新新粗利"/>
      <sheetName val="make up"/>
      <sheetName val="開発目標値"/>
      <sheetName val="単体ﾍﾞﾝﾁ"/>
      <sheetName val="TUNDRA"/>
      <sheetName val="MOTO"/>
      <sheetName val="Tables"/>
      <sheetName val="調達担当者(06.2～)"/>
      <sheetName val="新帳票①特設台帳(314WT0846～)"/>
      <sheetName val="ｺｽﾄｾﾝﾀｰ別設備稼働費ﾚｰﾄ算出表"/>
      <sheetName val="仕訳情報"/>
      <sheetName val="車両仕様_x005f_x005f_x005f_x0000_4?_x005f_x005f_x0000"/>
      <sheetName val="車両仕様 ???_x005f_x005f_x005f_x0012_?瞳?"/>
      <sheetName val="車両仕様?4???_x005f_x005f_x005f_x0011_??"/>
      <sheetName val="車両仕様???ꎨ_x005f_x005f_x005f_x0012_窉瞳㾐"/>
      <sheetName val="車両仕様?4??_x005f_x005f_x005f_x0011_?"/>
      <sheetName val="車両仕様4??_x005f_x005f_x005f_x0011_?"/>
      <sheetName val="PROFILE"/>
      <sheetName val="本修正_DIFF "/>
      <sheetName val="Sector Assignment"/>
      <sheetName val="Formulas"/>
      <sheetName val="車両仕様_x005f_x005f_x005f_x0000_4__x0000"/>
      <sheetName val="車両仕様4__x005f_x005f_x005f_x0000__x0011"/>
      <sheetName val="車両仕様_4____x005f_x005f_x005f_x005f_x00"/>
      <sheetName val="車両仕様 ____x005f_x005f_x005f_x005f_x001"/>
      <sheetName val="車両仕様___ꎨ_x005f_x005f_x005f_x005f_x001"/>
      <sheetName val="車両仕様_4___x005f_x005f_x005f_x005f_x001"/>
      <sheetName val="車両仕様4___x005f_x005f_x005f_x005f_x0011"/>
      <sheetName val="車両仕様 ____x005f_x005f_x005f_x005f_x005"/>
      <sheetName val="車両仕様___ꎨ_x005f_x005f_x005f_x005f_x005"/>
      <sheetName val="車両仕様_4___x005f_x005f_x005f_x005f_x005"/>
      <sheetName val="車両仕様4___x005f_x005f_x005f_x005f_x005f"/>
      <sheetName val="Sheet8"/>
      <sheetName val="sep_nov"/>
      <sheetName val="W_LBOOK"/>
      <sheetName val="3頁CE判断"/>
      <sheetName val="【グラフネタ】新表紙用"/>
      <sheetName val="ｶﾚﾝﾀﾞｰﾃｰﾌﾞﾙ"/>
      <sheetName val="FAV"/>
      <sheetName val="GPC"/>
      <sheetName val="JAH"/>
      <sheetName val="損益予算Muster"/>
      <sheetName val="名簿データ"/>
      <sheetName val="SF課"/>
      <sheetName val="PARAM"/>
      <sheetName val="損失(690Aﾍﾞｰｽ)"/>
      <sheetName val="計算DATA"/>
      <sheetName val="ROUTE"/>
      <sheetName val="１次原価"/>
      <sheetName val="車両仕様_x005f_x0000_4__x005f_x005f_x0000"/>
      <sheetName val="車両仕様4__x005f_x0000__x005f_x005f_x0011"/>
      <sheetName val="車両仕様 _x005f_x0000__"/>
      <sheetName val="車両仕様_x005f_x0000_4_"/>
      <sheetName val="車両仕様_x005f_x0000_ N"/>
      <sheetName val="車両仕様_x005f_x0000__x"/>
      <sheetName val="車両仕様 __x005f_x0012_"/>
      <sheetName val="車両仕様4__x005f_x0000_"/>
      <sheetName val="車両仕様 _x005f_x005f_x"/>
      <sheetName val="車両仕様_x005f_x005f_x0"/>
      <sheetName val="車両仕様 __x005f_x005f_"/>
      <sheetName val="車両仕様4__x005f_x005f_"/>
      <sheetName val="車両仕様_x005f_x0000_4?_x005f_x005f_x0000"/>
      <sheetName val="ass'y 12'04-05'05"/>
      <sheetName val="総市場"/>
      <sheetName val="COST"/>
      <sheetName val="EXP"/>
      <sheetName val="需給"/>
      <sheetName val="設定一覧"/>
      <sheetName val="Sheet7"/>
      <sheetName val="関税"/>
      <sheetName val="ﾋﾟﾝﾎﾞｽ応力検討"/>
      <sheetName val="YK37進度管理表"/>
      <sheetName val="選択ﾘｽﾄ"/>
      <sheetName val="諸元まとめ"/>
      <sheetName val="Ａｽﾍﾟｰｽ"/>
      <sheetName val="Budget by Category"/>
      <sheetName val="■以降不要■"/>
      <sheetName val="investment_tmc v8.0 34p"/>
      <sheetName val="Activity"/>
      <sheetName val="PTD Activity"/>
      <sheetName val="ＴＡＢＬＥ調査"/>
      <sheetName val="Price Trend"/>
      <sheetName val="Ô¼dl"/>
      <sheetName val="06-004"/>
      <sheetName val="06-003"/>
      <sheetName val="05-065 she"/>
      <sheetName val="idgr - formula"/>
      <sheetName val="IDGR (3)"/>
      <sheetName val="IDGR (2)"/>
      <sheetName val="IDGR"/>
      <sheetName val="PLIV (3)"/>
      <sheetName val="PLIV (2)"/>
      <sheetName val="LABEL"/>
      <sheetName val="PLIV (template)"/>
      <sheetName val="inv recon"/>
      <sheetName val="side member"/>
      <sheetName val="TTC (FG)"/>
      <sheetName val="Sheet1 (3)"/>
      <sheetName val="in"/>
      <sheetName val="$"/>
      <sheetName val="truck allocation"/>
      <sheetName val="Supplier Price Check"/>
      <sheetName val="$ - june"/>
      <sheetName val="Vios Cost Reduction actual prod"/>
      <sheetName val="RET PALLET"/>
      <sheetName val="Form A"/>
      <sheetName val="others"/>
      <sheetName val="NG SUMMARY"/>
      <sheetName val="impact pallet and racks"/>
      <sheetName val="Type I"/>
      <sheetName val="Schedule PM"/>
      <sheetName val="training forklift"/>
      <sheetName val="DBシート"/>
      <sheetName val="Proses_Mesin"/>
      <sheetName val="国内-採算"/>
      <sheetName val="Hoja1"/>
      <sheetName val="Daily WSD"/>
      <sheetName val="車両仕様_x005f_x0000_4?_x005f_x0000__x005f_x0011__x00"/>
      <sheetName val="車両仕様 ?_x005f_x0012_?瞳?"/>
      <sheetName val="車両仕様4?_x005f_x0000__x005f_x0011__x005f_x0000_"/>
      <sheetName val="車両仕様_x005f_x0000__x005f_x0000_毛_x005f_x0000_利_x00"/>
      <sheetName val="車両仕様_x005f_x0000_ᵣ逰ᵣ邀ᵣ郰ᵣ"/>
      <sheetName val="CAL"/>
      <sheetName val="投資比較"/>
      <sheetName val="YARIS HB"/>
      <sheetName val="設備データ基準表"/>
      <sheetName val="台当梱包費"/>
      <sheetName val="●資料一覧表"/>
      <sheetName val="Sample 1PP "/>
      <sheetName val="list"/>
      <sheetName val="supp_name"/>
      <sheetName val="データ"/>
      <sheetName val="基準"/>
      <sheetName val="選択肢"/>
      <sheetName val="PRADO 3Dr_fl"/>
      <sheetName val="top"/>
      <sheetName val="ROYALTY(RUNG)"/>
      <sheetName val="01 DATA"/>
      <sheetName val="CæÊ _x005f_x0015_ Op"/>
      <sheetName val="ƒƒCƒ“‰æ–Ê _x005f_x0015_ Op"/>
      <sheetName val="メイン画面 _x005f_x0015_ Op"/>
      <sheetName val="重量"/>
      <sheetName val="資料_700部品点数設定"/>
      <sheetName val="ｺﾝﾋﾞ"/>
      <sheetName val="Config - dspmgr"/>
      <sheetName val="車両仕様_x005f_x0000_4__x005f"/>
      <sheetName val="車両仕様4__x005f_x0000__x005f"/>
      <sheetName val="車両仕様_x005f_x0000__x005f_x0000_毛"/>
      <sheetName val="同時加工品番"/>
      <sheetName val="F4301"/>
      <sheetName val="IMV LIST 2003"/>
      <sheetName val="噴射系"/>
      <sheetName val="D1"/>
      <sheetName val="E2"/>
      <sheetName val="F1"/>
      <sheetName val="TBP350A"/>
      <sheetName val="備考コメント入力シート"/>
      <sheetName val="Open Ran"/>
      <sheetName val="Open RAN 2"/>
      <sheetName val="975ＨKD"/>
      <sheetName val="車両仕様?4_??_x00"/>
      <sheetName val="車両仕様???ꎨ_x001"/>
      <sheetName val="車両仕様?4_?_x0011__x00"/>
      <sheetName val="車両仕様4_?_x0011_?"/>
      <sheetName val="車両仕様 ??__x0012__瞳_"/>
      <sheetName val="MANPOWER"/>
      <sheetName val="②排ガス"/>
      <sheetName val="Q&amp;A確認"/>
      <sheetName val="企画P3"/>
      <sheetName val="INPUT"/>
      <sheetName val="PJ7_W2"/>
      <sheetName val="PJ7_W4"/>
      <sheetName val="PJ7_W5"/>
      <sheetName val="PJ8_W1"/>
      <sheetName val="PJ8_W2"/>
      <sheetName val="PJ8_W4"/>
      <sheetName val="PJ8_W5"/>
      <sheetName val="PJ7_W1"/>
      <sheetName val="CHIA KH"/>
      <sheetName val="国"/>
      <sheetName val="海"/>
      <sheetName val="設備"/>
      <sheetName val="Purch. BP"/>
      <sheetName val="NWEA1180(2)"/>
      <sheetName val="8214130T00-A0000ca"/>
      <sheetName val="ピストン基本径"/>
      <sheetName val="ロッカーアーム内径"/>
      <sheetName val="INTRODUCTION"/>
      <sheetName val="A-A"/>
      <sheetName val="Stock in Trade"/>
      <sheetName val="PGM登録台帳"/>
      <sheetName val="ﾍｯﾀﾞ"/>
      <sheetName val="総括BUP"/>
      <sheetName val="Production Database 399"/>
      <sheetName val="Short Plan "/>
      <sheetName val="6-11'03 - 6-11'04"/>
      <sheetName val="Invoice"/>
      <sheetName val="Packing List2"/>
      <sheetName val="Packing List"/>
      <sheetName val="納品依頼書"/>
      <sheetName val="DSO"/>
      <sheetName val="JOB_FO"/>
      <sheetName val="Investment_4x4economy"/>
      <sheetName val="Lookup1"/>
      <sheetName val="Arrivals"/>
      <sheetName val="Courier 4x2"/>
      <sheetName val="7-12'11"/>
      <sheetName val="計数"/>
      <sheetName val="__"/>
      <sheetName val="ＰＲＥ NO1"/>
      <sheetName val="月間受注"/>
      <sheetName val="実績"/>
      <sheetName val="計画立案"/>
      <sheetName val="【印刷不要】改訂履歴"/>
      <sheetName val="作業者情報"/>
      <sheetName val="PL"/>
      <sheetName val="Internal Price List"/>
      <sheetName val="T_Efficiency_Machine"/>
      <sheetName val="営業外"/>
      <sheetName val="別4-2"/>
      <sheetName val="別4-1"/>
      <sheetName val="Quality Update"/>
      <sheetName val="車両仕様_??瞳?"/>
      <sheetName val="RR_Diff__Progressive(28-Aug_(2)"/>
      <sheetName val="RR_Diff__Progressive(4-Sep-03)"/>
      <sheetName val="CHRONOLOGY_INDEX"/>
      <sheetName val="COST_REC__DISCREP_"/>
      <sheetName val="車両仕様_New02㾐"/>
      <sheetName val="車両仕様ꎨ窉瞳㾐"/>
      <sheetName val="車両仕様_"/>
      <sheetName val="MARCH-APRIL__03"/>
      <sheetName val="車両仕様_????瞳?"/>
      <sheetName val="車両仕様?4?????"/>
      <sheetName val="車両仕様?_New02㾐"/>
      <sheetName val="車両仕様???ꎨ窉瞳㾐"/>
      <sheetName val="F_Lead"/>
      <sheetName val="車両仕様?4???"/>
      <sheetName val="車両仕様4???"/>
      <sheetName val="車両仕様___瞳_"/>
      <sheetName val="車両仕様_____瞳_"/>
      <sheetName val="車両仕様_4_____"/>
      <sheetName val="車両仕様__New02㾐"/>
      <sheetName val="車両仕様___ꎨ窉瞳㾐"/>
      <sheetName val="D88D_CAL"/>
      <sheetName val="車両仕様_4___"/>
      <sheetName val="車両仕様4___"/>
      <sheetName val="Distributor_&amp;_Dealer_code"/>
      <sheetName val="T1_&amp;_T2_Code"/>
      <sheetName val="All_of_Part_list_rev_49"/>
      <sheetName val="All_of_Part_list_rev_49_(PNo)"/>
      <sheetName val="02年9月_まとめ_32βＨ"/>
      <sheetName val="ES_UX__27_40_464"/>
      <sheetName val="Part_No_"/>
      <sheetName val="Oct_Truckfest_GMAC_BC"/>
      <sheetName val="Corolla_Gas"/>
      <sheetName val="715L_Unit_Price"/>
      <sheetName val="REPUESTOS_LPA"/>
      <sheetName val="MARCH_APRIL__03"/>
      <sheetName val="MASTER_FILE"/>
      <sheetName val="RACK_(CB)new"/>
      <sheetName val="2005_TKM"/>
      <sheetName val="WIP_Cal_Sheet"/>
      <sheetName val="金型申入書ﾃﾞｰﾀ(05_7～)"/>
      <sheetName val="Datos_HHRR"/>
      <sheetName val="７月発注分_(VLOOK)"/>
      <sheetName val="DBS040_RPT_RPT"/>
      <sheetName val="Interior_Trim"/>
      <sheetName val="Plate_Bumper_(Summary)"/>
      <sheetName val="IM-P-L-JB_"/>
      <sheetName val="094W原紙_"/>
      <sheetName val="Regional_Penetration"/>
      <sheetName val="Comm_CKD"/>
      <sheetName val="FAD_Sum"/>
      <sheetName val="dongia_(2)"/>
      <sheetName val="車両仕様__x005f_x0000__x005f_x0000___x005f_x0012__瞳_"/>
      <sheetName val="車両仕様_x005f_x0000__New02㾐"/>
      <sheetName val="車両仕様_____x005f_x0012__瞳_"/>
      <sheetName val="車両仕様___x005f_x0012__瞳_"/>
      <sheetName val="GMT900_IPC"/>
      <sheetName val="Open_Ran"/>
      <sheetName val="Open_RAN_2"/>
      <sheetName val="Master_Updated(517)"/>
      <sheetName val="Supp_List"/>
      <sheetName val="ED_AND_EDOV"/>
      <sheetName val="Main_2"/>
      <sheetName val="Datasheet_from_R__Hinds"/>
      <sheetName val="Blue_Flag"/>
      <sheetName val="Calc_Sheet_Budget"/>
      <sheetName val="_PART_479W_LHD"/>
      <sheetName val="_PART_MYY5A"/>
      <sheetName val="Risk_&amp;_Opps"/>
      <sheetName val="車両仕様__x005f_x005f_x005f_x0000__x005f_x005f_x005f_x0000_"/>
      <sheetName val="車両仕様_x005f_x005f_x005f_x0000__New02㾐"/>
      <sheetName val="車両仕様___x005f_x005f_x005f_x0012__瞳_"/>
      <sheetName val="車両仕様_____x005f_x005f_x005f_x0012__瞳_"/>
      <sheetName val="車両仕様__x005f_x005f_x005f_x005f_x005f_x005f_x005f_x0000__"/>
      <sheetName val="車両仕様_x005f_x005f_x005f_x005f_x005f_x005f_x005f_x0000__N"/>
      <sheetName val="車両仕様___x005f_x005f_x005f_x005f_x005f_x005f_x005f_x0012_"/>
      <sheetName val="車両仕様_____x005f_x005f_x005f_x005f_x005f_x005f_x001"/>
      <sheetName val="Lookup_Table"/>
      <sheetName val="車両仕様4?_"/>
      <sheetName val="車両仕様_?_?瞳?"/>
      <sheetName val="車両仕様ꎨ_窉瞳㾐"/>
      <sheetName val="車両仕様?4???_??"/>
      <sheetName val="車両仕様_???_?瞳?"/>
      <sheetName val="車両仕様???ꎨ_窉瞳㾐"/>
      <sheetName val="車両仕様?4??_?"/>
      <sheetName val="車両仕様4??_?"/>
      <sheetName val="車両仕様____瞳_"/>
      <sheetName val="車両仕様______瞳_"/>
      <sheetName val="車両仕様_4______"/>
      <sheetName val="車両仕様___ꎨ_窉瞳㾐"/>
      <sheetName val="車両仕様_4____"/>
      <sheetName val="車両仕様4____"/>
      <sheetName val="車両仕様_嗼1嗼1噌1鲌"/>
      <sheetName val="車両仕様_勜+勜+匬+鲌"/>
      <sheetName val="Pricing_overview"/>
      <sheetName val="Reference_"/>
      <sheetName val="車両仕様__x005f_x0000__x005f_x0000_?_x005f_x0012_?瞳?"/>
      <sheetName val="車両仕様_???_x005f_x0012_?瞳?"/>
      <sheetName val="CHIA_KH"/>
      <sheetName val="ass'y_12'04-05'05"/>
      <sheetName val="RMBSS's_Triggered"/>
      <sheetName val="OTHERS_x620"/>
      <sheetName val="No12_營業成本表_cost1"/>
      <sheetName val="車両仕様__x005f_x005f_x005f_x005f_x005f_x005f_x005f_x005f_x"/>
      <sheetName val="車両仕様___x005f_x005f_x005f_x005f_x005f_x005f_x005f_x005f_"/>
      <sheetName val="車両仕様_____x005f_x005f_x005f_x005f_x005f_x005f_x005"/>
      <sheetName val="車両仕様__x005f_x0000__x005f_x0000_"/>
      <sheetName val="車両仕様__x005f_x005f_x005f_x0000__"/>
      <sheetName val="車両仕様_x005f_x005f_x005f_x0000__N"/>
      <sheetName val="車両仕様___x005f_x005f_x005f_x0012_"/>
      <sheetName val="車両仕様_____x005f_x005f_x001"/>
      <sheetName val="車両仕様__x005f_x005f_x005f_x005f_x"/>
      <sheetName val="車両仕様___x005f_x005f_x005f_x005f_"/>
      <sheetName val="車両仕様_____x005f_x005f_x005"/>
      <sheetName val="393_N"/>
      <sheetName val="CæÊ__Op"/>
      <sheetName val="ƒƒCƒ“‰æ–Ê__Op"/>
      <sheetName val="メイン画面__Op"/>
      <sheetName val="promo_lists_2011"/>
      <sheetName val="EquipmentTrimming_Cabin_NS"/>
      <sheetName val="160th_NPCC_Nov'10"/>
      <sheetName val="PRICE_LIST"/>
      <sheetName val="Loss_Time"/>
      <sheetName val="Price_range_IT"/>
      <sheetName val="Avensis+d_seg__in_&amp;_out_of_UK+F"/>
      <sheetName val="#ofclose__xl"/>
      <sheetName val="TOTAL_P2"/>
      <sheetName val="車両仕様__x000a_"/>
      <sheetName val="車両仕様ῃ"/>
      <sheetName val="Annexes_toutes_bases"/>
      <sheetName val="調達担当者(06_2～)"/>
      <sheetName val="Purch__BP"/>
      <sheetName val="Quality_Update"/>
      <sheetName val="色"/>
      <sheetName val="ﾒｰｶ規格材料"/>
      <sheetName val="LATEST ROYALTY"/>
      <sheetName val="工数ﾃｰﾌﾞﾙ"/>
      <sheetName val="Graph"/>
      <sheetName val="説明資料1"/>
      <sheetName val="通常申請ﾌｫｰﾏｯﾄ"/>
      <sheetName val="説明資料3"/>
      <sheetName val="余剰データ"/>
      <sheetName val="Air申請"/>
      <sheetName val="ﾉﾐﾅﾙﾊﾞﾗﾝｽ"/>
      <sheetName val="00 KS"/>
      <sheetName val="CB_CBZ"/>
      <sheetName val="Attachment-4(2)"/>
      <sheetName val="532N"/>
      <sheetName val="FS21D"/>
      <sheetName val="塗料ﾛｽ条件"/>
      <sheetName val="色ﾃｰﾌﾞﾙ"/>
      <sheetName val="面積ﾃｰﾌﾞﾙ"/>
      <sheetName val="Customer behaver"/>
      <sheetName val="Seat Assy Tool Tracking"/>
      <sheetName val="車両仕様4?_x0000__x0000_検"/>
      <sheetName val="BR (C Matrix)"/>
      <sheetName val="Prices"/>
      <sheetName val="車両仕様_x0000__x0000__x0000__x0000_帅?Ǿ"/>
      <sheetName val="車両仕様 ??_x000a_????"/>
      <sheetName val="車両仕様?ῃ?_x0014_????"/>
      <sheetName val="車両仕様????胲䇘誹⇾"/>
      <sheetName val="車両仕様????帅_xdae2_Ǿ"/>
      <sheetName val="車両仕様?ῆ玐ῆꆠῨ"/>
      <sheetName val="車両仕様4????"/>
      <sheetName val="驗証來源"/>
      <sheetName val="分析"/>
      <sheetName val="シェル台ｾﾂﾄ流し改 (2)"/>
      <sheetName val="Main"/>
      <sheetName val="車両仕様_x005f_x005f_x005f_x005f_x005f_x005f_x005f_x0000_4?"/>
      <sheetName val="車両仕様?4???_x005f_x005f_x005f_x005f_x005f_x005f_x00"/>
      <sheetName val="車両仕様 ???_x005f_x005f_x005f_x005f_x005f_x005f_x001"/>
      <sheetName val="車両仕様???ꎨ_x005f_x005f_x005f_x005f_x005f_x005f_x001"/>
      <sheetName val="車両仕様?4??_x005f_x005f_x005f_x005f_x005f_x005f_x001"/>
      <sheetName val="車両仕様4??_x005f_x005f_x005f_x005f_x005f_x005f_x0011"/>
      <sheetName val="車両仕様_x005f_x0000_4?_x005f_x0000__x005f_x0000_ _x0"/>
      <sheetName val="車両仕様 _x005f_x0000__x005f_x0000_? ?瞳?"/>
      <sheetName val="車両仕様_x005f_x0000__x005f_x0000__x005f_x0000_ꎨ 窉瞳㾐"/>
      <sheetName val=" 型  治  具  投  資   売  買  差    比  "/>
      <sheetName val="内外控支まとめ"/>
      <sheetName val="Rate"/>
      <sheetName val="台当り集計表"/>
      <sheetName val="賞与合算"/>
      <sheetName val="2_-_Summary"/>
      <sheetName val="IPOTESI_PIANO_STATICA"/>
      <sheetName val="make_up"/>
      <sheetName val="DON_GIA"/>
      <sheetName val="CHITIET_VL-NC"/>
      <sheetName val="TONGKE3p_"/>
      <sheetName val="車両仕様_???_x005f_x005f_x005f_x0012_?瞳?"/>
      <sheetName val="Hoja9"/>
      <sheetName val="SpeakerNote"/>
      <sheetName val="走行計画"/>
      <sheetName val="物性"/>
      <sheetName val="RR_Diff__Progressive(28-Aug_(21"/>
      <sheetName val="RR_Diff__Progressive(4-Sep-03)1"/>
      <sheetName val="CHRONOLOGY_INDEX1"/>
      <sheetName val="COST_REC__DISCREP_1"/>
      <sheetName val="車両仕様_1"/>
      <sheetName val="MARCH-APRIL__031"/>
      <sheetName val="車両仕様?_New02㾐1"/>
      <sheetName val="F_Lead1"/>
      <sheetName val="D88D_CAL1"/>
      <sheetName val="車両仕様__New02㾐1"/>
      <sheetName val="715L_Unit_Price1"/>
      <sheetName val="Distributor_&amp;_Dealer_code1"/>
      <sheetName val="T1_&amp;_T2_Code1"/>
      <sheetName val="All_of_Part_list_rev_491"/>
      <sheetName val="All_of_Part_list_rev_49_(PNo)1"/>
      <sheetName val="Oct_Truckfest_GMAC_BC1"/>
      <sheetName val="REPUESTOS_LPA1"/>
      <sheetName val="Corolla_Gas1"/>
      <sheetName val="02年9月_まとめ_32βＨ1"/>
      <sheetName val="ES_UX__27_40_4641"/>
      <sheetName val="Part_No_1"/>
      <sheetName val="RACK_(CB)new1"/>
      <sheetName val="MARCH_APRIL__031"/>
      <sheetName val="MASTER_FILE1"/>
      <sheetName val="2005_TKM1"/>
      <sheetName val="Comm_CKD1"/>
      <sheetName val="Datos_HHRR1"/>
      <sheetName val="７月発注分_(VLOOK)1"/>
      <sheetName val="DBS040_RPT_RPT1"/>
      <sheetName val="094W原紙_1"/>
      <sheetName val="Regional_Penetration1"/>
      <sheetName val="Interior_Trim1"/>
      <sheetName val="FAD_Sum1"/>
      <sheetName val="Plate_Bumper_(Summary)1"/>
      <sheetName val="dongia_(2)1"/>
      <sheetName val="Main_21"/>
      <sheetName val="Datasheet_from_R__Hinds1"/>
      <sheetName val="金型申入書ﾃﾞｰﾀ(05_7～)1"/>
      <sheetName val="Master_Updated(517)1"/>
      <sheetName val="車両仕様__x005f_x0000__x005f_x0000___x005f_x0012__瞳_1"/>
      <sheetName val="車両仕様_x005f_x0000__New02㾐1"/>
      <sheetName val="車両仕様_____x005f_x0012__瞳_1"/>
      <sheetName val="車両仕様___x005f_x0012__瞳_1"/>
      <sheetName val="IM-P-L-JB_1"/>
      <sheetName val="GMT900_IPC1"/>
      <sheetName val="WIP_Cal_Sheet1"/>
      <sheetName val="Supp_List1"/>
      <sheetName val="Risk_&amp;_Opps1"/>
      <sheetName val="車両仕様?4???_??1"/>
      <sheetName val="車両仕様_???_?瞳?1"/>
      <sheetName val="車両仕様???ꎨ_窉瞳㾐1"/>
      <sheetName val="車両仕様?4??_?1"/>
      <sheetName val="車両仕様4??_?1"/>
      <sheetName val="車両仕様____瞳_1"/>
      <sheetName val="車両仕様______瞳_1"/>
      <sheetName val="車両仕様_4______1"/>
      <sheetName val="車両仕様___ꎨ_窉瞳㾐1"/>
      <sheetName val="車両仕様_4____1"/>
      <sheetName val="車両仕様4____1"/>
      <sheetName val="車両仕様_嗼1嗼1噌1鲌1"/>
      <sheetName val="車両仕様_勜+勜+匬+鲌1"/>
      <sheetName val="_PART_479W_LHD1"/>
      <sheetName val="_PART_MYY5A1"/>
      <sheetName val="Pricing_overview1"/>
      <sheetName val="ED_AND_EDOV1"/>
      <sheetName val="Reference_1"/>
      <sheetName val="車両仕様__x005f_x0000__x005f_x0000_?_x005f_x0012_?瞳?1"/>
      <sheetName val="車両仕様_???_x005f_x0012_?瞳?1"/>
      <sheetName val="Lookup_Table1"/>
      <sheetName val="車両仕様__x005f_x005f_x005f_x0000__x005f_x005f_x00001"/>
      <sheetName val="車両仕様_x005f_x005f_x005f_x0000__New02㾐1"/>
      <sheetName val="車両仕様___x005f_x005f_x005f_x0012__瞳_1"/>
      <sheetName val="車両仕様_____x005f_x005f_x005f_x0012__瞳_1"/>
      <sheetName val="車両仕様__x005f_x005f_x005f_x005f_x005f_x005f_x005f_x0000_1"/>
      <sheetName val="車両仕様_x005f_x005f_x005f_x005f_x005f_x005f_x005f_x0000__1"/>
      <sheetName val="車両仕様___x005f_x005f_x005f_x005f_x005f_x005f_x00121"/>
      <sheetName val="車両仕様_____x005f_x005f_x005f_x005f_x005f_x005f_x002"/>
      <sheetName val="Blue_Flag1"/>
      <sheetName val="Calc_Sheet_Budget1"/>
      <sheetName val="ass'y_12'04-05'051"/>
      <sheetName val="RMBSS's_Triggered1"/>
      <sheetName val="OTHERS_x6201"/>
      <sheetName val="No12_營業成本表_cost11"/>
      <sheetName val="車両仕様__x005f_x005f_x005f_x005f_x005f_x005f_x005f_x005f_1"/>
      <sheetName val="車両仕様___x005f_x005f_x005f_x005f_x005f_x005f_x005f1"/>
      <sheetName val="車両仕様_____x005f_x005f_x005f_x005f_x005f_x005f_x003"/>
      <sheetName val="車両仕様__x005f_x0000__x005f_x0000_1"/>
      <sheetName val="車両仕様__x005f_x005f_x005f_x0000__1"/>
      <sheetName val="車両仕様_x005f_x005f_x005f_x0000__N1"/>
      <sheetName val="車両仕様___x005f_x005f_x005f_x0012_1"/>
      <sheetName val="車両仕様_____x005f_x005f_x0011"/>
      <sheetName val="車両仕様__x005f_x005f_x005f_x005f_x1"/>
      <sheetName val="車両仕様___x005f_x005f_x005f_x005f_1"/>
      <sheetName val="車両仕様_____x005f_x005f_x0051"/>
      <sheetName val="393_N1"/>
      <sheetName val="promo_lists_20111"/>
      <sheetName val="EquipmentTrimming_Cabin_NS1"/>
      <sheetName val="車両仕様_New02㾐1"/>
      <sheetName val="Open_Ran1"/>
      <sheetName val="Open_RAN_21"/>
      <sheetName val="CHIA_KH1"/>
      <sheetName val="160th_NPCC_Nov'101"/>
      <sheetName val="PRICE_LIST1"/>
      <sheetName val="Loss_Time1"/>
      <sheetName val="Price_range_IT1"/>
      <sheetName val="Avensis+d_seg__in_&amp;_out_of_UK+1"/>
      <sheetName val="#ofclose__xl1"/>
      <sheetName val="TOTAL_P21"/>
      <sheetName val="Annexes_toutes_bases1"/>
      <sheetName val="調達担当者(06_2～)1"/>
      <sheetName val="Purch__BP1"/>
      <sheetName val="Quality_Update1"/>
      <sheetName val="車両仕様_____x005f_x005f_x005f_x005f_x001"/>
      <sheetName val="車両仕様_____x005f_x005f_x005f_x005f_x005"/>
      <sheetName val="車両仕様_x0000_4__x0000"/>
      <sheetName val="車両仕様4__x0000__x0011"/>
      <sheetName val="車両仕様_x0000_4?_x0000__x0000__x00"/>
      <sheetName val="車両仕様 _x0000__"/>
      <sheetName val="車両仕様_x0000_ N"/>
      <sheetName val="車両仕様_x0000__x"/>
      <sheetName val="車両仕様 __x0012_"/>
      <sheetName val="車両仕様_4____x00"/>
      <sheetName val="車両仕様 ____x001"/>
      <sheetName val="車両仕様___ꎨ_x001"/>
      <sheetName val="車両仕様_4___x001"/>
      <sheetName val="車両仕様4___x0011"/>
      <sheetName val="車両仕様 ____x005"/>
      <sheetName val="車両仕様___ꎨ_x005"/>
      <sheetName val="車両仕様_4___x005"/>
      <sheetName val="車両仕様4___x005f"/>
      <sheetName val="車両仕様 _x"/>
      <sheetName val="車両仕様_x0"/>
      <sheetName val="車両仕様 __"/>
      <sheetName val="車両仕様4__"/>
      <sheetName val="フォーム2"/>
      <sheetName val="フォーム1"/>
      <sheetName val="ＳＱＬ"/>
      <sheetName val="T_ＣＡＤ情報"/>
      <sheetName val="T_チューブ所要量"/>
      <sheetName val="T_原価"/>
      <sheetName val="T_工数"/>
      <sheetName val="T_見積品番"/>
      <sheetName val="T_見積実績"/>
      <sheetName val="T_賃率"/>
      <sheetName val="T_賃率係数"/>
      <sheetName val="T_部品所要量"/>
      <sheetName val="T_部品管理"/>
      <sheetName val="T_銅ベース"/>
      <sheetName val="T_電線所要量"/>
      <sheetName val="基本枠"/>
      <sheetName val="画面チューブ"/>
      <sheetName val="画面チューブ計"/>
      <sheetName val="画面加工"/>
      <sheetName val="画面総括"/>
      <sheetName val="画面要求"/>
      <sheetName val="画面部品"/>
      <sheetName val="画面部品計"/>
      <sheetName val="画面電線"/>
      <sheetName val="画面電線計"/>
      <sheetName val="車両仕様_x0000_4?_x0000__x0011__x00"/>
      <sheetName val="部品構成82111"/>
      <sheetName val="KLUGER"/>
      <sheetName val="IPSAION"/>
      <sheetName val="315W"/>
      <sheetName val="LAPIN_AERIO"/>
      <sheetName val="ALTO_YN3"/>
      <sheetName val="VIOS"/>
      <sheetName val="ISIS"/>
      <sheetName val="導通"/>
      <sheetName val="FBリスト"/>
      <sheetName val="金日FJK0508"/>
      <sheetName val="最新基準単価 "/>
      <sheetName val="金日HZR0505"/>
      <sheetName val="T_入出庫F"/>
      <sheetName val="T_入出庫F詳細"/>
      <sheetName val="W_基本枠"/>
      <sheetName val="画面"/>
      <sheetName val="部門ﾏｽﾀｰ"/>
      <sheetName val="月次データ"/>
      <sheetName val="月度内示データa"/>
      <sheetName val="３発デ－タ"/>
      <sheetName val="PS(UC)"/>
      <sheetName val="prior data"/>
      <sheetName val="選定一覧"/>
      <sheetName val="ListWork"/>
      <sheetName val="パラメータ設定表"/>
      <sheetName val="分类数据"/>
      <sheetName val="集計"/>
      <sheetName val="用語集"/>
      <sheetName val="【参考】AD計算"/>
      <sheetName val="階層一覧"/>
      <sheetName val="リスト"/>
      <sheetName val="市販STD Mecha（PTM)"/>
      <sheetName val="Table Master"/>
      <sheetName val="N(02a)"/>
      <sheetName val="Volume-Sales"/>
      <sheetName val="Calculation PS"/>
      <sheetName val="車両仕様?4_?_x00"/>
      <sheetName val="車両仕様4_??"/>
      <sheetName val="車両仕様_??__瞳_"/>
      <sheetName val="DON_GIA1"/>
      <sheetName val="CHITIET_VL-NC1"/>
      <sheetName val="TONGKE3p_1"/>
      <sheetName val="車両仕様_???_x005f_x005f_x005f_x0012_?瞳?1"/>
      <sheetName val="車両仕様_____x005f_x005f_x005f_x005f_x0011"/>
      <sheetName val="車両仕様_____x005f_x005f_x005f_x005f_x0051"/>
      <sheetName val="2_-_Summary1"/>
      <sheetName val="IPOTESI_PIANO_STATICA1"/>
      <sheetName val="make_up1"/>
      <sheetName val="車両仕様__x005f_x0000__"/>
      <sheetName val="車両仕様_x005f_x0000__N"/>
      <sheetName val="車両仕様___x005f_x0012_"/>
      <sheetName val="車両仕様__x005f_x005f_x"/>
      <sheetName val="車両仕様___x005f_x005f_"/>
      <sheetName val="車両仕様_?_x005f_x0012_?瞳?"/>
      <sheetName val="Budget_by_Category"/>
      <sheetName val="investment_tmc_v8_0_34p"/>
      <sheetName val="Daily_WSD"/>
      <sheetName val="PTD_Activity"/>
      <sheetName val="Price_Trend"/>
      <sheetName val="YARIS_HB"/>
      <sheetName val="05-065_she"/>
      <sheetName val="idgr_-_formula"/>
      <sheetName val="IDGR_(3)"/>
      <sheetName val="IDGR_(2)"/>
      <sheetName val="PLIV_(3)"/>
      <sheetName val="PLIV_(2)"/>
      <sheetName val="PLIV_(template)"/>
      <sheetName val="inv_recon"/>
      <sheetName val="side_member"/>
      <sheetName val="TTC_(FG)"/>
      <sheetName val="Sheet1_(3)"/>
      <sheetName val="truck_allocation"/>
      <sheetName val="Supplier_Price_Check"/>
      <sheetName val="$_-_june"/>
      <sheetName val="Vios_Cost_Reduction_actual_prod"/>
      <sheetName val="RET_PALLET"/>
      <sheetName val="Form_A"/>
      <sheetName val="NG_SUMMARY"/>
      <sheetName val="impact_pallet_and_racks"/>
      <sheetName val="Type_I"/>
      <sheetName val="Schedule_PM"/>
      <sheetName val="training_forklift"/>
      <sheetName val="Sample_1PP_"/>
      <sheetName val="PRADO_3Dr_fl"/>
      <sheetName val="01_DATA"/>
      <sheetName val="RR_Diff__Progressive(28-Aug_(22"/>
      <sheetName val="RR_Diff__Progressive(4-Sep-03)2"/>
      <sheetName val="CHRONOLOGY_INDEX2"/>
      <sheetName val="COST_REC__DISCREP_2"/>
      <sheetName val="車両仕様_2"/>
      <sheetName val="MARCH-APRIL__032"/>
      <sheetName val="車両仕様_New02㾐2"/>
      <sheetName val="車両仕様?_New02㾐2"/>
      <sheetName val="車両仕様__New02㾐2"/>
      <sheetName val="F_Lead2"/>
      <sheetName val="Distributor_&amp;_Dealer_code2"/>
      <sheetName val="T1_&amp;_T2_Code2"/>
      <sheetName val="All_of_Part_list_rev_492"/>
      <sheetName val="All_of_Part_list_rev_49_(PNo)2"/>
      <sheetName val="D88D_CAL2"/>
      <sheetName val="02年9月_まとめ_32βＨ2"/>
      <sheetName val="715L_Unit_Price2"/>
      <sheetName val="Oct_Truckfest_GMAC_BC2"/>
      <sheetName val="Corolla_Gas2"/>
      <sheetName val="REPUESTOS_LPA2"/>
      <sheetName val="MARCH_APRIL__032"/>
      <sheetName val="MASTER_FILE2"/>
      <sheetName val="７月発注分_(VLOOK)2"/>
      <sheetName val="DBS040_RPT_RPT2"/>
      <sheetName val="ES_UX__27_40_4642"/>
      <sheetName val="Part_No_2"/>
      <sheetName val="RACK_(CB)new2"/>
      <sheetName val="Plate_Bumper_(Summary)2"/>
      <sheetName val="Interior_Trim2"/>
      <sheetName val="FAD_Sum2"/>
      <sheetName val="2005_TKM2"/>
      <sheetName val="Comm_CKD2"/>
      <sheetName val="Datos_HHRR2"/>
      <sheetName val="094W原紙_2"/>
      <sheetName val="Regional_Penetration2"/>
      <sheetName val="車両仕様__x005f_x0000__x005f_x0000___x005f_x0012__瞳_2"/>
      <sheetName val="車両仕様_x005f_x0000__New02㾐2"/>
      <sheetName val="車両仕様_____x005f_x0012__瞳_2"/>
      <sheetName val="車両仕様___x005f_x0012__瞳_2"/>
      <sheetName val="Supp_List2"/>
      <sheetName val="dongia_(2)2"/>
      <sheetName val="Risk_&amp;_Opps2"/>
      <sheetName val="車両仕様_嗼1嗼1噌1鲌2"/>
      <sheetName val="車両仕様_勜+勜+匬+鲌2"/>
      <sheetName val="_PART_479W_LHD2"/>
      <sheetName val="_PART_MYY5A2"/>
      <sheetName val="金型申入書ﾃﾞｰﾀ(05_7～)2"/>
      <sheetName val="Master_Updated(517)2"/>
      <sheetName val="Main_22"/>
      <sheetName val="Datasheet_from_R__Hinds2"/>
      <sheetName val="EquipmentTrimming_Cabin_NS2"/>
      <sheetName val="車両仕様__x005f_x005f_x005f_x0000__x005f_x005f_x00002"/>
      <sheetName val="車両仕様_x005f_x005f_x005f_x0000__New02㾐2"/>
      <sheetName val="車両仕様___x005f_x005f_x005f_x0012__瞳_2"/>
      <sheetName val="車両仕様_____x005f_x005f_x005f_x0012__瞳_2"/>
      <sheetName val="車両仕様__x005f_x005f_x005f_x005f_x005f_x005f_x005f_x0000_2"/>
      <sheetName val="車両仕様_x005f_x005f_x005f_x005f_x005f_x005f_x005f_x0000__2"/>
      <sheetName val="車両仕様___x005f_x005f_x005f_x005f_x005f_x005f_x00122"/>
      <sheetName val="車両仕様_____x005f_x005f_x005f_x005f_x005f_x005f_x004"/>
      <sheetName val="ED_AND_EDOV2"/>
      <sheetName val="Blue_Flag2"/>
      <sheetName val="Calc_Sheet_Budget2"/>
      <sheetName val="IM-P-L-JB_2"/>
      <sheetName val="GMT900_IPC2"/>
      <sheetName val="WIP_Cal_Sheet2"/>
      <sheetName val="Pricing_overview2"/>
      <sheetName val="promo_lists_20112"/>
      <sheetName val="Lookup_Table2"/>
      <sheetName val="393_N2"/>
      <sheetName val="RMBSS's_Triggered2"/>
      <sheetName val="160th_NPCC_Nov'102"/>
      <sheetName val="PRICE_LIST2"/>
      <sheetName val="車両仕様?4???_??2"/>
      <sheetName val="車両仕様_???_?瞳?2"/>
      <sheetName val="車両仕様???ꎨ_窉瞳㾐2"/>
      <sheetName val="車両仕様?4??_?2"/>
      <sheetName val="車両仕様4??_?2"/>
      <sheetName val="車両仕様____瞳_2"/>
      <sheetName val="車両仕様______瞳_2"/>
      <sheetName val="車両仕様_4______2"/>
      <sheetName val="車両仕様___ꎨ_窉瞳㾐2"/>
      <sheetName val="車両仕様_4____2"/>
      <sheetName val="車両仕様4____2"/>
      <sheetName val="Reference_2"/>
      <sheetName val="車両仕様__x005f_x0000__x005f_x0000_?_x005f_x0012_?瞳?2"/>
      <sheetName val="車両仕様_???_x005f_x0012_?瞳?2"/>
      <sheetName val="Loss_Time2"/>
      <sheetName val="Price_range_IT2"/>
      <sheetName val="Avensis+d_seg__in_&amp;_out_of_UK+2"/>
      <sheetName val="#ofclose__xl2"/>
      <sheetName val="No12_營業成本表_cost12"/>
      <sheetName val="OTHERS_x6202"/>
      <sheetName val="TOTAL_P22"/>
      <sheetName val="Annexes_toutes_bases2"/>
      <sheetName val="車両仕様__x005f_x005f_x005f_x005f_x005f_x005f_x005f_x005f_2"/>
      <sheetName val="車両仕様___x005f_x005f_x005f_x005f_x005f_x005f_x005f2"/>
      <sheetName val="車両仕様_____x005f_x005f_x005f_x005f_x005f_x005f_x006"/>
      <sheetName val="車両仕様__x005f_x0000__x005f_x0000_2"/>
      <sheetName val="車両仕様__x005f_x005f_x005f_x0000__2"/>
      <sheetName val="車両仕様_x005f_x005f_x005f_x0000__N2"/>
      <sheetName val="車両仕様___x005f_x005f_x005f_x0012_2"/>
      <sheetName val="車両仕様_____x005f_x005f_x0012"/>
      <sheetName val="車両仕様__x005f_x005f_x005f_x005f_x2"/>
      <sheetName val="車両仕様___x005f_x005f_x005f_x005f_2"/>
      <sheetName val="車両仕様_____x005f_x005f_x0052"/>
      <sheetName val="ass'y_12'04-05'052"/>
      <sheetName val="Open_Ran2"/>
      <sheetName val="Open_RAN_22"/>
      <sheetName val="DON_GIA2"/>
      <sheetName val="CHITIET_VL-NC2"/>
      <sheetName val="TONGKE3p_2"/>
      <sheetName val="車両仕様_???_x005f_x005f_x005f_x0012_?瞳?2"/>
      <sheetName val="車両仕様_____x005f_x005f_x005f_x005f_x0012"/>
      <sheetName val="車両仕様_____x005f_x005f_x005f_x005f_x0052"/>
      <sheetName val="調達担当者(06_2～)2"/>
      <sheetName val="2_-_Summary2"/>
      <sheetName val="IPOTESI_PIANO_STATICA2"/>
      <sheetName val="make_up2"/>
      <sheetName val="車両仕様__x005f_x0000__1"/>
      <sheetName val="車両仕様_x005f_x0000__N1"/>
      <sheetName val="車両仕様___x005f_x0012_1"/>
      <sheetName val="車両仕様__x005f_x005f_x1"/>
      <sheetName val="車両仕様___x005f_x005f_1"/>
      <sheetName val="車両仕様_?_x005f_x0012_?瞳?1"/>
      <sheetName val="Budget_by_Category1"/>
      <sheetName val="investment_tmc_v8_0_34p1"/>
      <sheetName val="Daily_WSD1"/>
      <sheetName val="PTD_Activity1"/>
      <sheetName val="Price_Trend1"/>
      <sheetName val="YARIS_HB1"/>
      <sheetName val="05-065_she1"/>
      <sheetName val="idgr_-_formula1"/>
      <sheetName val="IDGR_(3)1"/>
      <sheetName val="IDGR_(2)1"/>
      <sheetName val="PLIV_(3)1"/>
      <sheetName val="PLIV_(2)1"/>
      <sheetName val="PLIV_(template)1"/>
      <sheetName val="inv_recon1"/>
      <sheetName val="side_member1"/>
      <sheetName val="TTC_(FG)1"/>
      <sheetName val="Sheet1_(3)1"/>
      <sheetName val="truck_allocation1"/>
      <sheetName val="Supplier_Price_Check1"/>
      <sheetName val="$_-_june1"/>
      <sheetName val="Vios_Cost_Reduction_actual_pro1"/>
      <sheetName val="RET_PALLET1"/>
      <sheetName val="Form_A1"/>
      <sheetName val="NG_SUMMARY1"/>
      <sheetName val="impact_pallet_and_racks1"/>
      <sheetName val="Type_I1"/>
      <sheetName val="Schedule_PM1"/>
      <sheetName val="training_forklift1"/>
      <sheetName val="Sample_1PP_1"/>
      <sheetName val="PRADO_3Dr_fl1"/>
      <sheetName val="01_DATA1"/>
      <sheetName val="Menu"/>
      <sheetName val="Query2"/>
      <sheetName val="Lban"/>
      <sheetName val="車両仕様_x005f_x0000_4__x005f_x0000__x005f_x0000_ _x0"/>
      <sheetName val="車両仕様 _x005f_x0000__x005f_x0000__ _瞳_"/>
      <sheetName val="TN7"/>
      <sheetName val="Macro1"/>
      <sheetName val="resumen"/>
      <sheetName val="残業推移"/>
      <sheetName val="上郷計画"/>
      <sheetName val="P0103"/>
      <sheetName val="Catalog"/>
      <sheetName val="IBASE"/>
      <sheetName val="BQ CONVEYOR"/>
      <sheetName val="Joko"/>
      <sheetName val="L400"/>
      <sheetName val="PDS_BK"/>
      <sheetName val="XXXX"/>
      <sheetName val="Etudes"/>
      <sheetName val="Toggle Duplicate Highlighting"/>
      <sheetName val="UNIDADESHS02MY"/>
      <sheetName val="038W本革"/>
      <sheetName val="Plan"/>
      <sheetName val="前工程の能率実績(NS)"/>
      <sheetName val="E3"/>
      <sheetName val="基準TBL"/>
      <sheetName val="見出し"/>
      <sheetName val="ＶＡＦ"/>
      <sheetName val="SH_CARLINE"/>
      <sheetName val="SH_ENTITY"/>
      <sheetName val="SH_ICP"/>
      <sheetName val="SH_MAKER"/>
      <sheetName val="SH_PRODUCTS"/>
      <sheetName val="SH_PROFILE"/>
      <sheetName val="4.5.6 大日程"/>
      <sheetName val="部品リスト"/>
      <sheetName val=" D2"/>
      <sheetName val="PHỤ KIỆN HỦY"/>
      <sheetName val="Sập khóa"/>
      <sheetName val="成形総括表"/>
      <sheetName val="Wyatt"/>
      <sheetName val="Table-Ratio"/>
      <sheetName val="deta"/>
      <sheetName val="Sensitivity"/>
      <sheetName val="9月度"/>
      <sheetName val="【参考】 大中トラ"/>
      <sheetName val="【参考】 小トラ"/>
      <sheetName val="基準ｲﾝﾌﾟｯﾄ"/>
      <sheetName val="Part list"/>
      <sheetName val="車両仕様 _x005f_x005f_x005f_x005F_x005f_x0000__"/>
      <sheetName val="車両仕様_x005f_x005f_x005f_x005F_x005f_x0000_4_"/>
      <sheetName val="車両仕様_x005f_x005f_x005f_x005F_x005f_x0000_ N"/>
      <sheetName val="車両仕様_x005f_x005f_x005f_x005F_x005f_x0000__x"/>
      <sheetName val="車両仕様 __x005f_x005f_x005f_x005F_x005f_x0012_"/>
      <sheetName val="車両仕様4__x005f_x005f_x005f_x005F_x005f_x0000_"/>
      <sheetName val="車両仕様 _x005f_x005f_x005f_x005F_x005f_x005f_x"/>
      <sheetName val="車両仕様_x005f_x005f_x005f_x005F_x005f_x005f_x0"/>
      <sheetName val="車両仕様 __x005f_x005f_x005f_x005F_x005f_x005f_"/>
      <sheetName val="車両仕様4__x005f_x005f_x005f_x005F_x005f_x005f_"/>
      <sheetName val="营业费用"/>
      <sheetName val="SLIP"/>
      <sheetName val="Inc Statement"/>
      <sheetName val="PAGE3"/>
      <sheetName val="Steuerung"/>
      <sheetName val="SUM"/>
      <sheetName val="ﾄﾗｯｸ"/>
      <sheetName val="00"/>
      <sheetName val="C-55227AB"/>
      <sheetName val="Data Definition"/>
      <sheetName val="FC_まとめる"/>
      <sheetName val="vocabulary"/>
      <sheetName val="Calibration"/>
      <sheetName val="CVBS"/>
      <sheetName val="RGB"/>
      <sheetName val="車両仕様_4___x0011__x00"/>
      <sheetName val="ドメインリスト"/>
      <sheetName val="課題管理"/>
      <sheetName val="option"/>
      <sheetName val="追加検討（調光外部出力）"/>
      <sheetName val="入力規則"/>
      <sheetName val="Inf"/>
      <sheetName val="#REF!"/>
      <sheetName val="OpenIssueList"/>
      <sheetName val="发行控制"/>
      <sheetName val="ブロック図"/>
      <sheetName val="sheet17"/>
      <sheetName val="バックライト出力値"/>
      <sheetName val="値一覧"/>
      <sheetName val="凡例・注記記載用"/>
      <sheetName val="【Vardef】机能一览配置"/>
      <sheetName val="入力規則リスト他"/>
      <sheetName val="リソーセス算出"/>
      <sheetName val="定義"/>
      <sheetName val="キーデコード処理"/>
      <sheetName val="目次"/>
      <sheetName val="試験要領4頁"/>
      <sheetName val="FAC OVERHEAD"/>
      <sheetName val="改善状況4-12"/>
      <sheetName val="工数集計"/>
      <sheetName val="製造週年"/>
      <sheetName val="保管エリアに置ける本数に対する現状総数の差"/>
      <sheetName val="ラミ"/>
      <sheetName val="Ｉ組立部"/>
      <sheetName val="2"/>
      <sheetName val="_型__治__具__投__資___売__買__差____比__"/>
      <sheetName val="Stock_in_Trade"/>
      <sheetName val="BR_(C_Matrix)"/>
      <sheetName val="車両仕様_??_x000a_????"/>
      <sheetName val="車両仕様?ῃ?????"/>
      <sheetName val="シェル台ｾﾂﾄ流し改_(2)"/>
      <sheetName val="車両仕様_???_x005f_x005f_x005f_x005f_x005f_x005f_x001"/>
      <sheetName val="車両仕様_x005f_x0000_4?_x005f_x0000__x005f_x0000___x0"/>
      <sheetName val="車両仕様__x005f_x0000__x005f_x0000_?_?瞳?"/>
      <sheetName val="車両仕様_x005f_x0000__x005f_x0000__x005f_x0000_ꎨ_窉瞳㾐"/>
      <sheetName val="LATEST_ROYALTY"/>
      <sheetName val="Production_Database_399"/>
      <sheetName val="販売店様用"/>
      <sheetName val="Summary"/>
      <sheetName val="DONEM"/>
      <sheetName val="TP（SYS→NAVI）"/>
      <sheetName val="RAM_FMEA_CS（FMEA記載方法）"/>
      <sheetName val="XSSマイコン依存部 (基本設定)"/>
      <sheetName val="ハード"/>
      <sheetName val="DataList"/>
      <sheetName val="FMEA記載方法"/>
      <sheetName val="計画"/>
      <sheetName val="字段定义"/>
      <sheetName val="rom map"/>
      <sheetName val="議事・勧告一覧"/>
      <sheetName val="excludedmodels"/>
      <sheetName val="#入力規則"/>
      <sheetName val="测试计划"/>
      <sheetName val="memReg(2)"/>
      <sheetName val="info"/>
      <sheetName val="info(2)"/>
      <sheetName val="memReg"/>
      <sheetName val="mapReg(3)"/>
      <sheetName val="mapReg(6)"/>
      <sheetName val="mapReg"/>
      <sheetName val="mapReg(2)"/>
      <sheetName val="nearURL(2)"/>
      <sheetName val="95UBSCH1"/>
      <sheetName val="2.2.4_起動終了時"/>
      <sheetName val="Δ_高→低_ゆ無"/>
      <sheetName val="Δ_高→低_ゆ有"/>
      <sheetName val="IM_高→低_ゆ無"/>
      <sheetName val="T_高→低_ゆ無"/>
      <sheetName val="T_高→低_ゆ有"/>
      <sheetName val="IM_高→低_ゆ有"/>
      <sheetName val="Δ_高→低_ゆ無_NS2"/>
      <sheetName val="Δ_高→低_ゆ有_NS2"/>
      <sheetName val="IM_高→低_ゆ無_NS2"/>
      <sheetName val="T_高→低_ゆ無_NS2"/>
      <sheetName val="T_高→低_ゆ有_NS2"/>
      <sheetName val="IM_高→低_ゆ有_NS2"/>
      <sheetName val="Sheet335"/>
      <sheetName val="Sheet609"/>
      <sheetName val="Sheet326"/>
      <sheetName val="2.気づきシート"/>
      <sheetName val="Sheet1250"/>
      <sheetName val="Sheet1251"/>
      <sheetName val="Special(Stat)"/>
      <sheetName val="Normal(Mark)"/>
      <sheetName val="全戻りﾊﾞｸﾞ"/>
      <sheetName val="TAGLユニットリスト"/>
      <sheetName val="材料費明細(M)"/>
      <sheetName val="入力LIST"/>
      <sheetName val="パラメータ一覧(AXSS.AXCS)"/>
      <sheetName val="設定値定義"/>
      <sheetName val="車両仕様????帅?"/>
      <sheetName val="Net Price Position _ Sheet 1"/>
      <sheetName val="POs"/>
      <sheetName val="計算式"/>
      <sheetName val="工管合計"/>
      <sheetName val="工場合計"/>
      <sheetName val="Internal_Price_List"/>
      <sheetName val="車両仕様_____x001"/>
      <sheetName val="車両仕様_____x005"/>
      <sheetName val="車両仕様__"/>
      <sheetName val="車両仕様_N"/>
      <sheetName val="車両仕様__x"/>
      <sheetName val="車両仕様___"/>
      <sheetName val="最新基準単価_"/>
      <sheetName val="4_5_6_大日程"/>
      <sheetName val="Short_Plan_"/>
      <sheetName val="6-11'03_-_6-11'04"/>
      <sheetName val="噛み合い最小Vir"/>
      <sheetName val="CFR4b"/>
      <sheetName val="設変まとめ"/>
      <sheetName val="設変"/>
      <sheetName val="CV課題"/>
      <sheetName val="問連"/>
      <sheetName val="230216 追加"/>
      <sheetName val="230216"/>
      <sheetName val="Production_Database_3991"/>
      <sheetName val="Production_Database_3992"/>
      <sheetName val="RR_Diff__Progressive(28-Aug_(25"/>
      <sheetName val="RR_Diff__Progressive(4-Sep-03)5"/>
      <sheetName val="CHRONOLOGY_INDEX5"/>
      <sheetName val="COST_REC__DISCREP_5"/>
      <sheetName val="車両仕様_5"/>
      <sheetName val="MARCH-APRIL__035"/>
      <sheetName val="車両仕様_New02㾐5"/>
      <sheetName val="車両仕様?_New02㾐5"/>
      <sheetName val="F_Lead5"/>
      <sheetName val="車両仕様__New02㾐5"/>
      <sheetName val="D88D_CAL5"/>
      <sheetName val="Distributor_&amp;_Dealer_code5"/>
      <sheetName val="T1_&amp;_T2_Code5"/>
      <sheetName val="All_of_Part_list_rev_495"/>
      <sheetName val="All_of_Part_list_rev_49_(PNo)5"/>
      <sheetName val="02年9月_まとめ_32βＨ5"/>
      <sheetName val="715L_Unit_Price5"/>
      <sheetName val="MARCH_APRIL__035"/>
      <sheetName val="ES_UX__27_40_4645"/>
      <sheetName val="REPUESTOS_LPA5"/>
      <sheetName val="Oct_Truckfest_GMAC_BC5"/>
      <sheetName val="Corolla_Gas5"/>
      <sheetName val="Part_No_5"/>
      <sheetName val="RACK_(CB)new5"/>
      <sheetName val="MASTER_FILE5"/>
      <sheetName val="2005_TKM5"/>
      <sheetName val="Comm_CKD5"/>
      <sheetName val="Datos_HHRR5"/>
      <sheetName val="７月発注分_(VLOOK)5"/>
      <sheetName val="DBS040_RPT_RPT5"/>
      <sheetName val="金型申入書ﾃﾞｰﾀ(05_7～)5"/>
      <sheetName val="Interior_Trim5"/>
      <sheetName val="Plate_Bumper_(Summary)5"/>
      <sheetName val="FAD_Sum5"/>
      <sheetName val="車両仕様__x005f_x0000__x005f_x0000___x005f_x0012__瞳_5"/>
      <sheetName val="車両仕様_x005f_x0000__New02㾐5"/>
      <sheetName val="車両仕様___x005f_x0012__瞳_5"/>
      <sheetName val="車両仕様_____x005f_x0012__瞳_5"/>
      <sheetName val="車両仕様__x005f_x005f_x005f_x0000__x005f_x005f_x00005"/>
      <sheetName val="車両仕様_x005f_x005f_x005f_x0000__New02㾐5"/>
      <sheetName val="車両仕様___x005f_x005f_x005f_x0012__瞳_5"/>
      <sheetName val="車両仕様_____x005f_x005f_x005f_x0012__瞳_5"/>
      <sheetName val="車両仕様__x005f_x005f_x005f_x005f_x005f_x005f_x005f_x0000_5"/>
      <sheetName val="車両仕様_x005f_x005f_x005f_x005f_x005f_x005f_x005f_x0000__5"/>
      <sheetName val="車両仕様___x005f_x005f_x005f_x005f_x005f_x005f_x00125"/>
      <sheetName val="車両仕様_____x005f_x005f_x005f_x005f_x005f_x005f_x011"/>
      <sheetName val="IM-P-L-JB_5"/>
      <sheetName val="094W原紙_5"/>
      <sheetName val="Regional_Penetration5"/>
      <sheetName val="dongia_(2)5"/>
      <sheetName val="GMT900_IPC5"/>
      <sheetName val="OTHERS_x6205"/>
      <sheetName val="No12_營業成本表_cost15"/>
      <sheetName val="Master_Updated(517)5"/>
      <sheetName val="ED_AND_EDOV5"/>
      <sheetName val="Supp_List5"/>
      <sheetName val="Risk_&amp;_Opps5"/>
      <sheetName val="Main_25"/>
      <sheetName val="Datasheet_from_R__Hinds5"/>
      <sheetName val="車両仕様__x005f_x005f_x005f_x005f_x005f_x005f_x005f_x005f_5"/>
      <sheetName val="車両仕様___x005f_x005f_x005f_x005f_x005f_x005f_x005f5"/>
      <sheetName val="車両仕様_____x005f_x005f_x005f_x005f_x005f_x005f_x012"/>
      <sheetName val="車両仕様__x005f_x0000__x005f_x0000_5"/>
      <sheetName val="車両仕様__x005f_x005f_x005f_x0000__5"/>
      <sheetName val="車両仕様_x005f_x005f_x005f_x0000__N5"/>
      <sheetName val="車両仕様___x005f_x005f_x005f_x0012_5"/>
      <sheetName val="車両仕様_____x005f_x005f_x0015"/>
      <sheetName val="車両仕様__x005f_x005f_x005f_x005f_x5"/>
      <sheetName val="車両仕様___x005f_x005f_x005f_x005f_5"/>
      <sheetName val="車両仕様_____x005f_x005f_x0055"/>
      <sheetName val="Production_Database_3993"/>
      <sheetName val="RR_Diff__Progressive(28-Aug_(23"/>
      <sheetName val="RR_Diff__Progressive(4-Sep-03)3"/>
      <sheetName val="CHRONOLOGY_INDEX3"/>
      <sheetName val="COST_REC__DISCREP_3"/>
      <sheetName val="車両仕様_3"/>
      <sheetName val="MARCH-APRIL__033"/>
      <sheetName val="車両仕様?_New02㾐3"/>
      <sheetName val="F_Lead3"/>
      <sheetName val="車両仕様__New02㾐3"/>
      <sheetName val="D88D_CAL3"/>
      <sheetName val="Distributor_&amp;_Dealer_code3"/>
      <sheetName val="T1_&amp;_T2_Code3"/>
      <sheetName val="All_of_Part_list_rev_493"/>
      <sheetName val="All_of_Part_list_rev_49_(PNo)3"/>
      <sheetName val="02年9月_まとめ_32βＨ3"/>
      <sheetName val="715L_Unit_Price3"/>
      <sheetName val="MARCH_APRIL__033"/>
      <sheetName val="ES_UX__27_40_4643"/>
      <sheetName val="REPUESTOS_LPA3"/>
      <sheetName val="Oct_Truckfest_GMAC_BC3"/>
      <sheetName val="Corolla_Gas3"/>
      <sheetName val="Part_No_3"/>
      <sheetName val="RACK_(CB)new3"/>
      <sheetName val="MASTER_FILE3"/>
      <sheetName val="車両仕様_New02㾐3"/>
      <sheetName val="2005_TKM3"/>
      <sheetName val="Comm_CKD3"/>
      <sheetName val="Datos_HHRR3"/>
      <sheetName val="７月発注分_(VLOOK)3"/>
      <sheetName val="DBS040_RPT_RPT3"/>
      <sheetName val="金型申入書ﾃﾞｰﾀ(05_7～)3"/>
      <sheetName val="Interior_Trim3"/>
      <sheetName val="Plate_Bumper_(Summary)3"/>
      <sheetName val="FAD_Sum3"/>
      <sheetName val="車両仕様__x005f_x0000__x005f_x0000___x005f_x0012__瞳_3"/>
      <sheetName val="車両仕様_x005f_x0000__New02㾐3"/>
      <sheetName val="車両仕様___x005f_x0012__瞳_3"/>
      <sheetName val="車両仕様_____x005f_x0012__瞳_3"/>
      <sheetName val="車両仕様__x005f_x005f_x005f_x0000__x005f_x005f_x00003"/>
      <sheetName val="車両仕様_x005f_x005f_x005f_x0000__New02㾐3"/>
      <sheetName val="車両仕様___x005f_x005f_x005f_x0012__瞳_3"/>
      <sheetName val="車両仕様_____x005f_x005f_x005f_x0012__瞳_3"/>
      <sheetName val="車両仕様__x005f_x005f_x005f_x005f_x005f_x005f_x005f_x0000_3"/>
      <sheetName val="車両仕様_x005f_x005f_x005f_x005f_x005f_x005f_x005f_x0000__3"/>
      <sheetName val="車両仕様___x005f_x005f_x005f_x005f_x005f_x005f_x00123"/>
      <sheetName val="車両仕様_____x005f_x005f_x005f_x005f_x005f_x005f_x007"/>
      <sheetName val="IM-P-L-JB_3"/>
      <sheetName val="094W原紙_3"/>
      <sheetName val="Regional_Penetration3"/>
      <sheetName val="dongia_(2)3"/>
      <sheetName val="GMT900_IPC3"/>
      <sheetName val="OTHERS_x6203"/>
      <sheetName val="No12_營業成本表_cost13"/>
      <sheetName val="Master_Updated(517)3"/>
      <sheetName val="ED_AND_EDOV3"/>
      <sheetName val="Supp_List3"/>
      <sheetName val="Risk_&amp;_Opps3"/>
      <sheetName val="Main_23"/>
      <sheetName val="Datasheet_from_R__Hinds3"/>
      <sheetName val="車両仕様__x005f_x005f_x005f_x005f_x005f_x005f_x005f_x005f_3"/>
      <sheetName val="車両仕様___x005f_x005f_x005f_x005f_x005f_x005f_x005f3"/>
      <sheetName val="車両仕様_____x005f_x005f_x005f_x005f_x005f_x005f_x008"/>
      <sheetName val="車両仕様__x005f_x0000__x005f_x0000_3"/>
      <sheetName val="車両仕様__x005f_x005f_x005f_x0000__3"/>
      <sheetName val="車両仕様_x005f_x005f_x005f_x0000__N3"/>
      <sheetName val="車両仕様___x005f_x005f_x005f_x0012_3"/>
      <sheetName val="車両仕様_____x005f_x005f_x0013"/>
      <sheetName val="車両仕様__x005f_x005f_x005f_x005f_x3"/>
      <sheetName val="車両仕様___x005f_x005f_x005f_x005f_3"/>
      <sheetName val="車両仕様_____x005f_x005f_x0053"/>
      <sheetName val="RR_Diff__Progressive(28-Aug_(24"/>
      <sheetName val="RR_Diff__Progressive(4-Sep-03)4"/>
      <sheetName val="CHRONOLOGY_INDEX4"/>
      <sheetName val="COST_REC__DISCREP_4"/>
      <sheetName val="車両仕様_4"/>
      <sheetName val="MARCH-APRIL__034"/>
      <sheetName val="車両仕様?_New02㾐4"/>
      <sheetName val="F_Lead4"/>
      <sheetName val="車両仕様__New02㾐4"/>
      <sheetName val="D88D_CAL4"/>
      <sheetName val="Distributor_&amp;_Dealer_code4"/>
      <sheetName val="T1_&amp;_T2_Code4"/>
      <sheetName val="All_of_Part_list_rev_494"/>
      <sheetName val="All_of_Part_list_rev_49_(PNo)4"/>
      <sheetName val="02年9月_まとめ_32βＨ4"/>
      <sheetName val="715L_Unit_Price4"/>
      <sheetName val="MARCH_APRIL__034"/>
      <sheetName val="ES_UX__27_40_4644"/>
      <sheetName val="REPUESTOS_LPA4"/>
      <sheetName val="Oct_Truckfest_GMAC_BC4"/>
      <sheetName val="Corolla_Gas4"/>
      <sheetName val="Part_No_4"/>
      <sheetName val="RACK_(CB)new4"/>
      <sheetName val="MASTER_FILE4"/>
      <sheetName val="車両仕様_New02㾐4"/>
      <sheetName val="2005_TKM4"/>
      <sheetName val="Comm_CKD4"/>
      <sheetName val="Datos_HHRR4"/>
      <sheetName val="７月発注分_(VLOOK)4"/>
      <sheetName val="DBS040_RPT_RPT4"/>
      <sheetName val="金型申入書ﾃﾞｰﾀ(05_7～)4"/>
      <sheetName val="Interior_Trim4"/>
      <sheetName val="Plate_Bumper_(Summary)4"/>
      <sheetName val="FAD_Sum4"/>
      <sheetName val="車両仕様__x005f_x0000__x005f_x0000___x005f_x0012__瞳_4"/>
      <sheetName val="車両仕様_x005f_x0000__New02㾐4"/>
      <sheetName val="車両仕様___x005f_x0012__瞳_4"/>
      <sheetName val="車両仕様_____x005f_x0012__瞳_4"/>
      <sheetName val="車両仕様__x005f_x005f_x005f_x0000__x005f_x005f_x00004"/>
      <sheetName val="車両仕様_x005f_x005f_x005f_x0000__New02㾐4"/>
      <sheetName val="車両仕様___x005f_x005f_x005f_x0012__瞳_4"/>
      <sheetName val="車両仕様_____x005f_x005f_x005f_x0012__瞳_4"/>
      <sheetName val="車両仕様__x005f_x005f_x005f_x005f_x005f_x005f_x005f_x0000_4"/>
      <sheetName val="車両仕様_x005f_x005f_x005f_x005f_x005f_x005f_x005f_x0000__4"/>
      <sheetName val="車両仕様___x005f_x005f_x005f_x005f_x005f_x005f_x00124"/>
      <sheetName val="車両仕様_____x005f_x005f_x005f_x005f_x005f_x005f_x009"/>
      <sheetName val="IM-P-L-JB_4"/>
      <sheetName val="094W原紙_4"/>
      <sheetName val="Regional_Penetration4"/>
      <sheetName val="dongia_(2)4"/>
      <sheetName val="GMT900_IPC4"/>
      <sheetName val="OTHERS_x6204"/>
      <sheetName val="No12_營業成本表_cost14"/>
      <sheetName val="Master_Updated(517)4"/>
      <sheetName val="ED_AND_EDOV4"/>
      <sheetName val="Supp_List4"/>
      <sheetName val="Risk_&amp;_Opps4"/>
      <sheetName val="Main_24"/>
      <sheetName val="Datasheet_from_R__Hinds4"/>
      <sheetName val="車両仕様__x005f_x005f_x005f_x005f_x005f_x005f_x005f_x005f_4"/>
      <sheetName val="車両仕様___x005f_x005f_x005f_x005f_x005f_x005f_x005f4"/>
      <sheetName val="車両仕様_____x005f_x005f_x005f_x005f_x005f_x005f_x010"/>
      <sheetName val="車両仕様__x005f_x0000__x005f_x0000_4"/>
      <sheetName val="車両仕様__x005f_x005f_x005f_x0000__4"/>
      <sheetName val="車両仕様_x005f_x005f_x005f_x0000__N4"/>
      <sheetName val="車両仕様___x005f_x005f_x005f_x0012_4"/>
      <sheetName val="車両仕様_____x005f_x005f_x0014"/>
      <sheetName val="車両仕様__x005f_x005f_x005f_x005f_x4"/>
      <sheetName val="車両仕様___x005f_x005f_x005f_x005f_4"/>
      <sheetName val="車両仕様_____x005f_x005f_x0054"/>
      <sheetName val="RR_Diff__Progressive(28-Aug_(27"/>
      <sheetName val="RR_Diff__Progressive(4-Sep-03)7"/>
      <sheetName val="CHRONOLOGY_INDEX7"/>
      <sheetName val="COST_REC__DISCREP_7"/>
      <sheetName val="車両仕様_7"/>
      <sheetName val="MARCH-APRIL__037"/>
      <sheetName val="車両仕様?_New02㾐7"/>
      <sheetName val="F_Lead7"/>
      <sheetName val="車両仕様__New02㾐7"/>
      <sheetName val="D88D_CAL7"/>
      <sheetName val="Distributor_&amp;_Dealer_code7"/>
      <sheetName val="T1_&amp;_T2_Code7"/>
      <sheetName val="All_of_Part_list_rev_497"/>
      <sheetName val="All_of_Part_list_rev_49_(PNo)7"/>
      <sheetName val="02年9月_まとめ_32βＨ7"/>
      <sheetName val="715L_Unit_Price7"/>
      <sheetName val="MARCH_APRIL__037"/>
      <sheetName val="ES_UX__27_40_4647"/>
      <sheetName val="REPUESTOS_LPA7"/>
      <sheetName val="Oct_Truckfest_GMAC_BC7"/>
      <sheetName val="Corolla_Gas7"/>
      <sheetName val="Part_No_7"/>
      <sheetName val="RACK_(CB)new7"/>
      <sheetName val="MASTER_FILE7"/>
      <sheetName val="車両仕様_New02㾐7"/>
      <sheetName val="2005_TKM7"/>
      <sheetName val="Comm_CKD7"/>
      <sheetName val="Datos_HHRR7"/>
      <sheetName val="７月発注分_(VLOOK)7"/>
      <sheetName val="DBS040_RPT_RPT7"/>
      <sheetName val="金型申入書ﾃﾞｰﾀ(05_7～)7"/>
      <sheetName val="Interior_Trim7"/>
      <sheetName val="Plate_Bumper_(Summary)7"/>
      <sheetName val="FAD_Sum7"/>
      <sheetName val="車両仕様__x005f_x0000__x005f_x0000___x005f_x0012__瞳_7"/>
      <sheetName val="車両仕様_x005f_x0000__New02㾐7"/>
      <sheetName val="車両仕様___x005f_x0012__瞳_7"/>
      <sheetName val="車両仕様_____x005f_x0012__瞳_7"/>
      <sheetName val="車両仕様__x005f_x005f_x005f_x0000__x005f_x005f_x00007"/>
      <sheetName val="車両仕様_x005f_x005f_x005f_x0000__New02㾐7"/>
      <sheetName val="車両仕様___x005f_x005f_x005f_x0012__瞳_7"/>
      <sheetName val="車両仕様_____x005f_x005f_x005f_x0012__瞳_7"/>
      <sheetName val="車両仕様__x005f_x005f_x005f_x005f_x005f_x005f_x005f_x0000_7"/>
      <sheetName val="車両仕様_x005f_x005f_x005f_x005f_x005f_x005f_x005f_x0000__7"/>
      <sheetName val="車両仕様___x005f_x005f_x005f_x005f_x005f_x005f_x00127"/>
      <sheetName val="車両仕様_____x005f_x005f_x005f_x005f_x005f_x005f_x015"/>
      <sheetName val="IM-P-L-JB_7"/>
      <sheetName val="094W原紙_7"/>
      <sheetName val="Regional_Penetration7"/>
      <sheetName val="dongia_(2)7"/>
      <sheetName val="GMT900_IPC7"/>
      <sheetName val="OTHERS_x6207"/>
      <sheetName val="No12_營業成本表_cost17"/>
      <sheetName val="Master_Updated(517)7"/>
      <sheetName val="ED_AND_EDOV7"/>
      <sheetName val="Supp_List7"/>
      <sheetName val="Risk_&amp;_Opps7"/>
      <sheetName val="Main_27"/>
      <sheetName val="Datasheet_from_R__Hinds7"/>
      <sheetName val="車両仕様__x005f_x005f_x005f_x005f_x005f_x005f_x005f_x005f_7"/>
      <sheetName val="車両仕様___x005f_x005f_x005f_x005f_x005f_x005f_x005f7"/>
      <sheetName val="車両仕様_____x005f_x005f_x005f_x005f_x005f_x005f_x016"/>
      <sheetName val="車両仕様__x005f_x0000__x005f_x0000_7"/>
      <sheetName val="車両仕様__x005f_x005f_x005f_x0000__7"/>
      <sheetName val="車両仕様_x005f_x005f_x005f_x0000__N7"/>
      <sheetName val="車両仕様___x005f_x005f_x005f_x0012_7"/>
      <sheetName val="車両仕様_____x005f_x005f_x0017"/>
      <sheetName val="車両仕様__x005f_x005f_x005f_x005f_x7"/>
      <sheetName val="車両仕様___x005f_x005f_x005f_x005f_7"/>
      <sheetName val="車両仕様_____x005f_x005f_x0057"/>
      <sheetName val="Production_Database_3995"/>
      <sheetName val="RR_Diff__Progressive(28-Aug_(26"/>
      <sheetName val="RR_Diff__Progressive(4-Sep-03)6"/>
      <sheetName val="CHRONOLOGY_INDEX6"/>
      <sheetName val="COST_REC__DISCREP_6"/>
      <sheetName val="車両仕様_6"/>
      <sheetName val="MARCH-APRIL__036"/>
      <sheetName val="車両仕様?_New02㾐6"/>
      <sheetName val="F_Lead6"/>
      <sheetName val="車両仕様__New02㾐6"/>
      <sheetName val="D88D_CAL6"/>
      <sheetName val="Distributor_&amp;_Dealer_code6"/>
      <sheetName val="T1_&amp;_T2_Code6"/>
      <sheetName val="All_of_Part_list_rev_496"/>
      <sheetName val="All_of_Part_list_rev_49_(PNo)6"/>
      <sheetName val="02年9月_まとめ_32βＨ6"/>
      <sheetName val="715L_Unit_Price6"/>
      <sheetName val="MARCH_APRIL__036"/>
      <sheetName val="ES_UX__27_40_4646"/>
      <sheetName val="REPUESTOS_LPA6"/>
      <sheetName val="Oct_Truckfest_GMAC_BC6"/>
      <sheetName val="Corolla_Gas6"/>
      <sheetName val="Part_No_6"/>
      <sheetName val="RACK_(CB)new6"/>
      <sheetName val="MASTER_FILE6"/>
      <sheetName val="車両仕様_New02㾐6"/>
      <sheetName val="2005_TKM6"/>
      <sheetName val="Comm_CKD6"/>
      <sheetName val="Datos_HHRR6"/>
      <sheetName val="７月発注分_(VLOOK)6"/>
      <sheetName val="DBS040_RPT_RPT6"/>
      <sheetName val="金型申入書ﾃﾞｰﾀ(05_7～)6"/>
      <sheetName val="Interior_Trim6"/>
      <sheetName val="Plate_Bumper_(Summary)6"/>
      <sheetName val="FAD_Sum6"/>
      <sheetName val="車両仕様__x005f_x0000__x005f_x0000___x005f_x0012__瞳_6"/>
      <sheetName val="車両仕様_x005f_x0000__New02㾐6"/>
      <sheetName val="車両仕様___x005f_x0012__瞳_6"/>
      <sheetName val="車両仕様_____x005f_x0012__瞳_6"/>
      <sheetName val="車両仕様__x005f_x005f_x005f_x0000__x005f_x005f_x00006"/>
      <sheetName val="車両仕様_x005f_x005f_x005f_x0000__New02㾐6"/>
      <sheetName val="車両仕様___x005f_x005f_x005f_x0012__瞳_6"/>
      <sheetName val="車両仕様_____x005f_x005f_x005f_x0012__瞳_6"/>
      <sheetName val="車両仕様__x005f_x005f_x005f_x005f_x005f_x005f_x005f_x0000_6"/>
      <sheetName val="車両仕様_x005f_x005f_x005f_x005f_x005f_x005f_x005f_x0000__6"/>
      <sheetName val="車両仕様___x005f_x005f_x005f_x005f_x005f_x005f_x00126"/>
      <sheetName val="車両仕様_____x005f_x005f_x005f_x005f_x005f_x005f_x013"/>
      <sheetName val="IM-P-L-JB_6"/>
      <sheetName val="094W原紙_6"/>
      <sheetName val="Regional_Penetration6"/>
      <sheetName val="dongia_(2)6"/>
      <sheetName val="GMT900_IPC6"/>
      <sheetName val="OTHERS_x6206"/>
      <sheetName val="No12_營業成本表_cost16"/>
      <sheetName val="Master_Updated(517)6"/>
      <sheetName val="ED_AND_EDOV6"/>
      <sheetName val="Supp_List6"/>
      <sheetName val="Risk_&amp;_Opps6"/>
      <sheetName val="Main_26"/>
      <sheetName val="Datasheet_from_R__Hinds6"/>
      <sheetName val="車両仕様__x005f_x005f_x005f_x005f_x005f_x005f_x005f_x005f_6"/>
      <sheetName val="車両仕様___x005f_x005f_x005f_x005f_x005f_x005f_x005f6"/>
      <sheetName val="車両仕様_____x005f_x005f_x005f_x005f_x005f_x005f_x014"/>
      <sheetName val="車両仕様__x005f_x0000__x005f_x0000_6"/>
      <sheetName val="車両仕様__x005f_x005f_x005f_x0000__6"/>
      <sheetName val="車両仕様_x005f_x005f_x005f_x0000__N6"/>
      <sheetName val="車両仕様___x005f_x005f_x005f_x0012_6"/>
      <sheetName val="車両仕様_____x005f_x005f_x0016"/>
      <sheetName val="車両仕様__x005f_x005f_x005f_x005f_x6"/>
      <sheetName val="車両仕様___x005f_x005f_x005f_x005f_6"/>
      <sheetName val="車両仕様_____x005f_x005f_x0056"/>
      <sheetName val="Production_Database_3994"/>
      <sheetName val="RR_Diff__Progressive(28-Aug_(28"/>
      <sheetName val="RR_Diff__Progressive(4-Sep-03)8"/>
      <sheetName val="CHRONOLOGY_INDEX8"/>
      <sheetName val="COST_REC__DISCREP_8"/>
      <sheetName val="車両仕様_8"/>
      <sheetName val="MARCH-APRIL__038"/>
      <sheetName val="車両仕様?_New02㾐8"/>
      <sheetName val="F_Lead8"/>
      <sheetName val="車両仕様__New02㾐8"/>
      <sheetName val="D88D_CAL8"/>
      <sheetName val="Distributor_&amp;_Dealer_code8"/>
      <sheetName val="T1_&amp;_T2_Code8"/>
      <sheetName val="All_of_Part_list_rev_498"/>
      <sheetName val="All_of_Part_list_rev_49_(PNo)8"/>
      <sheetName val="02年9月_まとめ_32βＨ8"/>
      <sheetName val="715L_Unit_Price8"/>
      <sheetName val="MARCH_APRIL__038"/>
      <sheetName val="ES_UX__27_40_4648"/>
      <sheetName val="REPUESTOS_LPA8"/>
      <sheetName val="Oct_Truckfest_GMAC_BC8"/>
      <sheetName val="Corolla_Gas8"/>
      <sheetName val="Part_No_8"/>
      <sheetName val="RACK_(CB)new8"/>
      <sheetName val="MASTER_FILE8"/>
      <sheetName val="車両仕様_New02㾐8"/>
      <sheetName val="2005_TKM8"/>
      <sheetName val="Comm_CKD8"/>
      <sheetName val="Datos_HHRR8"/>
      <sheetName val="７月発注分_(VLOOK)8"/>
      <sheetName val="DBS040_RPT_RPT8"/>
      <sheetName val="金型申入書ﾃﾞｰﾀ(05_7～)8"/>
      <sheetName val="Interior_Trim8"/>
      <sheetName val="Plate_Bumper_(Summary)8"/>
      <sheetName val="FAD_Sum8"/>
      <sheetName val="車両仕様__x005f_x0000__x005f_x0000___x005f_x0012__瞳_8"/>
      <sheetName val="車両仕様_x005f_x0000__New02㾐8"/>
      <sheetName val="車両仕様___x005f_x0012__瞳_8"/>
      <sheetName val="車両仕様_____x005f_x0012__瞳_8"/>
      <sheetName val="車両仕様__x005f_x005f_x005f_x0000__x005f_x005f_x00008"/>
      <sheetName val="車両仕様_x005f_x005f_x005f_x0000__New02㾐8"/>
      <sheetName val="車両仕様___x005f_x005f_x005f_x0012__瞳_8"/>
      <sheetName val="車両仕様_____x005f_x005f_x005f_x0012__瞳_8"/>
      <sheetName val="車両仕様__x005f_x005f_x005f_x005f_x005f_x005f_x005f_x0000_8"/>
      <sheetName val="車両仕様_x005f_x005f_x005f_x005f_x005f_x005f_x005f_x0000__8"/>
      <sheetName val="車両仕様___x005f_x005f_x005f_x005f_x005f_x005f_x00128"/>
      <sheetName val="車両仕様_____x005f_x005f_x005f_x005f_x005f_x005f_x017"/>
      <sheetName val="IM-P-L-JB_8"/>
      <sheetName val="094W原紙_8"/>
      <sheetName val="Regional_Penetration8"/>
      <sheetName val="dongia_(2)8"/>
      <sheetName val="GMT900_IPC8"/>
      <sheetName val="OTHERS_x6208"/>
      <sheetName val="No12_營業成本表_cost18"/>
      <sheetName val="Master_Updated(517)8"/>
      <sheetName val="ED_AND_EDOV8"/>
      <sheetName val="Supp_List8"/>
      <sheetName val="Risk_&amp;_Opps8"/>
      <sheetName val="Main_28"/>
      <sheetName val="Datasheet_from_R__Hinds8"/>
      <sheetName val="車両仕様__x005f_x005f_x005f_x005f_x005f_x005f_x005f_x005f_8"/>
      <sheetName val="車両仕様___x005f_x005f_x005f_x005f_x005f_x005f_x005f8"/>
      <sheetName val="車両仕様_____x005f_x005f_x005f_x005f_x005f_x005f_x018"/>
      <sheetName val="車両仕様__x005f_x0000__x005f_x0000_8"/>
      <sheetName val="車両仕様__x005f_x005f_x005f_x0000__8"/>
      <sheetName val="車両仕様_x005f_x005f_x005f_x0000__N8"/>
      <sheetName val="車両仕様___x005f_x005f_x005f_x0012_8"/>
      <sheetName val="車両仕様_____x005f_x005f_x0018"/>
      <sheetName val="車両仕様__x005f_x005f_x005f_x005f_x8"/>
      <sheetName val="車両仕様___x005f_x005f_x005f_x005f_8"/>
      <sheetName val="車両仕様_____x005f_x005f_x0058"/>
      <sheetName val="Production_Database_3996"/>
      <sheetName val="RR_Diff__Progressive(28-Aug_(29"/>
      <sheetName val="RR_Diff__Progressive(4-Sep-03)9"/>
      <sheetName val="CHRONOLOGY_INDEX9"/>
      <sheetName val="COST_REC__DISCREP_9"/>
      <sheetName val="車両仕様_9"/>
      <sheetName val="MARCH-APRIL__039"/>
      <sheetName val="車両仕様?_New02㾐9"/>
      <sheetName val="F_Lead9"/>
      <sheetName val="車両仕様__New02㾐9"/>
      <sheetName val="D88D_CAL9"/>
      <sheetName val="Distributor_&amp;_Dealer_code9"/>
      <sheetName val="T1_&amp;_T2_Code9"/>
      <sheetName val="All_of_Part_list_rev_499"/>
      <sheetName val="All_of_Part_list_rev_49_(PNo)9"/>
      <sheetName val="02年9月_まとめ_32βＨ9"/>
      <sheetName val="715L_Unit_Price9"/>
      <sheetName val="MARCH_APRIL__039"/>
      <sheetName val="ES_UX__27_40_4649"/>
      <sheetName val="REPUESTOS_LPA9"/>
      <sheetName val="Oct_Truckfest_GMAC_BC9"/>
      <sheetName val="Corolla_Gas9"/>
      <sheetName val="Part_No_9"/>
      <sheetName val="RACK_(CB)new9"/>
      <sheetName val="MASTER_FILE9"/>
      <sheetName val="車両仕様_New02㾐9"/>
      <sheetName val="2005_TKM9"/>
      <sheetName val="Comm_CKD9"/>
      <sheetName val="Datos_HHRR9"/>
      <sheetName val="７月発注分_(VLOOK)9"/>
      <sheetName val="DBS040_RPT_RPT9"/>
      <sheetName val="金型申入書ﾃﾞｰﾀ(05_7～)9"/>
      <sheetName val="Interior_Trim9"/>
      <sheetName val="Plate_Bumper_(Summary)9"/>
      <sheetName val="FAD_Sum9"/>
      <sheetName val="車両仕様__x005f_x0000__x005f_x0000___x005f_x0012__瞳_9"/>
      <sheetName val="車両仕様_x005f_x0000__New02㾐9"/>
      <sheetName val="車両仕様___x005f_x0012__瞳_9"/>
      <sheetName val="車両仕様_____x005f_x0012__瞳_9"/>
      <sheetName val="車両仕様__x005f_x005f_x005f_x0000__x005f_x005f_x00009"/>
      <sheetName val="車両仕様_x005f_x005f_x005f_x0000__New02㾐9"/>
      <sheetName val="車両仕様___x005f_x005f_x005f_x0012__瞳_9"/>
      <sheetName val="車両仕様_____x005f_x005f_x005f_x0012__瞳_9"/>
      <sheetName val="車両仕様__x005f_x005f_x005f_x005f_x005f_x005f_x005f_x0000_9"/>
      <sheetName val="車両仕様_x005f_x005f_x005f_x005f_x005f_x005f_x005f_x0000__9"/>
      <sheetName val="車両仕様___x005f_x005f_x005f_x005f_x005f_x005f_x00129"/>
      <sheetName val="車両仕様_____x005f_x005f_x005f_x005f_x005f_x005f_x019"/>
      <sheetName val="IM-P-L-JB_9"/>
      <sheetName val="094W原紙_9"/>
      <sheetName val="Regional_Penetration9"/>
      <sheetName val="dongia_(2)9"/>
      <sheetName val="GMT900_IPC9"/>
      <sheetName val="OTHERS_x6209"/>
      <sheetName val="No12_營業成本表_cost19"/>
      <sheetName val="Master_Updated(517)9"/>
      <sheetName val="ED_AND_EDOV9"/>
      <sheetName val="Supp_List9"/>
      <sheetName val="Risk_&amp;_Opps9"/>
      <sheetName val="Main_29"/>
      <sheetName val="Datasheet_from_R__Hinds9"/>
      <sheetName val="車両仕様__x005f_x005f_x005f_x005f_x005f_x005f_x005f_x005f_9"/>
      <sheetName val="車両仕様___x005f_x005f_x005f_x005f_x005f_x005f_x005f9"/>
      <sheetName val="車両仕様_____x005f_x005f_x005f_x005f_x005f_x005f_x020"/>
      <sheetName val="車両仕様__x005f_x0000__x005f_x0000_9"/>
      <sheetName val="車両仕様__x005f_x005f_x005f_x0000__9"/>
      <sheetName val="車両仕様_x005f_x005f_x005f_x0000__N9"/>
      <sheetName val="車両仕様___x005f_x005f_x005f_x0012_9"/>
      <sheetName val="車両仕様_____x005f_x005f_x0019"/>
      <sheetName val="車両仕様__x005f_x005f_x005f_x005f_x9"/>
      <sheetName val="車両仕様___x005f_x005f_x005f_x005f_9"/>
      <sheetName val="車両仕様_____x005f_x005f_x0059"/>
      <sheetName val="Production_Database_3997"/>
      <sheetName val="RR_Diff__Progressive(28-Aug_(10"/>
      <sheetName val="RR_Diff__Progressive(4-Sep-0310"/>
      <sheetName val="CHRONOLOGY_INDEX10"/>
      <sheetName val="COST_REC__DISCREP_10"/>
      <sheetName val="車両仕様_10"/>
      <sheetName val="MARCH-APRIL__0310"/>
      <sheetName val="車両仕様?_New02㾐10"/>
      <sheetName val="F_Lead10"/>
      <sheetName val="車両仕様__New02㾐10"/>
      <sheetName val="D88D_CAL10"/>
      <sheetName val="Distributor_&amp;_Dealer_code10"/>
      <sheetName val="T1_&amp;_T2_Code10"/>
      <sheetName val="All_of_Part_list_rev_4910"/>
      <sheetName val="All_of_Part_list_rev_49_(PNo)10"/>
      <sheetName val="02年9月_まとめ_32βＨ10"/>
      <sheetName val="715L_Unit_Price10"/>
      <sheetName val="MARCH_APRIL__0310"/>
      <sheetName val="ES_UX__27_40_46410"/>
      <sheetName val="REPUESTOS_LPA10"/>
      <sheetName val="Oct_Truckfest_GMAC_BC10"/>
      <sheetName val="Corolla_Gas10"/>
      <sheetName val="Part_No_10"/>
      <sheetName val="RACK_(CB)new10"/>
      <sheetName val="MASTER_FILE10"/>
      <sheetName val="車両仕様_New02㾐10"/>
      <sheetName val="2005_TKM10"/>
      <sheetName val="Comm_CKD10"/>
      <sheetName val="Datos_HHRR10"/>
      <sheetName val="７月発注分_(VLOOK)10"/>
      <sheetName val="DBS040_RPT_RPT10"/>
      <sheetName val="金型申入書ﾃﾞｰﾀ(05_7～)10"/>
      <sheetName val="Interior_Trim10"/>
      <sheetName val="Plate_Bumper_(Summary)10"/>
      <sheetName val="FAD_Sum10"/>
      <sheetName val="車両仕様__x005f_x0000__x005f_x0000___x005f_x0012__瞳10"/>
      <sheetName val="車両仕様_x005f_x0000__New02㾐10"/>
      <sheetName val="車両仕様___x005f_x0012__瞳_10"/>
      <sheetName val="車両仕様_____x005f_x0012__瞳_10"/>
      <sheetName val="車両仕様__x005f_x005f_x005f_x0000__x005f_x005f_x00010"/>
      <sheetName val="車両仕様_x005f_x005f_x005f_x0000__New02㾐10"/>
      <sheetName val="車両仕様___x005f_x005f_x005f_x0012__瞳_10"/>
      <sheetName val="車両仕様_____x005f_x005f_x005f_x0012__瞳_10"/>
      <sheetName val="車両仕様__x005f_x005f_x005f_x005f_x005f_x005f_x000010"/>
      <sheetName val="車両仕様_x005f_x005f_x005f_x005f_x005f_x005f_x005f_x0000_10"/>
      <sheetName val="車両仕様___x005f_x005f_x005f_x005f_x005f_x005f_x00110"/>
      <sheetName val="車両仕様_____x005f_x005f_x005f_x005f_x005f_x005f_x021"/>
      <sheetName val="IM-P-L-JB_10"/>
      <sheetName val="094W原紙_10"/>
      <sheetName val="Regional_Penetration10"/>
      <sheetName val="dongia_(2)10"/>
      <sheetName val="GMT900_IPC10"/>
      <sheetName val="OTHERS_x62010"/>
      <sheetName val="No12_營業成本表_cost110"/>
      <sheetName val="Master_Updated(517)10"/>
      <sheetName val="ED_AND_EDOV10"/>
      <sheetName val="Supp_List10"/>
      <sheetName val="Risk_&amp;_Opps10"/>
      <sheetName val="Main_210"/>
      <sheetName val="Datasheet_from_R__Hinds10"/>
      <sheetName val="車両仕様__x005f_x005f_x005f_x005f_x005f_x005f_x005f10"/>
      <sheetName val="車両仕様___x005f_x005f_x005f_x005f_x005f_x005f_x00510"/>
      <sheetName val="車両仕様_____x005f_x005f_x005f_x005f_x005f_x005f_x022"/>
      <sheetName val="車両仕様__x005f_x0000__x005f_x0000_10"/>
      <sheetName val="車両仕様__x005f_x005f_x005f_x0000__10"/>
      <sheetName val="車両仕様_x005f_x005f_x005f_x0000__N10"/>
      <sheetName val="車両仕様___x005f_x005f_x005f_x0012_10"/>
      <sheetName val="車両仕様_____x005f_x005f_x00110"/>
      <sheetName val="車両仕様__x005f_x005f_x005f_x005f_x10"/>
      <sheetName val="車両仕様___x005f_x005f_x005f_x005f_10"/>
      <sheetName val="車両仕様_____x005f_x005f_x00510"/>
      <sheetName val="Production_Database_3998"/>
      <sheetName val="RR_Diff__Progressive(28-Aug_(18"/>
      <sheetName val="RR_Diff__Progressive(4-Sep-0318"/>
      <sheetName val="CHRONOLOGY_INDEX18"/>
      <sheetName val="COST_REC__DISCREP_18"/>
      <sheetName val="車両仕様_18"/>
      <sheetName val="MARCH-APRIL__0318"/>
      <sheetName val="車両仕様?_New02㾐18"/>
      <sheetName val="F_Lead18"/>
      <sheetName val="車両仕様__New02㾐18"/>
      <sheetName val="D88D_CAL18"/>
      <sheetName val="Distributor_&amp;_Dealer_code18"/>
      <sheetName val="T1_&amp;_T2_Code18"/>
      <sheetName val="All_of_Part_list_rev_4918"/>
      <sheetName val="All_of_Part_list_rev_49_(PNo)18"/>
      <sheetName val="02年9月_まとめ_32βＨ18"/>
      <sheetName val="715L_Unit_Price18"/>
      <sheetName val="MARCH_APRIL__0318"/>
      <sheetName val="ES_UX__27_40_46418"/>
      <sheetName val="REPUESTOS_LPA18"/>
      <sheetName val="Oct_Truckfest_GMAC_BC18"/>
      <sheetName val="Corolla_Gas18"/>
      <sheetName val="Part_No_18"/>
      <sheetName val="RACK_(CB)new18"/>
      <sheetName val="MASTER_FILE18"/>
      <sheetName val="車両仕様_New02㾐18"/>
      <sheetName val="2005_TKM18"/>
      <sheetName val="Comm_CKD18"/>
      <sheetName val="Datos_HHRR18"/>
      <sheetName val="７月発注分_(VLOOK)18"/>
      <sheetName val="DBS040_RPT_RPT18"/>
      <sheetName val="金型申入書ﾃﾞｰﾀ(05_7～)18"/>
      <sheetName val="Interior_Trim18"/>
      <sheetName val="Plate_Bumper_(Summary)18"/>
      <sheetName val="FAD_Sum18"/>
      <sheetName val="車両仕様__x005f_x0000__x005f_x0000___x005f_x0012__瞳18"/>
      <sheetName val="車両仕様_x005f_x0000__New02㾐18"/>
      <sheetName val="車両仕様___x005f_x0012__瞳_18"/>
      <sheetName val="車両仕様_____x005f_x0012__瞳_18"/>
      <sheetName val="車両仕様__x005f_x005f_x005f_x0000__x005f_x005f_x00018"/>
      <sheetName val="車両仕様_x005f_x005f_x005f_x0000__New02㾐18"/>
      <sheetName val="車両仕様___x005f_x005f_x005f_x0012__瞳_18"/>
      <sheetName val="車両仕様_____x005f_x005f_x005f_x0012__瞳_18"/>
      <sheetName val="車両仕様__x005f_x005f_x005f_x005f_x005f_x005f_x000018"/>
      <sheetName val="車両仕様_x005f_x005f_x005f_x005f_x005f_x005f_x005f_x0000_18"/>
      <sheetName val="車両仕様___x005f_x005f_x005f_x005f_x005f_x005f_x00118"/>
      <sheetName val="車両仕様_____x005f_x005f_x005f_x005f_x005f_x005f_x037"/>
      <sheetName val="IM-P-L-JB_18"/>
      <sheetName val="094W原紙_18"/>
      <sheetName val="Regional_Penetration18"/>
      <sheetName val="dongia_(2)18"/>
      <sheetName val="GMT900_IPC18"/>
      <sheetName val="OTHERS_x62018"/>
      <sheetName val="No12_營業成本表_cost118"/>
      <sheetName val="Master_Updated(517)18"/>
      <sheetName val="ED_AND_EDOV18"/>
      <sheetName val="Supp_List18"/>
      <sheetName val="Risk_&amp;_Opps18"/>
      <sheetName val="Main_218"/>
      <sheetName val="Datasheet_from_R__Hinds18"/>
      <sheetName val="車両仕様__x005f_x005f_x005f_x005f_x005f_x005f_x005f18"/>
      <sheetName val="車両仕様___x005f_x005f_x005f_x005f_x005f_x005f_x00518"/>
      <sheetName val="車両仕様_____x005f_x005f_x005f_x005f_x005f_x005f_x038"/>
      <sheetName val="車両仕様__x005f_x0000__x005f_x0000_18"/>
      <sheetName val="車両仕様__x005f_x005f_x005f_x0000__18"/>
      <sheetName val="車両仕様_x005f_x005f_x005f_x0000__N18"/>
      <sheetName val="車両仕様___x005f_x005f_x005f_x0012_18"/>
      <sheetName val="車両仕様_____x005f_x005f_x00118"/>
      <sheetName val="車両仕様__x005f_x005f_x005f_x005f_x18"/>
      <sheetName val="車両仕様___x005f_x005f_x005f_x005f_18"/>
      <sheetName val="車両仕様_____x005f_x005f_x00518"/>
      <sheetName val="Production_Database_39916"/>
      <sheetName val="RR_Diff__Progressive(28-Aug_(11"/>
      <sheetName val="RR_Diff__Progressive(4-Sep-0311"/>
      <sheetName val="CHRONOLOGY_INDEX11"/>
      <sheetName val="COST_REC__DISCREP_11"/>
      <sheetName val="車両仕様_11"/>
      <sheetName val="MARCH-APRIL__0311"/>
      <sheetName val="車両仕様?_New02㾐11"/>
      <sheetName val="F_Lead11"/>
      <sheetName val="車両仕様__New02㾐11"/>
      <sheetName val="D88D_CAL11"/>
      <sheetName val="Distributor_&amp;_Dealer_code11"/>
      <sheetName val="T1_&amp;_T2_Code11"/>
      <sheetName val="All_of_Part_list_rev_4911"/>
      <sheetName val="All_of_Part_list_rev_49_(PNo)11"/>
      <sheetName val="02年9月_まとめ_32βＨ11"/>
      <sheetName val="715L_Unit_Price11"/>
      <sheetName val="MARCH_APRIL__0311"/>
      <sheetName val="ES_UX__27_40_46411"/>
      <sheetName val="REPUESTOS_LPA11"/>
      <sheetName val="Oct_Truckfest_GMAC_BC11"/>
      <sheetName val="Corolla_Gas11"/>
      <sheetName val="Part_No_11"/>
      <sheetName val="RACK_(CB)new11"/>
      <sheetName val="MASTER_FILE11"/>
      <sheetName val="車両仕様_New02㾐11"/>
      <sheetName val="2005_TKM11"/>
      <sheetName val="Comm_CKD11"/>
      <sheetName val="Datos_HHRR11"/>
      <sheetName val="７月発注分_(VLOOK)11"/>
      <sheetName val="DBS040_RPT_RPT11"/>
      <sheetName val="金型申入書ﾃﾞｰﾀ(05_7～)11"/>
      <sheetName val="Interior_Trim11"/>
      <sheetName val="Plate_Bumper_(Summary)11"/>
      <sheetName val="FAD_Sum11"/>
      <sheetName val="車両仕様__x005f_x0000__x005f_x0000___x005f_x0012__瞳11"/>
      <sheetName val="車両仕様_x005f_x0000__New02㾐11"/>
      <sheetName val="車両仕様___x005f_x0012__瞳_11"/>
      <sheetName val="車両仕様_____x005f_x0012__瞳_11"/>
      <sheetName val="車両仕様__x005f_x005f_x005f_x0000__x005f_x005f_x00011"/>
      <sheetName val="車両仕様_x005f_x005f_x005f_x0000__New02㾐11"/>
      <sheetName val="車両仕様___x005f_x005f_x005f_x0012__瞳_11"/>
      <sheetName val="車両仕様_____x005f_x005f_x005f_x0012__瞳_11"/>
      <sheetName val="車両仕様__x005f_x005f_x005f_x005f_x005f_x005f_x000011"/>
      <sheetName val="車両仕様_x005f_x005f_x005f_x005f_x005f_x005f_x005f_x0000_11"/>
      <sheetName val="車両仕様___x005f_x005f_x005f_x005f_x005f_x005f_x00111"/>
      <sheetName val="車両仕様_____x005f_x005f_x005f_x005f_x005f_x005f_x023"/>
      <sheetName val="IM-P-L-JB_11"/>
      <sheetName val="094W原紙_11"/>
      <sheetName val="Regional_Penetration11"/>
      <sheetName val="dongia_(2)11"/>
      <sheetName val="GMT900_IPC11"/>
      <sheetName val="OTHERS_x62011"/>
      <sheetName val="No12_營業成本表_cost111"/>
      <sheetName val="Master_Updated(517)11"/>
      <sheetName val="ED_AND_EDOV11"/>
      <sheetName val="Supp_List11"/>
      <sheetName val="Risk_&amp;_Opps11"/>
      <sheetName val="Main_211"/>
      <sheetName val="Datasheet_from_R__Hinds11"/>
      <sheetName val="車両仕様__x005f_x005f_x005f_x005f_x005f_x005f_x005f11"/>
      <sheetName val="車両仕様___x005f_x005f_x005f_x005f_x005f_x005f_x00511"/>
      <sheetName val="車両仕様_____x005f_x005f_x005f_x005f_x005f_x005f_x024"/>
      <sheetName val="車両仕様__x005f_x0000__x005f_x0000_11"/>
      <sheetName val="車両仕様__x005f_x005f_x005f_x0000__11"/>
      <sheetName val="車両仕様_x005f_x005f_x005f_x0000__N11"/>
      <sheetName val="車両仕様___x005f_x005f_x005f_x0012_11"/>
      <sheetName val="車両仕様_____x005f_x005f_x00111"/>
      <sheetName val="車両仕様__x005f_x005f_x005f_x005f_x11"/>
      <sheetName val="車両仕様___x005f_x005f_x005f_x005f_11"/>
      <sheetName val="車両仕様_____x005f_x005f_x00511"/>
      <sheetName val="Production_Database_3999"/>
      <sheetName val="RR_Diff__Progressive(28-Aug_(12"/>
      <sheetName val="RR_Diff__Progressive(4-Sep-0312"/>
      <sheetName val="CHRONOLOGY_INDEX12"/>
      <sheetName val="COST_REC__DISCREP_12"/>
      <sheetName val="車両仕様_12"/>
      <sheetName val="MARCH-APRIL__0312"/>
      <sheetName val="車両仕様?_New02㾐12"/>
      <sheetName val="F_Lead12"/>
      <sheetName val="車両仕様__New02㾐12"/>
      <sheetName val="D88D_CAL12"/>
      <sheetName val="Distributor_&amp;_Dealer_code12"/>
      <sheetName val="T1_&amp;_T2_Code12"/>
      <sheetName val="All_of_Part_list_rev_4912"/>
      <sheetName val="All_of_Part_list_rev_49_(PNo)12"/>
      <sheetName val="02年9月_まとめ_32βＨ12"/>
      <sheetName val="715L_Unit_Price12"/>
      <sheetName val="MARCH_APRIL__0312"/>
      <sheetName val="ES_UX__27_40_46412"/>
      <sheetName val="REPUESTOS_LPA12"/>
      <sheetName val="Oct_Truckfest_GMAC_BC12"/>
      <sheetName val="Corolla_Gas12"/>
      <sheetName val="Part_No_12"/>
      <sheetName val="RACK_(CB)new12"/>
      <sheetName val="MASTER_FILE12"/>
      <sheetName val="車両仕様_New02㾐12"/>
      <sheetName val="2005_TKM12"/>
      <sheetName val="Comm_CKD12"/>
      <sheetName val="Datos_HHRR12"/>
      <sheetName val="７月発注分_(VLOOK)12"/>
      <sheetName val="DBS040_RPT_RPT12"/>
      <sheetName val="金型申入書ﾃﾞｰﾀ(05_7～)12"/>
      <sheetName val="Interior_Trim12"/>
      <sheetName val="Plate_Bumper_(Summary)12"/>
      <sheetName val="FAD_Sum12"/>
      <sheetName val="車両仕様__x005f_x0000__x005f_x0000___x005f_x0012__瞳12"/>
      <sheetName val="車両仕様_x005f_x0000__New02㾐12"/>
      <sheetName val="車両仕様___x005f_x0012__瞳_12"/>
      <sheetName val="車両仕様_____x005f_x0012__瞳_12"/>
      <sheetName val="車両仕様__x005f_x005f_x005f_x0000__x005f_x005f_x00012"/>
      <sheetName val="車両仕様_x005f_x005f_x005f_x0000__New02㾐12"/>
      <sheetName val="車両仕様___x005f_x005f_x005f_x0012__瞳_12"/>
      <sheetName val="車両仕様_____x005f_x005f_x005f_x0012__瞳_12"/>
      <sheetName val="車両仕様__x005f_x005f_x005f_x005f_x005f_x005f_x000012"/>
      <sheetName val="車両仕様_x005f_x005f_x005f_x005f_x005f_x005f_x005f_x0000_12"/>
      <sheetName val="車両仕様___x005f_x005f_x005f_x005f_x005f_x005f_x00112"/>
      <sheetName val="車両仕様_____x005f_x005f_x005f_x005f_x005f_x005f_x025"/>
      <sheetName val="IM-P-L-JB_12"/>
      <sheetName val="094W原紙_12"/>
      <sheetName val="Regional_Penetration12"/>
      <sheetName val="dongia_(2)12"/>
      <sheetName val="GMT900_IPC12"/>
      <sheetName val="OTHERS_x62012"/>
      <sheetName val="No12_營業成本表_cost112"/>
      <sheetName val="Master_Updated(517)12"/>
      <sheetName val="ED_AND_EDOV12"/>
      <sheetName val="Supp_List12"/>
      <sheetName val="Risk_&amp;_Opps12"/>
      <sheetName val="Main_212"/>
      <sheetName val="Datasheet_from_R__Hinds12"/>
      <sheetName val="車両仕様__x005f_x005f_x005f_x005f_x005f_x005f_x005f12"/>
      <sheetName val="車両仕様___x005f_x005f_x005f_x005f_x005f_x005f_x00512"/>
      <sheetName val="車両仕様_____x005f_x005f_x005f_x005f_x005f_x005f_x026"/>
      <sheetName val="車両仕様__x005f_x0000__x005f_x0000_12"/>
      <sheetName val="車両仕様__x005f_x005f_x005f_x0000__12"/>
      <sheetName val="車両仕様_x005f_x005f_x005f_x0000__N12"/>
      <sheetName val="車両仕様___x005f_x005f_x005f_x0012_12"/>
      <sheetName val="車両仕様_____x005f_x005f_x00112"/>
      <sheetName val="車両仕様__x005f_x005f_x005f_x005f_x12"/>
      <sheetName val="車両仕様___x005f_x005f_x005f_x005f_12"/>
      <sheetName val="車両仕様_____x005f_x005f_x00512"/>
      <sheetName val="Production_Database_39910"/>
      <sheetName val="RR_Diff__Progressive(28-Aug_(13"/>
      <sheetName val="RR_Diff__Progressive(4-Sep-0313"/>
      <sheetName val="CHRONOLOGY_INDEX13"/>
      <sheetName val="COST_REC__DISCREP_13"/>
      <sheetName val="車両仕様_13"/>
      <sheetName val="MARCH-APRIL__0313"/>
      <sheetName val="車両仕様?_New02㾐13"/>
      <sheetName val="F_Lead13"/>
      <sheetName val="車両仕様__New02㾐13"/>
      <sheetName val="D88D_CAL13"/>
      <sheetName val="Distributor_&amp;_Dealer_code13"/>
      <sheetName val="T1_&amp;_T2_Code13"/>
      <sheetName val="All_of_Part_list_rev_4913"/>
      <sheetName val="All_of_Part_list_rev_49_(PNo)13"/>
      <sheetName val="02年9月_まとめ_32βＨ13"/>
      <sheetName val="715L_Unit_Price13"/>
      <sheetName val="MARCH_APRIL__0313"/>
      <sheetName val="ES_UX__27_40_46413"/>
      <sheetName val="REPUESTOS_LPA13"/>
      <sheetName val="Oct_Truckfest_GMAC_BC13"/>
      <sheetName val="Corolla_Gas13"/>
      <sheetName val="Part_No_13"/>
      <sheetName val="RACK_(CB)new13"/>
      <sheetName val="MASTER_FILE13"/>
      <sheetName val="車両仕様_New02㾐13"/>
      <sheetName val="2005_TKM13"/>
      <sheetName val="Comm_CKD13"/>
      <sheetName val="Datos_HHRR13"/>
      <sheetName val="７月発注分_(VLOOK)13"/>
      <sheetName val="DBS040_RPT_RPT13"/>
      <sheetName val="金型申入書ﾃﾞｰﾀ(05_7～)13"/>
      <sheetName val="Interior_Trim13"/>
      <sheetName val="Plate_Bumper_(Summary)13"/>
      <sheetName val="FAD_Sum13"/>
      <sheetName val="車両仕様__x005f_x0000__x005f_x0000___x005f_x0012__瞳13"/>
      <sheetName val="車両仕様_x005f_x0000__New02㾐13"/>
      <sheetName val="車両仕様___x005f_x0012__瞳_13"/>
      <sheetName val="車両仕様_____x005f_x0012__瞳_13"/>
      <sheetName val="車両仕様__x005f_x005f_x005f_x0000__x005f_x005f_x00013"/>
      <sheetName val="車両仕様_x005f_x005f_x005f_x0000__New02㾐13"/>
      <sheetName val="車両仕様___x005f_x005f_x005f_x0012__瞳_13"/>
      <sheetName val="車両仕様_____x005f_x005f_x005f_x0012__瞳_13"/>
      <sheetName val="車両仕様__x005f_x005f_x005f_x005f_x005f_x005f_x000013"/>
      <sheetName val="車両仕様_x005f_x005f_x005f_x005f_x005f_x005f_x005f_x0000_13"/>
      <sheetName val="車両仕様___x005f_x005f_x005f_x005f_x005f_x005f_x00113"/>
      <sheetName val="車両仕様_____x005f_x005f_x005f_x005f_x005f_x005f_x027"/>
      <sheetName val="IM-P-L-JB_13"/>
      <sheetName val="094W原紙_13"/>
      <sheetName val="Regional_Penetration13"/>
      <sheetName val="dongia_(2)13"/>
      <sheetName val="GMT900_IPC13"/>
      <sheetName val="OTHERS_x62013"/>
      <sheetName val="No12_營業成本表_cost113"/>
      <sheetName val="Master_Updated(517)13"/>
      <sheetName val="ED_AND_EDOV13"/>
      <sheetName val="Supp_List13"/>
      <sheetName val="Risk_&amp;_Opps13"/>
      <sheetName val="Main_213"/>
      <sheetName val="Datasheet_from_R__Hinds13"/>
      <sheetName val="車両仕様__x005f_x005f_x005f_x005f_x005f_x005f_x005f13"/>
      <sheetName val="車両仕様___x005f_x005f_x005f_x005f_x005f_x005f_x00513"/>
      <sheetName val="車両仕様_____x005f_x005f_x005f_x005f_x005f_x005f_x028"/>
      <sheetName val="車両仕様__x005f_x0000__x005f_x0000_13"/>
      <sheetName val="車両仕様__x005f_x005f_x005f_x0000__13"/>
      <sheetName val="車両仕様_x005f_x005f_x005f_x0000__N13"/>
      <sheetName val="車両仕様___x005f_x005f_x005f_x0012_13"/>
      <sheetName val="車両仕様_____x005f_x005f_x00113"/>
      <sheetName val="車両仕様__x005f_x005f_x005f_x005f_x13"/>
      <sheetName val="車両仕様___x005f_x005f_x005f_x005f_13"/>
      <sheetName val="車両仕様_____x005f_x005f_x00513"/>
      <sheetName val="Production_Database_39911"/>
      <sheetName val="RR_Diff__Progressive(28-Aug_(14"/>
      <sheetName val="RR_Diff__Progressive(4-Sep-0314"/>
      <sheetName val="CHRONOLOGY_INDEX14"/>
      <sheetName val="COST_REC__DISCREP_14"/>
      <sheetName val="車両仕様_14"/>
      <sheetName val="MARCH-APRIL__0314"/>
      <sheetName val="車両仕様?_New02㾐14"/>
      <sheetName val="F_Lead14"/>
      <sheetName val="車両仕様__New02㾐14"/>
      <sheetName val="D88D_CAL14"/>
      <sheetName val="Distributor_&amp;_Dealer_code14"/>
      <sheetName val="T1_&amp;_T2_Code14"/>
      <sheetName val="All_of_Part_list_rev_4914"/>
      <sheetName val="All_of_Part_list_rev_49_(PNo)14"/>
      <sheetName val="02年9月_まとめ_32βＨ14"/>
      <sheetName val="715L_Unit_Price14"/>
      <sheetName val="MARCH_APRIL__0314"/>
      <sheetName val="ES_UX__27_40_46414"/>
      <sheetName val="REPUESTOS_LPA14"/>
      <sheetName val="Oct_Truckfest_GMAC_BC14"/>
      <sheetName val="Corolla_Gas14"/>
      <sheetName val="Part_No_14"/>
      <sheetName val="RACK_(CB)new14"/>
      <sheetName val="MASTER_FILE14"/>
      <sheetName val="車両仕様_New02㾐14"/>
      <sheetName val="2005_TKM14"/>
      <sheetName val="Comm_CKD14"/>
      <sheetName val="Datos_HHRR14"/>
      <sheetName val="７月発注分_(VLOOK)14"/>
      <sheetName val="DBS040_RPT_RPT14"/>
      <sheetName val="金型申入書ﾃﾞｰﾀ(05_7～)14"/>
      <sheetName val="Interior_Trim14"/>
      <sheetName val="Plate_Bumper_(Summary)14"/>
      <sheetName val="FAD_Sum14"/>
      <sheetName val="車両仕様__x005f_x0000__x005f_x0000___x005f_x0012__瞳14"/>
      <sheetName val="車両仕様_x005f_x0000__New02㾐14"/>
      <sheetName val="車両仕様___x005f_x0012__瞳_14"/>
      <sheetName val="車両仕様_____x005f_x0012__瞳_14"/>
      <sheetName val="車両仕様__x005f_x005f_x005f_x0000__x005f_x005f_x00014"/>
      <sheetName val="車両仕様_x005f_x005f_x005f_x0000__New02㾐14"/>
      <sheetName val="車両仕様___x005f_x005f_x005f_x0012__瞳_14"/>
      <sheetName val="車両仕様_____x005f_x005f_x005f_x0012__瞳_14"/>
      <sheetName val="車両仕様__x005f_x005f_x005f_x005f_x005f_x005f_x000014"/>
      <sheetName val="車両仕様_x005f_x005f_x005f_x005f_x005f_x005f_x005f_x0000_14"/>
      <sheetName val="車両仕様___x005f_x005f_x005f_x005f_x005f_x005f_x00114"/>
      <sheetName val="車両仕様_____x005f_x005f_x005f_x005f_x005f_x005f_x029"/>
      <sheetName val="IM-P-L-JB_14"/>
      <sheetName val="094W原紙_14"/>
      <sheetName val="Regional_Penetration14"/>
      <sheetName val="dongia_(2)14"/>
      <sheetName val="GMT900_IPC14"/>
      <sheetName val="OTHERS_x62014"/>
      <sheetName val="No12_營業成本表_cost114"/>
      <sheetName val="Master_Updated(517)14"/>
      <sheetName val="ED_AND_EDOV14"/>
      <sheetName val="Supp_List14"/>
      <sheetName val="Risk_&amp;_Opps14"/>
      <sheetName val="Main_214"/>
      <sheetName val="Datasheet_from_R__Hinds14"/>
      <sheetName val="車両仕様__x005f_x005f_x005f_x005f_x005f_x005f_x005f14"/>
      <sheetName val="車両仕様___x005f_x005f_x005f_x005f_x005f_x005f_x00514"/>
      <sheetName val="車両仕様_____x005f_x005f_x005f_x005f_x005f_x005f_x030"/>
      <sheetName val="車両仕様__x005f_x0000__x005f_x0000_14"/>
      <sheetName val="車両仕様__x005f_x005f_x005f_x0000__14"/>
      <sheetName val="車両仕様_x005f_x005f_x005f_x0000__N14"/>
      <sheetName val="車両仕様___x005f_x005f_x005f_x0012_14"/>
      <sheetName val="車両仕様_____x005f_x005f_x00114"/>
      <sheetName val="車両仕様__x005f_x005f_x005f_x005f_x14"/>
      <sheetName val="車両仕様___x005f_x005f_x005f_x005f_14"/>
      <sheetName val="車両仕様_____x005f_x005f_x00514"/>
      <sheetName val="Production_Database_39912"/>
      <sheetName val="RR_Diff__Progressive(28-Aug_(15"/>
      <sheetName val="RR_Diff__Progressive(4-Sep-0315"/>
      <sheetName val="CHRONOLOGY_INDEX15"/>
      <sheetName val="COST_REC__DISCREP_15"/>
      <sheetName val="車両仕様_15"/>
      <sheetName val="MARCH-APRIL__0315"/>
      <sheetName val="車両仕様?_New02㾐15"/>
      <sheetName val="F_Lead15"/>
      <sheetName val="車両仕様__New02㾐15"/>
      <sheetName val="D88D_CAL15"/>
      <sheetName val="Distributor_&amp;_Dealer_code15"/>
      <sheetName val="T1_&amp;_T2_Code15"/>
      <sheetName val="All_of_Part_list_rev_4915"/>
      <sheetName val="All_of_Part_list_rev_49_(PNo)15"/>
      <sheetName val="02年9月_まとめ_32βＨ15"/>
      <sheetName val="715L_Unit_Price15"/>
      <sheetName val="MARCH_APRIL__0315"/>
      <sheetName val="ES_UX__27_40_46415"/>
      <sheetName val="REPUESTOS_LPA15"/>
      <sheetName val="Oct_Truckfest_GMAC_BC15"/>
      <sheetName val="Corolla_Gas15"/>
      <sheetName val="Part_No_15"/>
      <sheetName val="RACK_(CB)new15"/>
      <sheetName val="MASTER_FILE15"/>
      <sheetName val="車両仕様_New02㾐15"/>
      <sheetName val="2005_TKM15"/>
      <sheetName val="Comm_CKD15"/>
      <sheetName val="Datos_HHRR15"/>
      <sheetName val="７月発注分_(VLOOK)15"/>
      <sheetName val="DBS040_RPT_RPT15"/>
      <sheetName val="金型申入書ﾃﾞｰﾀ(05_7～)15"/>
      <sheetName val="Interior_Trim15"/>
      <sheetName val="Plate_Bumper_(Summary)15"/>
      <sheetName val="FAD_Sum15"/>
      <sheetName val="車両仕様__x005f_x0000__x005f_x0000___x005f_x0012__瞳15"/>
      <sheetName val="車両仕様_x005f_x0000__New02㾐15"/>
      <sheetName val="車両仕様___x005f_x0012__瞳_15"/>
      <sheetName val="車両仕様_____x005f_x0012__瞳_15"/>
      <sheetName val="車両仕様__x005f_x005f_x005f_x0000__x005f_x005f_x00015"/>
      <sheetName val="車両仕様_x005f_x005f_x005f_x0000__New02㾐15"/>
      <sheetName val="車両仕様___x005f_x005f_x005f_x0012__瞳_15"/>
      <sheetName val="車両仕様_____x005f_x005f_x005f_x0012__瞳_15"/>
      <sheetName val="車両仕様__x005f_x005f_x005f_x005f_x005f_x005f_x000015"/>
      <sheetName val="車両仕様_x005f_x005f_x005f_x005f_x005f_x005f_x005f_x0000_15"/>
      <sheetName val="車両仕様___x005f_x005f_x005f_x005f_x005f_x005f_x00115"/>
      <sheetName val="車両仕様_____x005f_x005f_x005f_x005f_x005f_x005f_x031"/>
      <sheetName val="IM-P-L-JB_15"/>
      <sheetName val="094W原紙_15"/>
      <sheetName val="Regional_Penetration15"/>
      <sheetName val="dongia_(2)15"/>
      <sheetName val="GMT900_IPC15"/>
      <sheetName val="OTHERS_x62015"/>
      <sheetName val="No12_營業成本表_cost115"/>
      <sheetName val="Master_Updated(517)15"/>
      <sheetName val="ED_AND_EDOV15"/>
      <sheetName val="Supp_List15"/>
      <sheetName val="Risk_&amp;_Opps15"/>
      <sheetName val="Main_215"/>
      <sheetName val="Datasheet_from_R__Hinds15"/>
      <sheetName val="車両仕様__x005f_x005f_x005f_x005f_x005f_x005f_x005f15"/>
      <sheetName val="車両仕様___x005f_x005f_x005f_x005f_x005f_x005f_x00515"/>
      <sheetName val="車両仕様_____x005f_x005f_x005f_x005f_x005f_x005f_x032"/>
      <sheetName val="車両仕様__x005f_x0000__x005f_x0000_15"/>
      <sheetName val="車両仕様__x005f_x005f_x005f_x0000__15"/>
      <sheetName val="車両仕様_x005f_x005f_x005f_x0000__N15"/>
      <sheetName val="車両仕様___x005f_x005f_x005f_x0012_15"/>
      <sheetName val="車両仕様_____x005f_x005f_x00115"/>
      <sheetName val="車両仕様__x005f_x005f_x005f_x005f_x15"/>
      <sheetName val="車両仕様___x005f_x005f_x005f_x005f_15"/>
      <sheetName val="車両仕様_____x005f_x005f_x00515"/>
      <sheetName val="Production_Database_39913"/>
      <sheetName val="RR_Diff__Progressive(28-Aug_(16"/>
      <sheetName val="RR_Diff__Progressive(4-Sep-0316"/>
      <sheetName val="CHRONOLOGY_INDEX16"/>
      <sheetName val="COST_REC__DISCREP_16"/>
      <sheetName val="車両仕様_16"/>
      <sheetName val="MARCH-APRIL__0316"/>
      <sheetName val="車両仕様?_New02㾐16"/>
      <sheetName val="F_Lead16"/>
      <sheetName val="車両仕様__New02㾐16"/>
      <sheetName val="D88D_CAL16"/>
      <sheetName val="Distributor_&amp;_Dealer_code16"/>
      <sheetName val="T1_&amp;_T2_Code16"/>
      <sheetName val="All_of_Part_list_rev_4916"/>
      <sheetName val="All_of_Part_list_rev_49_(PNo)16"/>
      <sheetName val="02年9月_まとめ_32βＨ16"/>
      <sheetName val="715L_Unit_Price16"/>
      <sheetName val="MARCH_APRIL__0316"/>
      <sheetName val="ES_UX__27_40_46416"/>
      <sheetName val="REPUESTOS_LPA16"/>
      <sheetName val="Oct_Truckfest_GMAC_BC16"/>
      <sheetName val="Corolla_Gas16"/>
      <sheetName val="Part_No_16"/>
      <sheetName val="RACK_(CB)new16"/>
      <sheetName val="MASTER_FILE16"/>
      <sheetName val="車両仕様_New02㾐16"/>
      <sheetName val="2005_TKM16"/>
      <sheetName val="Comm_CKD16"/>
      <sheetName val="Datos_HHRR16"/>
      <sheetName val="７月発注分_(VLOOK)16"/>
      <sheetName val="DBS040_RPT_RPT16"/>
      <sheetName val="金型申入書ﾃﾞｰﾀ(05_7～)16"/>
      <sheetName val="Interior_Trim16"/>
      <sheetName val="Plate_Bumper_(Summary)16"/>
      <sheetName val="FAD_Sum16"/>
      <sheetName val="車両仕様__x005f_x0000__x005f_x0000___x005f_x0012__瞳16"/>
      <sheetName val="車両仕様_x005f_x0000__New02㾐16"/>
      <sheetName val="車両仕様___x005f_x0012__瞳_16"/>
      <sheetName val="車両仕様_____x005f_x0012__瞳_16"/>
      <sheetName val="車両仕様__x005f_x005f_x005f_x0000__x005f_x005f_x00016"/>
      <sheetName val="車両仕様_x005f_x005f_x005f_x0000__New02㾐16"/>
      <sheetName val="車両仕様___x005f_x005f_x005f_x0012__瞳_16"/>
      <sheetName val="車両仕様_____x005f_x005f_x005f_x0012__瞳_16"/>
      <sheetName val="車両仕様__x005f_x005f_x005f_x005f_x005f_x005f_x000016"/>
      <sheetName val="車両仕様_x005f_x005f_x005f_x005f_x005f_x005f_x005f_x0000_16"/>
      <sheetName val="車両仕様___x005f_x005f_x005f_x005f_x005f_x005f_x00116"/>
      <sheetName val="車両仕様_____x005f_x005f_x005f_x005f_x005f_x005f_x033"/>
      <sheetName val="IM-P-L-JB_16"/>
      <sheetName val="094W原紙_16"/>
      <sheetName val="Regional_Penetration16"/>
      <sheetName val="dongia_(2)16"/>
      <sheetName val="GMT900_IPC16"/>
      <sheetName val="OTHERS_x62016"/>
      <sheetName val="No12_營業成本表_cost116"/>
      <sheetName val="Master_Updated(517)16"/>
      <sheetName val="ED_AND_EDOV16"/>
      <sheetName val="Supp_List16"/>
      <sheetName val="Risk_&amp;_Opps16"/>
      <sheetName val="Main_216"/>
      <sheetName val="Datasheet_from_R__Hinds16"/>
      <sheetName val="車両仕様__x005f_x005f_x005f_x005f_x005f_x005f_x005f16"/>
      <sheetName val="車両仕様___x005f_x005f_x005f_x005f_x005f_x005f_x00516"/>
      <sheetName val="車両仕様_____x005f_x005f_x005f_x005f_x005f_x005f_x034"/>
      <sheetName val="車両仕様__x005f_x0000__x005f_x0000_16"/>
      <sheetName val="車両仕様__x005f_x005f_x005f_x0000__16"/>
      <sheetName val="車両仕様_x005f_x005f_x005f_x0000__N16"/>
      <sheetName val="車両仕様___x005f_x005f_x005f_x0012_16"/>
      <sheetName val="車両仕様_____x005f_x005f_x00116"/>
      <sheetName val="車両仕様__x005f_x005f_x005f_x005f_x16"/>
      <sheetName val="車両仕様___x005f_x005f_x005f_x005f_16"/>
      <sheetName val="車両仕様_____x005f_x005f_x00516"/>
      <sheetName val="Production_Database_39914"/>
      <sheetName val="RR_Diff__Progressive(28-Aug_(17"/>
      <sheetName val="RR_Diff__Progressive(4-Sep-0317"/>
      <sheetName val="CHRONOLOGY_INDEX17"/>
      <sheetName val="COST_REC__DISCREP_17"/>
      <sheetName val="車両仕様_17"/>
      <sheetName val="MARCH-APRIL__0317"/>
      <sheetName val="車両仕様?_New02㾐17"/>
      <sheetName val="F_Lead17"/>
      <sheetName val="車両仕様__New02㾐17"/>
      <sheetName val="D88D_CAL17"/>
      <sheetName val="Distributor_&amp;_Dealer_code17"/>
      <sheetName val="T1_&amp;_T2_Code17"/>
      <sheetName val="All_of_Part_list_rev_4917"/>
      <sheetName val="All_of_Part_list_rev_49_(PNo)17"/>
      <sheetName val="02年9月_まとめ_32βＨ17"/>
      <sheetName val="715L_Unit_Price17"/>
      <sheetName val="MARCH_APRIL__0317"/>
      <sheetName val="ES_UX__27_40_46417"/>
      <sheetName val="REPUESTOS_LPA17"/>
      <sheetName val="Oct_Truckfest_GMAC_BC17"/>
      <sheetName val="Corolla_Gas17"/>
      <sheetName val="Part_No_17"/>
      <sheetName val="RACK_(CB)new17"/>
      <sheetName val="MASTER_FILE17"/>
      <sheetName val="車両仕様_New02㾐17"/>
      <sheetName val="2005_TKM17"/>
      <sheetName val="Comm_CKD17"/>
      <sheetName val="Datos_HHRR17"/>
      <sheetName val="７月発注分_(VLOOK)17"/>
      <sheetName val="DBS040_RPT_RPT17"/>
      <sheetName val="金型申入書ﾃﾞｰﾀ(05_7～)17"/>
      <sheetName val="Interior_Trim17"/>
      <sheetName val="Plate_Bumper_(Summary)17"/>
      <sheetName val="FAD_Sum17"/>
      <sheetName val="車両仕様__x005f_x0000__x005f_x0000___x005f_x0012__瞳17"/>
      <sheetName val="車両仕様_x005f_x0000__New02㾐17"/>
      <sheetName val="車両仕様___x005f_x0012__瞳_17"/>
      <sheetName val="車両仕様_____x005f_x0012__瞳_17"/>
      <sheetName val="車両仕様__x005f_x005f_x005f_x0000__x005f_x005f_x00017"/>
      <sheetName val="車両仕様_x005f_x005f_x005f_x0000__New02㾐17"/>
      <sheetName val="車両仕様___x005f_x005f_x005f_x0012__瞳_17"/>
      <sheetName val="車両仕様_____x005f_x005f_x005f_x0012__瞳_17"/>
      <sheetName val="車両仕様__x005f_x005f_x005f_x005f_x005f_x005f_x000017"/>
      <sheetName val="車両仕様_x005f_x005f_x005f_x005f_x005f_x005f_x005f_x0000_17"/>
      <sheetName val="車両仕様___x005f_x005f_x005f_x005f_x005f_x005f_x00117"/>
      <sheetName val="車両仕様_____x005f_x005f_x005f_x005f_x005f_x005f_x035"/>
      <sheetName val="IM-P-L-JB_17"/>
      <sheetName val="094W原紙_17"/>
      <sheetName val="Regional_Penetration17"/>
      <sheetName val="dongia_(2)17"/>
      <sheetName val="GMT900_IPC17"/>
      <sheetName val="OTHERS_x62017"/>
      <sheetName val="No12_營業成本表_cost117"/>
      <sheetName val="Master_Updated(517)17"/>
      <sheetName val="ED_AND_EDOV17"/>
      <sheetName val="Supp_List17"/>
      <sheetName val="Risk_&amp;_Opps17"/>
      <sheetName val="Main_217"/>
      <sheetName val="Datasheet_from_R__Hinds17"/>
      <sheetName val="車両仕様__x005f_x005f_x005f_x005f_x005f_x005f_x005f17"/>
      <sheetName val="車両仕様___x005f_x005f_x005f_x005f_x005f_x005f_x00517"/>
      <sheetName val="車両仕様_____x005f_x005f_x005f_x005f_x005f_x005f_x036"/>
      <sheetName val="車両仕様__x005f_x0000__x005f_x0000_17"/>
      <sheetName val="車両仕様__x005f_x005f_x005f_x0000__17"/>
      <sheetName val="車両仕様_x005f_x005f_x005f_x0000__N17"/>
      <sheetName val="車両仕様___x005f_x005f_x005f_x0012_17"/>
      <sheetName val="車両仕様_____x005f_x005f_x00117"/>
      <sheetName val="車両仕様__x005f_x005f_x005f_x005f_x17"/>
      <sheetName val="車両仕様___x005f_x005f_x005f_x005f_17"/>
      <sheetName val="車両仕様_____x005f_x005f_x00517"/>
      <sheetName val="Production_Database_39915"/>
      <sheetName val="RR_Diff__Progressive(28-Aug_(20"/>
      <sheetName val="RR_Diff__Progressive(4-Sep-0320"/>
      <sheetName val="CHRONOLOGY_INDEX20"/>
      <sheetName val="COST_REC__DISCREP_20"/>
      <sheetName val="車両仕様_20"/>
      <sheetName val="MARCH-APRIL__0320"/>
      <sheetName val="車両仕様?_New02㾐20"/>
      <sheetName val="F_Lead20"/>
      <sheetName val="車両仕様__New02㾐20"/>
      <sheetName val="D88D_CAL20"/>
      <sheetName val="Distributor_&amp;_Dealer_code20"/>
      <sheetName val="T1_&amp;_T2_Code20"/>
      <sheetName val="All_of_Part_list_rev_4920"/>
      <sheetName val="All_of_Part_list_rev_49_(PNo)20"/>
      <sheetName val="02年9月_まとめ_32βＨ20"/>
      <sheetName val="715L_Unit_Price20"/>
      <sheetName val="MARCH_APRIL__0320"/>
      <sheetName val="ES_UX__27_40_46420"/>
      <sheetName val="REPUESTOS_LPA20"/>
      <sheetName val="Oct_Truckfest_GMAC_BC20"/>
      <sheetName val="Corolla_Gas20"/>
      <sheetName val="Part_No_20"/>
      <sheetName val="RACK_(CB)new20"/>
      <sheetName val="MASTER_FILE20"/>
      <sheetName val="車両仕様_New02㾐20"/>
      <sheetName val="2005_TKM20"/>
      <sheetName val="Comm_CKD20"/>
      <sheetName val="Datos_HHRR20"/>
      <sheetName val="７月発注分_(VLOOK)20"/>
      <sheetName val="DBS040_RPT_RPT20"/>
      <sheetName val="金型申入書ﾃﾞｰﾀ(05_7～)20"/>
      <sheetName val="Interior_Trim20"/>
      <sheetName val="Plate_Bumper_(Summary)20"/>
      <sheetName val="FAD_Sum20"/>
      <sheetName val="車両仕様__x005f_x0000__x005f_x0000___x005f_x0012__瞳20"/>
      <sheetName val="車両仕様_x005f_x0000__New02㾐20"/>
      <sheetName val="車両仕様___x005f_x0012__瞳_20"/>
      <sheetName val="車両仕様_____x005f_x0012__瞳_20"/>
      <sheetName val="車両仕様__x005f_x005f_x005f_x0000__x005f_x005f_x00020"/>
      <sheetName val="車両仕様_x005f_x005f_x005f_x0000__New02㾐20"/>
      <sheetName val="車両仕様___x005f_x005f_x005f_x0012__瞳_20"/>
      <sheetName val="車両仕様_____x005f_x005f_x005f_x0012__瞳_20"/>
      <sheetName val="車両仕様__x005f_x005f_x005f_x005f_x005f_x005f_x000020"/>
      <sheetName val="車両仕様_x005f_x005f_x005f_x005f_x005f_x005f_x005f_x0000_20"/>
      <sheetName val="車両仕様___x005f_x005f_x005f_x005f_x005f_x005f_x00120"/>
      <sheetName val="車両仕様_____x005f_x005f_x005f_x005f_x005f_x005f_x041"/>
      <sheetName val="IM-P-L-JB_20"/>
      <sheetName val="094W原紙_20"/>
      <sheetName val="Regional_Penetration20"/>
      <sheetName val="dongia_(2)20"/>
      <sheetName val="GMT900_IPC20"/>
      <sheetName val="OTHERS_x62020"/>
      <sheetName val="No12_營業成本表_cost120"/>
      <sheetName val="Master_Updated(517)20"/>
      <sheetName val="ED_AND_EDOV20"/>
      <sheetName val="Supp_List20"/>
      <sheetName val="Risk_&amp;_Opps20"/>
      <sheetName val="Main_220"/>
      <sheetName val="Datasheet_from_R__Hinds20"/>
      <sheetName val="車両仕様__x005f_x005f_x005f_x005f_x005f_x005f_x005f20"/>
      <sheetName val="車両仕様___x005f_x005f_x005f_x005f_x005f_x005f_x00520"/>
      <sheetName val="車両仕様_____x005f_x005f_x005f_x005f_x005f_x005f_x042"/>
      <sheetName val="車両仕様__x005f_x0000__x005f_x0000_20"/>
      <sheetName val="車両仕様__x005f_x005f_x005f_x0000__20"/>
      <sheetName val="車両仕様_x005f_x005f_x005f_x0000__N20"/>
      <sheetName val="車両仕様___x005f_x005f_x005f_x0012_20"/>
      <sheetName val="車両仕様_____x005f_x005f_x00120"/>
      <sheetName val="車両仕様__x005f_x005f_x005f_x005f_x20"/>
      <sheetName val="車両仕様___x005f_x005f_x005f_x005f_20"/>
      <sheetName val="車両仕様_____x005f_x005f_x00520"/>
      <sheetName val="Production_Database_39918"/>
      <sheetName val="RR_Diff__Progressive(28-Aug_(19"/>
      <sheetName val="RR_Diff__Progressive(4-Sep-0319"/>
      <sheetName val="CHRONOLOGY_INDEX19"/>
      <sheetName val="COST_REC__DISCREP_19"/>
      <sheetName val="車両仕様_19"/>
      <sheetName val="MARCH-APRIL__0319"/>
      <sheetName val="車両仕様?_New02㾐19"/>
      <sheetName val="F_Lead19"/>
      <sheetName val="車両仕様__New02㾐19"/>
      <sheetName val="D88D_CAL19"/>
      <sheetName val="Distributor_&amp;_Dealer_code19"/>
      <sheetName val="T1_&amp;_T2_Code19"/>
      <sheetName val="All_of_Part_list_rev_4919"/>
      <sheetName val="All_of_Part_list_rev_49_(PNo)19"/>
      <sheetName val="02年9月_まとめ_32βＨ19"/>
      <sheetName val="715L_Unit_Price19"/>
      <sheetName val="MARCH_APRIL__0319"/>
      <sheetName val="ES_UX__27_40_46419"/>
      <sheetName val="REPUESTOS_LPA19"/>
      <sheetName val="Oct_Truckfest_GMAC_BC19"/>
      <sheetName val="Corolla_Gas19"/>
      <sheetName val="Part_No_19"/>
      <sheetName val="RACK_(CB)new19"/>
      <sheetName val="MASTER_FILE19"/>
      <sheetName val="車両仕様_New02㾐19"/>
      <sheetName val="2005_TKM19"/>
      <sheetName val="Comm_CKD19"/>
      <sheetName val="Datos_HHRR19"/>
      <sheetName val="７月発注分_(VLOOK)19"/>
      <sheetName val="DBS040_RPT_RPT19"/>
      <sheetName val="金型申入書ﾃﾞｰﾀ(05_7～)19"/>
      <sheetName val="Interior_Trim19"/>
      <sheetName val="Plate_Bumper_(Summary)19"/>
      <sheetName val="FAD_Sum19"/>
      <sheetName val="車両仕様__x005f_x0000__x005f_x0000___x005f_x0012__瞳19"/>
      <sheetName val="車両仕様_x005f_x0000__New02㾐19"/>
      <sheetName val="車両仕様___x005f_x0012__瞳_19"/>
      <sheetName val="車両仕様_____x005f_x0012__瞳_19"/>
      <sheetName val="車両仕様__x005f_x005f_x005f_x0000__x005f_x005f_x00019"/>
      <sheetName val="車両仕様_x005f_x005f_x005f_x0000__New02㾐19"/>
      <sheetName val="車両仕様___x005f_x005f_x005f_x0012__瞳_19"/>
      <sheetName val="車両仕様_____x005f_x005f_x005f_x0012__瞳_19"/>
      <sheetName val="車両仕様__x005f_x005f_x005f_x005f_x005f_x005f_x000019"/>
      <sheetName val="車両仕様_x005f_x005f_x005f_x005f_x005f_x005f_x005f_x0000_19"/>
      <sheetName val="車両仕様___x005f_x005f_x005f_x005f_x005f_x005f_x00119"/>
      <sheetName val="車両仕様_____x005f_x005f_x005f_x005f_x005f_x005f_x039"/>
      <sheetName val="IM-P-L-JB_19"/>
      <sheetName val="094W原紙_19"/>
      <sheetName val="Regional_Penetration19"/>
      <sheetName val="dongia_(2)19"/>
      <sheetName val="GMT900_IPC19"/>
      <sheetName val="OTHERS_x62019"/>
      <sheetName val="No12_營業成本表_cost119"/>
      <sheetName val="Master_Updated(517)19"/>
      <sheetName val="ED_AND_EDOV19"/>
      <sheetName val="Supp_List19"/>
      <sheetName val="Risk_&amp;_Opps19"/>
      <sheetName val="Main_219"/>
      <sheetName val="Datasheet_from_R__Hinds19"/>
      <sheetName val="車両仕様__x005f_x005f_x005f_x005f_x005f_x005f_x005f19"/>
      <sheetName val="車両仕様___x005f_x005f_x005f_x005f_x005f_x005f_x00519"/>
      <sheetName val="車両仕様_____x005f_x005f_x005f_x005f_x005f_x005f_x040"/>
      <sheetName val="車両仕様__x005f_x0000__x005f_x0000_19"/>
      <sheetName val="車両仕様__x005f_x005f_x005f_x0000__19"/>
      <sheetName val="車両仕様_x005f_x005f_x005f_x0000__N19"/>
      <sheetName val="車両仕様___x005f_x005f_x005f_x0012_19"/>
      <sheetName val="車両仕様_____x005f_x005f_x00119"/>
      <sheetName val="車両仕様__x005f_x005f_x005f_x005f_x19"/>
      <sheetName val="車両仕様___x005f_x005f_x005f_x005f_19"/>
      <sheetName val="車両仕様_____x005f_x005f_x00519"/>
      <sheetName val="Production_Database_39917"/>
      <sheetName val="RR_Diff__Progressive(28-Aug_(30"/>
      <sheetName val="RR_Diff__Progressive(4-Sep-0321"/>
      <sheetName val="CHRONOLOGY_INDEX21"/>
      <sheetName val="COST_REC__DISCREP_21"/>
      <sheetName val="車両仕様_21"/>
      <sheetName val="MARCH-APRIL__0321"/>
      <sheetName val="車両仕様?_New02㾐21"/>
      <sheetName val="F_Lead21"/>
      <sheetName val="車両仕様__New02㾐21"/>
      <sheetName val="D88D_CAL21"/>
      <sheetName val="Distributor_&amp;_Dealer_code21"/>
      <sheetName val="T1_&amp;_T2_Code21"/>
      <sheetName val="All_of_Part_list_rev_4921"/>
      <sheetName val="All_of_Part_list_rev_49_(PNo)21"/>
      <sheetName val="02年9月_まとめ_32βＨ21"/>
      <sheetName val="715L_Unit_Price21"/>
      <sheetName val="MARCH_APRIL__0321"/>
      <sheetName val="ES_UX__27_40_46421"/>
      <sheetName val="REPUESTOS_LPA21"/>
      <sheetName val="Oct_Truckfest_GMAC_BC21"/>
      <sheetName val="Corolla_Gas21"/>
      <sheetName val="Part_No_21"/>
      <sheetName val="RACK_(CB)new21"/>
      <sheetName val="MASTER_FILE21"/>
      <sheetName val="車両仕様_New02㾐21"/>
      <sheetName val="2005_TKM21"/>
      <sheetName val="Comm_CKD21"/>
      <sheetName val="Datos_HHRR21"/>
      <sheetName val="７月発注分_(VLOOK)21"/>
      <sheetName val="DBS040_RPT_RPT21"/>
      <sheetName val="金型申入書ﾃﾞｰﾀ(05_7～)21"/>
      <sheetName val="Interior_Trim21"/>
      <sheetName val="Plate_Bumper_(Summary)21"/>
      <sheetName val="FAD_Sum21"/>
      <sheetName val="車両仕様__x005f_x0000__x005f_x0000___x005f_x0012__瞳21"/>
      <sheetName val="車両仕様_x005f_x0000__New02㾐21"/>
      <sheetName val="車両仕様___x005f_x0012__瞳_21"/>
      <sheetName val="車両仕様_____x005f_x0012__瞳_21"/>
      <sheetName val="車両仕様__x005f_x005f_x005f_x0000__x005f_x005f_x00021"/>
      <sheetName val="車両仕様_x005f_x005f_x005f_x0000__New02㾐21"/>
      <sheetName val="車両仕様___x005f_x005f_x005f_x0012__瞳_21"/>
      <sheetName val="車両仕様_____x005f_x005f_x005f_x0012__瞳_21"/>
      <sheetName val="車両仕様__x005f_x005f_x005f_x005f_x005f_x005f_x000021"/>
      <sheetName val="車両仕様_x005f_x005f_x005f_x005f_x005f_x005f_x005f_x0000_21"/>
      <sheetName val="車両仕様___x005f_x005f_x005f_x005f_x005f_x005f_x00130"/>
      <sheetName val="車両仕様_____x005f_x005f_x005f_x005f_x005f_x005f_x043"/>
      <sheetName val="IM-P-L-JB_21"/>
      <sheetName val="094W原紙_21"/>
      <sheetName val="Regional_Penetration21"/>
      <sheetName val="dongia_(2)21"/>
      <sheetName val="GMT900_IPC21"/>
      <sheetName val="OTHERS_x62021"/>
      <sheetName val="No12_營業成本表_cost121"/>
      <sheetName val="Master_Updated(517)21"/>
      <sheetName val="ED_AND_EDOV21"/>
      <sheetName val="Supp_List21"/>
      <sheetName val="Risk_&amp;_Opps21"/>
      <sheetName val="Main_221"/>
      <sheetName val="Datasheet_from_R__Hinds21"/>
      <sheetName val="車両仕様__x005f_x005f_x005f_x005f_x005f_x005f_x005f21"/>
      <sheetName val="車両仕様___x005f_x005f_x005f_x005f_x005f_x005f_x00521"/>
      <sheetName val="車両仕様_____x005f_x005f_x005f_x005f_x005f_x005f_x044"/>
      <sheetName val="車両仕様__x005f_x0000__x005f_x0000_21"/>
      <sheetName val="車両仕様__x005f_x005f_x005f_x0000__21"/>
      <sheetName val="車両仕様_x005f_x005f_x005f_x0000__N21"/>
      <sheetName val="車両仕様___x005f_x005f_x005f_x0012_21"/>
      <sheetName val="車両仕様_____x005f_x005f_x00121"/>
      <sheetName val="車両仕様__x005f_x005f_x005f_x005f_x21"/>
      <sheetName val="車両仕様___x005f_x005f_x005f_x005f_21"/>
      <sheetName val="車両仕様_____x005f_x005f_x00521"/>
      <sheetName val="Production_Database_39919"/>
      <sheetName val="RR_Diff__Progressive(28-Aug_(31"/>
      <sheetName val="RR_Diff__Progressive(4-Sep-0322"/>
      <sheetName val="CHRONOLOGY_INDEX22"/>
      <sheetName val="COST_REC__DISCREP_22"/>
      <sheetName val="車両仕様_22"/>
      <sheetName val="MARCH-APRIL__0322"/>
      <sheetName val="車両仕様?_New02㾐22"/>
      <sheetName val="F_Lead22"/>
      <sheetName val="車両仕様__New02㾐22"/>
      <sheetName val="D88D_CAL22"/>
      <sheetName val="Distributor_&amp;_Dealer_code22"/>
      <sheetName val="T1_&amp;_T2_Code22"/>
      <sheetName val="All_of_Part_list_rev_4922"/>
      <sheetName val="All_of_Part_list_rev_49_(PNo)22"/>
      <sheetName val="02年9月_まとめ_32βＨ22"/>
      <sheetName val="715L_Unit_Price22"/>
      <sheetName val="MARCH_APRIL__0322"/>
      <sheetName val="ES_UX__27_40_46422"/>
      <sheetName val="REPUESTOS_LPA22"/>
      <sheetName val="Oct_Truckfest_GMAC_BC22"/>
      <sheetName val="Corolla_Gas22"/>
      <sheetName val="Part_No_22"/>
      <sheetName val="RACK_(CB)new22"/>
      <sheetName val="MASTER_FILE22"/>
      <sheetName val="車両仕様_New02㾐22"/>
      <sheetName val="2005_TKM22"/>
      <sheetName val="Comm_CKD22"/>
      <sheetName val="Datos_HHRR22"/>
      <sheetName val="７月発注分_(VLOOK)22"/>
      <sheetName val="DBS040_RPT_RPT22"/>
      <sheetName val="金型申入書ﾃﾞｰﾀ(05_7～)22"/>
      <sheetName val="Interior_Trim22"/>
      <sheetName val="Plate_Bumper_(Summary)22"/>
      <sheetName val="FAD_Sum22"/>
      <sheetName val="車両仕様__x005f_x0000__x005f_x0000___x005f_x0012__瞳22"/>
      <sheetName val="車両仕様_x005f_x0000__New02㾐22"/>
      <sheetName val="車両仕様___x005f_x0012__瞳_22"/>
      <sheetName val="車両仕様_____x005f_x0012__瞳_22"/>
      <sheetName val="車両仕様__x005f_x005f_x005f_x0000__x005f_x005f_x00022"/>
      <sheetName val="車両仕様_x005f_x005f_x005f_x0000__New02㾐22"/>
      <sheetName val="車両仕様___x005f_x005f_x005f_x0012__瞳_22"/>
      <sheetName val="車両仕様_____x005f_x005f_x005f_x0012__瞳_22"/>
      <sheetName val="車両仕様__x005f_x005f_x005f_x005f_x005f_x005f_x000022"/>
      <sheetName val="車両仕様_x005f_x005f_x005f_x005f_x005f_x005f_x005f_x0000_22"/>
      <sheetName val="車両仕様___x005f_x005f_x005f_x005f_x005f_x005f_x00131"/>
      <sheetName val="車両仕様_____x005f_x005f_x005f_x005f_x005f_x005f_x045"/>
      <sheetName val="IM-P-L-JB_22"/>
      <sheetName val="094W原紙_22"/>
      <sheetName val="Regional_Penetration22"/>
      <sheetName val="dongia_(2)22"/>
      <sheetName val="GMT900_IPC22"/>
      <sheetName val="OTHERS_x62022"/>
      <sheetName val="No12_營業成本表_cost122"/>
      <sheetName val="Master_Updated(517)22"/>
      <sheetName val="ED_AND_EDOV22"/>
      <sheetName val="Supp_List22"/>
      <sheetName val="Risk_&amp;_Opps22"/>
      <sheetName val="Main_222"/>
      <sheetName val="Datasheet_from_R__Hinds22"/>
      <sheetName val="車両仕様__x005f_x005f_x005f_x005f_x005f_x005f_x005f22"/>
      <sheetName val="車両仕様___x005f_x005f_x005f_x005f_x005f_x005f_x00522"/>
      <sheetName val="車両仕様_____x005f_x005f_x005f_x005f_x005f_x005f_x046"/>
      <sheetName val="車両仕様__x005f_x0000__x005f_x0000_22"/>
      <sheetName val="車両仕様__x005f_x005f_x005f_x0000__22"/>
      <sheetName val="車両仕様_x005f_x005f_x005f_x0000__N22"/>
      <sheetName val="車両仕様___x005f_x005f_x005f_x0012_22"/>
      <sheetName val="車両仕様_____x005f_x005f_x00122"/>
      <sheetName val="車両仕様__x005f_x005f_x005f_x005f_x22"/>
      <sheetName val="車両仕様___x005f_x005f_x005f_x005f_22"/>
      <sheetName val="車両仕様_____x005f_x005f_x00522"/>
      <sheetName val="Production_Database_39920"/>
      <sheetName val="RR_Diff__Progressive(28-Aug_(32"/>
      <sheetName val="RR_Diff__Progressive(4-Sep-0323"/>
      <sheetName val="CHRONOLOGY_INDEX23"/>
      <sheetName val="COST_REC__DISCREP_23"/>
      <sheetName val="車両仕様_23"/>
      <sheetName val="MARCH-APRIL__0323"/>
      <sheetName val="車両仕様?_New02㾐23"/>
      <sheetName val="F_Lead23"/>
      <sheetName val="車両仕様__New02㾐23"/>
      <sheetName val="D88D_CAL23"/>
      <sheetName val="Distributor_&amp;_Dealer_code23"/>
      <sheetName val="T1_&amp;_T2_Code23"/>
      <sheetName val="All_of_Part_list_rev_4923"/>
      <sheetName val="All_of_Part_list_rev_49_(PNo)23"/>
      <sheetName val="02年9月_まとめ_32βＨ23"/>
      <sheetName val="715L_Unit_Price23"/>
      <sheetName val="MARCH_APRIL__0323"/>
      <sheetName val="ES_UX__27_40_46423"/>
      <sheetName val="REPUESTOS_LPA23"/>
      <sheetName val="Oct_Truckfest_GMAC_BC23"/>
      <sheetName val="Corolla_Gas23"/>
      <sheetName val="Part_No_23"/>
      <sheetName val="RACK_(CB)new23"/>
      <sheetName val="MASTER_FILE23"/>
      <sheetName val="車両仕様_New02㾐23"/>
      <sheetName val="2005_TKM23"/>
      <sheetName val="Comm_CKD23"/>
      <sheetName val="Datos_HHRR23"/>
      <sheetName val="７月発注分_(VLOOK)23"/>
      <sheetName val="DBS040_RPT_RPT23"/>
      <sheetName val="金型申入書ﾃﾞｰﾀ(05_7～)23"/>
      <sheetName val="Interior_Trim23"/>
      <sheetName val="Plate_Bumper_(Summary)23"/>
      <sheetName val="FAD_Sum23"/>
      <sheetName val="車両仕様__x005f_x0000__x005f_x0000___x005f_x0012__瞳23"/>
      <sheetName val="車両仕様_x005f_x0000__New02㾐23"/>
      <sheetName val="車両仕様___x005f_x0012__瞳_23"/>
      <sheetName val="車両仕様_____x005f_x0012__瞳_23"/>
      <sheetName val="車両仕様__x005f_x005f_x005f_x0000__x005f_x005f_x00023"/>
      <sheetName val="車両仕様_x005f_x005f_x005f_x0000__New02㾐23"/>
      <sheetName val="車両仕様___x005f_x005f_x005f_x0012__瞳_23"/>
      <sheetName val="車両仕様_____x005f_x005f_x005f_x0012__瞳_23"/>
      <sheetName val="車両仕様__x005f_x005f_x005f_x005f_x005f_x005f_x000023"/>
      <sheetName val="車両仕様_x005f_x005f_x005f_x005f_x005f_x005f_x005f_x0000_23"/>
      <sheetName val="車両仕様___x005f_x005f_x005f_x005f_x005f_x005f_x00132"/>
      <sheetName val="車両仕様_____x005f_x005f_x005f_x005f_x005f_x005f_x047"/>
      <sheetName val="IM-P-L-JB_23"/>
      <sheetName val="094W原紙_23"/>
      <sheetName val="Regional_Penetration23"/>
      <sheetName val="dongia_(2)23"/>
      <sheetName val="GMT900_IPC23"/>
      <sheetName val="OTHERS_x62023"/>
      <sheetName val="No12_營業成本表_cost123"/>
      <sheetName val="Master_Updated(517)23"/>
      <sheetName val="ED_AND_EDOV23"/>
      <sheetName val="Supp_List23"/>
      <sheetName val="Risk_&amp;_Opps23"/>
      <sheetName val="Main_223"/>
      <sheetName val="Datasheet_from_R__Hinds23"/>
      <sheetName val="車両仕様__x005f_x005f_x005f_x005f_x005f_x005f_x005f23"/>
      <sheetName val="車両仕様___x005f_x005f_x005f_x005f_x005f_x005f_x00523"/>
      <sheetName val="車両仕様_____x005f_x005f_x005f_x005f_x005f_x005f_x048"/>
      <sheetName val="車両仕様__x005f_x0000__x005f_x0000_23"/>
      <sheetName val="車両仕様__x005f_x005f_x005f_x0000__23"/>
      <sheetName val="車両仕様_x005f_x005f_x005f_x0000__N23"/>
      <sheetName val="車両仕様___x005f_x005f_x005f_x0012_23"/>
      <sheetName val="車両仕様_____x005f_x005f_x00123"/>
      <sheetName val="車両仕様__x005f_x005f_x005f_x005f_x23"/>
      <sheetName val="車両仕様___x005f_x005f_x005f_x005f_23"/>
      <sheetName val="車両仕様_____x005f_x005f_x00523"/>
      <sheetName val="Production_Database_39921"/>
      <sheetName val="1"/>
      <sheetName val="3"/>
      <sheetName val="4"/>
      <sheetName val="試験機(2021年10月19日より)"/>
      <sheetName val="確認ｼｰﾄ(MS)"/>
      <sheetName val="表紙1 "/>
      <sheetName val="5"/>
      <sheetName val="確認ｼｰﾄ(TBU)"/>
      <sheetName val="Sheet1 (2)"/>
      <sheetName val="SHEET  car no"/>
      <sheetName val="サイクル"/>
      <sheetName val="特殊サイクル一覧"/>
      <sheetName val="カメラ"/>
      <sheetName val="車両仕様 _x005f_x0000__x005f_x0000__x005f_x000a__x000"/>
      <sheetName val="車両仕様_x005f_x0000_ῃ_x005f_x0000__x005f_x0014__x000"/>
      <sheetName val="車両仕様_x005f_x0000__x005f_x0000__x005f_x0000__x0000"/>
      <sheetName val="車両仕様_x005f_x0000_ῆ玐ῆꆠῨ"/>
      <sheetName val="車両仕様4?_x005f_x0000__x005f_x0000__x005f_x0000_"/>
      <sheetName val="台数"/>
      <sheetName val="MET397D-25"/>
      <sheetName val="集計表"/>
      <sheetName val="format"/>
      <sheetName val="要求仕様Ｑ＆Ａ-ソフト"/>
      <sheetName val="Ｓｉ問連"/>
      <sheetName val="アップロード系(2)"/>
      <sheetName val="エンジン型式"/>
      <sheetName val="リストデータ"/>
      <sheetName val="All"/>
      <sheetName val="58831-06360"/>
      <sheetName val="1999.4"/>
      <sheetName val="Packing_List2"/>
      <sheetName val="Packing_List"/>
      <sheetName val="Calculation_PS"/>
      <sheetName val="Customer_behaver"/>
      <sheetName val="Seat_Assy_Tool_Tracking"/>
      <sheetName val="Stock_in_Trade1"/>
      <sheetName val="Packing_List21"/>
      <sheetName val="Packing_List1"/>
      <sheetName val="Calculation_PS1"/>
      <sheetName val="Customer_behaver1"/>
      <sheetName val="Seat_Assy_Tool_Tracking1"/>
      <sheetName val="Index"/>
      <sheetName val="Defined Layout Screen_Ver.0.6"/>
      <sheetName val="９ｘ"/>
      <sheetName val="Ｂｘ"/>
      <sheetName val="Ｃｘ"/>
      <sheetName val="Ｅｘ"/>
      <sheetName val="STEP1-Definition"/>
      <sheetName val="特、実まとめ"/>
      <sheetName val="config"/>
      <sheetName val="地点情報データ応答"/>
      <sheetName val="Par"/>
      <sheetName val="Calcul"/>
      <sheetName val="ETC機能判定"/>
      <sheetName val="ETCメニュー"/>
      <sheetName val="登録情報表示"/>
      <sheetName val="ETC設定"/>
      <sheetName val="履歴情報表示"/>
      <sheetName val="履歴情報詳細表示"/>
      <sheetName val="メニュー２"/>
      <sheetName val="割込み(Disp)"/>
      <sheetName val="割込み(Navi)"/>
      <sheetName val="走行強制状態変化"/>
      <sheetName val="入力パラメータ"/>
      <sheetName val="DetailSequence"/>
      <sheetName val="InterFace"/>
      <sheetName val="FBtbl"/>
      <sheetName val="リスト画面"/>
      <sheetName val="特殊画面"/>
      <sheetName val="入力画面"/>
      <sheetName val="メッセージ受信開始"/>
      <sheetName val="Mark"/>
      <sheetName val="Contents"/>
      <sheetName val="車両仕様4_ "/>
      <sheetName val="改正履歴"/>
      <sheetName val="リスト選択用"/>
      <sheetName val="变更履历"/>
      <sheetName val="Menu List"/>
      <sheetName val="ドメイン一覧"/>
      <sheetName val="検査シート"/>
      <sheetName val="Cover"/>
      <sheetName val="MIS REPORT "/>
      <sheetName val="（別紙5-1）PP02簡素化"/>
      <sheetName val="universal"/>
      <sheetName val="Cost Casting"/>
      <sheetName val="paint mtrl"/>
      <sheetName val="corolla_095W_"/>
      <sheetName val="dyna"/>
      <sheetName val="FC"/>
      <sheetName val="★ONS_MSG_list"/>
      <sheetName val="ﾕｰｻﾞｰ設定"/>
      <sheetName val="同行评审"/>
      <sheetName val="5.心配点抽出-0"/>
      <sheetName val="0.表紙"/>
      <sheetName val="1._概要"/>
      <sheetName val="4 選局"/>
      <sheetName val="定数"/>
      <sheetName val="Case 21_1"/>
      <sheetName val="96期(川崎)"/>
      <sheetName val="ORDSHP"/>
      <sheetName val="B"/>
      <sheetName val="Blue_Flag3"/>
      <sheetName val="Calc_Sheet_Budget3"/>
      <sheetName val="_PART_479W_LHD3"/>
      <sheetName val="_PART_MYY5A3"/>
      <sheetName val="393_N3"/>
      <sheetName val="WIP_Cal_Sheet3"/>
      <sheetName val="Pricing_overview3"/>
      <sheetName val="Lookup_Table3"/>
      <sheetName val="promo_lists_20113"/>
      <sheetName val="車両仕様_嗼1嗼1噌1鲌3"/>
      <sheetName val="車両仕様_勜+勜+匬+鲌3"/>
      <sheetName val="EquipmentTrimming_Cabin_NS3"/>
      <sheetName val="Reference_3"/>
      <sheetName val="車両仕様__x005f_x0000__x005f_x0000_?_x005f_x0012_?瞳?3"/>
      <sheetName val="車両仕様_???_x005f_x0012_?瞳?3"/>
      <sheetName val="160th_NPCC_Nov'103"/>
      <sheetName val="RMBSS's_Triggered3"/>
      <sheetName val="車両仕様?4???_??3"/>
      <sheetName val="車両仕様_???_?瞳?3"/>
      <sheetName val="車両仕様???ꎨ_窉瞳㾐3"/>
      <sheetName val="車両仕様?4??_?3"/>
      <sheetName val="車両仕様4??_?3"/>
      <sheetName val="車両仕様____瞳_3"/>
      <sheetName val="車両仕様______瞳_3"/>
      <sheetName val="車両仕様_4______3"/>
      <sheetName val="車両仕様___ꎨ_窉瞳㾐3"/>
      <sheetName val="車両仕様_4____3"/>
      <sheetName val="車両仕様4____3"/>
      <sheetName val="PRICE_LIST3"/>
      <sheetName val="Loss_Time3"/>
      <sheetName val="Price_range_IT3"/>
      <sheetName val="Avensis+d_seg__in_&amp;_out_of_UK+3"/>
      <sheetName val="#ofclose__xl3"/>
      <sheetName val="Annexes_toutes_bases3"/>
      <sheetName val="DON_GIA3"/>
      <sheetName val="CHITIET_VL-NC3"/>
      <sheetName val="TONGKE3p_3"/>
      <sheetName val="TOTAL_P23"/>
      <sheetName val="2_-_Summary3"/>
      <sheetName val="IPOTESI_PIANO_STATICA3"/>
      <sheetName val="make_up3"/>
      <sheetName val="車両仕様_???_x005f_x005f_x005f_x0012_?瞳?3"/>
      <sheetName val="調達担当者(06_2～)3"/>
      <sheetName val="車両仕様__x005f_x0000__2"/>
      <sheetName val="車両仕様_x005f_x0000__N2"/>
      <sheetName val="車両仕様___x005f_x0012_2"/>
      <sheetName val="車両仕様__x005f_x005f_x2"/>
      <sheetName val="車両仕様___x005f_x005f_2"/>
      <sheetName val="05-065_she2"/>
      <sheetName val="idgr_-_formula2"/>
      <sheetName val="IDGR_(3)2"/>
      <sheetName val="IDGR_(2)2"/>
      <sheetName val="PLIV_(3)2"/>
      <sheetName val="PLIV_(2)2"/>
      <sheetName val="PLIV_(template)2"/>
      <sheetName val="inv_recon2"/>
      <sheetName val="side_member2"/>
      <sheetName val="TTC_(FG)2"/>
      <sheetName val="Sheet1_(3)2"/>
      <sheetName val="truck_allocation2"/>
      <sheetName val="Supplier_Price_Check2"/>
      <sheetName val="$_-_june2"/>
      <sheetName val="Vios_Cost_Reduction_actual_pro2"/>
      <sheetName val="RET_PALLET2"/>
      <sheetName val="Form_A2"/>
      <sheetName val="NG_SUMMARY2"/>
      <sheetName val="impact_pallet_and_racks2"/>
      <sheetName val="Daily_WSD2"/>
      <sheetName val="ass'y_12'04-05'053"/>
      <sheetName val="Type_I2"/>
      <sheetName val="Schedule_PM2"/>
      <sheetName val="training_forklift2"/>
      <sheetName val="Budget_by_Category2"/>
      <sheetName val="investment_tmc_v8_0_34p2"/>
      <sheetName val="PTD_Activity2"/>
      <sheetName val="Sample_1PP_2"/>
      <sheetName val="Open_Ran3"/>
      <sheetName val="Open_RAN_23"/>
      <sheetName val="CHIA_KH2"/>
      <sheetName val="Purch__BP2"/>
      <sheetName val="車両仕様_____x005f_x005f_x005f_x005f_x0013"/>
      <sheetName val="車両仕様_____x005f_x005f_x005f_x005f_x0053"/>
      <sheetName val="ＰＲＥ_NO1"/>
      <sheetName val="Courier_4x2"/>
      <sheetName val="Price_Trend2"/>
      <sheetName val="車両仕様_?_x005f_x0012_?瞳?2"/>
      <sheetName val="YARIS_HB2"/>
      <sheetName val="00_KS"/>
      <sheetName val="PRADO_3Dr_fl2"/>
      <sheetName val="01_DATA2"/>
      <sheetName val="Quality_Update2"/>
      <sheetName val="prior_data"/>
      <sheetName val="Table_Master"/>
      <sheetName val="1_概述"/>
      <sheetName val="Drop-down_Menu_List"/>
      <sheetName val="Open_Item_List"/>
      <sheetName val="本修正_DIFF_"/>
      <sheetName val="Sector_Assignment"/>
      <sheetName val="BQ_CONVEYOR"/>
      <sheetName val="IMV_LIST_2003"/>
      <sheetName val="車両仕様_x005f_x0000_4__x005f_x0000__x005f_x0000___x0"/>
      <sheetName val="車両仕様__x005f_x0000__x005f_x0000____瞳_"/>
      <sheetName val="Part_list"/>
      <sheetName val="INACT797"/>
      <sheetName val="M1A"/>
      <sheetName val="OK"/>
      <sheetName val="??? Pilling upu_S y"/>
      <sheetName val="ASF INVENTORY"/>
      <sheetName val="車両仕様_4___x005f_x0013__x0013__x0013__x0013__x0013_"/>
      <sheetName val="ጀጀ؀ԀЀࠀ᐀Ѐऀ܀̀܀ഀ܀Ԁऀ଀ࠀ_x0000_"/>
      <sheetName val="CTable"/>
      <sheetName val="bs is"/>
      <sheetName val="成績"/>
      <sheetName val="IT Checklist"/>
      <sheetName val="ﾊﾟｲﾌﾟ"/>
      <sheetName val="冷延鋼板"/>
      <sheetName val="熱延鋼板"/>
      <sheetName val="他材料費"/>
      <sheetName val="No.31"/>
      <sheetName val="コマンド認識, DTMF"/>
      <sheetName val="CS2_SmcDriverインテグ項目"/>
      <sheetName val="標準仕様DB"/>
      <sheetName val="BEEP設定"/>
      <sheetName val="休日"/>
      <sheetName val="工数ｺｰﾄﾞﾘｽﾄ"/>
      <sheetName val="5．キー入力動作説明"/>
      <sheetName val="日程"/>
      <sheetName val="進捗"/>
      <sheetName val="印刷"/>
      <sheetName val="試験項目_R3小"/>
      <sheetName val="Config_by_Program"/>
      <sheetName val="DIAG_cfg_setting"/>
      <sheetName val="AUBISTConfigurator_AssistTool"/>
      <sheetName val="Toggle_Duplicate_Highlighting"/>
      <sheetName val="M_ACCOUNT"/>
      <sheetName val="自販市場別"/>
      <sheetName val="BC01_PRT_SIJI"/>
      <sheetName val="Data(ko dc xoa)"/>
      <sheetName val="日英対比表"/>
      <sheetName val="Ｊ３９Ａワースト"/>
      <sheetName val="DASH用係数"/>
      <sheetName val="RR_Diff__Progressive(28-Aug_(34"/>
      <sheetName val="RR_Diff__Progressive(4-Sep-0325"/>
      <sheetName val="CHRONOLOGY_INDEX25"/>
      <sheetName val="COST_REC__DISCREP_25"/>
      <sheetName val="車両仕様_25"/>
      <sheetName val="MARCH-APRIL__0325"/>
      <sheetName val="車両仕様?_New02㾐25"/>
      <sheetName val="F_Lead25"/>
      <sheetName val="車両仕様__New02㾐25"/>
      <sheetName val="D88D_CAL25"/>
      <sheetName val="Distributor_&amp;_Dealer_code25"/>
      <sheetName val="T1_&amp;_T2_Code25"/>
      <sheetName val="All_of_Part_list_rev_4925"/>
      <sheetName val="All_of_Part_list_rev_49_(PNo)25"/>
      <sheetName val="02年9月_まとめ_32βＨ25"/>
      <sheetName val="715L_Unit_Price25"/>
      <sheetName val="MARCH_APRIL__0325"/>
      <sheetName val="ES_UX__27_40_46425"/>
      <sheetName val="REPUESTOS_LPA25"/>
      <sheetName val="Oct_Truckfest_GMAC_BC25"/>
      <sheetName val="Corolla_Gas25"/>
      <sheetName val="Part_No_25"/>
      <sheetName val="RACK_(CB)new25"/>
      <sheetName val="MASTER_FILE25"/>
      <sheetName val="車両仕様_New02㾐25"/>
      <sheetName val="2005_TKM25"/>
      <sheetName val="Comm_CKD25"/>
      <sheetName val="Datos_HHRR25"/>
      <sheetName val="７月発注分_(VLOOK)25"/>
      <sheetName val="DBS040_RPT_RPT25"/>
      <sheetName val="金型申入書ﾃﾞｰﾀ(05_7～)25"/>
      <sheetName val="Interior_Trim25"/>
      <sheetName val="Plate_Bumper_(Summary)25"/>
      <sheetName val="FAD_Sum25"/>
      <sheetName val="車両仕様__x005f_x0000__x005f_x0000___x005f_x0012__瞳25"/>
      <sheetName val="車両仕様_x005f_x0000__New02㾐25"/>
      <sheetName val="車両仕様___x005f_x0012__瞳_25"/>
      <sheetName val="車両仕様_____x005f_x0012__瞳_25"/>
      <sheetName val="車両仕様__x005f_x005f_x005f_x0000__x005f_x005f_x00025"/>
      <sheetName val="車両仕様_x005f_x005f_x005f_x0000__New02㾐25"/>
      <sheetName val="車両仕様___x005f_x005f_x005f_x0012__瞳_25"/>
      <sheetName val="車両仕様_____x005f_x005f_x005f_x0012__瞳_25"/>
      <sheetName val="車両仕様__x005f_x005f_x005f_x005f_x005f_x005f_x000025"/>
      <sheetName val="車両仕様_x005f_x005f_x005f_x005f_x005f_x005f_x005f_x0000_25"/>
      <sheetName val="車両仕様___x005f_x005f_x005f_x005f_x005f_x005f_x00134"/>
      <sheetName val="車両仕様_____x005f_x005f_x005f_x005f_x005f_x005f_x051"/>
      <sheetName val="IM-P-L-JB_25"/>
      <sheetName val="094W原紙_25"/>
      <sheetName val="Regional_Penetration25"/>
      <sheetName val="dongia_(2)25"/>
      <sheetName val="GMT900_IPC25"/>
      <sheetName val="OTHERS_x62025"/>
      <sheetName val="No12_營業成本表_cost125"/>
      <sheetName val="Master_Updated(517)25"/>
      <sheetName val="ED_AND_EDOV25"/>
      <sheetName val="Supp_List25"/>
      <sheetName val="Risk_&amp;_Opps25"/>
      <sheetName val="Main_225"/>
      <sheetName val="Datasheet_from_R__Hinds25"/>
      <sheetName val="車両仕様__x005f_x005f_x005f_x005f_x005f_x005f_x005f25"/>
      <sheetName val="車両仕様___x005f_x005f_x005f_x005f_x005f_x005f_x00525"/>
      <sheetName val="車両仕様_____x005f_x005f_x005f_x005f_x005f_x005f_x052"/>
      <sheetName val="車両仕様__x005f_x0000__x005f_x0000_25"/>
      <sheetName val="車両仕様__x005f_x005f_x005f_x0000__25"/>
      <sheetName val="車両仕様_x005f_x005f_x005f_x0000__N25"/>
      <sheetName val="車両仕様___x005f_x005f_x005f_x0012_25"/>
      <sheetName val="車両仕様_____x005f_x005f_x00125"/>
      <sheetName val="車両仕様__x005f_x005f_x005f_x005f_x25"/>
      <sheetName val="車両仕様___x005f_x005f_x005f_x005f_25"/>
      <sheetName val="車両仕様_____x005f_x005f_x00525"/>
      <sheetName val="Production_Database_39923"/>
      <sheetName val="RR_Diff__Progressive(28-Aug_(33"/>
      <sheetName val="RR_Diff__Progressive(4-Sep-0324"/>
      <sheetName val="CHRONOLOGY_INDEX24"/>
      <sheetName val="COST_REC__DISCREP_24"/>
      <sheetName val="車両仕様_24"/>
      <sheetName val="MARCH-APRIL__0324"/>
      <sheetName val="車両仕様?_New02㾐24"/>
      <sheetName val="F_Lead24"/>
      <sheetName val="車両仕様__New02㾐24"/>
      <sheetName val="D88D_CAL24"/>
      <sheetName val="Distributor_&amp;_Dealer_code24"/>
      <sheetName val="T1_&amp;_T2_Code24"/>
      <sheetName val="All_of_Part_list_rev_4924"/>
      <sheetName val="All_of_Part_list_rev_49_(PNo)24"/>
      <sheetName val="02年9月_まとめ_32βＨ24"/>
      <sheetName val="715L_Unit_Price24"/>
      <sheetName val="MARCH_APRIL__0324"/>
      <sheetName val="ES_UX__27_40_46424"/>
      <sheetName val="REPUESTOS_LPA24"/>
      <sheetName val="Oct_Truckfest_GMAC_BC24"/>
      <sheetName val="Corolla_Gas24"/>
      <sheetName val="Part_No_24"/>
      <sheetName val="RACK_(CB)new24"/>
      <sheetName val="MASTER_FILE24"/>
      <sheetName val="車両仕様_New02㾐24"/>
      <sheetName val="2005_TKM24"/>
      <sheetName val="Comm_CKD24"/>
      <sheetName val="Datos_HHRR24"/>
      <sheetName val="７月発注分_(VLOOK)24"/>
      <sheetName val="DBS040_RPT_RPT24"/>
      <sheetName val="金型申入書ﾃﾞｰﾀ(05_7～)24"/>
      <sheetName val="Interior_Trim24"/>
      <sheetName val="Plate_Bumper_(Summary)24"/>
      <sheetName val="FAD_Sum24"/>
      <sheetName val="車両仕様__x005f_x0000__x005f_x0000___x005f_x0012__瞳24"/>
      <sheetName val="車両仕様_x005f_x0000__New02㾐24"/>
      <sheetName val="車両仕様___x005f_x0012__瞳_24"/>
      <sheetName val="車両仕様_____x005f_x0012__瞳_24"/>
      <sheetName val="車両仕様__x005f_x005f_x005f_x0000__x005f_x005f_x00024"/>
      <sheetName val="車両仕様_x005f_x005f_x005f_x0000__New02㾐24"/>
      <sheetName val="車両仕様___x005f_x005f_x005f_x0012__瞳_24"/>
      <sheetName val="車両仕様_____x005f_x005f_x005f_x0012__瞳_24"/>
      <sheetName val="車両仕様__x005f_x005f_x005f_x005f_x005f_x005f_x000024"/>
      <sheetName val="車両仕様_x005f_x005f_x005f_x005f_x005f_x005f_x005f_x0000_24"/>
      <sheetName val="車両仕様___x005f_x005f_x005f_x005f_x005f_x005f_x00133"/>
      <sheetName val="車両仕様_____x005f_x005f_x005f_x005f_x005f_x005f_x049"/>
      <sheetName val="IM-P-L-JB_24"/>
      <sheetName val="094W原紙_24"/>
      <sheetName val="Regional_Penetration24"/>
      <sheetName val="dongia_(2)24"/>
      <sheetName val="GMT900_IPC24"/>
      <sheetName val="OTHERS_x62024"/>
      <sheetName val="No12_營業成本表_cost124"/>
      <sheetName val="Master_Updated(517)24"/>
      <sheetName val="ED_AND_EDOV24"/>
      <sheetName val="Supp_List24"/>
      <sheetName val="Risk_&amp;_Opps24"/>
      <sheetName val="Main_224"/>
      <sheetName val="Datasheet_from_R__Hinds24"/>
      <sheetName val="車両仕様__x005f_x005f_x005f_x005f_x005f_x005f_x005f24"/>
      <sheetName val="車両仕様___x005f_x005f_x005f_x005f_x005f_x005f_x00524"/>
      <sheetName val="車両仕様_____x005f_x005f_x005f_x005f_x005f_x005f_x050"/>
      <sheetName val="車両仕様__x005f_x0000__x005f_x0000_24"/>
      <sheetName val="車両仕様__x005f_x005f_x005f_x0000__24"/>
      <sheetName val="車両仕様_x005f_x005f_x005f_x0000__N24"/>
      <sheetName val="車両仕様___x005f_x005f_x005f_x0012_24"/>
      <sheetName val="車両仕様_____x005f_x005f_x00124"/>
      <sheetName val="車両仕様__x005f_x005f_x005f_x005f_x24"/>
      <sheetName val="車両仕様___x005f_x005f_x005f_x005f_24"/>
      <sheetName val="車両仕様_____x005f_x005f_x00524"/>
      <sheetName val="Production_Database_39922"/>
      <sheetName val="RR_Diff__Progressive(28-Aug_(35"/>
      <sheetName val="RR_Diff__Progressive(4-Sep-0326"/>
      <sheetName val="CHRONOLOGY_INDEX26"/>
      <sheetName val="COST_REC__DISCREP_26"/>
      <sheetName val="車両仕様_26"/>
      <sheetName val="MARCH-APRIL__0326"/>
      <sheetName val="車両仕様?_New02㾐26"/>
      <sheetName val="F_Lead26"/>
      <sheetName val="車両仕様__New02㾐26"/>
      <sheetName val="D88D_CAL26"/>
      <sheetName val="Distributor_&amp;_Dealer_code26"/>
      <sheetName val="T1_&amp;_T2_Code26"/>
      <sheetName val="All_of_Part_list_rev_4926"/>
      <sheetName val="All_of_Part_list_rev_49_(PNo)26"/>
      <sheetName val="02年9月_まとめ_32βＨ26"/>
      <sheetName val="715L_Unit_Price26"/>
      <sheetName val="MARCH_APRIL__0326"/>
      <sheetName val="ES_UX__27_40_46426"/>
      <sheetName val="REPUESTOS_LPA26"/>
      <sheetName val="Oct_Truckfest_GMAC_BC26"/>
      <sheetName val="Corolla_Gas26"/>
      <sheetName val="Part_No_26"/>
      <sheetName val="RACK_(CB)new26"/>
      <sheetName val="MASTER_FILE26"/>
      <sheetName val="車両仕様_New02㾐26"/>
      <sheetName val="2005_TKM26"/>
      <sheetName val="Comm_CKD26"/>
      <sheetName val="Datos_HHRR26"/>
      <sheetName val="７月発注分_(VLOOK)26"/>
      <sheetName val="DBS040_RPT_RPT26"/>
      <sheetName val="金型申入書ﾃﾞｰﾀ(05_7～)26"/>
      <sheetName val="Interior_Trim26"/>
      <sheetName val="Plate_Bumper_(Summary)26"/>
      <sheetName val="FAD_Sum26"/>
      <sheetName val="車両仕様__x005f_x0000__x005f_x0000___x005f_x0012__瞳26"/>
      <sheetName val="車両仕様_x005f_x0000__New02㾐26"/>
      <sheetName val="車両仕様___x005f_x0012__瞳_26"/>
      <sheetName val="車両仕様_____x005f_x0012__瞳_26"/>
      <sheetName val="車両仕様__x005f_x005f_x005f_x0000__x005f_x005f_x00026"/>
      <sheetName val="車両仕様_x005f_x005f_x005f_x0000__New02㾐26"/>
      <sheetName val="車両仕様___x005f_x005f_x005f_x0012__瞳_26"/>
      <sheetName val="車両仕様_____x005f_x005f_x005f_x0012__瞳_26"/>
      <sheetName val="車両仕様__x005f_x005f_x005f_x005f_x005f_x005f_x000026"/>
      <sheetName val="車両仕様_x005f_x005f_x005f_x005f_x005f_x005f_x005f_x0000_26"/>
      <sheetName val="車両仕様___x005f_x005f_x005f_x005f_x005f_x005f_x00135"/>
      <sheetName val="車両仕様_____x005f_x005f_x005f_x005f_x005f_x005f_x053"/>
      <sheetName val="IM-P-L-JB_26"/>
      <sheetName val="094W原紙_26"/>
      <sheetName val="Regional_Penetration26"/>
      <sheetName val="dongia_(2)26"/>
      <sheetName val="GMT900_IPC26"/>
      <sheetName val="OTHERS_x62026"/>
      <sheetName val="No12_營業成本表_cost126"/>
      <sheetName val="Master_Updated(517)26"/>
      <sheetName val="ED_AND_EDOV26"/>
      <sheetName val="Supp_List26"/>
      <sheetName val="Risk_&amp;_Opps26"/>
      <sheetName val="Main_226"/>
      <sheetName val="Datasheet_from_R__Hinds26"/>
      <sheetName val="車両仕様__x005f_x005f_x005f_x005f_x005f_x005f_x005f26"/>
      <sheetName val="車両仕様___x005f_x005f_x005f_x005f_x005f_x005f_x00526"/>
      <sheetName val="車両仕様_____x005f_x005f_x005f_x005f_x005f_x005f_x054"/>
      <sheetName val="車両仕様__x005f_x0000__x005f_x0000_26"/>
      <sheetName val="車両仕様__x005f_x005f_x005f_x0000__26"/>
      <sheetName val="車両仕様_x005f_x005f_x005f_x0000__N26"/>
      <sheetName val="車両仕様___x005f_x005f_x005f_x0012_26"/>
      <sheetName val="車両仕様_____x005f_x005f_x00126"/>
      <sheetName val="車両仕様__x005f_x005f_x005f_x005f_x26"/>
      <sheetName val="車両仕様___x005f_x005f_x005f_x005f_26"/>
      <sheetName val="車両仕様_____x005f_x005f_x00526"/>
      <sheetName val="Production_Database_39924"/>
      <sheetName val="RR_Diff__Progressive(28-Aug_(36"/>
      <sheetName val="RR_Diff__Progressive(4-Sep-0327"/>
      <sheetName val="CHRONOLOGY_INDEX27"/>
      <sheetName val="COST_REC__DISCREP_27"/>
      <sheetName val="車両仕様_27"/>
      <sheetName val="MARCH-APRIL__0327"/>
      <sheetName val="車両仕様_New02㾐27"/>
      <sheetName val="車両仕様?_New02㾐27"/>
      <sheetName val="F_Lead27"/>
      <sheetName val="車両仕様__New02㾐27"/>
      <sheetName val="D88D_CAL27"/>
      <sheetName val="Distributor_&amp;_Dealer_code27"/>
      <sheetName val="T1_&amp;_T2_Code27"/>
      <sheetName val="All_of_Part_list_rev_4927"/>
      <sheetName val="All_of_Part_list_rev_49_(PNo)27"/>
      <sheetName val="02年9月_まとめ_32βＨ27"/>
      <sheetName val="715L_Unit_Price27"/>
      <sheetName val="MARCH_APRIL__0327"/>
      <sheetName val="ES_UX__27_40_46427"/>
      <sheetName val="REPUESTOS_LPA27"/>
      <sheetName val="Oct_Truckfest_GMAC_BC27"/>
      <sheetName val="Corolla_Gas27"/>
      <sheetName val="Part_No_27"/>
      <sheetName val="RACK_(CB)new27"/>
      <sheetName val="MASTER_FILE27"/>
      <sheetName val="2005_TKM27"/>
      <sheetName val="Comm_CKD27"/>
      <sheetName val="Datos_HHRR27"/>
      <sheetName val="７月発注分_(VLOOK)27"/>
      <sheetName val="DBS040_RPT_RPT27"/>
      <sheetName val="金型申入書ﾃﾞｰﾀ(05_7～)27"/>
      <sheetName val="Interior_Trim27"/>
      <sheetName val="Plate_Bumper_(Summary)27"/>
      <sheetName val="FAD_Sum27"/>
      <sheetName val="車両仕様__x005f_x0000__x005f_x0000___x005f_x0012__瞳27"/>
      <sheetName val="車両仕様_x005f_x0000__New02㾐27"/>
      <sheetName val="車両仕様___x005f_x0012__瞳_27"/>
      <sheetName val="車両仕様_____x005f_x0012__瞳_27"/>
      <sheetName val="車両仕様__x005f_x005f_x005f_x0000__x005f_x005f_x00027"/>
      <sheetName val="車両仕様_x005f_x005f_x005f_x0000__New02㾐27"/>
      <sheetName val="車両仕様___x005f_x005f_x005f_x0012__瞳_27"/>
      <sheetName val="車両仕様_____x005f_x005f_x005f_x0012__瞳_27"/>
      <sheetName val="車両仕様__x005f_x005f_x005f_x005f_x005f_x005f_x000027"/>
      <sheetName val="車両仕様_x005f_x005f_x005f_x005f_x005f_x005f_x005f_x0000_27"/>
      <sheetName val="車両仕様___x005f_x005f_x005f_x005f_x005f_x005f_x00136"/>
      <sheetName val="車両仕様_____x005f_x005f_x005f_x005f_x005f_x005f_x055"/>
      <sheetName val="IM-P-L-JB_27"/>
      <sheetName val="094W原紙_27"/>
      <sheetName val="Regional_Penetration27"/>
      <sheetName val="dongia_(2)27"/>
      <sheetName val="GMT900_IPC27"/>
      <sheetName val="OTHERS_x62027"/>
      <sheetName val="No12_營業成本表_cost127"/>
      <sheetName val="Master_Updated(517)27"/>
      <sheetName val="ED_AND_EDOV27"/>
      <sheetName val="Supp_List27"/>
      <sheetName val="Risk_&amp;_Opps27"/>
      <sheetName val="Main_227"/>
      <sheetName val="Datasheet_from_R__Hinds27"/>
      <sheetName val="車両仕様__x005f_x005f_x005f_x005f_x005f_x005f_x005f27"/>
      <sheetName val="車両仕様___x005f_x005f_x005f_x005f_x005f_x005f_x00527"/>
      <sheetName val="車両仕様_____x005f_x005f_x005f_x005f_x005f_x005f_x056"/>
      <sheetName val="車両仕様__x005f_x0000__x005f_x0000_27"/>
      <sheetName val="車両仕様__x005f_x005f_x005f_x0000__27"/>
      <sheetName val="車両仕様_x005f_x005f_x005f_x0000__N27"/>
      <sheetName val="車両仕様___x005f_x005f_x005f_x0012_27"/>
      <sheetName val="車両仕様_____x005f_x005f_x00127"/>
      <sheetName val="車両仕様__x005f_x005f_x005f_x005f_x27"/>
      <sheetName val="車両仕様___x005f_x005f_x005f_x005f_27"/>
      <sheetName val="車両仕様_____x005f_x005f_x00527"/>
      <sheetName val="Production_Database_39925"/>
      <sheetName val="Spider web"/>
      <sheetName val="Internal_Price_List1"/>
      <sheetName val="シェル台ｾﾂﾄ流し改_(2)1"/>
      <sheetName val="車両仕様_____x0011"/>
      <sheetName val="車両仕様_____x0051"/>
      <sheetName val="車両仕様__x1"/>
      <sheetName val="車両仕様___1"/>
      <sheetName val="最新基準単価_1"/>
      <sheetName val="4_5_6_大日程1"/>
      <sheetName val="BR_(C_Matrix)1"/>
      <sheetName val="車両仕様_??_x000a_????1"/>
      <sheetName val="車両仕様_???_x005f_x005f_x005f_x005f_x005f_x005f_x002"/>
      <sheetName val="車両仕様_x005f_x0000_4?_x005f_x0000__x005f_x0000___x1"/>
      <sheetName val="車両仕様__x005f_x0000__x005f_x0000_?_?瞳?1"/>
      <sheetName val="車両仕様_x005f_x0000__x005f_x0000__x005f_x0000_ꎨ_窉瞳㾐1"/>
      <sheetName val="_型__治__具__投__資___売__買__差____比_1"/>
      <sheetName val="LATEST_ROYALTY1"/>
      <sheetName val="Short_Plan_1"/>
      <sheetName val="6-11'03_-_6-11'041"/>
      <sheetName val="_D2"/>
      <sheetName val="PHỤ_KIỆN_HỦY"/>
      <sheetName val="Sập_khóa"/>
      <sheetName val="【参考】_大中トラ"/>
      <sheetName val="【参考】_小トラ"/>
      <sheetName val="車両仕様__x005f_x005f_x005f_x005F_x005f_x0000__"/>
      <sheetName val="車両仕様_x005f_x005f_x005f_x005F_x005f_x0000__N"/>
      <sheetName val="車両仕様___x005f_x005f_x005f_x005F_x005f_x0012_"/>
      <sheetName val="車両仕様__x005f_x005f_x005f_x005F_x005f_x005f_x"/>
      <sheetName val="車両仕様___x005f_x005f_x005f_x005F_x005f_x005f_"/>
      <sheetName val="Inc_Statement"/>
      <sheetName val="230216_追加"/>
      <sheetName val="FAC_OVERHEAD"/>
      <sheetName val="WIP_Cal_Sheet4"/>
      <sheetName val="Pricing_overview4"/>
      <sheetName val="車両仕様?4???_??4"/>
      <sheetName val="車両仕様_???_?瞳?4"/>
      <sheetName val="車両仕様???ꎨ_窉瞳㾐4"/>
      <sheetName val="車両仕様?4??_?4"/>
      <sheetName val="車両仕様4??_?4"/>
      <sheetName val="車両仕様____瞳_4"/>
      <sheetName val="車両仕様______瞳_4"/>
      <sheetName val="車両仕様_4______4"/>
      <sheetName val="車両仕様___ꎨ_窉瞳㾐4"/>
      <sheetName val="車両仕様_4____4"/>
      <sheetName val="車両仕様4____4"/>
      <sheetName val="車両仕様_嗼1嗼1噌1鲌4"/>
      <sheetName val="車両仕様_勜+勜+匬+鲌4"/>
      <sheetName val="_PART_479W_LHD4"/>
      <sheetName val="_PART_MYY5A4"/>
      <sheetName val="RMBSS's_Triggered4"/>
      <sheetName val="EquipmentTrimming_Cabin_NS4"/>
      <sheetName val="Blue_Flag4"/>
      <sheetName val="Calc_Sheet_Budget4"/>
      <sheetName val="393_N4"/>
      <sheetName val="Lookup_Table4"/>
      <sheetName val="promo_lists_20114"/>
      <sheetName val="車両仕様_____x005f_x005f_x005f_x005f_x0014"/>
      <sheetName val="車両仕様_____x005f_x005f_x005f_x005f_x0054"/>
      <sheetName val="Reference_4"/>
      <sheetName val="車両仕様__x005f_x0000__x005f_x0000_?_x005f_x0012_?瞳?4"/>
      <sheetName val="車両仕様_???_x005f_x0012_?瞳?4"/>
      <sheetName val="160th_NPCC_Nov'104"/>
      <sheetName val="PRICE_LIST4"/>
      <sheetName val="Loss_Time4"/>
      <sheetName val="Price_range_IT4"/>
      <sheetName val="Avensis+d_seg__in_&amp;_out_of_UK+4"/>
      <sheetName val="#ofclose__xl4"/>
      <sheetName val="Annexes_toutes_bases4"/>
      <sheetName val="車両仕様_?_x005f_x0012_?瞳?3"/>
      <sheetName val="Internal_Price_List2"/>
      <sheetName val="DON_GIA4"/>
      <sheetName val="CHITIET_VL-NC4"/>
      <sheetName val="TONGKE3p_4"/>
      <sheetName val="TOTAL_P24"/>
      <sheetName val="2_-_Summary4"/>
      <sheetName val="IPOTESI_PIANO_STATICA4"/>
      <sheetName val="make_up4"/>
      <sheetName val="車両仕様_???_x005f_x005f_x005f_x0012_?瞳?4"/>
      <sheetName val="ass'y_12'04-05'054"/>
      <sheetName val="調達担当者(06_2～)4"/>
      <sheetName val="Open_Ran4"/>
      <sheetName val="Open_RAN_24"/>
      <sheetName val="シェル台ｾﾂﾄ流し改_(2)2"/>
      <sheetName val="車両仕様__x005f_x0000__3"/>
      <sheetName val="車両仕様_x005f_x0000__N3"/>
      <sheetName val="車両仕様___x005f_x0012_3"/>
      <sheetName val="車両仕様__x005f_x005f_x3"/>
      <sheetName val="車両仕様___x005f_x005f_3"/>
      <sheetName val="Budget_by_Category3"/>
      <sheetName val="investment_tmc_v8_0_34p3"/>
      <sheetName val="PTD_Activity3"/>
      <sheetName val="Price_Trend3"/>
      <sheetName val="05-065_she3"/>
      <sheetName val="idgr_-_formula3"/>
      <sheetName val="IDGR_(3)3"/>
      <sheetName val="IDGR_(2)3"/>
      <sheetName val="PLIV_(3)3"/>
      <sheetName val="PLIV_(2)3"/>
      <sheetName val="PLIV_(template)3"/>
      <sheetName val="inv_recon3"/>
      <sheetName val="side_member3"/>
      <sheetName val="TTC_(FG)3"/>
      <sheetName val="Sheet1_(3)3"/>
      <sheetName val="truck_allocation3"/>
      <sheetName val="Supplier_Price_Check3"/>
      <sheetName val="$_-_june3"/>
      <sheetName val="Vios_Cost_Reduction_actual_pro3"/>
      <sheetName val="RET_PALLET3"/>
      <sheetName val="Form_A3"/>
      <sheetName val="NG_SUMMARY3"/>
      <sheetName val="impact_pallet_and_racks3"/>
      <sheetName val="Type_I3"/>
      <sheetName val="Schedule_PM3"/>
      <sheetName val="training_forklift3"/>
      <sheetName val="Daily_WSD3"/>
      <sheetName val="YARIS_HB3"/>
      <sheetName val="Sample_1PP_3"/>
      <sheetName val="PRADO_3Dr_fl3"/>
      <sheetName val="01_DATA3"/>
      <sheetName val="車両仕様_____x0012"/>
      <sheetName val="車両仕様_____x0052"/>
      <sheetName val="車両仕様__x2"/>
      <sheetName val="車両仕様___2"/>
      <sheetName val="最新基準単価_2"/>
      <sheetName val="CHIA_KH3"/>
      <sheetName val="Purch__BP3"/>
      <sheetName val="4_5_6_大日程2"/>
      <sheetName val="Stock_in_Trade2"/>
      <sheetName val="BR_(C_Matrix)2"/>
      <sheetName val="車両仕様_??_x000a_????2"/>
      <sheetName val="車両仕様_???_x005f_x005f_x005f_x005f_x005f_x005f_x003"/>
      <sheetName val="車両仕様_x005f_x0000_4?_x005f_x0000__x005f_x0000___x2"/>
      <sheetName val="車両仕様__x005f_x0000__x005f_x0000_?_?瞳?2"/>
      <sheetName val="車両仕様_x005f_x0000__x005f_x0000__x005f_x0000_ꎨ_窉瞳㾐2"/>
      <sheetName val="_型__治__具__投__資___売__買__差____比_2"/>
      <sheetName val="LATEST_ROYALTY2"/>
      <sheetName val="Short_Plan_2"/>
      <sheetName val="6-11'03_-_6-11'042"/>
      <sheetName val="IMV_LIST_20031"/>
      <sheetName val="BQ_CONVEYOR1"/>
      <sheetName val="Courier_4x21"/>
      <sheetName val="ＰＲＥ_NO11"/>
      <sheetName val="00_KS1"/>
      <sheetName val="1_概述1"/>
      <sheetName val="Drop-down_Menu_List1"/>
      <sheetName val="Open_Item_List1"/>
      <sheetName val="本修正_DIFF_1"/>
      <sheetName val="Sector_Assignment1"/>
      <sheetName val="Quality_Update3"/>
      <sheetName val="prior_data1"/>
      <sheetName val="Table_Master1"/>
      <sheetName val="車両仕様_x005f_x0000_4__x005f_x0000__x005f_x0000___x1"/>
      <sheetName val="車両仕様__x005f_x0000__x005f_x0000____瞳_1"/>
      <sheetName val="Toggle_Duplicate_Highlighting1"/>
      <sheetName val="_D21"/>
      <sheetName val="PHỤ_KIỆN_HỦY1"/>
      <sheetName val="Sập_khóa1"/>
      <sheetName val="【参考】_大中トラ1"/>
      <sheetName val="【参考】_小トラ1"/>
      <sheetName val="Part_list1"/>
      <sheetName val="車両仕様__x005f_x005f_x005f_x005F_x005f_x0000__1"/>
      <sheetName val="車両仕様_x005f_x005f_x005f_x005F_x005f_x0000__N1"/>
      <sheetName val="車両仕様___x005f_x005f_x005f_x005F_x005f_x0012_1"/>
      <sheetName val="車両仕様__x005f_x005f_x005f_x005F_x005f_x005f_x1"/>
      <sheetName val="車両仕様___x005f_x005f_x005f_x005F_x005f_x005f_1"/>
      <sheetName val="Inc_Statement1"/>
      <sheetName val="230216_追加1"/>
      <sheetName val="FAC_OVERHEAD1"/>
      <sheetName val="CæÊ__x005f_x0015__Op"/>
      <sheetName val="ƒƒCƒ“‰æ–Ê__x005f_x0015__Op"/>
      <sheetName val="メイン画面__x005f_x0015__Op"/>
      <sheetName val="表紙1_"/>
      <sheetName val="Sheet1_(2)"/>
      <sheetName val="Config_-_dspmgr"/>
      <sheetName val="SHEET__car_no"/>
      <sheetName val="Spider_web"/>
      <sheetName val="RMBSS's_Triggered5"/>
      <sheetName val="車両仕様_嗼1嗼1噌1鲌5"/>
      <sheetName val="車両仕様_勜+勜+匬+鲌5"/>
      <sheetName val="_PART_479W_LHD5"/>
      <sheetName val="_PART_MYY5A5"/>
      <sheetName val="EquipmentTrimming_Cabin_NS5"/>
      <sheetName val="Blue_Flag5"/>
      <sheetName val="Calc_Sheet_Budget5"/>
      <sheetName val="393_N5"/>
      <sheetName val="WIP_Cal_Sheet5"/>
      <sheetName val="Pricing_overview5"/>
      <sheetName val="Lookup_Table5"/>
      <sheetName val="promo_lists_20115"/>
      <sheetName val="車両仕様_____x005f_x005f_x005f_x005f_x0015"/>
      <sheetName val="車両仕様_____x005f_x005f_x005f_x005f_x0055"/>
      <sheetName val="車両仕様?4???_??5"/>
      <sheetName val="車両仕様_???_?瞳?5"/>
      <sheetName val="車両仕様???ꎨ_窉瞳㾐5"/>
      <sheetName val="車両仕様?4??_?5"/>
      <sheetName val="車両仕様4??_?5"/>
      <sheetName val="車両仕様____瞳_5"/>
      <sheetName val="車両仕様______瞳_5"/>
      <sheetName val="車両仕様_4______5"/>
      <sheetName val="車両仕様___ꎨ_窉瞳㾐5"/>
      <sheetName val="車両仕様_4____5"/>
      <sheetName val="車両仕様4____5"/>
      <sheetName val="Reference_5"/>
      <sheetName val="車両仕様__x005f_x0000__x005f_x0000_?_x005f_x0012_?瞳?5"/>
      <sheetName val="車両仕様_???_x005f_x0012_?瞳?5"/>
      <sheetName val="160th_NPCC_Nov'105"/>
      <sheetName val="PRICE_LIST5"/>
      <sheetName val="Annexes_toutes_bases5"/>
      <sheetName val="Internal_Price_List3"/>
      <sheetName val="車両仕様_?_x005f_x0012_?瞳?4"/>
      <sheetName val="Loss_Time5"/>
      <sheetName val="Price_range_IT5"/>
      <sheetName val="Avensis+d_seg__in_&amp;_out_of_UK+5"/>
      <sheetName val="#ofclose__xl5"/>
      <sheetName val="DON_GIA5"/>
      <sheetName val="CHITIET_VL-NC5"/>
      <sheetName val="TONGKE3p_5"/>
      <sheetName val="TOTAL_P25"/>
      <sheetName val="2_-_Summary5"/>
      <sheetName val="IPOTESI_PIANO_STATICA5"/>
      <sheetName val="make_up5"/>
      <sheetName val="車両仕様_???_x005f_x005f_x005f_x0012_?瞳?5"/>
      <sheetName val="調達担当者(06_2～)5"/>
      <sheetName val="ass'y_12'04-05'055"/>
      <sheetName val="Open_Ran5"/>
      <sheetName val="Open_RAN_25"/>
      <sheetName val="シェル台ｾﾂﾄ流し改_(2)3"/>
      <sheetName val="車両仕様__x005f_x0000__4"/>
      <sheetName val="車両仕様_x005f_x0000__N4"/>
      <sheetName val="車両仕様___x005f_x0012_4"/>
      <sheetName val="車両仕様__x005f_x005f_x4"/>
      <sheetName val="車両仕様___x005f_x005f_4"/>
      <sheetName val="Budget_by_Category4"/>
      <sheetName val="investment_tmc_v8_0_34p4"/>
      <sheetName val="PTD_Activity4"/>
      <sheetName val="Price_Trend4"/>
      <sheetName val="05-065_she4"/>
      <sheetName val="idgr_-_formula4"/>
      <sheetName val="IDGR_(3)4"/>
      <sheetName val="IDGR_(2)4"/>
      <sheetName val="PLIV_(3)4"/>
      <sheetName val="PLIV_(2)4"/>
      <sheetName val="PLIV_(template)4"/>
      <sheetName val="inv_recon4"/>
      <sheetName val="side_member4"/>
      <sheetName val="TTC_(FG)4"/>
      <sheetName val="Sheet1_(3)4"/>
      <sheetName val="truck_allocation4"/>
      <sheetName val="Supplier_Price_Check4"/>
      <sheetName val="$_-_june4"/>
      <sheetName val="Vios_Cost_Reduction_actual_pro4"/>
      <sheetName val="RET_PALLET4"/>
      <sheetName val="Form_A4"/>
      <sheetName val="NG_SUMMARY4"/>
      <sheetName val="impact_pallet_and_racks4"/>
      <sheetName val="Type_I4"/>
      <sheetName val="Schedule_PM4"/>
      <sheetName val="training_forklift4"/>
      <sheetName val="Daily_WSD4"/>
      <sheetName val="YARIS_HB4"/>
      <sheetName val="Sample_1PP_4"/>
      <sheetName val="PRADO_3Dr_fl4"/>
      <sheetName val="01_DATA4"/>
      <sheetName val="車両仕様_____x0013"/>
      <sheetName val="車両仕様_____x0053"/>
      <sheetName val="車両仕様__x3"/>
      <sheetName val="車両仕様___3"/>
      <sheetName val="最新基準単価_3"/>
      <sheetName val="CHIA_KH4"/>
      <sheetName val="Purch__BP4"/>
      <sheetName val="4_5_6_大日程3"/>
      <sheetName val="Stock_in_Trade3"/>
      <sheetName val="BR_(C_Matrix)3"/>
      <sheetName val="車両仕様_??_x000a_????3"/>
      <sheetName val="車両仕様_???_x005f_x005f_x005f_x005f_x005f_x005f_x004"/>
      <sheetName val="車両仕様_x005f_x0000_4?_x005f_x0000__x005f_x0000___x3"/>
      <sheetName val="車両仕様__x005f_x0000__x005f_x0000_?_?瞳?3"/>
      <sheetName val="車両仕様_x005f_x0000__x005f_x0000__x005f_x0000_ꎨ_窉瞳㾐3"/>
      <sheetName val="_型__治__具__投__資___売__買__差____比_3"/>
      <sheetName val="LATEST_ROYALTY3"/>
      <sheetName val="Short_Plan_3"/>
      <sheetName val="6-11'03_-_6-11'043"/>
      <sheetName val="Seat_Assy_Tool_Tracking2"/>
      <sheetName val="Packing_List22"/>
      <sheetName val="Packing_List3"/>
      <sheetName val="IMV_LIST_20032"/>
      <sheetName val="BQ_CONVEYOR2"/>
      <sheetName val="Courier_4x22"/>
      <sheetName val="ＰＲＥ_NO12"/>
      <sheetName val="00_KS2"/>
      <sheetName val="1_概述2"/>
      <sheetName val="Drop-down_Menu_List2"/>
      <sheetName val="Open_Item_List2"/>
      <sheetName val="本修正_DIFF_2"/>
      <sheetName val="Sector_Assignment2"/>
      <sheetName val="Quality_Update4"/>
      <sheetName val="Customer_behaver2"/>
      <sheetName val="Calculation_PS2"/>
      <sheetName val="prior_data2"/>
      <sheetName val="Table_Master2"/>
      <sheetName val="車両仕様_x005f_x0000_4__x005f_x0000__x005f_x0000___x2"/>
      <sheetName val="車両仕様__x005f_x0000__x005f_x0000____瞳_2"/>
      <sheetName val="Toggle_Duplicate_Highlighting2"/>
      <sheetName val="_D22"/>
      <sheetName val="PHỤ_KIỆN_HỦY2"/>
      <sheetName val="Sập_khóa2"/>
      <sheetName val="【参考】_大中トラ2"/>
      <sheetName val="【参考】_小トラ2"/>
      <sheetName val="Part_list2"/>
      <sheetName val="車両仕様__x005f_x005f_x005f_x005F_x005f_x0000__2"/>
      <sheetName val="車両仕様_x005f_x005f_x005f_x005F_x005f_x0000__N2"/>
      <sheetName val="車両仕様___x005f_x005f_x005f_x005F_x005f_x0012_2"/>
      <sheetName val="車両仕様__x005f_x005f_x005f_x005F_x005f_x005f_x2"/>
      <sheetName val="車両仕様___x005f_x005f_x005f_x005F_x005f_x005f_2"/>
      <sheetName val="Inc_Statement2"/>
      <sheetName val="230216_追加2"/>
      <sheetName val="FAC_OVERHEAD2"/>
      <sheetName val="CæÊ__x005f_x0015__Op1"/>
      <sheetName val="ƒƒCƒ“‰æ–Ê__x005f_x0015__Op1"/>
      <sheetName val="メイン画面__x005f_x0015__Op1"/>
      <sheetName val="表紙1_1"/>
      <sheetName val="Sheet1_(2)1"/>
      <sheetName val="Config_-_dspmgr1"/>
      <sheetName val="SHEET__car_no1"/>
      <sheetName val="Spider_web1"/>
      <sheetName val="RR_Diff__Progressive(28-Aug_(37"/>
      <sheetName val="RR_Diff__Progressive(4-Sep-0328"/>
      <sheetName val="CHRONOLOGY_INDEX28"/>
      <sheetName val="COST_REC__DISCREP_28"/>
      <sheetName val="車両仕様_28"/>
      <sheetName val="MARCH-APRIL__0328"/>
      <sheetName val="車両仕様?_New02㾐28"/>
      <sheetName val="F_Lead28"/>
      <sheetName val="車両仕様__New02㾐28"/>
      <sheetName val="D88D_CAL28"/>
      <sheetName val="Distributor_&amp;_Dealer_code28"/>
      <sheetName val="T1_&amp;_T2_Code28"/>
      <sheetName val="All_of_Part_list_rev_4928"/>
      <sheetName val="All_of_Part_list_rev_49_(PNo)28"/>
      <sheetName val="02年9月_まとめ_32βＨ28"/>
      <sheetName val="715L_Unit_Price28"/>
      <sheetName val="MARCH_APRIL__0328"/>
      <sheetName val="ES_UX__27_40_46428"/>
      <sheetName val="Part_No_28"/>
      <sheetName val="RACK_(CB)new28"/>
      <sheetName val="MASTER_FILE28"/>
      <sheetName val="Oct_Truckfest_GMAC_BC28"/>
      <sheetName val="REPUESTOS_LPA28"/>
      <sheetName val="Corolla_Gas28"/>
      <sheetName val="2005_TKM28"/>
      <sheetName val="Comm_CKD28"/>
      <sheetName val="Datos_HHRR28"/>
      <sheetName val="７月発注分_(VLOOK)28"/>
      <sheetName val="DBS040_RPT_RPT28"/>
      <sheetName val="金型申入書ﾃﾞｰﾀ(05_7～)28"/>
      <sheetName val="車両仕様__x005f_x0000__x005f_x0000___x005f_x0012__瞳28"/>
      <sheetName val="車両仕様_x005f_x0000__New02㾐28"/>
      <sheetName val="車両仕様___x005f_x0012__瞳_28"/>
      <sheetName val="車両仕様_____x005f_x0012__瞳_28"/>
      <sheetName val="車両仕様__x005f_x005f_x005f_x0000__x005f_x005f_x00028"/>
      <sheetName val="車両仕様_x005f_x005f_x005f_x0000__New02㾐28"/>
      <sheetName val="車両仕様___x005f_x005f_x005f_x0012__瞳_28"/>
      <sheetName val="車両仕様_____x005f_x005f_x005f_x0012__瞳_28"/>
      <sheetName val="車両仕様__x005f_x005f_x005f_x005f_x005f_x005f_x000028"/>
      <sheetName val="車両仕様_x005f_x005f_x005f_x005f_x005f_x005f_x005f_x0000_28"/>
      <sheetName val="車両仕様___x005f_x005f_x005f_x005f_x005f_x005f_x00137"/>
      <sheetName val="車両仕様_____x005f_x005f_x005f_x005f_x005f_x005f_x057"/>
      <sheetName val="Interior_Trim28"/>
      <sheetName val="Plate_Bumper_(Summary)28"/>
      <sheetName val="FAD_Sum28"/>
      <sheetName val="IM-P-L-JB_28"/>
      <sheetName val="Supp_List28"/>
      <sheetName val="094W原紙_28"/>
      <sheetName val="Regional_Penetration28"/>
      <sheetName val="Risk_&amp;_Opps28"/>
      <sheetName val="dongia_(2)28"/>
      <sheetName val="GMT900_IPC28"/>
      <sheetName val="No12_營業成本表_cost128"/>
      <sheetName val="OTHERS_x62028"/>
      <sheetName val="車両仕様__x005f_x005f_x005f_x005f_x005f_x005f_x005f28"/>
      <sheetName val="車両仕様___x005f_x005f_x005f_x005f_x005f_x005f_x00528"/>
      <sheetName val="車両仕様_____x005f_x005f_x005f_x005f_x005f_x005f_x058"/>
      <sheetName val="車両仕様__x005f_x0000__x005f_x0000_28"/>
      <sheetName val="車両仕様__x005f_x005f_x005f_x0000__28"/>
      <sheetName val="車両仕様_x005f_x005f_x005f_x0000__N28"/>
      <sheetName val="車両仕様___x005f_x005f_x005f_x0012_28"/>
      <sheetName val="車両仕様_____x005f_x005f_x00128"/>
      <sheetName val="車両仕様__x005f_x005f_x005f_x005f_x28"/>
      <sheetName val="車両仕様___x005f_x005f_x005f_x005f_28"/>
      <sheetName val="車両仕様_____x005f_x005f_x00528"/>
      <sheetName val="Main_228"/>
      <sheetName val="Datasheet_from_R__Hinds28"/>
      <sheetName val="Master_Updated(517)28"/>
      <sheetName val="ED_AND_EDOV28"/>
      <sheetName val="RMBSS's_Triggered7"/>
      <sheetName val="車両仕様_嗼1嗼1噌1鲌7"/>
      <sheetName val="車両仕様_勜+勜+匬+鲌7"/>
      <sheetName val="_PART_479W_LHD7"/>
      <sheetName val="_PART_MYY5A7"/>
      <sheetName val="EquipmentTrimming_Cabin_NS7"/>
      <sheetName val="Blue_Flag7"/>
      <sheetName val="Calc_Sheet_Budget7"/>
      <sheetName val="393_N7"/>
      <sheetName val="WIP_Cal_Sheet7"/>
      <sheetName val="Pricing_overview7"/>
      <sheetName val="Lookup_Table7"/>
      <sheetName val="promo_lists_20117"/>
      <sheetName val="車両仕様_____x005f_x005f_x005f_x005f_x0017"/>
      <sheetName val="車両仕様_____x005f_x005f_x005f_x005f_x0057"/>
      <sheetName val="車両仕様?4???_??7"/>
      <sheetName val="車両仕様_???_?瞳?7"/>
      <sheetName val="車両仕様???ꎨ_窉瞳㾐7"/>
      <sheetName val="車両仕様?4??_?7"/>
      <sheetName val="車両仕様4??_?7"/>
      <sheetName val="車両仕様____瞳_7"/>
      <sheetName val="車両仕様______瞳_7"/>
      <sheetName val="車両仕様_4______7"/>
      <sheetName val="車両仕様___ꎨ_窉瞳㾐7"/>
      <sheetName val="車両仕様_4____7"/>
      <sheetName val="車両仕様4____7"/>
      <sheetName val="Reference_7"/>
      <sheetName val="車両仕様__x005f_x0000__x005f_x0000_?_x005f_x0012_?瞳?7"/>
      <sheetName val="車両仕様_???_x005f_x0012_?瞳?7"/>
      <sheetName val="160th_NPCC_Nov'107"/>
      <sheetName val="PRICE_LIST7"/>
      <sheetName val="Annexes_toutes_bases7"/>
      <sheetName val="Internal_Price_List5"/>
      <sheetName val="車両仕様_?_x005f_x0012_?瞳?6"/>
      <sheetName val="Loss_Time7"/>
      <sheetName val="Price_range_IT7"/>
      <sheetName val="Avensis+d_seg__in_&amp;_out_of_UK+7"/>
      <sheetName val="#ofclose__xl7"/>
      <sheetName val="DON_GIA7"/>
      <sheetName val="CHITIET_VL-NC7"/>
      <sheetName val="TONGKE3p_7"/>
      <sheetName val="TOTAL_P27"/>
      <sheetName val="2_-_Summary7"/>
      <sheetName val="IPOTESI_PIANO_STATICA7"/>
      <sheetName val="make_up7"/>
      <sheetName val="車両仕様_???_x005f_x005f_x005f_x0012_?瞳?7"/>
      <sheetName val="調達担当者(06_2～)7"/>
      <sheetName val="ass'y_12'04-05'057"/>
      <sheetName val="Open_Ran7"/>
      <sheetName val="Open_RAN_27"/>
      <sheetName val="シェル台ｾﾂﾄ流し改_(2)5"/>
      <sheetName val="車両仕様__x005f_x0000__6"/>
      <sheetName val="車両仕様_x005f_x0000__N6"/>
      <sheetName val="車両仕様___x005f_x0012_6"/>
      <sheetName val="車両仕様__x005f_x005f_x6"/>
      <sheetName val="車両仕様___x005f_x005f_6"/>
      <sheetName val="Budget_by_Category6"/>
      <sheetName val="investment_tmc_v8_0_34p6"/>
      <sheetName val="PTD_Activity6"/>
      <sheetName val="Price_Trend6"/>
      <sheetName val="05-065_she6"/>
      <sheetName val="idgr_-_formula6"/>
      <sheetName val="IDGR_(3)6"/>
      <sheetName val="IDGR_(2)6"/>
      <sheetName val="PLIV_(3)6"/>
      <sheetName val="PLIV_(2)6"/>
      <sheetName val="PLIV_(template)6"/>
      <sheetName val="inv_recon6"/>
      <sheetName val="side_member6"/>
      <sheetName val="TTC_(FG)6"/>
      <sheetName val="Sheet1_(3)6"/>
      <sheetName val="truck_allocation6"/>
      <sheetName val="Supplier_Price_Check6"/>
      <sheetName val="$_-_june6"/>
      <sheetName val="Vios_Cost_Reduction_actual_pro6"/>
      <sheetName val="RET_PALLET6"/>
      <sheetName val="Form_A6"/>
      <sheetName val="NG_SUMMARY6"/>
      <sheetName val="impact_pallet_and_racks6"/>
      <sheetName val="Type_I6"/>
      <sheetName val="Schedule_PM6"/>
      <sheetName val="training_forklift6"/>
      <sheetName val="Daily_WSD6"/>
      <sheetName val="YARIS_HB6"/>
      <sheetName val="Sample_1PP_6"/>
      <sheetName val="PRADO_3Dr_fl6"/>
      <sheetName val="01_DATA6"/>
      <sheetName val="車両仕様_____x0015"/>
      <sheetName val="車両仕様_____x0055"/>
      <sheetName val="車両仕様__x5"/>
      <sheetName val="車両仕様___5"/>
      <sheetName val="最新基準単価_5"/>
      <sheetName val="CHIA_KH6"/>
      <sheetName val="Purch__BP6"/>
      <sheetName val="4_5_6_大日程5"/>
      <sheetName val="Production_Database_39926"/>
      <sheetName val="Stock_in_Trade5"/>
      <sheetName val="BR_(C_Matrix)5"/>
      <sheetName val="車両仕様_??_x000a_????5"/>
      <sheetName val="車両仕様_???_x005f_x005f_x005f_x005f_x005f_x005f_x006"/>
      <sheetName val="車両仕様_x005f_x0000_4?_x005f_x0000__x005f_x0000___x5"/>
      <sheetName val="車両仕様__x005f_x0000__x005f_x0000_?_?瞳?5"/>
      <sheetName val="車両仕様_x005f_x0000__x005f_x0000__x005f_x0000_ꎨ_窉瞳㾐5"/>
      <sheetName val="_型__治__具__投__資___売__買__差____比_5"/>
      <sheetName val="LATEST_ROYALTY5"/>
      <sheetName val="車両仕様_New02㾐28"/>
      <sheetName val="Short_Plan_5"/>
      <sheetName val="6-11'03_-_6-11'045"/>
      <sheetName val="Seat_Assy_Tool_Tracking4"/>
      <sheetName val="Packing_List24"/>
      <sheetName val="Packing_List5"/>
      <sheetName val="IMV_LIST_20034"/>
      <sheetName val="BQ_CONVEYOR4"/>
      <sheetName val="Courier_4x24"/>
      <sheetName val="ＰＲＥ_NO14"/>
      <sheetName val="00_KS4"/>
      <sheetName val="1_概述4"/>
      <sheetName val="Drop-down_Menu_List4"/>
      <sheetName val="Open_Item_List4"/>
      <sheetName val="本修正_DIFF_4"/>
      <sheetName val="Sector_Assignment4"/>
      <sheetName val="Quality_Update6"/>
      <sheetName val="Customer_behaver4"/>
      <sheetName val="Calculation_PS4"/>
      <sheetName val="prior_data4"/>
      <sheetName val="Table_Master4"/>
      <sheetName val="車両仕様_x005f_x0000_4__x005f_x0000__x005f_x0000___x4"/>
      <sheetName val="車両仕様__x005f_x0000__x005f_x0000____瞳_4"/>
      <sheetName val="Toggle_Duplicate_Highlighting4"/>
      <sheetName val="_D24"/>
      <sheetName val="PHỤ_KIỆN_HỦY4"/>
      <sheetName val="Sập_khóa4"/>
      <sheetName val="【参考】_大中トラ4"/>
      <sheetName val="【参考】_小トラ4"/>
      <sheetName val="Part_list4"/>
      <sheetName val="車両仕様__x005f_x005f_x005f_x005F_x005f_x0000__4"/>
      <sheetName val="車両仕様_x005f_x005f_x005f_x005F_x005f_x0000__N4"/>
      <sheetName val="車両仕様___x005f_x005f_x005f_x005F_x005f_x0012_4"/>
      <sheetName val="車両仕様__x005f_x005f_x005f_x005F_x005f_x005f_x4"/>
      <sheetName val="車両仕様___x005f_x005f_x005f_x005F_x005f_x005f_4"/>
      <sheetName val="Inc_Statement4"/>
      <sheetName val="230216_追加4"/>
      <sheetName val="FAC_OVERHEAD4"/>
      <sheetName val="CæÊ__x005f_x0015__Op3"/>
      <sheetName val="ƒƒCƒ“‰æ–Ê__x005f_x0015__Op3"/>
      <sheetName val="メイン画面__x005f_x0015__Op3"/>
      <sheetName val="表紙1_3"/>
      <sheetName val="Sheet1_(2)3"/>
      <sheetName val="Config_-_dspmgr3"/>
      <sheetName val="SHEET__car_no3"/>
      <sheetName val="Spider_web3"/>
      <sheetName val="RMBSS's_Triggered6"/>
      <sheetName val="車両仕様_嗼1嗼1噌1鲌6"/>
      <sheetName val="車両仕様_勜+勜+匬+鲌6"/>
      <sheetName val="_PART_479W_LHD6"/>
      <sheetName val="_PART_MYY5A6"/>
      <sheetName val="EquipmentTrimming_Cabin_NS6"/>
      <sheetName val="Blue_Flag6"/>
      <sheetName val="Calc_Sheet_Budget6"/>
      <sheetName val="393_N6"/>
      <sheetName val="WIP_Cal_Sheet6"/>
      <sheetName val="Pricing_overview6"/>
      <sheetName val="Lookup_Table6"/>
      <sheetName val="promo_lists_20116"/>
      <sheetName val="車両仕様_____x005f_x005f_x005f_x005f_x0016"/>
      <sheetName val="車両仕様_____x005f_x005f_x005f_x005f_x0056"/>
      <sheetName val="車両仕様?4???_??6"/>
      <sheetName val="車両仕様_???_?瞳?6"/>
      <sheetName val="車両仕様???ꎨ_窉瞳㾐6"/>
      <sheetName val="車両仕様?4??_?6"/>
      <sheetName val="車両仕様4??_?6"/>
      <sheetName val="車両仕様____瞳_6"/>
      <sheetName val="車両仕様______瞳_6"/>
      <sheetName val="車両仕様_4______6"/>
      <sheetName val="車両仕様___ꎨ_窉瞳㾐6"/>
      <sheetName val="車両仕様_4____6"/>
      <sheetName val="車両仕様4____6"/>
      <sheetName val="Reference_6"/>
      <sheetName val="車両仕様__x005f_x0000__x005f_x0000_?_x005f_x0012_?瞳?6"/>
      <sheetName val="車両仕様_???_x005f_x0012_?瞳?6"/>
      <sheetName val="160th_NPCC_Nov'106"/>
      <sheetName val="PRICE_LIST6"/>
      <sheetName val="Annexes_toutes_bases6"/>
      <sheetName val="Internal_Price_List4"/>
      <sheetName val="車両仕様_?_x005f_x0012_?瞳?5"/>
      <sheetName val="Loss_Time6"/>
      <sheetName val="Price_range_IT6"/>
      <sheetName val="Avensis+d_seg__in_&amp;_out_of_UK+6"/>
      <sheetName val="#ofclose__xl6"/>
      <sheetName val="DON_GIA6"/>
      <sheetName val="CHITIET_VL-NC6"/>
      <sheetName val="TONGKE3p_6"/>
      <sheetName val="TOTAL_P26"/>
      <sheetName val="2_-_Summary6"/>
      <sheetName val="IPOTESI_PIANO_STATICA6"/>
      <sheetName val="make_up6"/>
      <sheetName val="車両仕様_???_x005f_x005f_x005f_x0012_?瞳?6"/>
      <sheetName val="調達担当者(06_2～)6"/>
      <sheetName val="ass'y_12'04-05'056"/>
      <sheetName val="Open_Ran6"/>
      <sheetName val="Open_RAN_26"/>
      <sheetName val="シェル台ｾﾂﾄ流し改_(2)4"/>
      <sheetName val="車両仕様__x005f_x0000__5"/>
      <sheetName val="車両仕様_x005f_x0000__N5"/>
      <sheetName val="車両仕様___x005f_x0012_5"/>
      <sheetName val="車両仕様__x005f_x005f_x5"/>
      <sheetName val="車両仕様___x005f_x005f_5"/>
      <sheetName val="Budget_by_Category5"/>
      <sheetName val="investment_tmc_v8_0_34p5"/>
      <sheetName val="PTD_Activity5"/>
      <sheetName val="Price_Trend5"/>
      <sheetName val="05-065_she5"/>
      <sheetName val="idgr_-_formula5"/>
      <sheetName val="IDGR_(3)5"/>
      <sheetName val="IDGR_(2)5"/>
      <sheetName val="PLIV_(3)5"/>
      <sheetName val="PLIV_(2)5"/>
      <sheetName val="PLIV_(template)5"/>
      <sheetName val="inv_recon5"/>
      <sheetName val="side_member5"/>
      <sheetName val="TTC_(FG)5"/>
      <sheetName val="Sheet1_(3)5"/>
      <sheetName val="truck_allocation5"/>
      <sheetName val="Supplier_Price_Check5"/>
      <sheetName val="$_-_june5"/>
      <sheetName val="Vios_Cost_Reduction_actual_pro5"/>
      <sheetName val="RET_PALLET5"/>
      <sheetName val="Form_A5"/>
      <sheetName val="NG_SUMMARY5"/>
      <sheetName val="impact_pallet_and_racks5"/>
      <sheetName val="Type_I5"/>
      <sheetName val="Schedule_PM5"/>
      <sheetName val="training_forklift5"/>
      <sheetName val="Daily_WSD5"/>
      <sheetName val="YARIS_HB5"/>
      <sheetName val="Sample_1PP_5"/>
      <sheetName val="PRADO_3Dr_fl5"/>
      <sheetName val="01_DATA5"/>
      <sheetName val="車両仕様_____x0014"/>
      <sheetName val="車両仕様_____x0054"/>
      <sheetName val="車両仕様__x4"/>
      <sheetName val="車両仕様___4"/>
      <sheetName val="最新基準単価_4"/>
      <sheetName val="CHIA_KH5"/>
      <sheetName val="Purch__BP5"/>
      <sheetName val="4_5_6_大日程4"/>
      <sheetName val="Stock_in_Trade4"/>
      <sheetName val="BR_(C_Matrix)4"/>
      <sheetName val="車両仕様_??_x000a_????4"/>
      <sheetName val="車両仕様_???_x005f_x005f_x005f_x005f_x005f_x005f_x005"/>
      <sheetName val="車両仕様_x005f_x0000_4?_x005f_x0000__x005f_x0000___x4"/>
      <sheetName val="車両仕様__x005f_x0000__x005f_x0000_?_?瞳?4"/>
      <sheetName val="車両仕様_x005f_x0000__x005f_x0000__x005f_x0000_ꎨ_窉瞳㾐4"/>
      <sheetName val="_型__治__具__投__資___売__買__差____比_4"/>
      <sheetName val="LATEST_ROYALTY4"/>
      <sheetName val="Short_Plan_4"/>
      <sheetName val="6-11'03_-_6-11'044"/>
      <sheetName val="Seat_Assy_Tool_Tracking3"/>
      <sheetName val="Packing_List23"/>
      <sheetName val="Packing_List4"/>
      <sheetName val="IMV_LIST_20033"/>
      <sheetName val="BQ_CONVEYOR3"/>
      <sheetName val="Courier_4x23"/>
      <sheetName val="ＰＲＥ_NO13"/>
      <sheetName val="00_KS3"/>
      <sheetName val="1_概述3"/>
      <sheetName val="Drop-down_Menu_List3"/>
      <sheetName val="Open_Item_List3"/>
      <sheetName val="本修正_DIFF_3"/>
      <sheetName val="Sector_Assignment3"/>
      <sheetName val="Quality_Update5"/>
      <sheetName val="Customer_behaver3"/>
      <sheetName val="Calculation_PS3"/>
      <sheetName val="prior_data3"/>
      <sheetName val="Table_Master3"/>
      <sheetName val="車両仕様_x005f_x0000_4__x005f_x0000__x005f_x0000___x3"/>
      <sheetName val="車両仕様__x005f_x0000__x005f_x0000____瞳_3"/>
      <sheetName val="Toggle_Duplicate_Highlighting3"/>
      <sheetName val="_D23"/>
      <sheetName val="PHỤ_KIỆN_HỦY3"/>
      <sheetName val="Sập_khóa3"/>
      <sheetName val="【参考】_大中トラ3"/>
      <sheetName val="【参考】_小トラ3"/>
      <sheetName val="Part_list3"/>
      <sheetName val="車両仕様__x005f_x005f_x005f_x005F_x005f_x0000__3"/>
      <sheetName val="車両仕様_x005f_x005f_x005f_x005F_x005f_x0000__N3"/>
      <sheetName val="車両仕様___x005f_x005f_x005f_x005F_x005f_x0012_3"/>
      <sheetName val="車両仕様__x005f_x005f_x005f_x005F_x005f_x005f_x3"/>
      <sheetName val="車両仕様___x005f_x005f_x005f_x005F_x005f_x005f_3"/>
      <sheetName val="Inc_Statement3"/>
      <sheetName val="230216_追加3"/>
      <sheetName val="FAC_OVERHEAD3"/>
      <sheetName val="CæÊ__x005f_x0015__Op2"/>
      <sheetName val="ƒƒCƒ“‰æ–Ê__x005f_x0015__Op2"/>
      <sheetName val="メイン画面__x005f_x0015__Op2"/>
      <sheetName val="表紙1_2"/>
      <sheetName val="Sheet1_(2)2"/>
      <sheetName val="Config_-_dspmgr2"/>
      <sheetName val="SHEET__car_no2"/>
      <sheetName val="Spider_web2"/>
      <sheetName val="RR_Diff__Progressive(28-Aug_(38"/>
      <sheetName val="RR_Diff__Progressive(4-Sep-0329"/>
      <sheetName val="CHRONOLOGY_INDEX29"/>
      <sheetName val="COST_REC__DISCREP_29"/>
      <sheetName val="車両仕様_29"/>
      <sheetName val="MARCH-APRIL__0329"/>
      <sheetName val="車両仕様?_New02㾐29"/>
      <sheetName val="F_Lead29"/>
      <sheetName val="車両仕様__New02㾐29"/>
      <sheetName val="D88D_CAL29"/>
      <sheetName val="Distributor_&amp;_Dealer_code29"/>
      <sheetName val="T1_&amp;_T2_Code29"/>
      <sheetName val="All_of_Part_list_rev_4929"/>
      <sheetName val="All_of_Part_list_rev_49_(PNo)29"/>
      <sheetName val="02年9月_まとめ_32βＨ29"/>
      <sheetName val="715L_Unit_Price29"/>
      <sheetName val="MARCH_APRIL__0329"/>
      <sheetName val="ES_UX__27_40_46429"/>
      <sheetName val="Oct_Truckfest_GMAC_BC29"/>
      <sheetName val="Corolla_Gas29"/>
      <sheetName val="REPUESTOS_LPA29"/>
      <sheetName val="Part_No_29"/>
      <sheetName val="RACK_(CB)new29"/>
      <sheetName val="MASTER_FILE29"/>
      <sheetName val="2005_TKM29"/>
      <sheetName val="Comm_CKD29"/>
      <sheetName val="Datos_HHRR29"/>
      <sheetName val="７月発注分_(VLOOK)29"/>
      <sheetName val="DBS040_RPT_RPT29"/>
      <sheetName val="金型申入書ﾃﾞｰﾀ(05_7～)29"/>
      <sheetName val="Interior_Trim29"/>
      <sheetName val="Plate_Bumper_(Summary)29"/>
      <sheetName val="FAD_Sum29"/>
      <sheetName val="車両仕様__x005f_x0000__x005f_x0000___x005f_x0012__瞳29"/>
      <sheetName val="車両仕様_x005f_x0000__New02㾐29"/>
      <sheetName val="車両仕様___x005f_x0012__瞳_29"/>
      <sheetName val="車両仕様_____x005f_x0012__瞳_29"/>
      <sheetName val="車両仕様__x005f_x005f_x005f_x0000__x005f_x005f_x00029"/>
      <sheetName val="車両仕様_x005f_x005f_x005f_x0000__New02㾐29"/>
      <sheetName val="車両仕様___x005f_x005f_x005f_x0012__瞳_29"/>
      <sheetName val="車両仕様_____x005f_x005f_x005f_x0012__瞳_29"/>
      <sheetName val="車両仕様__x005f_x005f_x005f_x005f_x005f_x005f_x000029"/>
      <sheetName val="車両仕様_x005f_x005f_x005f_x005f_x005f_x005f_x005f_x0000_29"/>
      <sheetName val="車両仕様___x005f_x005f_x005f_x005f_x005f_x005f_x00138"/>
      <sheetName val="車両仕様_____x005f_x005f_x005f_x005f_x005f_x005f_x059"/>
      <sheetName val="IM-P-L-JB_29"/>
      <sheetName val="094W原紙_29"/>
      <sheetName val="Regional_Penetration29"/>
      <sheetName val="dongia_(2)29"/>
      <sheetName val="GMT900_IPC29"/>
      <sheetName val="Main_229"/>
      <sheetName val="Datasheet_from_R__Hinds29"/>
      <sheetName val="Master_Updated(517)29"/>
      <sheetName val="OTHERS_x62029"/>
      <sheetName val="No12_營業成本表_cost129"/>
      <sheetName val="Supp_List29"/>
      <sheetName val="Risk_&amp;_Opps29"/>
      <sheetName val="車両仕様__x005f_x005f_x005f_x005f_x005f_x005f_x005f29"/>
      <sheetName val="車両仕様___x005f_x005f_x005f_x005f_x005f_x005f_x00529"/>
      <sheetName val="車両仕様_____x005f_x005f_x005f_x005f_x005f_x005f_x060"/>
      <sheetName val="車両仕様__x005f_x0000__x005f_x0000_29"/>
      <sheetName val="車両仕様__x005f_x005f_x005f_x0000__29"/>
      <sheetName val="車両仕様_x005f_x005f_x005f_x0000__N29"/>
      <sheetName val="車両仕様___x005f_x005f_x005f_x0012_29"/>
      <sheetName val="車両仕様_____x005f_x005f_x00129"/>
      <sheetName val="車両仕様__x005f_x005f_x005f_x005f_x29"/>
      <sheetName val="車両仕様___x005f_x005f_x005f_x005f_29"/>
      <sheetName val="車両仕様_____x005f_x005f_x00529"/>
      <sheetName val="ED_AND_EDOV29"/>
      <sheetName val="WIP_Cal_Sheet8"/>
      <sheetName val="Pricing_overview8"/>
      <sheetName val="車両仕様?4???_??8"/>
      <sheetName val="車両仕様_???_?瞳?8"/>
      <sheetName val="車両仕様???ꎨ_窉瞳㾐8"/>
      <sheetName val="車両仕様?4??_?8"/>
      <sheetName val="車両仕様4??_?8"/>
      <sheetName val="車両仕様____瞳_8"/>
      <sheetName val="車両仕様______瞳_8"/>
      <sheetName val="車両仕様_4______8"/>
      <sheetName val="車両仕様___ꎨ_窉瞳㾐8"/>
      <sheetName val="車両仕様_4____8"/>
      <sheetName val="車両仕様4____8"/>
      <sheetName val="車両仕様_嗼1嗼1噌1鲌8"/>
      <sheetName val="車両仕様_勜+勜+匬+鲌8"/>
      <sheetName val="_PART_479W_LHD8"/>
      <sheetName val="_PART_MYY5A8"/>
      <sheetName val="RMBSS's_Triggered8"/>
      <sheetName val="EquipmentTrimming_Cabin_NS8"/>
      <sheetName val="Blue_Flag8"/>
      <sheetName val="Calc_Sheet_Budget8"/>
      <sheetName val="393_N8"/>
      <sheetName val="Lookup_Table8"/>
      <sheetName val="promo_lists_20118"/>
      <sheetName val="車両仕様_____x005f_x005f_x005f_x005f_x0018"/>
      <sheetName val="車両仕様_____x005f_x005f_x005f_x005f_x0058"/>
      <sheetName val="Reference_8"/>
      <sheetName val="車両仕様__x005f_x0000__x005f_x0000_?_x005f_x0012_?瞳?8"/>
      <sheetName val="車両仕様_???_x005f_x0012_?瞳?8"/>
      <sheetName val="160th_NPCC_Nov'108"/>
      <sheetName val="PRICE_LIST8"/>
      <sheetName val="Loss_Time8"/>
      <sheetName val="Price_range_IT8"/>
      <sheetName val="Avensis+d_seg__in_&amp;_out_of_UK+8"/>
      <sheetName val="#ofclose__xl8"/>
      <sheetName val="Annexes_toutes_bases8"/>
      <sheetName val="車両仕様_?_x005f_x0012_?瞳?7"/>
      <sheetName val="Internal_Price_List6"/>
      <sheetName val="DON_GIA8"/>
      <sheetName val="CHITIET_VL-NC8"/>
      <sheetName val="TONGKE3p_8"/>
      <sheetName val="TOTAL_P28"/>
      <sheetName val="2_-_Summary8"/>
      <sheetName val="IPOTESI_PIANO_STATICA8"/>
      <sheetName val="make_up8"/>
      <sheetName val="車両仕様_???_x005f_x005f_x005f_x0012_?瞳?8"/>
      <sheetName val="ass'y_12'04-05'058"/>
      <sheetName val="調達担当者(06_2～)8"/>
      <sheetName val="Open_Ran8"/>
      <sheetName val="Open_RAN_28"/>
      <sheetName val="シェル台ｾﾂﾄ流し改_(2)6"/>
      <sheetName val="車両仕様_New02㾐29"/>
      <sheetName val="車両仕様__x005f_x0000__7"/>
      <sheetName val="車両仕様_x005f_x0000__N7"/>
      <sheetName val="車両仕様___x005f_x0012_7"/>
      <sheetName val="車両仕様__x005f_x005f_x7"/>
      <sheetName val="車両仕様___x005f_x005f_7"/>
      <sheetName val="Budget_by_Category7"/>
      <sheetName val="investment_tmc_v8_0_34p7"/>
      <sheetName val="PTD_Activity7"/>
      <sheetName val="Price_Trend7"/>
      <sheetName val="05-065_she7"/>
      <sheetName val="idgr_-_formula7"/>
      <sheetName val="IDGR_(3)7"/>
      <sheetName val="IDGR_(2)7"/>
      <sheetName val="PLIV_(3)7"/>
      <sheetName val="PLIV_(2)7"/>
      <sheetName val="PLIV_(template)7"/>
      <sheetName val="inv_recon7"/>
      <sheetName val="side_member7"/>
      <sheetName val="TTC_(FG)7"/>
      <sheetName val="Sheet1_(3)7"/>
      <sheetName val="truck_allocation7"/>
      <sheetName val="Supplier_Price_Check7"/>
      <sheetName val="$_-_june7"/>
      <sheetName val="Vios_Cost_Reduction_actual_pro7"/>
      <sheetName val="RET_PALLET7"/>
      <sheetName val="Form_A7"/>
      <sheetName val="NG_SUMMARY7"/>
      <sheetName val="impact_pallet_and_racks7"/>
      <sheetName val="Type_I7"/>
      <sheetName val="Schedule_PM7"/>
      <sheetName val="training_forklift7"/>
      <sheetName val="Daily_WSD7"/>
      <sheetName val="YARIS_HB7"/>
      <sheetName val="Sample_1PP_7"/>
      <sheetName val="PRADO_3Dr_fl7"/>
      <sheetName val="01_DATA7"/>
      <sheetName val="車両仕様_____x0016"/>
      <sheetName val="車両仕様_____x0056"/>
      <sheetName val="車両仕様__x6"/>
      <sheetName val="車両仕様___6"/>
      <sheetName val="最新基準単価_6"/>
      <sheetName val="CHIA_KH7"/>
      <sheetName val="Purch__BP7"/>
      <sheetName val="4_5_6_大日程6"/>
      <sheetName val="Production_Database_39927"/>
      <sheetName val="Stock_in_Trade6"/>
      <sheetName val="BR_(C_Matrix)6"/>
      <sheetName val="車両仕様_??_x000a_????6"/>
      <sheetName val="車両仕様_???_x005f_x005f_x005f_x005f_x005f_x005f_x007"/>
      <sheetName val="車両仕様_x005f_x0000_4?_x005f_x0000__x005f_x0000___x6"/>
      <sheetName val="車両仕様__x005f_x0000__x005f_x0000_?_?瞳?6"/>
      <sheetName val="車両仕様_x005f_x0000__x005f_x0000__x005f_x0000_ꎨ_窉瞳㾐6"/>
      <sheetName val="_型__治__具__投__資___売__買__差____比_6"/>
      <sheetName val="LATEST_ROYALTY6"/>
      <sheetName val="Short_Plan_6"/>
      <sheetName val="6-11'03_-_6-11'046"/>
      <sheetName val="Seat_Assy_Tool_Tracking5"/>
      <sheetName val="Packing_List25"/>
      <sheetName val="Packing_List6"/>
      <sheetName val="IMV_LIST_20035"/>
      <sheetName val="BQ_CONVEYOR5"/>
      <sheetName val="Courier_4x25"/>
      <sheetName val="ＰＲＥ_NO15"/>
      <sheetName val="00_KS5"/>
      <sheetName val="1_概述5"/>
      <sheetName val="Drop-down_Menu_List5"/>
      <sheetName val="Open_Item_List5"/>
      <sheetName val="本修正_DIFF_5"/>
      <sheetName val="Sector_Assignment5"/>
      <sheetName val="Quality_Update7"/>
      <sheetName val="Customer_behaver5"/>
      <sheetName val="Calculation_PS5"/>
      <sheetName val="prior_data5"/>
      <sheetName val="Table_Master5"/>
      <sheetName val="車両仕様_x005f_x0000_4__x005f_x0000__x005f_x0000___x5"/>
      <sheetName val="車両仕様__x005f_x0000__x005f_x0000____瞳_5"/>
      <sheetName val="Toggle_Duplicate_Highlighting5"/>
      <sheetName val="_D25"/>
      <sheetName val="PHỤ_KIỆN_HỦY5"/>
      <sheetName val="Sập_khóa5"/>
      <sheetName val="【参考】_大中トラ5"/>
      <sheetName val="【参考】_小トラ5"/>
      <sheetName val="Part_list5"/>
      <sheetName val="車両仕様__x005f_x005f_x005f_x005F_x005f_x0000__5"/>
      <sheetName val="車両仕様_x005f_x005f_x005f_x005F_x005f_x0000__N5"/>
      <sheetName val="車両仕様___x005f_x005f_x005f_x005F_x005f_x0012_5"/>
      <sheetName val="車両仕様__x005f_x005f_x005f_x005F_x005f_x005f_x5"/>
      <sheetName val="車両仕様___x005f_x005f_x005f_x005F_x005f_x005f_5"/>
      <sheetName val="Inc_Statement5"/>
      <sheetName val="230216_追加5"/>
      <sheetName val="FAC_OVERHEAD5"/>
      <sheetName val="CæÊ__x005f_x0015__Op4"/>
      <sheetName val="ƒƒCƒ“‰æ–Ê__x005f_x0015__Op4"/>
      <sheetName val="メイン画面__x005f_x0015__Op4"/>
      <sheetName val="表紙1_4"/>
      <sheetName val="Sheet1_(2)4"/>
      <sheetName val="Config_-_dspmgr4"/>
      <sheetName val="SHEET__car_no4"/>
      <sheetName val="Spider_web4"/>
      <sheetName val="RR_Diff__Progressive(28-Aug_(39"/>
      <sheetName val="RR_Diff__Progressive(4-Sep-0330"/>
      <sheetName val="CHRONOLOGY_INDEX30"/>
      <sheetName val="COST_REC__DISCREP_30"/>
      <sheetName val="車両仕様_30"/>
      <sheetName val="MARCH-APRIL__0330"/>
      <sheetName val="車両仕様?_New02㾐30"/>
      <sheetName val="F_Lead30"/>
      <sheetName val="車両仕様__New02㾐30"/>
      <sheetName val="D88D_CAL30"/>
      <sheetName val="Distributor_&amp;_Dealer_code30"/>
      <sheetName val="T1_&amp;_T2_Code30"/>
      <sheetName val="All_of_Part_list_rev_4930"/>
      <sheetName val="All_of_Part_list_rev_49_(PNo)30"/>
      <sheetName val="02年9月_まとめ_32βＨ30"/>
      <sheetName val="715L_Unit_Price30"/>
      <sheetName val="MARCH_APRIL__0330"/>
      <sheetName val="ES_UX__27_40_46430"/>
      <sheetName val="Part_No_30"/>
      <sheetName val="RACK_(CB)new30"/>
      <sheetName val="MASTER_FILE30"/>
      <sheetName val="Oct_Truckfest_GMAC_BC30"/>
      <sheetName val="REPUESTOS_LPA30"/>
      <sheetName val="Corolla_Gas30"/>
      <sheetName val="2005_TKM30"/>
      <sheetName val="Comm_CKD30"/>
      <sheetName val="Datos_HHRR30"/>
      <sheetName val="７月発注分_(VLOOK)30"/>
      <sheetName val="DBS040_RPT_RPT30"/>
      <sheetName val="金型申入書ﾃﾞｰﾀ(05_7～)30"/>
      <sheetName val="車両仕様__x005f_x0000__x005f_x0000___x005f_x0012__瞳30"/>
      <sheetName val="車両仕様_x005f_x0000__New02㾐30"/>
      <sheetName val="車両仕様___x005f_x0012__瞳_30"/>
      <sheetName val="車両仕様_____x005f_x0012__瞳_30"/>
      <sheetName val="車両仕様__x005f_x005f_x005f_x0000__x005f_x005f_x00030"/>
      <sheetName val="車両仕様_x005f_x005f_x005f_x0000__New02㾐30"/>
      <sheetName val="車両仕様___x005f_x005f_x005f_x0012__瞳_30"/>
      <sheetName val="車両仕様_____x005f_x005f_x005f_x0012__瞳_30"/>
      <sheetName val="車両仕様__x005f_x005f_x005f_x005f_x005f_x005f_x000030"/>
      <sheetName val="車両仕様_x005f_x005f_x005f_x005f_x005f_x005f_x005f_x0000_30"/>
      <sheetName val="車両仕様___x005f_x005f_x005f_x005f_x005f_x005f_x00139"/>
      <sheetName val="車両仕様_____x005f_x005f_x005f_x005f_x005f_x005f_x061"/>
      <sheetName val="Interior_Trim30"/>
      <sheetName val="Plate_Bumper_(Summary)30"/>
      <sheetName val="FAD_Sum30"/>
      <sheetName val="IM-P-L-JB_30"/>
      <sheetName val="Supp_List30"/>
      <sheetName val="094W原紙_30"/>
      <sheetName val="Regional_Penetration30"/>
      <sheetName val="Risk_&amp;_Opps30"/>
      <sheetName val="dongia_(2)30"/>
      <sheetName val="GMT900_IPC30"/>
      <sheetName val="No12_營業成本表_cost130"/>
      <sheetName val="OTHERS_x62030"/>
      <sheetName val="車両仕様__x005f_x005f_x005f_x005f_x005f_x005f_x005f30"/>
      <sheetName val="車両仕様___x005f_x005f_x005f_x005f_x005f_x005f_x00530"/>
      <sheetName val="車両仕様_____x005f_x005f_x005f_x005f_x005f_x005f_x062"/>
      <sheetName val="車両仕様__x005f_x0000__x005f_x0000_30"/>
      <sheetName val="車両仕様__x005f_x005f_x005f_x0000__30"/>
      <sheetName val="車両仕様_x005f_x005f_x005f_x0000__N30"/>
      <sheetName val="車両仕様___x005f_x005f_x005f_x0012_30"/>
      <sheetName val="車両仕様_____x005f_x005f_x00130"/>
      <sheetName val="車両仕様__x005f_x005f_x005f_x005f_x30"/>
      <sheetName val="車両仕様___x005f_x005f_x005f_x005f_30"/>
      <sheetName val="車両仕様_____x005f_x005f_x00530"/>
      <sheetName val="Main_230"/>
      <sheetName val="Datasheet_from_R__Hinds30"/>
      <sheetName val="Master_Updated(517)30"/>
      <sheetName val="ED_AND_EDOV30"/>
      <sheetName val="RMBSS's_Triggered9"/>
      <sheetName val="車両仕様_嗼1嗼1噌1鲌9"/>
      <sheetName val="車両仕様_勜+勜+匬+鲌9"/>
      <sheetName val="_PART_479W_LHD9"/>
      <sheetName val="_PART_MYY5A9"/>
      <sheetName val="EquipmentTrimming_Cabin_NS9"/>
      <sheetName val="Blue_Flag9"/>
      <sheetName val="Calc_Sheet_Budget9"/>
      <sheetName val="393_N9"/>
      <sheetName val="WIP_Cal_Sheet9"/>
      <sheetName val="Pricing_overview9"/>
      <sheetName val="Lookup_Table9"/>
      <sheetName val="promo_lists_20119"/>
      <sheetName val="車両仕様_____x005f_x005f_x005f_x005f_x0019"/>
      <sheetName val="車両仕様_____x005f_x005f_x005f_x005f_x0059"/>
      <sheetName val="車両仕様?4???_??9"/>
      <sheetName val="車両仕様_???_?瞳?9"/>
      <sheetName val="車両仕様???ꎨ_窉瞳㾐9"/>
      <sheetName val="車両仕様?4??_?9"/>
      <sheetName val="車両仕様4??_?9"/>
      <sheetName val="車両仕様____瞳_9"/>
      <sheetName val="車両仕様______瞳_9"/>
      <sheetName val="車両仕様_4______9"/>
      <sheetName val="車両仕様___ꎨ_窉瞳㾐9"/>
      <sheetName val="車両仕様_4____9"/>
      <sheetName val="車両仕様4____9"/>
      <sheetName val="Reference_9"/>
      <sheetName val="車両仕様__x005f_x0000__x005f_x0000_?_x005f_x0012_?瞳?9"/>
      <sheetName val="車両仕様_???_x005f_x0012_?瞳?9"/>
      <sheetName val="160th_NPCC_Nov'109"/>
      <sheetName val="PRICE_LIST9"/>
      <sheetName val="Annexes_toutes_bases9"/>
      <sheetName val="Internal_Price_List7"/>
      <sheetName val="車両仕様_?_x005f_x0012_?瞳?8"/>
      <sheetName val="Loss_Time9"/>
      <sheetName val="Price_range_IT9"/>
      <sheetName val="Avensis+d_seg__in_&amp;_out_of_UK+9"/>
      <sheetName val="#ofclose__xl9"/>
      <sheetName val="DON_GIA9"/>
      <sheetName val="CHITIET_VL-NC9"/>
      <sheetName val="TONGKE3p_9"/>
      <sheetName val="TOTAL_P29"/>
      <sheetName val="2_-_Summary9"/>
      <sheetName val="IPOTESI_PIANO_STATICA9"/>
      <sheetName val="make_up9"/>
      <sheetName val="車両仕様_???_x005f_x005f_x005f_x0012_?瞳?9"/>
      <sheetName val="調達担当者(06_2～)9"/>
      <sheetName val="ass'y_12'04-05'059"/>
      <sheetName val="Open_Ran9"/>
      <sheetName val="Open_RAN_29"/>
      <sheetName val="シェル台ｾﾂﾄ流し改_(2)7"/>
      <sheetName val="車両仕様__x005f_x0000__8"/>
      <sheetName val="車両仕様_x005f_x0000__N8"/>
      <sheetName val="車両仕様___x005f_x0012_8"/>
      <sheetName val="車両仕様__x005f_x005f_x8"/>
      <sheetName val="車両仕様___x005f_x005f_8"/>
      <sheetName val="Budget_by_Category8"/>
      <sheetName val="investment_tmc_v8_0_34p8"/>
      <sheetName val="PTD_Activity8"/>
      <sheetName val="Price_Trend8"/>
      <sheetName val="05-065_she8"/>
      <sheetName val="idgr_-_formula8"/>
      <sheetName val="IDGR_(3)8"/>
      <sheetName val="IDGR_(2)8"/>
      <sheetName val="PLIV_(3)8"/>
      <sheetName val="PLIV_(2)8"/>
      <sheetName val="PLIV_(template)8"/>
      <sheetName val="inv_recon8"/>
      <sheetName val="side_member8"/>
      <sheetName val="TTC_(FG)8"/>
      <sheetName val="Sheet1_(3)8"/>
      <sheetName val="truck_allocation8"/>
      <sheetName val="Supplier_Price_Check8"/>
      <sheetName val="$_-_june8"/>
      <sheetName val="Vios_Cost_Reduction_actual_pro8"/>
      <sheetName val="RET_PALLET8"/>
      <sheetName val="Form_A8"/>
      <sheetName val="NG_SUMMARY8"/>
      <sheetName val="impact_pallet_and_racks8"/>
      <sheetName val="Type_I8"/>
      <sheetName val="Schedule_PM8"/>
      <sheetName val="training_forklift8"/>
      <sheetName val="Daily_WSD8"/>
      <sheetName val="YARIS_HB8"/>
      <sheetName val="Sample_1PP_8"/>
      <sheetName val="PRADO_3Dr_fl8"/>
      <sheetName val="01_DATA8"/>
      <sheetName val="車両仕様_____x0017"/>
      <sheetName val="車両仕様_____x0057"/>
      <sheetName val="車両仕様__x7"/>
      <sheetName val="車両仕様___7"/>
      <sheetName val="最新基準単価_7"/>
      <sheetName val="CHIA_KH8"/>
      <sheetName val="Purch__BP8"/>
      <sheetName val="4_5_6_大日程7"/>
      <sheetName val="Production_Database_39928"/>
      <sheetName val="Stock_in_Trade7"/>
      <sheetName val="BR_(C_Matrix)7"/>
      <sheetName val="車両仕様_??_x000a_????7"/>
      <sheetName val="車両仕様_???_x005f_x005f_x005f_x005f_x005f_x005f_x008"/>
      <sheetName val="車両仕様_x005f_x0000_4?_x005f_x0000__x005f_x0000___x7"/>
      <sheetName val="車両仕様__x005f_x0000__x005f_x0000_?_?瞳?7"/>
      <sheetName val="車両仕様_x005f_x0000__x005f_x0000__x005f_x0000_ꎨ_窉瞳㾐7"/>
      <sheetName val="_型__治__具__投__資___売__買__差____比_7"/>
      <sheetName val="LATEST_ROYALTY7"/>
      <sheetName val="車両仕様_New02㾐30"/>
      <sheetName val="Short_Plan_7"/>
      <sheetName val="6-11'03_-_6-11'047"/>
      <sheetName val="RR_Diff__Progressive(28-Aug_(40"/>
      <sheetName val="RR_Diff__Progressive(4-Sep-0331"/>
      <sheetName val="CHRONOLOGY_INDEX31"/>
      <sheetName val="COST_REC__DISCREP_31"/>
      <sheetName val="車両仕様_31"/>
      <sheetName val="MARCH-APRIL__0331"/>
      <sheetName val="車両仕様?_New02㾐31"/>
      <sheetName val="F_Lead31"/>
      <sheetName val="車両仕様__New02㾐31"/>
      <sheetName val="D88D_CAL31"/>
      <sheetName val="Distributor_&amp;_Dealer_code31"/>
      <sheetName val="T1_&amp;_T2_Code31"/>
      <sheetName val="All_of_Part_list_rev_4931"/>
      <sheetName val="All_of_Part_list_rev_49_(PNo)31"/>
      <sheetName val="02年9月_まとめ_32βＨ31"/>
      <sheetName val="715L_Unit_Price31"/>
      <sheetName val="MARCH_APRIL__0331"/>
      <sheetName val="ES_UX__27_40_46431"/>
      <sheetName val="Oct_Truckfest_GMAC_BC31"/>
      <sheetName val="Corolla_Gas31"/>
      <sheetName val="REPUESTOS_LPA31"/>
      <sheetName val="Part_No_31"/>
      <sheetName val="RACK_(CB)new31"/>
      <sheetName val="MASTER_FILE31"/>
      <sheetName val="2005_TKM31"/>
      <sheetName val="Comm_CKD31"/>
      <sheetName val="Datos_HHRR31"/>
      <sheetName val="７月発注分_(VLOOK)31"/>
      <sheetName val="DBS040_RPT_RPT31"/>
      <sheetName val="金型申入書ﾃﾞｰﾀ(05_7～)31"/>
      <sheetName val="Interior_Trim31"/>
      <sheetName val="Plate_Bumper_(Summary)31"/>
      <sheetName val="FAD_Sum31"/>
      <sheetName val="車両仕様__x005f_x0000__x005f_x0000___x005f_x0012__瞳31"/>
      <sheetName val="車両仕様_x005f_x0000__New02㾐31"/>
      <sheetName val="車両仕様___x005f_x0012__瞳_31"/>
      <sheetName val="車両仕様_____x005f_x0012__瞳_31"/>
      <sheetName val="車両仕様__x005f_x005f_x005f_x0000__x005f_x005f_x00031"/>
      <sheetName val="車両仕様_x005f_x005f_x005f_x0000__New02㾐31"/>
      <sheetName val="車両仕様___x005f_x005f_x005f_x0012__瞳_31"/>
      <sheetName val="車両仕様_____x005f_x005f_x005f_x0012__瞳_31"/>
      <sheetName val="車両仕様__x005f_x005f_x005f_x005f_x005f_x005f_x000031"/>
      <sheetName val="車両仕様_x005f_x005f_x005f_x005f_x005f_x005f_x005f_x0000_31"/>
      <sheetName val="車両仕様___x005f_x005f_x005f_x005f_x005f_x005f_x00140"/>
      <sheetName val="車両仕様_____x005f_x005f_x005f_x005f_x005f_x005f_x063"/>
      <sheetName val="IM-P-L-JB_31"/>
      <sheetName val="094W原紙_31"/>
      <sheetName val="Regional_Penetration31"/>
      <sheetName val="dongia_(2)31"/>
      <sheetName val="GMT900_IPC31"/>
      <sheetName val="Main_231"/>
      <sheetName val="Datasheet_from_R__Hinds31"/>
      <sheetName val="Master_Updated(517)31"/>
      <sheetName val="OTHERS_x62031"/>
      <sheetName val="No12_營業成本表_cost131"/>
      <sheetName val="Supp_List31"/>
      <sheetName val="Risk_&amp;_Opps31"/>
      <sheetName val="車両仕様__x005f_x005f_x005f_x005f_x005f_x005f_x005f31"/>
      <sheetName val="車両仕様___x005f_x005f_x005f_x005f_x005f_x005f_x00531"/>
      <sheetName val="車両仕様_____x005f_x005f_x005f_x005f_x005f_x005f_x064"/>
      <sheetName val="車両仕様__x005f_x0000__x005f_x0000_31"/>
      <sheetName val="車両仕様__x005f_x005f_x005f_x0000__31"/>
      <sheetName val="車両仕様_x005f_x005f_x005f_x0000__N31"/>
      <sheetName val="車両仕様___x005f_x005f_x005f_x0012_31"/>
      <sheetName val="車両仕様_____x005f_x005f_x00131"/>
      <sheetName val="車両仕様__x005f_x005f_x005f_x005f_x31"/>
      <sheetName val="車両仕様___x005f_x005f_x005f_x005f_31"/>
      <sheetName val="車両仕様_____x005f_x005f_x00531"/>
      <sheetName val="ED_AND_EDOV31"/>
      <sheetName val="WIP_Cal_Sheet10"/>
      <sheetName val="Pricing_overview10"/>
      <sheetName val="車両仕様?4???_??10"/>
      <sheetName val="車両仕様_???_?瞳?10"/>
      <sheetName val="車両仕様???ꎨ_窉瞳㾐10"/>
      <sheetName val="車両仕様?4??_?10"/>
      <sheetName val="車両仕様4??_?10"/>
      <sheetName val="車両仕様____瞳_10"/>
      <sheetName val="車両仕様______瞳_10"/>
      <sheetName val="車両仕様_4______10"/>
      <sheetName val="車両仕様___ꎨ_窉瞳㾐10"/>
      <sheetName val="車両仕様_4____10"/>
      <sheetName val="車両仕様4____10"/>
      <sheetName val="車両仕様_嗼1嗼1噌1鲌10"/>
      <sheetName val="車両仕様_勜+勜+匬+鲌10"/>
      <sheetName val="_PART_479W_LHD10"/>
      <sheetName val="_PART_MYY5A10"/>
      <sheetName val="RMBSS's_Triggered10"/>
      <sheetName val="EquipmentTrimming_Cabin_NS10"/>
      <sheetName val="Blue_Flag10"/>
      <sheetName val="Calc_Sheet_Budget10"/>
      <sheetName val="393_N10"/>
      <sheetName val="Lookup_Table10"/>
      <sheetName val="promo_lists_201110"/>
      <sheetName val="車両仕様_____x005f_x005f_x005f_x005f_x00110"/>
      <sheetName val="車両仕様_____x005f_x005f_x005f_x005f_x00510"/>
      <sheetName val="Reference_10"/>
      <sheetName val="車両仕様__x005f_x0000__x005f_x0000_?_x005f_x0012_?瞳10"/>
      <sheetName val="車両仕様_???_x005f_x0012_?瞳?10"/>
      <sheetName val="160th_NPCC_Nov'1010"/>
      <sheetName val="PRICE_LIST10"/>
      <sheetName val="Loss_Time10"/>
      <sheetName val="Price_range_IT10"/>
      <sheetName val="Avensis+d_seg__in_&amp;_out_of_UK10"/>
      <sheetName val="#ofclose__xl10"/>
      <sheetName val="Annexes_toutes_bases10"/>
      <sheetName val="車両仕様_?_x005f_x0012_?瞳?9"/>
      <sheetName val="Internal_Price_List8"/>
      <sheetName val="DON_GIA10"/>
      <sheetName val="CHITIET_VL-NC10"/>
      <sheetName val="TONGKE3p_10"/>
      <sheetName val="TOTAL_P210"/>
      <sheetName val="2_-_Summary10"/>
      <sheetName val="IPOTESI_PIANO_STATICA10"/>
      <sheetName val="make_up10"/>
      <sheetName val="車両仕様_???_x005f_x005f_x005f_x0012_?瞳?10"/>
      <sheetName val="ass'y_12'04-05'0510"/>
      <sheetName val="調達担当者(06_2～)10"/>
      <sheetName val="Open_Ran10"/>
      <sheetName val="Open_RAN_210"/>
      <sheetName val="シェル台ｾﾂﾄ流し改_(2)8"/>
      <sheetName val="車両仕様_New02㾐31"/>
      <sheetName val="車両仕様__x005f_x0000__9"/>
      <sheetName val="車両仕様_x005f_x0000__N9"/>
      <sheetName val="車両仕様___x005f_x0012_9"/>
      <sheetName val="車両仕様__x005f_x005f_x9"/>
      <sheetName val="車両仕様___x005f_x005f_9"/>
      <sheetName val="Budget_by_Category9"/>
      <sheetName val="investment_tmc_v8_0_34p9"/>
      <sheetName val="PTD_Activity9"/>
      <sheetName val="Price_Trend9"/>
      <sheetName val="05-065_she9"/>
      <sheetName val="idgr_-_formula9"/>
      <sheetName val="IDGR_(3)9"/>
      <sheetName val="IDGR_(2)9"/>
      <sheetName val="PLIV_(3)9"/>
      <sheetName val="PLIV_(2)9"/>
      <sheetName val="PLIV_(template)9"/>
      <sheetName val="inv_recon9"/>
      <sheetName val="side_member9"/>
      <sheetName val="TTC_(FG)9"/>
      <sheetName val="Sheet1_(3)9"/>
      <sheetName val="truck_allocation9"/>
      <sheetName val="Supplier_Price_Check9"/>
      <sheetName val="$_-_june9"/>
      <sheetName val="Vios_Cost_Reduction_actual_pro9"/>
      <sheetName val="RET_PALLET9"/>
      <sheetName val="Form_A9"/>
      <sheetName val="NG_SUMMARY9"/>
      <sheetName val="impact_pallet_and_racks9"/>
      <sheetName val="Type_I9"/>
      <sheetName val="Schedule_PM9"/>
      <sheetName val="training_forklift9"/>
      <sheetName val="Daily_WSD9"/>
      <sheetName val="YARIS_HB9"/>
      <sheetName val="Sample_1PP_9"/>
      <sheetName val="PRADO_3Dr_fl9"/>
      <sheetName val="01_DATA9"/>
      <sheetName val="車両仕様_____x0018"/>
      <sheetName val="車両仕様_____x0058"/>
      <sheetName val="車両仕様__x8"/>
      <sheetName val="車両仕様___8"/>
      <sheetName val="最新基準単価_8"/>
      <sheetName val="CHIA_KH9"/>
      <sheetName val="Purch__BP9"/>
      <sheetName val="4_5_6_大日程8"/>
      <sheetName val="Production_Database_39929"/>
      <sheetName val="Stock_in_Trade8"/>
      <sheetName val="BR_(C_Matrix)8"/>
      <sheetName val="車両仕様_??_x000a_????8"/>
      <sheetName val="車両仕様_???_x005f_x005f_x005f_x005f_x005f_x005f_x009"/>
      <sheetName val="車両仕様_x005f_x0000_4?_x005f_x0000__x005f_x0000___x8"/>
      <sheetName val="車両仕様__x005f_x0000__x005f_x0000_?_?瞳?8"/>
      <sheetName val="車両仕様_x005f_x0000__x005f_x0000__x005f_x0000_ꎨ_窉瞳㾐8"/>
      <sheetName val="_型__治__具__投__資___売__買__差____比_8"/>
      <sheetName val="LATEST_ROYALTY8"/>
      <sheetName val="Short_Plan_8"/>
      <sheetName val="6-11'03_-_6-11'048"/>
      <sheetName val="Seat_Assy_Tool_Tracking6"/>
      <sheetName val="Packing_List26"/>
      <sheetName val="Packing_List7"/>
      <sheetName val="IMV_LIST_20036"/>
      <sheetName val="BQ_CONVEYOR6"/>
      <sheetName val="Courier_4x26"/>
      <sheetName val="ＰＲＥ_NO16"/>
      <sheetName val="00_KS6"/>
      <sheetName val="1_概述6"/>
      <sheetName val="Drop-down_Menu_List6"/>
      <sheetName val="Open_Item_List6"/>
      <sheetName val="本修正_DIFF_6"/>
      <sheetName val="Sector_Assignment6"/>
      <sheetName val="Quality_Update8"/>
      <sheetName val="Customer_behaver6"/>
      <sheetName val="Calculation_PS6"/>
      <sheetName val="prior_data6"/>
      <sheetName val="Table_Master6"/>
      <sheetName val="車両仕様_x005f_x0000_4__x005f_x0000__x005f_x0000___x6"/>
      <sheetName val="車両仕様__x005f_x0000__x005f_x0000____瞳_6"/>
      <sheetName val="Toggle_Duplicate_Highlighting6"/>
      <sheetName val="_D26"/>
      <sheetName val="PHỤ_KIỆN_HỦY6"/>
      <sheetName val="Sập_khóa6"/>
      <sheetName val="【参考】_大中トラ6"/>
      <sheetName val="【参考】_小トラ6"/>
      <sheetName val="Part_list6"/>
      <sheetName val="車両仕様__x005f_x005f_x005f_x005F_x005f_x0000__6"/>
      <sheetName val="車両仕様_x005f_x005f_x005f_x005F_x005f_x0000__N6"/>
      <sheetName val="車両仕様___x005f_x005f_x005f_x005F_x005f_x0012_6"/>
      <sheetName val="車両仕様__x005f_x005f_x005f_x005F_x005f_x005f_x6"/>
      <sheetName val="車両仕様___x005f_x005f_x005f_x005F_x005f_x005f_6"/>
      <sheetName val="Inc_Statement6"/>
      <sheetName val="230216_追加6"/>
      <sheetName val="FAC_OVERHEAD6"/>
      <sheetName val="CæÊ__x005f_x0015__Op5"/>
      <sheetName val="ƒƒCƒ“‰æ–Ê__x005f_x0015__Op5"/>
      <sheetName val="メイン画面__x005f_x0015__Op5"/>
      <sheetName val="表紙1_5"/>
      <sheetName val="Sheet1_(2)5"/>
      <sheetName val="Config_-_dspmgr5"/>
      <sheetName val="SHEET__car_no5"/>
      <sheetName val="Spider_web5"/>
      <sheetName val="RR_Diff__Progressive(28-Aug_(42"/>
      <sheetName val="RR_Diff__Progressive(4-Sep-0333"/>
      <sheetName val="CHRONOLOGY_INDEX33"/>
      <sheetName val="COST_REC__DISCREP_33"/>
      <sheetName val="車両仕様_33"/>
      <sheetName val="MARCH-APRIL__0333"/>
      <sheetName val="車両仕様?_New02㾐33"/>
      <sheetName val="F_Lead33"/>
      <sheetName val="車両仕様__New02㾐33"/>
      <sheetName val="D88D_CAL33"/>
      <sheetName val="Distributor_&amp;_Dealer_code33"/>
      <sheetName val="T1_&amp;_T2_Code33"/>
      <sheetName val="All_of_Part_list_rev_4933"/>
      <sheetName val="All_of_Part_list_rev_49_(PNo)33"/>
      <sheetName val="02年9月_まとめ_32βＨ33"/>
      <sheetName val="715L_Unit_Price33"/>
      <sheetName val="MARCH_APRIL__0333"/>
      <sheetName val="ES_UX__27_40_46433"/>
      <sheetName val="Oct_Truckfest_GMAC_BC33"/>
      <sheetName val="Corolla_Gas33"/>
      <sheetName val="REPUESTOS_LPA33"/>
      <sheetName val="Part_No_33"/>
      <sheetName val="RACK_(CB)new33"/>
      <sheetName val="MASTER_FILE33"/>
      <sheetName val="2005_TKM33"/>
      <sheetName val="Comm_CKD33"/>
      <sheetName val="Datos_HHRR33"/>
      <sheetName val="７月発注分_(VLOOK)33"/>
      <sheetName val="DBS040_RPT_RPT33"/>
      <sheetName val="金型申入書ﾃﾞｰﾀ(05_7～)33"/>
      <sheetName val="Interior_Trim33"/>
      <sheetName val="Plate_Bumper_(Summary)33"/>
      <sheetName val="FAD_Sum33"/>
      <sheetName val="車両仕様__x005f_x0000__x005f_x0000___x005f_x0012__瞳33"/>
      <sheetName val="車両仕様_x005f_x0000__New02㾐33"/>
      <sheetName val="車両仕様___x005f_x0012__瞳_33"/>
      <sheetName val="車両仕様_____x005f_x0012__瞳_33"/>
      <sheetName val="車両仕様__x005f_x005f_x005f_x0000__x005f_x005f_x00033"/>
      <sheetName val="車両仕様_x005f_x005f_x005f_x0000__New02㾐33"/>
      <sheetName val="車両仕様___x005f_x005f_x005f_x0012__瞳_33"/>
      <sheetName val="車両仕様_____x005f_x005f_x005f_x0012__瞳_33"/>
      <sheetName val="車両仕様__x005f_x005f_x005f_x005f_x005f_x005f_x000033"/>
      <sheetName val="車両仕様_x005f_x005f_x005f_x005f_x005f_x005f_x005f_x0000_33"/>
      <sheetName val="車両仕様___x005f_x005f_x005f_x005f_x005f_x005f_x00142"/>
      <sheetName val="車両仕様_____x005f_x005f_x005f_x005f_x005f_x005f_x067"/>
      <sheetName val="IM-P-L-JB_33"/>
      <sheetName val="094W原紙_33"/>
      <sheetName val="Regional_Penetration33"/>
      <sheetName val="dongia_(2)33"/>
      <sheetName val="GMT900_IPC33"/>
      <sheetName val="Main_233"/>
      <sheetName val="Datasheet_from_R__Hinds33"/>
      <sheetName val="Master_Updated(517)33"/>
      <sheetName val="OTHERS_x62033"/>
      <sheetName val="No12_營業成本表_cost133"/>
      <sheetName val="Supp_List33"/>
      <sheetName val="Risk_&amp;_Opps33"/>
      <sheetName val="車両仕様__x005f_x005f_x005f_x005f_x005f_x005f_x005f33"/>
      <sheetName val="車両仕様___x005f_x005f_x005f_x005f_x005f_x005f_x00533"/>
      <sheetName val="車両仕様_____x005f_x005f_x005f_x005f_x005f_x005f_x068"/>
      <sheetName val="車両仕様__x005f_x0000__x005f_x0000_33"/>
      <sheetName val="車両仕様__x005f_x005f_x005f_x0000__33"/>
      <sheetName val="車両仕様_x005f_x005f_x005f_x0000__N33"/>
      <sheetName val="車両仕様___x005f_x005f_x005f_x0012_33"/>
      <sheetName val="車両仕様_____x005f_x005f_x00133"/>
      <sheetName val="車両仕様__x005f_x005f_x005f_x005f_x33"/>
      <sheetName val="車両仕様___x005f_x005f_x005f_x005f_33"/>
      <sheetName val="車両仕様_____x005f_x005f_x00533"/>
      <sheetName val="ED_AND_EDOV33"/>
      <sheetName val="WIP_Cal_Sheet12"/>
      <sheetName val="Pricing_overview12"/>
      <sheetName val="車両仕様?4???_??12"/>
      <sheetName val="車両仕様_???_?瞳?12"/>
      <sheetName val="車両仕様???ꎨ_窉瞳㾐12"/>
      <sheetName val="車両仕様?4??_?12"/>
      <sheetName val="車両仕様4??_?12"/>
      <sheetName val="車両仕様____瞳_12"/>
      <sheetName val="車両仕様______瞳_12"/>
      <sheetName val="車両仕様_4______12"/>
      <sheetName val="車両仕様___ꎨ_窉瞳㾐12"/>
      <sheetName val="車両仕様_4____12"/>
      <sheetName val="車両仕様4____12"/>
      <sheetName val="車両仕様_嗼1嗼1噌1鲌12"/>
      <sheetName val="車両仕様_勜+勜+匬+鲌12"/>
      <sheetName val="_PART_479W_LHD12"/>
      <sheetName val="_PART_MYY5A12"/>
      <sheetName val="RMBSS's_Triggered12"/>
      <sheetName val="EquipmentTrimming_Cabin_NS12"/>
      <sheetName val="Blue_Flag12"/>
      <sheetName val="Calc_Sheet_Budget12"/>
      <sheetName val="393_N12"/>
      <sheetName val="Lookup_Table12"/>
      <sheetName val="promo_lists_201112"/>
      <sheetName val="車両仕様_____x005f_x005f_x005f_x005f_x00112"/>
      <sheetName val="車両仕様_____x005f_x005f_x005f_x005f_x00512"/>
      <sheetName val="Reference_12"/>
      <sheetName val="車両仕様__x005f_x0000__x005f_x0000_?_x005f_x0012_?瞳12"/>
      <sheetName val="車両仕様_???_x005f_x0012_?瞳?12"/>
      <sheetName val="160th_NPCC_Nov'1012"/>
      <sheetName val="PRICE_LIST12"/>
      <sheetName val="Loss_Time12"/>
      <sheetName val="Price_range_IT12"/>
      <sheetName val="Avensis+d_seg__in_&amp;_out_of_UK12"/>
      <sheetName val="#ofclose__xl12"/>
      <sheetName val="Annexes_toutes_bases12"/>
      <sheetName val="車両仕様_?_x005f_x0012_?瞳?11"/>
      <sheetName val="Internal_Price_List10"/>
      <sheetName val="DON_GIA12"/>
      <sheetName val="CHITIET_VL-NC12"/>
      <sheetName val="TONGKE3p_12"/>
      <sheetName val="TOTAL_P212"/>
      <sheetName val="2_-_Summary12"/>
      <sheetName val="IPOTESI_PIANO_STATICA12"/>
      <sheetName val="make_up12"/>
      <sheetName val="車両仕様_???_x005f_x005f_x005f_x0012_?瞳?12"/>
      <sheetName val="ass'y_12'04-05'0512"/>
      <sheetName val="調達担当者(06_2～)12"/>
      <sheetName val="Open_Ran12"/>
      <sheetName val="Open_RAN_212"/>
      <sheetName val="シェル台ｾﾂﾄ流し改_(2)10"/>
      <sheetName val="車両仕様__x005f_x0000__11"/>
      <sheetName val="車両仕様_x005f_x0000__N11"/>
      <sheetName val="車両仕様___x005f_x0012_11"/>
      <sheetName val="車両仕様__x005f_x005f_x11"/>
      <sheetName val="車両仕様___x005f_x005f_11"/>
      <sheetName val="Budget_by_Category11"/>
      <sheetName val="investment_tmc_v8_0_34p11"/>
      <sheetName val="PTD_Activity11"/>
      <sheetName val="Price_Trend11"/>
      <sheetName val="05-065_she11"/>
      <sheetName val="idgr_-_formula11"/>
      <sheetName val="IDGR_(3)11"/>
      <sheetName val="IDGR_(2)11"/>
      <sheetName val="PLIV_(3)11"/>
      <sheetName val="PLIV_(2)11"/>
      <sheetName val="PLIV_(template)11"/>
      <sheetName val="inv_recon11"/>
      <sheetName val="side_member11"/>
      <sheetName val="TTC_(FG)11"/>
      <sheetName val="Sheet1_(3)11"/>
      <sheetName val="truck_allocation11"/>
      <sheetName val="Supplier_Price_Check11"/>
      <sheetName val="$_-_june11"/>
      <sheetName val="Vios_Cost_Reduction_actual_pr11"/>
      <sheetName val="RET_PALLET11"/>
      <sheetName val="Form_A11"/>
      <sheetName val="NG_SUMMARY11"/>
      <sheetName val="impact_pallet_and_racks11"/>
      <sheetName val="Type_I11"/>
      <sheetName val="Schedule_PM11"/>
      <sheetName val="training_forklift11"/>
      <sheetName val="Daily_WSD11"/>
      <sheetName val="YARIS_HB11"/>
      <sheetName val="Sample_1PP_11"/>
      <sheetName val="PRADO_3Dr_fl11"/>
      <sheetName val="01_DATA11"/>
      <sheetName val="車両仕様_____x00110"/>
      <sheetName val="車両仕様_____x00510"/>
      <sheetName val="車両仕様__x10"/>
      <sheetName val="車両仕様___10"/>
      <sheetName val="最新基準単価_10"/>
      <sheetName val="CHIA_KH11"/>
      <sheetName val="Purch__BP11"/>
      <sheetName val="4_5_6_大日程10"/>
      <sheetName val="Production_Database_39931"/>
      <sheetName val="Stock_in_Trade10"/>
      <sheetName val="BR_(C_Matrix)10"/>
      <sheetName val="車両仕様_??_x000a_????10"/>
      <sheetName val="車両仕様_???_x005f_x005f_x005f_x005f_x005f_x005f_x011"/>
      <sheetName val="車両仕様_x005f_x0000_4?_x005f_x0000__x005f_x0000___10"/>
      <sheetName val="車両仕様__x005f_x0000__x005f_x0000_?_?瞳?10"/>
      <sheetName val="車両仕様_x005f_x0000__x005f_x0000__x005f_x0000_ꎨ_窉瞳10"/>
      <sheetName val="_型__治__具__投__資___売__買__差____比10"/>
      <sheetName val="LATEST_ROYALTY10"/>
      <sheetName val="Short_Plan_10"/>
      <sheetName val="6-11'03_-_6-11'0410"/>
      <sheetName val="Seat_Assy_Tool_Tracking8"/>
      <sheetName val="Packing_List28"/>
      <sheetName val="Packing_List9"/>
      <sheetName val="IMV_LIST_20038"/>
      <sheetName val="BQ_CONVEYOR8"/>
      <sheetName val="Courier_4x28"/>
      <sheetName val="ＰＲＥ_NO18"/>
      <sheetName val="00_KS8"/>
      <sheetName val="1_概述8"/>
      <sheetName val="Drop-down_Menu_List8"/>
      <sheetName val="Open_Item_List8"/>
      <sheetName val="本修正_DIFF_8"/>
      <sheetName val="Sector_Assignment8"/>
      <sheetName val="Quality_Update10"/>
      <sheetName val="Customer_behaver8"/>
      <sheetName val="車両仕様_New02㾐33"/>
      <sheetName val="Calculation_PS8"/>
      <sheetName val="prior_data8"/>
      <sheetName val="Table_Master8"/>
      <sheetName val="車両仕様_x005f_x0000_4__x005f_x0000__x005f_x0000___x8"/>
      <sheetName val="車両仕様__x005f_x0000__x005f_x0000____瞳_8"/>
      <sheetName val="Toggle_Duplicate_Highlighting8"/>
      <sheetName val="_D28"/>
      <sheetName val="PHỤ_KIỆN_HỦY8"/>
      <sheetName val="Sập_khóa8"/>
      <sheetName val="【参考】_大中トラ8"/>
      <sheetName val="【参考】_小トラ8"/>
      <sheetName val="Part_list8"/>
      <sheetName val="車両仕様__x005f_x005f_x005f_x005F_x005f_x0000__8"/>
      <sheetName val="車両仕様_x005f_x005f_x005f_x005F_x005f_x0000__N8"/>
      <sheetName val="車両仕様___x005f_x005f_x005f_x005F_x005f_x0012_8"/>
      <sheetName val="車両仕様__x005f_x005f_x005f_x005F_x005f_x005f_x8"/>
      <sheetName val="車両仕様___x005f_x005f_x005f_x005F_x005f_x005f_8"/>
      <sheetName val="Inc_Statement8"/>
      <sheetName val="230216_追加8"/>
      <sheetName val="FAC_OVERHEAD7"/>
      <sheetName val="CæÊ__x005f_x0015__Op6"/>
      <sheetName val="ƒƒCƒ“‰æ–Ê__x005f_x0015__Op6"/>
      <sheetName val="メイン画面__x005f_x0015__Op6"/>
      <sheetName val="表紙1_6"/>
      <sheetName val="Sheet1_(2)6"/>
      <sheetName val="Config_-_dspmgr6"/>
      <sheetName val="SHEET__car_no6"/>
      <sheetName val="Spider_web6"/>
      <sheetName val="RR_Diff__Progressive(28-Aug_(41"/>
      <sheetName val="RR_Diff__Progressive(4-Sep-0332"/>
      <sheetName val="CHRONOLOGY_INDEX32"/>
      <sheetName val="COST_REC__DISCREP_32"/>
      <sheetName val="車両仕様_32"/>
      <sheetName val="MARCH-APRIL__0332"/>
      <sheetName val="車両仕様?_New02㾐32"/>
      <sheetName val="F_Lead32"/>
      <sheetName val="車両仕様__New02㾐32"/>
      <sheetName val="D88D_CAL32"/>
      <sheetName val="Distributor_&amp;_Dealer_code32"/>
      <sheetName val="T1_&amp;_T2_Code32"/>
      <sheetName val="All_of_Part_list_rev_4932"/>
      <sheetName val="All_of_Part_list_rev_49_(PNo)32"/>
      <sheetName val="02年9月_まとめ_32βＨ32"/>
      <sheetName val="715L_Unit_Price32"/>
      <sheetName val="MARCH_APRIL__0332"/>
      <sheetName val="ES_UX__27_40_46432"/>
      <sheetName val="Oct_Truckfest_GMAC_BC32"/>
      <sheetName val="Corolla_Gas32"/>
      <sheetName val="REPUESTOS_LPA32"/>
      <sheetName val="Part_No_32"/>
      <sheetName val="RACK_(CB)new32"/>
      <sheetName val="MASTER_FILE32"/>
      <sheetName val="2005_TKM32"/>
      <sheetName val="Comm_CKD32"/>
      <sheetName val="Datos_HHRR32"/>
      <sheetName val="７月発注分_(VLOOK)32"/>
      <sheetName val="DBS040_RPT_RPT32"/>
      <sheetName val="金型申入書ﾃﾞｰﾀ(05_7～)32"/>
      <sheetName val="Interior_Trim32"/>
      <sheetName val="Plate_Bumper_(Summary)32"/>
      <sheetName val="FAD_Sum32"/>
      <sheetName val="車両仕様__x005f_x0000__x005f_x0000___x005f_x0012__瞳32"/>
      <sheetName val="車両仕様_x005f_x0000__New02㾐32"/>
      <sheetName val="車両仕様___x005f_x0012__瞳_32"/>
      <sheetName val="車両仕様_____x005f_x0012__瞳_32"/>
      <sheetName val="車両仕様__x005f_x005f_x005f_x0000__x005f_x005f_x00032"/>
      <sheetName val="車両仕様_x005f_x005f_x005f_x0000__New02㾐32"/>
      <sheetName val="車両仕様___x005f_x005f_x005f_x0012__瞳_32"/>
      <sheetName val="車両仕様_____x005f_x005f_x005f_x0012__瞳_32"/>
      <sheetName val="車両仕様__x005f_x005f_x005f_x005f_x005f_x005f_x000032"/>
      <sheetName val="車両仕様_x005f_x005f_x005f_x005f_x005f_x005f_x005f_x0000_32"/>
      <sheetName val="車両仕様___x005f_x005f_x005f_x005f_x005f_x005f_x00141"/>
      <sheetName val="車両仕様_____x005f_x005f_x005f_x005f_x005f_x005f_x065"/>
      <sheetName val="IM-P-L-JB_32"/>
      <sheetName val="094W原紙_32"/>
      <sheetName val="Regional_Penetration32"/>
      <sheetName val="dongia_(2)32"/>
      <sheetName val="GMT900_IPC32"/>
      <sheetName val="Main_232"/>
      <sheetName val="Datasheet_from_R__Hinds32"/>
      <sheetName val="Master_Updated(517)32"/>
      <sheetName val="OTHERS_x62032"/>
      <sheetName val="No12_營業成本表_cost132"/>
      <sheetName val="Supp_List32"/>
      <sheetName val="Risk_&amp;_Opps32"/>
      <sheetName val="車両仕様__x005f_x005f_x005f_x005f_x005f_x005f_x005f32"/>
      <sheetName val="車両仕様___x005f_x005f_x005f_x005f_x005f_x005f_x00532"/>
      <sheetName val="車両仕様_____x005f_x005f_x005f_x005f_x005f_x005f_x066"/>
      <sheetName val="車両仕様__x005f_x0000__x005f_x0000_32"/>
      <sheetName val="車両仕様__x005f_x005f_x005f_x0000__32"/>
      <sheetName val="車両仕様_x005f_x005f_x005f_x0000__N32"/>
      <sheetName val="車両仕様___x005f_x005f_x005f_x0012_32"/>
      <sheetName val="車両仕様_____x005f_x005f_x00132"/>
      <sheetName val="車両仕様__x005f_x005f_x005f_x005f_x32"/>
      <sheetName val="車両仕様___x005f_x005f_x005f_x005f_32"/>
      <sheetName val="車両仕様_____x005f_x005f_x00532"/>
      <sheetName val="ED_AND_EDOV32"/>
      <sheetName val="WIP_Cal_Sheet11"/>
      <sheetName val="Pricing_overview11"/>
      <sheetName val="車両仕様?4???_??11"/>
      <sheetName val="車両仕様_???_?瞳?11"/>
      <sheetName val="車両仕様???ꎨ_窉瞳㾐11"/>
      <sheetName val="車両仕様?4??_?11"/>
      <sheetName val="車両仕様4??_?11"/>
      <sheetName val="車両仕様____瞳_11"/>
      <sheetName val="車両仕様______瞳_11"/>
      <sheetName val="車両仕様_4______11"/>
      <sheetName val="車両仕様___ꎨ_窉瞳㾐11"/>
      <sheetName val="車両仕様_4____11"/>
      <sheetName val="車両仕様4____11"/>
      <sheetName val="車両仕様_嗼1嗼1噌1鲌11"/>
      <sheetName val="車両仕様_勜+勜+匬+鲌11"/>
      <sheetName val="_PART_479W_LHD11"/>
      <sheetName val="_PART_MYY5A11"/>
      <sheetName val="RMBSS's_Triggered11"/>
      <sheetName val="EquipmentTrimming_Cabin_NS11"/>
      <sheetName val="Blue_Flag11"/>
      <sheetName val="Calc_Sheet_Budget11"/>
      <sheetName val="393_N11"/>
      <sheetName val="Lookup_Table11"/>
      <sheetName val="promo_lists_201111"/>
      <sheetName val="車両仕様_____x005f_x005f_x005f_x005f_x00111"/>
      <sheetName val="車両仕様_____x005f_x005f_x005f_x005f_x00511"/>
      <sheetName val="Reference_11"/>
      <sheetName val="車両仕様__x005f_x0000__x005f_x0000_?_x005f_x0012_?瞳11"/>
      <sheetName val="車両仕様_???_x005f_x0012_?瞳?11"/>
      <sheetName val="160th_NPCC_Nov'1011"/>
      <sheetName val="PRICE_LIST11"/>
      <sheetName val="Loss_Time11"/>
      <sheetName val="Price_range_IT11"/>
      <sheetName val="Avensis+d_seg__in_&amp;_out_of_UK11"/>
      <sheetName val="#ofclose__xl11"/>
      <sheetName val="Annexes_toutes_bases11"/>
      <sheetName val="車両仕様_?_x005f_x0012_?瞳?10"/>
      <sheetName val="Internal_Price_List9"/>
      <sheetName val="DON_GIA11"/>
      <sheetName val="CHITIET_VL-NC11"/>
      <sheetName val="TONGKE3p_11"/>
      <sheetName val="TOTAL_P211"/>
      <sheetName val="2_-_Summary11"/>
      <sheetName val="IPOTESI_PIANO_STATICA11"/>
      <sheetName val="make_up11"/>
      <sheetName val="車両仕様_???_x005f_x005f_x005f_x0012_?瞳?11"/>
      <sheetName val="ass'y_12'04-05'0511"/>
      <sheetName val="調達担当者(06_2～)11"/>
      <sheetName val="Open_Ran11"/>
      <sheetName val="Open_RAN_211"/>
      <sheetName val="シェル台ｾﾂﾄ流し改_(2)9"/>
      <sheetName val="車両仕様__x005f_x0000__10"/>
      <sheetName val="車両仕様_x005f_x0000__N10"/>
      <sheetName val="車両仕様___x005f_x0012_10"/>
      <sheetName val="車両仕様__x005f_x005f_x10"/>
      <sheetName val="車両仕様___x005f_x005f_10"/>
      <sheetName val="Budget_by_Category10"/>
      <sheetName val="investment_tmc_v8_0_34p10"/>
      <sheetName val="PTD_Activity10"/>
      <sheetName val="Price_Trend10"/>
      <sheetName val="05-065_she10"/>
      <sheetName val="idgr_-_formula10"/>
      <sheetName val="IDGR_(3)10"/>
      <sheetName val="IDGR_(2)10"/>
      <sheetName val="PLIV_(3)10"/>
      <sheetName val="PLIV_(2)10"/>
      <sheetName val="PLIV_(template)10"/>
      <sheetName val="inv_recon10"/>
      <sheetName val="side_member10"/>
      <sheetName val="TTC_(FG)10"/>
      <sheetName val="Sheet1_(3)10"/>
      <sheetName val="truck_allocation10"/>
      <sheetName val="Supplier_Price_Check10"/>
      <sheetName val="$_-_june10"/>
      <sheetName val="Vios_Cost_Reduction_actual_pr10"/>
      <sheetName val="RET_PALLET10"/>
      <sheetName val="Form_A10"/>
      <sheetName val="NG_SUMMARY10"/>
      <sheetName val="impact_pallet_and_racks10"/>
      <sheetName val="Type_I10"/>
      <sheetName val="Schedule_PM10"/>
      <sheetName val="training_forklift10"/>
      <sheetName val="Daily_WSD10"/>
      <sheetName val="YARIS_HB10"/>
      <sheetName val="Sample_1PP_10"/>
      <sheetName val="PRADO_3Dr_fl10"/>
      <sheetName val="01_DATA10"/>
      <sheetName val="車両仕様_____x0019"/>
      <sheetName val="車両仕様_____x0059"/>
      <sheetName val="車両仕様__x9"/>
      <sheetName val="車両仕様___9"/>
      <sheetName val="最新基準単価_9"/>
      <sheetName val="CHIA_KH10"/>
      <sheetName val="Purch__BP10"/>
      <sheetName val="4_5_6_大日程9"/>
      <sheetName val="Production_Database_39930"/>
      <sheetName val="Stock_in_Trade9"/>
      <sheetName val="BR_(C_Matrix)9"/>
      <sheetName val="車両仕様_??_x000a_????9"/>
      <sheetName val="車両仕様_???_x005f_x005f_x005f_x005f_x005f_x005f_x010"/>
      <sheetName val="車両仕様_x005f_x0000_4?_x005f_x0000__x005f_x0000___x9"/>
      <sheetName val="車両仕様__x005f_x0000__x005f_x0000_?_?瞳?9"/>
      <sheetName val="車両仕様_x005f_x0000__x005f_x0000__x005f_x0000_ꎨ_窉瞳㾐9"/>
      <sheetName val="_型__治__具__投__資___売__買__差____比_9"/>
      <sheetName val="LATEST_ROYALTY9"/>
      <sheetName val="Short_Plan_9"/>
      <sheetName val="6-11'03_-_6-11'049"/>
      <sheetName val="Seat_Assy_Tool_Tracking7"/>
      <sheetName val="Packing_List27"/>
      <sheetName val="Packing_List8"/>
      <sheetName val="IMV_LIST_20037"/>
      <sheetName val="BQ_CONVEYOR7"/>
      <sheetName val="Courier_4x27"/>
      <sheetName val="ＰＲＥ_NO17"/>
      <sheetName val="00_KS7"/>
      <sheetName val="1_概述7"/>
      <sheetName val="Drop-down_Menu_List7"/>
      <sheetName val="Open_Item_List7"/>
      <sheetName val="本修正_DIFF_7"/>
      <sheetName val="Sector_Assignment7"/>
      <sheetName val="Quality_Update9"/>
      <sheetName val="Customer_behaver7"/>
      <sheetName val="車両仕様_New02㾐32"/>
      <sheetName val="Calculation_PS7"/>
      <sheetName val="prior_data7"/>
      <sheetName val="Table_Master7"/>
      <sheetName val="車両仕様_x005f_x0000_4__x005f_x0000__x005f_x0000___x7"/>
      <sheetName val="車両仕様__x005f_x0000__x005f_x0000____瞳_7"/>
      <sheetName val="Toggle_Duplicate_Highlighting7"/>
      <sheetName val="_D27"/>
      <sheetName val="PHỤ_KIỆN_HỦY7"/>
      <sheetName val="Sập_khóa7"/>
      <sheetName val="【参考】_大中トラ7"/>
      <sheetName val="【参考】_小トラ7"/>
      <sheetName val="Part_list7"/>
      <sheetName val="車両仕様__x005f_x005f_x005f_x005F_x005f_x0000__7"/>
      <sheetName val="車両仕様_x005f_x005f_x005f_x005F_x005f_x0000__N7"/>
      <sheetName val="車両仕様___x005f_x005f_x005f_x005F_x005f_x0012_7"/>
      <sheetName val="車両仕様__x005f_x005f_x005f_x005F_x005f_x005f_x7"/>
      <sheetName val="車両仕様___x005f_x005f_x005f_x005F_x005f_x005f_7"/>
      <sheetName val="Inc_Statement7"/>
      <sheetName val="230216_追加7"/>
      <sheetName val="売上総益ﾃﾞｰﾀ"/>
      <sheetName val="FSSﾃｰﾌﾞﾙ"/>
      <sheetName val="Total_052007"/>
      <sheetName val="PIC"/>
      <sheetName val="Data 2023"/>
      <sheetName val="sep~nov"/>
      <sheetName val="パラメータ"/>
      <sheetName val="备注"/>
      <sheetName val="FS - US$"/>
      <sheetName val="FINANCIAL COST"/>
      <sheetName val="部品一覧"/>
      <sheetName val="Tax Calculation"/>
      <sheetName val="車両仕様_x005f_x005f_x005f_x0000__x0000_Ԁ"/>
      <sheetName val="Code List"/>
      <sheetName val="sat"/>
      <sheetName val="ptvt"/>
      <sheetName val="Khai bao dau vao"/>
      <sheetName val="TKBN_TKBNA"/>
      <sheetName val="車両仕様 _x005f_x005f_x005F"/>
      <sheetName val="車両仕様_x005f_x005f_x005F"/>
      <sheetName val="車両仕様4__x005f_x005f_x005F"/>
      <sheetName val="車両仕様 _x005F"/>
      <sheetName val="車両仕様_x005F"/>
      <sheetName val="車両仕様4__x005F"/>
      <sheetName val="名次表1"/>
      <sheetName val="名次表2"/>
      <sheetName val="Net Price Position - Sheet 1"/>
      <sheetName val="車両仕様 _______"/>
      <sheetName val="車両仕様_ῃ__x0014_____"/>
      <sheetName val="車両仕様____胲䇘誹⇾"/>
      <sheetName val="車両仕様____帅_xdae2_Ǿ"/>
      <sheetName val="車両仕様_ῆ玐ῆꆠῨ"/>
      <sheetName val="車両仕様?4???_x005f_x005f_x00"/>
      <sheetName val="車両仕様 ???_x005f_x005f_x001"/>
      <sheetName val="車両仕様???ꎨ_x005f_x005f_x001"/>
      <sheetName val="車両仕様?4??_x005f_x005f_x001"/>
      <sheetName val="車両仕様4??_x005f_x005f_x0011"/>
      <sheetName val="車両仕様_x005f_x0000_"/>
      <sheetName val="車両仕様__x005f_x005f_x005F"/>
      <sheetName val="車両仕様__x005f_x0000__x005f_x005f_x00001"/>
      <sheetName val="車両仕様___x005f_x005f_x00121"/>
      <sheetName val="車両仕様_____x005f_x005f_x002"/>
      <sheetName val="車両仕様__x005f_x005F_1"/>
      <sheetName val="車両仕様___x005f_x005f_x005f1"/>
      <sheetName val="車両仕様_____x005f_x005f_x003"/>
      <sheetName val="車両仕様__x005f_x0000__x005f_x005f_x00002"/>
      <sheetName val="車両仕様___x005f_x005f_x00122"/>
      <sheetName val="車両仕様_____x005f_x005f_x004"/>
      <sheetName val="車両仕様__x005f_x005F_2"/>
      <sheetName val="車両仕様___x005f_x005f_x005f2"/>
      <sheetName val="車両仕様_____x005f_x005f_x006"/>
      <sheetName val="自販5~7月"/>
      <sheetName val="車両仕様_x005f_x005f_x005f_x0000_"/>
      <sheetName val="車両仕様????帅"/>
      <sheetName val="車両仕様_x005f_x005f_x005f_x0000_4?"/>
      <sheetName val="車両仕様__x005f_x005f_x005f_x0000_1"/>
      <sheetName val="車両仕様_x005f_x005f_x005f_x0000__1"/>
      <sheetName val="車両仕様__x005f_x005f_x005f_x0000_2"/>
      <sheetName val="車両仕様_x005f_x005f_x005f_x0000__2"/>
      <sheetName val="車両仕様____帅"/>
      <sheetName val="車両仕様__x005f_x005f_x005f_x005F_1"/>
      <sheetName val="車両仕様__x005f_x005f_x005f_x005F_2"/>
      <sheetName val="Process"/>
      <sheetName val="BOM"/>
      <sheetName val="項目"/>
      <sheetName val="100万未満"/>
      <sheetName val="301-01.起動"/>
      <sheetName val="R0-10表紙"/>
      <sheetName val="Func.Share"/>
      <sheetName val="場所指定地図"/>
      <sheetName val="仕向け決定用情報取得(GM250)"/>
      <sheetName val="付録①（GM用）"/>
      <sheetName val="Data.Share"/>
      <sheetName val="ERRＩＤ90"/>
      <sheetName val="Func.Share(DR-0320)"/>
      <sheetName val="状況"/>
      <sheetName val="ドメイン"/>
      <sheetName val="tda30al"/>
      <sheetName val="ﾃﾞｰﾀﾍﾞｰｽ"/>
      <sheetName val="需求与代码对比"/>
      <sheetName val="メニュー"/>
      <sheetName val="修正ﾌｧｲﾙ一覧"/>
      <sheetName val="メイン"/>
      <sheetName val="一覧１"/>
      <sheetName val="入力候補"/>
      <sheetName val="HMI-004_Screen（old）"/>
    </sheetNames>
    <sheetDataSet>
      <sheetData sheetId="0" refreshError="1"/>
      <sheetData sheetId="1" refreshError="1"/>
      <sheetData sheetId="2" refreshError="1"/>
      <sheetData sheetId="3">
        <row r="1">
          <cell r="B1" t="str">
            <v>1</v>
          </cell>
        </row>
      </sheetData>
      <sheetData sheetId="4">
        <row r="1">
          <cell r="B1" t="str">
            <v>1</v>
          </cell>
        </row>
      </sheetData>
      <sheetData sheetId="5">
        <row r="1">
          <cell r="B1" t="str">
            <v>1</v>
          </cell>
        </row>
      </sheetData>
      <sheetData sheetId="6">
        <row r="1">
          <cell r="B1" t="str">
            <v>1</v>
          </cell>
        </row>
      </sheetData>
      <sheetData sheetId="7">
        <row r="1">
          <cell r="B1" t="str">
            <v>1</v>
          </cell>
        </row>
      </sheetData>
      <sheetData sheetId="8">
        <row r="1">
          <cell r="B1" t="str">
            <v>1</v>
          </cell>
        </row>
      </sheetData>
      <sheetData sheetId="9">
        <row r="1">
          <cell r="B1" t="str">
            <v>1</v>
          </cell>
        </row>
      </sheetData>
      <sheetData sheetId="10">
        <row r="1">
          <cell r="B1" t="str">
            <v>1</v>
          </cell>
        </row>
      </sheetData>
      <sheetData sheetId="11">
        <row r="1">
          <cell r="B1" t="str">
            <v>1</v>
          </cell>
        </row>
      </sheetData>
      <sheetData sheetId="12">
        <row r="1">
          <cell r="B1" t="str">
            <v>1</v>
          </cell>
        </row>
      </sheetData>
      <sheetData sheetId="13">
        <row r="1">
          <cell r="B1" t="str">
            <v>1</v>
          </cell>
        </row>
      </sheetData>
      <sheetData sheetId="14">
        <row r="1">
          <cell r="B1" t="str">
            <v>1</v>
          </cell>
        </row>
      </sheetData>
      <sheetData sheetId="15">
        <row r="1">
          <cell r="B1" t="str">
            <v>1</v>
          </cell>
        </row>
      </sheetData>
      <sheetData sheetId="16">
        <row r="1">
          <cell r="B1" t="str">
            <v>1</v>
          </cell>
        </row>
      </sheetData>
      <sheetData sheetId="17">
        <row r="1">
          <cell r="B1" t="str">
            <v>1</v>
          </cell>
        </row>
      </sheetData>
      <sheetData sheetId="18">
        <row r="1">
          <cell r="B1" t="str">
            <v>1</v>
          </cell>
        </row>
      </sheetData>
      <sheetData sheetId="19">
        <row r="1">
          <cell r="B1" t="str">
            <v>1</v>
          </cell>
        </row>
      </sheetData>
      <sheetData sheetId="20">
        <row r="1">
          <cell r="B1" t="str">
            <v>1</v>
          </cell>
        </row>
      </sheetData>
      <sheetData sheetId="21">
        <row r="1">
          <cell r="B1" t="str">
            <v>1</v>
          </cell>
        </row>
      </sheetData>
      <sheetData sheetId="22">
        <row r="1">
          <cell r="B1" t="str">
            <v>1</v>
          </cell>
        </row>
      </sheetData>
      <sheetData sheetId="23">
        <row r="1">
          <cell r="B1" t="str">
            <v>1</v>
          </cell>
        </row>
      </sheetData>
      <sheetData sheetId="24">
        <row r="1">
          <cell r="B1" t="str">
            <v>1</v>
          </cell>
        </row>
      </sheetData>
      <sheetData sheetId="25" refreshError="1"/>
      <sheetData sheetId="26" refreshError="1"/>
      <sheetData sheetId="27">
        <row r="1">
          <cell r="B1" t="str">
            <v>1</v>
          </cell>
        </row>
      </sheetData>
      <sheetData sheetId="28">
        <row r="1">
          <cell r="B1" t="str">
            <v>1</v>
          </cell>
        </row>
      </sheetData>
      <sheetData sheetId="29">
        <row r="1">
          <cell r="B1" t="str">
            <v>1</v>
          </cell>
        </row>
      </sheetData>
      <sheetData sheetId="30">
        <row r="1">
          <cell r="B1" t="str">
            <v>1</v>
          </cell>
        </row>
      </sheetData>
      <sheetData sheetId="31">
        <row r="1">
          <cell r="B1" t="str">
            <v>1</v>
          </cell>
        </row>
      </sheetData>
      <sheetData sheetId="32">
        <row r="1">
          <cell r="B1" t="str">
            <v>1</v>
          </cell>
        </row>
      </sheetData>
      <sheetData sheetId="33">
        <row r="1">
          <cell r="B1" t="str">
            <v>1</v>
          </cell>
        </row>
      </sheetData>
      <sheetData sheetId="34" refreshError="1"/>
      <sheetData sheetId="35" refreshError="1"/>
      <sheetData sheetId="36" refreshError="1"/>
      <sheetData sheetId="37" refreshError="1"/>
      <sheetData sheetId="38" refreshError="1"/>
      <sheetData sheetId="39" refreshError="1"/>
      <sheetData sheetId="40" refreshError="1"/>
      <sheetData sheetId="41">
        <row r="1">
          <cell r="B1" t="str">
            <v>1</v>
          </cell>
        </row>
      </sheetData>
      <sheetData sheetId="42">
        <row r="1">
          <cell r="B1" t="str">
            <v>1</v>
          </cell>
        </row>
      </sheetData>
      <sheetData sheetId="43">
        <row r="1">
          <cell r="B1" t="str">
            <v>1</v>
          </cell>
        </row>
      </sheetData>
      <sheetData sheetId="44">
        <row r="1">
          <cell r="B1" t="str">
            <v>1</v>
          </cell>
        </row>
      </sheetData>
      <sheetData sheetId="45">
        <row r="1">
          <cell r="B1" t="str">
            <v>1</v>
          </cell>
        </row>
      </sheetData>
      <sheetData sheetId="46">
        <row r="1">
          <cell r="B1" t="str">
            <v>1</v>
          </cell>
        </row>
      </sheetData>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ow r="1">
          <cell r="B1" t="str">
            <v>1</v>
          </cell>
        </row>
      </sheetData>
      <sheetData sheetId="62">
        <row r="1">
          <cell r="B1" t="str">
            <v>1</v>
          </cell>
        </row>
      </sheetData>
      <sheetData sheetId="63">
        <row r="1">
          <cell r="B1" t="str">
            <v>1</v>
          </cell>
        </row>
      </sheetData>
      <sheetData sheetId="64">
        <row r="1">
          <cell r="B1" t="str">
            <v>1</v>
          </cell>
        </row>
      </sheetData>
      <sheetData sheetId="65" refreshError="1"/>
      <sheetData sheetId="66" refreshError="1"/>
      <sheetData sheetId="67" refreshError="1"/>
      <sheetData sheetId="68" refreshError="1"/>
      <sheetData sheetId="69">
        <row r="1">
          <cell r="B1" t="str">
            <v>1</v>
          </cell>
        </row>
      </sheetData>
      <sheetData sheetId="70">
        <row r="1">
          <cell r="B1" t="str">
            <v>1</v>
          </cell>
        </row>
      </sheetData>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ow r="1">
          <cell r="B1" t="str">
            <v>1</v>
          </cell>
        </row>
      </sheetData>
      <sheetData sheetId="308">
        <row r="1">
          <cell r="B1" t="str">
            <v>1</v>
          </cell>
        </row>
      </sheetData>
      <sheetData sheetId="309">
        <row r="1">
          <cell r="B1" t="str">
            <v>1</v>
          </cell>
        </row>
      </sheetData>
      <sheetData sheetId="310">
        <row r="1">
          <cell r="B1" t="str">
            <v>1</v>
          </cell>
        </row>
      </sheetData>
      <sheetData sheetId="311">
        <row r="1">
          <cell r="B1" t="str">
            <v>1</v>
          </cell>
        </row>
      </sheetData>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ow r="1">
          <cell r="B1" t="str">
            <v>1</v>
          </cell>
        </row>
      </sheetData>
      <sheetData sheetId="362">
        <row r="1">
          <cell r="B1" t="str">
            <v>1</v>
          </cell>
        </row>
      </sheetData>
      <sheetData sheetId="363">
        <row r="1">
          <cell r="B1" t="str">
            <v>1</v>
          </cell>
        </row>
      </sheetData>
      <sheetData sheetId="364">
        <row r="1">
          <cell r="B1" t="str">
            <v>1</v>
          </cell>
        </row>
      </sheetData>
      <sheetData sheetId="365">
        <row r="1">
          <cell r="B1" t="str">
            <v>1</v>
          </cell>
        </row>
      </sheetData>
      <sheetData sheetId="366">
        <row r="1">
          <cell r="B1" t="str">
            <v>1</v>
          </cell>
        </row>
      </sheetData>
      <sheetData sheetId="367">
        <row r="1">
          <cell r="B1" t="str">
            <v>1</v>
          </cell>
        </row>
      </sheetData>
      <sheetData sheetId="368">
        <row r="1">
          <cell r="B1" t="str">
            <v>1</v>
          </cell>
        </row>
      </sheetData>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ow r="1">
          <cell r="A1" t="str">
            <v>ﾄﾖﾀ自動車株式会社　調達本部　</v>
          </cell>
        </row>
      </sheetData>
      <sheetData sheetId="482">
        <row r="1">
          <cell r="A1" t="str">
            <v>ﾄﾖﾀ自動車株式会社　調達本部　</v>
          </cell>
        </row>
      </sheetData>
      <sheetData sheetId="483">
        <row r="1">
          <cell r="A1" t="str">
            <v>ﾄﾖﾀ自動車株式会社　調達本部　</v>
          </cell>
        </row>
      </sheetData>
      <sheetData sheetId="484">
        <row r="1">
          <cell r="A1" t="str">
            <v>ﾄﾖﾀ自動車株式会社　調達本部　</v>
          </cell>
        </row>
      </sheetData>
      <sheetData sheetId="485">
        <row r="1">
          <cell r="A1" t="str">
            <v>ﾄﾖﾀ自動車株式会社　調達本部　</v>
          </cell>
        </row>
      </sheetData>
      <sheetData sheetId="486">
        <row r="1">
          <cell r="A1" t="str">
            <v>ﾄﾖﾀ自動車株式会社　調達本部　</v>
          </cell>
        </row>
      </sheetData>
      <sheetData sheetId="487">
        <row r="1">
          <cell r="A1" t="str">
            <v>ﾄﾖﾀ自動車株式会社　調達本部　</v>
          </cell>
        </row>
      </sheetData>
      <sheetData sheetId="488">
        <row r="1">
          <cell r="A1" t="str">
            <v>ﾄﾖﾀ自動車株式会社　調達本部　</v>
          </cell>
        </row>
      </sheetData>
      <sheetData sheetId="489">
        <row r="1">
          <cell r="A1" t="str">
            <v>ﾄﾖﾀ自動車株式会社　調達本部　</v>
          </cell>
        </row>
      </sheetData>
      <sheetData sheetId="490">
        <row r="1">
          <cell r="A1" t="str">
            <v>ﾄﾖﾀ自動車株式会社　調達本部　</v>
          </cell>
        </row>
      </sheetData>
      <sheetData sheetId="491">
        <row r="1">
          <cell r="A1" t="str">
            <v>ﾄﾖﾀ自動車株式会社　調達本部　</v>
          </cell>
        </row>
      </sheetData>
      <sheetData sheetId="492">
        <row r="1">
          <cell r="A1" t="str">
            <v>ﾄﾖﾀ自動車株式会社　調達本部　</v>
          </cell>
        </row>
      </sheetData>
      <sheetData sheetId="493">
        <row r="1">
          <cell r="A1" t="str">
            <v>ﾄﾖﾀ自動車株式会社　調達本部　</v>
          </cell>
        </row>
      </sheetData>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ow r="1">
          <cell r="A1" t="str">
            <v>ﾄﾖﾀ自動車株式会社　調達本部　</v>
          </cell>
        </row>
      </sheetData>
      <sheetData sheetId="516">
        <row r="1">
          <cell r="A1" t="str">
            <v>ﾄﾖﾀ自動車株式会社　調達本部　</v>
          </cell>
        </row>
      </sheetData>
      <sheetData sheetId="517">
        <row r="1">
          <cell r="A1" t="str">
            <v>ﾄﾖﾀ自動車株式会社　調達本部　</v>
          </cell>
        </row>
      </sheetData>
      <sheetData sheetId="518">
        <row r="1">
          <cell r="B1" t="str">
            <v>1</v>
          </cell>
        </row>
      </sheetData>
      <sheetData sheetId="519">
        <row r="1">
          <cell r="A1" t="str">
            <v>ﾄﾖﾀ自動車株式会社　調達本部　</v>
          </cell>
        </row>
      </sheetData>
      <sheetData sheetId="520">
        <row r="1">
          <cell r="A1" t="str">
            <v>ﾄﾖﾀ自動車株式会社　調達本部　</v>
          </cell>
        </row>
      </sheetData>
      <sheetData sheetId="521">
        <row r="1">
          <cell r="A1" t="str">
            <v>ﾄﾖﾀ自動車株式会社　調達本部　</v>
          </cell>
        </row>
      </sheetData>
      <sheetData sheetId="522">
        <row r="1">
          <cell r="A1" t="str">
            <v>ﾄﾖﾀ自動車株式会社　調達本部　</v>
          </cell>
        </row>
      </sheetData>
      <sheetData sheetId="523">
        <row r="1">
          <cell r="A1" t="str">
            <v>ﾄﾖﾀ自動車株式会社　調達本部　</v>
          </cell>
        </row>
      </sheetData>
      <sheetData sheetId="524">
        <row r="1">
          <cell r="A1" t="str">
            <v>ﾄﾖﾀ自動車株式会社　調達本部　</v>
          </cell>
        </row>
      </sheetData>
      <sheetData sheetId="525">
        <row r="1">
          <cell r="A1" t="str">
            <v>ﾄﾖﾀ自動車株式会社　調達本部　</v>
          </cell>
        </row>
      </sheetData>
      <sheetData sheetId="526">
        <row r="1">
          <cell r="A1" t="str">
            <v>ﾄﾖﾀ自動車株式会社　調達本部　</v>
          </cell>
        </row>
      </sheetData>
      <sheetData sheetId="527">
        <row r="1">
          <cell r="A1" t="str">
            <v>ﾄﾖﾀ自動車株式会社　調達本部　</v>
          </cell>
        </row>
      </sheetData>
      <sheetData sheetId="528">
        <row r="1">
          <cell r="A1" t="str">
            <v>ﾄﾖﾀ自動車株式会社　調達本部　</v>
          </cell>
        </row>
      </sheetData>
      <sheetData sheetId="529">
        <row r="1">
          <cell r="A1" t="str">
            <v>ﾄﾖﾀ自動車株式会社　調達本部　</v>
          </cell>
        </row>
      </sheetData>
      <sheetData sheetId="530">
        <row r="1">
          <cell r="A1" t="str">
            <v>ﾄﾖﾀ自動車株式会社　調達本部　</v>
          </cell>
        </row>
      </sheetData>
      <sheetData sheetId="531">
        <row r="1">
          <cell r="A1" t="str">
            <v>ﾄﾖﾀ自動車株式会社　調達本部　</v>
          </cell>
        </row>
      </sheetData>
      <sheetData sheetId="532">
        <row r="1">
          <cell r="A1" t="str">
            <v>ﾄﾖﾀ自動車株式会社　調達本部　</v>
          </cell>
        </row>
      </sheetData>
      <sheetData sheetId="533">
        <row r="1">
          <cell r="A1" t="str">
            <v>ﾄﾖﾀ自動車株式会社　調達本部　</v>
          </cell>
        </row>
      </sheetData>
      <sheetData sheetId="534">
        <row r="1">
          <cell r="A1" t="str">
            <v>ﾄﾖﾀ自動車株式会社　調達本部　</v>
          </cell>
        </row>
      </sheetData>
      <sheetData sheetId="535">
        <row r="1">
          <cell r="A1" t="str">
            <v>ﾄﾖﾀ自動車株式会社　調達本部　</v>
          </cell>
        </row>
      </sheetData>
      <sheetData sheetId="536">
        <row r="1">
          <cell r="A1" t="str">
            <v>ﾄﾖﾀ自動車株式会社　調達本部　</v>
          </cell>
        </row>
      </sheetData>
      <sheetData sheetId="537">
        <row r="1">
          <cell r="A1" t="str">
            <v>ﾄﾖﾀ自動車株式会社　調達本部　</v>
          </cell>
        </row>
      </sheetData>
      <sheetData sheetId="538">
        <row r="1">
          <cell r="A1" t="str">
            <v>ﾄﾖﾀ自動車株式会社　調達本部　</v>
          </cell>
        </row>
      </sheetData>
      <sheetData sheetId="539">
        <row r="1">
          <cell r="A1" t="str">
            <v>ﾄﾖﾀ自動車株式会社　調達本部　</v>
          </cell>
        </row>
      </sheetData>
      <sheetData sheetId="540">
        <row r="1">
          <cell r="A1" t="str">
            <v>ﾄﾖﾀ自動車株式会社　調達本部　</v>
          </cell>
        </row>
      </sheetData>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ow r="1">
          <cell r="A1" t="str">
            <v>ﾄﾖﾀ自動車株式会社　調達本部　</v>
          </cell>
        </row>
      </sheetData>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ow r="1">
          <cell r="A1" t="str">
            <v>ﾄﾖﾀ自動車株式会社　調達本部　</v>
          </cell>
        </row>
      </sheetData>
      <sheetData sheetId="655">
        <row r="1">
          <cell r="A1" t="str">
            <v>ﾄﾖﾀ自動車株式会社　調達本部　</v>
          </cell>
        </row>
      </sheetData>
      <sheetData sheetId="656">
        <row r="1">
          <cell r="A1" t="str">
            <v>ﾄﾖﾀ自動車株式会社　調達本部　</v>
          </cell>
        </row>
      </sheetData>
      <sheetData sheetId="657">
        <row r="1">
          <cell r="A1" t="str">
            <v>ﾄﾖﾀ自動車株式会社　調達本部　</v>
          </cell>
        </row>
      </sheetData>
      <sheetData sheetId="658">
        <row r="1">
          <cell r="A1" t="str">
            <v>ﾄﾖﾀ自動車株式会社　調達本部　</v>
          </cell>
        </row>
      </sheetData>
      <sheetData sheetId="659">
        <row r="1">
          <cell r="A1" t="str">
            <v>ﾄﾖﾀ自動車株式会社　調達本部　</v>
          </cell>
        </row>
      </sheetData>
      <sheetData sheetId="660">
        <row r="1">
          <cell r="A1" t="str">
            <v>ﾄﾖﾀ自動車株式会社　調達本部　</v>
          </cell>
        </row>
      </sheetData>
      <sheetData sheetId="661">
        <row r="1">
          <cell r="A1" t="str">
            <v>ﾄﾖﾀ自動車株式会社　調達本部　</v>
          </cell>
        </row>
      </sheetData>
      <sheetData sheetId="662">
        <row r="1">
          <cell r="A1" t="str">
            <v>ﾄﾖﾀ自動車株式会社　調達本部　</v>
          </cell>
        </row>
      </sheetData>
      <sheetData sheetId="663">
        <row r="1">
          <cell r="A1" t="str">
            <v>ﾄﾖﾀ自動車株式会社　調達本部　</v>
          </cell>
        </row>
      </sheetData>
      <sheetData sheetId="664">
        <row r="1">
          <cell r="A1" t="str">
            <v>ﾄﾖﾀ自動車株式会社　調達本部　</v>
          </cell>
        </row>
      </sheetData>
      <sheetData sheetId="665">
        <row r="1">
          <cell r="A1" t="str">
            <v>ﾄﾖﾀ自動車株式会社　調達本部　</v>
          </cell>
        </row>
      </sheetData>
      <sheetData sheetId="666">
        <row r="1">
          <cell r="A1" t="str">
            <v>ﾄﾖﾀ自動車株式会社　調達本部　</v>
          </cell>
        </row>
      </sheetData>
      <sheetData sheetId="667">
        <row r="1">
          <cell r="A1" t="str">
            <v>ﾄﾖﾀ自動車株式会社　調達本部　</v>
          </cell>
        </row>
      </sheetData>
      <sheetData sheetId="668">
        <row r="1">
          <cell r="A1" t="str">
            <v>ﾄﾖﾀ自動車株式会社　調達本部　</v>
          </cell>
        </row>
      </sheetData>
      <sheetData sheetId="669">
        <row r="1">
          <cell r="A1" t="str">
            <v>ﾄﾖﾀ自動車株式会社　調達本部　</v>
          </cell>
        </row>
      </sheetData>
      <sheetData sheetId="670">
        <row r="1">
          <cell r="A1" t="str">
            <v>ﾄﾖﾀ自動車株式会社　調達本部　</v>
          </cell>
        </row>
      </sheetData>
      <sheetData sheetId="671">
        <row r="1">
          <cell r="A1" t="str">
            <v>ﾄﾖﾀ自動車株式会社　調達本部　</v>
          </cell>
        </row>
      </sheetData>
      <sheetData sheetId="672">
        <row r="1">
          <cell r="A1" t="str">
            <v>ﾄﾖﾀ自動車株式会社　調達本部　</v>
          </cell>
        </row>
      </sheetData>
      <sheetData sheetId="673">
        <row r="1">
          <cell r="A1" t="str">
            <v>ﾄﾖﾀ自動車株式会社　調達本部　</v>
          </cell>
        </row>
      </sheetData>
      <sheetData sheetId="674">
        <row r="1">
          <cell r="A1" t="str">
            <v>ﾄﾖﾀ自動車株式会社　調達本部　</v>
          </cell>
        </row>
      </sheetData>
      <sheetData sheetId="675">
        <row r="1">
          <cell r="A1" t="str">
            <v>ﾄﾖﾀ自動車株式会社　調達本部　</v>
          </cell>
        </row>
      </sheetData>
      <sheetData sheetId="676">
        <row r="1">
          <cell r="A1" t="str">
            <v>ﾄﾖﾀ自動車株式会社　調達本部　</v>
          </cell>
        </row>
      </sheetData>
      <sheetData sheetId="677">
        <row r="1">
          <cell r="A1" t="str">
            <v>ﾄﾖﾀ自動車株式会社　調達本部　</v>
          </cell>
        </row>
      </sheetData>
      <sheetData sheetId="678">
        <row r="1">
          <cell r="A1" t="str">
            <v>ﾄﾖﾀ自動車株式会社　調達本部　</v>
          </cell>
        </row>
      </sheetData>
      <sheetData sheetId="679">
        <row r="1">
          <cell r="A1" t="str">
            <v>ﾄﾖﾀ自動車株式会社　調達本部　</v>
          </cell>
        </row>
      </sheetData>
      <sheetData sheetId="680">
        <row r="1">
          <cell r="B1" t="str">
            <v>1</v>
          </cell>
        </row>
      </sheetData>
      <sheetData sheetId="681">
        <row r="1">
          <cell r="A1" t="str">
            <v>ﾄﾖﾀ自動車株式会社　調達本部　</v>
          </cell>
        </row>
      </sheetData>
      <sheetData sheetId="682">
        <row r="1">
          <cell r="A1" t="str">
            <v>ﾄﾖﾀ自動車株式会社　調達本部　</v>
          </cell>
        </row>
      </sheetData>
      <sheetData sheetId="683">
        <row r="1">
          <cell r="A1" t="str">
            <v>ﾄﾖﾀ自動車株式会社　調達本部　</v>
          </cell>
        </row>
      </sheetData>
      <sheetData sheetId="684">
        <row r="1">
          <cell r="A1" t="str">
            <v>ﾄﾖﾀ自動車株式会社　調達本部　</v>
          </cell>
        </row>
      </sheetData>
      <sheetData sheetId="685">
        <row r="1">
          <cell r="A1" t="str">
            <v>ﾄﾖﾀ自動車株式会社　調達本部　</v>
          </cell>
        </row>
      </sheetData>
      <sheetData sheetId="686">
        <row r="1">
          <cell r="A1" t="str">
            <v>ﾄﾖﾀ自動車株式会社　調達本部　</v>
          </cell>
        </row>
      </sheetData>
      <sheetData sheetId="687">
        <row r="1">
          <cell r="A1" t="str">
            <v>ﾄﾖﾀ自動車株式会社　調達本部　</v>
          </cell>
        </row>
      </sheetData>
      <sheetData sheetId="688">
        <row r="1">
          <cell r="A1" t="str">
            <v>ﾄﾖﾀ自動車株式会社　調達本部　</v>
          </cell>
        </row>
      </sheetData>
      <sheetData sheetId="689">
        <row r="1">
          <cell r="A1" t="str">
            <v>ﾄﾖﾀ自動車株式会社　調達本部　</v>
          </cell>
        </row>
      </sheetData>
      <sheetData sheetId="690">
        <row r="1">
          <cell r="A1" t="str">
            <v>ﾄﾖﾀ自動車株式会社　調達本部　</v>
          </cell>
        </row>
      </sheetData>
      <sheetData sheetId="691">
        <row r="1">
          <cell r="A1" t="str">
            <v>ﾄﾖﾀ自動車株式会社　調達本部　</v>
          </cell>
        </row>
      </sheetData>
      <sheetData sheetId="692">
        <row r="1">
          <cell r="A1" t="str">
            <v>ﾄﾖﾀ自動車株式会社　調達本部　</v>
          </cell>
        </row>
      </sheetData>
      <sheetData sheetId="693">
        <row r="1">
          <cell r="A1" t="str">
            <v>ﾄﾖﾀ自動車株式会社　調達本部　</v>
          </cell>
        </row>
      </sheetData>
      <sheetData sheetId="694">
        <row r="1">
          <cell r="A1" t="str">
            <v>ﾄﾖﾀ自動車株式会社　調達本部　</v>
          </cell>
        </row>
      </sheetData>
      <sheetData sheetId="695">
        <row r="1">
          <cell r="A1" t="str">
            <v>ﾄﾖﾀ自動車株式会社　調達本部　</v>
          </cell>
        </row>
      </sheetData>
      <sheetData sheetId="696">
        <row r="1">
          <cell r="A1" t="str">
            <v>ﾄﾖﾀ自動車株式会社　調達本部　</v>
          </cell>
        </row>
      </sheetData>
      <sheetData sheetId="697">
        <row r="1">
          <cell r="A1" t="str">
            <v>ﾄﾖﾀ自動車株式会社　調達本部　</v>
          </cell>
        </row>
      </sheetData>
      <sheetData sheetId="698">
        <row r="1">
          <cell r="A1" t="str">
            <v>ﾄﾖﾀ自動車株式会社　調達本部　</v>
          </cell>
        </row>
      </sheetData>
      <sheetData sheetId="699">
        <row r="1">
          <cell r="A1" t="str">
            <v>ﾄﾖﾀ自動車株式会社　調達本部　</v>
          </cell>
        </row>
      </sheetData>
      <sheetData sheetId="700">
        <row r="1">
          <cell r="A1" t="str">
            <v>ﾄﾖﾀ自動車株式会社　調達本部　</v>
          </cell>
        </row>
      </sheetData>
      <sheetData sheetId="701">
        <row r="1">
          <cell r="A1" t="str">
            <v>ﾄﾖﾀ自動車株式会社　調達本部　</v>
          </cell>
        </row>
      </sheetData>
      <sheetData sheetId="702">
        <row r="1">
          <cell r="A1" t="str">
            <v>ﾄﾖﾀ自動車株式会社　調達本部　</v>
          </cell>
        </row>
      </sheetData>
      <sheetData sheetId="703">
        <row r="1">
          <cell r="A1" t="str">
            <v>ﾄﾖﾀ自動車株式会社　調達本部　</v>
          </cell>
        </row>
      </sheetData>
      <sheetData sheetId="704">
        <row r="1">
          <cell r="A1" t="str">
            <v>ﾄﾖﾀ自動車株式会社　調達本部　</v>
          </cell>
        </row>
      </sheetData>
      <sheetData sheetId="705">
        <row r="1">
          <cell r="A1" t="str">
            <v>ﾄﾖﾀ自動車株式会社　調達本部　</v>
          </cell>
        </row>
      </sheetData>
      <sheetData sheetId="706">
        <row r="1">
          <cell r="A1" t="str">
            <v>ﾄﾖﾀ自動車株式会社　調達本部　</v>
          </cell>
        </row>
      </sheetData>
      <sheetData sheetId="707">
        <row r="1">
          <cell r="A1" t="str">
            <v>ﾄﾖﾀ自動車株式会社　調達本部　</v>
          </cell>
        </row>
      </sheetData>
      <sheetData sheetId="708">
        <row r="1">
          <cell r="A1" t="str">
            <v>ﾄﾖﾀ自動車株式会社　調達本部　</v>
          </cell>
        </row>
      </sheetData>
      <sheetData sheetId="709">
        <row r="1">
          <cell r="A1" t="str">
            <v>ﾄﾖﾀ自動車株式会社　調達本部　</v>
          </cell>
        </row>
      </sheetData>
      <sheetData sheetId="710">
        <row r="1">
          <cell r="A1" t="str">
            <v>ﾄﾖﾀ自動車株式会社　調達本部　</v>
          </cell>
        </row>
      </sheetData>
      <sheetData sheetId="711">
        <row r="1">
          <cell r="A1" t="str">
            <v>ﾄﾖﾀ自動車株式会社　調達本部　</v>
          </cell>
        </row>
      </sheetData>
      <sheetData sheetId="712">
        <row r="1">
          <cell r="A1" t="str">
            <v>ﾄﾖﾀ自動車株式会社　調達本部　</v>
          </cell>
        </row>
      </sheetData>
      <sheetData sheetId="713">
        <row r="1">
          <cell r="A1" t="str">
            <v>ﾄﾖﾀ自動車株式会社　調達本部　</v>
          </cell>
        </row>
      </sheetData>
      <sheetData sheetId="714">
        <row r="1">
          <cell r="A1" t="str">
            <v>ﾄﾖﾀ自動車株式会社　調達本部　</v>
          </cell>
        </row>
      </sheetData>
      <sheetData sheetId="715">
        <row r="1">
          <cell r="A1" t="str">
            <v>ﾄﾖﾀ自動車株式会社　調達本部　</v>
          </cell>
        </row>
      </sheetData>
      <sheetData sheetId="716">
        <row r="1">
          <cell r="A1" t="str">
            <v>ﾄﾖﾀ自動車株式会社　調達本部　</v>
          </cell>
        </row>
      </sheetData>
      <sheetData sheetId="717">
        <row r="1">
          <cell r="A1" t="str">
            <v>ﾄﾖﾀ自動車株式会社　調達本部　</v>
          </cell>
        </row>
      </sheetData>
      <sheetData sheetId="718">
        <row r="1">
          <cell r="A1" t="str">
            <v>ﾄﾖﾀ自動車株式会社　調達本部　</v>
          </cell>
        </row>
      </sheetData>
      <sheetData sheetId="719">
        <row r="1">
          <cell r="A1" t="str">
            <v>ﾄﾖﾀ自動車株式会社　調達本部　</v>
          </cell>
        </row>
      </sheetData>
      <sheetData sheetId="720">
        <row r="1">
          <cell r="A1" t="str">
            <v>ﾄﾖﾀ自動車株式会社　調達本部　</v>
          </cell>
        </row>
      </sheetData>
      <sheetData sheetId="721">
        <row r="1">
          <cell r="A1" t="str">
            <v>ﾄﾖﾀ自動車株式会社　調達本部　</v>
          </cell>
        </row>
      </sheetData>
      <sheetData sheetId="722">
        <row r="1">
          <cell r="A1" t="str">
            <v>ﾄﾖﾀ自動車株式会社　調達本部　</v>
          </cell>
        </row>
      </sheetData>
      <sheetData sheetId="723">
        <row r="1">
          <cell r="A1" t="str">
            <v>ﾄﾖﾀ自動車株式会社　調達本部　</v>
          </cell>
        </row>
      </sheetData>
      <sheetData sheetId="724">
        <row r="1">
          <cell r="A1" t="str">
            <v>ﾄﾖﾀ自動車株式会社　調達本部　</v>
          </cell>
        </row>
      </sheetData>
      <sheetData sheetId="725">
        <row r="1">
          <cell r="A1" t="str">
            <v>ﾄﾖﾀ自動車株式会社　調達本部　</v>
          </cell>
        </row>
      </sheetData>
      <sheetData sheetId="726">
        <row r="1">
          <cell r="A1" t="str">
            <v>ﾄﾖﾀ自動車株式会社　調達本部　</v>
          </cell>
        </row>
      </sheetData>
      <sheetData sheetId="727">
        <row r="1">
          <cell r="A1" t="str">
            <v>ﾄﾖﾀ自動車株式会社　調達本部　</v>
          </cell>
        </row>
      </sheetData>
      <sheetData sheetId="728">
        <row r="1">
          <cell r="A1" t="str">
            <v>ﾄﾖﾀ自動車株式会社　調達本部　</v>
          </cell>
        </row>
      </sheetData>
      <sheetData sheetId="729">
        <row r="1">
          <cell r="A1" t="str">
            <v>ﾄﾖﾀ自動車株式会社　調達本部　</v>
          </cell>
        </row>
      </sheetData>
      <sheetData sheetId="730">
        <row r="1">
          <cell r="A1" t="str">
            <v>ﾄﾖﾀ自動車株式会社　調達本部　</v>
          </cell>
        </row>
      </sheetData>
      <sheetData sheetId="731">
        <row r="1">
          <cell r="A1" t="str">
            <v>ﾄﾖﾀ自動車株式会社　調達本部　</v>
          </cell>
        </row>
      </sheetData>
      <sheetData sheetId="732">
        <row r="1">
          <cell r="B1" t="str">
            <v>1</v>
          </cell>
        </row>
      </sheetData>
      <sheetData sheetId="733">
        <row r="1">
          <cell r="B1" t="str">
            <v>1</v>
          </cell>
        </row>
      </sheetData>
      <sheetData sheetId="734">
        <row r="1">
          <cell r="B1" t="str">
            <v>1</v>
          </cell>
        </row>
      </sheetData>
      <sheetData sheetId="735">
        <row r="1">
          <cell r="B1" t="str">
            <v>1</v>
          </cell>
        </row>
      </sheetData>
      <sheetData sheetId="736">
        <row r="1">
          <cell r="B1" t="str">
            <v>1</v>
          </cell>
        </row>
      </sheetData>
      <sheetData sheetId="737">
        <row r="1">
          <cell r="B1" t="str">
            <v>1</v>
          </cell>
        </row>
      </sheetData>
      <sheetData sheetId="738">
        <row r="1">
          <cell r="B1" t="str">
            <v>1</v>
          </cell>
        </row>
      </sheetData>
      <sheetData sheetId="739">
        <row r="1">
          <cell r="B1" t="str">
            <v>1</v>
          </cell>
        </row>
      </sheetData>
      <sheetData sheetId="740">
        <row r="1">
          <cell r="B1" t="str">
            <v>1</v>
          </cell>
        </row>
      </sheetData>
      <sheetData sheetId="741">
        <row r="1">
          <cell r="B1" t="str">
            <v>1</v>
          </cell>
        </row>
      </sheetData>
      <sheetData sheetId="742">
        <row r="1">
          <cell r="B1" t="str">
            <v>1</v>
          </cell>
        </row>
      </sheetData>
      <sheetData sheetId="743">
        <row r="1">
          <cell r="B1" t="str">
            <v>1</v>
          </cell>
        </row>
      </sheetData>
      <sheetData sheetId="744">
        <row r="1">
          <cell r="B1" t="str">
            <v>1</v>
          </cell>
        </row>
      </sheetData>
      <sheetData sheetId="745">
        <row r="1">
          <cell r="B1" t="str">
            <v>1</v>
          </cell>
        </row>
      </sheetData>
      <sheetData sheetId="746">
        <row r="1">
          <cell r="A1" t="str">
            <v>ﾄﾖﾀ自動車株式会社　調達本部　</v>
          </cell>
        </row>
      </sheetData>
      <sheetData sheetId="747">
        <row r="1">
          <cell r="A1" t="str">
            <v>ﾄﾖﾀ自動車株式会社　調達本部　</v>
          </cell>
        </row>
      </sheetData>
      <sheetData sheetId="748">
        <row r="1">
          <cell r="A1" t="str">
            <v>ﾄﾖﾀ自動車株式会社　調達本部　</v>
          </cell>
        </row>
      </sheetData>
      <sheetData sheetId="749">
        <row r="1">
          <cell r="A1" t="str">
            <v>ﾄﾖﾀ自動車株式会社　調達本部　</v>
          </cell>
        </row>
      </sheetData>
      <sheetData sheetId="750">
        <row r="1">
          <cell r="A1" t="str">
            <v>ﾄﾖﾀ自動車株式会社　調達本部　</v>
          </cell>
        </row>
      </sheetData>
      <sheetData sheetId="751">
        <row r="1">
          <cell r="A1" t="str">
            <v>ﾄﾖﾀ自動車株式会社　調達本部　</v>
          </cell>
        </row>
      </sheetData>
      <sheetData sheetId="752">
        <row r="1">
          <cell r="A1" t="str">
            <v>ﾄﾖﾀ自動車株式会社　調達本部　</v>
          </cell>
        </row>
      </sheetData>
      <sheetData sheetId="753">
        <row r="1">
          <cell r="B1" t="str">
            <v>1</v>
          </cell>
        </row>
      </sheetData>
      <sheetData sheetId="754">
        <row r="1">
          <cell r="B1" t="str">
            <v>1</v>
          </cell>
        </row>
      </sheetData>
      <sheetData sheetId="755">
        <row r="1">
          <cell r="B1" t="str">
            <v>1</v>
          </cell>
        </row>
      </sheetData>
      <sheetData sheetId="756">
        <row r="1">
          <cell r="B1" t="str">
            <v>1</v>
          </cell>
        </row>
      </sheetData>
      <sheetData sheetId="757">
        <row r="1">
          <cell r="B1" t="str">
            <v>1</v>
          </cell>
        </row>
      </sheetData>
      <sheetData sheetId="758">
        <row r="1">
          <cell r="B1" t="str">
            <v>1</v>
          </cell>
        </row>
      </sheetData>
      <sheetData sheetId="759">
        <row r="1">
          <cell r="B1" t="str">
            <v>1</v>
          </cell>
        </row>
      </sheetData>
      <sheetData sheetId="760">
        <row r="1">
          <cell r="B1" t="str">
            <v>1</v>
          </cell>
        </row>
      </sheetData>
      <sheetData sheetId="761">
        <row r="1">
          <cell r="B1" t="str">
            <v>1</v>
          </cell>
        </row>
      </sheetData>
      <sheetData sheetId="762">
        <row r="1">
          <cell r="B1" t="str">
            <v>1</v>
          </cell>
        </row>
      </sheetData>
      <sheetData sheetId="763">
        <row r="1">
          <cell r="B1" t="str">
            <v>1</v>
          </cell>
        </row>
      </sheetData>
      <sheetData sheetId="764">
        <row r="1">
          <cell r="B1" t="str">
            <v>1</v>
          </cell>
        </row>
      </sheetData>
      <sheetData sheetId="765">
        <row r="1">
          <cell r="B1" t="str">
            <v>1</v>
          </cell>
        </row>
      </sheetData>
      <sheetData sheetId="766">
        <row r="1">
          <cell r="B1" t="str">
            <v>1</v>
          </cell>
        </row>
      </sheetData>
      <sheetData sheetId="767">
        <row r="1">
          <cell r="B1" t="str">
            <v>1</v>
          </cell>
        </row>
      </sheetData>
      <sheetData sheetId="768">
        <row r="1">
          <cell r="A1" t="str">
            <v>ﾄﾖﾀ自動車株式会社　調達本部　</v>
          </cell>
        </row>
      </sheetData>
      <sheetData sheetId="769">
        <row r="1">
          <cell r="A1" t="str">
            <v>ﾄﾖﾀ自動車株式会社　調達本部　</v>
          </cell>
        </row>
      </sheetData>
      <sheetData sheetId="770">
        <row r="1">
          <cell r="A1" t="str">
            <v>ﾄﾖﾀ自動車株式会社　調達本部　</v>
          </cell>
        </row>
      </sheetData>
      <sheetData sheetId="771">
        <row r="1">
          <cell r="A1" t="str">
            <v>ﾄﾖﾀ自動車株式会社　調達本部　</v>
          </cell>
        </row>
      </sheetData>
      <sheetData sheetId="772">
        <row r="1">
          <cell r="A1" t="str">
            <v>ﾄﾖﾀ自動車株式会社　調達本部　</v>
          </cell>
        </row>
      </sheetData>
      <sheetData sheetId="773">
        <row r="1">
          <cell r="A1" t="str">
            <v>ﾄﾖﾀ自動車株式会社　調達本部　</v>
          </cell>
        </row>
      </sheetData>
      <sheetData sheetId="774">
        <row r="1">
          <cell r="A1" t="str">
            <v>ﾄﾖﾀ自動車株式会社　調達本部　</v>
          </cell>
        </row>
      </sheetData>
      <sheetData sheetId="775">
        <row r="1">
          <cell r="A1" t="str">
            <v>ﾄﾖﾀ自動車株式会社　調達本部　</v>
          </cell>
        </row>
      </sheetData>
      <sheetData sheetId="776">
        <row r="1">
          <cell r="B1" t="str">
            <v>1</v>
          </cell>
        </row>
      </sheetData>
      <sheetData sheetId="777">
        <row r="1">
          <cell r="B1" t="str">
            <v>1</v>
          </cell>
        </row>
      </sheetData>
      <sheetData sheetId="778">
        <row r="1">
          <cell r="B1" t="str">
            <v>1</v>
          </cell>
        </row>
      </sheetData>
      <sheetData sheetId="779">
        <row r="1">
          <cell r="B1" t="str">
            <v>1</v>
          </cell>
        </row>
      </sheetData>
      <sheetData sheetId="780">
        <row r="1">
          <cell r="B1" t="str">
            <v>1</v>
          </cell>
        </row>
      </sheetData>
      <sheetData sheetId="781">
        <row r="1">
          <cell r="B1" t="str">
            <v>1</v>
          </cell>
        </row>
      </sheetData>
      <sheetData sheetId="782">
        <row r="1">
          <cell r="B1" t="str">
            <v>1</v>
          </cell>
        </row>
      </sheetData>
      <sheetData sheetId="783">
        <row r="1">
          <cell r="B1" t="str">
            <v>1</v>
          </cell>
        </row>
      </sheetData>
      <sheetData sheetId="784">
        <row r="1">
          <cell r="B1" t="str">
            <v>1</v>
          </cell>
        </row>
      </sheetData>
      <sheetData sheetId="785">
        <row r="1">
          <cell r="A1" t="str">
            <v>ﾄﾖﾀ自動車株式会社　調達本部　</v>
          </cell>
        </row>
      </sheetData>
      <sheetData sheetId="786">
        <row r="1">
          <cell r="A1" t="str">
            <v>ﾄﾖﾀ自動車株式会社　調達本部　</v>
          </cell>
        </row>
      </sheetData>
      <sheetData sheetId="787" refreshError="1"/>
      <sheetData sheetId="788" refreshError="1"/>
      <sheetData sheetId="789" refreshError="1"/>
      <sheetData sheetId="790" refreshError="1"/>
      <sheetData sheetId="791" refreshError="1"/>
      <sheetData sheetId="792">
        <row r="1">
          <cell r="A1" t="str">
            <v>ﾄﾖﾀ自動車株式会社　調達本部　</v>
          </cell>
        </row>
      </sheetData>
      <sheetData sheetId="793">
        <row r="1">
          <cell r="A1" t="str">
            <v>ﾄﾖﾀ自動車株式会社　調達本部　</v>
          </cell>
        </row>
      </sheetData>
      <sheetData sheetId="794">
        <row r="1">
          <cell r="A1" t="str">
            <v>ﾄﾖﾀ自動車株式会社　調達本部　</v>
          </cell>
        </row>
      </sheetData>
      <sheetData sheetId="795">
        <row r="1">
          <cell r="A1" t="str">
            <v>ﾄﾖﾀ自動車株式会社　調達本部　</v>
          </cell>
        </row>
      </sheetData>
      <sheetData sheetId="796">
        <row r="1">
          <cell r="A1" t="str">
            <v>ﾄﾖﾀ自動車株式会社　調達本部　</v>
          </cell>
        </row>
      </sheetData>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ow r="1">
          <cell r="A1" t="str">
            <v>ﾄﾖﾀ自動車株式会社　調達本部　</v>
          </cell>
        </row>
      </sheetData>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ow r="1">
          <cell r="A1" t="str">
            <v>ﾄﾖﾀ自動車株式会社　調達本部　</v>
          </cell>
        </row>
      </sheetData>
      <sheetData sheetId="848">
        <row r="1">
          <cell r="A1" t="str">
            <v>ﾄﾖﾀ自動車株式会社　調達本部　</v>
          </cell>
        </row>
      </sheetData>
      <sheetData sheetId="849">
        <row r="1">
          <cell r="A1" t="str">
            <v>ﾄﾖﾀ自動車株式会社　調達本部　</v>
          </cell>
        </row>
      </sheetData>
      <sheetData sheetId="850">
        <row r="1">
          <cell r="A1" t="str">
            <v>ﾄﾖﾀ自動車株式会社　調達本部　</v>
          </cell>
        </row>
      </sheetData>
      <sheetData sheetId="851">
        <row r="1">
          <cell r="A1" t="str">
            <v>ﾄﾖﾀ自動車株式会社　調達本部　</v>
          </cell>
        </row>
      </sheetData>
      <sheetData sheetId="852">
        <row r="1">
          <cell r="A1" t="str">
            <v>ﾄﾖﾀ自動車株式会社　調達本部　</v>
          </cell>
        </row>
      </sheetData>
      <sheetData sheetId="853">
        <row r="1">
          <cell r="A1" t="str">
            <v>ﾄﾖﾀ自動車株式会社　調達本部　</v>
          </cell>
        </row>
      </sheetData>
      <sheetData sheetId="854">
        <row r="1">
          <cell r="A1" t="str">
            <v>ﾄﾖﾀ自動車株式会社　調達本部　</v>
          </cell>
        </row>
      </sheetData>
      <sheetData sheetId="855">
        <row r="1">
          <cell r="A1" t="str">
            <v>ﾄﾖﾀ自動車株式会社　調達本部　</v>
          </cell>
        </row>
      </sheetData>
      <sheetData sheetId="856">
        <row r="1">
          <cell r="A1" t="str">
            <v>ﾄﾖﾀ自動車株式会社　調達本部　</v>
          </cell>
        </row>
      </sheetData>
      <sheetData sheetId="857">
        <row r="1">
          <cell r="A1" t="str">
            <v>ﾄﾖﾀ自動車株式会社　調達本部　</v>
          </cell>
        </row>
      </sheetData>
      <sheetData sheetId="858">
        <row r="1">
          <cell r="A1" t="str">
            <v>ﾄﾖﾀ自動車株式会社　調達本部　</v>
          </cell>
        </row>
      </sheetData>
      <sheetData sheetId="859">
        <row r="1">
          <cell r="A1" t="str">
            <v>ﾄﾖﾀ自動車株式会社　調達本部　</v>
          </cell>
        </row>
      </sheetData>
      <sheetData sheetId="860">
        <row r="1">
          <cell r="A1" t="str">
            <v>ﾄﾖﾀ自動車株式会社　調達本部　</v>
          </cell>
        </row>
      </sheetData>
      <sheetData sheetId="861">
        <row r="1">
          <cell r="A1" t="str">
            <v>ﾄﾖﾀ自動車株式会社　調達本部　</v>
          </cell>
        </row>
      </sheetData>
      <sheetData sheetId="862">
        <row r="1">
          <cell r="A1" t="str">
            <v>ﾄﾖﾀ自動車株式会社　調達本部　</v>
          </cell>
        </row>
      </sheetData>
      <sheetData sheetId="863">
        <row r="1">
          <cell r="A1" t="str">
            <v>ﾄﾖﾀ自動車株式会社　調達本部　</v>
          </cell>
        </row>
      </sheetData>
      <sheetData sheetId="864">
        <row r="1">
          <cell r="A1" t="str">
            <v>ﾄﾖﾀ自動車株式会社　調達本部　</v>
          </cell>
        </row>
      </sheetData>
      <sheetData sheetId="865">
        <row r="1">
          <cell r="A1" t="str">
            <v>ﾄﾖﾀ自動車株式会社　調達本部　</v>
          </cell>
        </row>
      </sheetData>
      <sheetData sheetId="866">
        <row r="1">
          <cell r="A1" t="str">
            <v>ﾄﾖﾀ自動車株式会社　調達本部　</v>
          </cell>
        </row>
      </sheetData>
      <sheetData sheetId="867">
        <row r="1">
          <cell r="A1" t="str">
            <v>ﾄﾖﾀ自動車株式会社　調達本部　</v>
          </cell>
        </row>
      </sheetData>
      <sheetData sheetId="868">
        <row r="1">
          <cell r="A1" t="str">
            <v>ﾄﾖﾀ自動車株式会社　調達本部　</v>
          </cell>
        </row>
      </sheetData>
      <sheetData sheetId="869">
        <row r="1">
          <cell r="A1" t="str">
            <v>ﾄﾖﾀ自動車株式会社　調達本部　</v>
          </cell>
        </row>
      </sheetData>
      <sheetData sheetId="870">
        <row r="1">
          <cell r="A1" t="str">
            <v>ﾄﾖﾀ自動車株式会社　調達本部　</v>
          </cell>
        </row>
      </sheetData>
      <sheetData sheetId="871">
        <row r="1">
          <cell r="A1" t="str">
            <v>ﾄﾖﾀ自動車株式会社　調達本部　</v>
          </cell>
        </row>
      </sheetData>
      <sheetData sheetId="872">
        <row r="1">
          <cell r="A1" t="str">
            <v>ﾄﾖﾀ自動車株式会社　調達本部　</v>
          </cell>
        </row>
      </sheetData>
      <sheetData sheetId="873">
        <row r="1">
          <cell r="A1" t="str">
            <v>ﾄﾖﾀ自動車株式会社　調達本部　</v>
          </cell>
        </row>
      </sheetData>
      <sheetData sheetId="874">
        <row r="1">
          <cell r="A1" t="str">
            <v>ﾄﾖﾀ自動車株式会社　調達本部　</v>
          </cell>
        </row>
      </sheetData>
      <sheetData sheetId="875">
        <row r="1">
          <cell r="A1" t="str">
            <v>ﾄﾖﾀ自動車株式会社　調達本部　</v>
          </cell>
        </row>
      </sheetData>
      <sheetData sheetId="876">
        <row r="1">
          <cell r="A1" t="str">
            <v>ﾄﾖﾀ自動車株式会社　調達本部　</v>
          </cell>
        </row>
      </sheetData>
      <sheetData sheetId="877">
        <row r="1">
          <cell r="A1" t="str">
            <v>ﾄﾖﾀ自動車株式会社　調達本部　</v>
          </cell>
        </row>
      </sheetData>
      <sheetData sheetId="878">
        <row r="1">
          <cell r="A1" t="str">
            <v>ﾄﾖﾀ自動車株式会社　調達本部　</v>
          </cell>
        </row>
      </sheetData>
      <sheetData sheetId="879">
        <row r="1">
          <cell r="A1" t="str">
            <v>ﾄﾖﾀ自動車株式会社　調達本部　</v>
          </cell>
        </row>
      </sheetData>
      <sheetData sheetId="880">
        <row r="1">
          <cell r="A1" t="str">
            <v>ﾄﾖﾀ自動車株式会社　調達本部　</v>
          </cell>
        </row>
      </sheetData>
      <sheetData sheetId="881">
        <row r="1">
          <cell r="A1" t="str">
            <v>ﾄﾖﾀ自動車株式会社　調達本部　</v>
          </cell>
        </row>
      </sheetData>
      <sheetData sheetId="882">
        <row r="1">
          <cell r="A1" t="str">
            <v>ﾄﾖﾀ自動車株式会社　調達本部　</v>
          </cell>
        </row>
      </sheetData>
      <sheetData sheetId="883">
        <row r="1">
          <cell r="A1" t="str">
            <v>ﾄﾖﾀ自動車株式会社　調達本部　</v>
          </cell>
        </row>
      </sheetData>
      <sheetData sheetId="884">
        <row r="1">
          <cell r="A1" t="str">
            <v>ﾄﾖﾀ自動車株式会社　調達本部　</v>
          </cell>
        </row>
      </sheetData>
      <sheetData sheetId="885">
        <row r="1">
          <cell r="A1" t="str">
            <v>ﾄﾖﾀ自動車株式会社　調達本部　</v>
          </cell>
        </row>
      </sheetData>
      <sheetData sheetId="886">
        <row r="1">
          <cell r="A1" t="str">
            <v>ﾄﾖﾀ自動車株式会社　調達本部　</v>
          </cell>
        </row>
      </sheetData>
      <sheetData sheetId="887">
        <row r="1">
          <cell r="A1" t="str">
            <v>ﾄﾖﾀ自動車株式会社　調達本部　</v>
          </cell>
        </row>
      </sheetData>
      <sheetData sheetId="888">
        <row r="1">
          <cell r="A1" t="str">
            <v>ﾄﾖﾀ自動車株式会社　調達本部　</v>
          </cell>
        </row>
      </sheetData>
      <sheetData sheetId="889">
        <row r="1">
          <cell r="A1" t="str">
            <v>ﾄﾖﾀ自動車株式会社　調達本部　</v>
          </cell>
        </row>
      </sheetData>
      <sheetData sheetId="890">
        <row r="1">
          <cell r="A1" t="str">
            <v>ﾄﾖﾀ自動車株式会社　調達本部　</v>
          </cell>
        </row>
      </sheetData>
      <sheetData sheetId="891">
        <row r="1">
          <cell r="A1" t="str">
            <v>ﾄﾖﾀ自動車株式会社　調達本部　</v>
          </cell>
        </row>
      </sheetData>
      <sheetData sheetId="892">
        <row r="1">
          <cell r="A1" t="str">
            <v>ﾄﾖﾀ自動車株式会社　調達本部　</v>
          </cell>
        </row>
      </sheetData>
      <sheetData sheetId="893">
        <row r="1">
          <cell r="A1" t="str">
            <v>ﾄﾖﾀ自動車株式会社　調達本部　</v>
          </cell>
        </row>
      </sheetData>
      <sheetData sheetId="894">
        <row r="1">
          <cell r="A1" t="str">
            <v>ﾄﾖﾀ自動車株式会社　調達本部　</v>
          </cell>
        </row>
      </sheetData>
      <sheetData sheetId="895">
        <row r="1">
          <cell r="A1" t="str">
            <v>ﾄﾖﾀ自動車株式会社　調達本部　</v>
          </cell>
        </row>
      </sheetData>
      <sheetData sheetId="896">
        <row r="1">
          <cell r="A1" t="str">
            <v>ﾄﾖﾀ自動車株式会社　調達本部　</v>
          </cell>
        </row>
      </sheetData>
      <sheetData sheetId="897">
        <row r="1">
          <cell r="A1" t="str">
            <v>ﾄﾖﾀ自動車株式会社　調達本部　</v>
          </cell>
        </row>
      </sheetData>
      <sheetData sheetId="898">
        <row r="1">
          <cell r="A1" t="str">
            <v>ﾄﾖﾀ自動車株式会社　調達本部　</v>
          </cell>
        </row>
      </sheetData>
      <sheetData sheetId="899">
        <row r="1">
          <cell r="A1" t="str">
            <v>ﾄﾖﾀ自動車株式会社　調達本部　</v>
          </cell>
        </row>
      </sheetData>
      <sheetData sheetId="900">
        <row r="1">
          <cell r="A1" t="str">
            <v>ﾄﾖﾀ自動車株式会社　調達本部　</v>
          </cell>
        </row>
      </sheetData>
      <sheetData sheetId="901">
        <row r="1">
          <cell r="A1" t="str">
            <v>ﾄﾖﾀ自動車株式会社　調達本部　</v>
          </cell>
        </row>
      </sheetData>
      <sheetData sheetId="902">
        <row r="1">
          <cell r="A1" t="str">
            <v>ﾄﾖﾀ自動車株式会社　調達本部　</v>
          </cell>
        </row>
      </sheetData>
      <sheetData sheetId="903">
        <row r="1">
          <cell r="B1" t="str">
            <v>1</v>
          </cell>
        </row>
      </sheetData>
      <sheetData sheetId="904">
        <row r="1">
          <cell r="A1" t="str">
            <v>ﾄﾖﾀ自動車株式会社　調達本部　</v>
          </cell>
        </row>
      </sheetData>
      <sheetData sheetId="905">
        <row r="1">
          <cell r="A1" t="str">
            <v>ﾄﾖﾀ自動車株式会社　調達本部　</v>
          </cell>
        </row>
      </sheetData>
      <sheetData sheetId="906">
        <row r="1">
          <cell r="A1" t="str">
            <v>ﾄﾖﾀ自動車株式会社　調達本部　</v>
          </cell>
        </row>
      </sheetData>
      <sheetData sheetId="907">
        <row r="1">
          <cell r="A1" t="str">
            <v>ﾄﾖﾀ自動車株式会社　調達本部　</v>
          </cell>
        </row>
      </sheetData>
      <sheetData sheetId="908">
        <row r="1">
          <cell r="A1" t="str">
            <v>ﾄﾖﾀ自動車株式会社　調達本部　</v>
          </cell>
        </row>
      </sheetData>
      <sheetData sheetId="909">
        <row r="1">
          <cell r="A1" t="str">
            <v>ﾄﾖﾀ自動車株式会社　調達本部　</v>
          </cell>
        </row>
      </sheetData>
      <sheetData sheetId="910">
        <row r="1">
          <cell r="A1" t="str">
            <v>ﾄﾖﾀ自動車株式会社　調達本部　</v>
          </cell>
        </row>
      </sheetData>
      <sheetData sheetId="911">
        <row r="1">
          <cell r="A1" t="str">
            <v>ﾄﾖﾀ自動車株式会社　調達本部　</v>
          </cell>
        </row>
      </sheetData>
      <sheetData sheetId="912">
        <row r="1">
          <cell r="A1" t="str">
            <v>ﾄﾖﾀ自動車株式会社　調達本部　</v>
          </cell>
        </row>
      </sheetData>
      <sheetData sheetId="913">
        <row r="1">
          <cell r="A1" t="str">
            <v>ﾄﾖﾀ自動車株式会社　調達本部　</v>
          </cell>
        </row>
      </sheetData>
      <sheetData sheetId="914">
        <row r="1">
          <cell r="A1" t="str">
            <v>ﾄﾖﾀ自動車株式会社　調達本部　</v>
          </cell>
        </row>
      </sheetData>
      <sheetData sheetId="915">
        <row r="1">
          <cell r="A1" t="str">
            <v>ﾄﾖﾀ自動車株式会社　調達本部　</v>
          </cell>
        </row>
      </sheetData>
      <sheetData sheetId="916">
        <row r="1">
          <cell r="A1" t="str">
            <v>ﾄﾖﾀ自動車株式会社　調達本部　</v>
          </cell>
        </row>
      </sheetData>
      <sheetData sheetId="917">
        <row r="1">
          <cell r="A1" t="str">
            <v>ﾄﾖﾀ自動車株式会社　調達本部　</v>
          </cell>
        </row>
      </sheetData>
      <sheetData sheetId="918">
        <row r="1">
          <cell r="A1" t="str">
            <v>ﾄﾖﾀ自動車株式会社　調達本部　</v>
          </cell>
        </row>
      </sheetData>
      <sheetData sheetId="919">
        <row r="1">
          <cell r="A1" t="str">
            <v>ﾄﾖﾀ自動車株式会社　調達本部　</v>
          </cell>
        </row>
      </sheetData>
      <sheetData sheetId="920">
        <row r="1">
          <cell r="A1" t="str">
            <v>ﾄﾖﾀ自動車株式会社　調達本部　</v>
          </cell>
        </row>
      </sheetData>
      <sheetData sheetId="921">
        <row r="1">
          <cell r="A1" t="str">
            <v>ﾄﾖﾀ自動車株式会社　調達本部　</v>
          </cell>
        </row>
      </sheetData>
      <sheetData sheetId="922">
        <row r="1">
          <cell r="A1" t="str">
            <v>ﾄﾖﾀ自動車株式会社　調達本部　</v>
          </cell>
        </row>
      </sheetData>
      <sheetData sheetId="923">
        <row r="1">
          <cell r="A1" t="str">
            <v>ﾄﾖﾀ自動車株式会社　調達本部　</v>
          </cell>
        </row>
      </sheetData>
      <sheetData sheetId="924">
        <row r="1">
          <cell r="A1" t="str">
            <v>ﾄﾖﾀ自動車株式会社　調達本部　</v>
          </cell>
        </row>
      </sheetData>
      <sheetData sheetId="925">
        <row r="1">
          <cell r="A1" t="str">
            <v>ﾄﾖﾀ自動車株式会社　調達本部　</v>
          </cell>
        </row>
      </sheetData>
      <sheetData sheetId="926">
        <row r="1">
          <cell r="A1" t="str">
            <v>ﾄﾖﾀ自動車株式会社　調達本部　</v>
          </cell>
        </row>
      </sheetData>
      <sheetData sheetId="927">
        <row r="1">
          <cell r="A1" t="str">
            <v>ﾄﾖﾀ自動車株式会社　調達本部　</v>
          </cell>
        </row>
      </sheetData>
      <sheetData sheetId="928">
        <row r="1">
          <cell r="A1" t="str">
            <v>ﾄﾖﾀ自動車株式会社　調達本部　</v>
          </cell>
        </row>
      </sheetData>
      <sheetData sheetId="929">
        <row r="1">
          <cell r="A1" t="str">
            <v>ﾄﾖﾀ自動車株式会社　調達本部　</v>
          </cell>
        </row>
      </sheetData>
      <sheetData sheetId="930">
        <row r="1">
          <cell r="A1" t="str">
            <v>ﾄﾖﾀ自動車株式会社　調達本部　</v>
          </cell>
        </row>
      </sheetData>
      <sheetData sheetId="931">
        <row r="1">
          <cell r="A1" t="str">
            <v>ﾄﾖﾀ自動車株式会社　調達本部　</v>
          </cell>
        </row>
      </sheetData>
      <sheetData sheetId="932">
        <row r="1">
          <cell r="A1" t="str">
            <v>ﾄﾖﾀ自動車株式会社　調達本部　</v>
          </cell>
        </row>
      </sheetData>
      <sheetData sheetId="933">
        <row r="1">
          <cell r="A1" t="str">
            <v>ﾄﾖﾀ自動車株式会社　調達本部　</v>
          </cell>
        </row>
      </sheetData>
      <sheetData sheetId="934">
        <row r="1">
          <cell r="A1" t="str">
            <v>ﾄﾖﾀ自動車株式会社　調達本部　</v>
          </cell>
        </row>
      </sheetData>
      <sheetData sheetId="935">
        <row r="1">
          <cell r="A1" t="str">
            <v>ﾄﾖﾀ自動車株式会社　調達本部　</v>
          </cell>
        </row>
      </sheetData>
      <sheetData sheetId="936">
        <row r="1">
          <cell r="A1" t="str">
            <v>ﾄﾖﾀ自動車株式会社　調達本部　</v>
          </cell>
        </row>
      </sheetData>
      <sheetData sheetId="937">
        <row r="1">
          <cell r="A1" t="str">
            <v>ﾄﾖﾀ自動車株式会社　調達本部　</v>
          </cell>
        </row>
      </sheetData>
      <sheetData sheetId="938">
        <row r="1">
          <cell r="A1" t="str">
            <v>ﾄﾖﾀ自動車株式会社　調達本部　</v>
          </cell>
        </row>
      </sheetData>
      <sheetData sheetId="939">
        <row r="1">
          <cell r="A1" t="str">
            <v>ﾄﾖﾀ自動車株式会社　調達本部　</v>
          </cell>
        </row>
      </sheetData>
      <sheetData sheetId="940">
        <row r="1">
          <cell r="A1" t="str">
            <v>ﾄﾖﾀ自動車株式会社　調達本部　</v>
          </cell>
        </row>
      </sheetData>
      <sheetData sheetId="941">
        <row r="1">
          <cell r="A1" t="str">
            <v>ﾄﾖﾀ自動車株式会社　調達本部　</v>
          </cell>
        </row>
      </sheetData>
      <sheetData sheetId="942">
        <row r="1">
          <cell r="A1" t="str">
            <v>ﾄﾖﾀ自動車株式会社　調達本部　</v>
          </cell>
        </row>
      </sheetData>
      <sheetData sheetId="943">
        <row r="1">
          <cell r="A1" t="str">
            <v>ﾄﾖﾀ自動車株式会社　調達本部　</v>
          </cell>
        </row>
      </sheetData>
      <sheetData sheetId="944">
        <row r="1">
          <cell r="A1" t="str">
            <v>ﾄﾖﾀ自動車株式会社　調達本部　</v>
          </cell>
        </row>
      </sheetData>
      <sheetData sheetId="945">
        <row r="1">
          <cell r="A1" t="str">
            <v>ﾄﾖﾀ自動車株式会社　調達本部　</v>
          </cell>
        </row>
      </sheetData>
      <sheetData sheetId="946">
        <row r="1">
          <cell r="A1" t="str">
            <v>ﾄﾖﾀ自動車株式会社　調達本部　</v>
          </cell>
        </row>
      </sheetData>
      <sheetData sheetId="947">
        <row r="1">
          <cell r="A1" t="str">
            <v>ﾄﾖﾀ自動車株式会社　調達本部　</v>
          </cell>
        </row>
      </sheetData>
      <sheetData sheetId="948">
        <row r="1">
          <cell r="A1" t="str">
            <v>ﾄﾖﾀ自動車株式会社　調達本部　</v>
          </cell>
        </row>
      </sheetData>
      <sheetData sheetId="949">
        <row r="1">
          <cell r="A1" t="str">
            <v>ﾄﾖﾀ自動車株式会社　調達本部　</v>
          </cell>
        </row>
      </sheetData>
      <sheetData sheetId="950">
        <row r="1">
          <cell r="A1" t="str">
            <v>ﾄﾖﾀ自動車株式会社　調達本部　</v>
          </cell>
        </row>
      </sheetData>
      <sheetData sheetId="951">
        <row r="1">
          <cell r="A1" t="str">
            <v>ﾄﾖﾀ自動車株式会社　調達本部　</v>
          </cell>
        </row>
      </sheetData>
      <sheetData sheetId="952">
        <row r="1">
          <cell r="A1" t="str">
            <v>ﾄﾖﾀ自動車株式会社　調達本部　</v>
          </cell>
        </row>
      </sheetData>
      <sheetData sheetId="953">
        <row r="1">
          <cell r="A1" t="str">
            <v>ﾄﾖﾀ自動車株式会社　調達本部　</v>
          </cell>
        </row>
      </sheetData>
      <sheetData sheetId="954">
        <row r="1">
          <cell r="A1" t="str">
            <v>ﾄﾖﾀ自動車株式会社　調達本部　</v>
          </cell>
        </row>
      </sheetData>
      <sheetData sheetId="955">
        <row r="1">
          <cell r="B1" t="str">
            <v>1</v>
          </cell>
        </row>
      </sheetData>
      <sheetData sheetId="956">
        <row r="1">
          <cell r="B1" t="str">
            <v>1</v>
          </cell>
        </row>
      </sheetData>
      <sheetData sheetId="957">
        <row r="1">
          <cell r="A1" t="str">
            <v>ﾄﾖﾀ自動車株式会社　調達本部　</v>
          </cell>
        </row>
      </sheetData>
      <sheetData sheetId="958">
        <row r="1">
          <cell r="B1" t="str">
            <v>1</v>
          </cell>
        </row>
      </sheetData>
      <sheetData sheetId="959">
        <row r="1">
          <cell r="A1" t="str">
            <v>ﾄﾖﾀ自動車株式会社　調達本部　</v>
          </cell>
        </row>
      </sheetData>
      <sheetData sheetId="960">
        <row r="1">
          <cell r="A1" t="str">
            <v>ﾄﾖﾀ自動車株式会社　調達本部　</v>
          </cell>
        </row>
      </sheetData>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ow r="1">
          <cell r="B1" t="str">
            <v>1</v>
          </cell>
        </row>
      </sheetData>
      <sheetData sheetId="1045">
        <row r="1">
          <cell r="B1" t="str">
            <v>1</v>
          </cell>
        </row>
      </sheetData>
      <sheetData sheetId="1046">
        <row r="1">
          <cell r="B1" t="str">
            <v>1</v>
          </cell>
        </row>
      </sheetData>
      <sheetData sheetId="1047">
        <row r="1">
          <cell r="B1" t="str">
            <v>1</v>
          </cell>
        </row>
      </sheetData>
      <sheetData sheetId="1048">
        <row r="1">
          <cell r="B1" t="str">
            <v>1</v>
          </cell>
        </row>
      </sheetData>
      <sheetData sheetId="1049">
        <row r="1">
          <cell r="B1" t="str">
            <v>1</v>
          </cell>
        </row>
      </sheetData>
      <sheetData sheetId="1050">
        <row r="1">
          <cell r="B1" t="str">
            <v>1</v>
          </cell>
        </row>
      </sheetData>
      <sheetData sheetId="1051">
        <row r="1">
          <cell r="B1" t="str">
            <v>1</v>
          </cell>
        </row>
      </sheetData>
      <sheetData sheetId="1052">
        <row r="1">
          <cell r="B1" t="str">
            <v>1</v>
          </cell>
        </row>
      </sheetData>
      <sheetData sheetId="1053">
        <row r="1">
          <cell r="B1" t="str">
            <v>1</v>
          </cell>
        </row>
      </sheetData>
      <sheetData sheetId="1054">
        <row r="1">
          <cell r="B1" t="str">
            <v>1</v>
          </cell>
        </row>
      </sheetData>
      <sheetData sheetId="1055">
        <row r="1">
          <cell r="B1" t="str">
            <v>1</v>
          </cell>
        </row>
      </sheetData>
      <sheetData sheetId="1056">
        <row r="1">
          <cell r="B1" t="str">
            <v>1</v>
          </cell>
        </row>
      </sheetData>
      <sheetData sheetId="1057">
        <row r="1">
          <cell r="B1" t="str">
            <v>1</v>
          </cell>
        </row>
      </sheetData>
      <sheetData sheetId="1058">
        <row r="1">
          <cell r="B1" t="str">
            <v>1</v>
          </cell>
        </row>
      </sheetData>
      <sheetData sheetId="1059">
        <row r="1">
          <cell r="B1" t="str">
            <v>1</v>
          </cell>
        </row>
      </sheetData>
      <sheetData sheetId="1060">
        <row r="1">
          <cell r="B1" t="str">
            <v>1</v>
          </cell>
        </row>
      </sheetData>
      <sheetData sheetId="1061">
        <row r="1">
          <cell r="B1" t="str">
            <v>1</v>
          </cell>
        </row>
      </sheetData>
      <sheetData sheetId="1062">
        <row r="1">
          <cell r="B1" t="str">
            <v>1</v>
          </cell>
        </row>
      </sheetData>
      <sheetData sheetId="1063">
        <row r="1">
          <cell r="B1" t="str">
            <v>1</v>
          </cell>
        </row>
      </sheetData>
      <sheetData sheetId="1064">
        <row r="1">
          <cell r="B1" t="str">
            <v>1</v>
          </cell>
        </row>
      </sheetData>
      <sheetData sheetId="1065">
        <row r="1">
          <cell r="B1" t="str">
            <v>1</v>
          </cell>
        </row>
      </sheetData>
      <sheetData sheetId="1066">
        <row r="1">
          <cell r="B1" t="str">
            <v>1</v>
          </cell>
        </row>
      </sheetData>
      <sheetData sheetId="1067">
        <row r="1">
          <cell r="B1" t="str">
            <v>1</v>
          </cell>
        </row>
      </sheetData>
      <sheetData sheetId="1068">
        <row r="1">
          <cell r="B1" t="str">
            <v>1</v>
          </cell>
        </row>
      </sheetData>
      <sheetData sheetId="1069">
        <row r="1">
          <cell r="B1" t="str">
            <v>1</v>
          </cell>
        </row>
      </sheetData>
      <sheetData sheetId="1070">
        <row r="1">
          <cell r="B1" t="str">
            <v>1</v>
          </cell>
        </row>
      </sheetData>
      <sheetData sheetId="1071">
        <row r="1">
          <cell r="B1" t="str">
            <v>1</v>
          </cell>
        </row>
      </sheetData>
      <sheetData sheetId="1072">
        <row r="1">
          <cell r="B1" t="str">
            <v>1</v>
          </cell>
        </row>
      </sheetData>
      <sheetData sheetId="1073">
        <row r="1">
          <cell r="B1" t="str">
            <v>1</v>
          </cell>
        </row>
      </sheetData>
      <sheetData sheetId="1074">
        <row r="1">
          <cell r="B1" t="str">
            <v>1</v>
          </cell>
        </row>
      </sheetData>
      <sheetData sheetId="1075">
        <row r="1">
          <cell r="B1" t="str">
            <v>1</v>
          </cell>
        </row>
      </sheetData>
      <sheetData sheetId="1076">
        <row r="1">
          <cell r="B1" t="str">
            <v>1</v>
          </cell>
        </row>
      </sheetData>
      <sheetData sheetId="1077">
        <row r="1">
          <cell r="B1" t="str">
            <v>1</v>
          </cell>
        </row>
      </sheetData>
      <sheetData sheetId="1078">
        <row r="1">
          <cell r="B1" t="str">
            <v>1</v>
          </cell>
        </row>
      </sheetData>
      <sheetData sheetId="1079">
        <row r="1">
          <cell r="B1" t="str">
            <v>1</v>
          </cell>
        </row>
      </sheetData>
      <sheetData sheetId="1080">
        <row r="1">
          <cell r="B1" t="str">
            <v>1</v>
          </cell>
        </row>
      </sheetData>
      <sheetData sheetId="1081">
        <row r="1">
          <cell r="B1" t="str">
            <v>1</v>
          </cell>
        </row>
      </sheetData>
      <sheetData sheetId="1082">
        <row r="1">
          <cell r="B1" t="str">
            <v>1</v>
          </cell>
        </row>
      </sheetData>
      <sheetData sheetId="1083">
        <row r="1">
          <cell r="B1" t="str">
            <v>1</v>
          </cell>
        </row>
      </sheetData>
      <sheetData sheetId="1084">
        <row r="1">
          <cell r="B1" t="str">
            <v>1</v>
          </cell>
        </row>
      </sheetData>
      <sheetData sheetId="1085">
        <row r="1">
          <cell r="B1" t="str">
            <v>1</v>
          </cell>
        </row>
      </sheetData>
      <sheetData sheetId="1086">
        <row r="1">
          <cell r="B1" t="str">
            <v>1</v>
          </cell>
        </row>
      </sheetData>
      <sheetData sheetId="1087">
        <row r="1">
          <cell r="B1" t="str">
            <v>1</v>
          </cell>
        </row>
      </sheetData>
      <sheetData sheetId="1088">
        <row r="1">
          <cell r="B1" t="str">
            <v>1</v>
          </cell>
        </row>
      </sheetData>
      <sheetData sheetId="1089">
        <row r="1">
          <cell r="B1" t="str">
            <v>1</v>
          </cell>
        </row>
      </sheetData>
      <sheetData sheetId="1090">
        <row r="1">
          <cell r="B1" t="str">
            <v>1</v>
          </cell>
        </row>
      </sheetData>
      <sheetData sheetId="1091">
        <row r="1">
          <cell r="B1" t="str">
            <v>1</v>
          </cell>
        </row>
      </sheetData>
      <sheetData sheetId="1092">
        <row r="1">
          <cell r="B1" t="str">
            <v>1</v>
          </cell>
        </row>
      </sheetData>
      <sheetData sheetId="1093">
        <row r="1">
          <cell r="B1" t="str">
            <v>1</v>
          </cell>
        </row>
      </sheetData>
      <sheetData sheetId="1094">
        <row r="1">
          <cell r="B1" t="str">
            <v>1</v>
          </cell>
        </row>
      </sheetData>
      <sheetData sheetId="1095">
        <row r="1">
          <cell r="B1" t="str">
            <v>1</v>
          </cell>
        </row>
      </sheetData>
      <sheetData sheetId="1096">
        <row r="1">
          <cell r="B1" t="str">
            <v>1</v>
          </cell>
        </row>
      </sheetData>
      <sheetData sheetId="1097">
        <row r="1">
          <cell r="B1" t="str">
            <v>1</v>
          </cell>
        </row>
      </sheetData>
      <sheetData sheetId="1098">
        <row r="1">
          <cell r="B1" t="str">
            <v>1</v>
          </cell>
        </row>
      </sheetData>
      <sheetData sheetId="1099">
        <row r="1">
          <cell r="B1" t="str">
            <v>1</v>
          </cell>
        </row>
      </sheetData>
      <sheetData sheetId="1100">
        <row r="1">
          <cell r="B1" t="str">
            <v>1</v>
          </cell>
        </row>
      </sheetData>
      <sheetData sheetId="1101">
        <row r="1">
          <cell r="B1" t="str">
            <v>1</v>
          </cell>
        </row>
      </sheetData>
      <sheetData sheetId="1102">
        <row r="1">
          <cell r="B1" t="str">
            <v>1</v>
          </cell>
        </row>
      </sheetData>
      <sheetData sheetId="1103">
        <row r="1">
          <cell r="B1" t="str">
            <v>1</v>
          </cell>
        </row>
      </sheetData>
      <sheetData sheetId="1104">
        <row r="1">
          <cell r="B1" t="str">
            <v>1</v>
          </cell>
        </row>
      </sheetData>
      <sheetData sheetId="1105">
        <row r="1">
          <cell r="B1" t="str">
            <v>1</v>
          </cell>
        </row>
      </sheetData>
      <sheetData sheetId="1106">
        <row r="1">
          <cell r="B1" t="str">
            <v>1</v>
          </cell>
        </row>
      </sheetData>
      <sheetData sheetId="1107">
        <row r="1">
          <cell r="B1" t="str">
            <v>1</v>
          </cell>
        </row>
      </sheetData>
      <sheetData sheetId="1108">
        <row r="1">
          <cell r="B1" t="str">
            <v>1</v>
          </cell>
        </row>
      </sheetData>
      <sheetData sheetId="1109">
        <row r="1">
          <cell r="B1" t="str">
            <v>1</v>
          </cell>
        </row>
      </sheetData>
      <sheetData sheetId="1110">
        <row r="1">
          <cell r="B1" t="str">
            <v>1</v>
          </cell>
        </row>
      </sheetData>
      <sheetData sheetId="1111">
        <row r="1">
          <cell r="B1" t="str">
            <v>1</v>
          </cell>
        </row>
      </sheetData>
      <sheetData sheetId="1112">
        <row r="1">
          <cell r="B1" t="str">
            <v>1</v>
          </cell>
        </row>
      </sheetData>
      <sheetData sheetId="1113">
        <row r="1">
          <cell r="B1" t="str">
            <v>1</v>
          </cell>
        </row>
      </sheetData>
      <sheetData sheetId="1114">
        <row r="1">
          <cell r="B1" t="str">
            <v>1</v>
          </cell>
        </row>
      </sheetData>
      <sheetData sheetId="1115">
        <row r="1">
          <cell r="B1" t="str">
            <v>1</v>
          </cell>
        </row>
      </sheetData>
      <sheetData sheetId="1116">
        <row r="1">
          <cell r="B1" t="str">
            <v>1</v>
          </cell>
        </row>
      </sheetData>
      <sheetData sheetId="1117">
        <row r="1">
          <cell r="B1" t="str">
            <v>1</v>
          </cell>
        </row>
      </sheetData>
      <sheetData sheetId="1118">
        <row r="1">
          <cell r="B1" t="str">
            <v>1</v>
          </cell>
        </row>
      </sheetData>
      <sheetData sheetId="1119">
        <row r="1">
          <cell r="B1" t="str">
            <v>1</v>
          </cell>
        </row>
      </sheetData>
      <sheetData sheetId="1120">
        <row r="1">
          <cell r="B1" t="str">
            <v>1</v>
          </cell>
        </row>
      </sheetData>
      <sheetData sheetId="1121">
        <row r="1">
          <cell r="B1" t="str">
            <v>1</v>
          </cell>
        </row>
      </sheetData>
      <sheetData sheetId="1122">
        <row r="1">
          <cell r="B1" t="str">
            <v>1</v>
          </cell>
        </row>
      </sheetData>
      <sheetData sheetId="1123">
        <row r="1">
          <cell r="B1" t="str">
            <v>1</v>
          </cell>
        </row>
      </sheetData>
      <sheetData sheetId="1124">
        <row r="1">
          <cell r="B1" t="str">
            <v>1</v>
          </cell>
        </row>
      </sheetData>
      <sheetData sheetId="1125">
        <row r="1">
          <cell r="B1" t="str">
            <v>1</v>
          </cell>
        </row>
      </sheetData>
      <sheetData sheetId="1126">
        <row r="1">
          <cell r="B1" t="str">
            <v>1</v>
          </cell>
        </row>
      </sheetData>
      <sheetData sheetId="1127">
        <row r="1">
          <cell r="B1" t="str">
            <v>1</v>
          </cell>
        </row>
      </sheetData>
      <sheetData sheetId="1128">
        <row r="1">
          <cell r="B1" t="str">
            <v>1</v>
          </cell>
        </row>
      </sheetData>
      <sheetData sheetId="1129">
        <row r="1">
          <cell r="B1" t="str">
            <v>1</v>
          </cell>
        </row>
      </sheetData>
      <sheetData sheetId="1130">
        <row r="1">
          <cell r="B1" t="str">
            <v>1</v>
          </cell>
        </row>
      </sheetData>
      <sheetData sheetId="1131">
        <row r="1">
          <cell r="B1" t="str">
            <v>1</v>
          </cell>
        </row>
      </sheetData>
      <sheetData sheetId="1132">
        <row r="1">
          <cell r="B1" t="str">
            <v>1</v>
          </cell>
        </row>
      </sheetData>
      <sheetData sheetId="1133">
        <row r="1">
          <cell r="B1" t="str">
            <v>1</v>
          </cell>
        </row>
      </sheetData>
      <sheetData sheetId="1134">
        <row r="1">
          <cell r="B1" t="str">
            <v>1</v>
          </cell>
        </row>
      </sheetData>
      <sheetData sheetId="1135">
        <row r="1">
          <cell r="B1" t="str">
            <v>1</v>
          </cell>
        </row>
      </sheetData>
      <sheetData sheetId="1136">
        <row r="1">
          <cell r="B1" t="str">
            <v>1</v>
          </cell>
        </row>
      </sheetData>
      <sheetData sheetId="1137">
        <row r="1">
          <cell r="B1" t="str">
            <v>1</v>
          </cell>
        </row>
      </sheetData>
      <sheetData sheetId="1138">
        <row r="1">
          <cell r="B1" t="str">
            <v>1</v>
          </cell>
        </row>
      </sheetData>
      <sheetData sheetId="1139">
        <row r="1">
          <cell r="B1" t="str">
            <v>1</v>
          </cell>
        </row>
      </sheetData>
      <sheetData sheetId="1140">
        <row r="1">
          <cell r="B1" t="str">
            <v>1</v>
          </cell>
        </row>
      </sheetData>
      <sheetData sheetId="1141">
        <row r="1">
          <cell r="B1" t="str">
            <v>1</v>
          </cell>
        </row>
      </sheetData>
      <sheetData sheetId="1142">
        <row r="1">
          <cell r="B1" t="str">
            <v>1</v>
          </cell>
        </row>
      </sheetData>
      <sheetData sheetId="1143">
        <row r="1">
          <cell r="B1" t="str">
            <v>1</v>
          </cell>
        </row>
      </sheetData>
      <sheetData sheetId="1144">
        <row r="1">
          <cell r="B1" t="str">
            <v>1</v>
          </cell>
        </row>
      </sheetData>
      <sheetData sheetId="1145">
        <row r="1">
          <cell r="B1" t="str">
            <v>1</v>
          </cell>
        </row>
      </sheetData>
      <sheetData sheetId="1146">
        <row r="1">
          <cell r="B1" t="str">
            <v>1</v>
          </cell>
        </row>
      </sheetData>
      <sheetData sheetId="1147">
        <row r="1">
          <cell r="B1" t="str">
            <v>1</v>
          </cell>
        </row>
      </sheetData>
      <sheetData sheetId="1148">
        <row r="1">
          <cell r="B1" t="str">
            <v>1</v>
          </cell>
        </row>
      </sheetData>
      <sheetData sheetId="1149">
        <row r="1">
          <cell r="B1" t="str">
            <v>1</v>
          </cell>
        </row>
      </sheetData>
      <sheetData sheetId="1150">
        <row r="1">
          <cell r="B1" t="str">
            <v>1</v>
          </cell>
        </row>
      </sheetData>
      <sheetData sheetId="1151">
        <row r="1">
          <cell r="B1" t="str">
            <v>1</v>
          </cell>
        </row>
      </sheetData>
      <sheetData sheetId="1152">
        <row r="1">
          <cell r="B1" t="str">
            <v>1</v>
          </cell>
        </row>
      </sheetData>
      <sheetData sheetId="1153">
        <row r="1">
          <cell r="B1" t="str">
            <v>1</v>
          </cell>
        </row>
      </sheetData>
      <sheetData sheetId="1154">
        <row r="1">
          <cell r="B1" t="str">
            <v>1</v>
          </cell>
        </row>
      </sheetData>
      <sheetData sheetId="1155">
        <row r="1">
          <cell r="B1" t="str">
            <v>1</v>
          </cell>
        </row>
      </sheetData>
      <sheetData sheetId="1156">
        <row r="1">
          <cell r="B1" t="str">
            <v>1</v>
          </cell>
        </row>
      </sheetData>
      <sheetData sheetId="1157">
        <row r="1">
          <cell r="B1" t="str">
            <v>1</v>
          </cell>
        </row>
      </sheetData>
      <sheetData sheetId="1158">
        <row r="1">
          <cell r="B1" t="str">
            <v>1</v>
          </cell>
        </row>
      </sheetData>
      <sheetData sheetId="1159">
        <row r="1">
          <cell r="B1" t="str">
            <v>1</v>
          </cell>
        </row>
      </sheetData>
      <sheetData sheetId="1160">
        <row r="1">
          <cell r="B1" t="str">
            <v>1</v>
          </cell>
        </row>
      </sheetData>
      <sheetData sheetId="1161">
        <row r="1">
          <cell r="B1" t="str">
            <v>1</v>
          </cell>
        </row>
      </sheetData>
      <sheetData sheetId="1162">
        <row r="1">
          <cell r="B1" t="str">
            <v>1</v>
          </cell>
        </row>
      </sheetData>
      <sheetData sheetId="1163">
        <row r="1">
          <cell r="B1" t="str">
            <v>1</v>
          </cell>
        </row>
      </sheetData>
      <sheetData sheetId="1164">
        <row r="1">
          <cell r="B1" t="str">
            <v>1</v>
          </cell>
        </row>
      </sheetData>
      <sheetData sheetId="1165">
        <row r="1">
          <cell r="B1" t="str">
            <v>1</v>
          </cell>
        </row>
      </sheetData>
      <sheetData sheetId="1166">
        <row r="1">
          <cell r="B1" t="str">
            <v>1</v>
          </cell>
        </row>
      </sheetData>
      <sheetData sheetId="1167">
        <row r="1">
          <cell r="B1" t="str">
            <v>1</v>
          </cell>
        </row>
      </sheetData>
      <sheetData sheetId="1168">
        <row r="1">
          <cell r="B1" t="str">
            <v>1</v>
          </cell>
        </row>
      </sheetData>
      <sheetData sheetId="1169">
        <row r="1">
          <cell r="B1" t="str">
            <v>1</v>
          </cell>
        </row>
      </sheetData>
      <sheetData sheetId="1170">
        <row r="1">
          <cell r="B1" t="str">
            <v>1</v>
          </cell>
        </row>
      </sheetData>
      <sheetData sheetId="1171">
        <row r="1">
          <cell r="B1" t="str">
            <v>1</v>
          </cell>
        </row>
      </sheetData>
      <sheetData sheetId="1172">
        <row r="1">
          <cell r="B1" t="str">
            <v>1</v>
          </cell>
        </row>
      </sheetData>
      <sheetData sheetId="1173">
        <row r="1">
          <cell r="B1" t="str">
            <v>1</v>
          </cell>
        </row>
      </sheetData>
      <sheetData sheetId="1174">
        <row r="1">
          <cell r="B1" t="str">
            <v>1</v>
          </cell>
        </row>
      </sheetData>
      <sheetData sheetId="1175">
        <row r="1">
          <cell r="B1" t="str">
            <v>1</v>
          </cell>
        </row>
      </sheetData>
      <sheetData sheetId="1176">
        <row r="1">
          <cell r="B1" t="str">
            <v>1</v>
          </cell>
        </row>
      </sheetData>
      <sheetData sheetId="1177">
        <row r="1">
          <cell r="B1" t="str">
            <v>1</v>
          </cell>
        </row>
      </sheetData>
      <sheetData sheetId="1178">
        <row r="1">
          <cell r="B1" t="str">
            <v>1</v>
          </cell>
        </row>
      </sheetData>
      <sheetData sheetId="1179">
        <row r="1">
          <cell r="B1" t="str">
            <v>1</v>
          </cell>
        </row>
      </sheetData>
      <sheetData sheetId="1180">
        <row r="1">
          <cell r="B1" t="str">
            <v>1</v>
          </cell>
        </row>
      </sheetData>
      <sheetData sheetId="1181">
        <row r="1">
          <cell r="B1" t="str">
            <v>1</v>
          </cell>
        </row>
      </sheetData>
      <sheetData sheetId="1182">
        <row r="1">
          <cell r="B1" t="str">
            <v>1</v>
          </cell>
        </row>
      </sheetData>
      <sheetData sheetId="1183">
        <row r="1">
          <cell r="B1" t="str">
            <v>1</v>
          </cell>
        </row>
      </sheetData>
      <sheetData sheetId="1184">
        <row r="1">
          <cell r="B1" t="str">
            <v>1</v>
          </cell>
        </row>
      </sheetData>
      <sheetData sheetId="1185">
        <row r="1">
          <cell r="B1" t="str">
            <v>1</v>
          </cell>
        </row>
      </sheetData>
      <sheetData sheetId="1186">
        <row r="1">
          <cell r="B1" t="str">
            <v>1</v>
          </cell>
        </row>
      </sheetData>
      <sheetData sheetId="1187">
        <row r="1">
          <cell r="B1" t="str">
            <v>1</v>
          </cell>
        </row>
      </sheetData>
      <sheetData sheetId="1188">
        <row r="1">
          <cell r="B1" t="str">
            <v>1</v>
          </cell>
        </row>
      </sheetData>
      <sheetData sheetId="1189">
        <row r="1">
          <cell r="B1" t="str">
            <v>1</v>
          </cell>
        </row>
      </sheetData>
      <sheetData sheetId="1190">
        <row r="1">
          <cell r="B1" t="str">
            <v>1</v>
          </cell>
        </row>
      </sheetData>
      <sheetData sheetId="1191">
        <row r="1">
          <cell r="B1" t="str">
            <v>1</v>
          </cell>
        </row>
      </sheetData>
      <sheetData sheetId="1192">
        <row r="1">
          <cell r="B1" t="str">
            <v>1</v>
          </cell>
        </row>
      </sheetData>
      <sheetData sheetId="1193">
        <row r="1">
          <cell r="B1" t="str">
            <v>1</v>
          </cell>
        </row>
      </sheetData>
      <sheetData sheetId="1194">
        <row r="1">
          <cell r="B1" t="str">
            <v>1</v>
          </cell>
        </row>
      </sheetData>
      <sheetData sheetId="1195">
        <row r="1">
          <cell r="B1" t="str">
            <v>1</v>
          </cell>
        </row>
      </sheetData>
      <sheetData sheetId="1196">
        <row r="1">
          <cell r="B1" t="str">
            <v>1</v>
          </cell>
        </row>
      </sheetData>
      <sheetData sheetId="1197">
        <row r="1">
          <cell r="B1" t="str">
            <v>1</v>
          </cell>
        </row>
      </sheetData>
      <sheetData sheetId="1198">
        <row r="1">
          <cell r="B1" t="str">
            <v>1</v>
          </cell>
        </row>
      </sheetData>
      <sheetData sheetId="1199">
        <row r="1">
          <cell r="B1" t="str">
            <v>1</v>
          </cell>
        </row>
      </sheetData>
      <sheetData sheetId="1200">
        <row r="1">
          <cell r="B1" t="str">
            <v>1</v>
          </cell>
        </row>
      </sheetData>
      <sheetData sheetId="1201">
        <row r="1">
          <cell r="B1" t="str">
            <v>1</v>
          </cell>
        </row>
      </sheetData>
      <sheetData sheetId="1202">
        <row r="1">
          <cell r="B1" t="str">
            <v>1</v>
          </cell>
        </row>
      </sheetData>
      <sheetData sheetId="1203">
        <row r="1">
          <cell r="B1" t="str">
            <v>1</v>
          </cell>
        </row>
      </sheetData>
      <sheetData sheetId="1204">
        <row r="1">
          <cell r="B1" t="str">
            <v>1</v>
          </cell>
        </row>
      </sheetData>
      <sheetData sheetId="1205">
        <row r="1">
          <cell r="B1" t="str">
            <v>1</v>
          </cell>
        </row>
      </sheetData>
      <sheetData sheetId="1206">
        <row r="1">
          <cell r="B1" t="str">
            <v>1</v>
          </cell>
        </row>
      </sheetData>
      <sheetData sheetId="1207">
        <row r="1">
          <cell r="B1" t="str">
            <v>1</v>
          </cell>
        </row>
      </sheetData>
      <sheetData sheetId="1208">
        <row r="1">
          <cell r="B1" t="str">
            <v>1</v>
          </cell>
        </row>
      </sheetData>
      <sheetData sheetId="1209">
        <row r="1">
          <cell r="B1" t="str">
            <v>1</v>
          </cell>
        </row>
      </sheetData>
      <sheetData sheetId="1210">
        <row r="1">
          <cell r="B1" t="str">
            <v>1</v>
          </cell>
        </row>
      </sheetData>
      <sheetData sheetId="1211">
        <row r="1">
          <cell r="B1" t="str">
            <v>1</v>
          </cell>
        </row>
      </sheetData>
      <sheetData sheetId="1212">
        <row r="1">
          <cell r="B1" t="str">
            <v>1</v>
          </cell>
        </row>
      </sheetData>
      <sheetData sheetId="1213">
        <row r="1">
          <cell r="B1" t="str">
            <v>1</v>
          </cell>
        </row>
      </sheetData>
      <sheetData sheetId="1214">
        <row r="1">
          <cell r="B1" t="str">
            <v>1</v>
          </cell>
        </row>
      </sheetData>
      <sheetData sheetId="1215">
        <row r="1">
          <cell r="B1" t="str">
            <v>1</v>
          </cell>
        </row>
      </sheetData>
      <sheetData sheetId="1216">
        <row r="1">
          <cell r="B1" t="str">
            <v>1</v>
          </cell>
        </row>
      </sheetData>
      <sheetData sheetId="1217">
        <row r="1">
          <cell r="B1" t="str">
            <v>1</v>
          </cell>
        </row>
      </sheetData>
      <sheetData sheetId="1218">
        <row r="1">
          <cell r="B1" t="str">
            <v>1</v>
          </cell>
        </row>
      </sheetData>
      <sheetData sheetId="1219">
        <row r="1">
          <cell r="B1" t="str">
            <v>1</v>
          </cell>
        </row>
      </sheetData>
      <sheetData sheetId="1220">
        <row r="1">
          <cell r="B1" t="str">
            <v>1</v>
          </cell>
        </row>
      </sheetData>
      <sheetData sheetId="1221">
        <row r="1">
          <cell r="B1" t="str">
            <v>1</v>
          </cell>
        </row>
      </sheetData>
      <sheetData sheetId="1222">
        <row r="1">
          <cell r="B1" t="str">
            <v>1</v>
          </cell>
        </row>
      </sheetData>
      <sheetData sheetId="1223">
        <row r="1">
          <cell r="B1" t="str">
            <v>1</v>
          </cell>
        </row>
      </sheetData>
      <sheetData sheetId="1224">
        <row r="1">
          <cell r="B1" t="str">
            <v>1</v>
          </cell>
        </row>
      </sheetData>
      <sheetData sheetId="1225">
        <row r="1">
          <cell r="B1" t="str">
            <v>1</v>
          </cell>
        </row>
      </sheetData>
      <sheetData sheetId="1226">
        <row r="1">
          <cell r="B1" t="str">
            <v>1</v>
          </cell>
        </row>
      </sheetData>
      <sheetData sheetId="1227">
        <row r="1">
          <cell r="B1" t="str">
            <v>1</v>
          </cell>
        </row>
      </sheetData>
      <sheetData sheetId="1228">
        <row r="1">
          <cell r="B1" t="str">
            <v>1</v>
          </cell>
        </row>
      </sheetData>
      <sheetData sheetId="1229">
        <row r="1">
          <cell r="B1" t="str">
            <v>1</v>
          </cell>
        </row>
      </sheetData>
      <sheetData sheetId="1230">
        <row r="1">
          <cell r="B1" t="str">
            <v>1</v>
          </cell>
        </row>
      </sheetData>
      <sheetData sheetId="1231">
        <row r="1">
          <cell r="B1" t="str">
            <v>1</v>
          </cell>
        </row>
      </sheetData>
      <sheetData sheetId="1232">
        <row r="1">
          <cell r="B1" t="str">
            <v>1</v>
          </cell>
        </row>
      </sheetData>
      <sheetData sheetId="1233">
        <row r="1">
          <cell r="B1" t="str">
            <v>1</v>
          </cell>
        </row>
      </sheetData>
      <sheetData sheetId="1234">
        <row r="1">
          <cell r="B1" t="str">
            <v>1</v>
          </cell>
        </row>
      </sheetData>
      <sheetData sheetId="1235">
        <row r="1">
          <cell r="B1" t="str">
            <v>1</v>
          </cell>
        </row>
      </sheetData>
      <sheetData sheetId="1236">
        <row r="1">
          <cell r="B1" t="str">
            <v>1</v>
          </cell>
        </row>
      </sheetData>
      <sheetData sheetId="1237">
        <row r="1">
          <cell r="B1" t="str">
            <v>1</v>
          </cell>
        </row>
      </sheetData>
      <sheetData sheetId="1238">
        <row r="1">
          <cell r="B1" t="str">
            <v>1</v>
          </cell>
        </row>
      </sheetData>
      <sheetData sheetId="1239">
        <row r="1">
          <cell r="B1" t="str">
            <v>1</v>
          </cell>
        </row>
      </sheetData>
      <sheetData sheetId="1240">
        <row r="1">
          <cell r="B1" t="str">
            <v>1</v>
          </cell>
        </row>
      </sheetData>
      <sheetData sheetId="1241">
        <row r="1">
          <cell r="B1" t="str">
            <v>1</v>
          </cell>
        </row>
      </sheetData>
      <sheetData sheetId="1242">
        <row r="1">
          <cell r="B1" t="str">
            <v>1</v>
          </cell>
        </row>
      </sheetData>
      <sheetData sheetId="1243">
        <row r="1">
          <cell r="B1" t="str">
            <v>1</v>
          </cell>
        </row>
      </sheetData>
      <sheetData sheetId="1244">
        <row r="1">
          <cell r="B1" t="str">
            <v>1</v>
          </cell>
        </row>
      </sheetData>
      <sheetData sheetId="1245">
        <row r="1">
          <cell r="B1" t="str">
            <v>1</v>
          </cell>
        </row>
      </sheetData>
      <sheetData sheetId="1246">
        <row r="1">
          <cell r="B1" t="str">
            <v>1</v>
          </cell>
        </row>
      </sheetData>
      <sheetData sheetId="1247">
        <row r="1">
          <cell r="B1" t="str">
            <v>1</v>
          </cell>
        </row>
      </sheetData>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ow r="3">
          <cell r="C3" t="str">
            <v>2022年</v>
          </cell>
        </row>
      </sheetData>
      <sheetData sheetId="1293">
        <row r="1">
          <cell r="B1" t="str">
            <v>1</v>
          </cell>
        </row>
      </sheetData>
      <sheetData sheetId="1294">
        <row r="1">
          <cell r="B1" t="str">
            <v>1</v>
          </cell>
        </row>
      </sheetData>
      <sheetData sheetId="1295" refreshError="1"/>
      <sheetData sheetId="1296" refreshError="1"/>
      <sheetData sheetId="1297">
        <row r="1">
          <cell r="A1" t="str">
            <v>ﾄﾖﾀ自動車株式会社　調達本部　</v>
          </cell>
        </row>
      </sheetData>
      <sheetData sheetId="1298">
        <row r="1">
          <cell r="B1" t="str">
            <v>1</v>
          </cell>
        </row>
      </sheetData>
      <sheetData sheetId="1299">
        <row r="1">
          <cell r="A1" t="str">
            <v>ﾄﾖﾀ自動車株式会社　調達本部　</v>
          </cell>
        </row>
      </sheetData>
      <sheetData sheetId="1300">
        <row r="1">
          <cell r="B1" t="str">
            <v>1</v>
          </cell>
        </row>
      </sheetData>
      <sheetData sheetId="1301">
        <row r="1">
          <cell r="B1" t="str">
            <v>1</v>
          </cell>
        </row>
      </sheetData>
      <sheetData sheetId="1302">
        <row r="1">
          <cell r="B1" t="str">
            <v>1</v>
          </cell>
        </row>
      </sheetData>
      <sheetData sheetId="1303">
        <row r="1">
          <cell r="A1" t="str">
            <v>ﾄﾖﾀ自動車株式会社　調達本部　</v>
          </cell>
        </row>
      </sheetData>
      <sheetData sheetId="1304">
        <row r="1">
          <cell r="A1" t="str">
            <v>ﾄﾖﾀ自動車株式会社　調達本部　</v>
          </cell>
        </row>
      </sheetData>
      <sheetData sheetId="1305">
        <row r="1">
          <cell r="A1" t="str">
            <v>ﾄﾖﾀ自動車株式会社　調達本部　</v>
          </cell>
        </row>
      </sheetData>
      <sheetData sheetId="1306">
        <row r="1">
          <cell r="B1" t="str">
            <v>1</v>
          </cell>
        </row>
      </sheetData>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refreshError="1"/>
      <sheetData sheetId="1402" refreshError="1"/>
      <sheetData sheetId="1403"/>
      <sheetData sheetId="1404"/>
      <sheetData sheetId="1405"/>
      <sheetData sheetId="1406" refreshError="1"/>
      <sheetData sheetId="1407"/>
      <sheetData sheetId="1408"/>
      <sheetData sheetId="1409" refreshError="1"/>
      <sheetData sheetId="1410" refreshError="1"/>
      <sheetData sheetId="1411" refreshError="1"/>
      <sheetData sheetId="1412" refreshError="1"/>
      <sheetData sheetId="1413" refreshError="1"/>
      <sheetData sheetId="1414" refreshError="1"/>
      <sheetData sheetId="1415" refreshError="1"/>
      <sheetData sheetId="1416" refreshError="1"/>
      <sheetData sheetId="1417"/>
      <sheetData sheetId="1418" refreshError="1"/>
      <sheetData sheetId="1419" refreshError="1"/>
      <sheetData sheetId="1420" refreshError="1"/>
      <sheetData sheetId="1421" refreshError="1"/>
      <sheetData sheetId="1422" refreshError="1"/>
      <sheetData sheetId="1423">
        <row r="3">
          <cell r="B3" t="str">
            <v>TOYOTA   TSUSHO  PHILIPPINES CORPORATION</v>
          </cell>
        </row>
      </sheetData>
      <sheetData sheetId="1424"/>
      <sheetData sheetId="1425"/>
      <sheetData sheetId="1426"/>
      <sheetData sheetId="1427"/>
      <sheetData sheetId="1428"/>
      <sheetData sheetId="1429"/>
      <sheetData sheetId="1430"/>
      <sheetData sheetId="1431"/>
      <sheetData sheetId="1432">
        <row r="3">
          <cell r="B3" t="str">
            <v>TOYOTA   TSUSHO  PHILIPPINES CORPORATION</v>
          </cell>
        </row>
      </sheetData>
      <sheetData sheetId="1433">
        <row r="3">
          <cell r="B3" t="str">
            <v>TOYOTA   TSUSHO  PHILIPPINES CORPORATION</v>
          </cell>
        </row>
      </sheetData>
      <sheetData sheetId="1434" refreshError="1"/>
      <sheetData sheetId="1435">
        <row r="1">
          <cell r="B1" t="str">
            <v>1</v>
          </cell>
        </row>
      </sheetData>
      <sheetData sheetId="1436">
        <row r="1">
          <cell r="B1" t="str">
            <v>1</v>
          </cell>
        </row>
      </sheetData>
      <sheetData sheetId="1437">
        <row r="1">
          <cell r="B1" t="str">
            <v>1</v>
          </cell>
        </row>
      </sheetData>
      <sheetData sheetId="1438">
        <row r="1">
          <cell r="B1" t="str">
            <v>1</v>
          </cell>
        </row>
      </sheetData>
      <sheetData sheetId="1439">
        <row r="1">
          <cell r="B1" t="str">
            <v>1</v>
          </cell>
        </row>
      </sheetData>
      <sheetData sheetId="1440">
        <row r="1">
          <cell r="B1" t="str">
            <v>1</v>
          </cell>
        </row>
      </sheetData>
      <sheetData sheetId="1441">
        <row r="1">
          <cell r="B1" t="str">
            <v>1</v>
          </cell>
        </row>
      </sheetData>
      <sheetData sheetId="1442"/>
      <sheetData sheetId="1443"/>
      <sheetData sheetId="1444"/>
      <sheetData sheetId="1445"/>
      <sheetData sheetId="1446"/>
      <sheetData sheetId="1447"/>
      <sheetData sheetId="1448"/>
      <sheetData sheetId="1449"/>
      <sheetData sheetId="1450"/>
      <sheetData sheetId="1451"/>
      <sheetData sheetId="1452"/>
      <sheetData sheetId="1453"/>
      <sheetData sheetId="1454"/>
      <sheetData sheetId="1455"/>
      <sheetData sheetId="1456"/>
      <sheetData sheetId="1457"/>
      <sheetData sheetId="1458"/>
      <sheetData sheetId="1459"/>
      <sheetData sheetId="1460"/>
      <sheetData sheetId="1461"/>
      <sheetData sheetId="1462"/>
      <sheetData sheetId="1463"/>
      <sheetData sheetId="1464"/>
      <sheetData sheetId="1465"/>
      <sheetData sheetId="1466"/>
      <sheetData sheetId="1467"/>
      <sheetData sheetId="1468"/>
      <sheetData sheetId="1469"/>
      <sheetData sheetId="1470"/>
      <sheetData sheetId="1471"/>
      <sheetData sheetId="1472"/>
      <sheetData sheetId="1473"/>
      <sheetData sheetId="1474"/>
      <sheetData sheetId="1475"/>
      <sheetData sheetId="1476"/>
      <sheetData sheetId="1477"/>
      <sheetData sheetId="1478"/>
      <sheetData sheetId="1479"/>
      <sheetData sheetId="1480"/>
      <sheetData sheetId="1481"/>
      <sheetData sheetId="1482"/>
      <sheetData sheetId="1483"/>
      <sheetData sheetId="1484"/>
      <sheetData sheetId="1485"/>
      <sheetData sheetId="1486"/>
      <sheetData sheetId="1487"/>
      <sheetData sheetId="1488"/>
      <sheetData sheetId="1489"/>
      <sheetData sheetId="1490"/>
      <sheetData sheetId="1491"/>
      <sheetData sheetId="1492"/>
      <sheetData sheetId="1493"/>
      <sheetData sheetId="1494"/>
      <sheetData sheetId="1495"/>
      <sheetData sheetId="1496"/>
      <sheetData sheetId="1497"/>
      <sheetData sheetId="1498"/>
      <sheetData sheetId="1499"/>
      <sheetData sheetId="1500"/>
      <sheetData sheetId="1501"/>
      <sheetData sheetId="1502"/>
      <sheetData sheetId="1503"/>
      <sheetData sheetId="1504"/>
      <sheetData sheetId="1505"/>
      <sheetData sheetId="1506"/>
      <sheetData sheetId="1507"/>
      <sheetData sheetId="1508"/>
      <sheetData sheetId="1509"/>
      <sheetData sheetId="1510"/>
      <sheetData sheetId="1511"/>
      <sheetData sheetId="1512"/>
      <sheetData sheetId="1513"/>
      <sheetData sheetId="1514"/>
      <sheetData sheetId="1515">
        <row r="1">
          <cell r="B1" t="str">
            <v>1</v>
          </cell>
        </row>
      </sheetData>
      <sheetData sheetId="1516">
        <row r="1">
          <cell r="B1" t="str">
            <v>1</v>
          </cell>
        </row>
      </sheetData>
      <sheetData sheetId="1517">
        <row r="1">
          <cell r="B1" t="str">
            <v>1</v>
          </cell>
        </row>
      </sheetData>
      <sheetData sheetId="1518">
        <row r="1">
          <cell r="B1" t="str">
            <v>1</v>
          </cell>
        </row>
      </sheetData>
      <sheetData sheetId="1519">
        <row r="1">
          <cell r="B1" t="str">
            <v>1</v>
          </cell>
        </row>
      </sheetData>
      <sheetData sheetId="1520">
        <row r="1">
          <cell r="B1" t="str">
            <v>1</v>
          </cell>
        </row>
      </sheetData>
      <sheetData sheetId="1521">
        <row r="1">
          <cell r="B1" t="str">
            <v>1</v>
          </cell>
        </row>
      </sheetData>
      <sheetData sheetId="1522">
        <row r="1">
          <cell r="B1" t="str">
            <v>1</v>
          </cell>
        </row>
      </sheetData>
      <sheetData sheetId="1523">
        <row r="1">
          <cell r="B1" t="str">
            <v>1</v>
          </cell>
        </row>
      </sheetData>
      <sheetData sheetId="1524">
        <row r="1">
          <cell r="B1" t="str">
            <v>1</v>
          </cell>
        </row>
      </sheetData>
      <sheetData sheetId="1525">
        <row r="1">
          <cell r="B1" t="str">
            <v>1</v>
          </cell>
        </row>
      </sheetData>
      <sheetData sheetId="1526">
        <row r="1">
          <cell r="B1" t="str">
            <v>1</v>
          </cell>
        </row>
      </sheetData>
      <sheetData sheetId="1527">
        <row r="1">
          <cell r="B1" t="str">
            <v>1</v>
          </cell>
        </row>
      </sheetData>
      <sheetData sheetId="1528">
        <row r="1">
          <cell r="B1" t="str">
            <v>1</v>
          </cell>
        </row>
      </sheetData>
      <sheetData sheetId="1529">
        <row r="1">
          <cell r="B1" t="str">
            <v>1</v>
          </cell>
        </row>
      </sheetData>
      <sheetData sheetId="1530">
        <row r="1">
          <cell r="B1" t="str">
            <v>1</v>
          </cell>
        </row>
      </sheetData>
      <sheetData sheetId="1531">
        <row r="1">
          <cell r="B1" t="str">
            <v>1</v>
          </cell>
        </row>
      </sheetData>
      <sheetData sheetId="1532">
        <row r="1">
          <cell r="B1" t="str">
            <v>1</v>
          </cell>
        </row>
      </sheetData>
      <sheetData sheetId="1533">
        <row r="1">
          <cell r="B1" t="str">
            <v>1</v>
          </cell>
        </row>
      </sheetData>
      <sheetData sheetId="1534">
        <row r="1">
          <cell r="B1" t="str">
            <v>1</v>
          </cell>
        </row>
      </sheetData>
      <sheetData sheetId="1535"/>
      <sheetData sheetId="1536">
        <row r="1">
          <cell r="B1" t="str">
            <v>1</v>
          </cell>
        </row>
      </sheetData>
      <sheetData sheetId="1537">
        <row r="1">
          <cell r="B1" t="str">
            <v>1</v>
          </cell>
        </row>
      </sheetData>
      <sheetData sheetId="1538"/>
      <sheetData sheetId="1539">
        <row r="1">
          <cell r="B1" t="str">
            <v>1</v>
          </cell>
        </row>
      </sheetData>
      <sheetData sheetId="1540">
        <row r="1">
          <cell r="B1" t="str">
            <v>1</v>
          </cell>
        </row>
      </sheetData>
      <sheetData sheetId="1541"/>
      <sheetData sheetId="1542"/>
      <sheetData sheetId="1543"/>
      <sheetData sheetId="1544">
        <row r="1">
          <cell r="B1" t="str">
            <v>1</v>
          </cell>
        </row>
      </sheetData>
      <sheetData sheetId="1545">
        <row r="1">
          <cell r="B1" t="str">
            <v>1</v>
          </cell>
        </row>
      </sheetData>
      <sheetData sheetId="1546">
        <row r="1">
          <cell r="B1" t="str">
            <v>1</v>
          </cell>
        </row>
      </sheetData>
      <sheetData sheetId="1547">
        <row r="1">
          <cell r="B1" t="str">
            <v>1</v>
          </cell>
        </row>
      </sheetData>
      <sheetData sheetId="1548">
        <row r="1">
          <cell r="B1" t="str">
            <v>1</v>
          </cell>
        </row>
      </sheetData>
      <sheetData sheetId="1549">
        <row r="1">
          <cell r="B1" t="str">
            <v>1</v>
          </cell>
        </row>
      </sheetData>
      <sheetData sheetId="1550">
        <row r="1">
          <cell r="B1" t="str">
            <v>1</v>
          </cell>
        </row>
      </sheetData>
      <sheetData sheetId="1551">
        <row r="1">
          <cell r="B1" t="str">
            <v>1</v>
          </cell>
        </row>
      </sheetData>
      <sheetData sheetId="1552">
        <row r="1">
          <cell r="B1" t="str">
            <v>1</v>
          </cell>
        </row>
      </sheetData>
      <sheetData sheetId="1553">
        <row r="1">
          <cell r="B1" t="str">
            <v>1</v>
          </cell>
        </row>
      </sheetData>
      <sheetData sheetId="1554">
        <row r="1">
          <cell r="B1" t="str">
            <v>1</v>
          </cell>
        </row>
      </sheetData>
      <sheetData sheetId="1555">
        <row r="1">
          <cell r="B1" t="str">
            <v>1</v>
          </cell>
        </row>
      </sheetData>
      <sheetData sheetId="1556">
        <row r="1">
          <cell r="B1" t="str">
            <v>1</v>
          </cell>
        </row>
      </sheetData>
      <sheetData sheetId="1557">
        <row r="1">
          <cell r="B1" t="str">
            <v>1</v>
          </cell>
        </row>
      </sheetData>
      <sheetData sheetId="1558">
        <row r="1">
          <cell r="B1" t="str">
            <v>1</v>
          </cell>
        </row>
      </sheetData>
      <sheetData sheetId="1559">
        <row r="1">
          <cell r="B1" t="str">
            <v>1</v>
          </cell>
        </row>
      </sheetData>
      <sheetData sheetId="1560">
        <row r="1">
          <cell r="B1" t="str">
            <v>1</v>
          </cell>
        </row>
      </sheetData>
      <sheetData sheetId="1561"/>
      <sheetData sheetId="1562">
        <row r="1">
          <cell r="B1" t="str">
            <v>1</v>
          </cell>
        </row>
      </sheetData>
      <sheetData sheetId="1563">
        <row r="1">
          <cell r="B1" t="str">
            <v>1</v>
          </cell>
        </row>
      </sheetData>
      <sheetData sheetId="1564">
        <row r="1">
          <cell r="B1" t="str">
            <v>1</v>
          </cell>
        </row>
      </sheetData>
      <sheetData sheetId="1565">
        <row r="1">
          <cell r="B1" t="str">
            <v>1</v>
          </cell>
        </row>
      </sheetData>
      <sheetData sheetId="1566">
        <row r="1">
          <cell r="B1" t="str">
            <v>1</v>
          </cell>
        </row>
      </sheetData>
      <sheetData sheetId="1567">
        <row r="1">
          <cell r="B1" t="str">
            <v>1</v>
          </cell>
        </row>
      </sheetData>
      <sheetData sheetId="1568">
        <row r="1">
          <cell r="B1" t="str">
            <v>1</v>
          </cell>
        </row>
      </sheetData>
      <sheetData sheetId="1569">
        <row r="1">
          <cell r="B1" t="str">
            <v>1</v>
          </cell>
        </row>
      </sheetData>
      <sheetData sheetId="1570">
        <row r="1">
          <cell r="B1" t="str">
            <v>1</v>
          </cell>
        </row>
      </sheetData>
      <sheetData sheetId="1571">
        <row r="1">
          <cell r="B1" t="str">
            <v>1</v>
          </cell>
        </row>
      </sheetData>
      <sheetData sheetId="1572">
        <row r="1">
          <cell r="B1" t="str">
            <v>1</v>
          </cell>
        </row>
      </sheetData>
      <sheetData sheetId="1573">
        <row r="1">
          <cell r="B1" t="str">
            <v>1</v>
          </cell>
        </row>
      </sheetData>
      <sheetData sheetId="1574">
        <row r="3">
          <cell r="B3" t="str">
            <v>TOYOTA   TSUSHO  PHILIPPINES CORPORATION</v>
          </cell>
        </row>
      </sheetData>
      <sheetData sheetId="1575">
        <row r="3">
          <cell r="B3" t="str">
            <v>TOYOTA   TSUSHO  PHILIPPINES CORPORATION</v>
          </cell>
        </row>
      </sheetData>
      <sheetData sheetId="1576">
        <row r="3">
          <cell r="B3" t="str">
            <v>TOYOTA   TSUSHO  PHILIPPINES CORPORATION</v>
          </cell>
        </row>
      </sheetData>
      <sheetData sheetId="1577">
        <row r="1">
          <cell r="B1" t="str">
            <v>1</v>
          </cell>
        </row>
      </sheetData>
      <sheetData sheetId="1578">
        <row r="1">
          <cell r="B1" t="str">
            <v>1</v>
          </cell>
        </row>
      </sheetData>
      <sheetData sheetId="1579">
        <row r="1">
          <cell r="B1" t="str">
            <v>1</v>
          </cell>
        </row>
      </sheetData>
      <sheetData sheetId="1580">
        <row r="1">
          <cell r="B1" t="str">
            <v>1</v>
          </cell>
        </row>
      </sheetData>
      <sheetData sheetId="1581">
        <row r="1">
          <cell r="B1" t="str">
            <v>1</v>
          </cell>
        </row>
      </sheetData>
      <sheetData sheetId="1582">
        <row r="1">
          <cell r="B1" t="str">
            <v>1</v>
          </cell>
        </row>
      </sheetData>
      <sheetData sheetId="1583">
        <row r="1">
          <cell r="B1" t="str">
            <v>1</v>
          </cell>
        </row>
      </sheetData>
      <sheetData sheetId="1584">
        <row r="1">
          <cell r="B1" t="str">
            <v>1</v>
          </cell>
        </row>
      </sheetData>
      <sheetData sheetId="1585">
        <row r="1">
          <cell r="B1" t="str">
            <v>1</v>
          </cell>
        </row>
      </sheetData>
      <sheetData sheetId="1586">
        <row r="1">
          <cell r="B1" t="str">
            <v>1</v>
          </cell>
        </row>
      </sheetData>
      <sheetData sheetId="1587">
        <row r="1">
          <cell r="B1" t="str">
            <v>1</v>
          </cell>
        </row>
      </sheetData>
      <sheetData sheetId="1588">
        <row r="1">
          <cell r="B1" t="str">
            <v>1</v>
          </cell>
        </row>
      </sheetData>
      <sheetData sheetId="1589">
        <row r="1">
          <cell r="B1" t="str">
            <v>1</v>
          </cell>
        </row>
      </sheetData>
      <sheetData sheetId="1590">
        <row r="1">
          <cell r="B1" t="str">
            <v>1</v>
          </cell>
        </row>
      </sheetData>
      <sheetData sheetId="1591">
        <row r="1">
          <cell r="B1" t="str">
            <v>1</v>
          </cell>
        </row>
      </sheetData>
      <sheetData sheetId="1592">
        <row r="1">
          <cell r="B1" t="str">
            <v>1</v>
          </cell>
        </row>
      </sheetData>
      <sheetData sheetId="1593">
        <row r="1">
          <cell r="B1" t="str">
            <v>1</v>
          </cell>
        </row>
      </sheetData>
      <sheetData sheetId="1594">
        <row r="1">
          <cell r="B1" t="str">
            <v>1</v>
          </cell>
        </row>
      </sheetData>
      <sheetData sheetId="1595">
        <row r="1">
          <cell r="B1" t="str">
            <v>1</v>
          </cell>
        </row>
      </sheetData>
      <sheetData sheetId="1596">
        <row r="1">
          <cell r="B1" t="str">
            <v>1</v>
          </cell>
        </row>
      </sheetData>
      <sheetData sheetId="1597">
        <row r="1">
          <cell r="B1" t="str">
            <v>1</v>
          </cell>
        </row>
      </sheetData>
      <sheetData sheetId="1598">
        <row r="1">
          <cell r="B1" t="str">
            <v>1</v>
          </cell>
        </row>
      </sheetData>
      <sheetData sheetId="1599"/>
      <sheetData sheetId="1600">
        <row r="1">
          <cell r="B1" t="str">
            <v>1</v>
          </cell>
        </row>
      </sheetData>
      <sheetData sheetId="1601">
        <row r="1">
          <cell r="B1" t="str">
            <v>1</v>
          </cell>
        </row>
      </sheetData>
      <sheetData sheetId="1602">
        <row r="1">
          <cell r="B1" t="str">
            <v>1</v>
          </cell>
        </row>
      </sheetData>
      <sheetData sheetId="1603">
        <row r="1">
          <cell r="B1" t="str">
            <v>1</v>
          </cell>
        </row>
      </sheetData>
      <sheetData sheetId="1604">
        <row r="1">
          <cell r="B1" t="str">
            <v>1</v>
          </cell>
        </row>
      </sheetData>
      <sheetData sheetId="1605"/>
      <sheetData sheetId="1606">
        <row r="1">
          <cell r="B1" t="str">
            <v>1</v>
          </cell>
        </row>
      </sheetData>
      <sheetData sheetId="1607"/>
      <sheetData sheetId="1608">
        <row r="1">
          <cell r="B1" t="str">
            <v>1</v>
          </cell>
        </row>
      </sheetData>
      <sheetData sheetId="1609"/>
      <sheetData sheetId="1610">
        <row r="1">
          <cell r="B1" t="str">
            <v>1</v>
          </cell>
        </row>
      </sheetData>
      <sheetData sheetId="1611">
        <row r="1">
          <cell r="B1" t="str">
            <v>1</v>
          </cell>
        </row>
      </sheetData>
      <sheetData sheetId="1612">
        <row r="1">
          <cell r="B1" t="str">
            <v>1</v>
          </cell>
        </row>
      </sheetData>
      <sheetData sheetId="1613">
        <row r="1">
          <cell r="B1" t="str">
            <v>1</v>
          </cell>
        </row>
      </sheetData>
      <sheetData sheetId="1614"/>
      <sheetData sheetId="1615"/>
      <sheetData sheetId="1616"/>
      <sheetData sheetId="1617"/>
      <sheetData sheetId="1618"/>
      <sheetData sheetId="1619"/>
      <sheetData sheetId="1620"/>
      <sheetData sheetId="1621"/>
      <sheetData sheetId="1622"/>
      <sheetData sheetId="1623"/>
      <sheetData sheetId="1624"/>
      <sheetData sheetId="1625"/>
      <sheetData sheetId="1626"/>
      <sheetData sheetId="1627"/>
      <sheetData sheetId="1628"/>
      <sheetData sheetId="1629"/>
      <sheetData sheetId="1630"/>
      <sheetData sheetId="1631"/>
      <sheetData sheetId="1632"/>
      <sheetData sheetId="1633"/>
      <sheetData sheetId="1634">
        <row r="1">
          <cell r="B1" t="str">
            <v>1</v>
          </cell>
        </row>
      </sheetData>
      <sheetData sheetId="1635"/>
      <sheetData sheetId="1636"/>
      <sheetData sheetId="1637"/>
      <sheetData sheetId="1638">
        <row r="1">
          <cell r="B1" t="str">
            <v>1</v>
          </cell>
        </row>
      </sheetData>
      <sheetData sheetId="1639"/>
      <sheetData sheetId="1640"/>
      <sheetData sheetId="1641"/>
      <sheetData sheetId="1642"/>
      <sheetData sheetId="1643"/>
      <sheetData sheetId="1644"/>
      <sheetData sheetId="1645"/>
      <sheetData sheetId="1646"/>
      <sheetData sheetId="1647"/>
      <sheetData sheetId="1648"/>
      <sheetData sheetId="1649"/>
      <sheetData sheetId="1650"/>
      <sheetData sheetId="1651"/>
      <sheetData sheetId="1652"/>
      <sheetData sheetId="1653"/>
      <sheetData sheetId="1654"/>
      <sheetData sheetId="1655"/>
      <sheetData sheetId="1656"/>
      <sheetData sheetId="1657"/>
      <sheetData sheetId="1658"/>
      <sheetData sheetId="1659"/>
      <sheetData sheetId="1660"/>
      <sheetData sheetId="1661"/>
      <sheetData sheetId="1662"/>
      <sheetData sheetId="1663"/>
      <sheetData sheetId="1664"/>
      <sheetData sheetId="1665"/>
      <sheetData sheetId="1666"/>
      <sheetData sheetId="1667"/>
      <sheetData sheetId="1668"/>
      <sheetData sheetId="1669"/>
      <sheetData sheetId="1670"/>
      <sheetData sheetId="1671"/>
      <sheetData sheetId="1672"/>
      <sheetData sheetId="1673"/>
      <sheetData sheetId="1674"/>
      <sheetData sheetId="1675"/>
      <sheetData sheetId="1676"/>
      <sheetData sheetId="1677"/>
      <sheetData sheetId="1678"/>
      <sheetData sheetId="1679"/>
      <sheetData sheetId="1680"/>
      <sheetData sheetId="1681"/>
      <sheetData sheetId="1682"/>
      <sheetData sheetId="1683"/>
      <sheetData sheetId="1684"/>
      <sheetData sheetId="1685"/>
      <sheetData sheetId="1686"/>
      <sheetData sheetId="1687"/>
      <sheetData sheetId="1688"/>
      <sheetData sheetId="1689"/>
      <sheetData sheetId="1690"/>
      <sheetData sheetId="1691"/>
      <sheetData sheetId="1692"/>
      <sheetData sheetId="1693"/>
      <sheetData sheetId="1694"/>
      <sheetData sheetId="1695"/>
      <sheetData sheetId="1696"/>
      <sheetData sheetId="1697"/>
      <sheetData sheetId="1698"/>
      <sheetData sheetId="1699"/>
      <sheetData sheetId="1700"/>
      <sheetData sheetId="1701"/>
      <sheetData sheetId="1702"/>
      <sheetData sheetId="1703"/>
      <sheetData sheetId="1704"/>
      <sheetData sheetId="1705"/>
      <sheetData sheetId="1706"/>
      <sheetData sheetId="1707"/>
      <sheetData sheetId="1708"/>
      <sheetData sheetId="1709"/>
      <sheetData sheetId="1710"/>
      <sheetData sheetId="1711"/>
      <sheetData sheetId="1712"/>
      <sheetData sheetId="1713"/>
      <sheetData sheetId="1714"/>
      <sheetData sheetId="1715"/>
      <sheetData sheetId="1716"/>
      <sheetData sheetId="1717"/>
      <sheetData sheetId="1718"/>
      <sheetData sheetId="1719"/>
      <sheetData sheetId="1720"/>
      <sheetData sheetId="1721"/>
      <sheetData sheetId="1722"/>
      <sheetData sheetId="1723"/>
      <sheetData sheetId="1724"/>
      <sheetData sheetId="1725"/>
      <sheetData sheetId="1726"/>
      <sheetData sheetId="1727"/>
      <sheetData sheetId="1728"/>
      <sheetData sheetId="1729"/>
      <sheetData sheetId="1730"/>
      <sheetData sheetId="1731"/>
      <sheetData sheetId="1732"/>
      <sheetData sheetId="1733"/>
      <sheetData sheetId="1734"/>
      <sheetData sheetId="1735"/>
      <sheetData sheetId="1736"/>
      <sheetData sheetId="1737"/>
      <sheetData sheetId="1738"/>
      <sheetData sheetId="1739"/>
      <sheetData sheetId="1740"/>
      <sheetData sheetId="1741"/>
      <sheetData sheetId="1742"/>
      <sheetData sheetId="1743"/>
      <sheetData sheetId="1744"/>
      <sheetData sheetId="1745"/>
      <sheetData sheetId="1746"/>
      <sheetData sheetId="1747"/>
      <sheetData sheetId="1748"/>
      <sheetData sheetId="1749"/>
      <sheetData sheetId="1750"/>
      <sheetData sheetId="1751"/>
      <sheetData sheetId="1752"/>
      <sheetData sheetId="1753"/>
      <sheetData sheetId="1754"/>
      <sheetData sheetId="1755"/>
      <sheetData sheetId="1756"/>
      <sheetData sheetId="1757"/>
      <sheetData sheetId="1758"/>
      <sheetData sheetId="1759"/>
      <sheetData sheetId="1760"/>
      <sheetData sheetId="1761"/>
      <sheetData sheetId="1762"/>
      <sheetData sheetId="1763"/>
      <sheetData sheetId="1764"/>
      <sheetData sheetId="1765"/>
      <sheetData sheetId="1766"/>
      <sheetData sheetId="1767"/>
      <sheetData sheetId="1768"/>
      <sheetData sheetId="1769"/>
      <sheetData sheetId="1770"/>
      <sheetData sheetId="1771"/>
      <sheetData sheetId="1772"/>
      <sheetData sheetId="1773"/>
      <sheetData sheetId="1774"/>
      <sheetData sheetId="1775"/>
      <sheetData sheetId="1776"/>
      <sheetData sheetId="1777"/>
      <sheetData sheetId="1778"/>
      <sheetData sheetId="1779"/>
      <sheetData sheetId="1780"/>
      <sheetData sheetId="1781"/>
      <sheetData sheetId="1782"/>
      <sheetData sheetId="1783"/>
      <sheetData sheetId="1784"/>
      <sheetData sheetId="1785"/>
      <sheetData sheetId="1786"/>
      <sheetData sheetId="1787"/>
      <sheetData sheetId="1788"/>
      <sheetData sheetId="1789"/>
      <sheetData sheetId="1790"/>
      <sheetData sheetId="1791"/>
      <sheetData sheetId="1792"/>
      <sheetData sheetId="1793"/>
      <sheetData sheetId="1794"/>
      <sheetData sheetId="1795"/>
      <sheetData sheetId="1796"/>
      <sheetData sheetId="1797"/>
      <sheetData sheetId="1798"/>
      <sheetData sheetId="1799"/>
      <sheetData sheetId="1800"/>
      <sheetData sheetId="1801"/>
      <sheetData sheetId="1802"/>
      <sheetData sheetId="1803"/>
      <sheetData sheetId="1804"/>
      <sheetData sheetId="1805"/>
      <sheetData sheetId="1806"/>
      <sheetData sheetId="1807"/>
      <sheetData sheetId="1808"/>
      <sheetData sheetId="1809"/>
      <sheetData sheetId="1810"/>
      <sheetData sheetId="1811"/>
      <sheetData sheetId="1812"/>
      <sheetData sheetId="1813"/>
      <sheetData sheetId="1814"/>
      <sheetData sheetId="1815"/>
      <sheetData sheetId="1816"/>
      <sheetData sheetId="1817"/>
      <sheetData sheetId="1818"/>
      <sheetData sheetId="1819"/>
      <sheetData sheetId="1820"/>
      <sheetData sheetId="1821"/>
      <sheetData sheetId="1822"/>
      <sheetData sheetId="1823"/>
      <sheetData sheetId="1824"/>
      <sheetData sheetId="1825"/>
      <sheetData sheetId="1826"/>
      <sheetData sheetId="1827"/>
      <sheetData sheetId="1828"/>
      <sheetData sheetId="1829"/>
      <sheetData sheetId="1830"/>
      <sheetData sheetId="1831"/>
      <sheetData sheetId="1832"/>
      <sheetData sheetId="1833"/>
      <sheetData sheetId="1834"/>
      <sheetData sheetId="1835"/>
      <sheetData sheetId="1836"/>
      <sheetData sheetId="1837"/>
      <sheetData sheetId="1838"/>
      <sheetData sheetId="1839"/>
      <sheetData sheetId="1840"/>
      <sheetData sheetId="1841"/>
      <sheetData sheetId="1842"/>
      <sheetData sheetId="1843"/>
      <sheetData sheetId="1844"/>
      <sheetData sheetId="1845"/>
      <sheetData sheetId="1846"/>
      <sheetData sheetId="1847"/>
      <sheetData sheetId="1848"/>
      <sheetData sheetId="1849"/>
      <sheetData sheetId="1850"/>
      <sheetData sheetId="1851"/>
      <sheetData sheetId="1852"/>
      <sheetData sheetId="1853"/>
      <sheetData sheetId="1854"/>
      <sheetData sheetId="1855"/>
      <sheetData sheetId="1856"/>
      <sheetData sheetId="1857"/>
      <sheetData sheetId="1858"/>
      <sheetData sheetId="1859"/>
      <sheetData sheetId="1860"/>
      <sheetData sheetId="1861"/>
      <sheetData sheetId="1862"/>
      <sheetData sheetId="1863"/>
      <sheetData sheetId="1864"/>
      <sheetData sheetId="1865"/>
      <sheetData sheetId="1866"/>
      <sheetData sheetId="1867"/>
      <sheetData sheetId="1868"/>
      <sheetData sheetId="1869"/>
      <sheetData sheetId="1870"/>
      <sheetData sheetId="1871"/>
      <sheetData sheetId="1872"/>
      <sheetData sheetId="1873"/>
      <sheetData sheetId="1874"/>
      <sheetData sheetId="1875"/>
      <sheetData sheetId="1876"/>
      <sheetData sheetId="1877"/>
      <sheetData sheetId="1878"/>
      <sheetData sheetId="1879"/>
      <sheetData sheetId="1880"/>
      <sheetData sheetId="1881"/>
      <sheetData sheetId="1882"/>
      <sheetData sheetId="1883"/>
      <sheetData sheetId="1884"/>
      <sheetData sheetId="1885"/>
      <sheetData sheetId="1886"/>
      <sheetData sheetId="1887"/>
      <sheetData sheetId="1888"/>
      <sheetData sheetId="1889"/>
      <sheetData sheetId="1890"/>
      <sheetData sheetId="1891"/>
      <sheetData sheetId="1892"/>
      <sheetData sheetId="1893"/>
      <sheetData sheetId="1894"/>
      <sheetData sheetId="1895"/>
      <sheetData sheetId="1896"/>
      <sheetData sheetId="1897"/>
      <sheetData sheetId="1898"/>
      <sheetData sheetId="1899"/>
      <sheetData sheetId="1900"/>
      <sheetData sheetId="1901"/>
      <sheetData sheetId="1902"/>
      <sheetData sheetId="1903"/>
      <sheetData sheetId="1904"/>
      <sheetData sheetId="1905"/>
      <sheetData sheetId="1906"/>
      <sheetData sheetId="1907"/>
      <sheetData sheetId="1908"/>
      <sheetData sheetId="1909"/>
      <sheetData sheetId="1910"/>
      <sheetData sheetId="1911"/>
      <sheetData sheetId="1912"/>
      <sheetData sheetId="1913"/>
      <sheetData sheetId="1914"/>
      <sheetData sheetId="1915"/>
      <sheetData sheetId="1916"/>
      <sheetData sheetId="1917"/>
      <sheetData sheetId="1918"/>
      <sheetData sheetId="1919"/>
      <sheetData sheetId="1920"/>
      <sheetData sheetId="1921"/>
      <sheetData sheetId="1922"/>
      <sheetData sheetId="1923"/>
      <sheetData sheetId="1924"/>
      <sheetData sheetId="1925"/>
      <sheetData sheetId="1926"/>
      <sheetData sheetId="1927"/>
      <sheetData sheetId="1928"/>
      <sheetData sheetId="1929"/>
      <sheetData sheetId="1930"/>
      <sheetData sheetId="1931"/>
      <sheetData sheetId="1932"/>
      <sheetData sheetId="1933"/>
      <sheetData sheetId="1934"/>
      <sheetData sheetId="1935"/>
      <sheetData sheetId="1936"/>
      <sheetData sheetId="1937"/>
      <sheetData sheetId="1938"/>
      <sheetData sheetId="1939"/>
      <sheetData sheetId="1940"/>
      <sheetData sheetId="1941"/>
      <sheetData sheetId="1942"/>
      <sheetData sheetId="1943"/>
      <sheetData sheetId="1944"/>
      <sheetData sheetId="1945"/>
      <sheetData sheetId="1946"/>
      <sheetData sheetId="1947"/>
      <sheetData sheetId="1948"/>
      <sheetData sheetId="1949"/>
      <sheetData sheetId="1950"/>
      <sheetData sheetId="1951"/>
      <sheetData sheetId="1952"/>
      <sheetData sheetId="1953"/>
      <sheetData sheetId="1954"/>
      <sheetData sheetId="1955"/>
      <sheetData sheetId="1956"/>
      <sheetData sheetId="1957"/>
      <sheetData sheetId="1958"/>
      <sheetData sheetId="1959"/>
      <sheetData sheetId="1960"/>
      <sheetData sheetId="1961"/>
      <sheetData sheetId="1962"/>
      <sheetData sheetId="1963"/>
      <sheetData sheetId="1964"/>
      <sheetData sheetId="1965"/>
      <sheetData sheetId="1966"/>
      <sheetData sheetId="1967"/>
      <sheetData sheetId="1968"/>
      <sheetData sheetId="1969"/>
      <sheetData sheetId="1970"/>
      <sheetData sheetId="1971"/>
      <sheetData sheetId="1972"/>
      <sheetData sheetId="1973"/>
      <sheetData sheetId="1974"/>
      <sheetData sheetId="1975"/>
      <sheetData sheetId="1976"/>
      <sheetData sheetId="1977"/>
      <sheetData sheetId="1978"/>
      <sheetData sheetId="1979"/>
      <sheetData sheetId="1980"/>
      <sheetData sheetId="1981"/>
      <sheetData sheetId="1982"/>
      <sheetData sheetId="1983"/>
      <sheetData sheetId="1984"/>
      <sheetData sheetId="1985"/>
      <sheetData sheetId="1986"/>
      <sheetData sheetId="1987"/>
      <sheetData sheetId="1988"/>
      <sheetData sheetId="1989"/>
      <sheetData sheetId="1990"/>
      <sheetData sheetId="1991"/>
      <sheetData sheetId="1992"/>
      <sheetData sheetId="1993"/>
      <sheetData sheetId="1994"/>
      <sheetData sheetId="1995"/>
      <sheetData sheetId="1996"/>
      <sheetData sheetId="1997"/>
      <sheetData sheetId="1998"/>
      <sheetData sheetId="1999"/>
      <sheetData sheetId="2000"/>
      <sheetData sheetId="2001"/>
      <sheetData sheetId="2002"/>
      <sheetData sheetId="2003"/>
      <sheetData sheetId="2004"/>
      <sheetData sheetId="2005"/>
      <sheetData sheetId="2006"/>
      <sheetData sheetId="2007"/>
      <sheetData sheetId="2008"/>
      <sheetData sheetId="2009"/>
      <sheetData sheetId="2010"/>
      <sheetData sheetId="2011"/>
      <sheetData sheetId="2012"/>
      <sheetData sheetId="2013"/>
      <sheetData sheetId="2014"/>
      <sheetData sheetId="2015"/>
      <sheetData sheetId="2016"/>
      <sheetData sheetId="2017"/>
      <sheetData sheetId="2018"/>
      <sheetData sheetId="2019"/>
      <sheetData sheetId="2020"/>
      <sheetData sheetId="2021"/>
      <sheetData sheetId="2022"/>
      <sheetData sheetId="2023"/>
      <sheetData sheetId="2024"/>
      <sheetData sheetId="2025"/>
      <sheetData sheetId="2026"/>
      <sheetData sheetId="2027"/>
      <sheetData sheetId="2028"/>
      <sheetData sheetId="2029"/>
      <sheetData sheetId="2030"/>
      <sheetData sheetId="2031"/>
      <sheetData sheetId="2032"/>
      <sheetData sheetId="2033"/>
      <sheetData sheetId="2034"/>
      <sheetData sheetId="2035"/>
      <sheetData sheetId="2036"/>
      <sheetData sheetId="2037"/>
      <sheetData sheetId="2038"/>
      <sheetData sheetId="2039"/>
      <sheetData sheetId="2040"/>
      <sheetData sheetId="2041"/>
      <sheetData sheetId="2042"/>
      <sheetData sheetId="2043"/>
      <sheetData sheetId="2044"/>
      <sheetData sheetId="2045"/>
      <sheetData sheetId="2046"/>
      <sheetData sheetId="2047"/>
      <sheetData sheetId="2048"/>
      <sheetData sheetId="2049"/>
      <sheetData sheetId="2050"/>
      <sheetData sheetId="2051"/>
      <sheetData sheetId="2052"/>
      <sheetData sheetId="2053"/>
      <sheetData sheetId="2054"/>
      <sheetData sheetId="2055"/>
      <sheetData sheetId="2056"/>
      <sheetData sheetId="2057"/>
      <sheetData sheetId="2058"/>
      <sheetData sheetId="2059"/>
      <sheetData sheetId="2060"/>
      <sheetData sheetId="2061"/>
      <sheetData sheetId="2062"/>
      <sheetData sheetId="2063"/>
      <sheetData sheetId="2064"/>
      <sheetData sheetId="2065"/>
      <sheetData sheetId="2066"/>
      <sheetData sheetId="2067"/>
      <sheetData sheetId="2068"/>
      <sheetData sheetId="2069"/>
      <sheetData sheetId="2070"/>
      <sheetData sheetId="2071"/>
      <sheetData sheetId="2072"/>
      <sheetData sheetId="2073"/>
      <sheetData sheetId="2074"/>
      <sheetData sheetId="2075"/>
      <sheetData sheetId="2076"/>
      <sheetData sheetId="2077"/>
      <sheetData sheetId="2078"/>
      <sheetData sheetId="2079"/>
      <sheetData sheetId="2080"/>
      <sheetData sheetId="2081"/>
      <sheetData sheetId="2082"/>
      <sheetData sheetId="2083"/>
      <sheetData sheetId="2084"/>
      <sheetData sheetId="2085"/>
      <sheetData sheetId="2086"/>
      <sheetData sheetId="2087"/>
      <sheetData sheetId="2088"/>
      <sheetData sheetId="2089"/>
      <sheetData sheetId="2090"/>
      <sheetData sheetId="2091"/>
      <sheetData sheetId="2092"/>
      <sheetData sheetId="2093"/>
      <sheetData sheetId="2094"/>
      <sheetData sheetId="2095"/>
      <sheetData sheetId="2096"/>
      <sheetData sheetId="2097"/>
      <sheetData sheetId="2098"/>
      <sheetData sheetId="2099"/>
      <sheetData sheetId="2100"/>
      <sheetData sheetId="2101"/>
      <sheetData sheetId="2102"/>
      <sheetData sheetId="2103"/>
      <sheetData sheetId="2104"/>
      <sheetData sheetId="2105"/>
      <sheetData sheetId="2106"/>
      <sheetData sheetId="2107"/>
      <sheetData sheetId="2108"/>
      <sheetData sheetId="2109"/>
      <sheetData sheetId="2110"/>
      <sheetData sheetId="2111"/>
      <sheetData sheetId="2112"/>
      <sheetData sheetId="2113"/>
      <sheetData sheetId="2114"/>
      <sheetData sheetId="2115"/>
      <sheetData sheetId="2116"/>
      <sheetData sheetId="2117"/>
      <sheetData sheetId="2118"/>
      <sheetData sheetId="2119"/>
      <sheetData sheetId="2120"/>
      <sheetData sheetId="2121"/>
      <sheetData sheetId="2122"/>
      <sheetData sheetId="2123"/>
      <sheetData sheetId="2124"/>
      <sheetData sheetId="2125"/>
      <sheetData sheetId="2126"/>
      <sheetData sheetId="2127"/>
      <sheetData sheetId="2128"/>
      <sheetData sheetId="2129"/>
      <sheetData sheetId="2130"/>
      <sheetData sheetId="2131"/>
      <sheetData sheetId="2132"/>
      <sheetData sheetId="2133"/>
      <sheetData sheetId="2134"/>
      <sheetData sheetId="2135"/>
      <sheetData sheetId="2136"/>
      <sheetData sheetId="2137"/>
      <sheetData sheetId="2138"/>
      <sheetData sheetId="2139"/>
      <sheetData sheetId="2140"/>
      <sheetData sheetId="2141"/>
      <sheetData sheetId="2142"/>
      <sheetData sheetId="2143"/>
      <sheetData sheetId="2144"/>
      <sheetData sheetId="2145"/>
      <sheetData sheetId="2146"/>
      <sheetData sheetId="2147"/>
      <sheetData sheetId="2148"/>
      <sheetData sheetId="2149"/>
      <sheetData sheetId="2150"/>
      <sheetData sheetId="2151"/>
      <sheetData sheetId="2152"/>
      <sheetData sheetId="2153"/>
      <sheetData sheetId="2154"/>
      <sheetData sheetId="2155"/>
      <sheetData sheetId="2156"/>
      <sheetData sheetId="2157"/>
      <sheetData sheetId="2158"/>
      <sheetData sheetId="2159"/>
      <sheetData sheetId="2160"/>
      <sheetData sheetId="2161"/>
      <sheetData sheetId="2162"/>
      <sheetData sheetId="2163"/>
      <sheetData sheetId="2164"/>
      <sheetData sheetId="2165"/>
      <sheetData sheetId="2166"/>
      <sheetData sheetId="2167"/>
      <sheetData sheetId="2168"/>
      <sheetData sheetId="2169"/>
      <sheetData sheetId="2170"/>
      <sheetData sheetId="2171"/>
      <sheetData sheetId="2172"/>
      <sheetData sheetId="2173"/>
      <sheetData sheetId="2174"/>
      <sheetData sheetId="2175"/>
      <sheetData sheetId="2176"/>
      <sheetData sheetId="2177"/>
      <sheetData sheetId="2178"/>
      <sheetData sheetId="2179"/>
      <sheetData sheetId="2180"/>
      <sheetData sheetId="2181"/>
      <sheetData sheetId="2182"/>
      <sheetData sheetId="2183"/>
      <sheetData sheetId="2184"/>
      <sheetData sheetId="2185"/>
      <sheetData sheetId="2186"/>
      <sheetData sheetId="2187"/>
      <sheetData sheetId="2188"/>
      <sheetData sheetId="2189"/>
      <sheetData sheetId="2190"/>
      <sheetData sheetId="2191"/>
      <sheetData sheetId="2192"/>
      <sheetData sheetId="2193"/>
      <sheetData sheetId="2194"/>
      <sheetData sheetId="2195"/>
      <sheetData sheetId="2196"/>
      <sheetData sheetId="2197"/>
      <sheetData sheetId="2198"/>
      <sheetData sheetId="2199"/>
      <sheetData sheetId="2200"/>
      <sheetData sheetId="2201"/>
      <sheetData sheetId="2202"/>
      <sheetData sheetId="2203"/>
      <sheetData sheetId="2204"/>
      <sheetData sheetId="2205"/>
      <sheetData sheetId="2206"/>
      <sheetData sheetId="2207"/>
      <sheetData sheetId="2208"/>
      <sheetData sheetId="2209"/>
      <sheetData sheetId="2210"/>
      <sheetData sheetId="2211"/>
      <sheetData sheetId="2212"/>
      <sheetData sheetId="2213"/>
      <sheetData sheetId="2214"/>
      <sheetData sheetId="2215"/>
      <sheetData sheetId="2216"/>
      <sheetData sheetId="2217"/>
      <sheetData sheetId="2218"/>
      <sheetData sheetId="2219"/>
      <sheetData sheetId="2220"/>
      <sheetData sheetId="2221"/>
      <sheetData sheetId="2222"/>
      <sheetData sheetId="2223"/>
      <sheetData sheetId="2224"/>
      <sheetData sheetId="2225"/>
      <sheetData sheetId="2226"/>
      <sheetData sheetId="2227"/>
      <sheetData sheetId="2228"/>
      <sheetData sheetId="2229"/>
      <sheetData sheetId="2230"/>
      <sheetData sheetId="2231"/>
      <sheetData sheetId="2232"/>
      <sheetData sheetId="2233"/>
      <sheetData sheetId="2234"/>
      <sheetData sheetId="2235"/>
      <sheetData sheetId="2236"/>
      <sheetData sheetId="2237"/>
      <sheetData sheetId="2238"/>
      <sheetData sheetId="2239"/>
      <sheetData sheetId="2240"/>
      <sheetData sheetId="2241"/>
      <sheetData sheetId="2242"/>
      <sheetData sheetId="2243"/>
      <sheetData sheetId="2244"/>
      <sheetData sheetId="2245"/>
      <sheetData sheetId="2246"/>
      <sheetData sheetId="2247"/>
      <sheetData sheetId="2248"/>
      <sheetData sheetId="2249"/>
      <sheetData sheetId="2250"/>
      <sheetData sheetId="2251"/>
      <sheetData sheetId="2252"/>
      <sheetData sheetId="2253"/>
      <sheetData sheetId="2254"/>
      <sheetData sheetId="2255"/>
      <sheetData sheetId="2256"/>
      <sheetData sheetId="2257"/>
      <sheetData sheetId="2258"/>
      <sheetData sheetId="2259"/>
      <sheetData sheetId="2260"/>
      <sheetData sheetId="2261"/>
      <sheetData sheetId="2262"/>
      <sheetData sheetId="2263"/>
      <sheetData sheetId="2264"/>
      <sheetData sheetId="2265"/>
      <sheetData sheetId="2266"/>
      <sheetData sheetId="2267"/>
      <sheetData sheetId="2268"/>
      <sheetData sheetId="2269"/>
      <sheetData sheetId="2270"/>
      <sheetData sheetId="2271"/>
      <sheetData sheetId="2272"/>
      <sheetData sheetId="2273"/>
      <sheetData sheetId="2274"/>
      <sheetData sheetId="2275"/>
      <sheetData sheetId="2276"/>
      <sheetData sheetId="2277"/>
      <sheetData sheetId="2278"/>
      <sheetData sheetId="2279"/>
      <sheetData sheetId="2280"/>
      <sheetData sheetId="2281"/>
      <sheetData sheetId="2282"/>
      <sheetData sheetId="2283"/>
      <sheetData sheetId="2284"/>
      <sheetData sheetId="2285"/>
      <sheetData sheetId="2286"/>
      <sheetData sheetId="2287"/>
      <sheetData sheetId="2288"/>
      <sheetData sheetId="2289"/>
      <sheetData sheetId="2290"/>
      <sheetData sheetId="2291"/>
      <sheetData sheetId="2292"/>
      <sheetData sheetId="2293"/>
      <sheetData sheetId="2294"/>
      <sheetData sheetId="2295"/>
      <sheetData sheetId="2296"/>
      <sheetData sheetId="2297"/>
      <sheetData sheetId="2298"/>
      <sheetData sheetId="2299"/>
      <sheetData sheetId="2300"/>
      <sheetData sheetId="2301"/>
      <sheetData sheetId="2302"/>
      <sheetData sheetId="2303"/>
      <sheetData sheetId="2304"/>
      <sheetData sheetId="2305"/>
      <sheetData sheetId="2306"/>
      <sheetData sheetId="2307"/>
      <sheetData sheetId="2308"/>
      <sheetData sheetId="2309"/>
      <sheetData sheetId="2310"/>
      <sheetData sheetId="2311"/>
      <sheetData sheetId="2312"/>
      <sheetData sheetId="2313"/>
      <sheetData sheetId="2314"/>
      <sheetData sheetId="2315"/>
      <sheetData sheetId="2316"/>
      <sheetData sheetId="2317"/>
      <sheetData sheetId="2318"/>
      <sheetData sheetId="2319"/>
      <sheetData sheetId="2320"/>
      <sheetData sheetId="2321"/>
      <sheetData sheetId="2322"/>
      <sheetData sheetId="2323"/>
      <sheetData sheetId="2324"/>
      <sheetData sheetId="2325"/>
      <sheetData sheetId="2326"/>
      <sheetData sheetId="2327"/>
      <sheetData sheetId="2328"/>
      <sheetData sheetId="2329"/>
      <sheetData sheetId="2330"/>
      <sheetData sheetId="2331"/>
      <sheetData sheetId="2332"/>
      <sheetData sheetId="2333"/>
      <sheetData sheetId="2334"/>
      <sheetData sheetId="2335"/>
      <sheetData sheetId="2336"/>
      <sheetData sheetId="2337"/>
      <sheetData sheetId="2338"/>
      <sheetData sheetId="2339"/>
      <sheetData sheetId="2340"/>
      <sheetData sheetId="2341"/>
      <sheetData sheetId="2342"/>
      <sheetData sheetId="2343"/>
      <sheetData sheetId="2344"/>
      <sheetData sheetId="2345"/>
      <sheetData sheetId="2346"/>
      <sheetData sheetId="2347"/>
      <sheetData sheetId="2348"/>
      <sheetData sheetId="2349"/>
      <sheetData sheetId="2350"/>
      <sheetData sheetId="2351"/>
      <sheetData sheetId="2352"/>
      <sheetData sheetId="2353"/>
      <sheetData sheetId="2354"/>
      <sheetData sheetId="2355"/>
      <sheetData sheetId="2356"/>
      <sheetData sheetId="2357"/>
      <sheetData sheetId="2358"/>
      <sheetData sheetId="2359"/>
      <sheetData sheetId="2360"/>
      <sheetData sheetId="2361"/>
      <sheetData sheetId="2362"/>
      <sheetData sheetId="2363"/>
      <sheetData sheetId="2364"/>
      <sheetData sheetId="2365"/>
      <sheetData sheetId="2366"/>
      <sheetData sheetId="2367"/>
      <sheetData sheetId="2368"/>
      <sheetData sheetId="2369"/>
      <sheetData sheetId="2370"/>
      <sheetData sheetId="2371"/>
      <sheetData sheetId="2372"/>
      <sheetData sheetId="2373"/>
      <sheetData sheetId="2374"/>
      <sheetData sheetId="2375"/>
      <sheetData sheetId="2376"/>
      <sheetData sheetId="2377"/>
      <sheetData sheetId="2378"/>
      <sheetData sheetId="2379"/>
      <sheetData sheetId="2380"/>
      <sheetData sheetId="2381"/>
      <sheetData sheetId="2382"/>
      <sheetData sheetId="2383"/>
      <sheetData sheetId="2384"/>
      <sheetData sheetId="2385"/>
      <sheetData sheetId="2386"/>
      <sheetData sheetId="2387"/>
      <sheetData sheetId="2388"/>
      <sheetData sheetId="2389"/>
      <sheetData sheetId="2390"/>
      <sheetData sheetId="2391"/>
      <sheetData sheetId="2392"/>
      <sheetData sheetId="2393"/>
      <sheetData sheetId="2394"/>
      <sheetData sheetId="2395"/>
      <sheetData sheetId="2396"/>
      <sheetData sheetId="2397"/>
      <sheetData sheetId="2398"/>
      <sheetData sheetId="2399"/>
      <sheetData sheetId="2400"/>
      <sheetData sheetId="2401"/>
      <sheetData sheetId="2402"/>
      <sheetData sheetId="2403"/>
      <sheetData sheetId="2404"/>
      <sheetData sheetId="2405"/>
      <sheetData sheetId="2406"/>
      <sheetData sheetId="2407"/>
      <sheetData sheetId="2408"/>
      <sheetData sheetId="2409"/>
      <sheetData sheetId="2410"/>
      <sheetData sheetId="2411"/>
      <sheetData sheetId="2412"/>
      <sheetData sheetId="2413"/>
      <sheetData sheetId="2414"/>
      <sheetData sheetId="2415"/>
      <sheetData sheetId="2416"/>
      <sheetData sheetId="2417"/>
      <sheetData sheetId="2418"/>
      <sheetData sheetId="2419"/>
      <sheetData sheetId="2420"/>
      <sheetData sheetId="2421"/>
      <sheetData sheetId="2422"/>
      <sheetData sheetId="2423"/>
      <sheetData sheetId="2424"/>
      <sheetData sheetId="2425"/>
      <sheetData sheetId="2426"/>
      <sheetData sheetId="2427"/>
      <sheetData sheetId="2428"/>
      <sheetData sheetId="2429"/>
      <sheetData sheetId="2430"/>
      <sheetData sheetId="2431"/>
      <sheetData sheetId="2432"/>
      <sheetData sheetId="2433"/>
      <sheetData sheetId="2434"/>
      <sheetData sheetId="2435"/>
      <sheetData sheetId="2436"/>
      <sheetData sheetId="2437"/>
      <sheetData sheetId="2438"/>
      <sheetData sheetId="2439"/>
      <sheetData sheetId="2440"/>
      <sheetData sheetId="2441"/>
      <sheetData sheetId="2442"/>
      <sheetData sheetId="2443"/>
      <sheetData sheetId="2444"/>
      <sheetData sheetId="2445"/>
      <sheetData sheetId="2446"/>
      <sheetData sheetId="2447"/>
      <sheetData sheetId="2448"/>
      <sheetData sheetId="2449"/>
      <sheetData sheetId="2450"/>
      <sheetData sheetId="2451"/>
      <sheetData sheetId="2452"/>
      <sheetData sheetId="2453"/>
      <sheetData sheetId="2454"/>
      <sheetData sheetId="2455"/>
      <sheetData sheetId="2456"/>
      <sheetData sheetId="2457"/>
      <sheetData sheetId="2458"/>
      <sheetData sheetId="2459"/>
      <sheetData sheetId="2460"/>
      <sheetData sheetId="2461"/>
      <sheetData sheetId="2462"/>
      <sheetData sheetId="2463"/>
      <sheetData sheetId="2464"/>
      <sheetData sheetId="2465"/>
      <sheetData sheetId="2466"/>
      <sheetData sheetId="2467"/>
      <sheetData sheetId="2468"/>
      <sheetData sheetId="2469"/>
      <sheetData sheetId="2470"/>
      <sheetData sheetId="2471"/>
      <sheetData sheetId="2472"/>
      <sheetData sheetId="2473"/>
      <sheetData sheetId="2474"/>
      <sheetData sheetId="2475"/>
      <sheetData sheetId="2476"/>
      <sheetData sheetId="2477"/>
      <sheetData sheetId="2478"/>
      <sheetData sheetId="2479"/>
      <sheetData sheetId="2480"/>
      <sheetData sheetId="2481"/>
      <sheetData sheetId="2482"/>
      <sheetData sheetId="2483"/>
      <sheetData sheetId="2484"/>
      <sheetData sheetId="2485"/>
      <sheetData sheetId="2486"/>
      <sheetData sheetId="2487"/>
      <sheetData sheetId="2488"/>
      <sheetData sheetId="2489"/>
      <sheetData sheetId="2490"/>
      <sheetData sheetId="2491"/>
      <sheetData sheetId="2492"/>
      <sheetData sheetId="2493"/>
      <sheetData sheetId="2494"/>
      <sheetData sheetId="2495"/>
      <sheetData sheetId="2496"/>
      <sheetData sheetId="2497"/>
      <sheetData sheetId="2498"/>
      <sheetData sheetId="2499"/>
      <sheetData sheetId="2500"/>
      <sheetData sheetId="2501"/>
      <sheetData sheetId="2502"/>
      <sheetData sheetId="2503"/>
      <sheetData sheetId="2504"/>
      <sheetData sheetId="2505"/>
      <sheetData sheetId="2506"/>
      <sheetData sheetId="2507"/>
      <sheetData sheetId="2508"/>
      <sheetData sheetId="2509"/>
      <sheetData sheetId="2510"/>
      <sheetData sheetId="2511"/>
      <sheetData sheetId="2512"/>
      <sheetData sheetId="2513"/>
      <sheetData sheetId="2514"/>
      <sheetData sheetId="2515"/>
      <sheetData sheetId="2516"/>
      <sheetData sheetId="2517"/>
      <sheetData sheetId="2518"/>
      <sheetData sheetId="2519"/>
      <sheetData sheetId="2520"/>
      <sheetData sheetId="2521"/>
      <sheetData sheetId="2522"/>
      <sheetData sheetId="2523"/>
      <sheetData sheetId="2524"/>
      <sheetData sheetId="2525"/>
      <sheetData sheetId="2526"/>
      <sheetData sheetId="2527"/>
      <sheetData sheetId="2528"/>
      <sheetData sheetId="2529"/>
      <sheetData sheetId="2530"/>
      <sheetData sheetId="2531"/>
      <sheetData sheetId="2532"/>
      <sheetData sheetId="2533"/>
      <sheetData sheetId="2534"/>
      <sheetData sheetId="2535"/>
      <sheetData sheetId="2536"/>
      <sheetData sheetId="2537"/>
      <sheetData sheetId="2538"/>
      <sheetData sheetId="2539"/>
      <sheetData sheetId="2540"/>
      <sheetData sheetId="2541"/>
      <sheetData sheetId="2542"/>
      <sheetData sheetId="2543"/>
      <sheetData sheetId="2544"/>
      <sheetData sheetId="2545"/>
      <sheetData sheetId="2546"/>
      <sheetData sheetId="2547"/>
      <sheetData sheetId="2548"/>
      <sheetData sheetId="2549"/>
      <sheetData sheetId="2550"/>
      <sheetData sheetId="2551"/>
      <sheetData sheetId="2552"/>
      <sheetData sheetId="2553"/>
      <sheetData sheetId="2554"/>
      <sheetData sheetId="2555"/>
      <sheetData sheetId="2556"/>
      <sheetData sheetId="2557"/>
      <sheetData sheetId="2558"/>
      <sheetData sheetId="2559"/>
      <sheetData sheetId="2560"/>
      <sheetData sheetId="2561"/>
      <sheetData sheetId="2562"/>
      <sheetData sheetId="2563"/>
      <sheetData sheetId="2564"/>
      <sheetData sheetId="2565"/>
      <sheetData sheetId="2566"/>
      <sheetData sheetId="2567"/>
      <sheetData sheetId="2568"/>
      <sheetData sheetId="2569"/>
      <sheetData sheetId="2570"/>
      <sheetData sheetId="2571"/>
      <sheetData sheetId="2572"/>
      <sheetData sheetId="2573"/>
      <sheetData sheetId="2574"/>
      <sheetData sheetId="2575"/>
      <sheetData sheetId="2576"/>
      <sheetData sheetId="2577"/>
      <sheetData sheetId="2578"/>
      <sheetData sheetId="2579"/>
      <sheetData sheetId="2580"/>
      <sheetData sheetId="2581"/>
      <sheetData sheetId="2582"/>
      <sheetData sheetId="2583"/>
      <sheetData sheetId="2584"/>
      <sheetData sheetId="2585"/>
      <sheetData sheetId="2586"/>
      <sheetData sheetId="2587"/>
      <sheetData sheetId="2588"/>
      <sheetData sheetId="2589"/>
      <sheetData sheetId="2590"/>
      <sheetData sheetId="2591"/>
      <sheetData sheetId="2592"/>
      <sheetData sheetId="2593"/>
      <sheetData sheetId="2594"/>
      <sheetData sheetId="2595"/>
      <sheetData sheetId="2596"/>
      <sheetData sheetId="2597"/>
      <sheetData sheetId="2598"/>
      <sheetData sheetId="2599"/>
      <sheetData sheetId="2600"/>
      <sheetData sheetId="2601"/>
      <sheetData sheetId="2602"/>
      <sheetData sheetId="2603"/>
      <sheetData sheetId="2604"/>
      <sheetData sheetId="2605"/>
      <sheetData sheetId="2606"/>
      <sheetData sheetId="2607"/>
      <sheetData sheetId="2608"/>
      <sheetData sheetId="2609"/>
      <sheetData sheetId="2610"/>
      <sheetData sheetId="2611"/>
      <sheetData sheetId="2612"/>
      <sheetData sheetId="2613"/>
      <sheetData sheetId="2614"/>
      <sheetData sheetId="2615"/>
      <sheetData sheetId="2616"/>
      <sheetData sheetId="2617"/>
      <sheetData sheetId="2618"/>
      <sheetData sheetId="2619"/>
      <sheetData sheetId="2620"/>
      <sheetData sheetId="2621"/>
      <sheetData sheetId="2622"/>
      <sheetData sheetId="2623"/>
      <sheetData sheetId="2624"/>
      <sheetData sheetId="2625"/>
      <sheetData sheetId="2626"/>
      <sheetData sheetId="2627"/>
      <sheetData sheetId="2628"/>
      <sheetData sheetId="2629"/>
      <sheetData sheetId="2630"/>
      <sheetData sheetId="2631"/>
      <sheetData sheetId="2632"/>
      <sheetData sheetId="2633"/>
      <sheetData sheetId="2634"/>
      <sheetData sheetId="2635"/>
      <sheetData sheetId="2636"/>
      <sheetData sheetId="2637"/>
      <sheetData sheetId="2638"/>
      <sheetData sheetId="2639"/>
      <sheetData sheetId="2640"/>
      <sheetData sheetId="2641"/>
      <sheetData sheetId="2642"/>
      <sheetData sheetId="2643"/>
      <sheetData sheetId="2644"/>
      <sheetData sheetId="2645"/>
      <sheetData sheetId="2646"/>
      <sheetData sheetId="2647"/>
      <sheetData sheetId="2648"/>
      <sheetData sheetId="2649"/>
      <sheetData sheetId="2650"/>
      <sheetData sheetId="2651"/>
      <sheetData sheetId="2652"/>
      <sheetData sheetId="2653"/>
      <sheetData sheetId="2654"/>
      <sheetData sheetId="2655"/>
      <sheetData sheetId="2656"/>
      <sheetData sheetId="2657"/>
      <sheetData sheetId="2658"/>
      <sheetData sheetId="2659"/>
      <sheetData sheetId="2660"/>
      <sheetData sheetId="2661"/>
      <sheetData sheetId="2662"/>
      <sheetData sheetId="2663"/>
      <sheetData sheetId="2664"/>
      <sheetData sheetId="2665"/>
      <sheetData sheetId="2666"/>
      <sheetData sheetId="2667"/>
      <sheetData sheetId="2668"/>
      <sheetData sheetId="2669"/>
      <sheetData sheetId="2670"/>
      <sheetData sheetId="2671"/>
      <sheetData sheetId="2672"/>
      <sheetData sheetId="2673"/>
      <sheetData sheetId="2674"/>
      <sheetData sheetId="2675"/>
      <sheetData sheetId="2676"/>
      <sheetData sheetId="2677"/>
      <sheetData sheetId="2678"/>
      <sheetData sheetId="2679"/>
      <sheetData sheetId="2680"/>
      <sheetData sheetId="2681"/>
      <sheetData sheetId="2682"/>
      <sheetData sheetId="2683"/>
      <sheetData sheetId="2684"/>
      <sheetData sheetId="2685"/>
      <sheetData sheetId="2686"/>
      <sheetData sheetId="2687"/>
      <sheetData sheetId="2688"/>
      <sheetData sheetId="2689"/>
      <sheetData sheetId="2690"/>
      <sheetData sheetId="2691"/>
      <sheetData sheetId="2692"/>
      <sheetData sheetId="2693"/>
      <sheetData sheetId="2694"/>
      <sheetData sheetId="2695"/>
      <sheetData sheetId="2696"/>
      <sheetData sheetId="2697"/>
      <sheetData sheetId="2698"/>
      <sheetData sheetId="2699"/>
      <sheetData sheetId="2700"/>
      <sheetData sheetId="2701"/>
      <sheetData sheetId="2702"/>
      <sheetData sheetId="2703"/>
      <sheetData sheetId="2704"/>
      <sheetData sheetId="2705"/>
      <sheetData sheetId="2706"/>
      <sheetData sheetId="2707"/>
      <sheetData sheetId="2708"/>
      <sheetData sheetId="2709"/>
      <sheetData sheetId="2710"/>
      <sheetData sheetId="2711"/>
      <sheetData sheetId="2712"/>
      <sheetData sheetId="2713"/>
      <sheetData sheetId="2714"/>
      <sheetData sheetId="2715"/>
      <sheetData sheetId="2716"/>
      <sheetData sheetId="2717"/>
      <sheetData sheetId="2718"/>
      <sheetData sheetId="2719"/>
      <sheetData sheetId="2720"/>
      <sheetData sheetId="2721"/>
      <sheetData sheetId="2722"/>
      <sheetData sheetId="2723"/>
      <sheetData sheetId="2724"/>
      <sheetData sheetId="2725"/>
      <sheetData sheetId="2726"/>
      <sheetData sheetId="2727"/>
      <sheetData sheetId="2728"/>
      <sheetData sheetId="2729"/>
      <sheetData sheetId="2730"/>
      <sheetData sheetId="2731"/>
      <sheetData sheetId="2732"/>
      <sheetData sheetId="2733"/>
      <sheetData sheetId="2734"/>
      <sheetData sheetId="2735"/>
      <sheetData sheetId="2736"/>
      <sheetData sheetId="2737"/>
      <sheetData sheetId="2738"/>
      <sheetData sheetId="2739"/>
      <sheetData sheetId="2740"/>
      <sheetData sheetId="2741"/>
      <sheetData sheetId="2742"/>
      <sheetData sheetId="2743"/>
      <sheetData sheetId="2744"/>
      <sheetData sheetId="2745"/>
      <sheetData sheetId="2746"/>
      <sheetData sheetId="2747"/>
      <sheetData sheetId="2748"/>
      <sheetData sheetId="2749"/>
      <sheetData sheetId="2750"/>
      <sheetData sheetId="2751"/>
      <sheetData sheetId="2752"/>
      <sheetData sheetId="2753"/>
      <sheetData sheetId="2754"/>
      <sheetData sheetId="2755"/>
      <sheetData sheetId="2756"/>
      <sheetData sheetId="2757"/>
      <sheetData sheetId="2758"/>
      <sheetData sheetId="2759"/>
      <sheetData sheetId="2760"/>
      <sheetData sheetId="2761"/>
      <sheetData sheetId="2762"/>
      <sheetData sheetId="2763"/>
      <sheetData sheetId="2764"/>
      <sheetData sheetId="2765"/>
      <sheetData sheetId="2766"/>
      <sheetData sheetId="2767"/>
      <sheetData sheetId="2768"/>
      <sheetData sheetId="2769"/>
      <sheetData sheetId="2770"/>
      <sheetData sheetId="2771"/>
      <sheetData sheetId="2772"/>
      <sheetData sheetId="2773"/>
      <sheetData sheetId="2774"/>
      <sheetData sheetId="2775"/>
      <sheetData sheetId="2776"/>
      <sheetData sheetId="2777"/>
      <sheetData sheetId="2778"/>
      <sheetData sheetId="2779"/>
      <sheetData sheetId="2780"/>
      <sheetData sheetId="2781"/>
      <sheetData sheetId="2782"/>
      <sheetData sheetId="2783"/>
      <sheetData sheetId="2784"/>
      <sheetData sheetId="2785"/>
      <sheetData sheetId="2786"/>
      <sheetData sheetId="2787"/>
      <sheetData sheetId="2788"/>
      <sheetData sheetId="2789"/>
      <sheetData sheetId="2790"/>
      <sheetData sheetId="2791"/>
      <sheetData sheetId="2792"/>
      <sheetData sheetId="2793"/>
      <sheetData sheetId="2794"/>
      <sheetData sheetId="2795"/>
      <sheetData sheetId="2796"/>
      <sheetData sheetId="2797"/>
      <sheetData sheetId="2798"/>
      <sheetData sheetId="2799"/>
      <sheetData sheetId="2800"/>
      <sheetData sheetId="2801"/>
      <sheetData sheetId="2802"/>
      <sheetData sheetId="2803"/>
      <sheetData sheetId="2804"/>
      <sheetData sheetId="2805"/>
      <sheetData sheetId="2806"/>
      <sheetData sheetId="2807"/>
      <sheetData sheetId="2808"/>
      <sheetData sheetId="2809"/>
      <sheetData sheetId="2810"/>
      <sheetData sheetId="2811"/>
      <sheetData sheetId="2812"/>
      <sheetData sheetId="2813"/>
      <sheetData sheetId="2814"/>
      <sheetData sheetId="2815"/>
      <sheetData sheetId="2816"/>
      <sheetData sheetId="2817"/>
      <sheetData sheetId="2818"/>
      <sheetData sheetId="2819"/>
      <sheetData sheetId="2820"/>
      <sheetData sheetId="2821"/>
      <sheetData sheetId="2822"/>
      <sheetData sheetId="2823"/>
      <sheetData sheetId="2824"/>
      <sheetData sheetId="2825"/>
      <sheetData sheetId="2826"/>
      <sheetData sheetId="2827"/>
      <sheetData sheetId="2828"/>
      <sheetData sheetId="2829"/>
      <sheetData sheetId="2830"/>
      <sheetData sheetId="2831"/>
      <sheetData sheetId="2832"/>
      <sheetData sheetId="2833"/>
      <sheetData sheetId="2834"/>
      <sheetData sheetId="2835"/>
      <sheetData sheetId="2836"/>
      <sheetData sheetId="2837"/>
      <sheetData sheetId="2838"/>
      <sheetData sheetId="2839"/>
      <sheetData sheetId="2840"/>
      <sheetData sheetId="2841"/>
      <sheetData sheetId="2842"/>
      <sheetData sheetId="2843"/>
      <sheetData sheetId="2844"/>
      <sheetData sheetId="2845"/>
      <sheetData sheetId="2846"/>
      <sheetData sheetId="2847"/>
      <sheetData sheetId="2848"/>
      <sheetData sheetId="2849"/>
      <sheetData sheetId="2850"/>
      <sheetData sheetId="2851"/>
      <sheetData sheetId="2852"/>
      <sheetData sheetId="2853"/>
      <sheetData sheetId="2854"/>
      <sheetData sheetId="2855"/>
      <sheetData sheetId="2856"/>
      <sheetData sheetId="2857"/>
      <sheetData sheetId="2858"/>
      <sheetData sheetId="2859"/>
      <sheetData sheetId="2860"/>
      <sheetData sheetId="2861"/>
      <sheetData sheetId="2862"/>
      <sheetData sheetId="2863"/>
      <sheetData sheetId="2864"/>
      <sheetData sheetId="2865"/>
      <sheetData sheetId="2866"/>
      <sheetData sheetId="2867"/>
      <sheetData sheetId="2868"/>
      <sheetData sheetId="2869"/>
      <sheetData sheetId="2870"/>
      <sheetData sheetId="2871"/>
      <sheetData sheetId="2872"/>
      <sheetData sheetId="2873"/>
      <sheetData sheetId="2874"/>
      <sheetData sheetId="2875"/>
      <sheetData sheetId="2876"/>
      <sheetData sheetId="2877"/>
      <sheetData sheetId="2878"/>
      <sheetData sheetId="2879"/>
      <sheetData sheetId="2880"/>
      <sheetData sheetId="2881"/>
      <sheetData sheetId="2882"/>
      <sheetData sheetId="2883"/>
      <sheetData sheetId="2884"/>
      <sheetData sheetId="2885"/>
      <sheetData sheetId="2886"/>
      <sheetData sheetId="2887"/>
      <sheetData sheetId="2888"/>
      <sheetData sheetId="2889"/>
      <sheetData sheetId="2890"/>
      <sheetData sheetId="2891"/>
      <sheetData sheetId="2892"/>
      <sheetData sheetId="2893"/>
      <sheetData sheetId="2894"/>
      <sheetData sheetId="2895"/>
      <sheetData sheetId="2896"/>
      <sheetData sheetId="2897"/>
      <sheetData sheetId="2898"/>
      <sheetData sheetId="2899"/>
      <sheetData sheetId="2900"/>
      <sheetData sheetId="2901"/>
      <sheetData sheetId="2902"/>
      <sheetData sheetId="2903"/>
      <sheetData sheetId="2904"/>
      <sheetData sheetId="2905"/>
      <sheetData sheetId="2906"/>
      <sheetData sheetId="2907"/>
      <sheetData sheetId="2908"/>
      <sheetData sheetId="2909"/>
      <sheetData sheetId="2910"/>
      <sheetData sheetId="2911"/>
      <sheetData sheetId="2912"/>
      <sheetData sheetId="2913"/>
      <sheetData sheetId="2914"/>
      <sheetData sheetId="2915"/>
      <sheetData sheetId="2916"/>
      <sheetData sheetId="2917"/>
      <sheetData sheetId="2918"/>
      <sheetData sheetId="2919"/>
      <sheetData sheetId="2920"/>
      <sheetData sheetId="2921"/>
      <sheetData sheetId="2922"/>
      <sheetData sheetId="2923"/>
      <sheetData sheetId="2924"/>
      <sheetData sheetId="2925"/>
      <sheetData sheetId="2926"/>
      <sheetData sheetId="2927"/>
      <sheetData sheetId="2928"/>
      <sheetData sheetId="2929"/>
      <sheetData sheetId="2930"/>
      <sheetData sheetId="2931"/>
      <sheetData sheetId="2932"/>
      <sheetData sheetId="2933"/>
      <sheetData sheetId="2934"/>
      <sheetData sheetId="2935"/>
      <sheetData sheetId="2936"/>
      <sheetData sheetId="2937"/>
      <sheetData sheetId="2938">
        <row r="1">
          <cell r="A1"/>
        </row>
      </sheetData>
      <sheetData sheetId="2939"/>
      <sheetData sheetId="2940"/>
      <sheetData sheetId="2941">
        <row r="1">
          <cell r="B1" t="str">
            <v>1</v>
          </cell>
        </row>
      </sheetData>
      <sheetData sheetId="2942" refreshError="1"/>
      <sheetData sheetId="2943">
        <row r="1">
          <cell r="B1" t="str">
            <v>文章管理番号</v>
          </cell>
        </row>
      </sheetData>
      <sheetData sheetId="2944"/>
      <sheetData sheetId="2945" refreshError="1"/>
      <sheetData sheetId="2946" refreshError="1"/>
      <sheetData sheetId="2947" refreshError="1"/>
      <sheetData sheetId="2948" refreshError="1"/>
      <sheetData sheetId="2949" refreshError="1"/>
      <sheetData sheetId="2950" refreshError="1"/>
      <sheetData sheetId="2951" refreshError="1"/>
      <sheetData sheetId="2952" refreshError="1"/>
      <sheetData sheetId="2953" refreshError="1"/>
      <sheetData sheetId="2954" refreshError="1"/>
      <sheetData sheetId="2955" refreshError="1"/>
      <sheetData sheetId="2956" refreshError="1"/>
      <sheetData sheetId="2957" refreshError="1"/>
      <sheetData sheetId="2958" refreshError="1"/>
      <sheetData sheetId="2959" refreshError="1"/>
      <sheetData sheetId="2960" refreshError="1"/>
      <sheetData sheetId="2961" refreshError="1"/>
      <sheetData sheetId="2962" refreshError="1"/>
      <sheetData sheetId="2963">
        <row r="3">
          <cell r="B3" t="str">
            <v>TOYOTA   TSUSHO  PHILIPPINES CORPORATION</v>
          </cell>
        </row>
      </sheetData>
      <sheetData sheetId="2964">
        <row r="3">
          <cell r="B3" t="str">
            <v>TOYOTA   TSUSHO  PHILIPPINES CORPORATION</v>
          </cell>
        </row>
      </sheetData>
      <sheetData sheetId="2965">
        <row r="3">
          <cell r="B3" t="str">
            <v>TOYOTA   TSUSHO  PHILIPPINES CORPORATION</v>
          </cell>
        </row>
      </sheetData>
      <sheetData sheetId="2966">
        <row r="3">
          <cell r="B3" t="str">
            <v>TOYOTA   TSUSHO  PHILIPPINES CORPORATION</v>
          </cell>
        </row>
      </sheetData>
      <sheetData sheetId="2967">
        <row r="3">
          <cell r="B3" t="str">
            <v>TOYOTA   TSUSHO  PHILIPPINES CORPORATION</v>
          </cell>
        </row>
      </sheetData>
      <sheetData sheetId="2968"/>
      <sheetData sheetId="2969"/>
      <sheetData sheetId="2970"/>
      <sheetData sheetId="2971"/>
      <sheetData sheetId="2972"/>
      <sheetData sheetId="2973"/>
      <sheetData sheetId="2974" refreshError="1"/>
      <sheetData sheetId="2975"/>
      <sheetData sheetId="2976" refreshError="1"/>
      <sheetData sheetId="2977" refreshError="1"/>
      <sheetData sheetId="2978" refreshError="1"/>
      <sheetData sheetId="2979" refreshError="1"/>
      <sheetData sheetId="2980" refreshError="1"/>
      <sheetData sheetId="2981" refreshError="1"/>
      <sheetData sheetId="2982" refreshError="1"/>
      <sheetData sheetId="2983" refreshError="1"/>
      <sheetData sheetId="2984" refreshError="1"/>
      <sheetData sheetId="2985" refreshError="1"/>
      <sheetData sheetId="2986" refreshError="1"/>
      <sheetData sheetId="2987" refreshError="1"/>
      <sheetData sheetId="2988" refreshError="1"/>
      <sheetData sheetId="2989" refreshError="1"/>
      <sheetData sheetId="2990" refreshError="1"/>
      <sheetData sheetId="2991" refreshError="1"/>
      <sheetData sheetId="2992" refreshError="1"/>
      <sheetData sheetId="2993" refreshError="1"/>
      <sheetData sheetId="2994" refreshError="1"/>
      <sheetData sheetId="2995" refreshError="1"/>
      <sheetData sheetId="2996" refreshError="1"/>
      <sheetData sheetId="2997" refreshError="1"/>
      <sheetData sheetId="2998" refreshError="1"/>
      <sheetData sheetId="2999" refreshError="1"/>
      <sheetData sheetId="3000" refreshError="1"/>
      <sheetData sheetId="3001" refreshError="1"/>
      <sheetData sheetId="3002" refreshError="1"/>
      <sheetData sheetId="3003" refreshError="1"/>
      <sheetData sheetId="3004" refreshError="1"/>
      <sheetData sheetId="3005" refreshError="1"/>
      <sheetData sheetId="3006" refreshError="1"/>
      <sheetData sheetId="3007" refreshError="1"/>
      <sheetData sheetId="3008" refreshError="1"/>
      <sheetData sheetId="3009" refreshError="1"/>
      <sheetData sheetId="3010" refreshError="1"/>
      <sheetData sheetId="3011" refreshError="1"/>
      <sheetData sheetId="3012" refreshError="1"/>
      <sheetData sheetId="3013" refreshError="1"/>
      <sheetData sheetId="3014" refreshError="1"/>
      <sheetData sheetId="3015" refreshError="1"/>
      <sheetData sheetId="3016" refreshError="1"/>
      <sheetData sheetId="3017" refreshError="1"/>
      <sheetData sheetId="3018" refreshError="1"/>
      <sheetData sheetId="3019" refreshError="1"/>
      <sheetData sheetId="3020" refreshError="1"/>
      <sheetData sheetId="3021" refreshError="1"/>
      <sheetData sheetId="3022" refreshError="1"/>
      <sheetData sheetId="3023" refreshError="1"/>
      <sheetData sheetId="3024" refreshError="1"/>
      <sheetData sheetId="3025" refreshError="1"/>
      <sheetData sheetId="3026" refreshError="1"/>
      <sheetData sheetId="3027" refreshError="1"/>
      <sheetData sheetId="3028" refreshError="1"/>
      <sheetData sheetId="3029" refreshError="1"/>
      <sheetData sheetId="3030" refreshError="1"/>
      <sheetData sheetId="3031" refreshError="1"/>
      <sheetData sheetId="3032" refreshError="1"/>
      <sheetData sheetId="3033" refreshError="1"/>
      <sheetData sheetId="3034">
        <row r="1">
          <cell r="B1" t="str">
            <v>1</v>
          </cell>
        </row>
      </sheetData>
      <sheetData sheetId="3035">
        <row r="1">
          <cell r="B1" t="str">
            <v>1</v>
          </cell>
        </row>
      </sheetData>
      <sheetData sheetId="3036">
        <row r="1">
          <cell r="B1" t="str">
            <v>1</v>
          </cell>
        </row>
      </sheetData>
      <sheetData sheetId="3037"/>
      <sheetData sheetId="3038"/>
      <sheetData sheetId="3039"/>
      <sheetData sheetId="3040">
        <row r="1">
          <cell r="B1" t="str">
            <v>1</v>
          </cell>
        </row>
      </sheetData>
      <sheetData sheetId="3041">
        <row r="1">
          <cell r="B1" t="str">
            <v>1</v>
          </cell>
        </row>
      </sheetData>
      <sheetData sheetId="3042">
        <row r="1">
          <cell r="B1" t="str">
            <v>1</v>
          </cell>
        </row>
      </sheetData>
      <sheetData sheetId="3043">
        <row r="1">
          <cell r="B1" t="str">
            <v>1</v>
          </cell>
        </row>
      </sheetData>
      <sheetData sheetId="3044">
        <row r="1">
          <cell r="B1" t="str">
            <v>1</v>
          </cell>
        </row>
      </sheetData>
      <sheetData sheetId="3045">
        <row r="1">
          <cell r="B1" t="str">
            <v>1</v>
          </cell>
        </row>
      </sheetData>
      <sheetData sheetId="3046">
        <row r="1">
          <cell r="B1" t="str">
            <v>1</v>
          </cell>
        </row>
      </sheetData>
      <sheetData sheetId="3047">
        <row r="1">
          <cell r="B1" t="str">
            <v>1</v>
          </cell>
        </row>
      </sheetData>
      <sheetData sheetId="3048">
        <row r="1">
          <cell r="B1" t="str">
            <v>1</v>
          </cell>
        </row>
      </sheetData>
      <sheetData sheetId="3049">
        <row r="1">
          <cell r="B1" t="str">
            <v>1</v>
          </cell>
        </row>
      </sheetData>
      <sheetData sheetId="3050">
        <row r="1">
          <cell r="B1" t="str">
            <v>1</v>
          </cell>
        </row>
      </sheetData>
      <sheetData sheetId="3051">
        <row r="1">
          <cell r="B1" t="str">
            <v>1</v>
          </cell>
        </row>
      </sheetData>
      <sheetData sheetId="3052">
        <row r="1">
          <cell r="B1" t="str">
            <v>1</v>
          </cell>
        </row>
      </sheetData>
      <sheetData sheetId="3053">
        <row r="1">
          <cell r="B1" t="str">
            <v>1</v>
          </cell>
        </row>
      </sheetData>
      <sheetData sheetId="3054">
        <row r="1">
          <cell r="B1" t="str">
            <v>1</v>
          </cell>
        </row>
      </sheetData>
      <sheetData sheetId="3055">
        <row r="1">
          <cell r="B1" t="str">
            <v>1</v>
          </cell>
        </row>
      </sheetData>
      <sheetData sheetId="3056">
        <row r="1">
          <cell r="B1" t="str">
            <v>1</v>
          </cell>
        </row>
      </sheetData>
      <sheetData sheetId="3057">
        <row r="1">
          <cell r="B1" t="str">
            <v>1</v>
          </cell>
        </row>
      </sheetData>
      <sheetData sheetId="3058">
        <row r="1">
          <cell r="B1" t="str">
            <v>1</v>
          </cell>
        </row>
      </sheetData>
      <sheetData sheetId="3059">
        <row r="1">
          <cell r="B1" t="str">
            <v>1</v>
          </cell>
        </row>
      </sheetData>
      <sheetData sheetId="3060">
        <row r="1">
          <cell r="B1" t="str">
            <v>1</v>
          </cell>
        </row>
      </sheetData>
      <sheetData sheetId="3061">
        <row r="1">
          <cell r="B1" t="str">
            <v>1</v>
          </cell>
        </row>
      </sheetData>
      <sheetData sheetId="3062">
        <row r="1">
          <cell r="B1" t="str">
            <v>1</v>
          </cell>
        </row>
      </sheetData>
      <sheetData sheetId="3063">
        <row r="1">
          <cell r="B1" t="str">
            <v>1</v>
          </cell>
        </row>
      </sheetData>
      <sheetData sheetId="3064">
        <row r="1">
          <cell r="B1" t="str">
            <v>1</v>
          </cell>
        </row>
      </sheetData>
      <sheetData sheetId="3065">
        <row r="1">
          <cell r="B1" t="str">
            <v>1</v>
          </cell>
        </row>
      </sheetData>
      <sheetData sheetId="3066">
        <row r="1">
          <cell r="B1" t="str">
            <v>1</v>
          </cell>
        </row>
      </sheetData>
      <sheetData sheetId="3067">
        <row r="1">
          <cell r="B1" t="str">
            <v>1</v>
          </cell>
        </row>
      </sheetData>
      <sheetData sheetId="3068">
        <row r="1">
          <cell r="B1" t="str">
            <v>1</v>
          </cell>
        </row>
      </sheetData>
      <sheetData sheetId="3069">
        <row r="1">
          <cell r="B1" t="str">
            <v>1</v>
          </cell>
        </row>
      </sheetData>
      <sheetData sheetId="3070">
        <row r="1">
          <cell r="B1" t="str">
            <v>1</v>
          </cell>
        </row>
      </sheetData>
      <sheetData sheetId="3071">
        <row r="1">
          <cell r="B1" t="str">
            <v>1</v>
          </cell>
        </row>
      </sheetData>
      <sheetData sheetId="3072">
        <row r="1">
          <cell r="B1" t="str">
            <v>1</v>
          </cell>
        </row>
      </sheetData>
      <sheetData sheetId="3073">
        <row r="1">
          <cell r="B1" t="str">
            <v>1</v>
          </cell>
        </row>
      </sheetData>
      <sheetData sheetId="3074">
        <row r="1">
          <cell r="B1" t="str">
            <v>1</v>
          </cell>
        </row>
      </sheetData>
      <sheetData sheetId="3075">
        <row r="1">
          <cell r="B1" t="str">
            <v>1</v>
          </cell>
        </row>
      </sheetData>
      <sheetData sheetId="3076">
        <row r="1">
          <cell r="B1" t="str">
            <v>1</v>
          </cell>
        </row>
      </sheetData>
      <sheetData sheetId="3077">
        <row r="1">
          <cell r="B1" t="str">
            <v>1</v>
          </cell>
        </row>
      </sheetData>
      <sheetData sheetId="3078">
        <row r="1">
          <cell r="B1" t="str">
            <v>1</v>
          </cell>
        </row>
      </sheetData>
      <sheetData sheetId="3079">
        <row r="1">
          <cell r="B1" t="str">
            <v>1</v>
          </cell>
        </row>
      </sheetData>
      <sheetData sheetId="3080">
        <row r="1">
          <cell r="B1" t="str">
            <v>1</v>
          </cell>
        </row>
      </sheetData>
      <sheetData sheetId="3081">
        <row r="1">
          <cell r="B1" t="str">
            <v>1</v>
          </cell>
        </row>
      </sheetData>
      <sheetData sheetId="3082">
        <row r="1">
          <cell r="B1" t="str">
            <v>1</v>
          </cell>
        </row>
      </sheetData>
      <sheetData sheetId="3083">
        <row r="1">
          <cell r="B1" t="str">
            <v>1</v>
          </cell>
        </row>
      </sheetData>
      <sheetData sheetId="3084">
        <row r="1">
          <cell r="B1" t="str">
            <v>1</v>
          </cell>
        </row>
      </sheetData>
      <sheetData sheetId="3085">
        <row r="1">
          <cell r="B1" t="str">
            <v>1</v>
          </cell>
        </row>
      </sheetData>
      <sheetData sheetId="3086">
        <row r="1">
          <cell r="B1" t="str">
            <v>1</v>
          </cell>
        </row>
      </sheetData>
      <sheetData sheetId="3087">
        <row r="1">
          <cell r="B1" t="str">
            <v>1</v>
          </cell>
        </row>
      </sheetData>
      <sheetData sheetId="3088">
        <row r="1">
          <cell r="B1" t="str">
            <v>1</v>
          </cell>
        </row>
      </sheetData>
      <sheetData sheetId="3089">
        <row r="1">
          <cell r="B1" t="str">
            <v>1</v>
          </cell>
        </row>
      </sheetData>
      <sheetData sheetId="3090">
        <row r="1">
          <cell r="B1" t="str">
            <v>1</v>
          </cell>
        </row>
      </sheetData>
      <sheetData sheetId="3091">
        <row r="1">
          <cell r="B1" t="str">
            <v>1</v>
          </cell>
        </row>
      </sheetData>
      <sheetData sheetId="3092">
        <row r="1">
          <cell r="B1" t="str">
            <v>1</v>
          </cell>
        </row>
      </sheetData>
      <sheetData sheetId="3093">
        <row r="1">
          <cell r="B1" t="str">
            <v>1</v>
          </cell>
        </row>
      </sheetData>
      <sheetData sheetId="3094">
        <row r="1">
          <cell r="B1" t="str">
            <v>1</v>
          </cell>
        </row>
      </sheetData>
      <sheetData sheetId="3095">
        <row r="1">
          <cell r="B1" t="str">
            <v>1</v>
          </cell>
        </row>
      </sheetData>
      <sheetData sheetId="3096">
        <row r="1">
          <cell r="B1" t="str">
            <v>1</v>
          </cell>
        </row>
      </sheetData>
      <sheetData sheetId="3097">
        <row r="1">
          <cell r="B1" t="str">
            <v>1</v>
          </cell>
        </row>
      </sheetData>
      <sheetData sheetId="3098">
        <row r="1">
          <cell r="B1" t="str">
            <v>1</v>
          </cell>
        </row>
      </sheetData>
      <sheetData sheetId="3099">
        <row r="1">
          <cell r="B1" t="str">
            <v>1</v>
          </cell>
        </row>
      </sheetData>
      <sheetData sheetId="3100">
        <row r="1">
          <cell r="B1" t="str">
            <v>1</v>
          </cell>
        </row>
      </sheetData>
      <sheetData sheetId="3101">
        <row r="3">
          <cell r="B3" t="str">
            <v>TOYOTA   TSUSHO  PHILIPPINES CORPORATION</v>
          </cell>
        </row>
      </sheetData>
      <sheetData sheetId="3102">
        <row r="3">
          <cell r="B3" t="str">
            <v>TOYOTA   TSUSHO  PHILIPPINES CORPORATION</v>
          </cell>
        </row>
      </sheetData>
      <sheetData sheetId="3103">
        <row r="3">
          <cell r="B3" t="str">
            <v>TOYOTA   TSUSHO  PHILIPPINES CORPORATION</v>
          </cell>
        </row>
      </sheetData>
      <sheetData sheetId="3104">
        <row r="3">
          <cell r="B3" t="str">
            <v>TOYOTA   TSUSHO  PHILIPPINES CORPORATION</v>
          </cell>
        </row>
      </sheetData>
      <sheetData sheetId="3105">
        <row r="3">
          <cell r="B3" t="str">
            <v>TOYOTA   TSUSHO  PHILIPPINES CORPORATION</v>
          </cell>
        </row>
      </sheetData>
      <sheetData sheetId="3106">
        <row r="3">
          <cell r="B3" t="str">
            <v>TOYOTA   TSUSHO  PHILIPPINES CORPORATION</v>
          </cell>
        </row>
      </sheetData>
      <sheetData sheetId="3107">
        <row r="3">
          <cell r="B3" t="str">
            <v>TOYOTA   TSUSHO  PHILIPPINES CORPORATION</v>
          </cell>
        </row>
      </sheetData>
      <sheetData sheetId="3108">
        <row r="3">
          <cell r="B3" t="str">
            <v>TOYOTA   TSUSHO  PHILIPPINES CORPORATION</v>
          </cell>
        </row>
      </sheetData>
      <sheetData sheetId="3109">
        <row r="3">
          <cell r="B3" t="str">
            <v>TOYOTA   TSUSHO  PHILIPPINES CORPORATION</v>
          </cell>
        </row>
      </sheetData>
      <sheetData sheetId="3110">
        <row r="3">
          <cell r="B3" t="str">
            <v>TOYOTA   TSUSHO  PHILIPPINES CORPORATION</v>
          </cell>
        </row>
      </sheetData>
      <sheetData sheetId="3111">
        <row r="3">
          <cell r="B3" t="str">
            <v>TOYOTA   TSUSHO  PHILIPPINES CORPORATION</v>
          </cell>
        </row>
      </sheetData>
      <sheetData sheetId="3112">
        <row r="3">
          <cell r="B3" t="str">
            <v>TOYOTA   TSUSHO  PHILIPPINES CORPORATION</v>
          </cell>
        </row>
      </sheetData>
      <sheetData sheetId="3113">
        <row r="3">
          <cell r="B3" t="str">
            <v>TOYOTA   TSUSHO  PHILIPPINES CORPORATION</v>
          </cell>
        </row>
      </sheetData>
      <sheetData sheetId="3114">
        <row r="3">
          <cell r="B3" t="str">
            <v>TOYOTA   TSUSHO  PHILIPPINES CORPORATION</v>
          </cell>
        </row>
      </sheetData>
      <sheetData sheetId="3115">
        <row r="3">
          <cell r="B3" t="str">
            <v>TOYOTA   TSUSHO  PHILIPPINES CORPORATION</v>
          </cell>
        </row>
      </sheetData>
      <sheetData sheetId="3116">
        <row r="3">
          <cell r="B3" t="str">
            <v>TOYOTA   TSUSHO  PHILIPPINES CORPORATION</v>
          </cell>
        </row>
      </sheetData>
      <sheetData sheetId="3117">
        <row r="3">
          <cell r="B3" t="str">
            <v>TOYOTA   TSUSHO  PHILIPPINES CORPORATION</v>
          </cell>
        </row>
      </sheetData>
      <sheetData sheetId="3118">
        <row r="3">
          <cell r="B3" t="str">
            <v>TOYOTA   TSUSHO  PHILIPPINES CORPORATION</v>
          </cell>
        </row>
      </sheetData>
      <sheetData sheetId="3119">
        <row r="3">
          <cell r="B3" t="str">
            <v>TOYOTA   TSUSHO  PHILIPPINES CORPORATION</v>
          </cell>
        </row>
      </sheetData>
      <sheetData sheetId="3120">
        <row r="3">
          <cell r="B3" t="str">
            <v>TOYOTA   TSUSHO  PHILIPPINES CORPORATION</v>
          </cell>
        </row>
      </sheetData>
      <sheetData sheetId="3121">
        <row r="3">
          <cell r="B3" t="str">
            <v>TOYOTA   TSUSHO  PHILIPPINES CORPORATION</v>
          </cell>
        </row>
      </sheetData>
      <sheetData sheetId="3122">
        <row r="3">
          <cell r="B3" t="str">
            <v>TOYOTA   TSUSHO  PHILIPPINES CORPORATION</v>
          </cell>
        </row>
      </sheetData>
      <sheetData sheetId="3123">
        <row r="3">
          <cell r="B3" t="str">
            <v>TOYOTA   TSUSHO  PHILIPPINES CORPORATION</v>
          </cell>
        </row>
      </sheetData>
      <sheetData sheetId="3124">
        <row r="3">
          <cell r="B3" t="str">
            <v>TOYOTA   TSUSHO  PHILIPPINES CORPORATION</v>
          </cell>
        </row>
      </sheetData>
      <sheetData sheetId="3125">
        <row r="3">
          <cell r="B3" t="str">
            <v>TOYOTA   TSUSHO  PHILIPPINES CORPORATION</v>
          </cell>
        </row>
      </sheetData>
      <sheetData sheetId="3126">
        <row r="3">
          <cell r="B3" t="str">
            <v>TOYOTA   TSUSHO  PHILIPPINES CORPORATION</v>
          </cell>
        </row>
      </sheetData>
      <sheetData sheetId="3127">
        <row r="3">
          <cell r="B3" t="str">
            <v>TOYOTA   TSUSHO  PHILIPPINES CORPORATION</v>
          </cell>
        </row>
      </sheetData>
      <sheetData sheetId="3128">
        <row r="3">
          <cell r="B3" t="str">
            <v>TOYOTA   TSUSHO  PHILIPPINES CORPORATION</v>
          </cell>
        </row>
      </sheetData>
      <sheetData sheetId="3129">
        <row r="3">
          <cell r="B3" t="str">
            <v>TOYOTA   TSUSHO  PHILIPPINES CORPORATION</v>
          </cell>
        </row>
      </sheetData>
      <sheetData sheetId="3130">
        <row r="3">
          <cell r="B3" t="str">
            <v>TOYOTA   TSUSHO  PHILIPPINES CORPORATION</v>
          </cell>
        </row>
      </sheetData>
      <sheetData sheetId="3131">
        <row r="3">
          <cell r="B3" t="str">
            <v>TOYOTA   TSUSHO  PHILIPPINES CORPORATION</v>
          </cell>
        </row>
      </sheetData>
      <sheetData sheetId="3132">
        <row r="3">
          <cell r="B3" t="str">
            <v>TOYOTA   TSUSHO  PHILIPPINES CORPORATION</v>
          </cell>
        </row>
      </sheetData>
      <sheetData sheetId="3133">
        <row r="3">
          <cell r="B3" t="str">
            <v>TOYOTA   TSUSHO  PHILIPPINES CORPORATION</v>
          </cell>
        </row>
      </sheetData>
      <sheetData sheetId="3134">
        <row r="3">
          <cell r="B3" t="str">
            <v>TOYOTA   TSUSHO  PHILIPPINES CORPORATION</v>
          </cell>
        </row>
      </sheetData>
      <sheetData sheetId="3135">
        <row r="3">
          <cell r="B3" t="str">
            <v>TOYOTA   TSUSHO  PHILIPPINES CORPORATION</v>
          </cell>
        </row>
      </sheetData>
      <sheetData sheetId="3136">
        <row r="3">
          <cell r="B3" t="str">
            <v>TOYOTA   TSUSHO  PHILIPPINES CORPORATION</v>
          </cell>
        </row>
      </sheetData>
      <sheetData sheetId="3137" refreshError="1"/>
      <sheetData sheetId="3138" refreshError="1"/>
      <sheetData sheetId="3139" refreshError="1"/>
      <sheetData sheetId="3140" refreshError="1"/>
      <sheetData sheetId="3141" refreshError="1"/>
      <sheetData sheetId="3142" refreshError="1"/>
      <sheetData sheetId="3143" refreshError="1"/>
      <sheetData sheetId="3144" refreshError="1"/>
      <sheetData sheetId="3145" refreshError="1"/>
      <sheetData sheetId="3146" refreshError="1"/>
      <sheetData sheetId="3147" refreshError="1"/>
      <sheetData sheetId="3148" refreshError="1"/>
      <sheetData sheetId="3149" refreshError="1"/>
      <sheetData sheetId="3150" refreshError="1"/>
      <sheetData sheetId="3151" refreshError="1"/>
      <sheetData sheetId="3152" refreshError="1"/>
      <sheetData sheetId="3153" refreshError="1"/>
      <sheetData sheetId="3154" refreshError="1"/>
      <sheetData sheetId="3155" refreshError="1"/>
      <sheetData sheetId="3156" refreshError="1"/>
      <sheetData sheetId="3157" refreshError="1"/>
      <sheetData sheetId="3158" refreshError="1"/>
      <sheetData sheetId="3159" refreshError="1"/>
      <sheetData sheetId="3160" refreshError="1"/>
      <sheetData sheetId="3161" refreshError="1"/>
      <sheetData sheetId="3162" refreshError="1"/>
      <sheetData sheetId="3163" refreshError="1"/>
      <sheetData sheetId="3164" refreshError="1"/>
      <sheetData sheetId="3165" refreshError="1"/>
      <sheetData sheetId="3166" refreshError="1"/>
      <sheetData sheetId="3167"/>
      <sheetData sheetId="3168" refreshError="1"/>
      <sheetData sheetId="3169" refreshError="1"/>
      <sheetData sheetId="3170" refreshError="1"/>
      <sheetData sheetId="3171" refreshError="1"/>
      <sheetData sheetId="3172" refreshError="1"/>
      <sheetData sheetId="3173" refreshError="1"/>
      <sheetData sheetId="3174" refreshError="1"/>
      <sheetData sheetId="3175"/>
      <sheetData sheetId="3176"/>
      <sheetData sheetId="3177"/>
      <sheetData sheetId="3178"/>
      <sheetData sheetId="3179"/>
      <sheetData sheetId="3180"/>
      <sheetData sheetId="3181"/>
      <sheetData sheetId="3182"/>
      <sheetData sheetId="3183"/>
      <sheetData sheetId="3184"/>
      <sheetData sheetId="3185"/>
      <sheetData sheetId="3186"/>
      <sheetData sheetId="3187"/>
      <sheetData sheetId="3188"/>
      <sheetData sheetId="3189"/>
      <sheetData sheetId="3190"/>
      <sheetData sheetId="3191"/>
      <sheetData sheetId="3192"/>
      <sheetData sheetId="3193"/>
      <sheetData sheetId="3194"/>
      <sheetData sheetId="3195"/>
      <sheetData sheetId="3196"/>
      <sheetData sheetId="3197"/>
      <sheetData sheetId="3198"/>
      <sheetData sheetId="3199"/>
      <sheetData sheetId="3200"/>
      <sheetData sheetId="3201"/>
      <sheetData sheetId="3202"/>
      <sheetData sheetId="3203"/>
      <sheetData sheetId="3204"/>
      <sheetData sheetId="3205"/>
      <sheetData sheetId="3206"/>
      <sheetData sheetId="3207"/>
      <sheetData sheetId="3208"/>
      <sheetData sheetId="3209"/>
      <sheetData sheetId="3210"/>
      <sheetData sheetId="3211"/>
      <sheetData sheetId="3212"/>
      <sheetData sheetId="3213"/>
      <sheetData sheetId="3214"/>
      <sheetData sheetId="3215"/>
      <sheetData sheetId="3216"/>
      <sheetData sheetId="3217"/>
      <sheetData sheetId="3218"/>
      <sheetData sheetId="3219"/>
      <sheetData sheetId="3220"/>
      <sheetData sheetId="3221"/>
      <sheetData sheetId="3222"/>
      <sheetData sheetId="3223"/>
      <sheetData sheetId="3224"/>
      <sheetData sheetId="3225"/>
      <sheetData sheetId="3226"/>
      <sheetData sheetId="3227"/>
      <sheetData sheetId="3228"/>
      <sheetData sheetId="3229"/>
      <sheetData sheetId="3230"/>
      <sheetData sheetId="3231"/>
      <sheetData sheetId="3232"/>
      <sheetData sheetId="3233"/>
      <sheetData sheetId="3234"/>
      <sheetData sheetId="3235"/>
      <sheetData sheetId="3236"/>
      <sheetData sheetId="3237"/>
      <sheetData sheetId="3238"/>
      <sheetData sheetId="3239"/>
      <sheetData sheetId="3240"/>
      <sheetData sheetId="3241"/>
      <sheetData sheetId="3242"/>
      <sheetData sheetId="3243"/>
      <sheetData sheetId="3244"/>
      <sheetData sheetId="3245"/>
      <sheetData sheetId="3246"/>
      <sheetData sheetId="3247"/>
      <sheetData sheetId="3248"/>
      <sheetData sheetId="3249"/>
      <sheetData sheetId="3250"/>
      <sheetData sheetId="3251"/>
      <sheetData sheetId="3252"/>
      <sheetData sheetId="3253"/>
      <sheetData sheetId="3254"/>
      <sheetData sheetId="3255"/>
      <sheetData sheetId="3256"/>
      <sheetData sheetId="3257"/>
      <sheetData sheetId="3258"/>
      <sheetData sheetId="3259"/>
      <sheetData sheetId="3260"/>
      <sheetData sheetId="3261"/>
      <sheetData sheetId="3262"/>
      <sheetData sheetId="3263"/>
      <sheetData sheetId="3264"/>
      <sheetData sheetId="3265"/>
      <sheetData sheetId="3266"/>
      <sheetData sheetId="3267"/>
      <sheetData sheetId="3268"/>
      <sheetData sheetId="3269"/>
      <sheetData sheetId="3270"/>
      <sheetData sheetId="3271"/>
      <sheetData sheetId="3272"/>
      <sheetData sheetId="3273"/>
      <sheetData sheetId="3274"/>
      <sheetData sheetId="3275"/>
      <sheetData sheetId="3276"/>
      <sheetData sheetId="3277"/>
      <sheetData sheetId="3278"/>
      <sheetData sheetId="3279"/>
      <sheetData sheetId="3280"/>
      <sheetData sheetId="3281"/>
      <sheetData sheetId="3282"/>
      <sheetData sheetId="3283"/>
      <sheetData sheetId="3284"/>
      <sheetData sheetId="3285"/>
      <sheetData sheetId="3286"/>
      <sheetData sheetId="3287"/>
      <sheetData sheetId="3288"/>
      <sheetData sheetId="3289"/>
      <sheetData sheetId="3290"/>
      <sheetData sheetId="3291"/>
      <sheetData sheetId="3292"/>
      <sheetData sheetId="3293"/>
      <sheetData sheetId="3294"/>
      <sheetData sheetId="3295"/>
      <sheetData sheetId="3296"/>
      <sheetData sheetId="3297"/>
      <sheetData sheetId="3298"/>
      <sheetData sheetId="3299"/>
      <sheetData sheetId="3300"/>
      <sheetData sheetId="3301"/>
      <sheetData sheetId="3302"/>
      <sheetData sheetId="3303"/>
      <sheetData sheetId="3304"/>
      <sheetData sheetId="3305"/>
      <sheetData sheetId="3306"/>
      <sheetData sheetId="3307"/>
      <sheetData sheetId="3308"/>
      <sheetData sheetId="3309"/>
      <sheetData sheetId="3310"/>
      <sheetData sheetId="3311"/>
      <sheetData sheetId="3312"/>
      <sheetData sheetId="3313"/>
      <sheetData sheetId="3314"/>
      <sheetData sheetId="3315"/>
      <sheetData sheetId="3316"/>
      <sheetData sheetId="3317"/>
      <sheetData sheetId="3318"/>
      <sheetData sheetId="3319"/>
      <sheetData sheetId="3320"/>
      <sheetData sheetId="3321"/>
      <sheetData sheetId="3322"/>
      <sheetData sheetId="3323"/>
      <sheetData sheetId="3324"/>
      <sheetData sheetId="3325"/>
      <sheetData sheetId="3326"/>
      <sheetData sheetId="3327"/>
      <sheetData sheetId="3328"/>
      <sheetData sheetId="3329"/>
      <sheetData sheetId="3330"/>
      <sheetData sheetId="3331"/>
      <sheetData sheetId="3332"/>
      <sheetData sheetId="3333"/>
      <sheetData sheetId="3334"/>
      <sheetData sheetId="3335"/>
      <sheetData sheetId="3336"/>
      <sheetData sheetId="3337"/>
      <sheetData sheetId="3338"/>
      <sheetData sheetId="3339"/>
      <sheetData sheetId="3340"/>
      <sheetData sheetId="3341"/>
      <sheetData sheetId="3342"/>
      <sheetData sheetId="3343"/>
      <sheetData sheetId="3344"/>
      <sheetData sheetId="3345"/>
      <sheetData sheetId="3346"/>
      <sheetData sheetId="3347"/>
      <sheetData sheetId="3348"/>
      <sheetData sheetId="3349"/>
      <sheetData sheetId="3350"/>
      <sheetData sheetId="3351"/>
      <sheetData sheetId="3352"/>
      <sheetData sheetId="3353"/>
      <sheetData sheetId="3354"/>
      <sheetData sheetId="3355"/>
      <sheetData sheetId="3356"/>
      <sheetData sheetId="3357"/>
      <sheetData sheetId="3358"/>
      <sheetData sheetId="3359"/>
      <sheetData sheetId="3360"/>
      <sheetData sheetId="3361"/>
      <sheetData sheetId="3362"/>
      <sheetData sheetId="3363"/>
      <sheetData sheetId="3364"/>
      <sheetData sheetId="3365"/>
      <sheetData sheetId="3366"/>
      <sheetData sheetId="3367"/>
      <sheetData sheetId="3368"/>
      <sheetData sheetId="3369"/>
      <sheetData sheetId="3370"/>
      <sheetData sheetId="3371"/>
      <sheetData sheetId="3372"/>
      <sheetData sheetId="3373"/>
      <sheetData sheetId="3374"/>
      <sheetData sheetId="3375"/>
      <sheetData sheetId="3376"/>
      <sheetData sheetId="3377"/>
      <sheetData sheetId="3378"/>
      <sheetData sheetId="3379"/>
      <sheetData sheetId="3380"/>
      <sheetData sheetId="3381"/>
      <sheetData sheetId="3382"/>
      <sheetData sheetId="3383"/>
      <sheetData sheetId="3384"/>
      <sheetData sheetId="3385"/>
      <sheetData sheetId="3386"/>
      <sheetData sheetId="3387"/>
      <sheetData sheetId="3388"/>
      <sheetData sheetId="3389"/>
      <sheetData sheetId="3390"/>
      <sheetData sheetId="3391"/>
      <sheetData sheetId="3392"/>
      <sheetData sheetId="3393"/>
      <sheetData sheetId="3394"/>
      <sheetData sheetId="3395"/>
      <sheetData sheetId="3396"/>
      <sheetData sheetId="3397"/>
      <sheetData sheetId="3398"/>
      <sheetData sheetId="3399"/>
      <sheetData sheetId="3400"/>
      <sheetData sheetId="3401"/>
      <sheetData sheetId="3402"/>
      <sheetData sheetId="3403"/>
      <sheetData sheetId="3404"/>
      <sheetData sheetId="3405"/>
      <sheetData sheetId="3406"/>
      <sheetData sheetId="3407"/>
      <sheetData sheetId="3408"/>
      <sheetData sheetId="3409"/>
      <sheetData sheetId="3410"/>
      <sheetData sheetId="3411"/>
      <sheetData sheetId="3412"/>
      <sheetData sheetId="3413"/>
      <sheetData sheetId="3414"/>
      <sheetData sheetId="3415"/>
      <sheetData sheetId="3416"/>
      <sheetData sheetId="3417"/>
      <sheetData sheetId="3418"/>
      <sheetData sheetId="3419"/>
      <sheetData sheetId="3420"/>
      <sheetData sheetId="3421"/>
      <sheetData sheetId="3422"/>
      <sheetData sheetId="3423"/>
      <sheetData sheetId="3424"/>
      <sheetData sheetId="3425"/>
      <sheetData sheetId="3426"/>
      <sheetData sheetId="3427"/>
      <sheetData sheetId="3428"/>
      <sheetData sheetId="3429"/>
      <sheetData sheetId="3430"/>
      <sheetData sheetId="3431"/>
      <sheetData sheetId="3432"/>
      <sheetData sheetId="3433"/>
      <sheetData sheetId="3434"/>
      <sheetData sheetId="3435"/>
      <sheetData sheetId="3436"/>
      <sheetData sheetId="3437"/>
      <sheetData sheetId="3438"/>
      <sheetData sheetId="3439"/>
      <sheetData sheetId="3440"/>
      <sheetData sheetId="3441"/>
      <sheetData sheetId="3442"/>
      <sheetData sheetId="3443"/>
      <sheetData sheetId="3444"/>
      <sheetData sheetId="3445"/>
      <sheetData sheetId="3446"/>
      <sheetData sheetId="3447"/>
      <sheetData sheetId="3448"/>
      <sheetData sheetId="3449"/>
      <sheetData sheetId="3450"/>
      <sheetData sheetId="3451"/>
      <sheetData sheetId="3452"/>
      <sheetData sheetId="3453"/>
      <sheetData sheetId="3454"/>
      <sheetData sheetId="3455"/>
      <sheetData sheetId="3456"/>
      <sheetData sheetId="3457"/>
      <sheetData sheetId="3458"/>
      <sheetData sheetId="3459" refreshError="1"/>
      <sheetData sheetId="3460"/>
      <sheetData sheetId="3461"/>
      <sheetData sheetId="3462">
        <row r="1">
          <cell r="A1">
            <v>0</v>
          </cell>
        </row>
      </sheetData>
      <sheetData sheetId="3463"/>
      <sheetData sheetId="3464"/>
      <sheetData sheetId="3465"/>
      <sheetData sheetId="3466"/>
      <sheetData sheetId="3467"/>
      <sheetData sheetId="3468"/>
      <sheetData sheetId="3469"/>
      <sheetData sheetId="3470"/>
      <sheetData sheetId="3471"/>
      <sheetData sheetId="3472"/>
      <sheetData sheetId="3473"/>
      <sheetData sheetId="3474"/>
      <sheetData sheetId="3475"/>
      <sheetData sheetId="3476"/>
      <sheetData sheetId="3477"/>
      <sheetData sheetId="3478"/>
      <sheetData sheetId="3479"/>
      <sheetData sheetId="3480"/>
      <sheetData sheetId="3481"/>
      <sheetData sheetId="3482"/>
      <sheetData sheetId="3483"/>
      <sheetData sheetId="3484"/>
      <sheetData sheetId="3485"/>
      <sheetData sheetId="3486"/>
      <sheetData sheetId="3487"/>
      <sheetData sheetId="3488"/>
      <sheetData sheetId="3489"/>
      <sheetData sheetId="3490"/>
      <sheetData sheetId="3491"/>
      <sheetData sheetId="3492"/>
      <sheetData sheetId="3493"/>
      <sheetData sheetId="3494"/>
      <sheetData sheetId="3495"/>
      <sheetData sheetId="3496"/>
      <sheetData sheetId="3497"/>
      <sheetData sheetId="3498"/>
      <sheetData sheetId="3499"/>
      <sheetData sheetId="3500"/>
      <sheetData sheetId="3501"/>
      <sheetData sheetId="3502"/>
      <sheetData sheetId="3503"/>
      <sheetData sheetId="3504"/>
      <sheetData sheetId="3505"/>
      <sheetData sheetId="3506"/>
      <sheetData sheetId="3507"/>
      <sheetData sheetId="3508"/>
      <sheetData sheetId="3509"/>
      <sheetData sheetId="3510"/>
      <sheetData sheetId="3511"/>
      <sheetData sheetId="3512"/>
      <sheetData sheetId="3513"/>
      <sheetData sheetId="3514"/>
      <sheetData sheetId="3515"/>
      <sheetData sheetId="3516"/>
      <sheetData sheetId="3517"/>
      <sheetData sheetId="3518"/>
      <sheetData sheetId="3519"/>
      <sheetData sheetId="3520"/>
      <sheetData sheetId="3521"/>
      <sheetData sheetId="3522"/>
      <sheetData sheetId="3523"/>
      <sheetData sheetId="3524"/>
      <sheetData sheetId="3525"/>
      <sheetData sheetId="3526"/>
      <sheetData sheetId="3527"/>
      <sheetData sheetId="3528"/>
      <sheetData sheetId="3529"/>
      <sheetData sheetId="3530"/>
      <sheetData sheetId="3531"/>
      <sheetData sheetId="3532"/>
      <sheetData sheetId="3533"/>
      <sheetData sheetId="3534"/>
      <sheetData sheetId="3535"/>
      <sheetData sheetId="3536"/>
      <sheetData sheetId="3537"/>
      <sheetData sheetId="3538"/>
      <sheetData sheetId="3539"/>
      <sheetData sheetId="3540"/>
      <sheetData sheetId="3541"/>
      <sheetData sheetId="3542"/>
      <sheetData sheetId="3543"/>
      <sheetData sheetId="3544"/>
      <sheetData sheetId="3545"/>
      <sheetData sheetId="3546"/>
      <sheetData sheetId="3547"/>
      <sheetData sheetId="3548"/>
      <sheetData sheetId="3549"/>
      <sheetData sheetId="3550"/>
      <sheetData sheetId="3551"/>
      <sheetData sheetId="3552"/>
      <sheetData sheetId="3553"/>
      <sheetData sheetId="3554"/>
      <sheetData sheetId="3555"/>
      <sheetData sheetId="3556"/>
      <sheetData sheetId="3557"/>
      <sheetData sheetId="3558"/>
      <sheetData sheetId="3559"/>
      <sheetData sheetId="3560"/>
      <sheetData sheetId="3561"/>
      <sheetData sheetId="3562"/>
      <sheetData sheetId="3563"/>
      <sheetData sheetId="3564"/>
      <sheetData sheetId="3565"/>
      <sheetData sheetId="3566"/>
      <sheetData sheetId="3567"/>
      <sheetData sheetId="3568"/>
      <sheetData sheetId="3569"/>
      <sheetData sheetId="3570"/>
      <sheetData sheetId="3571"/>
      <sheetData sheetId="3572"/>
      <sheetData sheetId="3573"/>
      <sheetData sheetId="3574"/>
      <sheetData sheetId="3575"/>
      <sheetData sheetId="3576"/>
      <sheetData sheetId="3577"/>
      <sheetData sheetId="3578"/>
      <sheetData sheetId="3579"/>
      <sheetData sheetId="3580"/>
      <sheetData sheetId="3581"/>
      <sheetData sheetId="3582"/>
      <sheetData sheetId="3583"/>
      <sheetData sheetId="3584"/>
      <sheetData sheetId="3585"/>
      <sheetData sheetId="3586"/>
      <sheetData sheetId="3587"/>
      <sheetData sheetId="3588"/>
      <sheetData sheetId="3589"/>
      <sheetData sheetId="3590"/>
      <sheetData sheetId="3591"/>
      <sheetData sheetId="3592"/>
      <sheetData sheetId="3593"/>
      <sheetData sheetId="3594"/>
      <sheetData sheetId="3595"/>
      <sheetData sheetId="3596"/>
      <sheetData sheetId="3597"/>
      <sheetData sheetId="3598"/>
      <sheetData sheetId="3599"/>
      <sheetData sheetId="3600"/>
      <sheetData sheetId="3601"/>
      <sheetData sheetId="3602"/>
      <sheetData sheetId="3603"/>
      <sheetData sheetId="3604"/>
      <sheetData sheetId="3605"/>
      <sheetData sheetId="3606"/>
      <sheetData sheetId="3607"/>
      <sheetData sheetId="3608"/>
      <sheetData sheetId="3609"/>
      <sheetData sheetId="3610"/>
      <sheetData sheetId="3611"/>
      <sheetData sheetId="3612"/>
      <sheetData sheetId="3613"/>
      <sheetData sheetId="3614"/>
      <sheetData sheetId="3615"/>
      <sheetData sheetId="3616"/>
      <sheetData sheetId="3617"/>
      <sheetData sheetId="3618"/>
      <sheetData sheetId="3619"/>
      <sheetData sheetId="3620">
        <row r="1">
          <cell r="A1">
            <v>0</v>
          </cell>
        </row>
      </sheetData>
      <sheetData sheetId="3621"/>
      <sheetData sheetId="3622"/>
      <sheetData sheetId="3623"/>
      <sheetData sheetId="3624"/>
      <sheetData sheetId="3625"/>
      <sheetData sheetId="3626"/>
      <sheetData sheetId="3627"/>
      <sheetData sheetId="3628"/>
      <sheetData sheetId="3629">
        <row r="1">
          <cell r="B1" t="str">
            <v>1</v>
          </cell>
        </row>
      </sheetData>
      <sheetData sheetId="3630"/>
      <sheetData sheetId="3631"/>
      <sheetData sheetId="3632">
        <row r="1">
          <cell r="A1">
            <v>0</v>
          </cell>
        </row>
      </sheetData>
      <sheetData sheetId="3633"/>
      <sheetData sheetId="3634"/>
      <sheetData sheetId="3635"/>
      <sheetData sheetId="3636"/>
      <sheetData sheetId="3637"/>
      <sheetData sheetId="3638"/>
      <sheetData sheetId="3639"/>
      <sheetData sheetId="3640"/>
      <sheetData sheetId="3641"/>
      <sheetData sheetId="3642"/>
      <sheetData sheetId="3643"/>
      <sheetData sheetId="3644"/>
      <sheetData sheetId="3645"/>
      <sheetData sheetId="3646"/>
      <sheetData sheetId="3647"/>
      <sheetData sheetId="3648"/>
      <sheetData sheetId="3649"/>
      <sheetData sheetId="3650"/>
      <sheetData sheetId="3651"/>
      <sheetData sheetId="3652"/>
      <sheetData sheetId="3653"/>
      <sheetData sheetId="3654"/>
      <sheetData sheetId="3655"/>
      <sheetData sheetId="3656"/>
      <sheetData sheetId="3657"/>
      <sheetData sheetId="3658"/>
      <sheetData sheetId="3659"/>
      <sheetData sheetId="3660"/>
      <sheetData sheetId="3661"/>
      <sheetData sheetId="3662"/>
      <sheetData sheetId="3663"/>
      <sheetData sheetId="3664"/>
      <sheetData sheetId="3665"/>
      <sheetData sheetId="3666"/>
      <sheetData sheetId="3667"/>
      <sheetData sheetId="3668"/>
      <sheetData sheetId="3669"/>
      <sheetData sheetId="3670"/>
      <sheetData sheetId="3671"/>
      <sheetData sheetId="3672"/>
      <sheetData sheetId="3673"/>
      <sheetData sheetId="3674"/>
      <sheetData sheetId="3675"/>
      <sheetData sheetId="3676"/>
      <sheetData sheetId="3677"/>
      <sheetData sheetId="3678"/>
      <sheetData sheetId="3679"/>
      <sheetData sheetId="3680"/>
      <sheetData sheetId="3681"/>
      <sheetData sheetId="3682"/>
      <sheetData sheetId="3683"/>
      <sheetData sheetId="3684"/>
      <sheetData sheetId="3685"/>
      <sheetData sheetId="3686"/>
      <sheetData sheetId="3687"/>
      <sheetData sheetId="3688"/>
      <sheetData sheetId="3689"/>
      <sheetData sheetId="3690"/>
      <sheetData sheetId="3691"/>
      <sheetData sheetId="3692"/>
      <sheetData sheetId="3693"/>
      <sheetData sheetId="3694"/>
      <sheetData sheetId="3695"/>
      <sheetData sheetId="3696"/>
      <sheetData sheetId="3697"/>
      <sheetData sheetId="3698"/>
      <sheetData sheetId="3699"/>
      <sheetData sheetId="3700"/>
      <sheetData sheetId="3701"/>
      <sheetData sheetId="3702"/>
      <sheetData sheetId="3703"/>
      <sheetData sheetId="3704"/>
      <sheetData sheetId="3705"/>
      <sheetData sheetId="3706"/>
      <sheetData sheetId="3707"/>
      <sheetData sheetId="3708"/>
      <sheetData sheetId="3709"/>
      <sheetData sheetId="3710"/>
      <sheetData sheetId="3711"/>
      <sheetData sheetId="3712"/>
      <sheetData sheetId="3713"/>
      <sheetData sheetId="3714"/>
      <sheetData sheetId="3715"/>
      <sheetData sheetId="3716"/>
      <sheetData sheetId="3717"/>
      <sheetData sheetId="3718"/>
      <sheetData sheetId="3719"/>
      <sheetData sheetId="3720"/>
      <sheetData sheetId="3721"/>
      <sheetData sheetId="3722"/>
      <sheetData sheetId="3723"/>
      <sheetData sheetId="3724"/>
      <sheetData sheetId="3725"/>
      <sheetData sheetId="3726"/>
      <sheetData sheetId="3727"/>
      <sheetData sheetId="3728"/>
      <sheetData sheetId="3729"/>
      <sheetData sheetId="3730"/>
      <sheetData sheetId="3731"/>
      <sheetData sheetId="3732"/>
      <sheetData sheetId="3733"/>
      <sheetData sheetId="3734"/>
      <sheetData sheetId="3735"/>
      <sheetData sheetId="3736"/>
      <sheetData sheetId="3737"/>
      <sheetData sheetId="3738"/>
      <sheetData sheetId="3739"/>
      <sheetData sheetId="3740"/>
      <sheetData sheetId="3741"/>
      <sheetData sheetId="3742"/>
      <sheetData sheetId="3743"/>
      <sheetData sheetId="3744"/>
      <sheetData sheetId="3745"/>
      <sheetData sheetId="3746"/>
      <sheetData sheetId="3747"/>
      <sheetData sheetId="3748"/>
      <sheetData sheetId="3749"/>
      <sheetData sheetId="3750"/>
      <sheetData sheetId="3751"/>
      <sheetData sheetId="3752"/>
      <sheetData sheetId="3753"/>
      <sheetData sheetId="3754"/>
      <sheetData sheetId="3755"/>
      <sheetData sheetId="3756"/>
      <sheetData sheetId="3757"/>
      <sheetData sheetId="3758"/>
      <sheetData sheetId="3759"/>
      <sheetData sheetId="3760">
        <row r="1">
          <cell r="A1">
            <v>0</v>
          </cell>
        </row>
      </sheetData>
      <sheetData sheetId="3761"/>
      <sheetData sheetId="3762"/>
      <sheetData sheetId="3763"/>
      <sheetData sheetId="3764"/>
      <sheetData sheetId="3765"/>
      <sheetData sheetId="3766"/>
      <sheetData sheetId="3767"/>
      <sheetData sheetId="3768"/>
      <sheetData sheetId="3769"/>
      <sheetData sheetId="3770"/>
      <sheetData sheetId="3771"/>
      <sheetData sheetId="3772"/>
      <sheetData sheetId="3773"/>
      <sheetData sheetId="3774"/>
      <sheetData sheetId="3775"/>
      <sheetData sheetId="3776"/>
      <sheetData sheetId="3777"/>
      <sheetData sheetId="3778"/>
      <sheetData sheetId="3779"/>
      <sheetData sheetId="3780"/>
      <sheetData sheetId="3781"/>
      <sheetData sheetId="3782">
        <row r="1">
          <cell r="A1">
            <v>0</v>
          </cell>
        </row>
      </sheetData>
      <sheetData sheetId="3783"/>
      <sheetData sheetId="3784"/>
      <sheetData sheetId="3785"/>
      <sheetData sheetId="3786"/>
      <sheetData sheetId="3787"/>
      <sheetData sheetId="3788"/>
      <sheetData sheetId="3789"/>
      <sheetData sheetId="3790"/>
      <sheetData sheetId="3791"/>
      <sheetData sheetId="3792"/>
      <sheetData sheetId="3793"/>
      <sheetData sheetId="3794"/>
      <sheetData sheetId="3795"/>
      <sheetData sheetId="3796"/>
      <sheetData sheetId="3797"/>
      <sheetData sheetId="3798"/>
      <sheetData sheetId="3799"/>
      <sheetData sheetId="3800"/>
      <sheetData sheetId="3801"/>
      <sheetData sheetId="3802"/>
      <sheetData sheetId="3803"/>
      <sheetData sheetId="3804"/>
      <sheetData sheetId="3805"/>
      <sheetData sheetId="3806"/>
      <sheetData sheetId="3807"/>
      <sheetData sheetId="3808"/>
      <sheetData sheetId="3809"/>
      <sheetData sheetId="3810"/>
      <sheetData sheetId="3811"/>
      <sheetData sheetId="3812"/>
      <sheetData sheetId="3813"/>
      <sheetData sheetId="3814"/>
      <sheetData sheetId="3815"/>
      <sheetData sheetId="3816"/>
      <sheetData sheetId="3817"/>
      <sheetData sheetId="3818"/>
      <sheetData sheetId="3819"/>
      <sheetData sheetId="3820"/>
      <sheetData sheetId="3821"/>
      <sheetData sheetId="3822"/>
      <sheetData sheetId="3823"/>
      <sheetData sheetId="3824"/>
      <sheetData sheetId="3825"/>
      <sheetData sheetId="3826"/>
      <sheetData sheetId="3827"/>
      <sheetData sheetId="3828"/>
      <sheetData sheetId="3829"/>
      <sheetData sheetId="3830"/>
      <sheetData sheetId="3831"/>
      <sheetData sheetId="3832"/>
      <sheetData sheetId="3833"/>
      <sheetData sheetId="3834"/>
      <sheetData sheetId="3835"/>
      <sheetData sheetId="3836"/>
      <sheetData sheetId="3837"/>
      <sheetData sheetId="3838"/>
      <sheetData sheetId="3839"/>
      <sheetData sheetId="3840"/>
      <sheetData sheetId="3841"/>
      <sheetData sheetId="3842"/>
      <sheetData sheetId="3843"/>
      <sheetData sheetId="3844"/>
      <sheetData sheetId="3845"/>
      <sheetData sheetId="3846"/>
      <sheetData sheetId="3847"/>
      <sheetData sheetId="3848"/>
      <sheetData sheetId="3849"/>
      <sheetData sheetId="3850"/>
      <sheetData sheetId="3851"/>
      <sheetData sheetId="3852"/>
      <sheetData sheetId="3853"/>
      <sheetData sheetId="3854"/>
      <sheetData sheetId="3855"/>
      <sheetData sheetId="3856"/>
      <sheetData sheetId="3857"/>
      <sheetData sheetId="3858"/>
      <sheetData sheetId="3859"/>
      <sheetData sheetId="3860"/>
      <sheetData sheetId="3861"/>
      <sheetData sheetId="3862"/>
      <sheetData sheetId="3863"/>
      <sheetData sheetId="3864"/>
      <sheetData sheetId="3865"/>
      <sheetData sheetId="3866"/>
      <sheetData sheetId="3867"/>
      <sheetData sheetId="3868"/>
      <sheetData sheetId="3869"/>
      <sheetData sheetId="3870"/>
      <sheetData sheetId="3871"/>
      <sheetData sheetId="3872"/>
      <sheetData sheetId="3873"/>
      <sheetData sheetId="3874"/>
      <sheetData sheetId="3875"/>
      <sheetData sheetId="3876"/>
      <sheetData sheetId="3877"/>
      <sheetData sheetId="3878"/>
      <sheetData sheetId="3879"/>
      <sheetData sheetId="3880"/>
      <sheetData sheetId="3881"/>
      <sheetData sheetId="3882"/>
      <sheetData sheetId="3883"/>
      <sheetData sheetId="3884"/>
      <sheetData sheetId="3885"/>
      <sheetData sheetId="3886"/>
      <sheetData sheetId="3887"/>
      <sheetData sheetId="3888"/>
      <sheetData sheetId="3889"/>
      <sheetData sheetId="3890"/>
      <sheetData sheetId="3891"/>
      <sheetData sheetId="3892"/>
      <sheetData sheetId="3893"/>
      <sheetData sheetId="3894"/>
      <sheetData sheetId="3895"/>
      <sheetData sheetId="3896"/>
      <sheetData sheetId="3897"/>
      <sheetData sheetId="3898"/>
      <sheetData sheetId="3899"/>
      <sheetData sheetId="3900"/>
      <sheetData sheetId="3901"/>
      <sheetData sheetId="3902"/>
      <sheetData sheetId="3903"/>
      <sheetData sheetId="3904"/>
      <sheetData sheetId="3905"/>
      <sheetData sheetId="3906"/>
      <sheetData sheetId="3907"/>
      <sheetData sheetId="3908"/>
      <sheetData sheetId="3909"/>
      <sheetData sheetId="3910"/>
      <sheetData sheetId="3911"/>
      <sheetData sheetId="3912"/>
      <sheetData sheetId="3913"/>
      <sheetData sheetId="3914"/>
      <sheetData sheetId="3915"/>
      <sheetData sheetId="3916"/>
      <sheetData sheetId="3917"/>
      <sheetData sheetId="3918"/>
      <sheetData sheetId="3919"/>
      <sheetData sheetId="3920"/>
      <sheetData sheetId="3921"/>
      <sheetData sheetId="3922"/>
      <sheetData sheetId="3923"/>
      <sheetData sheetId="3924"/>
      <sheetData sheetId="3925"/>
      <sheetData sheetId="3926"/>
      <sheetData sheetId="3927"/>
      <sheetData sheetId="3928"/>
      <sheetData sheetId="3929"/>
      <sheetData sheetId="3930"/>
      <sheetData sheetId="3931"/>
      <sheetData sheetId="3932"/>
      <sheetData sheetId="3933"/>
      <sheetData sheetId="3934"/>
      <sheetData sheetId="3935"/>
      <sheetData sheetId="3936"/>
      <sheetData sheetId="3937"/>
      <sheetData sheetId="3938"/>
      <sheetData sheetId="3939"/>
      <sheetData sheetId="3940"/>
      <sheetData sheetId="3941"/>
      <sheetData sheetId="3942"/>
      <sheetData sheetId="3943"/>
      <sheetData sheetId="3944"/>
      <sheetData sheetId="3945"/>
      <sheetData sheetId="3946"/>
      <sheetData sheetId="3947"/>
      <sheetData sheetId="3948"/>
      <sheetData sheetId="3949"/>
      <sheetData sheetId="3950"/>
      <sheetData sheetId="3951"/>
      <sheetData sheetId="3952"/>
      <sheetData sheetId="3953"/>
      <sheetData sheetId="3954"/>
      <sheetData sheetId="3955"/>
      <sheetData sheetId="3956"/>
      <sheetData sheetId="3957"/>
      <sheetData sheetId="3958"/>
      <sheetData sheetId="3959"/>
      <sheetData sheetId="3960"/>
      <sheetData sheetId="3961"/>
      <sheetData sheetId="3962"/>
      <sheetData sheetId="3963"/>
      <sheetData sheetId="3964"/>
      <sheetData sheetId="3965"/>
      <sheetData sheetId="3966"/>
      <sheetData sheetId="3967"/>
      <sheetData sheetId="3968"/>
      <sheetData sheetId="3969"/>
      <sheetData sheetId="3970"/>
      <sheetData sheetId="3971"/>
      <sheetData sheetId="3972"/>
      <sheetData sheetId="3973"/>
      <sheetData sheetId="3974"/>
      <sheetData sheetId="3975"/>
      <sheetData sheetId="3976"/>
      <sheetData sheetId="3977"/>
      <sheetData sheetId="3978"/>
      <sheetData sheetId="3979"/>
      <sheetData sheetId="3980"/>
      <sheetData sheetId="3981"/>
      <sheetData sheetId="3982"/>
      <sheetData sheetId="3983"/>
      <sheetData sheetId="3984"/>
      <sheetData sheetId="3985"/>
      <sheetData sheetId="3986"/>
      <sheetData sheetId="3987"/>
      <sheetData sheetId="3988"/>
      <sheetData sheetId="3989"/>
      <sheetData sheetId="3990"/>
      <sheetData sheetId="3991"/>
      <sheetData sheetId="3992"/>
      <sheetData sheetId="3993"/>
      <sheetData sheetId="3994"/>
      <sheetData sheetId="3995"/>
      <sheetData sheetId="3996"/>
      <sheetData sheetId="3997"/>
      <sheetData sheetId="3998"/>
      <sheetData sheetId="3999"/>
      <sheetData sheetId="4000"/>
      <sheetData sheetId="4001"/>
      <sheetData sheetId="4002"/>
      <sheetData sheetId="4003"/>
      <sheetData sheetId="4004"/>
      <sheetData sheetId="4005"/>
      <sheetData sheetId="4006"/>
      <sheetData sheetId="4007"/>
      <sheetData sheetId="4008"/>
      <sheetData sheetId="4009"/>
      <sheetData sheetId="4010"/>
      <sheetData sheetId="4011"/>
      <sheetData sheetId="4012"/>
      <sheetData sheetId="4013"/>
      <sheetData sheetId="4014"/>
      <sheetData sheetId="4015"/>
      <sheetData sheetId="4016"/>
      <sheetData sheetId="4017"/>
      <sheetData sheetId="4018"/>
      <sheetData sheetId="4019"/>
      <sheetData sheetId="4020"/>
      <sheetData sheetId="4021"/>
      <sheetData sheetId="4022"/>
      <sheetData sheetId="4023"/>
      <sheetData sheetId="4024"/>
      <sheetData sheetId="4025"/>
      <sheetData sheetId="4026"/>
      <sheetData sheetId="4027"/>
      <sheetData sheetId="4028"/>
      <sheetData sheetId="4029"/>
      <sheetData sheetId="4030"/>
      <sheetData sheetId="4031"/>
      <sheetData sheetId="4032"/>
      <sheetData sheetId="4033"/>
      <sheetData sheetId="4034"/>
      <sheetData sheetId="4035"/>
      <sheetData sheetId="4036"/>
      <sheetData sheetId="4037"/>
      <sheetData sheetId="4038"/>
      <sheetData sheetId="4039"/>
      <sheetData sheetId="4040"/>
      <sheetData sheetId="4041"/>
      <sheetData sheetId="4042"/>
      <sheetData sheetId="4043"/>
      <sheetData sheetId="4044"/>
      <sheetData sheetId="4045"/>
      <sheetData sheetId="4046"/>
      <sheetData sheetId="4047"/>
      <sheetData sheetId="4048"/>
      <sheetData sheetId="4049"/>
      <sheetData sheetId="4050"/>
      <sheetData sheetId="4051"/>
      <sheetData sheetId="4052"/>
      <sheetData sheetId="4053"/>
      <sheetData sheetId="4054"/>
      <sheetData sheetId="4055"/>
      <sheetData sheetId="4056"/>
      <sheetData sheetId="4057"/>
      <sheetData sheetId="4058"/>
      <sheetData sheetId="4059"/>
      <sheetData sheetId="4060"/>
      <sheetData sheetId="4061"/>
      <sheetData sheetId="4062"/>
      <sheetData sheetId="4063"/>
      <sheetData sheetId="4064"/>
      <sheetData sheetId="4065"/>
      <sheetData sheetId="4066"/>
      <sheetData sheetId="4067"/>
      <sheetData sheetId="4068"/>
      <sheetData sheetId="4069"/>
      <sheetData sheetId="4070"/>
      <sheetData sheetId="4071"/>
      <sheetData sheetId="4072"/>
      <sheetData sheetId="4073"/>
      <sheetData sheetId="4074"/>
      <sheetData sheetId="4075"/>
      <sheetData sheetId="4076"/>
      <sheetData sheetId="4077"/>
      <sheetData sheetId="4078"/>
      <sheetData sheetId="4079"/>
      <sheetData sheetId="4080"/>
      <sheetData sheetId="4081"/>
      <sheetData sheetId="4082"/>
      <sheetData sheetId="4083"/>
      <sheetData sheetId="4084"/>
      <sheetData sheetId="4085"/>
      <sheetData sheetId="4086"/>
      <sheetData sheetId="4087"/>
      <sheetData sheetId="4088"/>
      <sheetData sheetId="4089"/>
      <sheetData sheetId="4090"/>
      <sheetData sheetId="4091"/>
      <sheetData sheetId="4092"/>
      <sheetData sheetId="4093"/>
      <sheetData sheetId="4094"/>
      <sheetData sheetId="4095"/>
      <sheetData sheetId="4096"/>
      <sheetData sheetId="4097"/>
      <sheetData sheetId="4098"/>
      <sheetData sheetId="4099"/>
      <sheetData sheetId="4100"/>
      <sheetData sheetId="4101"/>
      <sheetData sheetId="4102"/>
      <sheetData sheetId="4103"/>
      <sheetData sheetId="4104"/>
      <sheetData sheetId="4105"/>
      <sheetData sheetId="4106"/>
      <sheetData sheetId="4107"/>
      <sheetData sheetId="4108"/>
      <sheetData sheetId="4109"/>
      <sheetData sheetId="4110"/>
      <sheetData sheetId="4111"/>
      <sheetData sheetId="4112"/>
      <sheetData sheetId="4113"/>
      <sheetData sheetId="4114"/>
      <sheetData sheetId="4115"/>
      <sheetData sheetId="4116"/>
      <sheetData sheetId="4117"/>
      <sheetData sheetId="4118"/>
      <sheetData sheetId="4119"/>
      <sheetData sheetId="4120"/>
      <sheetData sheetId="4121"/>
      <sheetData sheetId="4122"/>
      <sheetData sheetId="4123"/>
      <sheetData sheetId="4124"/>
      <sheetData sheetId="4125"/>
      <sheetData sheetId="4126"/>
      <sheetData sheetId="4127"/>
      <sheetData sheetId="4128"/>
      <sheetData sheetId="4129"/>
      <sheetData sheetId="4130"/>
      <sheetData sheetId="4131"/>
      <sheetData sheetId="4132"/>
      <sheetData sheetId="4133"/>
      <sheetData sheetId="4134"/>
      <sheetData sheetId="4135"/>
      <sheetData sheetId="4136"/>
      <sheetData sheetId="4137"/>
      <sheetData sheetId="4138"/>
      <sheetData sheetId="4139"/>
      <sheetData sheetId="4140"/>
      <sheetData sheetId="4141"/>
      <sheetData sheetId="4142"/>
      <sheetData sheetId="4143"/>
      <sheetData sheetId="4144"/>
      <sheetData sheetId="4145"/>
      <sheetData sheetId="4146"/>
      <sheetData sheetId="4147"/>
      <sheetData sheetId="4148"/>
      <sheetData sheetId="4149"/>
      <sheetData sheetId="4150"/>
      <sheetData sheetId="4151"/>
      <sheetData sheetId="4152"/>
      <sheetData sheetId="4153"/>
      <sheetData sheetId="4154"/>
      <sheetData sheetId="4155"/>
      <sheetData sheetId="4156"/>
      <sheetData sheetId="4157"/>
      <sheetData sheetId="4158"/>
      <sheetData sheetId="4159"/>
      <sheetData sheetId="4160"/>
      <sheetData sheetId="4161"/>
      <sheetData sheetId="4162"/>
      <sheetData sheetId="4163"/>
      <sheetData sheetId="4164"/>
      <sheetData sheetId="4165"/>
      <sheetData sheetId="4166"/>
      <sheetData sheetId="4167"/>
      <sheetData sheetId="4168"/>
      <sheetData sheetId="4169"/>
      <sheetData sheetId="4170"/>
      <sheetData sheetId="4171"/>
      <sheetData sheetId="4172"/>
      <sheetData sheetId="4173"/>
      <sheetData sheetId="4174"/>
      <sheetData sheetId="4175"/>
      <sheetData sheetId="4176"/>
      <sheetData sheetId="4177"/>
      <sheetData sheetId="4178"/>
      <sheetData sheetId="4179"/>
      <sheetData sheetId="4180"/>
      <sheetData sheetId="4181"/>
      <sheetData sheetId="4182"/>
      <sheetData sheetId="4183"/>
      <sheetData sheetId="4184"/>
      <sheetData sheetId="4185"/>
      <sheetData sheetId="4186"/>
      <sheetData sheetId="4187"/>
      <sheetData sheetId="4188"/>
      <sheetData sheetId="4189"/>
      <sheetData sheetId="4190"/>
      <sheetData sheetId="4191"/>
      <sheetData sheetId="4192"/>
      <sheetData sheetId="4193"/>
      <sheetData sheetId="4194"/>
      <sheetData sheetId="4195"/>
      <sheetData sheetId="4196"/>
      <sheetData sheetId="4197"/>
      <sheetData sheetId="4198"/>
      <sheetData sheetId="4199"/>
      <sheetData sheetId="4200"/>
      <sheetData sheetId="4201"/>
      <sheetData sheetId="4202"/>
      <sheetData sheetId="4203"/>
      <sheetData sheetId="4204"/>
      <sheetData sheetId="4205"/>
      <sheetData sheetId="4206"/>
      <sheetData sheetId="4207"/>
      <sheetData sheetId="4208"/>
      <sheetData sheetId="4209"/>
      <sheetData sheetId="4210"/>
      <sheetData sheetId="4211"/>
      <sheetData sheetId="4212"/>
      <sheetData sheetId="4213"/>
      <sheetData sheetId="4214"/>
      <sheetData sheetId="4215"/>
      <sheetData sheetId="4216"/>
      <sheetData sheetId="4217"/>
      <sheetData sheetId="4218"/>
      <sheetData sheetId="4219"/>
      <sheetData sheetId="4220"/>
      <sheetData sheetId="4221"/>
      <sheetData sheetId="4222"/>
      <sheetData sheetId="4223"/>
      <sheetData sheetId="4224"/>
      <sheetData sheetId="4225"/>
      <sheetData sheetId="4226"/>
      <sheetData sheetId="4227"/>
      <sheetData sheetId="4228"/>
      <sheetData sheetId="4229"/>
      <sheetData sheetId="4230"/>
      <sheetData sheetId="4231"/>
      <sheetData sheetId="4232"/>
      <sheetData sheetId="4233"/>
      <sheetData sheetId="4234"/>
      <sheetData sheetId="4235"/>
      <sheetData sheetId="4236"/>
      <sheetData sheetId="4237"/>
      <sheetData sheetId="4238"/>
      <sheetData sheetId="4239"/>
      <sheetData sheetId="4240"/>
      <sheetData sheetId="4241"/>
      <sheetData sheetId="4242"/>
      <sheetData sheetId="4243"/>
      <sheetData sheetId="4244"/>
      <sheetData sheetId="4245"/>
      <sheetData sheetId="4246"/>
      <sheetData sheetId="4247"/>
      <sheetData sheetId="4248"/>
      <sheetData sheetId="4249"/>
      <sheetData sheetId="4250"/>
      <sheetData sheetId="4251"/>
      <sheetData sheetId="4252"/>
      <sheetData sheetId="4253"/>
      <sheetData sheetId="4254"/>
      <sheetData sheetId="4255"/>
      <sheetData sheetId="4256"/>
      <sheetData sheetId="4257"/>
      <sheetData sheetId="4258"/>
      <sheetData sheetId="4259"/>
      <sheetData sheetId="4260"/>
      <sheetData sheetId="4261"/>
      <sheetData sheetId="4262"/>
      <sheetData sheetId="4263"/>
      <sheetData sheetId="4264"/>
      <sheetData sheetId="4265"/>
      <sheetData sheetId="4266"/>
      <sheetData sheetId="4267"/>
      <sheetData sheetId="4268"/>
      <sheetData sheetId="4269"/>
      <sheetData sheetId="4270"/>
      <sheetData sheetId="4271"/>
      <sheetData sheetId="4272"/>
      <sheetData sheetId="4273"/>
      <sheetData sheetId="4274"/>
      <sheetData sheetId="4275"/>
      <sheetData sheetId="4276"/>
      <sheetData sheetId="4277"/>
      <sheetData sheetId="4278"/>
      <sheetData sheetId="4279"/>
      <sheetData sheetId="4280"/>
      <sheetData sheetId="4281"/>
      <sheetData sheetId="4282"/>
      <sheetData sheetId="4283"/>
      <sheetData sheetId="4284"/>
      <sheetData sheetId="4285"/>
      <sheetData sheetId="4286"/>
      <sheetData sheetId="4287"/>
      <sheetData sheetId="4288"/>
      <sheetData sheetId="4289"/>
      <sheetData sheetId="4290"/>
      <sheetData sheetId="4291"/>
      <sheetData sheetId="4292"/>
      <sheetData sheetId="4293"/>
      <sheetData sheetId="4294"/>
      <sheetData sheetId="4295"/>
      <sheetData sheetId="4296"/>
      <sheetData sheetId="4297"/>
      <sheetData sheetId="4298"/>
      <sheetData sheetId="4299"/>
      <sheetData sheetId="4300"/>
      <sheetData sheetId="4301"/>
      <sheetData sheetId="4302"/>
      <sheetData sheetId="4303"/>
      <sheetData sheetId="4304"/>
      <sheetData sheetId="4305"/>
      <sheetData sheetId="4306"/>
      <sheetData sheetId="4307"/>
      <sheetData sheetId="4308"/>
      <sheetData sheetId="4309"/>
      <sheetData sheetId="4310"/>
      <sheetData sheetId="4311"/>
      <sheetData sheetId="4312"/>
      <sheetData sheetId="4313"/>
      <sheetData sheetId="4314"/>
      <sheetData sheetId="4315"/>
      <sheetData sheetId="4316"/>
      <sheetData sheetId="4317"/>
      <sheetData sheetId="4318"/>
      <sheetData sheetId="4319"/>
      <sheetData sheetId="4320"/>
      <sheetData sheetId="4321"/>
      <sheetData sheetId="4322"/>
      <sheetData sheetId="4323"/>
      <sheetData sheetId="4324"/>
      <sheetData sheetId="4325"/>
      <sheetData sheetId="4326"/>
      <sheetData sheetId="4327"/>
      <sheetData sheetId="4328"/>
      <sheetData sheetId="4329"/>
      <sheetData sheetId="4330"/>
      <sheetData sheetId="4331"/>
      <sheetData sheetId="4332"/>
      <sheetData sheetId="4333"/>
      <sheetData sheetId="4334"/>
      <sheetData sheetId="4335"/>
      <sheetData sheetId="4336"/>
      <sheetData sheetId="4337"/>
      <sheetData sheetId="4338"/>
      <sheetData sheetId="4339"/>
      <sheetData sheetId="4340"/>
      <sheetData sheetId="4341"/>
      <sheetData sheetId="4342"/>
      <sheetData sheetId="4343"/>
      <sheetData sheetId="4344"/>
      <sheetData sheetId="4345"/>
      <sheetData sheetId="4346"/>
      <sheetData sheetId="4347"/>
      <sheetData sheetId="4348"/>
      <sheetData sheetId="4349"/>
      <sheetData sheetId="4350"/>
      <sheetData sheetId="4351"/>
      <sheetData sheetId="4352"/>
      <sheetData sheetId="4353"/>
      <sheetData sheetId="4354"/>
      <sheetData sheetId="4355"/>
      <sheetData sheetId="4356"/>
      <sheetData sheetId="4357"/>
      <sheetData sheetId="4358"/>
      <sheetData sheetId="4359"/>
      <sheetData sheetId="4360"/>
      <sheetData sheetId="4361"/>
      <sheetData sheetId="4362"/>
      <sheetData sheetId="4363"/>
      <sheetData sheetId="4364"/>
      <sheetData sheetId="4365"/>
      <sheetData sheetId="4366"/>
      <sheetData sheetId="4367"/>
      <sheetData sheetId="4368"/>
      <sheetData sheetId="4369"/>
      <sheetData sheetId="4370"/>
      <sheetData sheetId="4371"/>
      <sheetData sheetId="4372"/>
      <sheetData sheetId="4373"/>
      <sheetData sheetId="4374"/>
      <sheetData sheetId="4375"/>
      <sheetData sheetId="4376"/>
      <sheetData sheetId="4377"/>
      <sheetData sheetId="4378"/>
      <sheetData sheetId="4379"/>
      <sheetData sheetId="4380"/>
      <sheetData sheetId="4381"/>
      <sheetData sheetId="4382"/>
      <sheetData sheetId="4383"/>
      <sheetData sheetId="4384"/>
      <sheetData sheetId="4385"/>
      <sheetData sheetId="4386"/>
      <sheetData sheetId="4387"/>
      <sheetData sheetId="4388"/>
      <sheetData sheetId="4389"/>
      <sheetData sheetId="4390"/>
      <sheetData sheetId="4391"/>
      <sheetData sheetId="4392"/>
      <sheetData sheetId="4393"/>
      <sheetData sheetId="4394"/>
      <sheetData sheetId="4395"/>
      <sheetData sheetId="4396"/>
      <sheetData sheetId="4397"/>
      <sheetData sheetId="4398"/>
      <sheetData sheetId="4399"/>
      <sheetData sheetId="4400"/>
      <sheetData sheetId="4401"/>
      <sheetData sheetId="4402"/>
      <sheetData sheetId="4403"/>
      <sheetData sheetId="4404"/>
      <sheetData sheetId="4405"/>
      <sheetData sheetId="4406"/>
      <sheetData sheetId="4407"/>
      <sheetData sheetId="4408"/>
      <sheetData sheetId="4409"/>
      <sheetData sheetId="4410"/>
      <sheetData sheetId="4411"/>
      <sheetData sheetId="4412"/>
      <sheetData sheetId="4413"/>
      <sheetData sheetId="4414"/>
      <sheetData sheetId="4415"/>
      <sheetData sheetId="4416"/>
      <sheetData sheetId="4417"/>
      <sheetData sheetId="4418"/>
      <sheetData sheetId="4419"/>
      <sheetData sheetId="4420"/>
      <sheetData sheetId="4421"/>
      <sheetData sheetId="4422"/>
      <sheetData sheetId="4423"/>
      <sheetData sheetId="4424"/>
      <sheetData sheetId="4425"/>
      <sheetData sheetId="4426"/>
      <sheetData sheetId="4427"/>
      <sheetData sheetId="4428"/>
      <sheetData sheetId="4429"/>
      <sheetData sheetId="4430"/>
      <sheetData sheetId="4431"/>
      <sheetData sheetId="4432"/>
      <sheetData sheetId="4433"/>
      <sheetData sheetId="4434"/>
      <sheetData sheetId="4435"/>
      <sheetData sheetId="4436"/>
      <sheetData sheetId="4437"/>
      <sheetData sheetId="4438"/>
      <sheetData sheetId="4439"/>
      <sheetData sheetId="4440"/>
      <sheetData sheetId="4441"/>
      <sheetData sheetId="4442"/>
      <sheetData sheetId="4443"/>
      <sheetData sheetId="4444"/>
      <sheetData sheetId="4445"/>
      <sheetData sheetId="4446"/>
      <sheetData sheetId="4447"/>
      <sheetData sheetId="4448"/>
      <sheetData sheetId="4449"/>
      <sheetData sheetId="4450"/>
      <sheetData sheetId="4451"/>
      <sheetData sheetId="4452"/>
      <sheetData sheetId="4453"/>
      <sheetData sheetId="4454"/>
      <sheetData sheetId="4455"/>
      <sheetData sheetId="4456"/>
      <sheetData sheetId="4457"/>
      <sheetData sheetId="4458"/>
      <sheetData sheetId="4459"/>
      <sheetData sheetId="4460"/>
      <sheetData sheetId="4461"/>
      <sheetData sheetId="4462"/>
      <sheetData sheetId="4463"/>
      <sheetData sheetId="4464"/>
      <sheetData sheetId="4465"/>
      <sheetData sheetId="4466"/>
      <sheetData sheetId="4467"/>
      <sheetData sheetId="4468"/>
      <sheetData sheetId="4469"/>
      <sheetData sheetId="4470"/>
      <sheetData sheetId="4471"/>
      <sheetData sheetId="4472"/>
      <sheetData sheetId="4473"/>
      <sheetData sheetId="4474"/>
      <sheetData sheetId="4475"/>
      <sheetData sheetId="4476"/>
      <sheetData sheetId="4477"/>
      <sheetData sheetId="4478"/>
      <sheetData sheetId="4479"/>
      <sheetData sheetId="4480"/>
      <sheetData sheetId="4481"/>
      <sheetData sheetId="4482"/>
      <sheetData sheetId="4483"/>
      <sheetData sheetId="4484"/>
      <sheetData sheetId="4485"/>
      <sheetData sheetId="4486"/>
      <sheetData sheetId="4487"/>
      <sheetData sheetId="4488"/>
      <sheetData sheetId="4489"/>
      <sheetData sheetId="4490"/>
      <sheetData sheetId="4491"/>
      <sheetData sheetId="4492"/>
      <sheetData sheetId="4493"/>
      <sheetData sheetId="4494"/>
      <sheetData sheetId="4495"/>
      <sheetData sheetId="4496"/>
      <sheetData sheetId="4497"/>
      <sheetData sheetId="4498"/>
      <sheetData sheetId="4499"/>
      <sheetData sheetId="4500"/>
      <sheetData sheetId="4501"/>
      <sheetData sheetId="4502"/>
      <sheetData sheetId="4503"/>
      <sheetData sheetId="4504"/>
      <sheetData sheetId="4505"/>
      <sheetData sheetId="4506"/>
      <sheetData sheetId="4507"/>
      <sheetData sheetId="4508"/>
      <sheetData sheetId="4509"/>
      <sheetData sheetId="4510"/>
      <sheetData sheetId="4511"/>
      <sheetData sheetId="4512"/>
      <sheetData sheetId="4513"/>
      <sheetData sheetId="4514"/>
      <sheetData sheetId="4515"/>
      <sheetData sheetId="4516"/>
      <sheetData sheetId="4517"/>
      <sheetData sheetId="4518"/>
      <sheetData sheetId="4519"/>
      <sheetData sheetId="4520"/>
      <sheetData sheetId="4521"/>
      <sheetData sheetId="4522"/>
      <sheetData sheetId="4523"/>
      <sheetData sheetId="4524"/>
      <sheetData sheetId="4525"/>
      <sheetData sheetId="4526"/>
      <sheetData sheetId="4527"/>
      <sheetData sheetId="4528"/>
      <sheetData sheetId="4529"/>
      <sheetData sheetId="4530"/>
      <sheetData sheetId="4531"/>
      <sheetData sheetId="4532"/>
      <sheetData sheetId="4533"/>
      <sheetData sheetId="4534"/>
      <sheetData sheetId="4535"/>
      <sheetData sheetId="4536"/>
      <sheetData sheetId="4537"/>
      <sheetData sheetId="4538"/>
      <sheetData sheetId="4539"/>
      <sheetData sheetId="4540"/>
      <sheetData sheetId="4541"/>
      <sheetData sheetId="4542"/>
      <sheetData sheetId="4543"/>
      <sheetData sheetId="4544"/>
      <sheetData sheetId="4545"/>
      <sheetData sheetId="4546"/>
      <sheetData sheetId="4547"/>
      <sheetData sheetId="4548"/>
      <sheetData sheetId="4549"/>
      <sheetData sheetId="4550"/>
      <sheetData sheetId="4551"/>
      <sheetData sheetId="4552"/>
      <sheetData sheetId="4553"/>
      <sheetData sheetId="4554"/>
      <sheetData sheetId="4555"/>
      <sheetData sheetId="4556"/>
      <sheetData sheetId="4557"/>
      <sheetData sheetId="4558"/>
      <sheetData sheetId="4559"/>
      <sheetData sheetId="4560"/>
      <sheetData sheetId="4561"/>
      <sheetData sheetId="4562"/>
      <sheetData sheetId="4563"/>
      <sheetData sheetId="4564"/>
      <sheetData sheetId="4565"/>
      <sheetData sheetId="4566"/>
      <sheetData sheetId="4567"/>
      <sheetData sheetId="4568"/>
      <sheetData sheetId="4569"/>
      <sheetData sheetId="4570"/>
      <sheetData sheetId="4571"/>
      <sheetData sheetId="4572"/>
      <sheetData sheetId="4573"/>
      <sheetData sheetId="4574"/>
      <sheetData sheetId="4575"/>
      <sheetData sheetId="4576"/>
      <sheetData sheetId="4577"/>
      <sheetData sheetId="4578"/>
      <sheetData sheetId="4579"/>
      <sheetData sheetId="4580"/>
      <sheetData sheetId="4581"/>
      <sheetData sheetId="4582"/>
      <sheetData sheetId="4583"/>
      <sheetData sheetId="4584"/>
      <sheetData sheetId="4585"/>
      <sheetData sheetId="4586"/>
      <sheetData sheetId="4587"/>
      <sheetData sheetId="4588"/>
      <sheetData sheetId="4589"/>
      <sheetData sheetId="4590"/>
      <sheetData sheetId="4591"/>
      <sheetData sheetId="4592"/>
      <sheetData sheetId="4593"/>
      <sheetData sheetId="4594"/>
      <sheetData sheetId="4595"/>
      <sheetData sheetId="4596"/>
      <sheetData sheetId="4597"/>
      <sheetData sheetId="4598"/>
      <sheetData sheetId="4599"/>
      <sheetData sheetId="4600"/>
      <sheetData sheetId="4601"/>
      <sheetData sheetId="4602"/>
      <sheetData sheetId="4603"/>
      <sheetData sheetId="4604"/>
      <sheetData sheetId="4605"/>
      <sheetData sheetId="4606"/>
      <sheetData sheetId="4607"/>
      <sheetData sheetId="4608"/>
      <sheetData sheetId="4609"/>
      <sheetData sheetId="4610"/>
      <sheetData sheetId="4611"/>
      <sheetData sheetId="4612"/>
      <sheetData sheetId="4613"/>
      <sheetData sheetId="4614"/>
      <sheetData sheetId="4615"/>
      <sheetData sheetId="4616"/>
      <sheetData sheetId="4617"/>
      <sheetData sheetId="4618"/>
      <sheetData sheetId="4619"/>
      <sheetData sheetId="4620"/>
      <sheetData sheetId="4621"/>
      <sheetData sheetId="4622"/>
      <sheetData sheetId="4623"/>
      <sheetData sheetId="4624"/>
      <sheetData sheetId="4625"/>
      <sheetData sheetId="4626"/>
      <sheetData sheetId="4627"/>
      <sheetData sheetId="4628"/>
      <sheetData sheetId="4629"/>
      <sheetData sheetId="4630"/>
      <sheetData sheetId="4631"/>
      <sheetData sheetId="4632"/>
      <sheetData sheetId="4633"/>
      <sheetData sheetId="4634"/>
      <sheetData sheetId="4635"/>
      <sheetData sheetId="4636"/>
      <sheetData sheetId="4637"/>
      <sheetData sheetId="4638"/>
      <sheetData sheetId="4639"/>
      <sheetData sheetId="4640"/>
      <sheetData sheetId="4641"/>
      <sheetData sheetId="4642"/>
      <sheetData sheetId="4643"/>
      <sheetData sheetId="4644"/>
      <sheetData sheetId="4645"/>
      <sheetData sheetId="4646"/>
      <sheetData sheetId="4647"/>
      <sheetData sheetId="4648"/>
      <sheetData sheetId="4649"/>
      <sheetData sheetId="4650"/>
      <sheetData sheetId="4651"/>
      <sheetData sheetId="4652"/>
      <sheetData sheetId="4653"/>
      <sheetData sheetId="4654"/>
      <sheetData sheetId="4655"/>
      <sheetData sheetId="4656"/>
      <sheetData sheetId="4657"/>
      <sheetData sheetId="4658"/>
      <sheetData sheetId="4659"/>
      <sheetData sheetId="4660"/>
      <sheetData sheetId="4661"/>
      <sheetData sheetId="4662"/>
      <sheetData sheetId="4663"/>
      <sheetData sheetId="4664"/>
      <sheetData sheetId="4665"/>
      <sheetData sheetId="4666"/>
      <sheetData sheetId="4667"/>
      <sheetData sheetId="4668"/>
      <sheetData sheetId="4669"/>
      <sheetData sheetId="4670"/>
      <sheetData sheetId="4671"/>
      <sheetData sheetId="4672"/>
      <sheetData sheetId="4673"/>
      <sheetData sheetId="4674"/>
      <sheetData sheetId="4675"/>
      <sheetData sheetId="4676"/>
      <sheetData sheetId="4677"/>
      <sheetData sheetId="4678"/>
      <sheetData sheetId="4679"/>
      <sheetData sheetId="4680"/>
      <sheetData sheetId="4681"/>
      <sheetData sheetId="4682"/>
      <sheetData sheetId="4683"/>
      <sheetData sheetId="4684"/>
      <sheetData sheetId="4685"/>
      <sheetData sheetId="4686"/>
      <sheetData sheetId="4687"/>
      <sheetData sheetId="4688"/>
      <sheetData sheetId="4689"/>
      <sheetData sheetId="4690"/>
      <sheetData sheetId="4691"/>
      <sheetData sheetId="4692"/>
      <sheetData sheetId="4693"/>
      <sheetData sheetId="4694"/>
      <sheetData sheetId="4695"/>
      <sheetData sheetId="4696"/>
      <sheetData sheetId="4697"/>
      <sheetData sheetId="4698"/>
      <sheetData sheetId="4699"/>
      <sheetData sheetId="4700"/>
      <sheetData sheetId="4701"/>
      <sheetData sheetId="4702"/>
      <sheetData sheetId="4703"/>
      <sheetData sheetId="4704"/>
      <sheetData sheetId="4705"/>
      <sheetData sheetId="4706"/>
      <sheetData sheetId="4707"/>
      <sheetData sheetId="4708"/>
      <sheetData sheetId="4709"/>
      <sheetData sheetId="4710"/>
      <sheetData sheetId="4711"/>
      <sheetData sheetId="4712"/>
      <sheetData sheetId="4713"/>
      <sheetData sheetId="4714"/>
      <sheetData sheetId="4715"/>
      <sheetData sheetId="4716"/>
      <sheetData sheetId="4717"/>
      <sheetData sheetId="4718"/>
      <sheetData sheetId="4719"/>
      <sheetData sheetId="4720"/>
      <sheetData sheetId="4721"/>
      <sheetData sheetId="4722"/>
      <sheetData sheetId="4723"/>
      <sheetData sheetId="4724"/>
      <sheetData sheetId="4725"/>
      <sheetData sheetId="4726"/>
      <sheetData sheetId="4727"/>
      <sheetData sheetId="4728"/>
      <sheetData sheetId="4729"/>
      <sheetData sheetId="4730"/>
      <sheetData sheetId="4731"/>
      <sheetData sheetId="4732"/>
      <sheetData sheetId="4733"/>
      <sheetData sheetId="4734"/>
      <sheetData sheetId="4735"/>
      <sheetData sheetId="4736"/>
      <sheetData sheetId="4737"/>
      <sheetData sheetId="4738"/>
      <sheetData sheetId="4739"/>
      <sheetData sheetId="4740"/>
      <sheetData sheetId="4741"/>
      <sheetData sheetId="4742"/>
      <sheetData sheetId="4743"/>
      <sheetData sheetId="4744"/>
      <sheetData sheetId="4745"/>
      <sheetData sheetId="4746"/>
      <sheetData sheetId="4747"/>
      <sheetData sheetId="4748"/>
      <sheetData sheetId="4749"/>
      <sheetData sheetId="4750"/>
      <sheetData sheetId="4751"/>
      <sheetData sheetId="4752"/>
      <sheetData sheetId="4753"/>
      <sheetData sheetId="4754"/>
      <sheetData sheetId="4755"/>
      <sheetData sheetId="4756"/>
      <sheetData sheetId="4757"/>
      <sheetData sheetId="4758"/>
      <sheetData sheetId="4759"/>
      <sheetData sheetId="4760"/>
      <sheetData sheetId="4761"/>
      <sheetData sheetId="4762"/>
      <sheetData sheetId="4763"/>
      <sheetData sheetId="4764"/>
      <sheetData sheetId="4765"/>
      <sheetData sheetId="4766"/>
      <sheetData sheetId="4767"/>
      <sheetData sheetId="4768"/>
      <sheetData sheetId="4769"/>
      <sheetData sheetId="4770"/>
      <sheetData sheetId="4771"/>
      <sheetData sheetId="4772"/>
      <sheetData sheetId="4773"/>
      <sheetData sheetId="4774"/>
      <sheetData sheetId="4775"/>
      <sheetData sheetId="4776"/>
      <sheetData sheetId="4777"/>
      <sheetData sheetId="4778"/>
      <sheetData sheetId="4779"/>
      <sheetData sheetId="4780"/>
      <sheetData sheetId="4781"/>
      <sheetData sheetId="4782"/>
      <sheetData sheetId="4783"/>
      <sheetData sheetId="4784"/>
      <sheetData sheetId="4785"/>
      <sheetData sheetId="4786"/>
      <sheetData sheetId="4787"/>
      <sheetData sheetId="4788"/>
      <sheetData sheetId="4789"/>
      <sheetData sheetId="4790"/>
      <sheetData sheetId="4791"/>
      <sheetData sheetId="4792"/>
      <sheetData sheetId="4793"/>
      <sheetData sheetId="4794"/>
      <sheetData sheetId="4795"/>
      <sheetData sheetId="4796"/>
      <sheetData sheetId="4797"/>
      <sheetData sheetId="4798"/>
      <sheetData sheetId="4799"/>
      <sheetData sheetId="4800"/>
      <sheetData sheetId="4801"/>
      <sheetData sheetId="4802"/>
      <sheetData sheetId="4803"/>
      <sheetData sheetId="4804"/>
      <sheetData sheetId="4805"/>
      <sheetData sheetId="4806"/>
      <sheetData sheetId="4807"/>
      <sheetData sheetId="4808"/>
      <sheetData sheetId="4809"/>
      <sheetData sheetId="4810"/>
      <sheetData sheetId="4811"/>
      <sheetData sheetId="4812"/>
      <sheetData sheetId="4813"/>
      <sheetData sheetId="4814"/>
      <sheetData sheetId="4815"/>
      <sheetData sheetId="4816"/>
      <sheetData sheetId="4817"/>
      <sheetData sheetId="4818"/>
      <sheetData sheetId="4819"/>
      <sheetData sheetId="4820"/>
      <sheetData sheetId="4821"/>
      <sheetData sheetId="4822"/>
      <sheetData sheetId="4823"/>
      <sheetData sheetId="4824"/>
      <sheetData sheetId="4825"/>
      <sheetData sheetId="4826"/>
      <sheetData sheetId="4827"/>
      <sheetData sheetId="4828"/>
      <sheetData sheetId="4829"/>
      <sheetData sheetId="4830"/>
      <sheetData sheetId="4831"/>
      <sheetData sheetId="4832"/>
      <sheetData sheetId="4833"/>
      <sheetData sheetId="4834"/>
      <sheetData sheetId="4835"/>
      <sheetData sheetId="4836"/>
      <sheetData sheetId="4837"/>
      <sheetData sheetId="4838"/>
      <sheetData sheetId="4839"/>
      <sheetData sheetId="4840"/>
      <sheetData sheetId="4841"/>
      <sheetData sheetId="4842"/>
      <sheetData sheetId="4843"/>
      <sheetData sheetId="4844"/>
      <sheetData sheetId="4845"/>
      <sheetData sheetId="4846"/>
      <sheetData sheetId="4847"/>
      <sheetData sheetId="4848"/>
      <sheetData sheetId="4849"/>
      <sheetData sheetId="4850"/>
      <sheetData sheetId="4851"/>
      <sheetData sheetId="4852"/>
      <sheetData sheetId="4853"/>
      <sheetData sheetId="4854"/>
      <sheetData sheetId="4855"/>
      <sheetData sheetId="4856"/>
      <sheetData sheetId="4857"/>
      <sheetData sheetId="4858"/>
      <sheetData sheetId="4859"/>
      <sheetData sheetId="4860"/>
      <sheetData sheetId="4861"/>
      <sheetData sheetId="4862"/>
      <sheetData sheetId="4863"/>
      <sheetData sheetId="4864"/>
      <sheetData sheetId="4865"/>
      <sheetData sheetId="4866"/>
      <sheetData sheetId="4867"/>
      <sheetData sheetId="4868"/>
      <sheetData sheetId="4869"/>
      <sheetData sheetId="4870"/>
      <sheetData sheetId="4871"/>
      <sheetData sheetId="4872"/>
      <sheetData sheetId="4873"/>
      <sheetData sheetId="4874"/>
      <sheetData sheetId="4875"/>
      <sheetData sheetId="4876"/>
      <sheetData sheetId="4877"/>
      <sheetData sheetId="4878"/>
      <sheetData sheetId="4879"/>
      <sheetData sheetId="4880"/>
      <sheetData sheetId="4881"/>
      <sheetData sheetId="4882"/>
      <sheetData sheetId="4883"/>
      <sheetData sheetId="4884"/>
      <sheetData sheetId="4885"/>
      <sheetData sheetId="4886"/>
      <sheetData sheetId="4887"/>
      <sheetData sheetId="4888"/>
      <sheetData sheetId="4889"/>
      <sheetData sheetId="4890"/>
      <sheetData sheetId="4891"/>
      <sheetData sheetId="4892"/>
      <sheetData sheetId="4893"/>
      <sheetData sheetId="4894"/>
      <sheetData sheetId="4895"/>
      <sheetData sheetId="4896"/>
      <sheetData sheetId="4897"/>
      <sheetData sheetId="4898"/>
      <sheetData sheetId="4899"/>
      <sheetData sheetId="4900"/>
      <sheetData sheetId="4901"/>
      <sheetData sheetId="4902"/>
      <sheetData sheetId="4903"/>
      <sheetData sheetId="4904"/>
      <sheetData sheetId="4905"/>
      <sheetData sheetId="4906"/>
      <sheetData sheetId="4907"/>
      <sheetData sheetId="4908"/>
      <sheetData sheetId="4909"/>
      <sheetData sheetId="4910"/>
      <sheetData sheetId="4911"/>
      <sheetData sheetId="4912"/>
      <sheetData sheetId="4913"/>
      <sheetData sheetId="4914"/>
      <sheetData sheetId="4915"/>
      <sheetData sheetId="4916"/>
      <sheetData sheetId="4917"/>
      <sheetData sheetId="4918"/>
      <sheetData sheetId="4919"/>
      <sheetData sheetId="4920"/>
      <sheetData sheetId="4921"/>
      <sheetData sheetId="4922"/>
      <sheetData sheetId="4923"/>
      <sheetData sheetId="4924"/>
      <sheetData sheetId="4925"/>
      <sheetData sheetId="4926"/>
      <sheetData sheetId="4927"/>
      <sheetData sheetId="4928"/>
      <sheetData sheetId="4929"/>
      <sheetData sheetId="4930"/>
      <sheetData sheetId="4931"/>
      <sheetData sheetId="4932"/>
      <sheetData sheetId="4933"/>
      <sheetData sheetId="4934"/>
      <sheetData sheetId="4935"/>
      <sheetData sheetId="4936"/>
      <sheetData sheetId="4937"/>
      <sheetData sheetId="4938"/>
      <sheetData sheetId="4939"/>
      <sheetData sheetId="4940"/>
      <sheetData sheetId="4941"/>
      <sheetData sheetId="4942"/>
      <sheetData sheetId="4943"/>
      <sheetData sheetId="4944"/>
      <sheetData sheetId="4945"/>
      <sheetData sheetId="4946"/>
      <sheetData sheetId="4947"/>
      <sheetData sheetId="4948"/>
      <sheetData sheetId="4949"/>
      <sheetData sheetId="4950"/>
      <sheetData sheetId="4951"/>
      <sheetData sheetId="4952"/>
      <sheetData sheetId="4953"/>
      <sheetData sheetId="4954"/>
      <sheetData sheetId="4955"/>
      <sheetData sheetId="4956"/>
      <sheetData sheetId="4957"/>
      <sheetData sheetId="4958"/>
      <sheetData sheetId="4959"/>
      <sheetData sheetId="4960"/>
      <sheetData sheetId="4961"/>
      <sheetData sheetId="4962"/>
      <sheetData sheetId="4963"/>
      <sheetData sheetId="4964"/>
      <sheetData sheetId="4965"/>
      <sheetData sheetId="4966"/>
      <sheetData sheetId="4967"/>
      <sheetData sheetId="4968"/>
      <sheetData sheetId="4969"/>
      <sheetData sheetId="4970"/>
      <sheetData sheetId="4971"/>
      <sheetData sheetId="4972"/>
      <sheetData sheetId="4973"/>
      <sheetData sheetId="4974"/>
      <sheetData sheetId="4975"/>
      <sheetData sheetId="4976"/>
      <sheetData sheetId="4977"/>
      <sheetData sheetId="4978"/>
      <sheetData sheetId="4979"/>
      <sheetData sheetId="4980"/>
      <sheetData sheetId="4981"/>
      <sheetData sheetId="4982"/>
      <sheetData sheetId="4983"/>
      <sheetData sheetId="4984"/>
      <sheetData sheetId="4985"/>
      <sheetData sheetId="4986"/>
      <sheetData sheetId="4987"/>
      <sheetData sheetId="4988"/>
      <sheetData sheetId="4989"/>
      <sheetData sheetId="4990"/>
      <sheetData sheetId="4991"/>
      <sheetData sheetId="4992"/>
      <sheetData sheetId="4993"/>
      <sheetData sheetId="4994"/>
      <sheetData sheetId="4995"/>
      <sheetData sheetId="4996"/>
      <sheetData sheetId="4997"/>
      <sheetData sheetId="4998"/>
      <sheetData sheetId="4999"/>
      <sheetData sheetId="5000"/>
      <sheetData sheetId="5001"/>
      <sheetData sheetId="5002"/>
      <sheetData sheetId="5003"/>
      <sheetData sheetId="5004"/>
      <sheetData sheetId="5005"/>
      <sheetData sheetId="5006"/>
      <sheetData sheetId="5007"/>
      <sheetData sheetId="5008"/>
      <sheetData sheetId="5009"/>
      <sheetData sheetId="5010"/>
      <sheetData sheetId="5011"/>
      <sheetData sheetId="5012"/>
      <sheetData sheetId="5013"/>
      <sheetData sheetId="5014"/>
      <sheetData sheetId="5015"/>
      <sheetData sheetId="5016"/>
      <sheetData sheetId="5017"/>
      <sheetData sheetId="5018"/>
      <sheetData sheetId="5019"/>
      <sheetData sheetId="5020"/>
      <sheetData sheetId="5021"/>
      <sheetData sheetId="5022"/>
      <sheetData sheetId="5023"/>
      <sheetData sheetId="5024"/>
      <sheetData sheetId="5025"/>
      <sheetData sheetId="5026"/>
      <sheetData sheetId="5027"/>
      <sheetData sheetId="5028"/>
      <sheetData sheetId="5029"/>
      <sheetData sheetId="5030"/>
      <sheetData sheetId="5031"/>
      <sheetData sheetId="5032"/>
      <sheetData sheetId="5033"/>
      <sheetData sheetId="5034"/>
      <sheetData sheetId="5035"/>
      <sheetData sheetId="5036"/>
      <sheetData sheetId="5037"/>
      <sheetData sheetId="5038"/>
      <sheetData sheetId="5039"/>
      <sheetData sheetId="5040"/>
      <sheetData sheetId="5041"/>
      <sheetData sheetId="5042"/>
      <sheetData sheetId="5043"/>
      <sheetData sheetId="5044"/>
      <sheetData sheetId="5045"/>
      <sheetData sheetId="5046"/>
      <sheetData sheetId="5047"/>
      <sheetData sheetId="5048"/>
      <sheetData sheetId="5049"/>
      <sheetData sheetId="5050"/>
      <sheetData sheetId="5051"/>
      <sheetData sheetId="5052"/>
      <sheetData sheetId="5053"/>
      <sheetData sheetId="5054"/>
      <sheetData sheetId="5055"/>
      <sheetData sheetId="5056"/>
      <sheetData sheetId="5057"/>
      <sheetData sheetId="5058"/>
      <sheetData sheetId="5059"/>
      <sheetData sheetId="5060"/>
      <sheetData sheetId="5061"/>
      <sheetData sheetId="5062"/>
      <sheetData sheetId="5063"/>
      <sheetData sheetId="5064"/>
      <sheetData sheetId="5065"/>
      <sheetData sheetId="5066"/>
      <sheetData sheetId="5067"/>
      <sheetData sheetId="5068"/>
      <sheetData sheetId="5069"/>
      <sheetData sheetId="5070"/>
      <sheetData sheetId="5071"/>
      <sheetData sheetId="5072"/>
      <sheetData sheetId="5073"/>
      <sheetData sheetId="5074"/>
      <sheetData sheetId="5075"/>
      <sheetData sheetId="5076"/>
      <sheetData sheetId="5077"/>
      <sheetData sheetId="5078"/>
      <sheetData sheetId="5079"/>
      <sheetData sheetId="5080"/>
      <sheetData sheetId="5081"/>
      <sheetData sheetId="5082"/>
      <sheetData sheetId="5083"/>
      <sheetData sheetId="5084"/>
      <sheetData sheetId="5085"/>
      <sheetData sheetId="5086"/>
      <sheetData sheetId="5087"/>
      <sheetData sheetId="5088"/>
      <sheetData sheetId="5089"/>
      <sheetData sheetId="5090"/>
      <sheetData sheetId="5091"/>
      <sheetData sheetId="5092"/>
      <sheetData sheetId="5093"/>
      <sheetData sheetId="5094"/>
      <sheetData sheetId="5095"/>
      <sheetData sheetId="5096"/>
      <sheetData sheetId="5097"/>
      <sheetData sheetId="5098"/>
      <sheetData sheetId="5099"/>
      <sheetData sheetId="5100"/>
      <sheetData sheetId="5101"/>
      <sheetData sheetId="5102"/>
      <sheetData sheetId="5103"/>
      <sheetData sheetId="5104"/>
      <sheetData sheetId="5105"/>
      <sheetData sheetId="5106"/>
      <sheetData sheetId="5107"/>
      <sheetData sheetId="5108"/>
      <sheetData sheetId="5109"/>
      <sheetData sheetId="5110"/>
      <sheetData sheetId="5111"/>
      <sheetData sheetId="5112"/>
      <sheetData sheetId="5113"/>
      <sheetData sheetId="5114"/>
      <sheetData sheetId="5115"/>
      <sheetData sheetId="5116"/>
      <sheetData sheetId="5117"/>
      <sheetData sheetId="5118"/>
      <sheetData sheetId="5119"/>
      <sheetData sheetId="5120"/>
      <sheetData sheetId="5121"/>
      <sheetData sheetId="5122"/>
      <sheetData sheetId="5123"/>
      <sheetData sheetId="5124"/>
      <sheetData sheetId="5125"/>
      <sheetData sheetId="5126"/>
      <sheetData sheetId="5127"/>
      <sheetData sheetId="5128"/>
      <sheetData sheetId="5129"/>
      <sheetData sheetId="5130"/>
      <sheetData sheetId="5131"/>
      <sheetData sheetId="5132"/>
      <sheetData sheetId="5133"/>
      <sheetData sheetId="5134"/>
      <sheetData sheetId="5135"/>
      <sheetData sheetId="5136"/>
      <sheetData sheetId="5137"/>
      <sheetData sheetId="5138"/>
      <sheetData sheetId="5139"/>
      <sheetData sheetId="5140"/>
      <sheetData sheetId="5141"/>
      <sheetData sheetId="5142"/>
      <sheetData sheetId="5143"/>
      <sheetData sheetId="5144"/>
      <sheetData sheetId="5145"/>
      <sheetData sheetId="5146"/>
      <sheetData sheetId="5147"/>
      <sheetData sheetId="5148"/>
      <sheetData sheetId="5149"/>
      <sheetData sheetId="5150"/>
      <sheetData sheetId="5151"/>
      <sheetData sheetId="5152"/>
      <sheetData sheetId="5153"/>
      <sheetData sheetId="5154"/>
      <sheetData sheetId="5155"/>
      <sheetData sheetId="5156"/>
      <sheetData sheetId="5157"/>
      <sheetData sheetId="5158"/>
      <sheetData sheetId="5159"/>
      <sheetData sheetId="5160"/>
      <sheetData sheetId="5161"/>
      <sheetData sheetId="5162"/>
      <sheetData sheetId="5163"/>
      <sheetData sheetId="5164"/>
      <sheetData sheetId="5165"/>
      <sheetData sheetId="5166"/>
      <sheetData sheetId="5167"/>
      <sheetData sheetId="5168"/>
      <sheetData sheetId="5169"/>
      <sheetData sheetId="5170"/>
      <sheetData sheetId="5171"/>
      <sheetData sheetId="5172"/>
      <sheetData sheetId="5173"/>
      <sheetData sheetId="5174"/>
      <sheetData sheetId="5175"/>
      <sheetData sheetId="5176"/>
      <sheetData sheetId="5177"/>
      <sheetData sheetId="5178"/>
      <sheetData sheetId="5179"/>
      <sheetData sheetId="5180"/>
      <sheetData sheetId="5181"/>
      <sheetData sheetId="5182"/>
      <sheetData sheetId="5183"/>
      <sheetData sheetId="5184"/>
      <sheetData sheetId="5185"/>
      <sheetData sheetId="5186"/>
      <sheetData sheetId="5187"/>
      <sheetData sheetId="5188"/>
      <sheetData sheetId="5189"/>
      <sheetData sheetId="5190"/>
      <sheetData sheetId="5191"/>
      <sheetData sheetId="5192"/>
      <sheetData sheetId="5193"/>
      <sheetData sheetId="5194"/>
      <sheetData sheetId="5195"/>
      <sheetData sheetId="5196"/>
      <sheetData sheetId="5197"/>
      <sheetData sheetId="5198"/>
      <sheetData sheetId="5199"/>
      <sheetData sheetId="5200"/>
      <sheetData sheetId="5201" refreshError="1"/>
      <sheetData sheetId="5202" refreshError="1"/>
      <sheetData sheetId="5203" refreshError="1"/>
      <sheetData sheetId="5204" refreshError="1"/>
      <sheetData sheetId="5205" refreshError="1"/>
      <sheetData sheetId="5206" refreshError="1"/>
      <sheetData sheetId="5207" refreshError="1"/>
      <sheetData sheetId="5208" refreshError="1"/>
      <sheetData sheetId="5209" refreshError="1"/>
      <sheetData sheetId="5210" refreshError="1"/>
      <sheetData sheetId="5211" refreshError="1"/>
      <sheetData sheetId="5212" refreshError="1"/>
      <sheetData sheetId="5213" refreshError="1"/>
      <sheetData sheetId="5214" refreshError="1"/>
      <sheetData sheetId="5215" refreshError="1"/>
      <sheetData sheetId="5216" refreshError="1"/>
      <sheetData sheetId="5217" refreshError="1"/>
      <sheetData sheetId="5218" refreshError="1"/>
      <sheetData sheetId="5219"/>
      <sheetData sheetId="5220"/>
      <sheetData sheetId="5221"/>
      <sheetData sheetId="5222"/>
      <sheetData sheetId="5223"/>
      <sheetData sheetId="5224"/>
      <sheetData sheetId="5225"/>
      <sheetData sheetId="5226"/>
      <sheetData sheetId="5227" refreshError="1"/>
      <sheetData sheetId="5228" refreshError="1"/>
      <sheetData sheetId="5229" refreshError="1"/>
      <sheetData sheetId="5230" refreshError="1"/>
      <sheetData sheetId="5231" refreshError="1"/>
      <sheetData sheetId="5232" refreshError="1"/>
      <sheetData sheetId="5233"/>
      <sheetData sheetId="5234"/>
      <sheetData sheetId="5235"/>
      <sheetData sheetId="5236"/>
      <sheetData sheetId="5237"/>
      <sheetData sheetId="5238"/>
      <sheetData sheetId="5239"/>
      <sheetData sheetId="5240"/>
      <sheetData sheetId="5241"/>
      <sheetData sheetId="5242"/>
      <sheetData sheetId="5243"/>
      <sheetData sheetId="5244"/>
      <sheetData sheetId="5245"/>
      <sheetData sheetId="5246"/>
      <sheetData sheetId="5247"/>
      <sheetData sheetId="5248"/>
      <sheetData sheetId="5249"/>
      <sheetData sheetId="5250"/>
      <sheetData sheetId="5251"/>
      <sheetData sheetId="5252" refreshError="1"/>
      <sheetData sheetId="5253" refreshError="1"/>
      <sheetData sheetId="5254"/>
      <sheetData sheetId="5255"/>
      <sheetData sheetId="5256"/>
      <sheetData sheetId="5257"/>
      <sheetData sheetId="5258"/>
      <sheetData sheetId="5259"/>
      <sheetData sheetId="5260"/>
      <sheetData sheetId="5261"/>
      <sheetData sheetId="5262"/>
      <sheetData sheetId="5263" refreshError="1"/>
      <sheetData sheetId="5264" refreshError="1"/>
      <sheetData sheetId="5265" refreshError="1"/>
      <sheetData sheetId="5266" refreshError="1"/>
      <sheetData sheetId="5267" refreshError="1"/>
      <sheetData sheetId="5268" refreshError="1"/>
      <sheetData sheetId="5269" refreshError="1"/>
      <sheetData sheetId="5270" refreshError="1"/>
      <sheetData sheetId="5271" refreshError="1"/>
      <sheetData sheetId="5272" refreshError="1"/>
      <sheetData sheetId="5273" refreshError="1"/>
      <sheetData sheetId="5274" refreshError="1"/>
      <sheetData sheetId="5275" refreshError="1"/>
      <sheetData sheetId="5276"/>
      <sheetData sheetId="5277" refreshError="1"/>
      <sheetData sheetId="5278" refreshError="1"/>
      <sheetData sheetId="5279" refreshError="1"/>
      <sheetData sheetId="5280" refreshError="1"/>
      <sheetData sheetId="5281" refreshError="1"/>
      <sheetData sheetId="5282" refreshError="1"/>
      <sheetData sheetId="5283" refreshError="1"/>
      <sheetData sheetId="5284" refreshError="1"/>
      <sheetData sheetId="5285" refreshError="1"/>
      <sheetData sheetId="5286"/>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目次"/>
      <sheetName val="お願い"/>
      <sheetName val="ユーザーカスタマイズ手順"/>
      <sheetName val="基礎知識"/>
      <sheetName val="Config - dspmgr"/>
      <sheetName val="【非表示】Work"/>
      <sheetName val="【非表示】Core"/>
      <sheetName val="Config - swdtctr"/>
      <sheetName val="Config - dspmainctl"/>
      <sheetName val="dspmaincfg"/>
      <sheetName val="【作成中】dspmaincfg_form"/>
      <sheetName val="Mainscrl"/>
      <sheetName val="Welcome"/>
      <sheetName val="OdoTrip (1SW)"/>
      <sheetName val="OdoTrip (2SW)"/>
      <sheetName val="Diagdsp"/>
      <sheetName val="Blank"/>
      <sheetName val="Opening"/>
      <sheetName val="Ending"/>
      <sheetName val="STM"/>
      <sheetName val="担当者"/>
      <sheetName val="用語"/>
      <sheetName val="変更履歴"/>
      <sheetName val="【旧2】dspmgr"/>
      <sheetName val="【参考】Core (14xL)"/>
      <sheetName val="※参考1"/>
      <sheetName val="※参考2"/>
      <sheetName val="【旧】dspmgr"/>
      <sheetName val="XSSマイコン依存部 (基本設定)"/>
      <sheetName val="設定値定義"/>
      <sheetName val="階層一覧"/>
      <sheetName val="車両仕様"/>
      <sheetName val="2003S_CR込み"/>
      <sheetName val="パラメータ一覧(AXSS.AXCS)"/>
      <sheetName val="ドメインリスト"/>
      <sheetName val="入力パラメータ"/>
      <sheetName val="多言語翻訳リスト"/>
      <sheetName val="リストデータ"/>
      <sheetName val="議事・勧告一覧"/>
      <sheetName val="課題管理"/>
      <sheetName val="集計"/>
      <sheetName val="検査シート"/>
      <sheetName val="エンジン型式"/>
      <sheetName val="Guide(Approach）"/>
      <sheetName val="Data Definition"/>
      <sheetName val="信息定义"/>
      <sheetName val="表紙"/>
      <sheetName val="調査シート"/>
      <sheetName val="PullDown"/>
      <sheetName val="发行控制"/>
      <sheetName val="1.概述"/>
      <sheetName val="分类数据"/>
      <sheetName val="rom map"/>
      <sheetName val="100万未満"/>
      <sheetName val="RAM_FMEA_CS（FMEA記載方法）"/>
      <sheetName val="選択肢定義"/>
      <sheetName val="集計(1)"/>
      <sheetName val="FBtbl"/>
      <sheetName val="同行评审"/>
      <sheetName val="引言"/>
      <sheetName val="ｲﾝﾊﾟｸﾄ影響台数集計表"/>
      <sheetName val="実勢(売上)台数表"/>
      <sheetName val="月別企画台数表"/>
      <sheetName val="プロジェクト一覧表(現行)"/>
      <sheetName val="限界利益表(半期別)"/>
      <sheetName val="機種マスタ"/>
      <sheetName val="機種ﾏｽﾀ（他車）"/>
      <sheetName val="売上高表(半期別)"/>
      <sheetName val="Inf"/>
      <sheetName val="字段定义"/>
      <sheetName val="Sheet1"/>
      <sheetName val="#REF!"/>
      <sheetName val="Q&amp;A確認"/>
      <sheetName val="MDL製造仕様書"/>
      <sheetName val="#改訂履歴_"/>
      <sheetName val="選定一覧"/>
      <sheetName val="集計表"/>
      <sheetName val="リソーセス算出"/>
      <sheetName val="定義"/>
      <sheetName val="STEP1-Definition"/>
      <sheetName val="DataTable"/>
      <sheetName val="5. 項目一覧"/>
      <sheetName val="_UnderConst_Analysis"/>
      <sheetName val="アップロード系(2)"/>
      <sheetName val="List"/>
      <sheetName val="別紙7_操作系イベント発生時_"/>
      <sheetName val="別紙11_各競合条件における起動可否_"/>
      <sheetName val="index"/>
      <sheetName val="パラメータ設定表"/>
      <sheetName val="改訂履歴"/>
      <sheetName val="リスト"/>
      <sheetName val="ドメイン"/>
      <sheetName val="format"/>
      <sheetName val="入力"/>
      <sheetName val="415T戟L"/>
      <sheetName val="No.31"/>
      <sheetName val="Navigation"/>
      <sheetName val="Cover"/>
      <sheetName val="DataList"/>
      <sheetName val="変更要件"/>
      <sheetName val="【石倉編集中】DisplayStateTransitionTa"/>
      <sheetName val="DetailSequence"/>
      <sheetName val="R0-10表紙"/>
      <sheetName val="Calcul"/>
      <sheetName val="Data"/>
      <sheetName val="★VarUsed"/>
      <sheetName val="輝度計算(直線用)"/>
      <sheetName val="コード_dimautocon"/>
      <sheetName val="パラメータ_dimautocon"/>
      <sheetName val="パラメータ_dimcalprcnt"/>
      <sheetName val="パラメータ_dimmanualstep"/>
      <sheetName val="パラメータ_dimmgr"/>
      <sheetName val="XX-0080"/>
      <sheetName val="メッセージ定義"/>
      <sheetName val="XX-0180"/>
      <sheetName val="lock"/>
      <sheetName val="level"/>
      <sheetName val="cominf"/>
      <sheetName val="disconnect"/>
      <sheetName val="９ｘ"/>
      <sheetName val="Ｂｘ"/>
      <sheetName val="Ｃｘ"/>
      <sheetName val="Ｅｘ"/>
      <sheetName val="休日"/>
      <sheetName val="HMI-004_Screen（old）"/>
      <sheetName val="ﾊﾟｲﾌﾟ"/>
      <sheetName val="冷延鋼板"/>
      <sheetName val="熱延鋼板"/>
      <sheetName val="他材料費"/>
      <sheetName val="MOTO"/>
      <sheetName val="前提書情報"/>
      <sheetName val="②P071中計　工数パターン1312更新"/>
      <sheetName val="module"/>
      <sheetName val="選択肢"/>
      <sheetName val="vocabulary"/>
      <sheetName val="メニュー"/>
      <sheetName val="Calibration"/>
      <sheetName val="R0-10表紙MIC"/>
      <sheetName val="CVBS"/>
      <sheetName val="修正ﾌｧｲﾙ一覧"/>
      <sheetName val="RGB"/>
      <sheetName val="415T原"/>
      <sheetName val="工数ｺｰﾄﾞﾘｽﾄ"/>
      <sheetName val="Setting_Check"/>
      <sheetName val="用語集"/>
      <sheetName val="工数ｺｰﾄﾞﾌﾟﾙﾀﾞｳﾝﾘｽﾄ"/>
      <sheetName val="NAVI"/>
      <sheetName val="入力規則"/>
      <sheetName val="macro1"/>
      <sheetName val="発見した問題点"/>
      <sheetName val="★EngType"/>
      <sheetName val="★rom map_DevelopVarSel"/>
      <sheetName val="★rom map_EngType"/>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5" Type="http://schemas.openxmlformats.org/officeDocument/2006/relationships/image" Target="../media/image1.emf"/><Relationship Id="rId4" Type="http://schemas.openxmlformats.org/officeDocument/2006/relationships/oleObject" Target="../embeddings/oleObject1.bin"/></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s://aip01.dndev.net/bitbucket/scm/aip_tp/tmcapp_ict1_alert.git" TargetMode="External"/></Relationships>
</file>

<file path=xl/worksheets/_rels/sheet3.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hyperlink" Target="https://aip01.dndev.net/svn/aip/tmcapp/sd/evidence/trunk/02_Design/01_Vom/Alert/03_Component/alert_design.pptx" TargetMode="External"/></Relationships>
</file>

<file path=xl/worksheets/_rels/sheet4.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2.vml"/></Relationships>
</file>

<file path=xl/worksheets/_rels/sheet5.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3.v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4.v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9.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5.vml"/><Relationship Id="rId1" Type="http://schemas.openxmlformats.org/officeDocument/2006/relationships/drawing" Target="../drawings/drawing4.xml"/></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CBC8B7-1CEC-45D9-937A-C073E2182783}">
  <sheetPr>
    <tabColor theme="5"/>
  </sheetPr>
  <dimension ref="C1:AM57"/>
  <sheetViews>
    <sheetView showGridLines="0" view="pageBreakPreview" zoomScaleNormal="100" zoomScaleSheetLayoutView="100" workbookViewId="0">
      <selection activeCell="T29" sqref="T29"/>
    </sheetView>
  </sheetViews>
  <sheetFormatPr defaultColWidth="8.125" defaultRowHeight="15.75"/>
  <cols>
    <col min="1" max="52" width="2.125" style="300" customWidth="1"/>
    <col min="53" max="16384" width="8.125" style="300"/>
  </cols>
  <sheetData>
    <row r="1" spans="6:20" ht="13.15" customHeight="1"/>
    <row r="2" spans="6:20" ht="13.15" customHeight="1"/>
    <row r="3" spans="6:20" ht="13.15" customHeight="1"/>
    <row r="4" spans="6:20" ht="13.15" customHeight="1"/>
    <row r="5" spans="6:20" ht="13.15" customHeight="1"/>
    <row r="6" spans="6:20" ht="13.15" customHeight="1"/>
    <row r="7" spans="6:20" ht="13.15" customHeight="1"/>
    <row r="8" spans="6:20" ht="13.15" customHeight="1"/>
    <row r="9" spans="6:20" ht="13.15" customHeight="1"/>
    <row r="10" spans="6:20" ht="13.15" customHeight="1">
      <c r="F10" s="301"/>
    </row>
    <row r="11" spans="6:20" ht="13.15" customHeight="1"/>
    <row r="12" spans="6:20" ht="13.15" customHeight="1"/>
    <row r="13" spans="6:20" ht="13.15" customHeight="1">
      <c r="T13" s="302" t="str">
        <f ca="1">MID(CELL("filename",A1),FIND("[",CELL("filename",A1))+1,FIND("]",CELL("filename",A1))-FIND("[",CELL("filename",A1))-1)</f>
        <v>alert_S_ADBZR_CSR-CSTD-0-06-A-C0.xlsx</v>
      </c>
    </row>
    <row r="14" spans="6:20" ht="13.15" customHeight="1"/>
    <row r="15" spans="6:20" ht="13.15" customHeight="1"/>
    <row r="16" spans="6:20" ht="13.15" customHeight="1"/>
    <row r="17" spans="3:22" ht="13.15" customHeight="1"/>
    <row r="18" spans="3:22" ht="13.15" customHeight="1"/>
    <row r="19" spans="3:22" ht="13.15" customHeight="1"/>
    <row r="20" spans="3:22" ht="13.15" customHeight="1"/>
    <row r="21" spans="3:22" ht="13.15" customHeight="1"/>
    <row r="22" spans="3:22" ht="13.15" customHeight="1"/>
    <row r="23" spans="3:22" ht="13.15" customHeight="1"/>
    <row r="24" spans="3:22" ht="13.15" customHeight="1"/>
    <row r="25" spans="3:22" ht="13.15" customHeight="1"/>
    <row r="26" spans="3:22" ht="13.15" customHeight="1"/>
    <row r="27" spans="3:22" ht="13.15" customHeight="1"/>
    <row r="28" spans="3:22" ht="13.15" customHeight="1"/>
    <row r="29" spans="3:22" ht="13.15" customHeight="1"/>
    <row r="30" spans="3:22" ht="13.15" customHeight="1"/>
    <row r="31" spans="3:22" ht="13.15" customHeight="1"/>
    <row r="32" spans="3:22" ht="13.15" customHeight="1">
      <c r="C32" s="303"/>
      <c r="V32" s="303"/>
    </row>
    <row r="33" spans="3:39" ht="13.15" customHeight="1">
      <c r="M33" s="304"/>
      <c r="N33" s="304"/>
      <c r="O33" s="304"/>
      <c r="P33" s="304"/>
      <c r="Q33" s="304"/>
      <c r="AF33" s="304"/>
      <c r="AG33" s="304"/>
      <c r="AH33" s="304"/>
      <c r="AI33" s="304"/>
      <c r="AJ33" s="304"/>
    </row>
    <row r="34" spans="3:39" ht="13.15" customHeight="1">
      <c r="Y34" s="303" t="s">
        <v>410</v>
      </c>
    </row>
    <row r="35" spans="3:39" ht="13.15" customHeight="1">
      <c r="Y35" s="321" t="s">
        <v>396</v>
      </c>
      <c r="Z35" s="322"/>
      <c r="AA35" s="322"/>
      <c r="AB35" s="322"/>
      <c r="AC35" s="323"/>
      <c r="AD35" s="321" t="s">
        <v>397</v>
      </c>
      <c r="AE35" s="322"/>
      <c r="AF35" s="322"/>
      <c r="AG35" s="322"/>
      <c r="AH35" s="323"/>
      <c r="AI35" s="321" t="s">
        <v>398</v>
      </c>
      <c r="AJ35" s="322"/>
      <c r="AK35" s="322"/>
      <c r="AL35" s="322"/>
      <c r="AM35" s="323"/>
    </row>
    <row r="36" spans="3:39" ht="13.15" customHeight="1">
      <c r="D36" s="304"/>
      <c r="E36" s="305"/>
      <c r="F36" s="304"/>
      <c r="G36" s="304"/>
      <c r="I36" s="304"/>
      <c r="J36" s="305"/>
      <c r="K36" s="304"/>
      <c r="L36" s="304"/>
      <c r="M36" s="304"/>
      <c r="N36" s="304"/>
      <c r="O36" s="305"/>
      <c r="P36" s="304"/>
      <c r="Q36" s="304"/>
      <c r="W36" s="304"/>
      <c r="X36" s="305"/>
      <c r="Y36" s="306"/>
      <c r="Z36" s="307"/>
      <c r="AA36" s="307"/>
      <c r="AB36" s="307"/>
      <c r="AC36" s="308"/>
      <c r="AD36" s="306"/>
      <c r="AE36" s="307"/>
      <c r="AF36" s="307"/>
      <c r="AG36" s="307"/>
      <c r="AH36" s="308"/>
      <c r="AI36" s="306"/>
      <c r="AJ36" s="307"/>
      <c r="AK36" s="307"/>
      <c r="AL36" s="307"/>
      <c r="AM36" s="308"/>
    </row>
    <row r="37" spans="3:39" ht="13.15" customHeight="1">
      <c r="Y37" s="309"/>
      <c r="AC37" s="310"/>
      <c r="AD37" s="309"/>
      <c r="AH37" s="310"/>
      <c r="AI37" s="309"/>
      <c r="AM37" s="310"/>
    </row>
    <row r="38" spans="3:39" ht="13.15" customHeight="1">
      <c r="Y38" s="309"/>
      <c r="Z38" s="304"/>
      <c r="AA38" s="305" t="s">
        <v>399</v>
      </c>
      <c r="AB38" s="304"/>
      <c r="AC38" s="311"/>
      <c r="AD38" s="309"/>
      <c r="AE38" s="304"/>
      <c r="AF38" s="305" t="s">
        <v>400</v>
      </c>
      <c r="AG38" s="304"/>
      <c r="AH38" s="311"/>
      <c r="AI38" s="312"/>
      <c r="AJ38" s="304"/>
      <c r="AK38" s="305" t="s">
        <v>401</v>
      </c>
      <c r="AL38" s="304"/>
      <c r="AM38" s="311"/>
    </row>
    <row r="39" spans="3:39" ht="13.15" customHeight="1">
      <c r="Y39" s="309"/>
      <c r="AC39" s="310"/>
      <c r="AD39" s="309"/>
      <c r="AH39" s="310"/>
      <c r="AI39" s="309"/>
      <c r="AM39" s="310"/>
    </row>
    <row r="40" spans="3:39" ht="13.15" customHeight="1">
      <c r="C40" s="303"/>
      <c r="V40" s="303"/>
      <c r="Y40" s="313"/>
      <c r="Z40" s="314"/>
      <c r="AA40" s="314"/>
      <c r="AB40" s="314"/>
      <c r="AC40" s="315"/>
      <c r="AD40" s="313"/>
      <c r="AE40" s="314"/>
      <c r="AF40" s="314"/>
      <c r="AG40" s="314"/>
      <c r="AH40" s="315"/>
      <c r="AI40" s="313"/>
      <c r="AJ40" s="314"/>
      <c r="AK40" s="314"/>
      <c r="AL40" s="314"/>
      <c r="AM40" s="315"/>
    </row>
    <row r="41" spans="3:39" ht="13.15" customHeight="1"/>
    <row r="42" spans="3:39" ht="13.15" customHeight="1">
      <c r="Y42" s="303" t="s">
        <v>402</v>
      </c>
    </row>
    <row r="43" spans="3:39" ht="13.15" customHeight="1">
      <c r="Y43" s="321" t="s">
        <v>396</v>
      </c>
      <c r="Z43" s="322"/>
      <c r="AA43" s="322"/>
      <c r="AB43" s="322"/>
      <c r="AC43" s="323"/>
      <c r="AD43" s="321" t="s">
        <v>397</v>
      </c>
      <c r="AE43" s="322"/>
      <c r="AF43" s="322"/>
      <c r="AG43" s="322"/>
      <c r="AH43" s="323"/>
      <c r="AI43" s="321" t="s">
        <v>398</v>
      </c>
      <c r="AJ43" s="322"/>
      <c r="AK43" s="322"/>
      <c r="AL43" s="322"/>
      <c r="AM43" s="323"/>
    </row>
    <row r="44" spans="3:39" ht="13.15" customHeight="1">
      <c r="D44" s="304"/>
      <c r="E44" s="305"/>
      <c r="F44" s="304"/>
      <c r="G44" s="304"/>
      <c r="H44" s="304"/>
      <c r="I44" s="304"/>
      <c r="J44" s="305"/>
      <c r="K44" s="304"/>
      <c r="L44" s="304"/>
      <c r="M44" s="304"/>
      <c r="N44" s="304"/>
      <c r="O44" s="305"/>
      <c r="P44" s="304"/>
      <c r="Q44" s="304"/>
      <c r="W44" s="304"/>
      <c r="X44" s="305"/>
      <c r="Y44" s="306"/>
      <c r="Z44" s="307"/>
      <c r="AA44" s="307"/>
      <c r="AB44" s="307"/>
      <c r="AC44" s="308"/>
      <c r="AD44" s="307"/>
      <c r="AE44" s="307"/>
      <c r="AF44" s="307"/>
      <c r="AG44" s="307"/>
      <c r="AH44" s="308"/>
      <c r="AI44" s="306"/>
      <c r="AJ44" s="307"/>
      <c r="AK44" s="307"/>
      <c r="AL44" s="307"/>
      <c r="AM44" s="308"/>
    </row>
    <row r="45" spans="3:39" ht="13.15" customHeight="1">
      <c r="Y45" s="309"/>
      <c r="AC45" s="310"/>
      <c r="AH45" s="310"/>
      <c r="AI45" s="309"/>
      <c r="AM45" s="310"/>
    </row>
    <row r="46" spans="3:39" ht="13.15" customHeight="1">
      <c r="Y46" s="309"/>
      <c r="Z46" s="304"/>
      <c r="AA46" s="305" t="s">
        <v>403</v>
      </c>
      <c r="AB46" s="304"/>
      <c r="AC46" s="311"/>
      <c r="AD46" s="304"/>
      <c r="AE46" s="304"/>
      <c r="AF46" s="305" t="s">
        <v>404</v>
      </c>
      <c r="AG46" s="304"/>
      <c r="AH46" s="311"/>
      <c r="AI46" s="312"/>
      <c r="AJ46" s="304"/>
      <c r="AK46" s="305" t="s">
        <v>405</v>
      </c>
      <c r="AL46" s="304"/>
      <c r="AM46" s="311"/>
    </row>
    <row r="47" spans="3:39" ht="13.15" customHeight="1">
      <c r="Y47" s="309"/>
      <c r="AC47" s="310"/>
      <c r="AH47" s="310"/>
      <c r="AI47" s="309"/>
      <c r="AM47" s="310"/>
    </row>
    <row r="48" spans="3:39" ht="13.15" customHeight="1">
      <c r="C48" s="303"/>
      <c r="V48" s="303"/>
      <c r="Y48" s="313"/>
      <c r="Z48" s="314"/>
      <c r="AA48" s="314"/>
      <c r="AB48" s="314"/>
      <c r="AC48" s="315"/>
      <c r="AD48" s="314"/>
      <c r="AE48" s="314"/>
      <c r="AF48" s="314"/>
      <c r="AG48" s="314"/>
      <c r="AH48" s="315"/>
      <c r="AI48" s="313"/>
      <c r="AJ48" s="314"/>
      <c r="AK48" s="314"/>
      <c r="AL48" s="314"/>
      <c r="AM48" s="315"/>
    </row>
    <row r="49" spans="4:39" ht="13.15" customHeight="1"/>
    <row r="50" spans="4:39" ht="13.15" customHeight="1">
      <c r="Y50" s="303" t="s">
        <v>406</v>
      </c>
    </row>
    <row r="51" spans="4:39" ht="13.15" customHeight="1">
      <c r="Y51" s="321" t="s">
        <v>396</v>
      </c>
      <c r="Z51" s="322"/>
      <c r="AA51" s="322"/>
      <c r="AB51" s="322"/>
      <c r="AC51" s="323"/>
      <c r="AD51" s="321" t="s">
        <v>397</v>
      </c>
      <c r="AE51" s="322"/>
      <c r="AF51" s="322"/>
      <c r="AG51" s="322"/>
      <c r="AH51" s="323"/>
      <c r="AI51" s="321" t="s">
        <v>398</v>
      </c>
      <c r="AJ51" s="322"/>
      <c r="AK51" s="322"/>
      <c r="AL51" s="322"/>
      <c r="AM51" s="323"/>
    </row>
    <row r="52" spans="4:39" ht="13.15" customHeight="1">
      <c r="D52" s="304"/>
      <c r="E52" s="305"/>
      <c r="F52" s="304"/>
      <c r="G52" s="304"/>
      <c r="H52" s="304"/>
      <c r="I52" s="304"/>
      <c r="J52" s="305"/>
      <c r="K52" s="304"/>
      <c r="L52" s="304"/>
      <c r="M52" s="304"/>
      <c r="N52" s="304"/>
      <c r="O52" s="305"/>
      <c r="P52" s="304"/>
      <c r="Q52" s="304"/>
      <c r="W52" s="304"/>
      <c r="X52" s="305"/>
      <c r="Y52" s="306"/>
      <c r="Z52" s="307"/>
      <c r="AA52" s="307"/>
      <c r="AB52" s="307"/>
      <c r="AC52" s="308"/>
      <c r="AD52" s="307"/>
      <c r="AE52" s="307"/>
      <c r="AF52" s="307"/>
      <c r="AG52" s="307"/>
      <c r="AH52" s="308"/>
      <c r="AI52" s="306"/>
      <c r="AJ52" s="307"/>
      <c r="AK52" s="307"/>
      <c r="AL52" s="307"/>
      <c r="AM52" s="308"/>
    </row>
    <row r="53" spans="4:39" ht="13.15" customHeight="1">
      <c r="Y53" s="309"/>
      <c r="AC53" s="310"/>
      <c r="AH53" s="310"/>
      <c r="AI53" s="309"/>
      <c r="AM53" s="310"/>
    </row>
    <row r="54" spans="4:39" ht="13.15" customHeight="1">
      <c r="Y54" s="309"/>
      <c r="Z54" s="304"/>
      <c r="AA54" s="305" t="s">
        <v>407</v>
      </c>
      <c r="AB54" s="304"/>
      <c r="AC54" s="311"/>
      <c r="AD54" s="304"/>
      <c r="AE54" s="304"/>
      <c r="AF54" s="305" t="s">
        <v>408</v>
      </c>
      <c r="AG54" s="304"/>
      <c r="AH54" s="311"/>
      <c r="AI54" s="312"/>
      <c r="AJ54" s="304"/>
      <c r="AK54" s="305" t="s">
        <v>401</v>
      </c>
      <c r="AL54" s="304"/>
      <c r="AM54" s="311"/>
    </row>
    <row r="55" spans="4:39" ht="13.15" customHeight="1">
      <c r="Y55" s="309"/>
      <c r="AC55" s="310"/>
      <c r="AH55" s="310"/>
      <c r="AI55" s="309"/>
      <c r="AM55" s="310"/>
    </row>
    <row r="56" spans="4:39" ht="13.15" customHeight="1">
      <c r="Y56" s="313"/>
      <c r="Z56" s="314"/>
      <c r="AA56" s="314"/>
      <c r="AB56" s="314"/>
      <c r="AC56" s="315"/>
      <c r="AD56" s="314"/>
      <c r="AE56" s="314"/>
      <c r="AF56" s="314"/>
      <c r="AG56" s="314"/>
      <c r="AH56" s="315"/>
      <c r="AI56" s="313"/>
      <c r="AJ56" s="314"/>
      <c r="AK56" s="314"/>
      <c r="AL56" s="314"/>
      <c r="AM56" s="315"/>
    </row>
    <row r="57" spans="4:39" ht="13.15" customHeight="1">
      <c r="AK57" s="300" t="s">
        <v>409</v>
      </c>
    </row>
  </sheetData>
  <mergeCells count="9">
    <mergeCell ref="Y51:AC51"/>
    <mergeCell ref="AD51:AH51"/>
    <mergeCell ref="AI51:AM51"/>
    <mergeCell ref="Y35:AC35"/>
    <mergeCell ref="AD35:AH35"/>
    <mergeCell ref="AI35:AM35"/>
    <mergeCell ref="Y43:AC43"/>
    <mergeCell ref="AD43:AH43"/>
    <mergeCell ref="AI43:AM43"/>
  </mergeCells>
  <phoneticPr fontId="2"/>
  <pageMargins left="0.7" right="0.7" top="0.75" bottom="0.75" header="0.3" footer="0.3"/>
  <pageSetup paperSize="9" scale="78" orientation="portrait" r:id="rId1"/>
  <drawing r:id="rId2"/>
  <legacyDrawing r:id="rId3"/>
  <oleObjects>
    <mc:AlternateContent xmlns:mc="http://schemas.openxmlformats.org/markup-compatibility/2006">
      <mc:Choice Requires="x14">
        <oleObject progId="Dstmp.StampObject.7" shapeId="21505" r:id="rId4">
          <objectPr defaultSize="0" autoPict="0" r:id="rId5">
            <anchor>
              <from>
                <xdr:col>35</xdr:col>
                <xdr:colOff>85725</xdr:colOff>
                <xdr:row>53</xdr:row>
                <xdr:rowOff>28575</xdr:rowOff>
              </from>
              <to>
                <xdr:col>38</xdr:col>
                <xdr:colOff>123825</xdr:colOff>
                <xdr:row>55</xdr:row>
                <xdr:rowOff>152400</xdr:rowOff>
              </to>
            </anchor>
          </objectPr>
        </oleObject>
      </mc:Choice>
      <mc:Fallback>
        <oleObject progId="Dstmp.StampObject.7" shapeId="21505" r:id="rId4"/>
      </mc:Fallback>
    </mc:AlternateContent>
  </oleObjec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X14"/>
  <sheetViews>
    <sheetView showGridLines="0" topLeftCell="A11" zoomScale="115" zoomScaleNormal="115" workbookViewId="0">
      <selection activeCell="Z12" sqref="Z12"/>
    </sheetView>
  </sheetViews>
  <sheetFormatPr defaultRowHeight="13.5"/>
  <cols>
    <col min="1" max="1" width="4.5" customWidth="1"/>
    <col min="2" max="2" width="9" style="10" hidden="1" customWidth="1"/>
    <col min="4" max="4" width="69.5" customWidth="1"/>
    <col min="5" max="6" width="12.75" customWidth="1"/>
    <col min="7" max="22" width="13.125" hidden="1" customWidth="1"/>
    <col min="23" max="24" width="13.125" customWidth="1"/>
  </cols>
  <sheetData>
    <row r="2" spans="2:24" ht="25.5" customHeight="1">
      <c r="C2" s="7"/>
      <c r="D2" s="7"/>
      <c r="E2" s="7"/>
      <c r="F2" s="7"/>
      <c r="H2" s="8" t="s">
        <v>13</v>
      </c>
      <c r="I2" s="324" t="s">
        <v>14</v>
      </c>
      <c r="J2" s="324"/>
      <c r="K2" s="324"/>
      <c r="L2" s="324"/>
      <c r="M2" s="324"/>
      <c r="N2" s="324"/>
      <c r="O2" s="324"/>
      <c r="P2" s="324"/>
      <c r="Q2" s="324"/>
      <c r="R2" s="324"/>
      <c r="S2" s="318"/>
      <c r="T2" s="318"/>
      <c r="U2" s="318"/>
      <c r="V2" s="318"/>
      <c r="W2" s="318"/>
      <c r="X2" s="318"/>
    </row>
    <row r="3" spans="2:24" ht="25.5" customHeight="1">
      <c r="C3" s="7"/>
      <c r="D3" s="11" t="str">
        <f ca="1">REPLACE(LEFT(CELL("filename",$B$1),FIND(".xls",CELL("filename",$B$1))-1),1,FIND("[",CELL("filename",$B$1)),)</f>
        <v>alert_S_ADBZR_CSR-CSTD-0-06-A-C0</v>
      </c>
      <c r="E3" s="7"/>
      <c r="F3" s="7"/>
      <c r="H3" s="9" t="s">
        <v>186</v>
      </c>
      <c r="I3" s="325" t="s">
        <v>185</v>
      </c>
      <c r="J3" s="326"/>
      <c r="K3" s="326"/>
      <c r="L3" s="326"/>
      <c r="M3" s="326"/>
      <c r="N3" s="326"/>
      <c r="O3" s="326"/>
      <c r="P3" s="326"/>
      <c r="Q3" s="326"/>
      <c r="R3" s="326"/>
      <c r="S3" s="318"/>
      <c r="T3" s="318"/>
      <c r="U3" s="318"/>
      <c r="V3" s="318"/>
      <c r="W3" s="318"/>
      <c r="X3" s="318"/>
    </row>
    <row r="4" spans="2:24" ht="25.5" customHeight="1">
      <c r="C4" s="7"/>
      <c r="D4" s="7"/>
      <c r="E4" s="25" t="str">
        <f>DGET(B8:C15,"Ver.",H4:H5)</f>
        <v>1.3.0</v>
      </c>
      <c r="F4" s="7"/>
      <c r="H4" s="10" t="s">
        <v>16</v>
      </c>
    </row>
    <row r="5" spans="2:24" ht="25.5" customHeight="1">
      <c r="C5" s="7"/>
      <c r="D5" s="7"/>
      <c r="E5" s="7"/>
      <c r="F5" s="7"/>
      <c r="H5" s="12">
        <f>MAX(B9:B15)</f>
        <v>4</v>
      </c>
    </row>
    <row r="6" spans="2:24" ht="14.25" thickBot="1"/>
    <row r="7" spans="2:24">
      <c r="C7" s="329" t="s">
        <v>0</v>
      </c>
      <c r="D7" s="330"/>
      <c r="E7" s="331" t="s">
        <v>2</v>
      </c>
      <c r="F7" s="331"/>
      <c r="G7" s="332" t="s">
        <v>5</v>
      </c>
      <c r="H7" s="332"/>
      <c r="I7" s="332"/>
      <c r="J7" s="332"/>
      <c r="K7" s="332"/>
      <c r="L7" s="332"/>
      <c r="M7" s="333" t="s">
        <v>12</v>
      </c>
      <c r="N7" s="333"/>
      <c r="O7" s="333"/>
      <c r="P7" s="333"/>
      <c r="Q7" s="333"/>
      <c r="R7" s="334"/>
      <c r="S7" s="327" t="s">
        <v>420</v>
      </c>
      <c r="T7" s="327"/>
      <c r="U7" s="327"/>
      <c r="V7" s="327"/>
      <c r="W7" s="327"/>
      <c r="X7" s="328"/>
    </row>
    <row r="8" spans="2:24" ht="27.75" thickBot="1">
      <c r="B8" s="10" t="s">
        <v>92</v>
      </c>
      <c r="C8" s="16" t="s">
        <v>17</v>
      </c>
      <c r="D8" s="17" t="s">
        <v>1</v>
      </c>
      <c r="E8" s="18" t="s">
        <v>3</v>
      </c>
      <c r="F8" s="19" t="s">
        <v>4</v>
      </c>
      <c r="G8" s="20" t="s">
        <v>6</v>
      </c>
      <c r="H8" s="20" t="s">
        <v>7</v>
      </c>
      <c r="I8" s="20" t="s">
        <v>8</v>
      </c>
      <c r="J8" s="20" t="s">
        <v>9</v>
      </c>
      <c r="K8" s="20" t="s">
        <v>10</v>
      </c>
      <c r="L8" s="20" t="s">
        <v>11</v>
      </c>
      <c r="M8" s="21" t="s">
        <v>6</v>
      </c>
      <c r="N8" s="21" t="s">
        <v>7</v>
      </c>
      <c r="O8" s="21" t="s">
        <v>8</v>
      </c>
      <c r="P8" s="21" t="s">
        <v>9</v>
      </c>
      <c r="Q8" s="21" t="s">
        <v>10</v>
      </c>
      <c r="R8" s="22" t="s">
        <v>11</v>
      </c>
      <c r="S8" s="319" t="s">
        <v>6</v>
      </c>
      <c r="T8" s="319" t="s">
        <v>7</v>
      </c>
      <c r="U8" s="319" t="s">
        <v>8</v>
      </c>
      <c r="V8" s="319" t="s">
        <v>9</v>
      </c>
      <c r="W8" s="319" t="s">
        <v>10</v>
      </c>
      <c r="X8" s="320" t="s">
        <v>11</v>
      </c>
    </row>
    <row r="9" spans="2:24" ht="176.25" thickTop="1">
      <c r="B9" s="10">
        <f>IF(C9=0,0,ROW()-ROW($B$8))</f>
        <v>1</v>
      </c>
      <c r="C9" s="13" t="s">
        <v>15</v>
      </c>
      <c r="D9" s="211" t="s">
        <v>320</v>
      </c>
      <c r="E9" s="14" t="s">
        <v>318</v>
      </c>
      <c r="F9" s="14" t="s">
        <v>208</v>
      </c>
      <c r="G9" s="14" t="s">
        <v>318</v>
      </c>
      <c r="H9" s="14" t="s">
        <v>318</v>
      </c>
      <c r="I9" s="14" t="s">
        <v>318</v>
      </c>
      <c r="J9" s="14" t="s">
        <v>318</v>
      </c>
      <c r="K9" s="14" t="s">
        <v>318</v>
      </c>
      <c r="L9" s="14" t="s">
        <v>318</v>
      </c>
      <c r="M9" s="14"/>
      <c r="N9" s="206"/>
      <c r="O9" s="14"/>
      <c r="P9" s="206"/>
      <c r="Q9" s="14" t="s">
        <v>319</v>
      </c>
      <c r="R9" s="186">
        <v>44595</v>
      </c>
      <c r="S9" s="1" t="s">
        <v>31</v>
      </c>
      <c r="T9" s="1" t="s">
        <v>31</v>
      </c>
      <c r="U9" s="1" t="s">
        <v>31</v>
      </c>
      <c r="V9" s="1" t="s">
        <v>31</v>
      </c>
      <c r="W9" s="1" t="s">
        <v>31</v>
      </c>
      <c r="X9" s="207" t="s">
        <v>31</v>
      </c>
    </row>
    <row r="10" spans="2:24" ht="94.5">
      <c r="B10" s="10">
        <f t="shared" ref="B10:B14" si="0">IF(C10=0,0,ROW()-ROW($B$8))</f>
        <v>2</v>
      </c>
      <c r="C10" s="2" t="s">
        <v>325</v>
      </c>
      <c r="D10" s="211" t="s">
        <v>326</v>
      </c>
      <c r="E10" s="1" t="s">
        <v>31</v>
      </c>
      <c r="F10" s="14" t="s">
        <v>324</v>
      </c>
      <c r="G10" s="14" t="s">
        <v>31</v>
      </c>
      <c r="H10" s="14" t="s">
        <v>31</v>
      </c>
      <c r="I10" s="14" t="s">
        <v>31</v>
      </c>
      <c r="J10" s="14" t="s">
        <v>31</v>
      </c>
      <c r="K10" s="14" t="s">
        <v>31</v>
      </c>
      <c r="L10" s="14" t="s">
        <v>31</v>
      </c>
      <c r="M10" s="14"/>
      <c r="N10" s="206"/>
      <c r="O10" s="14"/>
      <c r="P10" s="206"/>
      <c r="Q10" s="14"/>
      <c r="R10" s="186"/>
      <c r="S10" s="1" t="s">
        <v>31</v>
      </c>
      <c r="T10" s="1" t="s">
        <v>31</v>
      </c>
      <c r="U10" s="1" t="s">
        <v>31</v>
      </c>
      <c r="V10" s="1" t="s">
        <v>31</v>
      </c>
      <c r="W10" s="1" t="s">
        <v>31</v>
      </c>
      <c r="X10" s="207" t="s">
        <v>31</v>
      </c>
    </row>
    <row r="11" spans="2:24" ht="243">
      <c r="B11" s="10">
        <f t="shared" ref="B11" si="1">IF(C11=0,0,ROW()-ROW($B$8))</f>
        <v>3</v>
      </c>
      <c r="C11" s="212" t="s">
        <v>327</v>
      </c>
      <c r="D11" s="224" t="s">
        <v>329</v>
      </c>
      <c r="E11" s="1" t="s">
        <v>31</v>
      </c>
      <c r="F11" s="1" t="s">
        <v>324</v>
      </c>
      <c r="G11" s="1"/>
      <c r="H11" s="1"/>
      <c r="I11" s="1"/>
      <c r="J11" s="1"/>
      <c r="K11" s="1" t="s">
        <v>328</v>
      </c>
      <c r="L11" s="225">
        <v>45839</v>
      </c>
      <c r="M11" s="1" t="s">
        <v>31</v>
      </c>
      <c r="N11" s="1" t="s">
        <v>31</v>
      </c>
      <c r="O11" s="1" t="s">
        <v>31</v>
      </c>
      <c r="P11" s="1" t="s">
        <v>31</v>
      </c>
      <c r="Q11" s="1" t="s">
        <v>31</v>
      </c>
      <c r="R11" s="207" t="s">
        <v>31</v>
      </c>
      <c r="S11" s="1" t="s">
        <v>31</v>
      </c>
      <c r="T11" s="1" t="s">
        <v>31</v>
      </c>
      <c r="U11" s="1" t="s">
        <v>31</v>
      </c>
      <c r="V11" s="1" t="s">
        <v>31</v>
      </c>
      <c r="W11" s="1" t="s">
        <v>31</v>
      </c>
      <c r="X11" s="207" t="s">
        <v>31</v>
      </c>
    </row>
    <row r="12" spans="2:24" ht="310.5">
      <c r="B12" s="10">
        <f t="shared" si="0"/>
        <v>4</v>
      </c>
      <c r="C12" s="230" t="s">
        <v>343</v>
      </c>
      <c r="D12" s="231" t="s">
        <v>422</v>
      </c>
      <c r="E12" s="232" t="s">
        <v>127</v>
      </c>
      <c r="F12" s="232" t="s">
        <v>344</v>
      </c>
      <c r="G12" s="232"/>
      <c r="H12" s="232"/>
      <c r="I12" s="232"/>
      <c r="J12" s="232"/>
      <c r="K12" s="232" t="s">
        <v>31</v>
      </c>
      <c r="L12" s="234" t="s">
        <v>31</v>
      </c>
      <c r="M12" s="233" t="s">
        <v>31</v>
      </c>
      <c r="N12" s="233" t="s">
        <v>31</v>
      </c>
      <c r="O12" s="233" t="s">
        <v>31</v>
      </c>
      <c r="P12" s="233" t="s">
        <v>31</v>
      </c>
      <c r="Q12" s="316" t="s">
        <v>31</v>
      </c>
      <c r="R12" s="317" t="s">
        <v>31</v>
      </c>
      <c r="S12" s="233" t="s">
        <v>31</v>
      </c>
      <c r="T12" s="233" t="s">
        <v>31</v>
      </c>
      <c r="U12" s="233" t="s">
        <v>31</v>
      </c>
      <c r="V12" s="233" t="s">
        <v>31</v>
      </c>
      <c r="W12" s="316" t="s">
        <v>421</v>
      </c>
      <c r="X12" s="317">
        <v>46007</v>
      </c>
    </row>
    <row r="13" spans="2:24">
      <c r="B13" s="10">
        <f t="shared" si="0"/>
        <v>0</v>
      </c>
      <c r="C13" s="2"/>
      <c r="D13" s="1"/>
      <c r="E13" s="1"/>
      <c r="F13" s="1"/>
      <c r="G13" s="1"/>
      <c r="H13" s="1"/>
      <c r="I13" s="1"/>
      <c r="J13" s="1"/>
      <c r="K13" s="1"/>
      <c r="L13" s="1"/>
      <c r="M13" s="1"/>
      <c r="N13" s="1"/>
      <c r="O13" s="1"/>
      <c r="P13" s="1"/>
      <c r="Q13" s="1"/>
      <c r="R13" s="3"/>
      <c r="S13" s="1"/>
      <c r="T13" s="1"/>
      <c r="U13" s="1"/>
      <c r="V13" s="1"/>
      <c r="W13" s="1"/>
      <c r="X13" s="77"/>
    </row>
    <row r="14" spans="2:24" ht="14.25" thickBot="1">
      <c r="B14" s="10">
        <f t="shared" si="0"/>
        <v>0</v>
      </c>
      <c r="C14" s="4"/>
      <c r="D14" s="5"/>
      <c r="E14" s="5"/>
      <c r="F14" s="5"/>
      <c r="G14" s="5"/>
      <c r="H14" s="5"/>
      <c r="I14" s="5"/>
      <c r="J14" s="5"/>
      <c r="K14" s="5"/>
      <c r="L14" s="5"/>
      <c r="M14" s="5"/>
      <c r="N14" s="5"/>
      <c r="O14" s="5"/>
      <c r="P14" s="5"/>
      <c r="Q14" s="5"/>
      <c r="R14" s="6"/>
      <c r="S14" s="5"/>
      <c r="T14" s="5"/>
      <c r="U14" s="5"/>
      <c r="V14" s="5"/>
      <c r="W14" s="5"/>
      <c r="X14" s="6"/>
    </row>
  </sheetData>
  <mergeCells count="7">
    <mergeCell ref="I2:R2"/>
    <mergeCell ref="I3:R3"/>
    <mergeCell ref="S7:X7"/>
    <mergeCell ref="C7:D7"/>
    <mergeCell ref="E7:F7"/>
    <mergeCell ref="G7:L7"/>
    <mergeCell ref="M7:R7"/>
  </mergeCells>
  <phoneticPr fontId="2"/>
  <hyperlinks>
    <hyperlink ref="I3" r:id="rId1" xr:uid="{00000000-0004-0000-0000-000000000000}"/>
  </hyperlinks>
  <pageMargins left="0.7" right="0.7" top="0.75" bottom="0.75" header="0.3" footer="0.3"/>
  <pageSetup paperSize="9" orientation="portrait" r:id="rId2"/>
  <headerFooter>
    <oddHeader>&amp;C&amp;"Calibri"&amp;10&amp;KFF0000 CONFIDENTIAL&amp;1#_x000D_</oddHead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4"/>
  <dimension ref="B2:E39"/>
  <sheetViews>
    <sheetView zoomScaleNormal="100" workbookViewId="0"/>
  </sheetViews>
  <sheetFormatPr defaultRowHeight="13.5"/>
  <cols>
    <col min="2" max="2" width="4.625" customWidth="1"/>
    <col min="3" max="3" width="3.5" customWidth="1"/>
    <col min="4" max="4" width="17.5" customWidth="1"/>
    <col min="5" max="5" width="106" customWidth="1"/>
  </cols>
  <sheetData>
    <row r="2" spans="2:5">
      <c r="B2" s="152" t="s">
        <v>129</v>
      </c>
    </row>
    <row r="3" spans="2:5">
      <c r="C3" t="s">
        <v>139</v>
      </c>
    </row>
    <row r="6" spans="2:5" ht="14.25" thickBot="1">
      <c r="B6" s="152" t="s">
        <v>130</v>
      </c>
      <c r="C6" s="152"/>
    </row>
    <row r="7" spans="2:5" ht="14.25" thickBot="1">
      <c r="C7" s="81" t="s">
        <v>132</v>
      </c>
      <c r="D7" s="89"/>
      <c r="E7" s="82" t="s">
        <v>140</v>
      </c>
    </row>
    <row r="8" spans="2:5" ht="20.25" customHeight="1" thickTop="1">
      <c r="C8" s="220">
        <v>0</v>
      </c>
      <c r="D8" s="218" t="s">
        <v>141</v>
      </c>
      <c r="E8" s="219" t="s">
        <v>323</v>
      </c>
    </row>
    <row r="9" spans="2:5">
      <c r="C9" s="221"/>
      <c r="D9" s="223"/>
      <c r="E9" s="222"/>
    </row>
    <row r="10" spans="2:5" ht="14.25" thickBot="1">
      <c r="C10" s="159"/>
      <c r="D10" s="92"/>
      <c r="E10" s="6"/>
    </row>
    <row r="11" spans="2:5">
      <c r="C11" s="157"/>
    </row>
    <row r="12" spans="2:5" ht="14.25" thickBot="1">
      <c r="B12" s="153" t="s">
        <v>131</v>
      </c>
      <c r="C12" s="88"/>
      <c r="D12" s="88"/>
    </row>
    <row r="13" spans="2:5" ht="14.25" thickBot="1">
      <c r="B13" s="154"/>
      <c r="C13" s="158" t="s">
        <v>132</v>
      </c>
      <c r="D13" s="89" t="s">
        <v>133</v>
      </c>
      <c r="E13" s="82" t="s">
        <v>134</v>
      </c>
    </row>
    <row r="14" spans="2:5" ht="14.25" thickTop="1">
      <c r="C14" s="155">
        <v>0</v>
      </c>
      <c r="D14" s="90" t="s">
        <v>146</v>
      </c>
      <c r="E14" s="160" t="s">
        <v>147</v>
      </c>
    </row>
    <row r="15" spans="2:5">
      <c r="C15" s="156">
        <v>1</v>
      </c>
      <c r="D15" s="91" t="s">
        <v>23</v>
      </c>
      <c r="E15" s="77" t="s">
        <v>135</v>
      </c>
    </row>
    <row r="16" spans="2:5">
      <c r="C16" s="156">
        <v>2</v>
      </c>
      <c r="D16" s="91" t="s">
        <v>24</v>
      </c>
      <c r="E16" s="77" t="s">
        <v>136</v>
      </c>
    </row>
    <row r="17" spans="2:5">
      <c r="C17" s="156">
        <v>3</v>
      </c>
      <c r="D17" s="91" t="s">
        <v>25</v>
      </c>
      <c r="E17" s="77" t="s">
        <v>137</v>
      </c>
    </row>
    <row r="18" spans="2:5">
      <c r="C18" s="156">
        <v>4</v>
      </c>
      <c r="D18" s="91" t="s">
        <v>26</v>
      </c>
      <c r="E18" s="77" t="s">
        <v>138</v>
      </c>
    </row>
    <row r="19" spans="2:5">
      <c r="C19" s="156">
        <v>5</v>
      </c>
      <c r="D19" s="91" t="s">
        <v>148</v>
      </c>
      <c r="E19" s="77" t="s">
        <v>150</v>
      </c>
    </row>
    <row r="20" spans="2:5">
      <c r="C20" s="156">
        <v>6</v>
      </c>
      <c r="D20" s="91" t="s">
        <v>155</v>
      </c>
      <c r="E20" s="77" t="s">
        <v>179</v>
      </c>
    </row>
    <row r="21" spans="2:5" ht="14.25" thickBot="1">
      <c r="C21" s="159"/>
      <c r="D21" s="92"/>
      <c r="E21" s="6"/>
    </row>
    <row r="24" spans="2:5" ht="14.25" thickBot="1">
      <c r="B24" s="152" t="s">
        <v>142</v>
      </c>
    </row>
    <row r="25" spans="2:5" ht="14.25" thickBot="1">
      <c r="C25" s="158" t="s">
        <v>132</v>
      </c>
      <c r="D25" s="89" t="s">
        <v>133</v>
      </c>
      <c r="E25" s="82" t="s">
        <v>134</v>
      </c>
    </row>
    <row r="26" spans="2:5" ht="30.75" customHeight="1" thickTop="1">
      <c r="C26" s="155">
        <v>0</v>
      </c>
      <c r="D26" s="90" t="s">
        <v>143</v>
      </c>
      <c r="E26" s="160" t="s">
        <v>152</v>
      </c>
    </row>
    <row r="27" spans="2:5" ht="120" customHeight="1">
      <c r="C27" s="156">
        <v>1</v>
      </c>
      <c r="D27" s="91" t="s">
        <v>182</v>
      </c>
      <c r="E27" s="93" t="s">
        <v>184</v>
      </c>
    </row>
    <row r="28" spans="2:5" ht="81" customHeight="1">
      <c r="C28" s="156">
        <v>2</v>
      </c>
      <c r="D28" s="91" t="s">
        <v>178</v>
      </c>
      <c r="E28" s="93" t="s">
        <v>190</v>
      </c>
    </row>
    <row r="29" spans="2:5" ht="45" customHeight="1">
      <c r="C29" s="156">
        <v>3</v>
      </c>
      <c r="D29" s="91" t="s">
        <v>149</v>
      </c>
      <c r="E29" s="93" t="s">
        <v>153</v>
      </c>
    </row>
    <row r="30" spans="2:5" ht="16.5" customHeight="1">
      <c r="C30" s="156">
        <v>4</v>
      </c>
      <c r="D30" s="91" t="s">
        <v>144</v>
      </c>
      <c r="E30" s="77" t="s">
        <v>160</v>
      </c>
    </row>
    <row r="31" spans="2:5" ht="16.5" customHeight="1">
      <c r="C31" s="156">
        <v>5</v>
      </c>
      <c r="D31" s="91" t="s">
        <v>145</v>
      </c>
      <c r="E31" s="77" t="s">
        <v>154</v>
      </c>
    </row>
    <row r="32" spans="2:5">
      <c r="C32" s="156"/>
      <c r="D32" s="91"/>
      <c r="E32" s="77"/>
    </row>
    <row r="33" spans="2:5">
      <c r="C33" s="156"/>
      <c r="D33" s="91"/>
      <c r="E33" s="77"/>
    </row>
    <row r="34" spans="2:5" ht="14.25" thickBot="1">
      <c r="C34" s="159"/>
      <c r="D34" s="92"/>
      <c r="E34" s="6"/>
    </row>
    <row r="37" spans="2:5" ht="14.25" thickBot="1">
      <c r="B37" s="152" t="s">
        <v>175</v>
      </c>
    </row>
    <row r="38" spans="2:5">
      <c r="C38" s="335"/>
      <c r="D38" s="336"/>
      <c r="E38" s="117" t="s">
        <v>118</v>
      </c>
    </row>
    <row r="39" spans="2:5" ht="14.25" thickBot="1">
      <c r="C39" s="337"/>
      <c r="D39" s="338"/>
      <c r="E39" s="6" t="s">
        <v>119</v>
      </c>
    </row>
  </sheetData>
  <mergeCells count="2">
    <mergeCell ref="C38:D38"/>
    <mergeCell ref="C39:D39"/>
  </mergeCells>
  <phoneticPr fontId="2"/>
  <hyperlinks>
    <hyperlink ref="E8" r:id="rId1" xr:uid="{00000000-0004-0000-0100-000000000000}"/>
  </hyperlinks>
  <pageMargins left="0.7" right="0.7" top="0.75" bottom="0.75" header="0.3" footer="0.3"/>
  <pageSetup paperSize="9" orientation="portrait" r:id="rId2"/>
  <headerFooter>
    <oddHeader>&amp;C&amp;"Calibri"&amp;10&amp;KFF0000 CONFIDENTIAL&amp;1#_x000D_</oddHead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2">
    <tabColor rgb="FFCCFFCC"/>
  </sheetPr>
  <dimension ref="B1:N37"/>
  <sheetViews>
    <sheetView workbookViewId="0"/>
  </sheetViews>
  <sheetFormatPr defaultRowHeight="13.5"/>
  <cols>
    <col min="2" max="2" width="3.75" bestFit="1" customWidth="1"/>
    <col min="3" max="3" width="9.125" bestFit="1" customWidth="1"/>
    <col min="4" max="4" width="19.125" bestFit="1" customWidth="1"/>
    <col min="6" max="8" width="26.75" customWidth="1"/>
    <col min="9" max="9" width="20.875" hidden="1" customWidth="1"/>
    <col min="10" max="14" width="9" hidden="1" customWidth="1"/>
  </cols>
  <sheetData>
    <row r="1" spans="2:14" ht="14.25" thickBot="1"/>
    <row r="2" spans="2:14">
      <c r="B2" s="364" t="s">
        <v>19</v>
      </c>
      <c r="C2" s="365"/>
      <c r="D2" s="352" t="s">
        <v>345</v>
      </c>
      <c r="E2" s="353"/>
      <c r="F2" s="353"/>
      <c r="G2" s="353"/>
      <c r="H2" s="354"/>
    </row>
    <row r="3" spans="2:14">
      <c r="B3" s="339" t="s">
        <v>116</v>
      </c>
      <c r="C3" s="340"/>
      <c r="D3" s="355" t="s">
        <v>346</v>
      </c>
      <c r="E3" s="356"/>
      <c r="F3" s="356"/>
      <c r="G3" s="356"/>
      <c r="H3" s="357"/>
    </row>
    <row r="4" spans="2:14" ht="14.25" thickBot="1">
      <c r="B4" s="350" t="s">
        <v>18</v>
      </c>
      <c r="C4" s="351"/>
      <c r="D4" s="358" t="str">
        <f ca="1">表紙!D3&amp;".c"</f>
        <v>alert_S_ADBZR_CSR-CSTD-0-06-A-C0.c</v>
      </c>
      <c r="E4" s="359"/>
      <c r="F4" s="359"/>
      <c r="G4" s="359"/>
      <c r="H4" s="360"/>
    </row>
    <row r="5" spans="2:14" ht="14.25" thickBot="1">
      <c r="D5" t="str">
        <f ca="1">IF(LEN(表紙!D3&amp;".c") = LENB(表紙!D3&amp;".c"),"※モジュール名 全角チェックOK","※モジュール名 全角チェックNG：ファイル名に全角文字が使用されています！")</f>
        <v>※モジュール名 全角チェックOK</v>
      </c>
    </row>
    <row r="6" spans="2:14">
      <c r="B6" s="364" t="s">
        <v>36</v>
      </c>
      <c r="C6" s="365"/>
      <c r="D6" s="361" t="str">
        <f ca="1">MID(D4, LEN("alert_") + 1, FIND("-",D4,1) - LEN("alert_") - 1)</f>
        <v>S_ADBZR_CSR</v>
      </c>
      <c r="E6" s="362"/>
      <c r="F6" s="362"/>
      <c r="G6" s="362"/>
      <c r="H6" s="363"/>
    </row>
    <row r="7" spans="2:14">
      <c r="B7" s="339" t="s">
        <v>37</v>
      </c>
      <c r="C7" s="340"/>
      <c r="D7" s="341">
        <f>COUNTA($D$13:$D$37)</f>
        <v>2</v>
      </c>
      <c r="E7" s="342"/>
      <c r="F7" s="342"/>
      <c r="G7" s="342"/>
      <c r="H7" s="343"/>
    </row>
    <row r="8" spans="2:14">
      <c r="B8" s="339" t="s">
        <v>95</v>
      </c>
      <c r="C8" s="340"/>
      <c r="D8" s="341" t="str">
        <f ca="1">"st_gp_ALERT_"&amp;UPPER(D6)&amp;"_MTRX"</f>
        <v>st_gp_ALERT_S_ADBZR_CSR_MTRX</v>
      </c>
      <c r="E8" s="342"/>
      <c r="F8" s="342"/>
      <c r="G8" s="342"/>
      <c r="H8" s="343"/>
    </row>
    <row r="9" spans="2:14">
      <c r="B9" s="339" t="s">
        <v>38</v>
      </c>
      <c r="C9" s="340"/>
      <c r="D9" s="344" t="s">
        <v>212</v>
      </c>
      <c r="E9" s="345"/>
      <c r="F9" s="345"/>
      <c r="G9" s="345"/>
      <c r="H9" s="346"/>
    </row>
    <row r="10" spans="2:14" ht="14.25" thickBot="1">
      <c r="B10" s="350" t="s">
        <v>44</v>
      </c>
      <c r="C10" s="351"/>
      <c r="D10" s="347"/>
      <c r="E10" s="348"/>
      <c r="F10" s="348"/>
      <c r="G10" s="348"/>
      <c r="H10" s="349"/>
    </row>
    <row r="11" spans="2:14" ht="14.25" thickBot="1"/>
    <row r="12" spans="2:14" ht="14.25" thickBot="1">
      <c r="B12" s="143" t="s">
        <v>34</v>
      </c>
      <c r="C12" s="107" t="s">
        <v>43</v>
      </c>
      <c r="D12" s="108" t="s">
        <v>35</v>
      </c>
      <c r="E12" s="108" t="s">
        <v>39</v>
      </c>
      <c r="F12" s="108" t="s">
        <v>40</v>
      </c>
      <c r="G12" s="108" t="s">
        <v>41</v>
      </c>
      <c r="H12" s="109" t="s">
        <v>42</v>
      </c>
      <c r="I12" s="148" t="s">
        <v>51</v>
      </c>
      <c r="K12" s="48" t="s">
        <v>45</v>
      </c>
      <c r="L12" s="48" t="s">
        <v>38</v>
      </c>
      <c r="M12" t="s">
        <v>87</v>
      </c>
    </row>
    <row r="13" spans="2:14" ht="14.25" thickTop="1">
      <c r="B13" s="110">
        <v>1</v>
      </c>
      <c r="C13" s="115" t="s">
        <v>394</v>
      </c>
      <c r="D13" s="116" t="s">
        <v>48</v>
      </c>
      <c r="E13" s="116" t="s">
        <v>213</v>
      </c>
      <c r="F13" s="54" t="str">
        <f t="shared" ref="F13:F37" ca="1" si="0">IF($D13&lt;&gt;"","u4_s_Alert"&amp;UPPER(LEFT($D$6,1))&amp;LOWER(MID($D$6,2,100))&amp;IF($D$7=1,"",N13)&amp;"Srcchk","")</f>
        <v>u4_s_AlertS_adbzr_csrBzSrcchk</v>
      </c>
      <c r="G13" s="54" t="str">
        <f t="shared" ref="G13:G37" si="1">IF($D13&lt;&gt;"",IF($E13="○","vd_s_Alert"&amp;UPPER(LEFT($D$6,1))&amp;LOWER(MID($D$6,2,100))&amp;IF($D$7=1,"",N13)&amp;"RwTx","NULL"),"")</f>
        <v>NULL</v>
      </c>
      <c r="H13" s="114" t="str">
        <f ca="1">IF($D13&lt;&gt;"","ALERT_CH_"&amp;UPPER($D$6)&amp;IF($D$7=1,"","_"&amp;UPPER($C13)),"")</f>
        <v>ALERT_CH_S_ADBZR_CSR_BZ</v>
      </c>
      <c r="I13" s="149" t="str">
        <f ca="1">IF($D13&lt;&gt;"","ALERT_REQ_"&amp;UPPER($D$6)&amp;IF($D$7=1,"","_"&amp;UPPER($C13)),"")</f>
        <v>ALERT_REQ_S_ADBZR_CSR_BZ</v>
      </c>
      <c r="K13" t="s">
        <v>46</v>
      </c>
      <c r="L13" t="s">
        <v>50</v>
      </c>
      <c r="M13" t="e">
        <f t="shared" ref="M13:M37" si="2">FIND("_",C13,1)</f>
        <v>#VALUE!</v>
      </c>
      <c r="N13" t="str">
        <f t="shared" ref="N13:N37" si="3">IF(IFERROR(M13,0),UPPER(LEFT(C13,1))&amp;LOWER(MID(C13,2,M13-2))&amp;UPPER(MID(C13,M13+1,1))&amp;LOWER(MID(C13,M13+2,100)),UPPER(LEFT(C13,1))&amp;LOWER(MID(C13,2,100)))</f>
        <v>Bz</v>
      </c>
    </row>
    <row r="14" spans="2:14">
      <c r="B14" s="100">
        <v>2</v>
      </c>
      <c r="C14" s="146" t="s">
        <v>355</v>
      </c>
      <c r="D14" s="147" t="s">
        <v>48</v>
      </c>
      <c r="E14" s="147" t="s">
        <v>213</v>
      </c>
      <c r="F14" s="49" t="str">
        <f t="shared" ca="1" si="0"/>
        <v>u4_s_AlertS_adbzr_csrVolSrcchk</v>
      </c>
      <c r="G14" s="49" t="str">
        <f t="shared" si="1"/>
        <v>NULL</v>
      </c>
      <c r="H14" s="70" t="str">
        <f t="shared" ref="H14:H37" ca="1" si="4">IF($D14&lt;&gt;"","ALERT_CH_"&amp;UPPER($D$6)&amp;IF($D$7=1,"","_"&amp;UPPER($C14)),"")</f>
        <v>ALERT_CH_S_ADBZR_CSR_VOL</v>
      </c>
      <c r="I14" s="150" t="str">
        <f t="shared" ref="I14:I37" ca="1" si="5">IF($D14&lt;&gt;"","ALERT_REQ_"&amp;UPPER($D$6)&amp;IF($D$7=1,"","_"&amp;UPPER($C14)),"")</f>
        <v>ALERT_REQ_S_ADBZR_CSR_VOL</v>
      </c>
      <c r="K14" t="s">
        <v>47</v>
      </c>
      <c r="L14" t="str">
        <f ca="1">"vd_g_Alert"&amp;UPPER(LEFT(D6,1))&amp;LOWER(MID(D6,2,100))&amp;"Init"</f>
        <v>vd_g_AlertS_adbzr_csrInit</v>
      </c>
      <c r="M14" t="e">
        <f t="shared" si="2"/>
        <v>#VALUE!</v>
      </c>
      <c r="N14" t="str">
        <f t="shared" si="3"/>
        <v>Vol</v>
      </c>
    </row>
    <row r="15" spans="2:14">
      <c r="B15" s="100">
        <v>3</v>
      </c>
      <c r="C15" s="146"/>
      <c r="D15" s="147"/>
      <c r="E15" s="147"/>
      <c r="F15" s="49" t="str">
        <f t="shared" si="0"/>
        <v/>
      </c>
      <c r="G15" s="49" t="str">
        <f t="shared" si="1"/>
        <v/>
      </c>
      <c r="H15" s="70" t="str">
        <f t="shared" si="4"/>
        <v/>
      </c>
      <c r="I15" s="150" t="str">
        <f t="shared" si="5"/>
        <v/>
      </c>
      <c r="K15" t="s">
        <v>120</v>
      </c>
      <c r="M15" t="e">
        <f t="shared" si="2"/>
        <v>#VALUE!</v>
      </c>
      <c r="N15" t="str">
        <f t="shared" si="3"/>
        <v/>
      </c>
    </row>
    <row r="16" spans="2:14">
      <c r="B16" s="100">
        <v>4</v>
      </c>
      <c r="C16" s="197"/>
      <c r="D16" s="191"/>
      <c r="E16" s="191"/>
      <c r="F16" s="49" t="str">
        <f t="shared" si="0"/>
        <v/>
      </c>
      <c r="G16" s="49" t="str">
        <f t="shared" si="1"/>
        <v/>
      </c>
      <c r="H16" s="70" t="str">
        <f t="shared" si="4"/>
        <v/>
      </c>
      <c r="I16" s="150" t="str">
        <f t="shared" si="5"/>
        <v/>
      </c>
      <c r="K16" t="s">
        <v>121</v>
      </c>
      <c r="M16" t="e">
        <f t="shared" si="2"/>
        <v>#VALUE!</v>
      </c>
      <c r="N16" t="str">
        <f t="shared" si="3"/>
        <v/>
      </c>
    </row>
    <row r="17" spans="2:14">
      <c r="B17" s="100">
        <v>5</v>
      </c>
      <c r="C17" s="146"/>
      <c r="D17" s="147"/>
      <c r="E17" s="147"/>
      <c r="F17" s="49" t="str">
        <f t="shared" si="0"/>
        <v/>
      </c>
      <c r="G17" s="49" t="str">
        <f t="shared" si="1"/>
        <v/>
      </c>
      <c r="H17" s="70" t="str">
        <f t="shared" si="4"/>
        <v/>
      </c>
      <c r="I17" s="150" t="str">
        <f t="shared" si="5"/>
        <v/>
      </c>
      <c r="K17" t="s">
        <v>48</v>
      </c>
      <c r="M17" t="e">
        <f t="shared" si="2"/>
        <v>#VALUE!</v>
      </c>
      <c r="N17" t="str">
        <f t="shared" si="3"/>
        <v/>
      </c>
    </row>
    <row r="18" spans="2:14">
      <c r="B18" s="100">
        <v>6</v>
      </c>
      <c r="C18" s="146"/>
      <c r="D18" s="147"/>
      <c r="E18" s="147"/>
      <c r="F18" s="49" t="str">
        <f t="shared" si="0"/>
        <v/>
      </c>
      <c r="G18" s="49" t="str">
        <f t="shared" si="1"/>
        <v/>
      </c>
      <c r="H18" s="70" t="str">
        <f t="shared" si="4"/>
        <v/>
      </c>
      <c r="I18" s="150" t="str">
        <f t="shared" si="5"/>
        <v/>
      </c>
      <c r="K18" t="s">
        <v>49</v>
      </c>
      <c r="M18" t="e">
        <f t="shared" si="2"/>
        <v>#VALUE!</v>
      </c>
      <c r="N18" t="str">
        <f t="shared" si="3"/>
        <v/>
      </c>
    </row>
    <row r="19" spans="2:14">
      <c r="B19" s="100">
        <v>7</v>
      </c>
      <c r="C19" s="146"/>
      <c r="D19" s="147"/>
      <c r="E19" s="147"/>
      <c r="F19" s="49" t="str">
        <f t="shared" si="0"/>
        <v/>
      </c>
      <c r="G19" s="49" t="str">
        <f t="shared" si="1"/>
        <v/>
      </c>
      <c r="H19" s="70" t="str">
        <f t="shared" si="4"/>
        <v/>
      </c>
      <c r="I19" s="150" t="str">
        <f t="shared" si="5"/>
        <v/>
      </c>
      <c r="K19" t="s">
        <v>49</v>
      </c>
      <c r="M19" t="e">
        <f t="shared" si="2"/>
        <v>#VALUE!</v>
      </c>
      <c r="N19" t="str">
        <f t="shared" si="3"/>
        <v/>
      </c>
    </row>
    <row r="20" spans="2:14">
      <c r="B20" s="100">
        <v>8</v>
      </c>
      <c r="C20" s="146"/>
      <c r="D20" s="147"/>
      <c r="E20" s="147"/>
      <c r="F20" s="49" t="str">
        <f t="shared" si="0"/>
        <v/>
      </c>
      <c r="G20" s="49" t="str">
        <f t="shared" si="1"/>
        <v/>
      </c>
      <c r="H20" s="70" t="str">
        <f t="shared" si="4"/>
        <v/>
      </c>
      <c r="I20" s="150" t="str">
        <f t="shared" si="5"/>
        <v/>
      </c>
      <c r="K20" t="s">
        <v>49</v>
      </c>
      <c r="M20" t="e">
        <f t="shared" si="2"/>
        <v>#VALUE!</v>
      </c>
      <c r="N20" t="str">
        <f t="shared" si="3"/>
        <v/>
      </c>
    </row>
    <row r="21" spans="2:14">
      <c r="B21" s="100">
        <v>9</v>
      </c>
      <c r="C21" s="146"/>
      <c r="D21" s="147"/>
      <c r="E21" s="147"/>
      <c r="F21" s="49" t="str">
        <f t="shared" si="0"/>
        <v/>
      </c>
      <c r="G21" s="49" t="str">
        <f t="shared" si="1"/>
        <v/>
      </c>
      <c r="H21" s="70" t="str">
        <f t="shared" si="4"/>
        <v/>
      </c>
      <c r="I21" s="150" t="str">
        <f t="shared" si="5"/>
        <v/>
      </c>
      <c r="K21" t="s">
        <v>49</v>
      </c>
      <c r="M21" t="e">
        <f t="shared" si="2"/>
        <v>#VALUE!</v>
      </c>
      <c r="N21" t="str">
        <f t="shared" si="3"/>
        <v/>
      </c>
    </row>
    <row r="22" spans="2:14">
      <c r="B22" s="100">
        <v>10</v>
      </c>
      <c r="C22" s="146"/>
      <c r="D22" s="147"/>
      <c r="E22" s="147"/>
      <c r="F22" s="49" t="str">
        <f t="shared" si="0"/>
        <v/>
      </c>
      <c r="G22" s="49" t="str">
        <f t="shared" si="1"/>
        <v/>
      </c>
      <c r="H22" s="70" t="str">
        <f t="shared" si="4"/>
        <v/>
      </c>
      <c r="I22" s="150" t="str">
        <f t="shared" si="5"/>
        <v/>
      </c>
      <c r="K22" t="s">
        <v>49</v>
      </c>
      <c r="M22" t="e">
        <f t="shared" si="2"/>
        <v>#VALUE!</v>
      </c>
      <c r="N22" t="str">
        <f t="shared" si="3"/>
        <v/>
      </c>
    </row>
    <row r="23" spans="2:14">
      <c r="B23" s="100">
        <v>11</v>
      </c>
      <c r="C23" s="146"/>
      <c r="D23" s="147"/>
      <c r="E23" s="147"/>
      <c r="F23" s="49" t="str">
        <f t="shared" si="0"/>
        <v/>
      </c>
      <c r="G23" s="49" t="str">
        <f t="shared" si="1"/>
        <v/>
      </c>
      <c r="H23" s="70" t="str">
        <f t="shared" si="4"/>
        <v/>
      </c>
      <c r="I23" s="150" t="str">
        <f t="shared" si="5"/>
        <v/>
      </c>
      <c r="K23" t="s">
        <v>49</v>
      </c>
      <c r="M23" t="e">
        <f t="shared" si="2"/>
        <v>#VALUE!</v>
      </c>
      <c r="N23" t="str">
        <f t="shared" si="3"/>
        <v/>
      </c>
    </row>
    <row r="24" spans="2:14">
      <c r="B24" s="100">
        <v>12</v>
      </c>
      <c r="C24" s="146"/>
      <c r="D24" s="147"/>
      <c r="E24" s="147"/>
      <c r="F24" s="49" t="str">
        <f t="shared" si="0"/>
        <v/>
      </c>
      <c r="G24" s="49" t="str">
        <f t="shared" si="1"/>
        <v/>
      </c>
      <c r="H24" s="70" t="str">
        <f t="shared" si="4"/>
        <v/>
      </c>
      <c r="I24" s="150" t="str">
        <f t="shared" si="5"/>
        <v/>
      </c>
      <c r="K24" t="s">
        <v>49</v>
      </c>
      <c r="M24" t="e">
        <f t="shared" si="2"/>
        <v>#VALUE!</v>
      </c>
      <c r="N24" t="str">
        <f t="shared" si="3"/>
        <v/>
      </c>
    </row>
    <row r="25" spans="2:14">
      <c r="B25" s="100">
        <v>13</v>
      </c>
      <c r="C25" s="146"/>
      <c r="D25" s="147"/>
      <c r="E25" s="147"/>
      <c r="F25" s="49" t="str">
        <f t="shared" si="0"/>
        <v/>
      </c>
      <c r="G25" s="49" t="str">
        <f t="shared" si="1"/>
        <v/>
      </c>
      <c r="H25" s="70" t="str">
        <f t="shared" si="4"/>
        <v/>
      </c>
      <c r="I25" s="150" t="str">
        <f t="shared" si="5"/>
        <v/>
      </c>
      <c r="K25" t="s">
        <v>49</v>
      </c>
      <c r="M25" t="e">
        <f t="shared" si="2"/>
        <v>#VALUE!</v>
      </c>
      <c r="N25" t="str">
        <f t="shared" si="3"/>
        <v/>
      </c>
    </row>
    <row r="26" spans="2:14">
      <c r="B26" s="100">
        <v>14</v>
      </c>
      <c r="C26" s="146"/>
      <c r="D26" s="147"/>
      <c r="E26" s="147"/>
      <c r="F26" s="49" t="str">
        <f t="shared" si="0"/>
        <v/>
      </c>
      <c r="G26" s="49" t="str">
        <f t="shared" si="1"/>
        <v/>
      </c>
      <c r="H26" s="70" t="str">
        <f t="shared" si="4"/>
        <v/>
      </c>
      <c r="I26" s="150" t="str">
        <f t="shared" si="5"/>
        <v/>
      </c>
      <c r="K26" t="s">
        <v>49</v>
      </c>
      <c r="M26" t="e">
        <f t="shared" si="2"/>
        <v>#VALUE!</v>
      </c>
      <c r="N26" t="str">
        <f t="shared" si="3"/>
        <v/>
      </c>
    </row>
    <row r="27" spans="2:14">
      <c r="B27" s="100">
        <v>15</v>
      </c>
      <c r="C27" s="146"/>
      <c r="D27" s="147"/>
      <c r="E27" s="147"/>
      <c r="F27" s="49" t="str">
        <f t="shared" si="0"/>
        <v/>
      </c>
      <c r="G27" s="49" t="str">
        <f t="shared" si="1"/>
        <v/>
      </c>
      <c r="H27" s="70" t="str">
        <f t="shared" si="4"/>
        <v/>
      </c>
      <c r="I27" s="150" t="str">
        <f t="shared" si="5"/>
        <v/>
      </c>
      <c r="K27" t="s">
        <v>49</v>
      </c>
      <c r="M27" t="e">
        <f t="shared" si="2"/>
        <v>#VALUE!</v>
      </c>
      <c r="N27" t="str">
        <f t="shared" si="3"/>
        <v/>
      </c>
    </row>
    <row r="28" spans="2:14">
      <c r="B28" s="100">
        <v>16</v>
      </c>
      <c r="C28" s="146"/>
      <c r="D28" s="147"/>
      <c r="E28" s="147"/>
      <c r="F28" s="49" t="str">
        <f t="shared" si="0"/>
        <v/>
      </c>
      <c r="G28" s="49" t="str">
        <f t="shared" si="1"/>
        <v/>
      </c>
      <c r="H28" s="70" t="str">
        <f t="shared" si="4"/>
        <v/>
      </c>
      <c r="I28" s="150" t="str">
        <f t="shared" si="5"/>
        <v/>
      </c>
      <c r="K28" t="s">
        <v>49</v>
      </c>
      <c r="M28" t="e">
        <f t="shared" si="2"/>
        <v>#VALUE!</v>
      </c>
      <c r="N28" t="str">
        <f t="shared" si="3"/>
        <v/>
      </c>
    </row>
    <row r="29" spans="2:14">
      <c r="B29" s="100">
        <v>17</v>
      </c>
      <c r="C29" s="146"/>
      <c r="D29" s="147"/>
      <c r="E29" s="147"/>
      <c r="F29" s="49" t="str">
        <f t="shared" si="0"/>
        <v/>
      </c>
      <c r="G29" s="49" t="str">
        <f t="shared" si="1"/>
        <v/>
      </c>
      <c r="H29" s="70" t="str">
        <f t="shared" si="4"/>
        <v/>
      </c>
      <c r="I29" s="150" t="str">
        <f t="shared" si="5"/>
        <v/>
      </c>
      <c r="K29" t="s">
        <v>49</v>
      </c>
      <c r="M29" t="e">
        <f t="shared" si="2"/>
        <v>#VALUE!</v>
      </c>
      <c r="N29" t="str">
        <f t="shared" si="3"/>
        <v/>
      </c>
    </row>
    <row r="30" spans="2:14">
      <c r="B30" s="100">
        <v>18</v>
      </c>
      <c r="C30" s="146"/>
      <c r="D30" s="147"/>
      <c r="E30" s="147"/>
      <c r="F30" s="49" t="str">
        <f t="shared" si="0"/>
        <v/>
      </c>
      <c r="G30" s="49" t="str">
        <f t="shared" si="1"/>
        <v/>
      </c>
      <c r="H30" s="70" t="str">
        <f t="shared" si="4"/>
        <v/>
      </c>
      <c r="I30" s="150" t="str">
        <f t="shared" si="5"/>
        <v/>
      </c>
      <c r="K30" t="s">
        <v>49</v>
      </c>
      <c r="M30" t="e">
        <f t="shared" si="2"/>
        <v>#VALUE!</v>
      </c>
      <c r="N30" t="str">
        <f t="shared" si="3"/>
        <v/>
      </c>
    </row>
    <row r="31" spans="2:14">
      <c r="B31" s="100">
        <v>19</v>
      </c>
      <c r="C31" s="146"/>
      <c r="D31" s="147"/>
      <c r="E31" s="147"/>
      <c r="F31" s="49" t="str">
        <f t="shared" si="0"/>
        <v/>
      </c>
      <c r="G31" s="49" t="str">
        <f t="shared" si="1"/>
        <v/>
      </c>
      <c r="H31" s="70" t="str">
        <f t="shared" si="4"/>
        <v/>
      </c>
      <c r="I31" s="150" t="str">
        <f t="shared" si="5"/>
        <v/>
      </c>
      <c r="K31" t="s">
        <v>49</v>
      </c>
      <c r="M31" t="e">
        <f t="shared" si="2"/>
        <v>#VALUE!</v>
      </c>
      <c r="N31" t="str">
        <f t="shared" si="3"/>
        <v/>
      </c>
    </row>
    <row r="32" spans="2:14">
      <c r="B32" s="100">
        <v>20</v>
      </c>
      <c r="C32" s="146"/>
      <c r="D32" s="147"/>
      <c r="E32" s="147"/>
      <c r="F32" s="49" t="str">
        <f t="shared" si="0"/>
        <v/>
      </c>
      <c r="G32" s="49" t="str">
        <f t="shared" si="1"/>
        <v/>
      </c>
      <c r="H32" s="70" t="str">
        <f t="shared" si="4"/>
        <v/>
      </c>
      <c r="I32" s="150" t="str">
        <f t="shared" si="5"/>
        <v/>
      </c>
      <c r="K32" t="s">
        <v>49</v>
      </c>
      <c r="M32" t="e">
        <f t="shared" si="2"/>
        <v>#VALUE!</v>
      </c>
      <c r="N32" t="str">
        <f t="shared" si="3"/>
        <v/>
      </c>
    </row>
    <row r="33" spans="2:14">
      <c r="B33" s="100">
        <v>21</v>
      </c>
      <c r="C33" s="146"/>
      <c r="D33" s="147"/>
      <c r="E33" s="147"/>
      <c r="F33" s="49" t="str">
        <f t="shared" si="0"/>
        <v/>
      </c>
      <c r="G33" s="49" t="str">
        <f t="shared" si="1"/>
        <v/>
      </c>
      <c r="H33" s="70" t="str">
        <f t="shared" si="4"/>
        <v/>
      </c>
      <c r="I33" s="150" t="str">
        <f t="shared" si="5"/>
        <v/>
      </c>
      <c r="K33" t="s">
        <v>49</v>
      </c>
      <c r="M33" t="e">
        <f t="shared" si="2"/>
        <v>#VALUE!</v>
      </c>
      <c r="N33" t="str">
        <f t="shared" si="3"/>
        <v/>
      </c>
    </row>
    <row r="34" spans="2:14">
      <c r="B34" s="100">
        <v>22</v>
      </c>
      <c r="C34" s="146"/>
      <c r="D34" s="147"/>
      <c r="E34" s="147"/>
      <c r="F34" s="49" t="str">
        <f t="shared" si="0"/>
        <v/>
      </c>
      <c r="G34" s="49" t="str">
        <f t="shared" si="1"/>
        <v/>
      </c>
      <c r="H34" s="70" t="str">
        <f t="shared" si="4"/>
        <v/>
      </c>
      <c r="I34" s="150" t="str">
        <f t="shared" si="5"/>
        <v/>
      </c>
      <c r="K34" t="s">
        <v>49</v>
      </c>
      <c r="M34" t="e">
        <f t="shared" si="2"/>
        <v>#VALUE!</v>
      </c>
      <c r="N34" t="str">
        <f t="shared" si="3"/>
        <v/>
      </c>
    </row>
    <row r="35" spans="2:14">
      <c r="B35" s="100">
        <v>23</v>
      </c>
      <c r="C35" s="146"/>
      <c r="D35" s="147"/>
      <c r="E35" s="147"/>
      <c r="F35" s="49" t="str">
        <f t="shared" si="0"/>
        <v/>
      </c>
      <c r="G35" s="49" t="str">
        <f t="shared" si="1"/>
        <v/>
      </c>
      <c r="H35" s="70" t="str">
        <f t="shared" si="4"/>
        <v/>
      </c>
      <c r="I35" s="150" t="str">
        <f t="shared" si="5"/>
        <v/>
      </c>
      <c r="K35" t="s">
        <v>49</v>
      </c>
      <c r="M35" t="e">
        <f t="shared" si="2"/>
        <v>#VALUE!</v>
      </c>
      <c r="N35" t="str">
        <f t="shared" si="3"/>
        <v/>
      </c>
    </row>
    <row r="36" spans="2:14">
      <c r="B36" s="100">
        <v>24</v>
      </c>
      <c r="C36" s="146"/>
      <c r="D36" s="147"/>
      <c r="E36" s="147"/>
      <c r="F36" s="49" t="str">
        <f t="shared" si="0"/>
        <v/>
      </c>
      <c r="G36" s="49" t="str">
        <f t="shared" si="1"/>
        <v/>
      </c>
      <c r="H36" s="70" t="str">
        <f t="shared" si="4"/>
        <v/>
      </c>
      <c r="I36" s="150" t="str">
        <f t="shared" si="5"/>
        <v/>
      </c>
      <c r="K36" t="s">
        <v>49</v>
      </c>
      <c r="M36" t="e">
        <f t="shared" si="2"/>
        <v>#VALUE!</v>
      </c>
      <c r="N36" t="str">
        <f t="shared" si="3"/>
        <v/>
      </c>
    </row>
    <row r="37" spans="2:14" ht="14.25" thickBot="1">
      <c r="B37" s="101">
        <v>25</v>
      </c>
      <c r="C37" s="144"/>
      <c r="D37" s="145"/>
      <c r="E37" s="145"/>
      <c r="F37" s="57" t="str">
        <f t="shared" si="0"/>
        <v/>
      </c>
      <c r="G37" s="57" t="str">
        <f t="shared" si="1"/>
        <v/>
      </c>
      <c r="H37" s="71" t="str">
        <f t="shared" si="4"/>
        <v/>
      </c>
      <c r="I37" s="151" t="str">
        <f t="shared" si="5"/>
        <v/>
      </c>
      <c r="K37" t="s">
        <v>49</v>
      </c>
      <c r="M37" t="e">
        <f t="shared" si="2"/>
        <v>#VALUE!</v>
      </c>
      <c r="N37" t="str">
        <f t="shared" si="3"/>
        <v/>
      </c>
    </row>
  </sheetData>
  <sheetProtection sheet="1" objects="1" scenarios="1"/>
  <protectedRanges>
    <protectedRange sqref="D2:H3 D9:H10 C13:E37" name="編集許可"/>
  </protectedRanges>
  <mergeCells count="16">
    <mergeCell ref="B2:C2"/>
    <mergeCell ref="B3:C3"/>
    <mergeCell ref="B4:C4"/>
    <mergeCell ref="B6:C6"/>
    <mergeCell ref="B7:C7"/>
    <mergeCell ref="D2:H2"/>
    <mergeCell ref="D3:H3"/>
    <mergeCell ref="D4:H4"/>
    <mergeCell ref="D6:H6"/>
    <mergeCell ref="D7:H7"/>
    <mergeCell ref="B9:C9"/>
    <mergeCell ref="D8:H8"/>
    <mergeCell ref="D9:H9"/>
    <mergeCell ref="D10:H10"/>
    <mergeCell ref="B10:C10"/>
    <mergeCell ref="B8:C8"/>
  </mergeCells>
  <phoneticPr fontId="2"/>
  <conditionalFormatting sqref="C13:C37">
    <cfRule type="expression" dxfId="9" priority="4">
      <formula>14&lt;LEN($D$6)+LEN($C13)</formula>
    </cfRule>
  </conditionalFormatting>
  <conditionalFormatting sqref="D5">
    <cfRule type="containsText" dxfId="8" priority="1" operator="containsText" text="NG">
      <formula>NOT(ISERROR(SEARCH("NG",D5)))</formula>
    </cfRule>
  </conditionalFormatting>
  <conditionalFormatting sqref="D6">
    <cfRule type="expression" dxfId="7" priority="3">
      <formula>14 &lt; LEN($D$6)</formula>
    </cfRule>
  </conditionalFormatting>
  <dataValidations count="3">
    <dataValidation type="list" allowBlank="1" showInputMessage="1" showErrorMessage="1" sqref="E13:E37" xr:uid="{00000000-0002-0000-0200-000000000000}">
      <formula1>"○,－"</formula1>
    </dataValidation>
    <dataValidation type="list" allowBlank="1" showInputMessage="1" showErrorMessage="1" sqref="D13:D37" xr:uid="{00000000-0002-0000-0200-000001000000}">
      <formula1>$K$13:$K$37</formula1>
    </dataValidation>
    <dataValidation type="list" allowBlank="1" showInputMessage="1" showErrorMessage="1" sqref="D9" xr:uid="{00000000-0002-0000-0200-000002000000}">
      <formula1>$L$13:$L$14</formula1>
    </dataValidation>
  </dataValidations>
  <pageMargins left="0.7" right="0.7" top="0.75" bottom="0.75" header="0.3" footer="0.3"/>
  <headerFooter>
    <oddHeader>&amp;C&amp;"Calibri"&amp;10&amp;KFF0000 CONFIDENTIAL&amp;1#_x000D_</oddHeader>
  </headerFooter>
  <legacy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7">
    <tabColor rgb="FFCCFFCC"/>
  </sheetPr>
  <dimension ref="B2:R59"/>
  <sheetViews>
    <sheetView zoomScaleNormal="100" workbookViewId="0"/>
  </sheetViews>
  <sheetFormatPr defaultRowHeight="13.5"/>
  <cols>
    <col min="2" max="2" width="3.75" bestFit="1" customWidth="1"/>
    <col min="3" max="3" width="19.125" bestFit="1" customWidth="1"/>
    <col min="4" max="4" width="13" customWidth="1"/>
    <col min="5" max="5" width="36.5" customWidth="1"/>
    <col min="6" max="6" width="52.75" customWidth="1"/>
    <col min="7" max="7" width="7.125" bestFit="1" customWidth="1"/>
    <col min="8" max="15" width="3.875" customWidth="1"/>
    <col min="16" max="16" width="9.875" customWidth="1"/>
    <col min="17" max="17" width="44.625" customWidth="1"/>
    <col min="18" max="18" width="73.625" customWidth="1"/>
  </cols>
  <sheetData>
    <row r="2" spans="2:18" ht="14.25" thickBot="1">
      <c r="B2" t="s">
        <v>202</v>
      </c>
      <c r="O2" t="s">
        <v>204</v>
      </c>
    </row>
    <row r="3" spans="2:18" ht="14.25" thickBot="1">
      <c r="B3" s="143" t="s">
        <v>34</v>
      </c>
      <c r="C3" s="108" t="s">
        <v>192</v>
      </c>
      <c r="D3" s="108" t="s">
        <v>198</v>
      </c>
      <c r="E3" s="109" t="s">
        <v>199</v>
      </c>
      <c r="F3" s="183" t="s">
        <v>194</v>
      </c>
      <c r="G3" s="180" t="s">
        <v>207</v>
      </c>
      <c r="H3" s="48"/>
      <c r="I3" s="48"/>
      <c r="J3" s="48"/>
      <c r="K3" s="48"/>
      <c r="L3" s="48"/>
      <c r="M3" s="48"/>
      <c r="O3" s="143" t="s">
        <v>34</v>
      </c>
      <c r="P3" s="179" t="s">
        <v>188</v>
      </c>
      <c r="Q3" s="179" t="s">
        <v>201</v>
      </c>
      <c r="R3" s="180" t="s">
        <v>194</v>
      </c>
    </row>
    <row r="4" spans="2:18" ht="14.25" hidden="1" thickTop="1">
      <c r="B4" s="171">
        <v>0</v>
      </c>
      <c r="C4" s="172" t="s">
        <v>176</v>
      </c>
      <c r="D4" s="172"/>
      <c r="E4" s="173"/>
      <c r="F4" s="184"/>
      <c r="G4" s="185"/>
      <c r="H4" s="48"/>
      <c r="I4" s="48"/>
      <c r="J4" s="48"/>
      <c r="K4" s="48"/>
      <c r="L4" s="48"/>
      <c r="M4" s="48"/>
      <c r="O4" s="181">
        <v>0</v>
      </c>
      <c r="P4" s="178" t="s">
        <v>176</v>
      </c>
      <c r="Q4" s="178" t="s">
        <v>176</v>
      </c>
      <c r="R4" s="142"/>
    </row>
    <row r="5" spans="2:18" ht="14.25" thickTop="1">
      <c r="B5" s="174">
        <v>1</v>
      </c>
      <c r="C5" s="147"/>
      <c r="D5" s="26"/>
      <c r="E5" s="70" t="str">
        <f>IF($C5&lt;&gt;"","ALERT_" &amp; D5 &amp; "_ID_"&amp;UPPER(Matrix!$D$6) &amp; "_" &amp; $C5,"")</f>
        <v/>
      </c>
      <c r="F5" s="119"/>
      <c r="G5" s="70" t="str">
        <f>IF(E5&lt;&gt;"",LEN(E5),"")</f>
        <v/>
      </c>
      <c r="O5" s="174">
        <v>1</v>
      </c>
      <c r="P5" s="147"/>
      <c r="Q5" s="147"/>
      <c r="R5" s="187"/>
    </row>
    <row r="6" spans="2:18">
      <c r="B6" s="174">
        <v>2</v>
      </c>
      <c r="C6" s="147"/>
      <c r="D6" s="26"/>
      <c r="E6" s="70" t="str">
        <f>IF($C6&lt;&gt;"","ALERT_" &amp; D6 &amp; "_ID_"&amp;UPPER(Matrix!$D$6) &amp; "_" &amp; $C6,"")</f>
        <v/>
      </c>
      <c r="F6" s="119"/>
      <c r="G6" s="70" t="str">
        <f t="shared" ref="G6:G29" si="0">IF(E6&lt;&gt;"",LEN(E6),"")</f>
        <v/>
      </c>
      <c r="O6" s="174">
        <v>2</v>
      </c>
      <c r="P6" s="147"/>
      <c r="Q6" s="147"/>
      <c r="R6" s="120"/>
    </row>
    <row r="7" spans="2:18">
      <c r="B7" s="174">
        <v>3</v>
      </c>
      <c r="C7" s="147"/>
      <c r="D7" s="26"/>
      <c r="E7" s="70" t="str">
        <f>IF($C7&lt;&gt;"","ALERT_" &amp; D7 &amp; "_ID_"&amp;UPPER(Matrix!$D$6) &amp; "_" &amp; $C7,"")</f>
        <v/>
      </c>
      <c r="F7" s="119"/>
      <c r="G7" s="70" t="str">
        <f t="shared" si="0"/>
        <v/>
      </c>
      <c r="O7" s="174">
        <v>3</v>
      </c>
      <c r="P7" s="147"/>
      <c r="Q7" s="147"/>
      <c r="R7" s="120"/>
    </row>
    <row r="8" spans="2:18">
      <c r="B8" s="174">
        <v>4</v>
      </c>
      <c r="C8" s="147"/>
      <c r="D8" s="26"/>
      <c r="E8" s="70" t="str">
        <f>IF($C8&lt;&gt;"","ALERT_" &amp; D8 &amp; "_ID_"&amp;UPPER(Matrix!$D$6) &amp; "_" &amp; $C8,"")</f>
        <v/>
      </c>
      <c r="F8" s="119"/>
      <c r="G8" s="70" t="str">
        <f t="shared" si="0"/>
        <v/>
      </c>
      <c r="O8" s="174">
        <v>4</v>
      </c>
      <c r="P8" s="147"/>
      <c r="Q8" s="147"/>
      <c r="R8" s="120"/>
    </row>
    <row r="9" spans="2:18">
      <c r="B9" s="174">
        <v>5</v>
      </c>
      <c r="C9" s="147"/>
      <c r="D9" s="26"/>
      <c r="E9" s="70" t="str">
        <f>IF($C9&lt;&gt;"","ALERT_" &amp; D9 &amp; "_ID_"&amp;UPPER(Matrix!$D$6) &amp; "_" &amp; $C9,"")</f>
        <v/>
      </c>
      <c r="F9" s="119"/>
      <c r="G9" s="70" t="str">
        <f t="shared" si="0"/>
        <v/>
      </c>
      <c r="O9" s="174">
        <v>5</v>
      </c>
      <c r="P9" s="147"/>
      <c r="Q9" s="147"/>
      <c r="R9" s="120"/>
    </row>
    <row r="10" spans="2:18">
      <c r="B10" s="174">
        <v>6</v>
      </c>
      <c r="C10" s="147"/>
      <c r="D10" s="26"/>
      <c r="E10" s="70" t="str">
        <f>IF($C10&lt;&gt;"","ALERT_" &amp; D10 &amp; "_ID_"&amp;UPPER(Matrix!$D$6) &amp; "_" &amp; $C10,"")</f>
        <v/>
      </c>
      <c r="F10" s="119"/>
      <c r="G10" s="70" t="str">
        <f t="shared" si="0"/>
        <v/>
      </c>
      <c r="O10" s="174">
        <v>6</v>
      </c>
      <c r="P10" s="147"/>
      <c r="Q10" s="147"/>
      <c r="R10" s="120"/>
    </row>
    <row r="11" spans="2:18">
      <c r="B11" s="174">
        <v>7</v>
      </c>
      <c r="C11" s="147"/>
      <c r="D11" s="26"/>
      <c r="E11" s="70" t="str">
        <f>IF($C11&lt;&gt;"","ALERT_" &amp; D11 &amp; "_ID_"&amp;UPPER(Matrix!$D$6) &amp; "_" &amp; $C11,"")</f>
        <v/>
      </c>
      <c r="F11" s="119"/>
      <c r="G11" s="70" t="str">
        <f t="shared" si="0"/>
        <v/>
      </c>
      <c r="O11" s="174">
        <v>7</v>
      </c>
      <c r="P11" s="147"/>
      <c r="Q11" s="147"/>
      <c r="R11" s="120"/>
    </row>
    <row r="12" spans="2:18">
      <c r="B12" s="174">
        <v>8</v>
      </c>
      <c r="C12" s="147"/>
      <c r="D12" s="26"/>
      <c r="E12" s="70" t="str">
        <f>IF($C12&lt;&gt;"","ALERT_" &amp; D12 &amp; "_ID_"&amp;UPPER(Matrix!$D$6) &amp; "_" &amp; $C12,"")</f>
        <v/>
      </c>
      <c r="F12" s="119"/>
      <c r="G12" s="70" t="str">
        <f t="shared" si="0"/>
        <v/>
      </c>
      <c r="O12" s="174">
        <v>8</v>
      </c>
      <c r="P12" s="147"/>
      <c r="Q12" s="147"/>
      <c r="R12" s="120"/>
    </row>
    <row r="13" spans="2:18">
      <c r="B13" s="174">
        <v>9</v>
      </c>
      <c r="C13" s="147"/>
      <c r="D13" s="26"/>
      <c r="E13" s="70" t="str">
        <f>IF($C13&lt;&gt;"","ALERT_" &amp; D13 &amp; "_ID_"&amp;UPPER(Matrix!$D$6) &amp; "_" &amp; $C13,"")</f>
        <v/>
      </c>
      <c r="F13" s="119"/>
      <c r="G13" s="70" t="str">
        <f t="shared" si="0"/>
        <v/>
      </c>
      <c r="O13" s="174">
        <v>9</v>
      </c>
      <c r="P13" s="147"/>
      <c r="Q13" s="147"/>
      <c r="R13" s="120"/>
    </row>
    <row r="14" spans="2:18">
      <c r="B14" s="174">
        <v>10</v>
      </c>
      <c r="C14" s="147"/>
      <c r="D14" s="26"/>
      <c r="E14" s="70" t="str">
        <f>IF($C14&lt;&gt;"","ALERT_" &amp; D14 &amp; "_ID_"&amp;UPPER(Matrix!$D$6) &amp; "_" &amp; $C14,"")</f>
        <v/>
      </c>
      <c r="F14" s="119"/>
      <c r="G14" s="70" t="str">
        <f t="shared" si="0"/>
        <v/>
      </c>
      <c r="O14" s="174">
        <v>10</v>
      </c>
      <c r="P14" s="147"/>
      <c r="Q14" s="147"/>
      <c r="R14" s="120"/>
    </row>
    <row r="15" spans="2:18">
      <c r="B15" s="174">
        <v>11</v>
      </c>
      <c r="C15" s="147"/>
      <c r="D15" s="26"/>
      <c r="E15" s="70" t="str">
        <f>IF($C15&lt;&gt;"","ALERT_" &amp; D15 &amp; "_ID_"&amp;UPPER(Matrix!$D$6) &amp; "_" &amp; $C15,"")</f>
        <v/>
      </c>
      <c r="F15" s="119"/>
      <c r="G15" s="70" t="str">
        <f t="shared" si="0"/>
        <v/>
      </c>
      <c r="O15" s="174">
        <v>11</v>
      </c>
      <c r="P15" s="147"/>
      <c r="Q15" s="147"/>
      <c r="R15" s="120"/>
    </row>
    <row r="16" spans="2:18">
      <c r="B16" s="174">
        <v>12</v>
      </c>
      <c r="C16" s="147"/>
      <c r="D16" s="26"/>
      <c r="E16" s="70" t="str">
        <f>IF($C16&lt;&gt;"","ALERT_" &amp; D16 &amp; "_ID_"&amp;UPPER(Matrix!$D$6) &amp; "_" &amp; $C16,"")</f>
        <v/>
      </c>
      <c r="F16" s="119"/>
      <c r="G16" s="70" t="str">
        <f t="shared" si="0"/>
        <v/>
      </c>
      <c r="O16" s="174">
        <v>12</v>
      </c>
      <c r="P16" s="147"/>
      <c r="Q16" s="147"/>
      <c r="R16" s="120"/>
    </row>
    <row r="17" spans="2:18">
      <c r="B17" s="174">
        <v>13</v>
      </c>
      <c r="C17" s="147"/>
      <c r="D17" s="26"/>
      <c r="E17" s="70" t="str">
        <f>IF($C17&lt;&gt;"","ALERT_" &amp; D17 &amp; "_ID_"&amp;UPPER(Matrix!$D$6) &amp; "_" &amp; $C17,"")</f>
        <v/>
      </c>
      <c r="F17" s="119"/>
      <c r="G17" s="70" t="str">
        <f t="shared" si="0"/>
        <v/>
      </c>
      <c r="O17" s="174">
        <v>13</v>
      </c>
      <c r="P17" s="147"/>
      <c r="Q17" s="147"/>
      <c r="R17" s="120"/>
    </row>
    <row r="18" spans="2:18">
      <c r="B18" s="174">
        <v>14</v>
      </c>
      <c r="C18" s="147"/>
      <c r="D18" s="26"/>
      <c r="E18" s="70" t="str">
        <f>IF($C18&lt;&gt;"","ALERT_" &amp; D18 &amp; "_ID_"&amp;UPPER(Matrix!$D$6) &amp; "_" &amp; $C18,"")</f>
        <v/>
      </c>
      <c r="F18" s="119"/>
      <c r="G18" s="70" t="str">
        <f t="shared" si="0"/>
        <v/>
      </c>
      <c r="O18" s="174">
        <v>14</v>
      </c>
      <c r="P18" s="147"/>
      <c r="Q18" s="147"/>
      <c r="R18" s="120"/>
    </row>
    <row r="19" spans="2:18">
      <c r="B19" s="174">
        <v>15</v>
      </c>
      <c r="C19" s="147"/>
      <c r="D19" s="26"/>
      <c r="E19" s="70" t="str">
        <f>IF($C19&lt;&gt;"","ALERT_" &amp; D19 &amp; "_ID_"&amp;UPPER(Matrix!$D$6) &amp; "_" &amp; $C19,"")</f>
        <v/>
      </c>
      <c r="F19" s="119"/>
      <c r="G19" s="70" t="str">
        <f t="shared" si="0"/>
        <v/>
      </c>
      <c r="O19" s="174">
        <v>15</v>
      </c>
      <c r="P19" s="147"/>
      <c r="Q19" s="147"/>
      <c r="R19" s="120"/>
    </row>
    <row r="20" spans="2:18">
      <c r="B20" s="174">
        <v>16</v>
      </c>
      <c r="C20" s="147"/>
      <c r="D20" s="26"/>
      <c r="E20" s="70" t="str">
        <f>IF($C20&lt;&gt;"","ALERT_" &amp; D20 &amp; "_ID_"&amp;UPPER(Matrix!$D$6) &amp; "_" &amp; $C20,"")</f>
        <v/>
      </c>
      <c r="F20" s="119"/>
      <c r="G20" s="70" t="str">
        <f t="shared" si="0"/>
        <v/>
      </c>
      <c r="O20" s="174">
        <v>16</v>
      </c>
      <c r="P20" s="147"/>
      <c r="Q20" s="147"/>
      <c r="R20" s="120"/>
    </row>
    <row r="21" spans="2:18">
      <c r="B21" s="174">
        <v>17</v>
      </c>
      <c r="C21" s="147"/>
      <c r="D21" s="26"/>
      <c r="E21" s="70" t="str">
        <f>IF($C21&lt;&gt;"","ALERT_" &amp; D21 &amp; "_ID_"&amp;UPPER(Matrix!$D$6) &amp; "_" &amp; $C21,"")</f>
        <v/>
      </c>
      <c r="F21" s="119"/>
      <c r="G21" s="70" t="str">
        <f t="shared" si="0"/>
        <v/>
      </c>
      <c r="O21" s="174">
        <v>17</v>
      </c>
      <c r="P21" s="147"/>
      <c r="Q21" s="147"/>
      <c r="R21" s="120"/>
    </row>
    <row r="22" spans="2:18">
      <c r="B22" s="174">
        <v>18</v>
      </c>
      <c r="C22" s="147"/>
      <c r="D22" s="26"/>
      <c r="E22" s="70" t="str">
        <f>IF($C22&lt;&gt;"","ALERT_" &amp; D22 &amp; "_ID_"&amp;UPPER(Matrix!$D$6) &amp; "_" &amp; $C22,"")</f>
        <v/>
      </c>
      <c r="F22" s="119"/>
      <c r="G22" s="70" t="str">
        <f t="shared" si="0"/>
        <v/>
      </c>
      <c r="O22" s="174">
        <v>18</v>
      </c>
      <c r="P22" s="147"/>
      <c r="Q22" s="147"/>
      <c r="R22" s="120"/>
    </row>
    <row r="23" spans="2:18">
      <c r="B23" s="174">
        <v>19</v>
      </c>
      <c r="C23" s="147"/>
      <c r="D23" s="26"/>
      <c r="E23" s="70" t="str">
        <f>IF($C23&lt;&gt;"","ALERT_" &amp; D23 &amp; "_ID_"&amp;UPPER(Matrix!$D$6) &amp; "_" &amp; $C23,"")</f>
        <v/>
      </c>
      <c r="F23" s="119"/>
      <c r="G23" s="70" t="str">
        <f t="shared" si="0"/>
        <v/>
      </c>
      <c r="O23" s="174">
        <v>19</v>
      </c>
      <c r="P23" s="147"/>
      <c r="Q23" s="147"/>
      <c r="R23" s="120"/>
    </row>
    <row r="24" spans="2:18">
      <c r="B24" s="174">
        <v>20</v>
      </c>
      <c r="C24" s="147"/>
      <c r="D24" s="26"/>
      <c r="E24" s="70" t="str">
        <f>IF($C24&lt;&gt;"","ALERT_" &amp; D24 &amp; "_ID_"&amp;UPPER(Matrix!$D$6) &amp; "_" &amp; $C24,"")</f>
        <v/>
      </c>
      <c r="F24" s="119"/>
      <c r="G24" s="70" t="str">
        <f t="shared" si="0"/>
        <v/>
      </c>
      <c r="O24" s="174">
        <v>20</v>
      </c>
      <c r="P24" s="147"/>
      <c r="Q24" s="147"/>
      <c r="R24" s="120"/>
    </row>
    <row r="25" spans="2:18">
      <c r="B25" s="174">
        <v>21</v>
      </c>
      <c r="C25" s="147"/>
      <c r="D25" s="26"/>
      <c r="E25" s="70" t="str">
        <f>IF($C25&lt;&gt;"","ALERT_" &amp; D25 &amp; "_ID_"&amp;UPPER(Matrix!$D$6) &amp; "_" &amp; $C25,"")</f>
        <v/>
      </c>
      <c r="F25" s="119"/>
      <c r="G25" s="70" t="str">
        <f t="shared" si="0"/>
        <v/>
      </c>
      <c r="O25" s="174">
        <v>21</v>
      </c>
      <c r="P25" s="147"/>
      <c r="Q25" s="147"/>
      <c r="R25" s="120"/>
    </row>
    <row r="26" spans="2:18">
      <c r="B26" s="174">
        <v>22</v>
      </c>
      <c r="C26" s="147"/>
      <c r="D26" s="26"/>
      <c r="E26" s="70" t="str">
        <f>IF($C26&lt;&gt;"","ALERT_" &amp; D26 &amp; "_ID_"&amp;UPPER(Matrix!$D$6) &amp; "_" &amp; $C26,"")</f>
        <v/>
      </c>
      <c r="F26" s="119"/>
      <c r="G26" s="70" t="str">
        <f t="shared" si="0"/>
        <v/>
      </c>
      <c r="O26" s="174">
        <v>22</v>
      </c>
      <c r="P26" s="147"/>
      <c r="Q26" s="147"/>
      <c r="R26" s="120"/>
    </row>
    <row r="27" spans="2:18">
      <c r="B27" s="174">
        <v>23</v>
      </c>
      <c r="C27" s="147"/>
      <c r="D27" s="26"/>
      <c r="E27" s="70" t="str">
        <f>IF($C27&lt;&gt;"","ALERT_" &amp; D27 &amp; "_ID_"&amp;UPPER(Matrix!$D$6) &amp; "_" &amp; $C27,"")</f>
        <v/>
      </c>
      <c r="F27" s="119"/>
      <c r="G27" s="70" t="str">
        <f t="shared" si="0"/>
        <v/>
      </c>
      <c r="O27" s="174">
        <v>23</v>
      </c>
      <c r="P27" s="147"/>
      <c r="Q27" s="147"/>
      <c r="R27" s="120"/>
    </row>
    <row r="28" spans="2:18">
      <c r="B28" s="174">
        <v>24</v>
      </c>
      <c r="C28" s="147"/>
      <c r="D28" s="26"/>
      <c r="E28" s="70" t="str">
        <f>IF($C28&lt;&gt;"","ALERT_" &amp; D28 &amp; "_ID_"&amp;UPPER(Matrix!$D$6) &amp; "_" &amp; $C28,"")</f>
        <v/>
      </c>
      <c r="F28" s="119"/>
      <c r="G28" s="70" t="str">
        <f t="shared" si="0"/>
        <v/>
      </c>
      <c r="O28" s="174">
        <v>24</v>
      </c>
      <c r="P28" s="147"/>
      <c r="Q28" s="147"/>
      <c r="R28" s="120"/>
    </row>
    <row r="29" spans="2:18" ht="14.25" thickBot="1">
      <c r="B29" s="175">
        <v>25</v>
      </c>
      <c r="C29" s="145"/>
      <c r="D29" s="56"/>
      <c r="E29" s="71" t="str">
        <f>IF($C29&lt;&gt;"","ALERT_" &amp; D29 &amp; "_ID_"&amp;UPPER(Matrix!$D$6) &amp; "_" &amp; $C29,"")</f>
        <v/>
      </c>
      <c r="F29" s="121"/>
      <c r="G29" s="71" t="str">
        <f t="shared" si="0"/>
        <v/>
      </c>
      <c r="O29" s="175">
        <v>25</v>
      </c>
      <c r="P29" s="145"/>
      <c r="Q29" s="145"/>
      <c r="R29" s="122"/>
    </row>
    <row r="32" spans="2:18" ht="14.25" thickBot="1">
      <c r="B32" t="s">
        <v>203</v>
      </c>
      <c r="O32" t="s">
        <v>200</v>
      </c>
    </row>
    <row r="33" spans="2:18" ht="14.25" thickBot="1">
      <c r="B33" s="143" t="s">
        <v>34</v>
      </c>
      <c r="C33" s="108" t="s">
        <v>192</v>
      </c>
      <c r="D33" s="108" t="s">
        <v>197</v>
      </c>
      <c r="E33" s="109" t="s">
        <v>195</v>
      </c>
      <c r="F33" s="180" t="s">
        <v>196</v>
      </c>
      <c r="G33" s="180" t="s">
        <v>207</v>
      </c>
      <c r="O33" s="143" t="s">
        <v>34</v>
      </c>
      <c r="P33" s="179" t="s">
        <v>189</v>
      </c>
      <c r="Q33" s="179" t="s">
        <v>205</v>
      </c>
      <c r="R33" s="180" t="s">
        <v>193</v>
      </c>
    </row>
    <row r="34" spans="2:18" ht="14.25" hidden="1" thickTop="1">
      <c r="B34" s="171">
        <v>0</v>
      </c>
      <c r="C34" s="172" t="s">
        <v>176</v>
      </c>
      <c r="D34" s="172"/>
      <c r="E34" s="173"/>
      <c r="F34" s="182" t="s">
        <v>176</v>
      </c>
      <c r="G34" s="185"/>
      <c r="O34" s="181">
        <v>0</v>
      </c>
      <c r="P34" s="178" t="s">
        <v>176</v>
      </c>
      <c r="Q34" s="178" t="s">
        <v>176</v>
      </c>
      <c r="R34" s="182" t="s">
        <v>176</v>
      </c>
    </row>
    <row r="35" spans="2:18" ht="14.25" thickTop="1">
      <c r="B35" s="174">
        <v>1</v>
      </c>
      <c r="C35" s="147"/>
      <c r="D35" s="26"/>
      <c r="E35" s="70" t="str">
        <f>IF($C35&lt;&gt;"","ALERT_" &amp; UPPER(Matrix!$D$6) &amp; "_" &amp; $C35,"")</f>
        <v/>
      </c>
      <c r="F35" s="176"/>
      <c r="G35" s="70" t="str">
        <f>IF(E35&lt;&gt;"",LEN(E35),"")</f>
        <v/>
      </c>
      <c r="O35" s="174">
        <v>1</v>
      </c>
      <c r="P35" s="147"/>
      <c r="Q35" s="147"/>
      <c r="R35" s="176"/>
    </row>
    <row r="36" spans="2:18">
      <c r="B36" s="174">
        <v>2</v>
      </c>
      <c r="C36" s="147"/>
      <c r="D36" s="26"/>
      <c r="E36" s="70" t="str">
        <f>IF($C36&lt;&gt;"","ALERT_" &amp; UPPER(Matrix!$D$6) &amp; "_" &amp; $C36,"")</f>
        <v/>
      </c>
      <c r="F36" s="176"/>
      <c r="G36" s="70" t="str">
        <f>IF(E36&lt;&gt;"",LEN(E36),"")</f>
        <v/>
      </c>
      <c r="O36" s="174">
        <v>2</v>
      </c>
      <c r="P36" s="147"/>
      <c r="Q36" s="147"/>
      <c r="R36" s="176"/>
    </row>
    <row r="37" spans="2:18">
      <c r="B37" s="174">
        <v>3</v>
      </c>
      <c r="C37" s="147"/>
      <c r="D37" s="26"/>
      <c r="E37" s="70" t="str">
        <f>IF($C37&lt;&gt;"","ALERT_" &amp; UPPER(Matrix!$D$6) &amp; "_" &amp; $C37,"")</f>
        <v/>
      </c>
      <c r="F37" s="176"/>
      <c r="G37" s="70" t="str">
        <f>IF(E37&lt;&gt;"",LEN(E37),"")</f>
        <v/>
      </c>
      <c r="O37" s="174">
        <v>3</v>
      </c>
      <c r="P37" s="147"/>
      <c r="Q37" s="147"/>
      <c r="R37" s="176"/>
    </row>
    <row r="38" spans="2:18">
      <c r="B38" s="174">
        <v>4</v>
      </c>
      <c r="C38" s="147"/>
      <c r="D38" s="26"/>
      <c r="E38" s="70" t="str">
        <f>IF($C38&lt;&gt;"","ALERT_" &amp; UPPER(Matrix!$D$6) &amp; "_" &amp; $C38,"")</f>
        <v/>
      </c>
      <c r="F38" s="176"/>
      <c r="G38" s="70" t="str">
        <f t="shared" ref="G38:G59" si="1">IF(E38&lt;&gt;"",LEN(E38),"")</f>
        <v/>
      </c>
      <c r="O38" s="174">
        <v>4</v>
      </c>
      <c r="P38" s="147"/>
      <c r="Q38" s="147"/>
      <c r="R38" s="176"/>
    </row>
    <row r="39" spans="2:18">
      <c r="B39" s="174">
        <v>5</v>
      </c>
      <c r="C39" s="147"/>
      <c r="D39" s="26"/>
      <c r="E39" s="70" t="str">
        <f>IF($C39&lt;&gt;"","ALERT_" &amp; UPPER(Matrix!$D$6) &amp; "_" &amp; $C39,"")</f>
        <v/>
      </c>
      <c r="F39" s="176"/>
      <c r="G39" s="70" t="str">
        <f t="shared" si="1"/>
        <v/>
      </c>
      <c r="O39" s="174">
        <v>5</v>
      </c>
      <c r="P39" s="147"/>
      <c r="Q39" s="147"/>
      <c r="R39" s="176"/>
    </row>
    <row r="40" spans="2:18">
      <c r="B40" s="174">
        <v>6</v>
      </c>
      <c r="C40" s="147"/>
      <c r="D40" s="26"/>
      <c r="E40" s="70" t="str">
        <f>IF($C40&lt;&gt;"","ALERT_" &amp; UPPER(Matrix!$D$6) &amp; "_" &amp; $C40,"")</f>
        <v/>
      </c>
      <c r="F40" s="176"/>
      <c r="G40" s="70" t="str">
        <f t="shared" si="1"/>
        <v/>
      </c>
      <c r="O40" s="174">
        <v>6</v>
      </c>
      <c r="P40" s="147"/>
      <c r="Q40" s="147"/>
      <c r="R40" s="176"/>
    </row>
    <row r="41" spans="2:18">
      <c r="B41" s="174">
        <v>7</v>
      </c>
      <c r="C41" s="147"/>
      <c r="D41" s="26"/>
      <c r="E41" s="70" t="str">
        <f>IF($C41&lt;&gt;"","ALERT_" &amp; UPPER(Matrix!$D$6) &amp; "_" &amp; $C41,"")</f>
        <v/>
      </c>
      <c r="F41" s="176"/>
      <c r="G41" s="70" t="str">
        <f t="shared" si="1"/>
        <v/>
      </c>
      <c r="O41" s="174">
        <v>7</v>
      </c>
      <c r="P41" s="147"/>
      <c r="Q41" s="147"/>
      <c r="R41" s="176"/>
    </row>
    <row r="42" spans="2:18">
      <c r="B42" s="174">
        <v>8</v>
      </c>
      <c r="C42" s="147"/>
      <c r="D42" s="26"/>
      <c r="E42" s="70" t="str">
        <f>IF($C42&lt;&gt;"","ALERT_" &amp; UPPER(Matrix!$D$6) &amp; "_" &amp; $C42,"")</f>
        <v/>
      </c>
      <c r="F42" s="176"/>
      <c r="G42" s="70" t="str">
        <f t="shared" si="1"/>
        <v/>
      </c>
      <c r="O42" s="174">
        <v>8</v>
      </c>
      <c r="P42" s="147"/>
      <c r="Q42" s="147"/>
      <c r="R42" s="176"/>
    </row>
    <row r="43" spans="2:18">
      <c r="B43" s="174">
        <v>9</v>
      </c>
      <c r="C43" s="147"/>
      <c r="D43" s="26"/>
      <c r="E43" s="70" t="str">
        <f>IF($C43&lt;&gt;"","ALERT_" &amp; UPPER(Matrix!$D$6) &amp; "_" &amp; $C43,"")</f>
        <v/>
      </c>
      <c r="F43" s="176"/>
      <c r="G43" s="70" t="str">
        <f t="shared" si="1"/>
        <v/>
      </c>
      <c r="O43" s="174">
        <v>9</v>
      </c>
      <c r="P43" s="147"/>
      <c r="Q43" s="147"/>
      <c r="R43" s="176"/>
    </row>
    <row r="44" spans="2:18">
      <c r="B44" s="174">
        <v>10</v>
      </c>
      <c r="C44" s="147"/>
      <c r="D44" s="26"/>
      <c r="E44" s="70" t="str">
        <f>IF($C44&lt;&gt;"","ALERT_" &amp; UPPER(Matrix!$D$6) &amp; "_" &amp; $C44,"")</f>
        <v/>
      </c>
      <c r="F44" s="176"/>
      <c r="G44" s="70" t="str">
        <f t="shared" si="1"/>
        <v/>
      </c>
      <c r="O44" s="174">
        <v>10</v>
      </c>
      <c r="P44" s="147"/>
      <c r="Q44" s="147"/>
      <c r="R44" s="176"/>
    </row>
    <row r="45" spans="2:18">
      <c r="B45" s="174">
        <v>11</v>
      </c>
      <c r="C45" s="147"/>
      <c r="D45" s="26"/>
      <c r="E45" s="70" t="str">
        <f>IF($C45&lt;&gt;"","ALERT_" &amp; UPPER(Matrix!$D$6) &amp; "_" &amp; $C45,"")</f>
        <v/>
      </c>
      <c r="F45" s="176"/>
      <c r="G45" s="70" t="str">
        <f t="shared" si="1"/>
        <v/>
      </c>
      <c r="O45" s="174">
        <v>11</v>
      </c>
      <c r="P45" s="147"/>
      <c r="Q45" s="147"/>
      <c r="R45" s="176"/>
    </row>
    <row r="46" spans="2:18">
      <c r="B46" s="174">
        <v>12</v>
      </c>
      <c r="C46" s="147"/>
      <c r="D46" s="26"/>
      <c r="E46" s="70" t="str">
        <f>IF($C46&lt;&gt;"","ALERT_" &amp; UPPER(Matrix!$D$6) &amp; "_" &amp; $C46,"")</f>
        <v/>
      </c>
      <c r="F46" s="176"/>
      <c r="G46" s="70" t="str">
        <f t="shared" si="1"/>
        <v/>
      </c>
      <c r="O46" s="174">
        <v>12</v>
      </c>
      <c r="P46" s="147"/>
      <c r="Q46" s="147"/>
      <c r="R46" s="176"/>
    </row>
    <row r="47" spans="2:18">
      <c r="B47" s="174">
        <v>13</v>
      </c>
      <c r="C47" s="147"/>
      <c r="D47" s="26"/>
      <c r="E47" s="70" t="str">
        <f>IF($C47&lt;&gt;"","ALERT_" &amp; UPPER(Matrix!$D$6) &amp; "_" &amp; $C47,"")</f>
        <v/>
      </c>
      <c r="F47" s="176"/>
      <c r="G47" s="70" t="str">
        <f t="shared" si="1"/>
        <v/>
      </c>
      <c r="O47" s="174">
        <v>13</v>
      </c>
      <c r="P47" s="147"/>
      <c r="Q47" s="147"/>
      <c r="R47" s="176"/>
    </row>
    <row r="48" spans="2:18">
      <c r="B48" s="174">
        <v>14</v>
      </c>
      <c r="C48" s="147"/>
      <c r="D48" s="26"/>
      <c r="E48" s="70" t="str">
        <f>IF($C48&lt;&gt;"","ALERT_" &amp; UPPER(Matrix!$D$6) &amp; "_" &amp; $C48,"")</f>
        <v/>
      </c>
      <c r="F48" s="176"/>
      <c r="G48" s="70" t="str">
        <f t="shared" si="1"/>
        <v/>
      </c>
      <c r="O48" s="174">
        <v>14</v>
      </c>
      <c r="P48" s="147"/>
      <c r="Q48" s="147"/>
      <c r="R48" s="176"/>
    </row>
    <row r="49" spans="2:18">
      <c r="B49" s="174">
        <v>15</v>
      </c>
      <c r="C49" s="147"/>
      <c r="D49" s="26"/>
      <c r="E49" s="70" t="str">
        <f>IF($C49&lt;&gt;"","ALERT_" &amp; UPPER(Matrix!$D$6) &amp; "_" &amp; $C49,"")</f>
        <v/>
      </c>
      <c r="F49" s="176"/>
      <c r="G49" s="70" t="str">
        <f t="shared" si="1"/>
        <v/>
      </c>
      <c r="O49" s="174">
        <v>15</v>
      </c>
      <c r="P49" s="147"/>
      <c r="Q49" s="147"/>
      <c r="R49" s="176"/>
    </row>
    <row r="50" spans="2:18">
      <c r="B50" s="174">
        <v>16</v>
      </c>
      <c r="C50" s="147"/>
      <c r="D50" s="26"/>
      <c r="E50" s="70" t="str">
        <f>IF($C50&lt;&gt;"","ALERT_" &amp; UPPER(Matrix!$D$6) &amp; "_" &amp; $C50,"")</f>
        <v/>
      </c>
      <c r="F50" s="176"/>
      <c r="G50" s="70" t="str">
        <f t="shared" si="1"/>
        <v/>
      </c>
      <c r="O50" s="174">
        <v>16</v>
      </c>
      <c r="P50" s="147"/>
      <c r="Q50" s="147"/>
      <c r="R50" s="176"/>
    </row>
    <row r="51" spans="2:18">
      <c r="B51" s="174">
        <v>17</v>
      </c>
      <c r="C51" s="147"/>
      <c r="D51" s="26"/>
      <c r="E51" s="70" t="str">
        <f>IF($C51&lt;&gt;"","ALERT_" &amp; UPPER(Matrix!$D$6) &amp; "_" &amp; $C51,"")</f>
        <v/>
      </c>
      <c r="F51" s="176"/>
      <c r="G51" s="70" t="str">
        <f t="shared" si="1"/>
        <v/>
      </c>
      <c r="O51" s="174">
        <v>17</v>
      </c>
      <c r="P51" s="147"/>
      <c r="Q51" s="147"/>
      <c r="R51" s="176"/>
    </row>
    <row r="52" spans="2:18">
      <c r="B52" s="174">
        <v>18</v>
      </c>
      <c r="C52" s="147"/>
      <c r="D52" s="26"/>
      <c r="E52" s="70" t="str">
        <f>IF($C52&lt;&gt;"","ALERT_" &amp; UPPER(Matrix!$D$6) &amp; "_" &amp; $C52,"")</f>
        <v/>
      </c>
      <c r="F52" s="176"/>
      <c r="G52" s="70" t="str">
        <f t="shared" si="1"/>
        <v/>
      </c>
      <c r="O52" s="174">
        <v>18</v>
      </c>
      <c r="P52" s="147"/>
      <c r="Q52" s="147"/>
      <c r="R52" s="176"/>
    </row>
    <row r="53" spans="2:18">
      <c r="B53" s="174">
        <v>19</v>
      </c>
      <c r="C53" s="147"/>
      <c r="D53" s="26"/>
      <c r="E53" s="70" t="str">
        <f>IF($C53&lt;&gt;"","ALERT_" &amp; UPPER(Matrix!$D$6) &amp; "_" &amp; $C53,"")</f>
        <v/>
      </c>
      <c r="F53" s="176"/>
      <c r="G53" s="70" t="str">
        <f t="shared" si="1"/>
        <v/>
      </c>
      <c r="O53" s="174">
        <v>19</v>
      </c>
      <c r="P53" s="147"/>
      <c r="Q53" s="147"/>
      <c r="R53" s="176"/>
    </row>
    <row r="54" spans="2:18">
      <c r="B54" s="174">
        <v>20</v>
      </c>
      <c r="C54" s="147"/>
      <c r="D54" s="26"/>
      <c r="E54" s="70" t="str">
        <f>IF($C54&lt;&gt;"","ALERT_" &amp; UPPER(Matrix!$D$6) &amp; "_" &amp; $C54,"")</f>
        <v/>
      </c>
      <c r="F54" s="176"/>
      <c r="G54" s="70" t="str">
        <f t="shared" si="1"/>
        <v/>
      </c>
      <c r="O54" s="174">
        <v>20</v>
      </c>
      <c r="P54" s="147"/>
      <c r="Q54" s="147"/>
      <c r="R54" s="176"/>
    </row>
    <row r="55" spans="2:18">
      <c r="B55" s="174">
        <v>21</v>
      </c>
      <c r="C55" s="147"/>
      <c r="D55" s="26"/>
      <c r="E55" s="70" t="str">
        <f>IF($C55&lt;&gt;"","ALERT_" &amp; UPPER(Matrix!$D$6) &amp; "_" &amp; $C55,"")</f>
        <v/>
      </c>
      <c r="F55" s="176"/>
      <c r="G55" s="70" t="str">
        <f t="shared" si="1"/>
        <v/>
      </c>
      <c r="O55" s="174">
        <v>21</v>
      </c>
      <c r="P55" s="147"/>
      <c r="Q55" s="147"/>
      <c r="R55" s="176"/>
    </row>
    <row r="56" spans="2:18">
      <c r="B56" s="174">
        <v>22</v>
      </c>
      <c r="C56" s="147"/>
      <c r="D56" s="26"/>
      <c r="E56" s="70" t="str">
        <f>IF($C56&lt;&gt;"","ALERT_" &amp; UPPER(Matrix!$D$6) &amp; "_" &amp; $C56,"")</f>
        <v/>
      </c>
      <c r="F56" s="176"/>
      <c r="G56" s="70" t="str">
        <f t="shared" si="1"/>
        <v/>
      </c>
      <c r="O56" s="174">
        <v>22</v>
      </c>
      <c r="P56" s="147"/>
      <c r="Q56" s="147"/>
      <c r="R56" s="176"/>
    </row>
    <row r="57" spans="2:18">
      <c r="B57" s="174">
        <v>23</v>
      </c>
      <c r="C57" s="147"/>
      <c r="D57" s="26"/>
      <c r="E57" s="70" t="str">
        <f>IF($C57&lt;&gt;"","ALERT_" &amp; UPPER(Matrix!$D$6) &amp; "_" &amp; $C57,"")</f>
        <v/>
      </c>
      <c r="F57" s="176"/>
      <c r="G57" s="70" t="str">
        <f t="shared" si="1"/>
        <v/>
      </c>
      <c r="O57" s="174">
        <v>23</v>
      </c>
      <c r="P57" s="147"/>
      <c r="Q57" s="147"/>
      <c r="R57" s="176"/>
    </row>
    <row r="58" spans="2:18">
      <c r="B58" s="174">
        <v>24</v>
      </c>
      <c r="C58" s="147"/>
      <c r="D58" s="26"/>
      <c r="E58" s="70" t="str">
        <f>IF($C58&lt;&gt;"","ALERT_" &amp; UPPER(Matrix!$D$6) &amp; "_" &amp; $C58,"")</f>
        <v/>
      </c>
      <c r="F58" s="176"/>
      <c r="G58" s="70" t="str">
        <f t="shared" si="1"/>
        <v/>
      </c>
      <c r="O58" s="174">
        <v>24</v>
      </c>
      <c r="P58" s="147"/>
      <c r="Q58" s="147"/>
      <c r="R58" s="176"/>
    </row>
    <row r="59" spans="2:18" ht="14.25" thickBot="1">
      <c r="B59" s="175">
        <v>25</v>
      </c>
      <c r="C59" s="145"/>
      <c r="D59" s="56"/>
      <c r="E59" s="71" t="str">
        <f>IF($C59&lt;&gt;"","ALERT_" &amp; UPPER(Matrix!$D$6) &amp; "_" &amp; $C59,"")</f>
        <v/>
      </c>
      <c r="F59" s="177"/>
      <c r="G59" s="71" t="str">
        <f t="shared" si="1"/>
        <v/>
      </c>
      <c r="O59" s="175">
        <v>25</v>
      </c>
      <c r="P59" s="145"/>
      <c r="Q59" s="145"/>
      <c r="R59" s="177"/>
    </row>
  </sheetData>
  <sheetProtection sheet="1" objects="1" scenarios="1"/>
  <protectedRanges>
    <protectedRange sqref="C5:D29 P5:R29 F5:F29 C35:D59 F35:F59 P35:R59" name="編集許可"/>
  </protectedRanges>
  <phoneticPr fontId="2"/>
  <dataValidations count="2">
    <dataValidation type="list" allowBlank="1" showInputMessage="1" showErrorMessage="1" sqref="D5:D29" xr:uid="{00000000-0002-0000-0300-000000000000}">
      <formula1>"OPT,HW"</formula1>
    </dataValidation>
    <dataValidation type="list" allowBlank="1" showInputMessage="1" showErrorMessage="1" sqref="D35:D59" xr:uid="{00000000-0002-0000-0300-000001000000}">
      <formula1>"DEF"</formula1>
    </dataValidation>
  </dataValidations>
  <pageMargins left="0.7" right="0.7" top="0.75" bottom="0.75" header="0.3" footer="0.3"/>
  <pageSetup paperSize="9" orientation="portrait" r:id="rId1"/>
  <headerFooter>
    <oddHeader>&amp;C&amp;"Calibri"&amp;10&amp;KFF0000 CONFIDENTIAL&amp;1#_x000D_</oddHeader>
  </headerFooter>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3">
    <tabColor rgb="FFCCFFCC"/>
  </sheetPr>
  <dimension ref="A1:U103"/>
  <sheetViews>
    <sheetView zoomScale="85" zoomScaleNormal="85" workbookViewId="0">
      <pane ySplit="2" topLeftCell="A4" activePane="bottomLeft" state="frozen"/>
      <selection pane="bottomLeft" activeCell="A4" sqref="A4"/>
    </sheetView>
  </sheetViews>
  <sheetFormatPr defaultRowHeight="13.5"/>
  <cols>
    <col min="2" max="2" width="28.375" customWidth="1"/>
    <col min="3" max="3" width="15.875" customWidth="1"/>
    <col min="5" max="5" width="12.375" customWidth="1"/>
    <col min="6" max="6" width="19.75" customWidth="1"/>
    <col min="7" max="7" width="12.375" customWidth="1"/>
    <col min="8" max="8" width="53.5" customWidth="1"/>
    <col min="9" max="9" width="12.375" customWidth="1"/>
    <col min="10" max="10" width="29.25" customWidth="1"/>
    <col min="11" max="11" width="12.375" customWidth="1"/>
    <col min="12" max="12" width="16.125" customWidth="1"/>
    <col min="14" max="14" width="30.125" bestFit="1" customWidth="1"/>
    <col min="15" max="15" width="57.125" hidden="1" customWidth="1"/>
    <col min="21" max="21" width="13" hidden="1" customWidth="1"/>
  </cols>
  <sheetData>
    <row r="1" spans="1:21" ht="14.25" thickBot="1">
      <c r="C1" s="94" t="s">
        <v>104</v>
      </c>
    </row>
    <row r="2" spans="1:21" ht="14.25" thickBot="1">
      <c r="B2" s="102" t="s">
        <v>58</v>
      </c>
      <c r="C2" s="103" t="s">
        <v>122</v>
      </c>
      <c r="D2" s="104" t="s">
        <v>52</v>
      </c>
      <c r="E2" s="105" t="s">
        <v>53</v>
      </c>
      <c r="F2" s="106" t="s">
        <v>23</v>
      </c>
      <c r="G2" s="105" t="s">
        <v>54</v>
      </c>
      <c r="H2" s="106" t="s">
        <v>25</v>
      </c>
      <c r="I2" s="105" t="s">
        <v>55</v>
      </c>
      <c r="J2" s="106" t="s">
        <v>174</v>
      </c>
      <c r="K2" s="105" t="s">
        <v>56</v>
      </c>
      <c r="L2" s="106" t="s">
        <v>26</v>
      </c>
      <c r="M2" s="103" t="s">
        <v>57</v>
      </c>
      <c r="N2" s="106" t="s">
        <v>117</v>
      </c>
      <c r="O2" s="125" t="s">
        <v>83</v>
      </c>
    </row>
    <row r="3" spans="1:21" ht="15" hidden="1" thickTop="1" thickBot="1">
      <c r="B3" s="27"/>
      <c r="C3" s="53" t="s">
        <v>108</v>
      </c>
      <c r="D3" s="118"/>
      <c r="E3" s="13"/>
      <c r="F3" s="15"/>
      <c r="G3" s="13"/>
      <c r="H3" s="15"/>
      <c r="I3" s="13"/>
      <c r="J3" s="15"/>
      <c r="K3" s="13"/>
      <c r="L3" s="15"/>
      <c r="M3" s="54"/>
      <c r="N3" s="114"/>
      <c r="O3" s="126"/>
      <c r="U3" s="98" t="s">
        <v>98</v>
      </c>
    </row>
    <row r="4" spans="1:21" ht="14.25" thickTop="1">
      <c r="A4" s="294" t="s">
        <v>392</v>
      </c>
      <c r="B4" s="292" t="s">
        <v>395</v>
      </c>
      <c r="C4" s="111" t="s">
        <v>260</v>
      </c>
      <c r="D4" s="123">
        <v>0</v>
      </c>
      <c r="E4" s="113" t="s">
        <v>126</v>
      </c>
      <c r="F4" s="204" t="s">
        <v>127</v>
      </c>
      <c r="G4" s="113" t="s">
        <v>126</v>
      </c>
      <c r="H4" s="293" t="s">
        <v>330</v>
      </c>
      <c r="I4" s="113" t="s">
        <v>126</v>
      </c>
      <c r="J4" s="204" t="s">
        <v>127</v>
      </c>
      <c r="K4" s="113" t="s">
        <v>126</v>
      </c>
      <c r="L4" s="204" t="s">
        <v>127</v>
      </c>
      <c r="M4" s="54">
        <f ca="1">LEN(N4)</f>
        <v>29</v>
      </c>
      <c r="N4" s="114" t="str">
        <f ca="1">VLOOKUP($B4,Matrix!$H$13:$I$37,2,FALSE)&amp;"_"&amp;C4</f>
        <v>ALERT_REQ_S_ADBZR_CSR_BZ_RCTA</v>
      </c>
      <c r="O4" s="126" t="str">
        <f t="shared" ref="O4:O35" ca="1" si="0">"#define "&amp;N4&amp;REPT(" ",48-M4)&amp;"("&amp;D4&amp;"U)"</f>
        <v>#define ALERT_REQ_S_ADBZR_CSR_BZ_RCTA                   (0U)</v>
      </c>
      <c r="U4" s="98" t="s">
        <v>98</v>
      </c>
    </row>
    <row r="5" spans="1:21">
      <c r="A5" s="294" t="s">
        <v>392</v>
      </c>
      <c r="B5" s="292" t="s">
        <v>395</v>
      </c>
      <c r="C5" s="112" t="s">
        <v>261</v>
      </c>
      <c r="D5" s="124">
        <v>1</v>
      </c>
      <c r="E5" s="113" t="s">
        <v>126</v>
      </c>
      <c r="F5" s="204" t="s">
        <v>127</v>
      </c>
      <c r="G5" s="113" t="s">
        <v>126</v>
      </c>
      <c r="H5" s="293" t="s">
        <v>331</v>
      </c>
      <c r="I5" s="113" t="s">
        <v>126</v>
      </c>
      <c r="J5" s="204" t="s">
        <v>127</v>
      </c>
      <c r="K5" s="113" t="s">
        <v>126</v>
      </c>
      <c r="L5" s="204" t="s">
        <v>127</v>
      </c>
      <c r="M5" s="49">
        <f t="shared" ref="M5:M68" ca="1" si="1">LEN(N5)</f>
        <v>31</v>
      </c>
      <c r="N5" s="114" t="str">
        <f ca="1">VLOOKUP($B5,Matrix!$H$13:$I$37,2,FALSE)&amp;"_"&amp;C5</f>
        <v>ALERT_REQ_S_ADBZR_CSR_BZ_FR_CAD</v>
      </c>
      <c r="O5" s="127" t="str">
        <f t="shared" ca="1" si="0"/>
        <v>#define ALERT_REQ_S_ADBZR_CSR_BZ_FR_CAD                 (1U)</v>
      </c>
      <c r="U5" s="96" t="s">
        <v>99</v>
      </c>
    </row>
    <row r="6" spans="1:21">
      <c r="A6" s="294" t="s">
        <v>392</v>
      </c>
      <c r="B6" s="292" t="s">
        <v>395</v>
      </c>
      <c r="C6" s="112" t="s">
        <v>262</v>
      </c>
      <c r="D6" s="123">
        <v>2</v>
      </c>
      <c r="E6" s="113" t="s">
        <v>126</v>
      </c>
      <c r="F6" s="204" t="s">
        <v>127</v>
      </c>
      <c r="G6" s="113" t="s">
        <v>126</v>
      </c>
      <c r="H6" s="293" t="s">
        <v>332</v>
      </c>
      <c r="I6" s="113" t="s">
        <v>126</v>
      </c>
      <c r="J6" s="204" t="s">
        <v>127</v>
      </c>
      <c r="K6" s="113" t="s">
        <v>126</v>
      </c>
      <c r="L6" s="204" t="s">
        <v>127</v>
      </c>
      <c r="M6" s="49">
        <f t="shared" ca="1" si="1"/>
        <v>30</v>
      </c>
      <c r="N6" s="114" t="str">
        <f ca="1">VLOOKUP($B6,Matrix!$H$13:$I$37,2,FALSE)&amp;"_"&amp;C6</f>
        <v>ALERT_REQ_S_ADBZR_CSR_BZ_FR_SD</v>
      </c>
      <c r="O6" s="127" t="str">
        <f t="shared" ca="1" si="0"/>
        <v>#define ALERT_REQ_S_ADBZR_CSR_BZ_FR_SD                  (2U)</v>
      </c>
      <c r="U6" s="32" t="s">
        <v>100</v>
      </c>
    </row>
    <row r="7" spans="1:21">
      <c r="A7" s="294" t="s">
        <v>392</v>
      </c>
      <c r="B7" s="292" t="s">
        <v>395</v>
      </c>
      <c r="C7" s="112" t="s">
        <v>263</v>
      </c>
      <c r="D7" s="124">
        <v>3</v>
      </c>
      <c r="E7" s="113" t="s">
        <v>126</v>
      </c>
      <c r="F7" s="204" t="s">
        <v>127</v>
      </c>
      <c r="G7" s="113" t="s">
        <v>126</v>
      </c>
      <c r="H7" s="293" t="s">
        <v>333</v>
      </c>
      <c r="I7" s="113" t="s">
        <v>126</v>
      </c>
      <c r="J7" s="204" t="s">
        <v>127</v>
      </c>
      <c r="K7" s="113" t="s">
        <v>126</v>
      </c>
      <c r="L7" s="204" t="s">
        <v>127</v>
      </c>
      <c r="M7" s="49">
        <f t="shared" ca="1" si="1"/>
        <v>30</v>
      </c>
      <c r="N7" s="114" t="str">
        <f ca="1">VLOOKUP($B7,Matrix!$H$13:$I$37,2,FALSE)&amp;"_"&amp;C7</f>
        <v>ALERT_REQ_S_ADBZR_CSR_BZ_FR_MD</v>
      </c>
      <c r="O7" s="127" t="str">
        <f t="shared" ca="1" si="0"/>
        <v>#define ALERT_REQ_S_ADBZR_CSR_BZ_FR_MD                  (3U)</v>
      </c>
      <c r="U7" s="32" t="s">
        <v>101</v>
      </c>
    </row>
    <row r="8" spans="1:21">
      <c r="A8" s="294" t="s">
        <v>392</v>
      </c>
      <c r="B8" s="292" t="s">
        <v>395</v>
      </c>
      <c r="C8" s="112" t="s">
        <v>264</v>
      </c>
      <c r="D8" s="123">
        <v>4</v>
      </c>
      <c r="E8" s="113" t="s">
        <v>126</v>
      </c>
      <c r="F8" s="204" t="s">
        <v>127</v>
      </c>
      <c r="G8" s="113" t="s">
        <v>126</v>
      </c>
      <c r="H8" s="293" t="s">
        <v>334</v>
      </c>
      <c r="I8" s="113" t="s">
        <v>126</v>
      </c>
      <c r="J8" s="204" t="s">
        <v>127</v>
      </c>
      <c r="K8" s="113" t="s">
        <v>126</v>
      </c>
      <c r="L8" s="204" t="s">
        <v>127</v>
      </c>
      <c r="M8" s="49">
        <f t="shared" ca="1" si="1"/>
        <v>30</v>
      </c>
      <c r="N8" s="114" t="str">
        <f ca="1">VLOOKUP($B8,Matrix!$H$13:$I$37,2,FALSE)&amp;"_"&amp;C8</f>
        <v>ALERT_REQ_S_ADBZR_CSR_BZ_FR_LD</v>
      </c>
      <c r="O8" s="127" t="str">
        <f t="shared" ca="1" si="0"/>
        <v>#define ALERT_REQ_S_ADBZR_CSR_BZ_FR_LD                  (4U)</v>
      </c>
      <c r="U8" s="32" t="s">
        <v>102</v>
      </c>
    </row>
    <row r="9" spans="1:21">
      <c r="A9" s="294" t="s">
        <v>392</v>
      </c>
      <c r="B9" s="292" t="s">
        <v>395</v>
      </c>
      <c r="C9" s="112" t="s">
        <v>265</v>
      </c>
      <c r="D9" s="124">
        <v>5</v>
      </c>
      <c r="E9" s="113" t="s">
        <v>126</v>
      </c>
      <c r="F9" s="204" t="s">
        <v>127</v>
      </c>
      <c r="G9" s="113" t="s">
        <v>126</v>
      </c>
      <c r="H9" s="293" t="s">
        <v>335</v>
      </c>
      <c r="I9" s="113" t="s">
        <v>126</v>
      </c>
      <c r="J9" s="204" t="s">
        <v>127</v>
      </c>
      <c r="K9" s="113" t="s">
        <v>126</v>
      </c>
      <c r="L9" s="204" t="s">
        <v>127</v>
      </c>
      <c r="M9" s="49">
        <f t="shared" ca="1" si="1"/>
        <v>31</v>
      </c>
      <c r="N9" s="114" t="str">
        <f ca="1">VLOOKUP($B9,Matrix!$H$13:$I$37,2,FALSE)&amp;"_"&amp;C9</f>
        <v>ALERT_REQ_S_ADBZR_CSR_BZ_RR_CAD</v>
      </c>
      <c r="O9" s="127" t="str">
        <f t="shared" ca="1" si="0"/>
        <v>#define ALERT_REQ_S_ADBZR_CSR_BZ_RR_CAD                 (5U)</v>
      </c>
      <c r="U9" s="32" t="s">
        <v>103</v>
      </c>
    </row>
    <row r="10" spans="1:21">
      <c r="A10" s="294" t="s">
        <v>392</v>
      </c>
      <c r="B10" s="292" t="s">
        <v>395</v>
      </c>
      <c r="C10" s="112" t="s">
        <v>266</v>
      </c>
      <c r="D10" s="123">
        <v>6</v>
      </c>
      <c r="E10" s="113" t="s">
        <v>126</v>
      </c>
      <c r="F10" s="204" t="s">
        <v>127</v>
      </c>
      <c r="G10" s="113" t="s">
        <v>126</v>
      </c>
      <c r="H10" s="293" t="s">
        <v>336</v>
      </c>
      <c r="I10" s="113" t="s">
        <v>126</v>
      </c>
      <c r="J10" s="204" t="s">
        <v>127</v>
      </c>
      <c r="K10" s="113" t="s">
        <v>126</v>
      </c>
      <c r="L10" s="204" t="s">
        <v>127</v>
      </c>
      <c r="M10" s="49">
        <f t="shared" ca="1" si="1"/>
        <v>30</v>
      </c>
      <c r="N10" s="114" t="str">
        <f ca="1">VLOOKUP($B10,Matrix!$H$13:$I$37,2,FALSE)&amp;"_"&amp;C10</f>
        <v>ALERT_REQ_S_ADBZR_CSR_BZ_RR_SD</v>
      </c>
      <c r="O10" s="127" t="str">
        <f t="shared" ca="1" si="0"/>
        <v>#define ALERT_REQ_S_ADBZR_CSR_BZ_RR_SD                  (6U)</v>
      </c>
      <c r="U10" s="32"/>
    </row>
    <row r="11" spans="1:21">
      <c r="A11" s="294" t="s">
        <v>392</v>
      </c>
      <c r="B11" s="292" t="s">
        <v>395</v>
      </c>
      <c r="C11" s="112" t="s">
        <v>267</v>
      </c>
      <c r="D11" s="124">
        <v>7</v>
      </c>
      <c r="E11" s="113" t="s">
        <v>126</v>
      </c>
      <c r="F11" s="204" t="s">
        <v>127</v>
      </c>
      <c r="G11" s="113" t="s">
        <v>126</v>
      </c>
      <c r="H11" s="293" t="s">
        <v>337</v>
      </c>
      <c r="I11" s="113" t="s">
        <v>126</v>
      </c>
      <c r="J11" s="204" t="s">
        <v>127</v>
      </c>
      <c r="K11" s="113" t="s">
        <v>126</v>
      </c>
      <c r="L11" s="204" t="s">
        <v>127</v>
      </c>
      <c r="M11" s="49">
        <f t="shared" ca="1" si="1"/>
        <v>30</v>
      </c>
      <c r="N11" s="114" t="str">
        <f ca="1">VLOOKUP($B11,Matrix!$H$13:$I$37,2,FALSE)&amp;"_"&amp;C11</f>
        <v>ALERT_REQ_S_ADBZR_CSR_BZ_RR_MD</v>
      </c>
      <c r="O11" s="127" t="str">
        <f t="shared" ca="1" si="0"/>
        <v>#define ALERT_REQ_S_ADBZR_CSR_BZ_RR_MD                  (7U)</v>
      </c>
      <c r="U11" s="32"/>
    </row>
    <row r="12" spans="1:21">
      <c r="A12" s="294" t="s">
        <v>392</v>
      </c>
      <c r="B12" s="292" t="s">
        <v>395</v>
      </c>
      <c r="C12" s="112" t="s">
        <v>268</v>
      </c>
      <c r="D12" s="123">
        <v>8</v>
      </c>
      <c r="E12" s="113" t="s">
        <v>126</v>
      </c>
      <c r="F12" s="204" t="s">
        <v>127</v>
      </c>
      <c r="G12" s="113" t="s">
        <v>126</v>
      </c>
      <c r="H12" s="293" t="s">
        <v>338</v>
      </c>
      <c r="I12" s="113" t="s">
        <v>126</v>
      </c>
      <c r="J12" s="204" t="s">
        <v>127</v>
      </c>
      <c r="K12" s="113" t="s">
        <v>126</v>
      </c>
      <c r="L12" s="204" t="s">
        <v>127</v>
      </c>
      <c r="M12" s="49">
        <f t="shared" ca="1" si="1"/>
        <v>30</v>
      </c>
      <c r="N12" s="114" t="str">
        <f ca="1">VLOOKUP($B12,Matrix!$H$13:$I$37,2,FALSE)&amp;"_"&amp;C12</f>
        <v>ALERT_REQ_S_ADBZR_CSR_BZ_RR_LD</v>
      </c>
      <c r="O12" s="127" t="str">
        <f t="shared" ca="1" si="0"/>
        <v>#define ALERT_REQ_S_ADBZR_CSR_BZ_RR_LD                  (8U)</v>
      </c>
      <c r="U12" s="32"/>
    </row>
    <row r="13" spans="1:21" ht="14.25" thickBot="1">
      <c r="A13" s="294" t="s">
        <v>392</v>
      </c>
      <c r="B13" s="292" t="s">
        <v>395</v>
      </c>
      <c r="C13" s="112" t="s">
        <v>269</v>
      </c>
      <c r="D13" s="124">
        <v>9</v>
      </c>
      <c r="E13" s="113" t="s">
        <v>126</v>
      </c>
      <c r="F13" s="204" t="s">
        <v>127</v>
      </c>
      <c r="G13" s="113" t="s">
        <v>126</v>
      </c>
      <c r="H13" s="293" t="s">
        <v>339</v>
      </c>
      <c r="I13" s="113" t="s">
        <v>126</v>
      </c>
      <c r="J13" s="204" t="s">
        <v>127</v>
      </c>
      <c r="K13" s="113" t="s">
        <v>126</v>
      </c>
      <c r="L13" s="204" t="s">
        <v>127</v>
      </c>
      <c r="M13" s="49">
        <f t="shared" ca="1" si="1"/>
        <v>28</v>
      </c>
      <c r="N13" s="114" t="str">
        <f ca="1">VLOOKUP($B13,Matrix!$H$13:$I$37,2,FALSE)&amp;"_"&amp;C13</f>
        <v>ALERT_REQ_S_ADBZR_CSR_BZ_CAD</v>
      </c>
      <c r="O13" s="127" t="str">
        <f t="shared" ca="1" si="0"/>
        <v>#define ALERT_REQ_S_ADBZR_CSR_BZ_CAD                    (9U)</v>
      </c>
      <c r="U13" s="97"/>
    </row>
    <row r="14" spans="1:21">
      <c r="A14" s="294" t="s">
        <v>392</v>
      </c>
      <c r="B14" s="292" t="s">
        <v>395</v>
      </c>
      <c r="C14" s="112" t="s">
        <v>270</v>
      </c>
      <c r="D14" s="123">
        <v>10</v>
      </c>
      <c r="E14" s="113" t="s">
        <v>126</v>
      </c>
      <c r="F14" s="204" t="s">
        <v>127</v>
      </c>
      <c r="G14" s="113" t="s">
        <v>126</v>
      </c>
      <c r="H14" s="293" t="s">
        <v>340</v>
      </c>
      <c r="I14" s="113" t="s">
        <v>126</v>
      </c>
      <c r="J14" s="204" t="s">
        <v>127</v>
      </c>
      <c r="K14" s="113" t="s">
        <v>126</v>
      </c>
      <c r="L14" s="204" t="s">
        <v>127</v>
      </c>
      <c r="M14" s="49">
        <f t="shared" ca="1" si="1"/>
        <v>27</v>
      </c>
      <c r="N14" s="114" t="str">
        <f ca="1">VLOOKUP($B14,Matrix!$H$13:$I$37,2,FALSE)&amp;"_"&amp;C14</f>
        <v>ALERT_REQ_S_ADBZR_CSR_BZ_SD</v>
      </c>
      <c r="O14" s="127" t="str">
        <f t="shared" ca="1" si="0"/>
        <v>#define ALERT_REQ_S_ADBZR_CSR_BZ_SD                     (10U)</v>
      </c>
    </row>
    <row r="15" spans="1:21">
      <c r="A15" s="294" t="s">
        <v>392</v>
      </c>
      <c r="B15" s="292" t="s">
        <v>395</v>
      </c>
      <c r="C15" s="112" t="s">
        <v>271</v>
      </c>
      <c r="D15" s="124">
        <v>11</v>
      </c>
      <c r="E15" s="113" t="s">
        <v>126</v>
      </c>
      <c r="F15" s="204" t="s">
        <v>127</v>
      </c>
      <c r="G15" s="113" t="s">
        <v>126</v>
      </c>
      <c r="H15" s="293" t="s">
        <v>341</v>
      </c>
      <c r="I15" s="113" t="s">
        <v>126</v>
      </c>
      <c r="J15" s="204" t="s">
        <v>127</v>
      </c>
      <c r="K15" s="113" t="s">
        <v>126</v>
      </c>
      <c r="L15" s="204" t="s">
        <v>127</v>
      </c>
      <c r="M15" s="49">
        <f t="shared" ca="1" si="1"/>
        <v>27</v>
      </c>
      <c r="N15" s="114" t="str">
        <f ca="1">VLOOKUP($B15,Matrix!$H$13:$I$37,2,FALSE)&amp;"_"&amp;C15</f>
        <v>ALERT_REQ_S_ADBZR_CSR_BZ_MD</v>
      </c>
      <c r="O15" s="127" t="str">
        <f t="shared" ca="1" si="0"/>
        <v>#define ALERT_REQ_S_ADBZR_CSR_BZ_MD                     (11U)</v>
      </c>
    </row>
    <row r="16" spans="1:21">
      <c r="A16" s="294" t="s">
        <v>392</v>
      </c>
      <c r="B16" s="292" t="s">
        <v>395</v>
      </c>
      <c r="C16" s="112" t="s">
        <v>259</v>
      </c>
      <c r="D16" s="123">
        <v>12</v>
      </c>
      <c r="E16" s="113" t="s">
        <v>126</v>
      </c>
      <c r="F16" s="204" t="s">
        <v>127</v>
      </c>
      <c r="G16" s="113" t="s">
        <v>126</v>
      </c>
      <c r="H16" s="293" t="s">
        <v>342</v>
      </c>
      <c r="I16" s="113" t="s">
        <v>126</v>
      </c>
      <c r="J16" s="204" t="s">
        <v>127</v>
      </c>
      <c r="K16" s="113" t="s">
        <v>126</v>
      </c>
      <c r="L16" s="204" t="s">
        <v>127</v>
      </c>
      <c r="M16" s="49">
        <f t="shared" ca="1" si="1"/>
        <v>27</v>
      </c>
      <c r="N16" s="114" t="str">
        <f ca="1">VLOOKUP($B16,Matrix!$H$13:$I$37,2,FALSE)&amp;"_"&amp;C16</f>
        <v>ALERT_REQ_S_ADBZR_CSR_BZ_LD</v>
      </c>
      <c r="O16" s="127" t="str">
        <f t="shared" ca="1" si="0"/>
        <v>#define ALERT_REQ_S_ADBZR_CSR_BZ_LD                     (12U)</v>
      </c>
    </row>
    <row r="17" spans="1:15">
      <c r="A17" s="94" t="s">
        <v>393</v>
      </c>
      <c r="B17" s="229" t="s">
        <v>356</v>
      </c>
      <c r="C17" s="235" t="s">
        <v>347</v>
      </c>
      <c r="D17" s="236">
        <v>0</v>
      </c>
      <c r="E17" s="229" t="s">
        <v>126</v>
      </c>
      <c r="F17" s="228" t="s">
        <v>31</v>
      </c>
      <c r="G17" s="229" t="s">
        <v>126</v>
      </c>
      <c r="H17" s="228" t="s">
        <v>411</v>
      </c>
      <c r="I17" s="229" t="s">
        <v>126</v>
      </c>
      <c r="J17" s="228" t="s">
        <v>31</v>
      </c>
      <c r="K17" s="229" t="s">
        <v>126</v>
      </c>
      <c r="L17" s="228" t="s">
        <v>31</v>
      </c>
      <c r="M17" s="49">
        <f t="shared" ca="1" si="1"/>
        <v>30</v>
      </c>
      <c r="N17" s="114" t="str">
        <f ca="1">VLOOKUP($B17,Matrix!$H$13:$I$37,2,FALSE)&amp;"_"&amp;C17</f>
        <v>ALERT_REQ_S_ADBZR_CSR_VOL_VOL0</v>
      </c>
      <c r="O17" s="127" t="str">
        <f t="shared" ca="1" si="0"/>
        <v>#define ALERT_REQ_S_ADBZR_CSR_VOL_VOL0                  (0U)</v>
      </c>
    </row>
    <row r="18" spans="1:15">
      <c r="A18" s="94" t="s">
        <v>393</v>
      </c>
      <c r="B18" s="229" t="s">
        <v>356</v>
      </c>
      <c r="C18" s="235" t="s">
        <v>348</v>
      </c>
      <c r="D18" s="237">
        <v>1</v>
      </c>
      <c r="E18" s="229" t="s">
        <v>126</v>
      </c>
      <c r="F18" s="228" t="s">
        <v>31</v>
      </c>
      <c r="G18" s="229" t="s">
        <v>126</v>
      </c>
      <c r="H18" s="228" t="s">
        <v>412</v>
      </c>
      <c r="I18" s="229" t="s">
        <v>126</v>
      </c>
      <c r="J18" s="228" t="s">
        <v>31</v>
      </c>
      <c r="K18" s="229" t="s">
        <v>126</v>
      </c>
      <c r="L18" s="228" t="s">
        <v>31</v>
      </c>
      <c r="M18" s="49">
        <f t="shared" ca="1" si="1"/>
        <v>30</v>
      </c>
      <c r="N18" s="114" t="str">
        <f ca="1">VLOOKUP($B18,Matrix!$H$13:$I$37,2,FALSE)&amp;"_"&amp;C18</f>
        <v>ALERT_REQ_S_ADBZR_CSR_VOL_VOL1</v>
      </c>
      <c r="O18" s="127" t="str">
        <f t="shared" ca="1" si="0"/>
        <v>#define ALERT_REQ_S_ADBZR_CSR_VOL_VOL1                  (1U)</v>
      </c>
    </row>
    <row r="19" spans="1:15">
      <c r="A19" s="94" t="s">
        <v>393</v>
      </c>
      <c r="B19" s="229" t="s">
        <v>356</v>
      </c>
      <c r="C19" s="235" t="s">
        <v>349</v>
      </c>
      <c r="D19" s="236">
        <v>2</v>
      </c>
      <c r="E19" s="229" t="s">
        <v>126</v>
      </c>
      <c r="F19" s="228" t="s">
        <v>31</v>
      </c>
      <c r="G19" s="229" t="s">
        <v>126</v>
      </c>
      <c r="H19" s="228" t="s">
        <v>413</v>
      </c>
      <c r="I19" s="229" t="s">
        <v>126</v>
      </c>
      <c r="J19" s="228" t="s">
        <v>31</v>
      </c>
      <c r="K19" s="229" t="s">
        <v>126</v>
      </c>
      <c r="L19" s="228" t="s">
        <v>31</v>
      </c>
      <c r="M19" s="49">
        <f t="shared" ca="1" si="1"/>
        <v>30</v>
      </c>
      <c r="N19" s="114" t="str">
        <f ca="1">VLOOKUP($B19,Matrix!$H$13:$I$37,2,FALSE)&amp;"_"&amp;C19</f>
        <v>ALERT_REQ_S_ADBZR_CSR_VOL_VOL2</v>
      </c>
      <c r="O19" s="127" t="str">
        <f t="shared" ca="1" si="0"/>
        <v>#define ALERT_REQ_S_ADBZR_CSR_VOL_VOL2                  (2U)</v>
      </c>
    </row>
    <row r="20" spans="1:15">
      <c r="A20" s="94" t="s">
        <v>393</v>
      </c>
      <c r="B20" s="229" t="s">
        <v>356</v>
      </c>
      <c r="C20" s="235" t="s">
        <v>350</v>
      </c>
      <c r="D20" s="237">
        <v>3</v>
      </c>
      <c r="E20" s="229" t="s">
        <v>126</v>
      </c>
      <c r="F20" s="228" t="s">
        <v>31</v>
      </c>
      <c r="G20" s="229" t="s">
        <v>126</v>
      </c>
      <c r="H20" s="228" t="s">
        <v>414</v>
      </c>
      <c r="I20" s="229" t="s">
        <v>126</v>
      </c>
      <c r="J20" s="228" t="s">
        <v>31</v>
      </c>
      <c r="K20" s="229" t="s">
        <v>126</v>
      </c>
      <c r="L20" s="228" t="s">
        <v>31</v>
      </c>
      <c r="M20" s="49">
        <f t="shared" ca="1" si="1"/>
        <v>30</v>
      </c>
      <c r="N20" s="114" t="str">
        <f ca="1">VLOOKUP($B20,Matrix!$H$13:$I$37,2,FALSE)&amp;"_"&amp;C20</f>
        <v>ALERT_REQ_S_ADBZR_CSR_VOL_VOL3</v>
      </c>
      <c r="O20" s="127" t="str">
        <f t="shared" ca="1" si="0"/>
        <v>#define ALERT_REQ_S_ADBZR_CSR_VOL_VOL3                  (3U)</v>
      </c>
    </row>
    <row r="21" spans="1:15">
      <c r="A21" s="94" t="s">
        <v>393</v>
      </c>
      <c r="B21" s="229" t="s">
        <v>356</v>
      </c>
      <c r="C21" s="235" t="s">
        <v>351</v>
      </c>
      <c r="D21" s="237">
        <v>4</v>
      </c>
      <c r="E21" s="229" t="s">
        <v>126</v>
      </c>
      <c r="F21" s="228" t="s">
        <v>31</v>
      </c>
      <c r="G21" s="229" t="s">
        <v>126</v>
      </c>
      <c r="H21" s="228" t="s">
        <v>415</v>
      </c>
      <c r="I21" s="229" t="s">
        <v>126</v>
      </c>
      <c r="J21" s="228" t="s">
        <v>31</v>
      </c>
      <c r="K21" s="229" t="s">
        <v>126</v>
      </c>
      <c r="L21" s="228" t="s">
        <v>31</v>
      </c>
      <c r="M21" s="49">
        <f t="shared" ca="1" si="1"/>
        <v>30</v>
      </c>
      <c r="N21" s="114" t="str">
        <f ca="1">VLOOKUP($B21,Matrix!$H$13:$I$37,2,FALSE)&amp;"_"&amp;C21</f>
        <v>ALERT_REQ_S_ADBZR_CSR_VOL_VOL4</v>
      </c>
      <c r="O21" s="127" t="str">
        <f t="shared" ca="1" si="0"/>
        <v>#define ALERT_REQ_S_ADBZR_CSR_VOL_VOL4                  (4U)</v>
      </c>
    </row>
    <row r="22" spans="1:15">
      <c r="A22" s="94" t="s">
        <v>393</v>
      </c>
      <c r="B22" s="229" t="s">
        <v>356</v>
      </c>
      <c r="C22" s="235" t="s">
        <v>352</v>
      </c>
      <c r="D22" s="237">
        <v>5</v>
      </c>
      <c r="E22" s="229" t="s">
        <v>126</v>
      </c>
      <c r="F22" s="228" t="s">
        <v>31</v>
      </c>
      <c r="G22" s="229" t="s">
        <v>126</v>
      </c>
      <c r="H22" s="228" t="s">
        <v>416</v>
      </c>
      <c r="I22" s="229" t="s">
        <v>126</v>
      </c>
      <c r="J22" s="228" t="s">
        <v>31</v>
      </c>
      <c r="K22" s="229" t="s">
        <v>126</v>
      </c>
      <c r="L22" s="228" t="s">
        <v>31</v>
      </c>
      <c r="M22" s="49">
        <f t="shared" ca="1" si="1"/>
        <v>30</v>
      </c>
      <c r="N22" s="114" t="str">
        <f ca="1">VLOOKUP($B22,Matrix!$H$13:$I$37,2,FALSE)&amp;"_"&amp;C22</f>
        <v>ALERT_REQ_S_ADBZR_CSR_VOL_VOL5</v>
      </c>
      <c r="O22" s="127" t="str">
        <f t="shared" ca="1" si="0"/>
        <v>#define ALERT_REQ_S_ADBZR_CSR_VOL_VOL5                  (5U)</v>
      </c>
    </row>
    <row r="23" spans="1:15">
      <c r="A23" s="94" t="s">
        <v>393</v>
      </c>
      <c r="B23" s="229" t="s">
        <v>356</v>
      </c>
      <c r="C23" s="235" t="s">
        <v>353</v>
      </c>
      <c r="D23" s="237">
        <v>6</v>
      </c>
      <c r="E23" s="229" t="s">
        <v>126</v>
      </c>
      <c r="F23" s="228" t="s">
        <v>31</v>
      </c>
      <c r="G23" s="229" t="s">
        <v>126</v>
      </c>
      <c r="H23" s="228" t="s">
        <v>417</v>
      </c>
      <c r="I23" s="229" t="s">
        <v>126</v>
      </c>
      <c r="J23" s="228" t="s">
        <v>31</v>
      </c>
      <c r="K23" s="229" t="s">
        <v>126</v>
      </c>
      <c r="L23" s="228" t="s">
        <v>31</v>
      </c>
      <c r="M23" s="49">
        <f t="shared" ca="1" si="1"/>
        <v>30</v>
      </c>
      <c r="N23" s="114" t="str">
        <f ca="1">VLOOKUP($B23,Matrix!$H$13:$I$37,2,FALSE)&amp;"_"&amp;C23</f>
        <v>ALERT_REQ_S_ADBZR_CSR_VOL_VOL6</v>
      </c>
      <c r="O23" s="127" t="str">
        <f t="shared" ca="1" si="0"/>
        <v>#define ALERT_REQ_S_ADBZR_CSR_VOL_VOL6                  (6U)</v>
      </c>
    </row>
    <row r="24" spans="1:15">
      <c r="A24" s="94" t="s">
        <v>393</v>
      </c>
      <c r="B24" s="229" t="s">
        <v>356</v>
      </c>
      <c r="C24" s="235" t="s">
        <v>354</v>
      </c>
      <c r="D24" s="237">
        <v>7</v>
      </c>
      <c r="E24" s="229" t="s">
        <v>126</v>
      </c>
      <c r="F24" s="228" t="s">
        <v>31</v>
      </c>
      <c r="G24" s="229" t="s">
        <v>126</v>
      </c>
      <c r="H24" s="228" t="s">
        <v>418</v>
      </c>
      <c r="I24" s="229" t="s">
        <v>126</v>
      </c>
      <c r="J24" s="228" t="s">
        <v>31</v>
      </c>
      <c r="K24" s="229" t="s">
        <v>126</v>
      </c>
      <c r="L24" s="228" t="s">
        <v>31</v>
      </c>
      <c r="M24" s="49">
        <f t="shared" ca="1" si="1"/>
        <v>30</v>
      </c>
      <c r="N24" s="114" t="str">
        <f ca="1">VLOOKUP($B24,Matrix!$H$13:$I$37,2,FALSE)&amp;"_"&amp;C24</f>
        <v>ALERT_REQ_S_ADBZR_CSR_VOL_VOL7</v>
      </c>
      <c r="O24" s="127" t="str">
        <f t="shared" ca="1" si="0"/>
        <v>#define ALERT_REQ_S_ADBZR_CSR_VOL_VOL7                  (7U)</v>
      </c>
    </row>
    <row r="25" spans="1:15">
      <c r="B25" s="113"/>
      <c r="C25" s="112"/>
      <c r="D25" s="124"/>
      <c r="E25" s="113"/>
      <c r="F25" s="204"/>
      <c r="G25" s="113"/>
      <c r="H25" s="204"/>
      <c r="I25" s="113"/>
      <c r="J25" s="204"/>
      <c r="K25" s="113"/>
      <c r="L25" s="204"/>
      <c r="M25" s="49" t="e">
        <f t="shared" ca="1" si="1"/>
        <v>#N/A</v>
      </c>
      <c r="N25" s="114" t="e">
        <f ca="1">VLOOKUP($B25,Matrix!$H$13:$I$37,2,FALSE)&amp;"_"&amp;C25</f>
        <v>#N/A</v>
      </c>
      <c r="O25" s="127" t="e">
        <f t="shared" ca="1" si="0"/>
        <v>#N/A</v>
      </c>
    </row>
    <row r="26" spans="1:15">
      <c r="B26" s="113"/>
      <c r="C26" s="112"/>
      <c r="D26" s="124"/>
      <c r="E26" s="113"/>
      <c r="F26" s="204"/>
      <c r="G26" s="113"/>
      <c r="H26" s="204"/>
      <c r="I26" s="113"/>
      <c r="J26" s="204"/>
      <c r="K26" s="113"/>
      <c r="L26" s="204"/>
      <c r="M26" s="49" t="e">
        <f t="shared" ca="1" si="1"/>
        <v>#N/A</v>
      </c>
      <c r="N26" s="114" t="e">
        <f ca="1">VLOOKUP($B26,Matrix!$H$13:$I$37,2,FALSE)&amp;"_"&amp;C26</f>
        <v>#N/A</v>
      </c>
      <c r="O26" s="127" t="e">
        <f t="shared" ca="1" si="0"/>
        <v>#N/A</v>
      </c>
    </row>
    <row r="27" spans="1:15">
      <c r="B27" s="113"/>
      <c r="C27" s="112"/>
      <c r="D27" s="124"/>
      <c r="E27" s="113"/>
      <c r="F27" s="204"/>
      <c r="G27" s="113"/>
      <c r="H27" s="204"/>
      <c r="I27" s="113"/>
      <c r="J27" s="204"/>
      <c r="K27" s="113"/>
      <c r="L27" s="204"/>
      <c r="M27" s="49" t="e">
        <f t="shared" ca="1" si="1"/>
        <v>#N/A</v>
      </c>
      <c r="N27" s="114" t="e">
        <f ca="1">VLOOKUP($B27,Matrix!$H$13:$I$37,2,FALSE)&amp;"_"&amp;C27</f>
        <v>#N/A</v>
      </c>
      <c r="O27" s="127" t="e">
        <f t="shared" ca="1" si="0"/>
        <v>#N/A</v>
      </c>
    </row>
    <row r="28" spans="1:15">
      <c r="B28" s="113"/>
      <c r="C28" s="112"/>
      <c r="D28" s="124"/>
      <c r="E28" s="113"/>
      <c r="F28" s="204"/>
      <c r="G28" s="113"/>
      <c r="H28" s="204"/>
      <c r="I28" s="113"/>
      <c r="J28" s="204"/>
      <c r="K28" s="113"/>
      <c r="L28" s="204"/>
      <c r="M28" s="49" t="e">
        <f t="shared" ca="1" si="1"/>
        <v>#N/A</v>
      </c>
      <c r="N28" s="114" t="e">
        <f ca="1">VLOOKUP($B28,Matrix!$H$13:$I$37,2,FALSE)&amp;"_"&amp;C28</f>
        <v>#N/A</v>
      </c>
      <c r="O28" s="127" t="e">
        <f t="shared" ca="1" si="0"/>
        <v>#N/A</v>
      </c>
    </row>
    <row r="29" spans="1:15">
      <c r="B29" s="113"/>
      <c r="C29" s="112"/>
      <c r="D29" s="124"/>
      <c r="E29" s="113"/>
      <c r="F29" s="204"/>
      <c r="G29" s="113"/>
      <c r="H29" s="204"/>
      <c r="I29" s="113"/>
      <c r="J29" s="204"/>
      <c r="K29" s="113"/>
      <c r="L29" s="204"/>
      <c r="M29" s="49" t="e">
        <f t="shared" ca="1" si="1"/>
        <v>#N/A</v>
      </c>
      <c r="N29" s="114" t="e">
        <f ca="1">VLOOKUP($B29,Matrix!$H$13:$I$37,2,FALSE)&amp;"_"&amp;C29</f>
        <v>#N/A</v>
      </c>
      <c r="O29" s="127" t="e">
        <f t="shared" ca="1" si="0"/>
        <v>#N/A</v>
      </c>
    </row>
    <row r="30" spans="1:15">
      <c r="B30" s="27"/>
      <c r="C30" s="26"/>
      <c r="D30" s="119"/>
      <c r="E30" s="27"/>
      <c r="F30" s="120"/>
      <c r="G30" s="27"/>
      <c r="H30" s="120"/>
      <c r="I30" s="27"/>
      <c r="J30" s="204"/>
      <c r="K30" s="27"/>
      <c r="L30" s="120"/>
      <c r="M30" s="49" t="e">
        <f t="shared" ca="1" si="1"/>
        <v>#N/A</v>
      </c>
      <c r="N30" s="114" t="e">
        <f ca="1">VLOOKUP($B30,Matrix!$H$13:$I$37,2,FALSE)&amp;"_"&amp;C30</f>
        <v>#N/A</v>
      </c>
      <c r="O30" s="127" t="e">
        <f t="shared" ca="1" si="0"/>
        <v>#N/A</v>
      </c>
    </row>
    <row r="31" spans="1:15">
      <c r="B31" s="27"/>
      <c r="C31" s="26"/>
      <c r="D31" s="119"/>
      <c r="E31" s="27"/>
      <c r="F31" s="120"/>
      <c r="G31" s="27"/>
      <c r="H31" s="120"/>
      <c r="I31" s="27"/>
      <c r="J31" s="204"/>
      <c r="K31" s="27"/>
      <c r="L31" s="120"/>
      <c r="M31" s="49" t="e">
        <f t="shared" ca="1" si="1"/>
        <v>#N/A</v>
      </c>
      <c r="N31" s="114" t="e">
        <f ca="1">VLOOKUP($B31,Matrix!$H$13:$I$37,2,FALSE)&amp;"_"&amp;C31</f>
        <v>#N/A</v>
      </c>
      <c r="O31" s="127" t="e">
        <f t="shared" ca="1" si="0"/>
        <v>#N/A</v>
      </c>
    </row>
    <row r="32" spans="1:15">
      <c r="B32" s="27"/>
      <c r="C32" s="26"/>
      <c r="D32" s="119"/>
      <c r="E32" s="27"/>
      <c r="F32" s="120"/>
      <c r="G32" s="27"/>
      <c r="H32" s="120"/>
      <c r="I32" s="27"/>
      <c r="J32" s="120"/>
      <c r="K32" s="27"/>
      <c r="L32" s="120"/>
      <c r="M32" s="49" t="e">
        <f t="shared" ca="1" si="1"/>
        <v>#N/A</v>
      </c>
      <c r="N32" s="114" t="e">
        <f ca="1">VLOOKUP($B32,Matrix!$H$13:$I$37,2,FALSE)&amp;"_"&amp;C32</f>
        <v>#N/A</v>
      </c>
      <c r="O32" s="127" t="e">
        <f t="shared" ca="1" si="0"/>
        <v>#N/A</v>
      </c>
    </row>
    <row r="33" spans="2:15">
      <c r="B33" s="27"/>
      <c r="C33" s="26"/>
      <c r="D33" s="119"/>
      <c r="E33" s="27"/>
      <c r="F33" s="120"/>
      <c r="G33" s="27"/>
      <c r="H33" s="120"/>
      <c r="I33" s="27"/>
      <c r="J33" s="120"/>
      <c r="K33" s="27"/>
      <c r="L33" s="120"/>
      <c r="M33" s="49" t="e">
        <f t="shared" ca="1" si="1"/>
        <v>#N/A</v>
      </c>
      <c r="N33" s="114" t="e">
        <f ca="1">VLOOKUP($B33,Matrix!$H$13:$I$37,2,FALSE)&amp;"_"&amp;C33</f>
        <v>#N/A</v>
      </c>
      <c r="O33" s="127" t="e">
        <f t="shared" ca="1" si="0"/>
        <v>#N/A</v>
      </c>
    </row>
    <row r="34" spans="2:15">
      <c r="B34" s="27"/>
      <c r="C34" s="26"/>
      <c r="D34" s="119"/>
      <c r="E34" s="27"/>
      <c r="F34" s="120"/>
      <c r="G34" s="27"/>
      <c r="H34" s="120"/>
      <c r="I34" s="27"/>
      <c r="J34" s="120"/>
      <c r="K34" s="27"/>
      <c r="L34" s="120"/>
      <c r="M34" s="49" t="e">
        <f t="shared" ca="1" si="1"/>
        <v>#N/A</v>
      </c>
      <c r="N34" s="114" t="e">
        <f ca="1">VLOOKUP($B34,Matrix!$H$13:$I$37,2,FALSE)&amp;"_"&amp;C34</f>
        <v>#N/A</v>
      </c>
      <c r="O34" s="127" t="e">
        <f t="shared" ca="1" si="0"/>
        <v>#N/A</v>
      </c>
    </row>
    <row r="35" spans="2:15">
      <c r="B35" s="27"/>
      <c r="C35" s="26"/>
      <c r="D35" s="119"/>
      <c r="E35" s="27"/>
      <c r="F35" s="120"/>
      <c r="G35" s="27"/>
      <c r="H35" s="120"/>
      <c r="I35" s="27"/>
      <c r="J35" s="120"/>
      <c r="K35" s="27"/>
      <c r="L35" s="120"/>
      <c r="M35" s="49" t="e">
        <f t="shared" ca="1" si="1"/>
        <v>#N/A</v>
      </c>
      <c r="N35" s="114" t="e">
        <f ca="1">VLOOKUP($B35,Matrix!$H$13:$I$37,2,FALSE)&amp;"_"&amp;C35</f>
        <v>#N/A</v>
      </c>
      <c r="O35" s="127" t="e">
        <f t="shared" ca="1" si="0"/>
        <v>#N/A</v>
      </c>
    </row>
    <row r="36" spans="2:15">
      <c r="B36" s="27"/>
      <c r="C36" s="26"/>
      <c r="D36" s="119"/>
      <c r="E36" s="27"/>
      <c r="F36" s="120"/>
      <c r="G36" s="27"/>
      <c r="H36" s="120"/>
      <c r="I36" s="27"/>
      <c r="J36" s="120"/>
      <c r="K36" s="27"/>
      <c r="L36" s="120"/>
      <c r="M36" s="49" t="e">
        <f t="shared" ca="1" si="1"/>
        <v>#N/A</v>
      </c>
      <c r="N36" s="114" t="e">
        <f ca="1">VLOOKUP($B36,Matrix!$H$13:$I$37,2,FALSE)&amp;"_"&amp;C36</f>
        <v>#N/A</v>
      </c>
      <c r="O36" s="127" t="e">
        <f t="shared" ref="O36:O67" ca="1" si="2">"#define "&amp;N36&amp;REPT(" ",48-M36)&amp;"("&amp;D36&amp;"U)"</f>
        <v>#N/A</v>
      </c>
    </row>
    <row r="37" spans="2:15">
      <c r="B37" s="27"/>
      <c r="C37" s="26"/>
      <c r="D37" s="119"/>
      <c r="E37" s="27"/>
      <c r="F37" s="120"/>
      <c r="G37" s="27"/>
      <c r="H37" s="120"/>
      <c r="I37" s="27"/>
      <c r="J37" s="120"/>
      <c r="K37" s="27"/>
      <c r="L37" s="120"/>
      <c r="M37" s="49" t="e">
        <f t="shared" ca="1" si="1"/>
        <v>#N/A</v>
      </c>
      <c r="N37" s="114" t="e">
        <f ca="1">VLOOKUP($B37,Matrix!$H$13:$I$37,2,FALSE)&amp;"_"&amp;C37</f>
        <v>#N/A</v>
      </c>
      <c r="O37" s="127" t="e">
        <f t="shared" ca="1" si="2"/>
        <v>#N/A</v>
      </c>
    </row>
    <row r="38" spans="2:15">
      <c r="B38" s="27"/>
      <c r="C38" s="26"/>
      <c r="D38" s="119"/>
      <c r="E38" s="27"/>
      <c r="F38" s="120"/>
      <c r="G38" s="27"/>
      <c r="H38" s="120"/>
      <c r="I38" s="27"/>
      <c r="J38" s="120"/>
      <c r="K38" s="27"/>
      <c r="L38" s="120"/>
      <c r="M38" s="49" t="e">
        <f t="shared" ca="1" si="1"/>
        <v>#N/A</v>
      </c>
      <c r="N38" s="114" t="e">
        <f ca="1">VLOOKUP($B38,Matrix!$H$13:$I$37,2,FALSE)&amp;"_"&amp;C38</f>
        <v>#N/A</v>
      </c>
      <c r="O38" s="127" t="e">
        <f t="shared" ca="1" si="2"/>
        <v>#N/A</v>
      </c>
    </row>
    <row r="39" spans="2:15">
      <c r="B39" s="27"/>
      <c r="C39" s="26"/>
      <c r="D39" s="119"/>
      <c r="E39" s="27"/>
      <c r="F39" s="120"/>
      <c r="G39" s="27"/>
      <c r="H39" s="120"/>
      <c r="I39" s="27"/>
      <c r="J39" s="120"/>
      <c r="K39" s="27"/>
      <c r="L39" s="120"/>
      <c r="M39" s="49" t="e">
        <f t="shared" ca="1" si="1"/>
        <v>#N/A</v>
      </c>
      <c r="N39" s="114" t="e">
        <f ca="1">VLOOKUP($B39,Matrix!$H$13:$I$37,2,FALSE)&amp;"_"&amp;C39</f>
        <v>#N/A</v>
      </c>
      <c r="O39" s="127" t="e">
        <f t="shared" ca="1" si="2"/>
        <v>#N/A</v>
      </c>
    </row>
    <row r="40" spans="2:15">
      <c r="B40" s="27"/>
      <c r="C40" s="26"/>
      <c r="D40" s="119"/>
      <c r="E40" s="27"/>
      <c r="F40" s="120"/>
      <c r="G40" s="27"/>
      <c r="H40" s="120"/>
      <c r="I40" s="27"/>
      <c r="J40" s="120"/>
      <c r="K40" s="27"/>
      <c r="L40" s="120"/>
      <c r="M40" s="49" t="e">
        <f t="shared" ca="1" si="1"/>
        <v>#N/A</v>
      </c>
      <c r="N40" s="114" t="e">
        <f ca="1">VLOOKUP($B40,Matrix!$H$13:$I$37,2,FALSE)&amp;"_"&amp;C40</f>
        <v>#N/A</v>
      </c>
      <c r="O40" s="127" t="e">
        <f t="shared" ca="1" si="2"/>
        <v>#N/A</v>
      </c>
    </row>
    <row r="41" spans="2:15">
      <c r="B41" s="27"/>
      <c r="C41" s="26"/>
      <c r="D41" s="119"/>
      <c r="E41" s="27"/>
      <c r="F41" s="120"/>
      <c r="G41" s="27"/>
      <c r="H41" s="120"/>
      <c r="I41" s="27"/>
      <c r="J41" s="120"/>
      <c r="K41" s="27"/>
      <c r="L41" s="120"/>
      <c r="M41" s="49" t="e">
        <f t="shared" ca="1" si="1"/>
        <v>#N/A</v>
      </c>
      <c r="N41" s="114" t="e">
        <f ca="1">VLOOKUP($B41,Matrix!$H$13:$I$37,2,FALSE)&amp;"_"&amp;C41</f>
        <v>#N/A</v>
      </c>
      <c r="O41" s="127" t="e">
        <f t="shared" ca="1" si="2"/>
        <v>#N/A</v>
      </c>
    </row>
    <row r="42" spans="2:15">
      <c r="B42" s="27"/>
      <c r="C42" s="26"/>
      <c r="D42" s="119"/>
      <c r="E42" s="27"/>
      <c r="F42" s="120"/>
      <c r="G42" s="27"/>
      <c r="H42" s="120"/>
      <c r="I42" s="27"/>
      <c r="J42" s="120"/>
      <c r="K42" s="27"/>
      <c r="L42" s="120"/>
      <c r="M42" s="49" t="e">
        <f t="shared" ca="1" si="1"/>
        <v>#N/A</v>
      </c>
      <c r="N42" s="114" t="e">
        <f ca="1">VLOOKUP($B42,Matrix!$H$13:$I$37,2,FALSE)&amp;"_"&amp;C42</f>
        <v>#N/A</v>
      </c>
      <c r="O42" s="127" t="e">
        <f t="shared" ca="1" si="2"/>
        <v>#N/A</v>
      </c>
    </row>
    <row r="43" spans="2:15">
      <c r="B43" s="27"/>
      <c r="C43" s="26"/>
      <c r="D43" s="119"/>
      <c r="E43" s="27"/>
      <c r="F43" s="120"/>
      <c r="G43" s="27"/>
      <c r="H43" s="120"/>
      <c r="I43" s="27"/>
      <c r="J43" s="120"/>
      <c r="K43" s="27"/>
      <c r="L43" s="120"/>
      <c r="M43" s="49" t="e">
        <f t="shared" ca="1" si="1"/>
        <v>#N/A</v>
      </c>
      <c r="N43" s="114" t="e">
        <f ca="1">VLOOKUP($B43,Matrix!$H$13:$I$37,2,FALSE)&amp;"_"&amp;C43</f>
        <v>#N/A</v>
      </c>
      <c r="O43" s="127" t="e">
        <f t="shared" ca="1" si="2"/>
        <v>#N/A</v>
      </c>
    </row>
    <row r="44" spans="2:15">
      <c r="B44" s="27"/>
      <c r="C44" s="26"/>
      <c r="D44" s="119"/>
      <c r="E44" s="27"/>
      <c r="F44" s="120"/>
      <c r="G44" s="27"/>
      <c r="H44" s="120"/>
      <c r="I44" s="27"/>
      <c r="J44" s="120"/>
      <c r="K44" s="27"/>
      <c r="L44" s="120"/>
      <c r="M44" s="49" t="e">
        <f t="shared" ca="1" si="1"/>
        <v>#N/A</v>
      </c>
      <c r="N44" s="114" t="e">
        <f ca="1">VLOOKUP($B44,Matrix!$H$13:$I$37,2,FALSE)&amp;"_"&amp;C44</f>
        <v>#N/A</v>
      </c>
      <c r="O44" s="127" t="e">
        <f t="shared" ca="1" si="2"/>
        <v>#N/A</v>
      </c>
    </row>
    <row r="45" spans="2:15">
      <c r="B45" s="27"/>
      <c r="C45" s="26"/>
      <c r="D45" s="119"/>
      <c r="E45" s="27"/>
      <c r="F45" s="120"/>
      <c r="G45" s="27"/>
      <c r="H45" s="120"/>
      <c r="I45" s="27"/>
      <c r="J45" s="120"/>
      <c r="K45" s="27"/>
      <c r="L45" s="120"/>
      <c r="M45" s="49" t="e">
        <f t="shared" ca="1" si="1"/>
        <v>#N/A</v>
      </c>
      <c r="N45" s="114" t="e">
        <f ca="1">VLOOKUP($B45,Matrix!$H$13:$I$37,2,FALSE)&amp;"_"&amp;C45</f>
        <v>#N/A</v>
      </c>
      <c r="O45" s="127" t="e">
        <f t="shared" ca="1" si="2"/>
        <v>#N/A</v>
      </c>
    </row>
    <row r="46" spans="2:15">
      <c r="B46" s="27"/>
      <c r="C46" s="26"/>
      <c r="D46" s="119"/>
      <c r="E46" s="27"/>
      <c r="F46" s="120"/>
      <c r="G46" s="27"/>
      <c r="H46" s="120"/>
      <c r="I46" s="27"/>
      <c r="J46" s="120"/>
      <c r="K46" s="27"/>
      <c r="L46" s="120"/>
      <c r="M46" s="49" t="e">
        <f t="shared" ca="1" si="1"/>
        <v>#N/A</v>
      </c>
      <c r="N46" s="114" t="e">
        <f ca="1">VLOOKUP($B46,Matrix!$H$13:$I$37,2,FALSE)&amp;"_"&amp;C46</f>
        <v>#N/A</v>
      </c>
      <c r="O46" s="127" t="e">
        <f t="shared" ca="1" si="2"/>
        <v>#N/A</v>
      </c>
    </row>
    <row r="47" spans="2:15">
      <c r="B47" s="27"/>
      <c r="C47" s="26"/>
      <c r="D47" s="119"/>
      <c r="E47" s="27"/>
      <c r="F47" s="120"/>
      <c r="G47" s="27"/>
      <c r="H47" s="120"/>
      <c r="I47" s="27"/>
      <c r="J47" s="120"/>
      <c r="K47" s="27"/>
      <c r="L47" s="120"/>
      <c r="M47" s="49" t="e">
        <f t="shared" ca="1" si="1"/>
        <v>#N/A</v>
      </c>
      <c r="N47" s="114" t="e">
        <f ca="1">VLOOKUP($B47,Matrix!$H$13:$I$37,2,FALSE)&amp;"_"&amp;C47</f>
        <v>#N/A</v>
      </c>
      <c r="O47" s="127" t="e">
        <f t="shared" ca="1" si="2"/>
        <v>#N/A</v>
      </c>
    </row>
    <row r="48" spans="2:15">
      <c r="B48" s="27"/>
      <c r="C48" s="26"/>
      <c r="D48" s="119"/>
      <c r="E48" s="27"/>
      <c r="F48" s="120"/>
      <c r="G48" s="27"/>
      <c r="H48" s="120"/>
      <c r="I48" s="27"/>
      <c r="J48" s="120"/>
      <c r="K48" s="27"/>
      <c r="L48" s="120"/>
      <c r="M48" s="49" t="e">
        <f t="shared" ca="1" si="1"/>
        <v>#N/A</v>
      </c>
      <c r="N48" s="114" t="e">
        <f ca="1">VLOOKUP($B48,Matrix!$H$13:$I$37,2,FALSE)&amp;"_"&amp;C48</f>
        <v>#N/A</v>
      </c>
      <c r="O48" s="127" t="e">
        <f t="shared" ca="1" si="2"/>
        <v>#N/A</v>
      </c>
    </row>
    <row r="49" spans="2:15">
      <c r="B49" s="27"/>
      <c r="C49" s="26"/>
      <c r="D49" s="119"/>
      <c r="E49" s="27"/>
      <c r="F49" s="120"/>
      <c r="G49" s="27"/>
      <c r="H49" s="120"/>
      <c r="I49" s="27"/>
      <c r="J49" s="120"/>
      <c r="K49" s="27"/>
      <c r="L49" s="120"/>
      <c r="M49" s="49" t="e">
        <f t="shared" ca="1" si="1"/>
        <v>#N/A</v>
      </c>
      <c r="N49" s="114" t="e">
        <f ca="1">VLOOKUP($B49,Matrix!$H$13:$I$37,2,FALSE)&amp;"_"&amp;C49</f>
        <v>#N/A</v>
      </c>
      <c r="O49" s="127" t="e">
        <f t="shared" ca="1" si="2"/>
        <v>#N/A</v>
      </c>
    </row>
    <row r="50" spans="2:15">
      <c r="B50" s="27"/>
      <c r="C50" s="26"/>
      <c r="D50" s="119"/>
      <c r="E50" s="27"/>
      <c r="F50" s="120"/>
      <c r="G50" s="27"/>
      <c r="H50" s="120"/>
      <c r="I50" s="27"/>
      <c r="J50" s="120"/>
      <c r="K50" s="27"/>
      <c r="L50" s="120"/>
      <c r="M50" s="49" t="e">
        <f t="shared" ca="1" si="1"/>
        <v>#N/A</v>
      </c>
      <c r="N50" s="114" t="e">
        <f ca="1">VLOOKUP($B50,Matrix!$H$13:$I$37,2,FALSE)&amp;"_"&amp;C50</f>
        <v>#N/A</v>
      </c>
      <c r="O50" s="127" t="e">
        <f t="shared" ca="1" si="2"/>
        <v>#N/A</v>
      </c>
    </row>
    <row r="51" spans="2:15">
      <c r="B51" s="27"/>
      <c r="C51" s="26"/>
      <c r="D51" s="119"/>
      <c r="E51" s="27"/>
      <c r="F51" s="120"/>
      <c r="G51" s="27"/>
      <c r="H51" s="120"/>
      <c r="I51" s="27"/>
      <c r="J51" s="120"/>
      <c r="K51" s="27"/>
      <c r="L51" s="120"/>
      <c r="M51" s="49" t="e">
        <f t="shared" ca="1" si="1"/>
        <v>#N/A</v>
      </c>
      <c r="N51" s="114" t="e">
        <f ca="1">VLOOKUP($B51,Matrix!$H$13:$I$37,2,FALSE)&amp;"_"&amp;C51</f>
        <v>#N/A</v>
      </c>
      <c r="O51" s="127" t="e">
        <f t="shared" ca="1" si="2"/>
        <v>#N/A</v>
      </c>
    </row>
    <row r="52" spans="2:15">
      <c r="B52" s="27"/>
      <c r="C52" s="26"/>
      <c r="D52" s="119"/>
      <c r="E52" s="27"/>
      <c r="F52" s="120"/>
      <c r="G52" s="27"/>
      <c r="H52" s="120"/>
      <c r="I52" s="27"/>
      <c r="J52" s="120"/>
      <c r="K52" s="27"/>
      <c r="L52" s="120"/>
      <c r="M52" s="49" t="e">
        <f t="shared" ca="1" si="1"/>
        <v>#N/A</v>
      </c>
      <c r="N52" s="114" t="e">
        <f ca="1">VLOOKUP($B52,Matrix!$H$13:$I$37,2,FALSE)&amp;"_"&amp;C52</f>
        <v>#N/A</v>
      </c>
      <c r="O52" s="127" t="e">
        <f t="shared" ca="1" si="2"/>
        <v>#N/A</v>
      </c>
    </row>
    <row r="53" spans="2:15">
      <c r="B53" s="27"/>
      <c r="C53" s="26"/>
      <c r="D53" s="119"/>
      <c r="E53" s="27"/>
      <c r="F53" s="120"/>
      <c r="G53" s="27"/>
      <c r="H53" s="120"/>
      <c r="I53" s="27"/>
      <c r="J53" s="120"/>
      <c r="K53" s="27"/>
      <c r="L53" s="120"/>
      <c r="M53" s="49" t="e">
        <f t="shared" ca="1" si="1"/>
        <v>#N/A</v>
      </c>
      <c r="N53" s="114" t="e">
        <f ca="1">VLOOKUP($B53,Matrix!$H$13:$I$37,2,FALSE)&amp;"_"&amp;C53</f>
        <v>#N/A</v>
      </c>
      <c r="O53" s="127" t="e">
        <f t="shared" ca="1" si="2"/>
        <v>#N/A</v>
      </c>
    </row>
    <row r="54" spans="2:15">
      <c r="B54" s="27"/>
      <c r="C54" s="26"/>
      <c r="D54" s="119"/>
      <c r="E54" s="27"/>
      <c r="F54" s="120"/>
      <c r="G54" s="27"/>
      <c r="H54" s="120"/>
      <c r="I54" s="27"/>
      <c r="J54" s="120"/>
      <c r="K54" s="27"/>
      <c r="L54" s="120"/>
      <c r="M54" s="49" t="e">
        <f t="shared" ca="1" si="1"/>
        <v>#N/A</v>
      </c>
      <c r="N54" s="114" t="e">
        <f ca="1">VLOOKUP($B54,Matrix!$H$13:$I$37,2,FALSE)&amp;"_"&amp;C54</f>
        <v>#N/A</v>
      </c>
      <c r="O54" s="127" t="e">
        <f t="shared" ca="1" si="2"/>
        <v>#N/A</v>
      </c>
    </row>
    <row r="55" spans="2:15">
      <c r="B55" s="27"/>
      <c r="C55" s="26"/>
      <c r="D55" s="119"/>
      <c r="E55" s="27"/>
      <c r="F55" s="120"/>
      <c r="G55" s="27"/>
      <c r="H55" s="120"/>
      <c r="I55" s="27"/>
      <c r="J55" s="120"/>
      <c r="K55" s="27"/>
      <c r="L55" s="120"/>
      <c r="M55" s="49" t="e">
        <f t="shared" ca="1" si="1"/>
        <v>#N/A</v>
      </c>
      <c r="N55" s="114" t="e">
        <f ca="1">VLOOKUP($B55,Matrix!$H$13:$I$37,2,FALSE)&amp;"_"&amp;C55</f>
        <v>#N/A</v>
      </c>
      <c r="O55" s="127" t="e">
        <f t="shared" ca="1" si="2"/>
        <v>#N/A</v>
      </c>
    </row>
    <row r="56" spans="2:15">
      <c r="B56" s="27"/>
      <c r="C56" s="26"/>
      <c r="D56" s="119"/>
      <c r="E56" s="27"/>
      <c r="F56" s="120"/>
      <c r="G56" s="27"/>
      <c r="H56" s="120"/>
      <c r="I56" s="27"/>
      <c r="J56" s="120"/>
      <c r="K56" s="27"/>
      <c r="L56" s="120"/>
      <c r="M56" s="49" t="e">
        <f t="shared" ca="1" si="1"/>
        <v>#N/A</v>
      </c>
      <c r="N56" s="114" t="e">
        <f ca="1">VLOOKUP($B56,Matrix!$H$13:$I$37,2,FALSE)&amp;"_"&amp;C56</f>
        <v>#N/A</v>
      </c>
      <c r="O56" s="127" t="e">
        <f t="shared" ca="1" si="2"/>
        <v>#N/A</v>
      </c>
    </row>
    <row r="57" spans="2:15">
      <c r="B57" s="27"/>
      <c r="C57" s="26"/>
      <c r="D57" s="119"/>
      <c r="E57" s="27"/>
      <c r="F57" s="120"/>
      <c r="G57" s="27"/>
      <c r="H57" s="120"/>
      <c r="I57" s="27"/>
      <c r="J57" s="120"/>
      <c r="K57" s="27"/>
      <c r="L57" s="120"/>
      <c r="M57" s="49" t="e">
        <f t="shared" ca="1" si="1"/>
        <v>#N/A</v>
      </c>
      <c r="N57" s="114" t="e">
        <f ca="1">VLOOKUP($B57,Matrix!$H$13:$I$37,2,FALSE)&amp;"_"&amp;C57</f>
        <v>#N/A</v>
      </c>
      <c r="O57" s="127" t="e">
        <f t="shared" ca="1" si="2"/>
        <v>#N/A</v>
      </c>
    </row>
    <row r="58" spans="2:15">
      <c r="B58" s="27"/>
      <c r="C58" s="26"/>
      <c r="D58" s="119"/>
      <c r="E58" s="27"/>
      <c r="F58" s="120"/>
      <c r="G58" s="27"/>
      <c r="H58" s="120"/>
      <c r="I58" s="27"/>
      <c r="J58" s="120"/>
      <c r="K58" s="27"/>
      <c r="L58" s="120"/>
      <c r="M58" s="49" t="e">
        <f t="shared" ca="1" si="1"/>
        <v>#N/A</v>
      </c>
      <c r="N58" s="114" t="e">
        <f ca="1">VLOOKUP($B58,Matrix!$H$13:$I$37,2,FALSE)&amp;"_"&amp;C58</f>
        <v>#N/A</v>
      </c>
      <c r="O58" s="127" t="e">
        <f t="shared" ca="1" si="2"/>
        <v>#N/A</v>
      </c>
    </row>
    <row r="59" spans="2:15">
      <c r="B59" s="27"/>
      <c r="C59" s="26"/>
      <c r="D59" s="119"/>
      <c r="E59" s="27"/>
      <c r="F59" s="120"/>
      <c r="G59" s="27"/>
      <c r="H59" s="120"/>
      <c r="I59" s="27"/>
      <c r="J59" s="120"/>
      <c r="K59" s="27"/>
      <c r="L59" s="120"/>
      <c r="M59" s="49" t="e">
        <f t="shared" ca="1" si="1"/>
        <v>#N/A</v>
      </c>
      <c r="N59" s="114" t="e">
        <f ca="1">VLOOKUP($B59,Matrix!$H$13:$I$37,2,FALSE)&amp;"_"&amp;C59</f>
        <v>#N/A</v>
      </c>
      <c r="O59" s="127" t="e">
        <f t="shared" ca="1" si="2"/>
        <v>#N/A</v>
      </c>
    </row>
    <row r="60" spans="2:15">
      <c r="B60" s="27"/>
      <c r="C60" s="26"/>
      <c r="D60" s="119"/>
      <c r="E60" s="27"/>
      <c r="F60" s="120"/>
      <c r="G60" s="27"/>
      <c r="H60" s="120"/>
      <c r="I60" s="27"/>
      <c r="J60" s="120"/>
      <c r="K60" s="27"/>
      <c r="L60" s="120"/>
      <c r="M60" s="49" t="e">
        <f t="shared" ca="1" si="1"/>
        <v>#N/A</v>
      </c>
      <c r="N60" s="114" t="e">
        <f ca="1">VLOOKUP($B60,Matrix!$H$13:$I$37,2,FALSE)&amp;"_"&amp;C60</f>
        <v>#N/A</v>
      </c>
      <c r="O60" s="127" t="e">
        <f t="shared" ca="1" si="2"/>
        <v>#N/A</v>
      </c>
    </row>
    <row r="61" spans="2:15">
      <c r="B61" s="27"/>
      <c r="C61" s="26"/>
      <c r="D61" s="119"/>
      <c r="E61" s="27"/>
      <c r="F61" s="120"/>
      <c r="G61" s="27"/>
      <c r="H61" s="120"/>
      <c r="I61" s="27"/>
      <c r="J61" s="120"/>
      <c r="K61" s="27"/>
      <c r="L61" s="120"/>
      <c r="M61" s="49" t="e">
        <f t="shared" ca="1" si="1"/>
        <v>#N/A</v>
      </c>
      <c r="N61" s="114" t="e">
        <f ca="1">VLOOKUP($B61,Matrix!$H$13:$I$37,2,FALSE)&amp;"_"&amp;C61</f>
        <v>#N/A</v>
      </c>
      <c r="O61" s="127" t="e">
        <f t="shared" ca="1" si="2"/>
        <v>#N/A</v>
      </c>
    </row>
    <row r="62" spans="2:15">
      <c r="B62" s="27"/>
      <c r="C62" s="26"/>
      <c r="D62" s="119"/>
      <c r="E62" s="27"/>
      <c r="F62" s="120"/>
      <c r="G62" s="27"/>
      <c r="H62" s="120"/>
      <c r="I62" s="27"/>
      <c r="J62" s="120"/>
      <c r="K62" s="27"/>
      <c r="L62" s="120"/>
      <c r="M62" s="49" t="e">
        <f t="shared" ca="1" si="1"/>
        <v>#N/A</v>
      </c>
      <c r="N62" s="114" t="e">
        <f ca="1">VLOOKUP($B62,Matrix!$H$13:$I$37,2,FALSE)&amp;"_"&amp;C62</f>
        <v>#N/A</v>
      </c>
      <c r="O62" s="127" t="e">
        <f t="shared" ca="1" si="2"/>
        <v>#N/A</v>
      </c>
    </row>
    <row r="63" spans="2:15">
      <c r="B63" s="27"/>
      <c r="C63" s="26"/>
      <c r="D63" s="119"/>
      <c r="E63" s="27"/>
      <c r="F63" s="120"/>
      <c r="G63" s="27"/>
      <c r="H63" s="120"/>
      <c r="I63" s="27"/>
      <c r="J63" s="120"/>
      <c r="K63" s="27"/>
      <c r="L63" s="120"/>
      <c r="M63" s="49" t="e">
        <f t="shared" ca="1" si="1"/>
        <v>#N/A</v>
      </c>
      <c r="N63" s="114" t="e">
        <f ca="1">VLOOKUP($B63,Matrix!$H$13:$I$37,2,FALSE)&amp;"_"&amp;C63</f>
        <v>#N/A</v>
      </c>
      <c r="O63" s="127" t="e">
        <f t="shared" ca="1" si="2"/>
        <v>#N/A</v>
      </c>
    </row>
    <row r="64" spans="2:15">
      <c r="B64" s="27"/>
      <c r="C64" s="26"/>
      <c r="D64" s="119"/>
      <c r="E64" s="27"/>
      <c r="F64" s="120"/>
      <c r="G64" s="27"/>
      <c r="H64" s="120"/>
      <c r="I64" s="27"/>
      <c r="J64" s="120"/>
      <c r="K64" s="27"/>
      <c r="L64" s="120"/>
      <c r="M64" s="49" t="e">
        <f t="shared" ca="1" si="1"/>
        <v>#N/A</v>
      </c>
      <c r="N64" s="114" t="e">
        <f ca="1">VLOOKUP($B64,Matrix!$H$13:$I$37,2,FALSE)&amp;"_"&amp;C64</f>
        <v>#N/A</v>
      </c>
      <c r="O64" s="127" t="e">
        <f t="shared" ca="1" si="2"/>
        <v>#N/A</v>
      </c>
    </row>
    <row r="65" spans="2:15">
      <c r="B65" s="27"/>
      <c r="C65" s="26"/>
      <c r="D65" s="119"/>
      <c r="E65" s="27"/>
      <c r="F65" s="120"/>
      <c r="G65" s="27"/>
      <c r="H65" s="120"/>
      <c r="I65" s="27"/>
      <c r="J65" s="120"/>
      <c r="K65" s="27"/>
      <c r="L65" s="120"/>
      <c r="M65" s="49" t="e">
        <f t="shared" ca="1" si="1"/>
        <v>#N/A</v>
      </c>
      <c r="N65" s="114" t="e">
        <f ca="1">VLOOKUP($B65,Matrix!$H$13:$I$37,2,FALSE)&amp;"_"&amp;C65</f>
        <v>#N/A</v>
      </c>
      <c r="O65" s="127" t="e">
        <f t="shared" ca="1" si="2"/>
        <v>#N/A</v>
      </c>
    </row>
    <row r="66" spans="2:15">
      <c r="B66" s="27"/>
      <c r="C66" s="26"/>
      <c r="D66" s="119"/>
      <c r="E66" s="27"/>
      <c r="F66" s="120"/>
      <c r="G66" s="27"/>
      <c r="H66" s="120"/>
      <c r="I66" s="27"/>
      <c r="J66" s="120"/>
      <c r="K66" s="27"/>
      <c r="L66" s="120"/>
      <c r="M66" s="49" t="e">
        <f t="shared" ca="1" si="1"/>
        <v>#N/A</v>
      </c>
      <c r="N66" s="114" t="e">
        <f ca="1">VLOOKUP($B66,Matrix!$H$13:$I$37,2,FALSE)&amp;"_"&amp;C66</f>
        <v>#N/A</v>
      </c>
      <c r="O66" s="127" t="e">
        <f t="shared" ca="1" si="2"/>
        <v>#N/A</v>
      </c>
    </row>
    <row r="67" spans="2:15">
      <c r="B67" s="27"/>
      <c r="C67" s="26"/>
      <c r="D67" s="119"/>
      <c r="E67" s="27"/>
      <c r="F67" s="120"/>
      <c r="G67" s="27"/>
      <c r="H67" s="120"/>
      <c r="I67" s="27"/>
      <c r="J67" s="120"/>
      <c r="K67" s="27"/>
      <c r="L67" s="120"/>
      <c r="M67" s="49" t="e">
        <f t="shared" ca="1" si="1"/>
        <v>#N/A</v>
      </c>
      <c r="N67" s="114" t="e">
        <f ca="1">VLOOKUP($B67,Matrix!$H$13:$I$37,2,FALSE)&amp;"_"&amp;C67</f>
        <v>#N/A</v>
      </c>
      <c r="O67" s="127" t="e">
        <f t="shared" ca="1" si="2"/>
        <v>#N/A</v>
      </c>
    </row>
    <row r="68" spans="2:15">
      <c r="B68" s="27"/>
      <c r="C68" s="26"/>
      <c r="D68" s="119"/>
      <c r="E68" s="27"/>
      <c r="F68" s="120"/>
      <c r="G68" s="27"/>
      <c r="H68" s="120"/>
      <c r="I68" s="27"/>
      <c r="J68" s="120"/>
      <c r="K68" s="27"/>
      <c r="L68" s="120"/>
      <c r="M68" s="49" t="e">
        <f t="shared" ca="1" si="1"/>
        <v>#N/A</v>
      </c>
      <c r="N68" s="114" t="e">
        <f ca="1">VLOOKUP($B68,Matrix!$H$13:$I$37,2,FALSE)&amp;"_"&amp;C68</f>
        <v>#N/A</v>
      </c>
      <c r="O68" s="127" t="e">
        <f t="shared" ref="O68:O99" ca="1" si="3">"#define "&amp;N68&amp;REPT(" ",48-M68)&amp;"("&amp;D68&amp;"U)"</f>
        <v>#N/A</v>
      </c>
    </row>
    <row r="69" spans="2:15">
      <c r="B69" s="27"/>
      <c r="C69" s="26"/>
      <c r="D69" s="119"/>
      <c r="E69" s="27"/>
      <c r="F69" s="120"/>
      <c r="G69" s="27"/>
      <c r="H69" s="120"/>
      <c r="I69" s="27"/>
      <c r="J69" s="120"/>
      <c r="K69" s="27"/>
      <c r="L69" s="120"/>
      <c r="M69" s="49" t="e">
        <f t="shared" ref="M69:M103" ca="1" si="4">LEN(N69)</f>
        <v>#N/A</v>
      </c>
      <c r="N69" s="114" t="e">
        <f ca="1">VLOOKUP($B69,Matrix!$H$13:$I$37,2,FALSE)&amp;"_"&amp;C69</f>
        <v>#N/A</v>
      </c>
      <c r="O69" s="127" t="e">
        <f t="shared" ca="1" si="3"/>
        <v>#N/A</v>
      </c>
    </row>
    <row r="70" spans="2:15">
      <c r="B70" s="27"/>
      <c r="C70" s="26"/>
      <c r="D70" s="119"/>
      <c r="E70" s="27"/>
      <c r="F70" s="120"/>
      <c r="G70" s="27"/>
      <c r="H70" s="120"/>
      <c r="I70" s="27"/>
      <c r="J70" s="120"/>
      <c r="K70" s="27"/>
      <c r="L70" s="120"/>
      <c r="M70" s="49" t="e">
        <f t="shared" ca="1" si="4"/>
        <v>#N/A</v>
      </c>
      <c r="N70" s="114" t="e">
        <f ca="1">VLOOKUP($B70,Matrix!$H$13:$I$37,2,FALSE)&amp;"_"&amp;C70</f>
        <v>#N/A</v>
      </c>
      <c r="O70" s="127" t="e">
        <f t="shared" ca="1" si="3"/>
        <v>#N/A</v>
      </c>
    </row>
    <row r="71" spans="2:15">
      <c r="B71" s="27"/>
      <c r="C71" s="26"/>
      <c r="D71" s="119"/>
      <c r="E71" s="27"/>
      <c r="F71" s="120"/>
      <c r="G71" s="27"/>
      <c r="H71" s="120"/>
      <c r="I71" s="27"/>
      <c r="J71" s="120"/>
      <c r="K71" s="27"/>
      <c r="L71" s="120"/>
      <c r="M71" s="49" t="e">
        <f t="shared" ca="1" si="4"/>
        <v>#N/A</v>
      </c>
      <c r="N71" s="114" t="e">
        <f ca="1">VLOOKUP($B71,Matrix!$H$13:$I$37,2,FALSE)&amp;"_"&amp;C71</f>
        <v>#N/A</v>
      </c>
      <c r="O71" s="127" t="e">
        <f t="shared" ca="1" si="3"/>
        <v>#N/A</v>
      </c>
    </row>
    <row r="72" spans="2:15">
      <c r="B72" s="27"/>
      <c r="C72" s="26"/>
      <c r="D72" s="119"/>
      <c r="E72" s="27"/>
      <c r="F72" s="120"/>
      <c r="G72" s="27"/>
      <c r="H72" s="120"/>
      <c r="I72" s="27"/>
      <c r="J72" s="120"/>
      <c r="K72" s="27"/>
      <c r="L72" s="120"/>
      <c r="M72" s="49" t="e">
        <f t="shared" ca="1" si="4"/>
        <v>#N/A</v>
      </c>
      <c r="N72" s="114" t="e">
        <f ca="1">VLOOKUP($B72,Matrix!$H$13:$I$37,2,FALSE)&amp;"_"&amp;C72</f>
        <v>#N/A</v>
      </c>
      <c r="O72" s="127" t="e">
        <f t="shared" ca="1" si="3"/>
        <v>#N/A</v>
      </c>
    </row>
    <row r="73" spans="2:15">
      <c r="B73" s="27"/>
      <c r="C73" s="26"/>
      <c r="D73" s="119"/>
      <c r="E73" s="27"/>
      <c r="F73" s="120"/>
      <c r="G73" s="27"/>
      <c r="H73" s="120"/>
      <c r="I73" s="27"/>
      <c r="J73" s="120"/>
      <c r="K73" s="27"/>
      <c r="L73" s="120"/>
      <c r="M73" s="49" t="e">
        <f t="shared" ca="1" si="4"/>
        <v>#N/A</v>
      </c>
      <c r="N73" s="114" t="e">
        <f ca="1">VLOOKUP($B73,Matrix!$H$13:$I$37,2,FALSE)&amp;"_"&amp;C73</f>
        <v>#N/A</v>
      </c>
      <c r="O73" s="127" t="e">
        <f t="shared" ca="1" si="3"/>
        <v>#N/A</v>
      </c>
    </row>
    <row r="74" spans="2:15">
      <c r="B74" s="27"/>
      <c r="C74" s="26"/>
      <c r="D74" s="119"/>
      <c r="E74" s="27"/>
      <c r="F74" s="120"/>
      <c r="G74" s="27"/>
      <c r="H74" s="120"/>
      <c r="I74" s="27"/>
      <c r="J74" s="120"/>
      <c r="K74" s="27"/>
      <c r="L74" s="120"/>
      <c r="M74" s="49" t="e">
        <f t="shared" ca="1" si="4"/>
        <v>#N/A</v>
      </c>
      <c r="N74" s="114" t="e">
        <f ca="1">VLOOKUP($B74,Matrix!$H$13:$I$37,2,FALSE)&amp;"_"&amp;C74</f>
        <v>#N/A</v>
      </c>
      <c r="O74" s="127" t="e">
        <f t="shared" ca="1" si="3"/>
        <v>#N/A</v>
      </c>
    </row>
    <row r="75" spans="2:15">
      <c r="B75" s="27"/>
      <c r="C75" s="26"/>
      <c r="D75" s="119"/>
      <c r="E75" s="27"/>
      <c r="F75" s="120"/>
      <c r="G75" s="27"/>
      <c r="H75" s="120"/>
      <c r="I75" s="27"/>
      <c r="J75" s="120"/>
      <c r="K75" s="27"/>
      <c r="L75" s="120"/>
      <c r="M75" s="49" t="e">
        <f t="shared" ca="1" si="4"/>
        <v>#N/A</v>
      </c>
      <c r="N75" s="114" t="e">
        <f ca="1">VLOOKUP($B75,Matrix!$H$13:$I$37,2,FALSE)&amp;"_"&amp;C75</f>
        <v>#N/A</v>
      </c>
      <c r="O75" s="127" t="e">
        <f t="shared" ca="1" si="3"/>
        <v>#N/A</v>
      </c>
    </row>
    <row r="76" spans="2:15">
      <c r="B76" s="27"/>
      <c r="C76" s="26"/>
      <c r="D76" s="119"/>
      <c r="E76" s="27"/>
      <c r="F76" s="120"/>
      <c r="G76" s="27"/>
      <c r="H76" s="120"/>
      <c r="I76" s="27"/>
      <c r="J76" s="120"/>
      <c r="K76" s="27"/>
      <c r="L76" s="120"/>
      <c r="M76" s="49" t="e">
        <f t="shared" ca="1" si="4"/>
        <v>#N/A</v>
      </c>
      <c r="N76" s="114" t="e">
        <f ca="1">VLOOKUP($B76,Matrix!$H$13:$I$37,2,FALSE)&amp;"_"&amp;C76</f>
        <v>#N/A</v>
      </c>
      <c r="O76" s="127" t="e">
        <f t="shared" ca="1" si="3"/>
        <v>#N/A</v>
      </c>
    </row>
    <row r="77" spans="2:15">
      <c r="B77" s="27"/>
      <c r="C77" s="26"/>
      <c r="D77" s="119"/>
      <c r="E77" s="27"/>
      <c r="F77" s="120"/>
      <c r="G77" s="27"/>
      <c r="H77" s="120"/>
      <c r="I77" s="27"/>
      <c r="J77" s="120"/>
      <c r="K77" s="27"/>
      <c r="L77" s="120"/>
      <c r="M77" s="49" t="e">
        <f t="shared" ca="1" si="4"/>
        <v>#N/A</v>
      </c>
      <c r="N77" s="114" t="e">
        <f ca="1">VLOOKUP($B77,Matrix!$H$13:$I$37,2,FALSE)&amp;"_"&amp;C77</f>
        <v>#N/A</v>
      </c>
      <c r="O77" s="127" t="e">
        <f t="shared" ca="1" si="3"/>
        <v>#N/A</v>
      </c>
    </row>
    <row r="78" spans="2:15">
      <c r="B78" s="27"/>
      <c r="C78" s="26"/>
      <c r="D78" s="119"/>
      <c r="E78" s="27"/>
      <c r="F78" s="120"/>
      <c r="G78" s="27"/>
      <c r="H78" s="120"/>
      <c r="I78" s="27"/>
      <c r="J78" s="120"/>
      <c r="K78" s="27"/>
      <c r="L78" s="120"/>
      <c r="M78" s="49" t="e">
        <f t="shared" ca="1" si="4"/>
        <v>#N/A</v>
      </c>
      <c r="N78" s="114" t="e">
        <f ca="1">VLOOKUP($B78,Matrix!$H$13:$I$37,2,FALSE)&amp;"_"&amp;C78</f>
        <v>#N/A</v>
      </c>
      <c r="O78" s="127" t="e">
        <f t="shared" ca="1" si="3"/>
        <v>#N/A</v>
      </c>
    </row>
    <row r="79" spans="2:15">
      <c r="B79" s="27"/>
      <c r="C79" s="26"/>
      <c r="D79" s="119"/>
      <c r="E79" s="27"/>
      <c r="F79" s="120"/>
      <c r="G79" s="27"/>
      <c r="H79" s="120"/>
      <c r="I79" s="27"/>
      <c r="J79" s="120"/>
      <c r="K79" s="27"/>
      <c r="L79" s="120"/>
      <c r="M79" s="49" t="e">
        <f t="shared" ca="1" si="4"/>
        <v>#N/A</v>
      </c>
      <c r="N79" s="114" t="e">
        <f ca="1">VLOOKUP($B79,Matrix!$H$13:$I$37,2,FALSE)&amp;"_"&amp;C79</f>
        <v>#N/A</v>
      </c>
      <c r="O79" s="127" t="e">
        <f t="shared" ca="1" si="3"/>
        <v>#N/A</v>
      </c>
    </row>
    <row r="80" spans="2:15">
      <c r="B80" s="27"/>
      <c r="C80" s="26"/>
      <c r="D80" s="119"/>
      <c r="E80" s="27"/>
      <c r="F80" s="120"/>
      <c r="G80" s="27"/>
      <c r="H80" s="120"/>
      <c r="I80" s="27"/>
      <c r="J80" s="120"/>
      <c r="K80" s="27"/>
      <c r="L80" s="120"/>
      <c r="M80" s="49" t="e">
        <f t="shared" ca="1" si="4"/>
        <v>#N/A</v>
      </c>
      <c r="N80" s="114" t="e">
        <f ca="1">VLOOKUP($B80,Matrix!$H$13:$I$37,2,FALSE)&amp;"_"&amp;C80</f>
        <v>#N/A</v>
      </c>
      <c r="O80" s="127" t="e">
        <f t="shared" ca="1" si="3"/>
        <v>#N/A</v>
      </c>
    </row>
    <row r="81" spans="2:15">
      <c r="B81" s="27"/>
      <c r="C81" s="26"/>
      <c r="D81" s="119"/>
      <c r="E81" s="27"/>
      <c r="F81" s="120"/>
      <c r="G81" s="27"/>
      <c r="H81" s="120"/>
      <c r="I81" s="27"/>
      <c r="J81" s="120"/>
      <c r="K81" s="27"/>
      <c r="L81" s="120"/>
      <c r="M81" s="49" t="e">
        <f t="shared" ca="1" si="4"/>
        <v>#N/A</v>
      </c>
      <c r="N81" s="114" t="e">
        <f ca="1">VLOOKUP($B81,Matrix!$H$13:$I$37,2,FALSE)&amp;"_"&amp;C81</f>
        <v>#N/A</v>
      </c>
      <c r="O81" s="127" t="e">
        <f t="shared" ca="1" si="3"/>
        <v>#N/A</v>
      </c>
    </row>
    <row r="82" spans="2:15">
      <c r="B82" s="27"/>
      <c r="C82" s="26"/>
      <c r="D82" s="119"/>
      <c r="E82" s="27"/>
      <c r="F82" s="120"/>
      <c r="G82" s="27"/>
      <c r="H82" s="120"/>
      <c r="I82" s="27"/>
      <c r="J82" s="120"/>
      <c r="K82" s="27"/>
      <c r="L82" s="120"/>
      <c r="M82" s="49" t="e">
        <f t="shared" ca="1" si="4"/>
        <v>#N/A</v>
      </c>
      <c r="N82" s="114" t="e">
        <f ca="1">VLOOKUP($B82,Matrix!$H$13:$I$37,2,FALSE)&amp;"_"&amp;C82</f>
        <v>#N/A</v>
      </c>
      <c r="O82" s="127" t="e">
        <f t="shared" ca="1" si="3"/>
        <v>#N/A</v>
      </c>
    </row>
    <row r="83" spans="2:15">
      <c r="B83" s="27"/>
      <c r="C83" s="26"/>
      <c r="D83" s="119"/>
      <c r="E83" s="27"/>
      <c r="F83" s="120"/>
      <c r="G83" s="27"/>
      <c r="H83" s="120"/>
      <c r="I83" s="27"/>
      <c r="J83" s="120"/>
      <c r="K83" s="27"/>
      <c r="L83" s="120"/>
      <c r="M83" s="49" t="e">
        <f t="shared" ca="1" si="4"/>
        <v>#N/A</v>
      </c>
      <c r="N83" s="114" t="e">
        <f ca="1">VLOOKUP($B83,Matrix!$H$13:$I$37,2,FALSE)&amp;"_"&amp;C83</f>
        <v>#N/A</v>
      </c>
      <c r="O83" s="127" t="e">
        <f t="shared" ca="1" si="3"/>
        <v>#N/A</v>
      </c>
    </row>
    <row r="84" spans="2:15">
      <c r="B84" s="27"/>
      <c r="C84" s="26"/>
      <c r="D84" s="119"/>
      <c r="E84" s="27"/>
      <c r="F84" s="120"/>
      <c r="G84" s="27"/>
      <c r="H84" s="120"/>
      <c r="I84" s="27"/>
      <c r="J84" s="120"/>
      <c r="K84" s="27"/>
      <c r="L84" s="120"/>
      <c r="M84" s="49" t="e">
        <f t="shared" ca="1" si="4"/>
        <v>#N/A</v>
      </c>
      <c r="N84" s="114" t="e">
        <f ca="1">VLOOKUP($B84,Matrix!$H$13:$I$37,2,FALSE)&amp;"_"&amp;C84</f>
        <v>#N/A</v>
      </c>
      <c r="O84" s="127" t="e">
        <f t="shared" ca="1" si="3"/>
        <v>#N/A</v>
      </c>
    </row>
    <row r="85" spans="2:15">
      <c r="B85" s="27"/>
      <c r="C85" s="26"/>
      <c r="D85" s="119"/>
      <c r="E85" s="27"/>
      <c r="F85" s="120"/>
      <c r="G85" s="27"/>
      <c r="H85" s="120"/>
      <c r="I85" s="27"/>
      <c r="J85" s="120"/>
      <c r="K85" s="27"/>
      <c r="L85" s="120"/>
      <c r="M85" s="49" t="e">
        <f t="shared" ca="1" si="4"/>
        <v>#N/A</v>
      </c>
      <c r="N85" s="114" t="e">
        <f ca="1">VLOOKUP($B85,Matrix!$H$13:$I$37,2,FALSE)&amp;"_"&amp;C85</f>
        <v>#N/A</v>
      </c>
      <c r="O85" s="127" t="e">
        <f t="shared" ca="1" si="3"/>
        <v>#N/A</v>
      </c>
    </row>
    <row r="86" spans="2:15">
      <c r="B86" s="27"/>
      <c r="C86" s="26"/>
      <c r="D86" s="119"/>
      <c r="E86" s="27"/>
      <c r="F86" s="120"/>
      <c r="G86" s="27"/>
      <c r="H86" s="120"/>
      <c r="I86" s="27"/>
      <c r="J86" s="120"/>
      <c r="K86" s="27"/>
      <c r="L86" s="120"/>
      <c r="M86" s="49" t="e">
        <f t="shared" ca="1" si="4"/>
        <v>#N/A</v>
      </c>
      <c r="N86" s="114" t="e">
        <f ca="1">VLOOKUP($B86,Matrix!$H$13:$I$37,2,FALSE)&amp;"_"&amp;C86</f>
        <v>#N/A</v>
      </c>
      <c r="O86" s="127" t="e">
        <f t="shared" ca="1" si="3"/>
        <v>#N/A</v>
      </c>
    </row>
    <row r="87" spans="2:15">
      <c r="B87" s="27"/>
      <c r="C87" s="26"/>
      <c r="D87" s="119"/>
      <c r="E87" s="27"/>
      <c r="F87" s="120"/>
      <c r="G87" s="27"/>
      <c r="H87" s="120"/>
      <c r="I87" s="27"/>
      <c r="J87" s="120"/>
      <c r="K87" s="27"/>
      <c r="L87" s="120"/>
      <c r="M87" s="49" t="e">
        <f t="shared" ca="1" si="4"/>
        <v>#N/A</v>
      </c>
      <c r="N87" s="70" t="e">
        <f ca="1">VLOOKUP($B87,Matrix!$H$13:$I$37,2,FALSE)&amp;"_"&amp;C87</f>
        <v>#N/A</v>
      </c>
      <c r="O87" s="127" t="e">
        <f t="shared" ca="1" si="3"/>
        <v>#N/A</v>
      </c>
    </row>
    <row r="88" spans="2:15">
      <c r="B88" s="27"/>
      <c r="C88" s="26"/>
      <c r="D88" s="119"/>
      <c r="E88" s="27"/>
      <c r="F88" s="120"/>
      <c r="G88" s="27"/>
      <c r="H88" s="120"/>
      <c r="I88" s="27"/>
      <c r="J88" s="120"/>
      <c r="K88" s="27"/>
      <c r="L88" s="120"/>
      <c r="M88" s="49" t="e">
        <f t="shared" ca="1" si="4"/>
        <v>#N/A</v>
      </c>
      <c r="N88" s="70" t="e">
        <f ca="1">VLOOKUP($B88,Matrix!$H$13:$I$37,2,FALSE)&amp;"_"&amp;C88</f>
        <v>#N/A</v>
      </c>
      <c r="O88" s="127" t="e">
        <f t="shared" ca="1" si="3"/>
        <v>#N/A</v>
      </c>
    </row>
    <row r="89" spans="2:15">
      <c r="B89" s="27"/>
      <c r="C89" s="26"/>
      <c r="D89" s="119"/>
      <c r="E89" s="27"/>
      <c r="F89" s="120"/>
      <c r="G89" s="27"/>
      <c r="H89" s="120"/>
      <c r="I89" s="27"/>
      <c r="J89" s="120"/>
      <c r="K89" s="27"/>
      <c r="L89" s="120"/>
      <c r="M89" s="49" t="e">
        <f t="shared" ca="1" si="4"/>
        <v>#N/A</v>
      </c>
      <c r="N89" s="70" t="e">
        <f ca="1">VLOOKUP($B89,Matrix!$H$13:$I$37,2,FALSE)&amp;"_"&amp;C89</f>
        <v>#N/A</v>
      </c>
      <c r="O89" s="127" t="e">
        <f t="shared" ca="1" si="3"/>
        <v>#N/A</v>
      </c>
    </row>
    <row r="90" spans="2:15">
      <c r="B90" s="27"/>
      <c r="C90" s="26"/>
      <c r="D90" s="119"/>
      <c r="E90" s="27"/>
      <c r="F90" s="120"/>
      <c r="G90" s="27"/>
      <c r="H90" s="120"/>
      <c r="I90" s="27"/>
      <c r="J90" s="120"/>
      <c r="K90" s="27"/>
      <c r="L90" s="120"/>
      <c r="M90" s="49" t="e">
        <f t="shared" ca="1" si="4"/>
        <v>#N/A</v>
      </c>
      <c r="N90" s="70" t="e">
        <f ca="1">VLOOKUP($B90,Matrix!$H$13:$I$37,2,FALSE)&amp;"_"&amp;C90</f>
        <v>#N/A</v>
      </c>
      <c r="O90" s="127" t="e">
        <f t="shared" ca="1" si="3"/>
        <v>#N/A</v>
      </c>
    </row>
    <row r="91" spans="2:15">
      <c r="B91" s="27"/>
      <c r="C91" s="26"/>
      <c r="D91" s="119"/>
      <c r="E91" s="27"/>
      <c r="F91" s="120"/>
      <c r="G91" s="27"/>
      <c r="H91" s="120"/>
      <c r="I91" s="27"/>
      <c r="J91" s="120"/>
      <c r="K91" s="27"/>
      <c r="L91" s="120"/>
      <c r="M91" s="49" t="e">
        <f t="shared" ca="1" si="4"/>
        <v>#N/A</v>
      </c>
      <c r="N91" s="70" t="e">
        <f ca="1">VLOOKUP($B91,Matrix!$H$13:$I$37,2,FALSE)&amp;"_"&amp;C91</f>
        <v>#N/A</v>
      </c>
      <c r="O91" s="127" t="e">
        <f t="shared" ca="1" si="3"/>
        <v>#N/A</v>
      </c>
    </row>
    <row r="92" spans="2:15">
      <c r="B92" s="27"/>
      <c r="C92" s="26"/>
      <c r="D92" s="119"/>
      <c r="E92" s="27"/>
      <c r="F92" s="120"/>
      <c r="G92" s="27"/>
      <c r="H92" s="120"/>
      <c r="I92" s="27"/>
      <c r="J92" s="120"/>
      <c r="K92" s="27"/>
      <c r="L92" s="120"/>
      <c r="M92" s="49" t="e">
        <f t="shared" ca="1" si="4"/>
        <v>#N/A</v>
      </c>
      <c r="N92" s="70" t="e">
        <f ca="1">VLOOKUP($B92,Matrix!$H$13:$I$37,2,FALSE)&amp;"_"&amp;C92</f>
        <v>#N/A</v>
      </c>
      <c r="O92" s="127" t="e">
        <f t="shared" ca="1" si="3"/>
        <v>#N/A</v>
      </c>
    </row>
    <row r="93" spans="2:15">
      <c r="B93" s="27"/>
      <c r="C93" s="26"/>
      <c r="D93" s="119"/>
      <c r="E93" s="27"/>
      <c r="F93" s="120"/>
      <c r="G93" s="27"/>
      <c r="H93" s="120"/>
      <c r="I93" s="27"/>
      <c r="J93" s="120"/>
      <c r="K93" s="27"/>
      <c r="L93" s="120"/>
      <c r="M93" s="49" t="e">
        <f t="shared" ca="1" si="4"/>
        <v>#N/A</v>
      </c>
      <c r="N93" s="70" t="e">
        <f ca="1">VLOOKUP($B93,Matrix!$H$13:$I$37,2,FALSE)&amp;"_"&amp;C93</f>
        <v>#N/A</v>
      </c>
      <c r="O93" s="127" t="e">
        <f t="shared" ca="1" si="3"/>
        <v>#N/A</v>
      </c>
    </row>
    <row r="94" spans="2:15">
      <c r="B94" s="27"/>
      <c r="C94" s="26"/>
      <c r="D94" s="119"/>
      <c r="E94" s="27"/>
      <c r="F94" s="120"/>
      <c r="G94" s="27"/>
      <c r="H94" s="120"/>
      <c r="I94" s="27"/>
      <c r="J94" s="120"/>
      <c r="K94" s="27"/>
      <c r="L94" s="120"/>
      <c r="M94" s="49" t="e">
        <f t="shared" ca="1" si="4"/>
        <v>#N/A</v>
      </c>
      <c r="N94" s="70" t="e">
        <f ca="1">VLOOKUP($B94,Matrix!$H$13:$I$37,2,FALSE)&amp;"_"&amp;C94</f>
        <v>#N/A</v>
      </c>
      <c r="O94" s="127" t="e">
        <f t="shared" ca="1" si="3"/>
        <v>#N/A</v>
      </c>
    </row>
    <row r="95" spans="2:15">
      <c r="B95" s="27"/>
      <c r="C95" s="26"/>
      <c r="D95" s="119"/>
      <c r="E95" s="27"/>
      <c r="F95" s="120"/>
      <c r="G95" s="27"/>
      <c r="H95" s="120"/>
      <c r="I95" s="27"/>
      <c r="J95" s="120"/>
      <c r="K95" s="27"/>
      <c r="L95" s="120"/>
      <c r="M95" s="49" t="e">
        <f t="shared" ca="1" si="4"/>
        <v>#N/A</v>
      </c>
      <c r="N95" s="70" t="e">
        <f ca="1">VLOOKUP($B95,Matrix!$H$13:$I$37,2,FALSE)&amp;"_"&amp;C95</f>
        <v>#N/A</v>
      </c>
      <c r="O95" s="127" t="e">
        <f t="shared" ca="1" si="3"/>
        <v>#N/A</v>
      </c>
    </row>
    <row r="96" spans="2:15">
      <c r="B96" s="27"/>
      <c r="C96" s="26"/>
      <c r="D96" s="119"/>
      <c r="E96" s="27"/>
      <c r="F96" s="120"/>
      <c r="G96" s="27"/>
      <c r="H96" s="120"/>
      <c r="I96" s="27"/>
      <c r="J96" s="120"/>
      <c r="K96" s="27"/>
      <c r="L96" s="120"/>
      <c r="M96" s="49" t="e">
        <f t="shared" ca="1" si="4"/>
        <v>#N/A</v>
      </c>
      <c r="N96" s="70" t="e">
        <f ca="1">VLOOKUP($B96,Matrix!$H$13:$I$37,2,FALSE)&amp;"_"&amp;C96</f>
        <v>#N/A</v>
      </c>
      <c r="O96" s="127" t="e">
        <f t="shared" ca="1" si="3"/>
        <v>#N/A</v>
      </c>
    </row>
    <row r="97" spans="2:15">
      <c r="B97" s="27"/>
      <c r="C97" s="26"/>
      <c r="D97" s="119"/>
      <c r="E97" s="27"/>
      <c r="F97" s="120"/>
      <c r="G97" s="27"/>
      <c r="H97" s="120"/>
      <c r="I97" s="27"/>
      <c r="J97" s="120"/>
      <c r="K97" s="27"/>
      <c r="L97" s="120"/>
      <c r="M97" s="49" t="e">
        <f t="shared" ca="1" si="4"/>
        <v>#N/A</v>
      </c>
      <c r="N97" s="70" t="e">
        <f ca="1">VLOOKUP($B97,Matrix!$H$13:$I$37,2,FALSE)&amp;"_"&amp;C97</f>
        <v>#N/A</v>
      </c>
      <c r="O97" s="127" t="e">
        <f t="shared" ca="1" si="3"/>
        <v>#N/A</v>
      </c>
    </row>
    <row r="98" spans="2:15">
      <c r="B98" s="27"/>
      <c r="C98" s="26"/>
      <c r="D98" s="119"/>
      <c r="E98" s="27"/>
      <c r="F98" s="120"/>
      <c r="G98" s="27"/>
      <c r="H98" s="120"/>
      <c r="I98" s="27"/>
      <c r="J98" s="120"/>
      <c r="K98" s="27"/>
      <c r="L98" s="120"/>
      <c r="M98" s="49" t="e">
        <f t="shared" ca="1" si="4"/>
        <v>#N/A</v>
      </c>
      <c r="N98" s="70" t="e">
        <f ca="1">VLOOKUP($B98,Matrix!$H$13:$I$37,2,FALSE)&amp;"_"&amp;C98</f>
        <v>#N/A</v>
      </c>
      <c r="O98" s="127" t="e">
        <f t="shared" ca="1" si="3"/>
        <v>#N/A</v>
      </c>
    </row>
    <row r="99" spans="2:15">
      <c r="B99" s="27"/>
      <c r="C99" s="26"/>
      <c r="D99" s="119"/>
      <c r="E99" s="27"/>
      <c r="F99" s="120"/>
      <c r="G99" s="27"/>
      <c r="H99" s="120"/>
      <c r="I99" s="27"/>
      <c r="J99" s="120"/>
      <c r="K99" s="27"/>
      <c r="L99" s="120"/>
      <c r="M99" s="49" t="e">
        <f t="shared" ca="1" si="4"/>
        <v>#N/A</v>
      </c>
      <c r="N99" s="70" t="e">
        <f ca="1">VLOOKUP($B99,Matrix!$H$13:$I$37,2,FALSE)&amp;"_"&amp;C99</f>
        <v>#N/A</v>
      </c>
      <c r="O99" s="127" t="e">
        <f t="shared" ca="1" si="3"/>
        <v>#N/A</v>
      </c>
    </row>
    <row r="100" spans="2:15">
      <c r="B100" s="27"/>
      <c r="C100" s="26"/>
      <c r="D100" s="119"/>
      <c r="E100" s="27"/>
      <c r="F100" s="120"/>
      <c r="G100" s="27"/>
      <c r="H100" s="120"/>
      <c r="I100" s="27"/>
      <c r="J100" s="120"/>
      <c r="K100" s="27"/>
      <c r="L100" s="120"/>
      <c r="M100" s="49" t="e">
        <f t="shared" ca="1" si="4"/>
        <v>#N/A</v>
      </c>
      <c r="N100" s="70" t="e">
        <f ca="1">VLOOKUP($B100,Matrix!$H$13:$I$37,2,FALSE)&amp;"_"&amp;C100</f>
        <v>#N/A</v>
      </c>
      <c r="O100" s="127" t="e">
        <f t="shared" ref="O100:O103" ca="1" si="5">"#define "&amp;N100&amp;REPT(" ",48-M100)&amp;"("&amp;D100&amp;"U)"</f>
        <v>#N/A</v>
      </c>
    </row>
    <row r="101" spans="2:15">
      <c r="B101" s="27"/>
      <c r="C101" s="26"/>
      <c r="D101" s="119"/>
      <c r="E101" s="27"/>
      <c r="F101" s="120"/>
      <c r="G101" s="27"/>
      <c r="H101" s="120"/>
      <c r="I101" s="27"/>
      <c r="J101" s="120"/>
      <c r="K101" s="27"/>
      <c r="L101" s="120"/>
      <c r="M101" s="49" t="e">
        <f t="shared" ca="1" si="4"/>
        <v>#N/A</v>
      </c>
      <c r="N101" s="70" t="e">
        <f ca="1">VLOOKUP($B101,Matrix!$H$13:$I$37,2,FALSE)&amp;"_"&amp;C101</f>
        <v>#N/A</v>
      </c>
      <c r="O101" s="127" t="e">
        <f t="shared" ca="1" si="5"/>
        <v>#N/A</v>
      </c>
    </row>
    <row r="102" spans="2:15">
      <c r="B102" s="27"/>
      <c r="C102" s="26"/>
      <c r="D102" s="119"/>
      <c r="E102" s="27"/>
      <c r="F102" s="120"/>
      <c r="G102" s="27"/>
      <c r="H102" s="120"/>
      <c r="I102" s="27"/>
      <c r="J102" s="120"/>
      <c r="K102" s="27"/>
      <c r="L102" s="120"/>
      <c r="M102" s="49" t="e">
        <f t="shared" ca="1" si="4"/>
        <v>#N/A</v>
      </c>
      <c r="N102" s="70" t="e">
        <f ca="1">VLOOKUP($B102,Matrix!$H$13:$I$37,2,FALSE)&amp;"_"&amp;C102</f>
        <v>#N/A</v>
      </c>
      <c r="O102" s="127" t="e">
        <f t="shared" ca="1" si="5"/>
        <v>#N/A</v>
      </c>
    </row>
    <row r="103" spans="2:15" ht="14.25" thickBot="1">
      <c r="B103" s="55"/>
      <c r="C103" s="56"/>
      <c r="D103" s="121"/>
      <c r="E103" s="55"/>
      <c r="F103" s="122"/>
      <c r="G103" s="55"/>
      <c r="H103" s="122"/>
      <c r="I103" s="55"/>
      <c r="J103" s="122"/>
      <c r="K103" s="55"/>
      <c r="L103" s="122"/>
      <c r="M103" s="57" t="e">
        <f t="shared" ca="1" si="4"/>
        <v>#N/A</v>
      </c>
      <c r="N103" s="71" t="e">
        <f ca="1">VLOOKUP($B103,Matrix!$H$13:$I$37,2,FALSE)&amp;"_"&amp;C103</f>
        <v>#N/A</v>
      </c>
      <c r="O103" s="128" t="e">
        <f t="shared" ca="1" si="5"/>
        <v>#N/A</v>
      </c>
    </row>
  </sheetData>
  <protectedRanges>
    <protectedRange sqref="B4:L103" name="範囲1"/>
  </protectedRanges>
  <phoneticPr fontId="2"/>
  <conditionalFormatting sqref="M3:M103">
    <cfRule type="cellIs" dxfId="6" priority="1" operator="greaterThan">
      <formula>32</formula>
    </cfRule>
  </conditionalFormatting>
  <dataValidations count="1">
    <dataValidation type="list" allowBlank="1" showInputMessage="1" showErrorMessage="1" sqref="K3 G3 I3 E3" xr:uid="{00000000-0002-0000-0400-000000000000}">
      <formula1>"あり,なし"</formula1>
    </dataValidation>
  </dataValidations>
  <pageMargins left="0.7" right="0.7" top="0.75" bottom="0.75" header="0.3" footer="0.3"/>
  <headerFooter>
    <oddHeader>&amp;C&amp;"Calibri"&amp;10&amp;KFF0000 CONFIDENTIAL&amp;1#_x000D_</oddHeader>
  </headerFooter>
  <legacyDrawing r:id="rId1"/>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400-000001000000}">
          <x14:formula1>
            <xm:f>Matrix!$H$13:$H$37</xm:f>
          </x14:formula1>
          <xm:sqref>B3:B103</xm:sqref>
        </x14:dataValidation>
        <x14:dataValidation type="list" allowBlank="1" showInputMessage="1" showErrorMessage="1" xr:uid="{00000000-0002-0000-0400-000002000000}">
          <x14:formula1>
            <xm:f>Config_IF!$C$4:$C$29</xm:f>
          </x14:formula1>
          <xm:sqref>K4:K103</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CCECFF"/>
  </sheetPr>
  <dimension ref="A1:AW199"/>
  <sheetViews>
    <sheetView zoomScale="70" zoomScaleNormal="70" workbookViewId="0">
      <pane ySplit="3" topLeftCell="A4" activePane="bottomLeft" state="frozen"/>
      <selection pane="bottomLeft" activeCell="A4" sqref="A4:B5"/>
    </sheetView>
  </sheetViews>
  <sheetFormatPr defaultRowHeight="13.5"/>
  <cols>
    <col min="1" max="1" width="6" customWidth="1"/>
    <col min="2" max="2" width="16.75" bestFit="1" customWidth="1"/>
    <col min="3" max="3" width="3" bestFit="1" customWidth="1"/>
    <col min="4" max="35" width="3" customWidth="1"/>
    <col min="36" max="36" width="36.375" bestFit="1" customWidth="1"/>
    <col min="37" max="37" width="4.125" customWidth="1"/>
    <col min="38" max="42" width="9" hidden="1" customWidth="1"/>
    <col min="43" max="43" width="20.625" hidden="1" customWidth="1"/>
    <col min="44" max="47" width="41.125" customWidth="1"/>
    <col min="48" max="48" width="23.625" customWidth="1"/>
    <col min="49" max="49" width="29" bestFit="1" customWidth="1"/>
  </cols>
  <sheetData>
    <row r="1" spans="1:49">
      <c r="AH1" t="s">
        <v>59</v>
      </c>
      <c r="AI1" t="s">
        <v>60</v>
      </c>
    </row>
    <row r="2" spans="1:49">
      <c r="B2" s="129" t="s">
        <v>123</v>
      </c>
      <c r="C2" s="366" t="s">
        <v>84</v>
      </c>
      <c r="D2" s="60">
        <v>31</v>
      </c>
      <c r="E2" s="60">
        <v>30</v>
      </c>
      <c r="F2" s="60">
        <v>29</v>
      </c>
      <c r="G2" s="60">
        <v>28</v>
      </c>
      <c r="H2" s="60">
        <v>27</v>
      </c>
      <c r="I2" s="60">
        <v>26</v>
      </c>
      <c r="J2" s="60">
        <v>25</v>
      </c>
      <c r="K2" s="60">
        <v>24</v>
      </c>
      <c r="L2" s="60">
        <v>23</v>
      </c>
      <c r="M2" s="60">
        <v>22</v>
      </c>
      <c r="N2" s="60">
        <v>21</v>
      </c>
      <c r="O2" s="60">
        <v>20</v>
      </c>
      <c r="P2" s="60">
        <v>19</v>
      </c>
      <c r="Q2" s="60">
        <v>18</v>
      </c>
      <c r="R2" s="60">
        <v>17</v>
      </c>
      <c r="S2" s="60">
        <v>16</v>
      </c>
      <c r="T2" s="60">
        <v>15</v>
      </c>
      <c r="U2" s="60">
        <v>14</v>
      </c>
      <c r="V2" s="60">
        <v>13</v>
      </c>
      <c r="W2" s="60">
        <v>12</v>
      </c>
      <c r="X2" s="60">
        <v>11</v>
      </c>
      <c r="Y2" s="60">
        <v>10</v>
      </c>
      <c r="Z2" s="60">
        <v>9</v>
      </c>
      <c r="AA2" s="60">
        <v>8</v>
      </c>
      <c r="AB2" s="60">
        <v>7</v>
      </c>
      <c r="AC2" s="60">
        <v>6</v>
      </c>
      <c r="AD2" s="60">
        <v>5</v>
      </c>
      <c r="AE2" s="60">
        <v>4</v>
      </c>
      <c r="AF2" s="60">
        <v>3</v>
      </c>
      <c r="AG2" s="60">
        <v>2</v>
      </c>
      <c r="AH2" s="60">
        <v>1</v>
      </c>
      <c r="AI2" s="60">
        <v>0</v>
      </c>
      <c r="AJ2" s="368" t="s">
        <v>156</v>
      </c>
    </row>
    <row r="3" spans="1:49" ht="213" customHeight="1" thickBot="1">
      <c r="B3" s="209" t="str">
        <f>IF(OR(IF(COUNTIF(D6:AC69,"0")&lt;&gt;0,TRUE,FALSE),IF(COUNTIF(D6:AC69,"1")&lt;&gt;0,TRUE,FALSE)),"Search Table","Index Table")</f>
        <v>Index Table</v>
      </c>
      <c r="C3" s="367"/>
      <c r="D3" s="131" t="s">
        <v>61</v>
      </c>
      <c r="E3" s="131" t="s">
        <v>66</v>
      </c>
      <c r="F3" s="131" t="s">
        <v>49</v>
      </c>
      <c r="G3" s="131" t="s">
        <v>211</v>
      </c>
      <c r="H3" s="131" t="s">
        <v>121</v>
      </c>
      <c r="I3" s="131" t="s">
        <v>120</v>
      </c>
      <c r="J3" s="131" t="s">
        <v>125</v>
      </c>
      <c r="K3" s="131" t="s">
        <v>124</v>
      </c>
      <c r="L3" s="132" t="s">
        <v>66</v>
      </c>
      <c r="M3" s="132" t="s">
        <v>62</v>
      </c>
      <c r="N3" s="132" t="s">
        <v>62</v>
      </c>
      <c r="O3" s="132" t="s">
        <v>62</v>
      </c>
      <c r="P3" s="132" t="s">
        <v>62</v>
      </c>
      <c r="Q3" s="132" t="s">
        <v>62</v>
      </c>
      <c r="R3" s="132" t="s">
        <v>62</v>
      </c>
      <c r="S3" s="132" t="s">
        <v>62</v>
      </c>
      <c r="T3" s="132" t="s">
        <v>62</v>
      </c>
      <c r="U3" s="132" t="s">
        <v>62</v>
      </c>
      <c r="V3" s="132" t="s">
        <v>62</v>
      </c>
      <c r="W3" s="132" t="s">
        <v>62</v>
      </c>
      <c r="X3" s="132" t="s">
        <v>62</v>
      </c>
      <c r="Y3" s="132" t="s">
        <v>62</v>
      </c>
      <c r="Z3" s="132" t="s">
        <v>62</v>
      </c>
      <c r="AA3" s="132" t="s">
        <v>62</v>
      </c>
      <c r="AB3" s="132" t="s">
        <v>158</v>
      </c>
      <c r="AC3" s="132" t="s">
        <v>62</v>
      </c>
      <c r="AD3" s="374" t="s">
        <v>317</v>
      </c>
      <c r="AE3" s="375"/>
      <c r="AF3" s="374" t="s">
        <v>316</v>
      </c>
      <c r="AG3" s="376"/>
      <c r="AH3" s="376"/>
      <c r="AI3" s="375"/>
      <c r="AJ3" s="369"/>
      <c r="AR3" s="95" t="s">
        <v>96</v>
      </c>
    </row>
    <row r="4" spans="1:49" ht="14.25" thickBot="1">
      <c r="A4" s="370" t="s">
        <v>63</v>
      </c>
      <c r="B4" s="371"/>
      <c r="C4" s="189"/>
      <c r="D4" s="189"/>
      <c r="E4" s="189"/>
      <c r="F4" s="189"/>
      <c r="G4" s="189"/>
      <c r="H4" s="189"/>
      <c r="I4" s="189"/>
      <c r="J4" s="189"/>
      <c r="K4" s="189"/>
      <c r="L4" s="189"/>
      <c r="M4" s="189"/>
      <c r="N4" s="189"/>
      <c r="O4" s="189"/>
      <c r="P4" s="189"/>
      <c r="Q4" s="189"/>
      <c r="R4" s="189"/>
      <c r="S4" s="189"/>
      <c r="T4" s="189"/>
      <c r="U4" s="189"/>
      <c r="V4" s="189"/>
      <c r="W4" s="189"/>
      <c r="X4" s="189"/>
      <c r="Y4" s="189"/>
      <c r="Z4" s="189"/>
      <c r="AA4" s="189"/>
      <c r="AB4" s="189"/>
      <c r="AC4" s="189"/>
      <c r="AD4" s="189"/>
      <c r="AE4" s="189"/>
      <c r="AF4" s="189"/>
      <c r="AG4" s="189"/>
      <c r="AH4" s="189"/>
      <c r="AI4" s="189"/>
      <c r="AJ4" s="134"/>
      <c r="AR4" s="83" t="s">
        <v>82</v>
      </c>
      <c r="AS4" s="84"/>
      <c r="AT4" s="84"/>
      <c r="AU4" s="84"/>
      <c r="AV4" s="84"/>
      <c r="AW4" s="85"/>
    </row>
    <row r="5" spans="1:49" ht="14.25" thickBot="1">
      <c r="A5" s="372"/>
      <c r="B5" s="373"/>
      <c r="C5" s="190"/>
      <c r="D5" s="190"/>
      <c r="E5" s="190"/>
      <c r="F5" s="190"/>
      <c r="G5" s="190"/>
      <c r="H5" s="190"/>
      <c r="I5" s="190"/>
      <c r="J5" s="190"/>
      <c r="K5" s="190"/>
      <c r="L5" s="190"/>
      <c r="M5" s="190"/>
      <c r="N5" s="190"/>
      <c r="O5" s="190"/>
      <c r="P5" s="190"/>
      <c r="Q5" s="190"/>
      <c r="R5" s="190"/>
      <c r="S5" s="190"/>
      <c r="T5" s="190"/>
      <c r="U5" s="190"/>
      <c r="V5" s="190"/>
      <c r="W5" s="190"/>
      <c r="X5" s="190"/>
      <c r="Y5" s="190"/>
      <c r="Z5" s="190"/>
      <c r="AA5" s="190"/>
      <c r="AB5" s="190"/>
      <c r="AC5" s="190"/>
      <c r="AD5" s="190"/>
      <c r="AE5" s="190"/>
      <c r="AF5" s="190"/>
      <c r="AG5" s="190"/>
      <c r="AH5" s="190"/>
      <c r="AI5" s="190"/>
      <c r="AJ5" s="135"/>
      <c r="AR5" s="86" t="str">
        <f ca="1">"static const U4  "&amp;AW8&amp;"["&amp;AW10&amp;"]"&amp;" = {"</f>
        <v>static const U4  u4_sp_ALERT_S_ADBZR_CSR_BZ_CRIT[ALERT_S_ADBZR_CSR_BZ_NUM_DST] = {</v>
      </c>
      <c r="AS5" s="86" t="str">
        <f ca="1">"static const U4  "&amp;$AW$9&amp;"["&amp;$AW$10&amp;"] = {"</f>
        <v>static const U4  u4_sp_ALERT_S_ADBZR_CSR_BZ_MASK[ALERT_S_ADBZR_CSR_BZ_NUM_DST] = {</v>
      </c>
      <c r="AT5" s="86" t="str">
        <f ca="1">"static const U1  "&amp;$AW$11&amp;"["&amp;$AW$10&amp;"] = {"</f>
        <v>static const U1  u1_sp_ALERT_S_ADBZR_CSR_BZ_DST[ALERT_S_ADBZR_CSR_BZ_NUM_DST] = {</v>
      </c>
      <c r="AU5" s="217" t="str">
        <f ca="1">"const ST_ALERT_MTRX "&amp;$AW$12&amp;" = {"</f>
        <v>const ST_ALERT_MTRX st_gp_ALERT_S_ADBZR_CSR_MTRX[2] = {</v>
      </c>
      <c r="AV5" s="67" t="str">
        <f ca="1">"#define "&amp;AW10&amp;REPT(" ",41-LEN(AW10))&amp;"("&amp;AW13&amp;"U)"</f>
        <v>#define ALERT_S_ADBZR_CSR_BZ_NUM_DST             (64U)</v>
      </c>
      <c r="AW5" s="68"/>
    </row>
    <row r="6" spans="1:49">
      <c r="B6" s="138" t="str">
        <f ca="1">"Table "&amp;$AW$6</f>
        <v>Table BZ</v>
      </c>
      <c r="C6" s="54">
        <f>ROW()-ROW($C$6)</f>
        <v>0</v>
      </c>
      <c r="D6" s="133" t="s">
        <v>67</v>
      </c>
      <c r="E6" s="133" t="s">
        <v>67</v>
      </c>
      <c r="F6" s="133" t="s">
        <v>67</v>
      </c>
      <c r="G6" s="133" t="s">
        <v>67</v>
      </c>
      <c r="H6" s="133" t="s">
        <v>67</v>
      </c>
      <c r="I6" s="133" t="s">
        <v>67</v>
      </c>
      <c r="J6" s="133" t="s">
        <v>67</v>
      </c>
      <c r="K6" s="133" t="s">
        <v>67</v>
      </c>
      <c r="L6" s="133" t="s">
        <v>67</v>
      </c>
      <c r="M6" s="133" t="s">
        <v>67</v>
      </c>
      <c r="N6" s="133" t="s">
        <v>67</v>
      </c>
      <c r="O6" s="133" t="s">
        <v>67</v>
      </c>
      <c r="P6" s="133" t="s">
        <v>67</v>
      </c>
      <c r="Q6" s="133" t="s">
        <v>67</v>
      </c>
      <c r="R6" s="133" t="s">
        <v>67</v>
      </c>
      <c r="S6" s="133" t="s">
        <v>67</v>
      </c>
      <c r="T6" s="133" t="s">
        <v>67</v>
      </c>
      <c r="U6" s="133" t="s">
        <v>67</v>
      </c>
      <c r="V6" s="133" t="s">
        <v>67</v>
      </c>
      <c r="W6" s="133" t="s">
        <v>67</v>
      </c>
      <c r="X6" s="133" t="s">
        <v>67</v>
      </c>
      <c r="Y6" s="133" t="s">
        <v>67</v>
      </c>
      <c r="Z6" s="133" t="s">
        <v>67</v>
      </c>
      <c r="AA6" s="133" t="s">
        <v>67</v>
      </c>
      <c r="AB6" s="133" t="s">
        <v>67</v>
      </c>
      <c r="AC6" s="133" t="s">
        <v>67</v>
      </c>
      <c r="AD6" s="133">
        <v>0</v>
      </c>
      <c r="AE6" s="133">
        <v>0</v>
      </c>
      <c r="AF6" s="136">
        <v>0</v>
      </c>
      <c r="AG6" s="136">
        <v>0</v>
      </c>
      <c r="AH6" s="136">
        <v>0</v>
      </c>
      <c r="AI6" s="136">
        <v>0</v>
      </c>
      <c r="AJ6" s="53" t="s">
        <v>32</v>
      </c>
      <c r="AL6" t="str">
        <f t="shared" ref="AL6:AL69" si="0">IF($AJ6="UNKNOWN","    (U1)ALERT_REQ_UNKNOWN","    (U1)"&amp;"ALERT_REQ_"&amp;$AW$17&amp;"_"&amp;IF($AW$6&lt;&gt;$AW$17,$AW$6&amp;"_","")&amp;AJ6)</f>
        <v xml:space="preserve">    (U1)ALERT_REQ_UNKNOWN</v>
      </c>
      <c r="AR6" s="65" t="str">
        <f>IF(AQ71&lt;&gt;"",AQ71,IF(AQ70&lt;&gt;"","};",""))</f>
        <v xml:space="preserve">    (U4)0x00000000U,                                                           /* 00 UNKNOWN                                         */</v>
      </c>
      <c r="AS6" s="65" t="str">
        <f>IF(AQ136&lt;&gt;"",AQ136,IF(AQ135&lt;&gt;"","};",""))</f>
        <v xml:space="preserve">    (U4)0x0000003FU,                                                           /* 00 UNKNOWN                                         */</v>
      </c>
      <c r="AT6" s="65" t="str">
        <f t="shared" ref="AT6:AT69" si="1">IF(AJ6&lt;&gt;"",AL6&amp;IF(AJ7&lt;&gt;"",","," ")&amp;REPT(" ",78-LEN(AL6))&amp;"/* "&amp;IF(C6&lt;10,"0"&amp;C6,C6)&amp;" "&amp;AJ6&amp;REPT(" ",48-LEN(AJ6))&amp;"*/",IF(AJ5&lt;&gt;"","};",""))</f>
        <v xml:space="preserve">    (U1)ALERT_REQ_UNKNOWN,                                                     /* 00 UNKNOWN                                         */</v>
      </c>
      <c r="AU6" s="215" t="s">
        <v>68</v>
      </c>
      <c r="AV6" s="50" t="s">
        <v>70</v>
      </c>
      <c r="AW6" s="69" t="str">
        <f ca="1">UPPER(RIGHT(CELL("filename",A1),LEN(CELL("filename",A1))-FIND("]",CELL("filename",A1))))</f>
        <v>BZ</v>
      </c>
    </row>
    <row r="7" spans="1:49">
      <c r="B7" s="138"/>
      <c r="C7" s="49">
        <f t="shared" ref="C7:C69" si="2">ROW()-ROW($C$6)</f>
        <v>1</v>
      </c>
      <c r="D7" s="63" t="s">
        <v>67</v>
      </c>
      <c r="E7" s="63" t="s">
        <v>67</v>
      </c>
      <c r="F7" s="63" t="s">
        <v>67</v>
      </c>
      <c r="G7" s="63" t="s">
        <v>67</v>
      </c>
      <c r="H7" s="63" t="s">
        <v>67</v>
      </c>
      <c r="I7" s="63" t="s">
        <v>67</v>
      </c>
      <c r="J7" s="63" t="s">
        <v>67</v>
      </c>
      <c r="K7" s="133" t="s">
        <v>67</v>
      </c>
      <c r="L7" s="63" t="s">
        <v>67</v>
      </c>
      <c r="M7" s="63" t="s">
        <v>67</v>
      </c>
      <c r="N7" s="63" t="s">
        <v>67</v>
      </c>
      <c r="O7" s="63" t="s">
        <v>67</v>
      </c>
      <c r="P7" s="63" t="s">
        <v>67</v>
      </c>
      <c r="Q7" s="63" t="s">
        <v>67</v>
      </c>
      <c r="R7" s="63" t="s">
        <v>67</v>
      </c>
      <c r="S7" s="63" t="s">
        <v>67</v>
      </c>
      <c r="T7" s="63" t="s">
        <v>67</v>
      </c>
      <c r="U7" s="63" t="s">
        <v>67</v>
      </c>
      <c r="V7" s="63" t="s">
        <v>67</v>
      </c>
      <c r="W7" s="63" t="s">
        <v>67</v>
      </c>
      <c r="X7" s="63" t="s">
        <v>67</v>
      </c>
      <c r="Y7" s="63" t="s">
        <v>67</v>
      </c>
      <c r="Z7" s="63" t="s">
        <v>67</v>
      </c>
      <c r="AA7" s="63" t="s">
        <v>67</v>
      </c>
      <c r="AB7" s="63" t="s">
        <v>67</v>
      </c>
      <c r="AC7" s="63" t="s">
        <v>67</v>
      </c>
      <c r="AD7" s="133">
        <v>0</v>
      </c>
      <c r="AE7" s="133">
        <v>0</v>
      </c>
      <c r="AF7" s="136">
        <v>0</v>
      </c>
      <c r="AG7" s="136">
        <v>0</v>
      </c>
      <c r="AH7" s="136">
        <v>0</v>
      </c>
      <c r="AI7" s="136">
        <v>1</v>
      </c>
      <c r="AJ7" s="53" t="s">
        <v>299</v>
      </c>
      <c r="AL7" t="str">
        <f t="shared" ca="1" si="0"/>
        <v xml:space="preserve">    (U1)ALERT_REQ_S_ADBZR_CSR_BZ_RCTA</v>
      </c>
      <c r="AR7" s="65" t="str">
        <f t="shared" ref="AR7:AR70" si="3">IF(AQ72&lt;&gt;"",AQ72,IF(AQ71&lt;&gt;"","};",""))</f>
        <v xml:space="preserve">    (U4)0x00000001U,                                                           /* 01 RCTA                                            */</v>
      </c>
      <c r="AS7" s="65" t="str">
        <f t="shared" ref="AS7:AS70" si="4">IF(AQ137&lt;&gt;"",AQ137,IF(AQ136&lt;&gt;"","};",""))</f>
        <v xml:space="preserve">    (U4)0x0000003FU,                                                           /* 01 RCTA                                            */</v>
      </c>
      <c r="AT7" s="65" t="str">
        <f t="shared" ca="1" si="1"/>
        <v xml:space="preserve">    (U1)ALERT_REQ_S_ADBZR_CSR_BZ_RCTA,                                         /* 01 RCTA                                            */</v>
      </c>
      <c r="AU7" s="215" t="str">
        <f ca="1">"        &amp;"&amp;$AW$14&amp;","&amp;REPT(" ",69-LEN($AW$14))&amp;"/* fp_u4_SRC_CHK                                      */"</f>
        <v xml:space="preserve">        &amp;u4_s_AlertS_adbzr_csrBzSrcchk,                                        /* fp_u4_SRC_CHK                                      */</v>
      </c>
      <c r="AV7" s="51" t="s">
        <v>71</v>
      </c>
      <c r="AW7" s="137">
        <f>IF(B3="Search Table",1,0)</f>
        <v>0</v>
      </c>
    </row>
    <row r="8" spans="1:49">
      <c r="B8" s="138"/>
      <c r="C8" s="49">
        <f t="shared" si="2"/>
        <v>2</v>
      </c>
      <c r="D8" s="63" t="s">
        <v>67</v>
      </c>
      <c r="E8" s="63" t="s">
        <v>67</v>
      </c>
      <c r="F8" s="63" t="s">
        <v>67</v>
      </c>
      <c r="G8" s="63" t="s">
        <v>67</v>
      </c>
      <c r="H8" s="63" t="s">
        <v>67</v>
      </c>
      <c r="I8" s="63" t="s">
        <v>67</v>
      </c>
      <c r="J8" s="63" t="s">
        <v>67</v>
      </c>
      <c r="K8" s="63" t="s">
        <v>67</v>
      </c>
      <c r="L8" s="63" t="s">
        <v>67</v>
      </c>
      <c r="M8" s="63" t="s">
        <v>67</v>
      </c>
      <c r="N8" s="63" t="s">
        <v>67</v>
      </c>
      <c r="O8" s="63" t="s">
        <v>67</v>
      </c>
      <c r="P8" s="63" t="s">
        <v>67</v>
      </c>
      <c r="Q8" s="63" t="s">
        <v>67</v>
      </c>
      <c r="R8" s="63" t="s">
        <v>67</v>
      </c>
      <c r="S8" s="63" t="s">
        <v>67</v>
      </c>
      <c r="T8" s="63" t="s">
        <v>67</v>
      </c>
      <c r="U8" s="63" t="s">
        <v>67</v>
      </c>
      <c r="V8" s="63" t="s">
        <v>67</v>
      </c>
      <c r="W8" s="63" t="s">
        <v>67</v>
      </c>
      <c r="X8" s="63" t="s">
        <v>67</v>
      </c>
      <c r="Y8" s="63" t="s">
        <v>67</v>
      </c>
      <c r="Z8" s="63" t="s">
        <v>67</v>
      </c>
      <c r="AA8" s="63" t="s">
        <v>67</v>
      </c>
      <c r="AB8" s="63" t="s">
        <v>67</v>
      </c>
      <c r="AC8" s="63" t="s">
        <v>67</v>
      </c>
      <c r="AD8" s="133">
        <v>0</v>
      </c>
      <c r="AE8" s="133">
        <v>0</v>
      </c>
      <c r="AF8" s="136">
        <v>0</v>
      </c>
      <c r="AG8" s="136">
        <v>0</v>
      </c>
      <c r="AH8" s="136">
        <v>1</v>
      </c>
      <c r="AI8" s="136">
        <v>0</v>
      </c>
      <c r="AJ8" s="53" t="s">
        <v>300</v>
      </c>
      <c r="AL8" t="str">
        <f t="shared" ca="1" si="0"/>
        <v xml:space="preserve">    (U1)ALERT_REQ_S_ADBZR_CSR_BZ_FR_CAD</v>
      </c>
      <c r="AR8" s="65" t="str">
        <f t="shared" si="3"/>
        <v xml:space="preserve">    (U4)0x00000002U,                                                           /* 02 FR_CAD                                          */</v>
      </c>
      <c r="AS8" s="65" t="str">
        <f t="shared" si="4"/>
        <v xml:space="preserve">    (U4)0x0000003FU,                                                           /* 02 FR_CAD                                          */</v>
      </c>
      <c r="AT8" s="65" t="str">
        <f ca="1">IF(AJ8&lt;&gt;"",AL8&amp;IF(AJ9&lt;&gt;"",","," ")&amp;REPT(" ",78-LEN(AL8))&amp;"/* "&amp;IF(C8&lt;10,"0"&amp;C8,C8)&amp;" "&amp;AJ8&amp;REPT(" ",48-LEN(AJ8))&amp;"*/",IF(AJ7&lt;&gt;"","};",""))</f>
        <v xml:space="preserve">    (U1)ALERT_REQ_S_ADBZR_CSR_BZ_FR_CAD,                                       /* 02 FR_CAD                                          */</v>
      </c>
      <c r="AU8" s="215" t="str">
        <f ca="1">IF($AW$15&lt;&gt;"NULL","        &amp;"&amp;$AW$15&amp;","&amp;REPT(" ",69-LEN($AW$15))&amp;"/* fp_vd_XDST                                         */","        vdp_PTR_NA,                                                            /* fp_vd_XDST                                         */")</f>
        <v xml:space="preserve">        vdp_PTR_NA,                                                            /* fp_vd_XDST                                         */</v>
      </c>
      <c r="AV8" s="51" t="s">
        <v>72</v>
      </c>
      <c r="AW8" s="70" t="str">
        <f ca="1">"u4_sp_ALERT_"&amp;IF(AW6&lt;&gt;AW17,$AW$17&amp;"_"&amp;$AW$6,AW17)&amp;"_CRIT"</f>
        <v>u4_sp_ALERT_S_ADBZR_CSR_BZ_CRIT</v>
      </c>
    </row>
    <row r="9" spans="1:49">
      <c r="B9" s="138"/>
      <c r="C9" s="49">
        <f t="shared" si="2"/>
        <v>3</v>
      </c>
      <c r="D9" s="63" t="s">
        <v>67</v>
      </c>
      <c r="E9" s="63" t="s">
        <v>67</v>
      </c>
      <c r="F9" s="63" t="s">
        <v>67</v>
      </c>
      <c r="G9" s="63" t="s">
        <v>67</v>
      </c>
      <c r="H9" s="63" t="s">
        <v>67</v>
      </c>
      <c r="I9" s="63" t="s">
        <v>67</v>
      </c>
      <c r="J9" s="63" t="s">
        <v>67</v>
      </c>
      <c r="K9" s="63" t="s">
        <v>67</v>
      </c>
      <c r="L9" s="63" t="s">
        <v>67</v>
      </c>
      <c r="M9" s="63" t="s">
        <v>67</v>
      </c>
      <c r="N9" s="63" t="s">
        <v>67</v>
      </c>
      <c r="O9" s="63" t="s">
        <v>67</v>
      </c>
      <c r="P9" s="63" t="s">
        <v>67</v>
      </c>
      <c r="Q9" s="63" t="s">
        <v>67</v>
      </c>
      <c r="R9" s="63" t="s">
        <v>67</v>
      </c>
      <c r="S9" s="63" t="s">
        <v>67</v>
      </c>
      <c r="T9" s="63" t="s">
        <v>67</v>
      </c>
      <c r="U9" s="63" t="s">
        <v>67</v>
      </c>
      <c r="V9" s="63" t="s">
        <v>67</v>
      </c>
      <c r="W9" s="63" t="s">
        <v>67</v>
      </c>
      <c r="X9" s="63" t="s">
        <v>67</v>
      </c>
      <c r="Y9" s="63" t="s">
        <v>67</v>
      </c>
      <c r="Z9" s="63" t="s">
        <v>67</v>
      </c>
      <c r="AA9" s="63" t="s">
        <v>67</v>
      </c>
      <c r="AB9" s="63" t="s">
        <v>67</v>
      </c>
      <c r="AC9" s="63" t="s">
        <v>67</v>
      </c>
      <c r="AD9" s="133">
        <v>0</v>
      </c>
      <c r="AE9" s="133">
        <v>0</v>
      </c>
      <c r="AF9" s="63">
        <v>0</v>
      </c>
      <c r="AG9" s="63">
        <v>0</v>
      </c>
      <c r="AH9" s="63">
        <v>1</v>
      </c>
      <c r="AI9" s="63">
        <v>1</v>
      </c>
      <c r="AJ9" s="53" t="s">
        <v>301</v>
      </c>
      <c r="AL9" t="str">
        <f t="shared" ca="1" si="0"/>
        <v xml:space="preserve">    (U1)ALERT_REQ_S_ADBZR_CSR_BZ_FR_SD</v>
      </c>
      <c r="AR9" s="65" t="str">
        <f t="shared" si="3"/>
        <v xml:space="preserve">    (U4)0x00000003U,                                                           /* 03 FR_SD                                           */</v>
      </c>
      <c r="AS9" s="65" t="str">
        <f t="shared" si="4"/>
        <v xml:space="preserve">    (U4)0x0000003FU,                                                           /* 03 FR_SD                                           */</v>
      </c>
      <c r="AT9" s="65" t="str">
        <f t="shared" ca="1" si="1"/>
        <v xml:space="preserve">    (U1)ALERT_REQ_S_ADBZR_CSR_BZ_FR_SD,                                        /* 03 FR_SD                                           */</v>
      </c>
      <c r="AU9" s="215"/>
      <c r="AV9" s="51" t="s">
        <v>73</v>
      </c>
      <c r="AW9" s="70" t="str">
        <f ca="1">"u4_sp_ALERT_"&amp;IF(AW6&lt;&gt;AW17,$AW$17&amp;"_"&amp;$AW$6,AW17)&amp;"_MASK"</f>
        <v>u4_sp_ALERT_S_ADBZR_CSR_BZ_MASK</v>
      </c>
    </row>
    <row r="10" spans="1:49">
      <c r="B10" s="138"/>
      <c r="C10" s="49">
        <f t="shared" si="2"/>
        <v>4</v>
      </c>
      <c r="D10" s="63" t="s">
        <v>67</v>
      </c>
      <c r="E10" s="63" t="s">
        <v>67</v>
      </c>
      <c r="F10" s="63" t="s">
        <v>67</v>
      </c>
      <c r="G10" s="63" t="s">
        <v>67</v>
      </c>
      <c r="H10" s="63" t="s">
        <v>67</v>
      </c>
      <c r="I10" s="63" t="s">
        <v>67</v>
      </c>
      <c r="J10" s="63" t="s">
        <v>67</v>
      </c>
      <c r="K10" s="63" t="s">
        <v>67</v>
      </c>
      <c r="L10" s="63" t="s">
        <v>67</v>
      </c>
      <c r="M10" s="63" t="s">
        <v>67</v>
      </c>
      <c r="N10" s="63" t="s">
        <v>67</v>
      </c>
      <c r="O10" s="63" t="s">
        <v>67</v>
      </c>
      <c r="P10" s="63" t="s">
        <v>67</v>
      </c>
      <c r="Q10" s="63" t="s">
        <v>67</v>
      </c>
      <c r="R10" s="63" t="s">
        <v>67</v>
      </c>
      <c r="S10" s="63" t="s">
        <v>67</v>
      </c>
      <c r="T10" s="63" t="s">
        <v>67</v>
      </c>
      <c r="U10" s="63" t="s">
        <v>67</v>
      </c>
      <c r="V10" s="63" t="s">
        <v>67</v>
      </c>
      <c r="W10" s="63" t="s">
        <v>67</v>
      </c>
      <c r="X10" s="63" t="s">
        <v>67</v>
      </c>
      <c r="Y10" s="63" t="s">
        <v>67</v>
      </c>
      <c r="Z10" s="63" t="s">
        <v>67</v>
      </c>
      <c r="AA10" s="63" t="s">
        <v>67</v>
      </c>
      <c r="AB10" s="63" t="s">
        <v>67</v>
      </c>
      <c r="AC10" s="63" t="s">
        <v>67</v>
      </c>
      <c r="AD10" s="133">
        <v>0</v>
      </c>
      <c r="AE10" s="133">
        <v>0</v>
      </c>
      <c r="AF10" s="63">
        <v>0</v>
      </c>
      <c r="AG10" s="63">
        <v>1</v>
      </c>
      <c r="AH10" s="63">
        <v>0</v>
      </c>
      <c r="AI10" s="63">
        <v>0</v>
      </c>
      <c r="AJ10" s="53" t="s">
        <v>302</v>
      </c>
      <c r="AL10" t="str">
        <f t="shared" ca="1" si="0"/>
        <v xml:space="preserve">    (U1)ALERT_REQ_S_ADBZR_CSR_BZ_FR_MD</v>
      </c>
      <c r="AR10" s="65" t="str">
        <f t="shared" si="3"/>
        <v xml:space="preserve">    (U4)0x00000004U,                                                           /* 04 FR_MD                                           */</v>
      </c>
      <c r="AS10" s="65" t="str">
        <f t="shared" si="4"/>
        <v xml:space="preserve">    (U4)0x0000003FU,                                                           /* 04 FR_MD                                           */</v>
      </c>
      <c r="AT10" s="65" t="str">
        <f t="shared" ca="1" si="1"/>
        <v xml:space="preserve">    (U1)ALERT_REQ_S_ADBZR_CSR_BZ_FR_MD,                                        /* 04 FR_MD                                           */</v>
      </c>
      <c r="AU10" s="215" t="str">
        <f>IF($AW$7=1,"        &amp;"&amp;$AW$9&amp;"[0],"&amp;REPT(" ",66-LEN($AW$9))&amp;"/* u4p_MASK                                           */","        (const U4 *)vdp_PTR_NA,                                                /* u4p_MASK                                           */")</f>
        <v xml:space="preserve">        (const U4 *)vdp_PTR_NA,                                                /* u4p_MASK                                           */</v>
      </c>
      <c r="AV10" s="51" t="s">
        <v>74</v>
      </c>
      <c r="AW10" s="70" t="str">
        <f ca="1">"ALERT_"&amp;IF(AW6&lt;&gt;AW17,$AW$17&amp;"_"&amp;$AW$6,AW17)&amp;"_NUM_DST"</f>
        <v>ALERT_S_ADBZR_CSR_BZ_NUM_DST</v>
      </c>
    </row>
    <row r="11" spans="1:49">
      <c r="B11" s="138"/>
      <c r="C11" s="49">
        <f t="shared" si="2"/>
        <v>5</v>
      </c>
      <c r="D11" s="63" t="s">
        <v>67</v>
      </c>
      <c r="E11" s="63" t="s">
        <v>67</v>
      </c>
      <c r="F11" s="63" t="s">
        <v>67</v>
      </c>
      <c r="G11" s="63" t="s">
        <v>67</v>
      </c>
      <c r="H11" s="63" t="s">
        <v>67</v>
      </c>
      <c r="I11" s="63" t="s">
        <v>67</v>
      </c>
      <c r="J11" s="63" t="s">
        <v>67</v>
      </c>
      <c r="K11" s="63" t="s">
        <v>67</v>
      </c>
      <c r="L11" s="63" t="s">
        <v>67</v>
      </c>
      <c r="M11" s="63" t="s">
        <v>67</v>
      </c>
      <c r="N11" s="63" t="s">
        <v>67</v>
      </c>
      <c r="O11" s="63" t="s">
        <v>67</v>
      </c>
      <c r="P11" s="63" t="s">
        <v>67</v>
      </c>
      <c r="Q11" s="63" t="s">
        <v>67</v>
      </c>
      <c r="R11" s="63" t="s">
        <v>67</v>
      </c>
      <c r="S11" s="63" t="s">
        <v>67</v>
      </c>
      <c r="T11" s="63" t="s">
        <v>67</v>
      </c>
      <c r="U11" s="63" t="s">
        <v>67</v>
      </c>
      <c r="V11" s="63" t="s">
        <v>67</v>
      </c>
      <c r="W11" s="63" t="s">
        <v>67</v>
      </c>
      <c r="X11" s="63" t="s">
        <v>67</v>
      </c>
      <c r="Y11" s="63" t="s">
        <v>67</v>
      </c>
      <c r="Z11" s="63" t="s">
        <v>67</v>
      </c>
      <c r="AA11" s="63" t="s">
        <v>67</v>
      </c>
      <c r="AB11" s="63" t="s">
        <v>67</v>
      </c>
      <c r="AC11" s="63" t="s">
        <v>67</v>
      </c>
      <c r="AD11" s="133">
        <v>0</v>
      </c>
      <c r="AE11" s="133">
        <v>0</v>
      </c>
      <c r="AF11" s="63">
        <v>0</v>
      </c>
      <c r="AG11" s="63">
        <v>1</v>
      </c>
      <c r="AH11" s="63">
        <v>0</v>
      </c>
      <c r="AI11" s="63">
        <v>1</v>
      </c>
      <c r="AJ11" s="53" t="s">
        <v>303</v>
      </c>
      <c r="AL11" t="str">
        <f t="shared" ca="1" si="0"/>
        <v xml:space="preserve">    (U1)ALERT_REQ_S_ADBZR_CSR_BZ_FR_LD</v>
      </c>
      <c r="AR11" s="65" t="str">
        <f t="shared" si="3"/>
        <v xml:space="preserve">    (U4)0x00000005U,                                                           /* 05 FR_LD                                           */</v>
      </c>
      <c r="AS11" s="65" t="str">
        <f t="shared" si="4"/>
        <v xml:space="preserve">    (U4)0x0000003FU,                                                           /* 05 FR_LD                                           */</v>
      </c>
      <c r="AT11" s="65" t="str">
        <f t="shared" ca="1" si="1"/>
        <v xml:space="preserve">    (U1)ALERT_REQ_S_ADBZR_CSR_BZ_FR_LD,                                        /* 05 FR_LD                                           */</v>
      </c>
      <c r="AU11" s="215" t="str">
        <f>IF($AW$7=1,"        &amp;"&amp;$AW$8&amp;"[0],"&amp;REPT(" ",66-LEN($AW$8))&amp;"/* u4p_CRIT                                           */","        (const U4 *)vdp_PTR_NA,                                                /* u4p_CRIT                                           */")</f>
        <v xml:space="preserve">        (const U4 *)vdp_PTR_NA,                                                /* u4p_CRIT                                           */</v>
      </c>
      <c r="AV11" s="51" t="s">
        <v>75</v>
      </c>
      <c r="AW11" s="70" t="str">
        <f ca="1">"u1_sp_ALERT_"&amp;IF(AW6&lt;&gt;AW17,$AW$17&amp;"_"&amp;$AW$6,AW17)&amp;"_DST"</f>
        <v>u1_sp_ALERT_S_ADBZR_CSR_BZ_DST</v>
      </c>
    </row>
    <row r="12" spans="1:49">
      <c r="B12" s="138"/>
      <c r="C12" s="49">
        <f t="shared" si="2"/>
        <v>6</v>
      </c>
      <c r="D12" s="63" t="s">
        <v>67</v>
      </c>
      <c r="E12" s="63" t="s">
        <v>67</v>
      </c>
      <c r="F12" s="63" t="s">
        <v>67</v>
      </c>
      <c r="G12" s="63" t="s">
        <v>67</v>
      </c>
      <c r="H12" s="63" t="s">
        <v>67</v>
      </c>
      <c r="I12" s="63" t="s">
        <v>67</v>
      </c>
      <c r="J12" s="63" t="s">
        <v>67</v>
      </c>
      <c r="K12" s="63" t="s">
        <v>67</v>
      </c>
      <c r="L12" s="63" t="s">
        <v>67</v>
      </c>
      <c r="M12" s="63" t="s">
        <v>67</v>
      </c>
      <c r="N12" s="63" t="s">
        <v>67</v>
      </c>
      <c r="O12" s="63" t="s">
        <v>67</v>
      </c>
      <c r="P12" s="63" t="s">
        <v>67</v>
      </c>
      <c r="Q12" s="63" t="s">
        <v>67</v>
      </c>
      <c r="R12" s="63" t="s">
        <v>67</v>
      </c>
      <c r="S12" s="63" t="s">
        <v>67</v>
      </c>
      <c r="T12" s="63" t="s">
        <v>67</v>
      </c>
      <c r="U12" s="63" t="s">
        <v>67</v>
      </c>
      <c r="V12" s="63" t="s">
        <v>67</v>
      </c>
      <c r="W12" s="63" t="s">
        <v>67</v>
      </c>
      <c r="X12" s="63" t="s">
        <v>67</v>
      </c>
      <c r="Y12" s="63" t="s">
        <v>67</v>
      </c>
      <c r="Z12" s="63" t="s">
        <v>67</v>
      </c>
      <c r="AA12" s="63" t="s">
        <v>67</v>
      </c>
      <c r="AB12" s="63" t="s">
        <v>67</v>
      </c>
      <c r="AC12" s="63" t="s">
        <v>67</v>
      </c>
      <c r="AD12" s="133">
        <v>0</v>
      </c>
      <c r="AE12" s="133">
        <v>0</v>
      </c>
      <c r="AF12" s="63">
        <v>0</v>
      </c>
      <c r="AG12" s="63">
        <v>1</v>
      </c>
      <c r="AH12" s="63">
        <v>1</v>
      </c>
      <c r="AI12" s="63">
        <v>0</v>
      </c>
      <c r="AJ12" s="53" t="s">
        <v>304</v>
      </c>
      <c r="AL12" t="str">
        <f t="shared" ca="1" si="0"/>
        <v xml:space="preserve">    (U1)ALERT_REQ_S_ADBZR_CSR_BZ_RR_CAD</v>
      </c>
      <c r="AR12" s="65" t="str">
        <f t="shared" si="3"/>
        <v xml:space="preserve">    (U4)0x00000006U,                                                           /* 06 RR_CAD                                          */</v>
      </c>
      <c r="AS12" s="65" t="str">
        <f t="shared" si="4"/>
        <v xml:space="preserve">    (U4)0x0000003FU,                                                           /* 06 RR_CAD                                          */</v>
      </c>
      <c r="AT12" s="65" t="str">
        <f t="shared" ca="1" si="1"/>
        <v xml:space="preserve">    (U1)ALERT_REQ_S_ADBZR_CSR_BZ_RR_CAD,                                       /* 06 RR_CAD                                          */</v>
      </c>
      <c r="AU12" s="215"/>
      <c r="AV12" s="51" t="s">
        <v>88</v>
      </c>
      <c r="AW12" s="70" t="str">
        <f ca="1">Matrix!D8&amp;"["&amp;Matrix!D7&amp;"]"</f>
        <v>st_gp_ALERT_S_ADBZR_CSR_MTRX[2]</v>
      </c>
    </row>
    <row r="13" spans="1:49">
      <c r="B13" s="138"/>
      <c r="C13" s="49">
        <f t="shared" si="2"/>
        <v>7</v>
      </c>
      <c r="D13" s="63" t="s">
        <v>67</v>
      </c>
      <c r="E13" s="63" t="s">
        <v>67</v>
      </c>
      <c r="F13" s="63" t="s">
        <v>67</v>
      </c>
      <c r="G13" s="63" t="s">
        <v>67</v>
      </c>
      <c r="H13" s="63" t="s">
        <v>67</v>
      </c>
      <c r="I13" s="63" t="s">
        <v>67</v>
      </c>
      <c r="J13" s="63" t="s">
        <v>67</v>
      </c>
      <c r="K13" s="63" t="s">
        <v>67</v>
      </c>
      <c r="L13" s="63" t="s">
        <v>67</v>
      </c>
      <c r="M13" s="63" t="s">
        <v>67</v>
      </c>
      <c r="N13" s="63" t="s">
        <v>67</v>
      </c>
      <c r="O13" s="63" t="s">
        <v>67</v>
      </c>
      <c r="P13" s="63" t="s">
        <v>67</v>
      </c>
      <c r="Q13" s="63" t="s">
        <v>67</v>
      </c>
      <c r="R13" s="63" t="s">
        <v>67</v>
      </c>
      <c r="S13" s="63" t="s">
        <v>67</v>
      </c>
      <c r="T13" s="63" t="s">
        <v>67</v>
      </c>
      <c r="U13" s="63" t="s">
        <v>67</v>
      </c>
      <c r="V13" s="63" t="s">
        <v>67</v>
      </c>
      <c r="W13" s="63" t="s">
        <v>67</v>
      </c>
      <c r="X13" s="63" t="s">
        <v>67</v>
      </c>
      <c r="Y13" s="63" t="s">
        <v>67</v>
      </c>
      <c r="Z13" s="63" t="s">
        <v>67</v>
      </c>
      <c r="AA13" s="63" t="s">
        <v>67</v>
      </c>
      <c r="AB13" s="63" t="s">
        <v>67</v>
      </c>
      <c r="AC13" s="63" t="s">
        <v>67</v>
      </c>
      <c r="AD13" s="133">
        <v>0</v>
      </c>
      <c r="AE13" s="133">
        <v>0</v>
      </c>
      <c r="AF13" s="63">
        <v>0</v>
      </c>
      <c r="AG13" s="63">
        <v>1</v>
      </c>
      <c r="AH13" s="63">
        <v>1</v>
      </c>
      <c r="AI13" s="63">
        <v>1</v>
      </c>
      <c r="AJ13" s="53" t="s">
        <v>305</v>
      </c>
      <c r="AL13" t="str">
        <f t="shared" ca="1" si="0"/>
        <v xml:space="preserve">    (U1)ALERT_REQ_S_ADBZR_CSR_BZ_RR_SD</v>
      </c>
      <c r="AR13" s="65" t="str">
        <f t="shared" si="3"/>
        <v xml:space="preserve">    (U4)0x00000007U,                                                           /* 07 RR_SD                                           */</v>
      </c>
      <c r="AS13" s="65" t="str">
        <f t="shared" si="4"/>
        <v xml:space="preserve">    (U4)0x0000003FU,                                                           /* 07 RR_SD                                           */</v>
      </c>
      <c r="AT13" s="65" t="str">
        <f t="shared" ca="1" si="1"/>
        <v xml:space="preserve">    (U1)ALERT_REQ_S_ADBZR_CSR_BZ_RR_SD,                                        /* 07 RR_SD                                           */</v>
      </c>
      <c r="AU13" s="215" t="str">
        <f ca="1">"        &amp;"&amp;$AW$11&amp;"[0],"&amp;REPT(" ",66-LEN($AW$11))&amp;"/* u1p_DST                                            */"</f>
        <v xml:space="preserve">        &amp;u1_sp_ALERT_S_ADBZR_CSR_BZ_DST[0],                                    /* u1p_DST                                            */</v>
      </c>
      <c r="AV13" s="51" t="s">
        <v>76</v>
      </c>
      <c r="AW13" s="137">
        <f>COUNTA($AJ$6:$AJ$69)</f>
        <v>64</v>
      </c>
    </row>
    <row r="14" spans="1:49">
      <c r="B14" s="138"/>
      <c r="C14" s="49">
        <f t="shared" si="2"/>
        <v>8</v>
      </c>
      <c r="D14" s="63" t="s">
        <v>67</v>
      </c>
      <c r="E14" s="63" t="s">
        <v>67</v>
      </c>
      <c r="F14" s="63" t="s">
        <v>67</v>
      </c>
      <c r="G14" s="63" t="s">
        <v>67</v>
      </c>
      <c r="H14" s="63" t="s">
        <v>67</v>
      </c>
      <c r="I14" s="63" t="s">
        <v>67</v>
      </c>
      <c r="J14" s="63" t="s">
        <v>67</v>
      </c>
      <c r="K14" s="63" t="s">
        <v>67</v>
      </c>
      <c r="L14" s="63" t="s">
        <v>67</v>
      </c>
      <c r="M14" s="63" t="s">
        <v>67</v>
      </c>
      <c r="N14" s="63" t="s">
        <v>67</v>
      </c>
      <c r="O14" s="63" t="s">
        <v>67</v>
      </c>
      <c r="P14" s="63" t="s">
        <v>67</v>
      </c>
      <c r="Q14" s="63" t="s">
        <v>67</v>
      </c>
      <c r="R14" s="63" t="s">
        <v>67</v>
      </c>
      <c r="S14" s="63" t="s">
        <v>67</v>
      </c>
      <c r="T14" s="63" t="s">
        <v>67</v>
      </c>
      <c r="U14" s="63" t="s">
        <v>67</v>
      </c>
      <c r="V14" s="63" t="s">
        <v>67</v>
      </c>
      <c r="W14" s="63" t="s">
        <v>67</v>
      </c>
      <c r="X14" s="63" t="s">
        <v>67</v>
      </c>
      <c r="Y14" s="63" t="s">
        <v>67</v>
      </c>
      <c r="Z14" s="63" t="s">
        <v>67</v>
      </c>
      <c r="AA14" s="63" t="s">
        <v>67</v>
      </c>
      <c r="AB14" s="63" t="s">
        <v>67</v>
      </c>
      <c r="AC14" s="63" t="s">
        <v>67</v>
      </c>
      <c r="AD14" s="133">
        <v>0</v>
      </c>
      <c r="AE14" s="133">
        <v>0</v>
      </c>
      <c r="AF14" s="63">
        <v>1</v>
      </c>
      <c r="AG14" s="63">
        <v>0</v>
      </c>
      <c r="AH14" s="63">
        <v>0</v>
      </c>
      <c r="AI14" s="63">
        <v>0</v>
      </c>
      <c r="AJ14" s="53" t="s">
        <v>306</v>
      </c>
      <c r="AL14" t="str">
        <f t="shared" ca="1" si="0"/>
        <v xml:space="preserve">    (U1)ALERT_REQ_S_ADBZR_CSR_BZ_RR_MD</v>
      </c>
      <c r="AR14" s="65" t="str">
        <f t="shared" si="3"/>
        <v xml:space="preserve">    (U4)0x00000008U,                                                           /* 08 RR_MD                                           */</v>
      </c>
      <c r="AS14" s="65" t="str">
        <f t="shared" si="4"/>
        <v xml:space="preserve">    (U4)0x0000003FU,                                                           /* 08 RR_MD                                           */</v>
      </c>
      <c r="AT14" s="65" t="str">
        <f t="shared" ca="1" si="1"/>
        <v xml:space="preserve">    (U1)ALERT_REQ_S_ADBZR_CSR_BZ_RR_MD,                                        /* 08 RR_MD                                           */</v>
      </c>
      <c r="AU14" s="215" t="str">
        <f ca="1">"        (U2)"&amp;$AW$10&amp;","&amp;REPT(" ",66-LEN($AW$10))&amp;"/* u2_num_srch                                        */"</f>
        <v xml:space="preserve">        (U2)ALERT_S_ADBZR_CSR_BZ_NUM_DST,                                      /* u2_num_srch                                        */</v>
      </c>
      <c r="AV14" s="51" t="s">
        <v>77</v>
      </c>
      <c r="AW14" s="70" t="str">
        <f ca="1">IF(AW6&lt;&gt;AW17,VLOOKUP(AW6,Matrix!$C$13:$G$37,4,FALSE),Matrix!F13)</f>
        <v>u4_s_AlertS_adbzr_csrBzSrcchk</v>
      </c>
    </row>
    <row r="15" spans="1:49">
      <c r="B15" s="138"/>
      <c r="C15" s="49">
        <f t="shared" si="2"/>
        <v>9</v>
      </c>
      <c r="D15" s="63" t="s">
        <v>67</v>
      </c>
      <c r="E15" s="63" t="s">
        <v>67</v>
      </c>
      <c r="F15" s="63" t="s">
        <v>67</v>
      </c>
      <c r="G15" s="63" t="s">
        <v>67</v>
      </c>
      <c r="H15" s="63" t="s">
        <v>67</v>
      </c>
      <c r="I15" s="63" t="s">
        <v>67</v>
      </c>
      <c r="J15" s="63" t="s">
        <v>67</v>
      </c>
      <c r="K15" s="63" t="s">
        <v>67</v>
      </c>
      <c r="L15" s="63" t="s">
        <v>67</v>
      </c>
      <c r="M15" s="63" t="s">
        <v>67</v>
      </c>
      <c r="N15" s="63" t="s">
        <v>67</v>
      </c>
      <c r="O15" s="63" t="s">
        <v>67</v>
      </c>
      <c r="P15" s="63" t="s">
        <v>67</v>
      </c>
      <c r="Q15" s="63" t="s">
        <v>67</v>
      </c>
      <c r="R15" s="63" t="s">
        <v>67</v>
      </c>
      <c r="S15" s="63" t="s">
        <v>67</v>
      </c>
      <c r="T15" s="63" t="s">
        <v>67</v>
      </c>
      <c r="U15" s="63" t="s">
        <v>67</v>
      </c>
      <c r="V15" s="63" t="s">
        <v>67</v>
      </c>
      <c r="W15" s="63" t="s">
        <v>67</v>
      </c>
      <c r="X15" s="63" t="s">
        <v>67</v>
      </c>
      <c r="Y15" s="63" t="s">
        <v>67</v>
      </c>
      <c r="Z15" s="63" t="s">
        <v>67</v>
      </c>
      <c r="AA15" s="63" t="s">
        <v>67</v>
      </c>
      <c r="AB15" s="63" t="s">
        <v>67</v>
      </c>
      <c r="AC15" s="63" t="s">
        <v>67</v>
      </c>
      <c r="AD15" s="133">
        <v>0</v>
      </c>
      <c r="AE15" s="133">
        <v>0</v>
      </c>
      <c r="AF15" s="63">
        <v>1</v>
      </c>
      <c r="AG15" s="63">
        <v>0</v>
      </c>
      <c r="AH15" s="63">
        <v>0</v>
      </c>
      <c r="AI15" s="63">
        <v>1</v>
      </c>
      <c r="AJ15" s="53" t="s">
        <v>307</v>
      </c>
      <c r="AL15" t="str">
        <f t="shared" ca="1" si="0"/>
        <v xml:space="preserve">    (U1)ALERT_REQ_S_ADBZR_CSR_BZ_RR_LD</v>
      </c>
      <c r="AR15" s="65" t="str">
        <f t="shared" si="3"/>
        <v xml:space="preserve">    (U4)0x00000009U,                                                           /* 09 RR_LD                                           */</v>
      </c>
      <c r="AS15" s="65" t="str">
        <f t="shared" si="4"/>
        <v xml:space="preserve">    (U4)0x0000003FU,                                                           /* 09 RR_LD                                           */</v>
      </c>
      <c r="AT15" s="65" t="str">
        <f t="shared" ca="1" si="1"/>
        <v xml:space="preserve">    (U1)ALERT_REQ_S_ADBZR_CSR_BZ_RR_LD,                                        /* 09 RR_LD                                           */</v>
      </c>
      <c r="AU15" s="215" t="str">
        <f ca="1">"        (U1)"&amp;$AW$16&amp;REPT(" ",67-LEN($AW$16))&amp;"/* u1_vom_act                                         */"</f>
        <v xml:space="preserve">        (U1)ALERT_VOM_IGN_ON                                                   /* u1_vom_act                                         */</v>
      </c>
      <c r="AV15" s="51" t="s">
        <v>80</v>
      </c>
      <c r="AW15" s="70" t="str">
        <f ca="1">IF(AW6&lt;&gt;AW17,VLOOKUP(AW6,Matrix!$C$13:$G$37,5,FALSE),Matrix!G13)</f>
        <v>NULL</v>
      </c>
    </row>
    <row r="16" spans="1:49">
      <c r="B16" s="138"/>
      <c r="C16" s="49">
        <f t="shared" si="2"/>
        <v>10</v>
      </c>
      <c r="D16" s="63" t="s">
        <v>67</v>
      </c>
      <c r="E16" s="63" t="s">
        <v>67</v>
      </c>
      <c r="F16" s="63" t="s">
        <v>67</v>
      </c>
      <c r="G16" s="63" t="s">
        <v>67</v>
      </c>
      <c r="H16" s="63" t="s">
        <v>67</v>
      </c>
      <c r="I16" s="63" t="s">
        <v>67</v>
      </c>
      <c r="J16" s="63" t="s">
        <v>67</v>
      </c>
      <c r="K16" s="63" t="s">
        <v>67</v>
      </c>
      <c r="L16" s="63" t="s">
        <v>67</v>
      </c>
      <c r="M16" s="63" t="s">
        <v>67</v>
      </c>
      <c r="N16" s="63" t="s">
        <v>67</v>
      </c>
      <c r="O16" s="63" t="s">
        <v>67</v>
      </c>
      <c r="P16" s="63" t="s">
        <v>67</v>
      </c>
      <c r="Q16" s="63" t="s">
        <v>67</v>
      </c>
      <c r="R16" s="63" t="s">
        <v>67</v>
      </c>
      <c r="S16" s="63" t="s">
        <v>67</v>
      </c>
      <c r="T16" s="63" t="s">
        <v>67</v>
      </c>
      <c r="U16" s="63" t="s">
        <v>67</v>
      </c>
      <c r="V16" s="63" t="s">
        <v>67</v>
      </c>
      <c r="W16" s="63" t="s">
        <v>67</v>
      </c>
      <c r="X16" s="63" t="s">
        <v>67</v>
      </c>
      <c r="Y16" s="63" t="s">
        <v>67</v>
      </c>
      <c r="Z16" s="63" t="s">
        <v>67</v>
      </c>
      <c r="AA16" s="63" t="s">
        <v>67</v>
      </c>
      <c r="AB16" s="63" t="s">
        <v>67</v>
      </c>
      <c r="AC16" s="63" t="s">
        <v>67</v>
      </c>
      <c r="AD16" s="133">
        <v>0</v>
      </c>
      <c r="AE16" s="133">
        <v>0</v>
      </c>
      <c r="AF16" s="63">
        <v>1</v>
      </c>
      <c r="AG16" s="63">
        <v>0</v>
      </c>
      <c r="AH16" s="63">
        <v>1</v>
      </c>
      <c r="AI16" s="63">
        <v>0</v>
      </c>
      <c r="AJ16" s="53" t="s">
        <v>308</v>
      </c>
      <c r="AL16" t="str">
        <f t="shared" ca="1" si="0"/>
        <v xml:space="preserve">    (U1)ALERT_REQ_S_ADBZR_CSR_BZ_CAD</v>
      </c>
      <c r="AR16" s="65" t="str">
        <f t="shared" si="3"/>
        <v xml:space="preserve">    (U4)0x0000000AU,                                                           /* 10 CAD                                             */</v>
      </c>
      <c r="AS16" s="65" t="str">
        <f t="shared" si="4"/>
        <v xml:space="preserve">    (U4)0x0000003FU,                                                           /* 10 CAD                                             */</v>
      </c>
      <c r="AT16" s="65" t="str">
        <f t="shared" ca="1" si="1"/>
        <v xml:space="preserve">    (U1)ALERT_REQ_S_ADBZR_CSR_BZ_CAD,                                          /* 10 CAD                                             */</v>
      </c>
      <c r="AU16" s="215" t="s">
        <v>69</v>
      </c>
      <c r="AV16" s="51" t="s">
        <v>78</v>
      </c>
      <c r="AW16" s="70" t="str">
        <f ca="1">IF(AW6&lt;&gt;AW17,VLOOKUP(AW6,Matrix!$C$13:$G$37,2,FALSE),Matrix!D13)</f>
        <v>ALERT_VOM_IGN_ON</v>
      </c>
    </row>
    <row r="17" spans="2:49" ht="14.25" thickBot="1">
      <c r="B17" s="138"/>
      <c r="C17" s="49">
        <f t="shared" si="2"/>
        <v>11</v>
      </c>
      <c r="D17" s="63" t="s">
        <v>67</v>
      </c>
      <c r="E17" s="63" t="s">
        <v>67</v>
      </c>
      <c r="F17" s="63" t="s">
        <v>67</v>
      </c>
      <c r="G17" s="63" t="s">
        <v>67</v>
      </c>
      <c r="H17" s="63" t="s">
        <v>67</v>
      </c>
      <c r="I17" s="63" t="s">
        <v>67</v>
      </c>
      <c r="J17" s="63" t="s">
        <v>67</v>
      </c>
      <c r="K17" s="63" t="s">
        <v>67</v>
      </c>
      <c r="L17" s="63" t="s">
        <v>67</v>
      </c>
      <c r="M17" s="63" t="s">
        <v>67</v>
      </c>
      <c r="N17" s="63" t="s">
        <v>67</v>
      </c>
      <c r="O17" s="63" t="s">
        <v>67</v>
      </c>
      <c r="P17" s="63" t="s">
        <v>67</v>
      </c>
      <c r="Q17" s="63" t="s">
        <v>67</v>
      </c>
      <c r="R17" s="63" t="s">
        <v>67</v>
      </c>
      <c r="S17" s="63" t="s">
        <v>67</v>
      </c>
      <c r="T17" s="63" t="s">
        <v>67</v>
      </c>
      <c r="U17" s="63" t="s">
        <v>67</v>
      </c>
      <c r="V17" s="63" t="s">
        <v>67</v>
      </c>
      <c r="W17" s="63" t="s">
        <v>67</v>
      </c>
      <c r="X17" s="63" t="s">
        <v>67</v>
      </c>
      <c r="Y17" s="63" t="s">
        <v>67</v>
      </c>
      <c r="Z17" s="63" t="s">
        <v>67</v>
      </c>
      <c r="AA17" s="63" t="s">
        <v>67</v>
      </c>
      <c r="AB17" s="63" t="s">
        <v>67</v>
      </c>
      <c r="AC17" s="63" t="s">
        <v>67</v>
      </c>
      <c r="AD17" s="133">
        <v>0</v>
      </c>
      <c r="AE17" s="133">
        <v>0</v>
      </c>
      <c r="AF17" s="63">
        <v>1</v>
      </c>
      <c r="AG17" s="63">
        <v>0</v>
      </c>
      <c r="AH17" s="63">
        <v>1</v>
      </c>
      <c r="AI17" s="63">
        <v>1</v>
      </c>
      <c r="AJ17" s="53" t="s">
        <v>309</v>
      </c>
      <c r="AL17" t="str">
        <f t="shared" ca="1" si="0"/>
        <v xml:space="preserve">    (U1)ALERT_REQ_S_ADBZR_CSR_BZ_SD</v>
      </c>
      <c r="AR17" s="65" t="str">
        <f t="shared" si="3"/>
        <v xml:space="preserve">    (U4)0x0000000BU,                                                           /* 11 SD                                              */</v>
      </c>
      <c r="AS17" s="65" t="str">
        <f t="shared" si="4"/>
        <v xml:space="preserve">    (U4)0x0000003FU,                                                           /* 11 SD                                              */</v>
      </c>
      <c r="AT17" s="65" t="str">
        <f t="shared" ca="1" si="1"/>
        <v xml:space="preserve">    (U1)ALERT_REQ_S_ADBZR_CSR_BZ_SD,                                           /* 11 SD                                              */</v>
      </c>
      <c r="AU17" s="216" t="s">
        <v>81</v>
      </c>
      <c r="AV17" s="52" t="s">
        <v>79</v>
      </c>
      <c r="AW17" s="71" t="str">
        <f ca="1">UPPER(Matrix!$D$6)</f>
        <v>S_ADBZR_CSR</v>
      </c>
    </row>
    <row r="18" spans="2:49">
      <c r="B18" s="138"/>
      <c r="C18" s="49">
        <f t="shared" si="2"/>
        <v>12</v>
      </c>
      <c r="D18" s="63" t="s">
        <v>67</v>
      </c>
      <c r="E18" s="63" t="s">
        <v>67</v>
      </c>
      <c r="F18" s="63" t="s">
        <v>67</v>
      </c>
      <c r="G18" s="63" t="s">
        <v>67</v>
      </c>
      <c r="H18" s="63" t="s">
        <v>67</v>
      </c>
      <c r="I18" s="63" t="s">
        <v>67</v>
      </c>
      <c r="J18" s="63" t="s">
        <v>67</v>
      </c>
      <c r="K18" s="63" t="s">
        <v>67</v>
      </c>
      <c r="L18" s="63" t="s">
        <v>67</v>
      </c>
      <c r="M18" s="63" t="s">
        <v>67</v>
      </c>
      <c r="N18" s="63" t="s">
        <v>67</v>
      </c>
      <c r="O18" s="63" t="s">
        <v>67</v>
      </c>
      <c r="P18" s="63" t="s">
        <v>67</v>
      </c>
      <c r="Q18" s="63" t="s">
        <v>67</v>
      </c>
      <c r="R18" s="63" t="s">
        <v>67</v>
      </c>
      <c r="S18" s="63" t="s">
        <v>67</v>
      </c>
      <c r="T18" s="63" t="s">
        <v>67</v>
      </c>
      <c r="U18" s="63" t="s">
        <v>67</v>
      </c>
      <c r="V18" s="63" t="s">
        <v>67</v>
      </c>
      <c r="W18" s="63" t="s">
        <v>67</v>
      </c>
      <c r="X18" s="63" t="s">
        <v>67</v>
      </c>
      <c r="Y18" s="63" t="s">
        <v>67</v>
      </c>
      <c r="Z18" s="63" t="s">
        <v>67</v>
      </c>
      <c r="AA18" s="63" t="s">
        <v>67</v>
      </c>
      <c r="AB18" s="63" t="s">
        <v>67</v>
      </c>
      <c r="AC18" s="63" t="s">
        <v>67</v>
      </c>
      <c r="AD18" s="133">
        <v>0</v>
      </c>
      <c r="AE18" s="133">
        <v>0</v>
      </c>
      <c r="AF18" s="63">
        <v>1</v>
      </c>
      <c r="AG18" s="63">
        <v>1</v>
      </c>
      <c r="AH18" s="63">
        <v>0</v>
      </c>
      <c r="AI18" s="63">
        <v>0</v>
      </c>
      <c r="AJ18" s="53" t="s">
        <v>310</v>
      </c>
      <c r="AL18" t="str">
        <f t="shared" ca="1" si="0"/>
        <v xml:space="preserve">    (U1)ALERT_REQ_S_ADBZR_CSR_BZ_MD</v>
      </c>
      <c r="AR18" s="65" t="str">
        <f t="shared" si="3"/>
        <v xml:space="preserve">    (U4)0x0000000CU,                                                           /* 12 MD                                              */</v>
      </c>
      <c r="AS18" s="65" t="str">
        <f t="shared" si="4"/>
        <v xml:space="preserve">    (U4)0x0000003FU,                                                           /* 12 MD                                              */</v>
      </c>
      <c r="AT18" s="65" t="str">
        <f t="shared" ca="1" si="1"/>
        <v xml:space="preserve">    (U1)ALERT_REQ_S_ADBZR_CSR_BZ_MD,                                           /* 12 MD                                              */</v>
      </c>
    </row>
    <row r="19" spans="2:49">
      <c r="B19" s="138"/>
      <c r="C19" s="49">
        <f t="shared" si="2"/>
        <v>13</v>
      </c>
      <c r="D19" s="63" t="s">
        <v>67</v>
      </c>
      <c r="E19" s="63" t="s">
        <v>67</v>
      </c>
      <c r="F19" s="63" t="s">
        <v>67</v>
      </c>
      <c r="G19" s="63" t="s">
        <v>67</v>
      </c>
      <c r="H19" s="63" t="s">
        <v>67</v>
      </c>
      <c r="I19" s="63" t="s">
        <v>67</v>
      </c>
      <c r="J19" s="63" t="s">
        <v>67</v>
      </c>
      <c r="K19" s="63" t="s">
        <v>67</v>
      </c>
      <c r="L19" s="63" t="s">
        <v>67</v>
      </c>
      <c r="M19" s="63" t="s">
        <v>67</v>
      </c>
      <c r="N19" s="63" t="s">
        <v>67</v>
      </c>
      <c r="O19" s="63" t="s">
        <v>67</v>
      </c>
      <c r="P19" s="63" t="s">
        <v>67</v>
      </c>
      <c r="Q19" s="63" t="s">
        <v>67</v>
      </c>
      <c r="R19" s="63" t="s">
        <v>67</v>
      </c>
      <c r="S19" s="63" t="s">
        <v>67</v>
      </c>
      <c r="T19" s="63" t="s">
        <v>67</v>
      </c>
      <c r="U19" s="63" t="s">
        <v>67</v>
      </c>
      <c r="V19" s="63" t="s">
        <v>67</v>
      </c>
      <c r="W19" s="63" t="s">
        <v>67</v>
      </c>
      <c r="X19" s="63" t="s">
        <v>67</v>
      </c>
      <c r="Y19" s="63" t="s">
        <v>67</v>
      </c>
      <c r="Z19" s="63" t="s">
        <v>67</v>
      </c>
      <c r="AA19" s="63" t="s">
        <v>67</v>
      </c>
      <c r="AB19" s="63" t="s">
        <v>67</v>
      </c>
      <c r="AC19" s="63" t="s">
        <v>67</v>
      </c>
      <c r="AD19" s="133">
        <v>0</v>
      </c>
      <c r="AE19" s="133">
        <v>0</v>
      </c>
      <c r="AF19" s="63">
        <v>1</v>
      </c>
      <c r="AG19" s="63">
        <v>1</v>
      </c>
      <c r="AH19" s="63">
        <v>0</v>
      </c>
      <c r="AI19" s="63">
        <v>1</v>
      </c>
      <c r="AJ19" s="53" t="s">
        <v>311</v>
      </c>
      <c r="AL19" t="str">
        <f t="shared" ca="1" si="0"/>
        <v xml:space="preserve">    (U1)ALERT_REQ_S_ADBZR_CSR_BZ_LD</v>
      </c>
      <c r="AR19" s="65" t="str">
        <f t="shared" si="3"/>
        <v xml:space="preserve">    (U4)0x0000000DU,                                                           /* 13 LD                                              */</v>
      </c>
      <c r="AS19" s="65" t="str">
        <f t="shared" si="4"/>
        <v xml:space="preserve">    (U4)0x0000003FU,                                                           /* 13 LD                                              */</v>
      </c>
      <c r="AT19" s="65" t="str">
        <f t="shared" ca="1" si="1"/>
        <v xml:space="preserve">    (U1)ALERT_REQ_S_ADBZR_CSR_BZ_LD,                                           /* 13 LD                                              */</v>
      </c>
    </row>
    <row r="20" spans="2:49">
      <c r="B20" s="138"/>
      <c r="C20" s="49">
        <f t="shared" si="2"/>
        <v>14</v>
      </c>
      <c r="D20" s="63" t="s">
        <v>67</v>
      </c>
      <c r="E20" s="63" t="s">
        <v>67</v>
      </c>
      <c r="F20" s="63" t="s">
        <v>67</v>
      </c>
      <c r="G20" s="63" t="s">
        <v>67</v>
      </c>
      <c r="H20" s="63" t="s">
        <v>67</v>
      </c>
      <c r="I20" s="63" t="s">
        <v>67</v>
      </c>
      <c r="J20" s="63" t="s">
        <v>67</v>
      </c>
      <c r="K20" s="63" t="s">
        <v>67</v>
      </c>
      <c r="L20" s="63" t="s">
        <v>67</v>
      </c>
      <c r="M20" s="63" t="s">
        <v>67</v>
      </c>
      <c r="N20" s="63" t="s">
        <v>67</v>
      </c>
      <c r="O20" s="63" t="s">
        <v>67</v>
      </c>
      <c r="P20" s="63" t="s">
        <v>67</v>
      </c>
      <c r="Q20" s="63" t="s">
        <v>67</v>
      </c>
      <c r="R20" s="63" t="s">
        <v>67</v>
      </c>
      <c r="S20" s="63" t="s">
        <v>67</v>
      </c>
      <c r="T20" s="63" t="s">
        <v>67</v>
      </c>
      <c r="U20" s="63" t="s">
        <v>67</v>
      </c>
      <c r="V20" s="63" t="s">
        <v>67</v>
      </c>
      <c r="W20" s="63" t="s">
        <v>67</v>
      </c>
      <c r="X20" s="63" t="s">
        <v>67</v>
      </c>
      <c r="Y20" s="63" t="s">
        <v>67</v>
      </c>
      <c r="Z20" s="63" t="s">
        <v>67</v>
      </c>
      <c r="AA20" s="63" t="s">
        <v>67</v>
      </c>
      <c r="AB20" s="63" t="s">
        <v>67</v>
      </c>
      <c r="AC20" s="63" t="s">
        <v>67</v>
      </c>
      <c r="AD20" s="133">
        <v>0</v>
      </c>
      <c r="AE20" s="133">
        <v>0</v>
      </c>
      <c r="AF20" s="63">
        <v>1</v>
      </c>
      <c r="AG20" s="63">
        <v>1</v>
      </c>
      <c r="AH20" s="63">
        <v>1</v>
      </c>
      <c r="AI20" s="63">
        <v>0</v>
      </c>
      <c r="AJ20" s="53" t="s">
        <v>32</v>
      </c>
      <c r="AL20" t="str">
        <f t="shared" si="0"/>
        <v xml:space="preserve">    (U1)ALERT_REQ_UNKNOWN</v>
      </c>
      <c r="AR20" s="65" t="str">
        <f t="shared" si="3"/>
        <v xml:space="preserve">    (U4)0x0000000EU,                                                           /* 14 UNKNOWN                                         */</v>
      </c>
      <c r="AS20" s="65" t="str">
        <f t="shared" si="4"/>
        <v xml:space="preserve">    (U4)0x0000003FU,                                                           /* 14 UNKNOWN                                         */</v>
      </c>
      <c r="AT20" s="65" t="str">
        <f t="shared" si="1"/>
        <v xml:space="preserve">    (U1)ALERT_REQ_UNKNOWN,                                                     /* 14 UNKNOWN                                         */</v>
      </c>
    </row>
    <row r="21" spans="2:49">
      <c r="B21" s="138"/>
      <c r="C21" s="49">
        <f t="shared" si="2"/>
        <v>15</v>
      </c>
      <c r="D21" s="63" t="s">
        <v>67</v>
      </c>
      <c r="E21" s="63" t="s">
        <v>67</v>
      </c>
      <c r="F21" s="63" t="s">
        <v>67</v>
      </c>
      <c r="G21" s="63" t="s">
        <v>67</v>
      </c>
      <c r="H21" s="63" t="s">
        <v>67</v>
      </c>
      <c r="I21" s="63" t="s">
        <v>67</v>
      </c>
      <c r="J21" s="63" t="s">
        <v>67</v>
      </c>
      <c r="K21" s="63" t="s">
        <v>67</v>
      </c>
      <c r="L21" s="63" t="s">
        <v>67</v>
      </c>
      <c r="M21" s="63" t="s">
        <v>67</v>
      </c>
      <c r="N21" s="63" t="s">
        <v>67</v>
      </c>
      <c r="O21" s="63" t="s">
        <v>67</v>
      </c>
      <c r="P21" s="63" t="s">
        <v>67</v>
      </c>
      <c r="Q21" s="63" t="s">
        <v>67</v>
      </c>
      <c r="R21" s="63" t="s">
        <v>67</v>
      </c>
      <c r="S21" s="63" t="s">
        <v>67</v>
      </c>
      <c r="T21" s="63" t="s">
        <v>67</v>
      </c>
      <c r="U21" s="63" t="s">
        <v>67</v>
      </c>
      <c r="V21" s="63" t="s">
        <v>67</v>
      </c>
      <c r="W21" s="63" t="s">
        <v>67</v>
      </c>
      <c r="X21" s="63" t="s">
        <v>67</v>
      </c>
      <c r="Y21" s="63" t="s">
        <v>67</v>
      </c>
      <c r="Z21" s="63" t="s">
        <v>67</v>
      </c>
      <c r="AA21" s="63" t="s">
        <v>67</v>
      </c>
      <c r="AB21" s="63" t="s">
        <v>67</v>
      </c>
      <c r="AC21" s="63" t="s">
        <v>67</v>
      </c>
      <c r="AD21" s="133">
        <v>0</v>
      </c>
      <c r="AE21" s="133">
        <v>0</v>
      </c>
      <c r="AF21" s="63">
        <v>1</v>
      </c>
      <c r="AG21" s="63">
        <v>1</v>
      </c>
      <c r="AH21" s="63">
        <v>1</v>
      </c>
      <c r="AI21" s="63">
        <v>1</v>
      </c>
      <c r="AJ21" s="53" t="s">
        <v>32</v>
      </c>
      <c r="AL21" t="str">
        <f t="shared" si="0"/>
        <v xml:space="preserve">    (U1)ALERT_REQ_UNKNOWN</v>
      </c>
      <c r="AR21" s="65" t="str">
        <f t="shared" si="3"/>
        <v xml:space="preserve">    (U4)0x0000000FU,                                                           /* 15 UNKNOWN                                         */</v>
      </c>
      <c r="AS21" s="65" t="str">
        <f t="shared" si="4"/>
        <v xml:space="preserve">    (U4)0x0000003FU,                                                           /* 15 UNKNOWN                                         */</v>
      </c>
      <c r="AT21" s="65" t="str">
        <f t="shared" si="1"/>
        <v xml:space="preserve">    (U1)ALERT_REQ_UNKNOWN,                                                     /* 15 UNKNOWN                                         */</v>
      </c>
    </row>
    <row r="22" spans="2:49">
      <c r="B22" s="138"/>
      <c r="C22" s="49">
        <f t="shared" si="2"/>
        <v>16</v>
      </c>
      <c r="D22" s="63" t="s">
        <v>67</v>
      </c>
      <c r="E22" s="63" t="s">
        <v>67</v>
      </c>
      <c r="F22" s="63" t="s">
        <v>67</v>
      </c>
      <c r="G22" s="63" t="s">
        <v>67</v>
      </c>
      <c r="H22" s="63" t="s">
        <v>67</v>
      </c>
      <c r="I22" s="63" t="s">
        <v>67</v>
      </c>
      <c r="J22" s="63" t="s">
        <v>67</v>
      </c>
      <c r="K22" s="63" t="s">
        <v>67</v>
      </c>
      <c r="L22" s="63" t="s">
        <v>67</v>
      </c>
      <c r="M22" s="63" t="s">
        <v>67</v>
      </c>
      <c r="N22" s="63" t="s">
        <v>67</v>
      </c>
      <c r="O22" s="63" t="s">
        <v>67</v>
      </c>
      <c r="P22" s="63" t="s">
        <v>67</v>
      </c>
      <c r="Q22" s="63" t="s">
        <v>67</v>
      </c>
      <c r="R22" s="63" t="s">
        <v>67</v>
      </c>
      <c r="S22" s="63" t="s">
        <v>67</v>
      </c>
      <c r="T22" s="63" t="s">
        <v>67</v>
      </c>
      <c r="U22" s="63" t="s">
        <v>67</v>
      </c>
      <c r="V22" s="63" t="s">
        <v>67</v>
      </c>
      <c r="W22" s="63" t="s">
        <v>67</v>
      </c>
      <c r="X22" s="63" t="s">
        <v>67</v>
      </c>
      <c r="Y22" s="63" t="s">
        <v>67</v>
      </c>
      <c r="Z22" s="63" t="s">
        <v>67</v>
      </c>
      <c r="AA22" s="63" t="s">
        <v>67</v>
      </c>
      <c r="AB22" s="63" t="s">
        <v>67</v>
      </c>
      <c r="AC22" s="63" t="s">
        <v>67</v>
      </c>
      <c r="AD22" s="133">
        <v>0</v>
      </c>
      <c r="AE22" s="133">
        <v>1</v>
      </c>
      <c r="AF22" s="136">
        <v>0</v>
      </c>
      <c r="AG22" s="136">
        <v>0</v>
      </c>
      <c r="AH22" s="136">
        <v>0</v>
      </c>
      <c r="AI22" s="136">
        <v>0</v>
      </c>
      <c r="AJ22" s="53" t="s">
        <v>32</v>
      </c>
      <c r="AL22" t="str">
        <f t="shared" si="0"/>
        <v xml:space="preserve">    (U1)ALERT_REQ_UNKNOWN</v>
      </c>
      <c r="AR22" s="65" t="str">
        <f t="shared" si="3"/>
        <v xml:space="preserve">    (U4)0x00000010U,                                                           /* 16 UNKNOWN                                         */</v>
      </c>
      <c r="AS22" s="65" t="str">
        <f t="shared" si="4"/>
        <v xml:space="preserve">    (U4)0x0000003FU,                                                           /* 16 UNKNOWN                                         */</v>
      </c>
      <c r="AT22" s="65" t="str">
        <f t="shared" si="1"/>
        <v xml:space="preserve">    (U1)ALERT_REQ_UNKNOWN,                                                     /* 16 UNKNOWN                                         */</v>
      </c>
    </row>
    <row r="23" spans="2:49">
      <c r="B23" s="138"/>
      <c r="C23" s="49">
        <f t="shared" si="2"/>
        <v>17</v>
      </c>
      <c r="D23" s="63" t="s">
        <v>67</v>
      </c>
      <c r="E23" s="63" t="s">
        <v>67</v>
      </c>
      <c r="F23" s="63" t="s">
        <v>67</v>
      </c>
      <c r="G23" s="63" t="s">
        <v>67</v>
      </c>
      <c r="H23" s="63" t="s">
        <v>67</v>
      </c>
      <c r="I23" s="63" t="s">
        <v>67</v>
      </c>
      <c r="J23" s="63" t="s">
        <v>67</v>
      </c>
      <c r="K23" s="63" t="s">
        <v>67</v>
      </c>
      <c r="L23" s="63" t="s">
        <v>67</v>
      </c>
      <c r="M23" s="63" t="s">
        <v>67</v>
      </c>
      <c r="N23" s="63" t="s">
        <v>67</v>
      </c>
      <c r="O23" s="63" t="s">
        <v>67</v>
      </c>
      <c r="P23" s="63" t="s">
        <v>67</v>
      </c>
      <c r="Q23" s="63" t="s">
        <v>67</v>
      </c>
      <c r="R23" s="63" t="s">
        <v>67</v>
      </c>
      <c r="S23" s="63" t="s">
        <v>67</v>
      </c>
      <c r="T23" s="63" t="s">
        <v>67</v>
      </c>
      <c r="U23" s="63" t="s">
        <v>67</v>
      </c>
      <c r="V23" s="63" t="s">
        <v>67</v>
      </c>
      <c r="W23" s="63" t="s">
        <v>67</v>
      </c>
      <c r="X23" s="63" t="s">
        <v>67</v>
      </c>
      <c r="Y23" s="63" t="s">
        <v>67</v>
      </c>
      <c r="Z23" s="63" t="s">
        <v>67</v>
      </c>
      <c r="AA23" s="63" t="s">
        <v>67</v>
      </c>
      <c r="AB23" s="63" t="s">
        <v>67</v>
      </c>
      <c r="AC23" s="63" t="s">
        <v>67</v>
      </c>
      <c r="AD23" s="133">
        <v>0</v>
      </c>
      <c r="AE23" s="133">
        <v>1</v>
      </c>
      <c r="AF23" s="136">
        <v>0</v>
      </c>
      <c r="AG23" s="136">
        <v>0</v>
      </c>
      <c r="AH23" s="136">
        <v>0</v>
      </c>
      <c r="AI23" s="136">
        <v>1</v>
      </c>
      <c r="AJ23" s="53" t="s">
        <v>32</v>
      </c>
      <c r="AL23" t="str">
        <f t="shared" si="0"/>
        <v xml:space="preserve">    (U1)ALERT_REQ_UNKNOWN</v>
      </c>
      <c r="AR23" s="65" t="str">
        <f t="shared" si="3"/>
        <v xml:space="preserve">    (U4)0x00000011U,                                                           /* 17 UNKNOWN                                         */</v>
      </c>
      <c r="AS23" s="65" t="str">
        <f t="shared" si="4"/>
        <v xml:space="preserve">    (U4)0x0000003FU,                                                           /* 17 UNKNOWN                                         */</v>
      </c>
      <c r="AT23" s="65" t="str">
        <f t="shared" si="1"/>
        <v xml:space="preserve">    (U1)ALERT_REQ_UNKNOWN,                                                     /* 17 UNKNOWN                                         */</v>
      </c>
    </row>
    <row r="24" spans="2:49">
      <c r="B24" s="138"/>
      <c r="C24" s="49">
        <f t="shared" si="2"/>
        <v>18</v>
      </c>
      <c r="D24" s="63" t="s">
        <v>67</v>
      </c>
      <c r="E24" s="63" t="s">
        <v>67</v>
      </c>
      <c r="F24" s="63" t="s">
        <v>67</v>
      </c>
      <c r="G24" s="63" t="s">
        <v>67</v>
      </c>
      <c r="H24" s="63" t="s">
        <v>67</v>
      </c>
      <c r="I24" s="63" t="s">
        <v>67</v>
      </c>
      <c r="J24" s="63" t="s">
        <v>67</v>
      </c>
      <c r="K24" s="63" t="s">
        <v>67</v>
      </c>
      <c r="L24" s="63" t="s">
        <v>67</v>
      </c>
      <c r="M24" s="63" t="s">
        <v>67</v>
      </c>
      <c r="N24" s="63" t="s">
        <v>67</v>
      </c>
      <c r="O24" s="63" t="s">
        <v>67</v>
      </c>
      <c r="P24" s="63" t="s">
        <v>67</v>
      </c>
      <c r="Q24" s="63" t="s">
        <v>67</v>
      </c>
      <c r="R24" s="63" t="s">
        <v>67</v>
      </c>
      <c r="S24" s="63" t="s">
        <v>67</v>
      </c>
      <c r="T24" s="63" t="s">
        <v>67</v>
      </c>
      <c r="U24" s="63" t="s">
        <v>67</v>
      </c>
      <c r="V24" s="63" t="s">
        <v>67</v>
      </c>
      <c r="W24" s="63" t="s">
        <v>67</v>
      </c>
      <c r="X24" s="63" t="s">
        <v>67</v>
      </c>
      <c r="Y24" s="63" t="s">
        <v>67</v>
      </c>
      <c r="Z24" s="63" t="s">
        <v>67</v>
      </c>
      <c r="AA24" s="63" t="s">
        <v>67</v>
      </c>
      <c r="AB24" s="63" t="s">
        <v>67</v>
      </c>
      <c r="AC24" s="63" t="s">
        <v>67</v>
      </c>
      <c r="AD24" s="133">
        <v>0</v>
      </c>
      <c r="AE24" s="133">
        <v>1</v>
      </c>
      <c r="AF24" s="136">
        <v>0</v>
      </c>
      <c r="AG24" s="136">
        <v>0</v>
      </c>
      <c r="AH24" s="136">
        <v>1</v>
      </c>
      <c r="AI24" s="136">
        <v>0</v>
      </c>
      <c r="AJ24" s="53" t="s">
        <v>32</v>
      </c>
      <c r="AL24" t="str">
        <f t="shared" si="0"/>
        <v xml:space="preserve">    (U1)ALERT_REQ_UNKNOWN</v>
      </c>
      <c r="AR24" s="65" t="str">
        <f t="shared" si="3"/>
        <v xml:space="preserve">    (U4)0x00000012U,                                                           /* 18 UNKNOWN                                         */</v>
      </c>
      <c r="AS24" s="65" t="str">
        <f t="shared" si="4"/>
        <v xml:space="preserve">    (U4)0x0000003FU,                                                           /* 18 UNKNOWN                                         */</v>
      </c>
      <c r="AT24" s="65" t="str">
        <f t="shared" si="1"/>
        <v xml:space="preserve">    (U1)ALERT_REQ_UNKNOWN,                                                     /* 18 UNKNOWN                                         */</v>
      </c>
    </row>
    <row r="25" spans="2:49">
      <c r="B25" s="138"/>
      <c r="C25" s="49">
        <f t="shared" si="2"/>
        <v>19</v>
      </c>
      <c r="D25" s="63" t="s">
        <v>67</v>
      </c>
      <c r="E25" s="63" t="s">
        <v>67</v>
      </c>
      <c r="F25" s="63" t="s">
        <v>67</v>
      </c>
      <c r="G25" s="63" t="s">
        <v>67</v>
      </c>
      <c r="H25" s="63" t="s">
        <v>67</v>
      </c>
      <c r="I25" s="63" t="s">
        <v>67</v>
      </c>
      <c r="J25" s="63" t="s">
        <v>67</v>
      </c>
      <c r="K25" s="63" t="s">
        <v>67</v>
      </c>
      <c r="L25" s="63" t="s">
        <v>67</v>
      </c>
      <c r="M25" s="63" t="s">
        <v>67</v>
      </c>
      <c r="N25" s="63" t="s">
        <v>67</v>
      </c>
      <c r="O25" s="63" t="s">
        <v>67</v>
      </c>
      <c r="P25" s="63" t="s">
        <v>67</v>
      </c>
      <c r="Q25" s="63" t="s">
        <v>67</v>
      </c>
      <c r="R25" s="63" t="s">
        <v>67</v>
      </c>
      <c r="S25" s="63" t="s">
        <v>67</v>
      </c>
      <c r="T25" s="63" t="s">
        <v>67</v>
      </c>
      <c r="U25" s="63" t="s">
        <v>67</v>
      </c>
      <c r="V25" s="63" t="s">
        <v>67</v>
      </c>
      <c r="W25" s="63" t="s">
        <v>67</v>
      </c>
      <c r="X25" s="63" t="s">
        <v>67</v>
      </c>
      <c r="Y25" s="63" t="s">
        <v>67</v>
      </c>
      <c r="Z25" s="63" t="s">
        <v>67</v>
      </c>
      <c r="AA25" s="63" t="s">
        <v>67</v>
      </c>
      <c r="AB25" s="63" t="s">
        <v>67</v>
      </c>
      <c r="AC25" s="63" t="s">
        <v>67</v>
      </c>
      <c r="AD25" s="133">
        <v>0</v>
      </c>
      <c r="AE25" s="133">
        <v>1</v>
      </c>
      <c r="AF25" s="63">
        <v>0</v>
      </c>
      <c r="AG25" s="63">
        <v>0</v>
      </c>
      <c r="AH25" s="63">
        <v>1</v>
      </c>
      <c r="AI25" s="63">
        <v>1</v>
      </c>
      <c r="AJ25" s="53" t="s">
        <v>32</v>
      </c>
      <c r="AL25" t="str">
        <f t="shared" si="0"/>
        <v xml:space="preserve">    (U1)ALERT_REQ_UNKNOWN</v>
      </c>
      <c r="AR25" s="65" t="str">
        <f t="shared" si="3"/>
        <v xml:space="preserve">    (U4)0x00000013U,                                                           /* 19 UNKNOWN                                         */</v>
      </c>
      <c r="AS25" s="65" t="str">
        <f t="shared" si="4"/>
        <v xml:space="preserve">    (U4)0x0000003FU,                                                           /* 19 UNKNOWN                                         */</v>
      </c>
      <c r="AT25" s="65" t="str">
        <f t="shared" si="1"/>
        <v xml:space="preserve">    (U1)ALERT_REQ_UNKNOWN,                                                     /* 19 UNKNOWN                                         */</v>
      </c>
    </row>
    <row r="26" spans="2:49">
      <c r="B26" s="138"/>
      <c r="C26" s="49">
        <f t="shared" si="2"/>
        <v>20</v>
      </c>
      <c r="D26" s="63" t="s">
        <v>67</v>
      </c>
      <c r="E26" s="63" t="s">
        <v>67</v>
      </c>
      <c r="F26" s="63" t="s">
        <v>67</v>
      </c>
      <c r="G26" s="63" t="s">
        <v>67</v>
      </c>
      <c r="H26" s="63" t="s">
        <v>67</v>
      </c>
      <c r="I26" s="63" t="s">
        <v>67</v>
      </c>
      <c r="J26" s="63" t="s">
        <v>67</v>
      </c>
      <c r="K26" s="63" t="s">
        <v>67</v>
      </c>
      <c r="L26" s="63" t="s">
        <v>67</v>
      </c>
      <c r="M26" s="63" t="s">
        <v>67</v>
      </c>
      <c r="N26" s="63" t="s">
        <v>67</v>
      </c>
      <c r="O26" s="63" t="s">
        <v>67</v>
      </c>
      <c r="P26" s="63" t="s">
        <v>67</v>
      </c>
      <c r="Q26" s="63" t="s">
        <v>67</v>
      </c>
      <c r="R26" s="63" t="s">
        <v>67</v>
      </c>
      <c r="S26" s="63" t="s">
        <v>67</v>
      </c>
      <c r="T26" s="63" t="s">
        <v>67</v>
      </c>
      <c r="U26" s="63" t="s">
        <v>67</v>
      </c>
      <c r="V26" s="63" t="s">
        <v>67</v>
      </c>
      <c r="W26" s="63" t="s">
        <v>67</v>
      </c>
      <c r="X26" s="63" t="s">
        <v>67</v>
      </c>
      <c r="Y26" s="63" t="s">
        <v>67</v>
      </c>
      <c r="Z26" s="63" t="s">
        <v>67</v>
      </c>
      <c r="AA26" s="63" t="s">
        <v>67</v>
      </c>
      <c r="AB26" s="63" t="s">
        <v>67</v>
      </c>
      <c r="AC26" s="63" t="s">
        <v>67</v>
      </c>
      <c r="AD26" s="133">
        <v>0</v>
      </c>
      <c r="AE26" s="133">
        <v>1</v>
      </c>
      <c r="AF26" s="63">
        <v>0</v>
      </c>
      <c r="AG26" s="63">
        <v>1</v>
      </c>
      <c r="AH26" s="63">
        <v>0</v>
      </c>
      <c r="AI26" s="63">
        <v>0</v>
      </c>
      <c r="AJ26" s="53" t="s">
        <v>32</v>
      </c>
      <c r="AL26" t="str">
        <f t="shared" si="0"/>
        <v xml:space="preserve">    (U1)ALERT_REQ_UNKNOWN</v>
      </c>
      <c r="AR26" s="65" t="str">
        <f t="shared" si="3"/>
        <v xml:space="preserve">    (U4)0x00000014U,                                                           /* 20 UNKNOWN                                         */</v>
      </c>
      <c r="AS26" s="65" t="str">
        <f t="shared" si="4"/>
        <v xml:space="preserve">    (U4)0x0000003FU,                                                           /* 20 UNKNOWN                                         */</v>
      </c>
      <c r="AT26" s="65" t="str">
        <f t="shared" si="1"/>
        <v xml:space="preserve">    (U1)ALERT_REQ_UNKNOWN,                                                     /* 20 UNKNOWN                                         */</v>
      </c>
    </row>
    <row r="27" spans="2:49">
      <c r="B27" s="138"/>
      <c r="C27" s="49">
        <f t="shared" si="2"/>
        <v>21</v>
      </c>
      <c r="D27" s="63" t="s">
        <v>67</v>
      </c>
      <c r="E27" s="63" t="s">
        <v>67</v>
      </c>
      <c r="F27" s="63" t="s">
        <v>67</v>
      </c>
      <c r="G27" s="63" t="s">
        <v>67</v>
      </c>
      <c r="H27" s="63" t="s">
        <v>67</v>
      </c>
      <c r="I27" s="63" t="s">
        <v>67</v>
      </c>
      <c r="J27" s="63" t="s">
        <v>67</v>
      </c>
      <c r="K27" s="63" t="s">
        <v>67</v>
      </c>
      <c r="L27" s="63" t="s">
        <v>67</v>
      </c>
      <c r="M27" s="63" t="s">
        <v>67</v>
      </c>
      <c r="N27" s="63" t="s">
        <v>67</v>
      </c>
      <c r="O27" s="63" t="s">
        <v>67</v>
      </c>
      <c r="P27" s="63" t="s">
        <v>67</v>
      </c>
      <c r="Q27" s="63" t="s">
        <v>67</v>
      </c>
      <c r="R27" s="63" t="s">
        <v>67</v>
      </c>
      <c r="S27" s="63" t="s">
        <v>67</v>
      </c>
      <c r="T27" s="63" t="s">
        <v>67</v>
      </c>
      <c r="U27" s="63" t="s">
        <v>67</v>
      </c>
      <c r="V27" s="63" t="s">
        <v>67</v>
      </c>
      <c r="W27" s="63" t="s">
        <v>67</v>
      </c>
      <c r="X27" s="63" t="s">
        <v>67</v>
      </c>
      <c r="Y27" s="63" t="s">
        <v>67</v>
      </c>
      <c r="Z27" s="63" t="s">
        <v>67</v>
      </c>
      <c r="AA27" s="63" t="s">
        <v>67</v>
      </c>
      <c r="AB27" s="63" t="s">
        <v>67</v>
      </c>
      <c r="AC27" s="63" t="s">
        <v>67</v>
      </c>
      <c r="AD27" s="133">
        <v>0</v>
      </c>
      <c r="AE27" s="133">
        <v>1</v>
      </c>
      <c r="AF27" s="63">
        <v>0</v>
      </c>
      <c r="AG27" s="63">
        <v>1</v>
      </c>
      <c r="AH27" s="63">
        <v>0</v>
      </c>
      <c r="AI27" s="63">
        <v>1</v>
      </c>
      <c r="AJ27" s="53" t="s">
        <v>32</v>
      </c>
      <c r="AL27" t="str">
        <f t="shared" si="0"/>
        <v xml:space="preserve">    (U1)ALERT_REQ_UNKNOWN</v>
      </c>
      <c r="AR27" s="65" t="str">
        <f t="shared" si="3"/>
        <v xml:space="preserve">    (U4)0x00000015U,                                                           /* 21 UNKNOWN                                         */</v>
      </c>
      <c r="AS27" s="65" t="str">
        <f t="shared" si="4"/>
        <v xml:space="preserve">    (U4)0x0000003FU,                                                           /* 21 UNKNOWN                                         */</v>
      </c>
      <c r="AT27" s="65" t="str">
        <f t="shared" si="1"/>
        <v xml:space="preserve">    (U1)ALERT_REQ_UNKNOWN,                                                     /* 21 UNKNOWN                                         */</v>
      </c>
    </row>
    <row r="28" spans="2:49">
      <c r="B28" s="138"/>
      <c r="C28" s="49">
        <f t="shared" si="2"/>
        <v>22</v>
      </c>
      <c r="D28" s="63" t="s">
        <v>67</v>
      </c>
      <c r="E28" s="63" t="s">
        <v>67</v>
      </c>
      <c r="F28" s="63" t="s">
        <v>67</v>
      </c>
      <c r="G28" s="63" t="s">
        <v>67</v>
      </c>
      <c r="H28" s="63" t="s">
        <v>67</v>
      </c>
      <c r="I28" s="63" t="s">
        <v>67</v>
      </c>
      <c r="J28" s="63" t="s">
        <v>67</v>
      </c>
      <c r="K28" s="63" t="s">
        <v>67</v>
      </c>
      <c r="L28" s="63" t="s">
        <v>67</v>
      </c>
      <c r="M28" s="63" t="s">
        <v>67</v>
      </c>
      <c r="N28" s="63" t="s">
        <v>67</v>
      </c>
      <c r="O28" s="63" t="s">
        <v>67</v>
      </c>
      <c r="P28" s="63" t="s">
        <v>67</v>
      </c>
      <c r="Q28" s="63" t="s">
        <v>67</v>
      </c>
      <c r="R28" s="63" t="s">
        <v>67</v>
      </c>
      <c r="S28" s="63" t="s">
        <v>67</v>
      </c>
      <c r="T28" s="63" t="s">
        <v>67</v>
      </c>
      <c r="U28" s="63" t="s">
        <v>67</v>
      </c>
      <c r="V28" s="63" t="s">
        <v>67</v>
      </c>
      <c r="W28" s="63" t="s">
        <v>67</v>
      </c>
      <c r="X28" s="63" t="s">
        <v>67</v>
      </c>
      <c r="Y28" s="63" t="s">
        <v>67</v>
      </c>
      <c r="Z28" s="63" t="s">
        <v>67</v>
      </c>
      <c r="AA28" s="63" t="s">
        <v>67</v>
      </c>
      <c r="AB28" s="63" t="s">
        <v>67</v>
      </c>
      <c r="AC28" s="63" t="s">
        <v>67</v>
      </c>
      <c r="AD28" s="133">
        <v>0</v>
      </c>
      <c r="AE28" s="133">
        <v>1</v>
      </c>
      <c r="AF28" s="63">
        <v>0</v>
      </c>
      <c r="AG28" s="63">
        <v>1</v>
      </c>
      <c r="AH28" s="63">
        <v>1</v>
      </c>
      <c r="AI28" s="63">
        <v>0</v>
      </c>
      <c r="AJ28" s="53" t="s">
        <v>32</v>
      </c>
      <c r="AL28" t="str">
        <f t="shared" si="0"/>
        <v xml:space="preserve">    (U1)ALERT_REQ_UNKNOWN</v>
      </c>
      <c r="AR28" s="65" t="str">
        <f t="shared" si="3"/>
        <v xml:space="preserve">    (U4)0x00000016U,                                                           /* 22 UNKNOWN                                         */</v>
      </c>
      <c r="AS28" s="65" t="str">
        <f t="shared" si="4"/>
        <v xml:space="preserve">    (U4)0x0000003FU,                                                           /* 22 UNKNOWN                                         */</v>
      </c>
      <c r="AT28" s="65" t="str">
        <f t="shared" si="1"/>
        <v xml:space="preserve">    (U1)ALERT_REQ_UNKNOWN,                                                     /* 22 UNKNOWN                                         */</v>
      </c>
    </row>
    <row r="29" spans="2:49">
      <c r="B29" s="138"/>
      <c r="C29" s="49">
        <f t="shared" si="2"/>
        <v>23</v>
      </c>
      <c r="D29" s="63" t="s">
        <v>67</v>
      </c>
      <c r="E29" s="63" t="s">
        <v>67</v>
      </c>
      <c r="F29" s="63" t="s">
        <v>67</v>
      </c>
      <c r="G29" s="63" t="s">
        <v>67</v>
      </c>
      <c r="H29" s="63" t="s">
        <v>67</v>
      </c>
      <c r="I29" s="63" t="s">
        <v>67</v>
      </c>
      <c r="J29" s="63" t="s">
        <v>67</v>
      </c>
      <c r="K29" s="63" t="s">
        <v>67</v>
      </c>
      <c r="L29" s="63" t="s">
        <v>67</v>
      </c>
      <c r="M29" s="63" t="s">
        <v>67</v>
      </c>
      <c r="N29" s="63" t="s">
        <v>67</v>
      </c>
      <c r="O29" s="63" t="s">
        <v>67</v>
      </c>
      <c r="P29" s="63" t="s">
        <v>67</v>
      </c>
      <c r="Q29" s="63" t="s">
        <v>67</v>
      </c>
      <c r="R29" s="63" t="s">
        <v>67</v>
      </c>
      <c r="S29" s="63" t="s">
        <v>67</v>
      </c>
      <c r="T29" s="63" t="s">
        <v>67</v>
      </c>
      <c r="U29" s="63" t="s">
        <v>67</v>
      </c>
      <c r="V29" s="63" t="s">
        <v>67</v>
      </c>
      <c r="W29" s="63" t="s">
        <v>67</v>
      </c>
      <c r="X29" s="63" t="s">
        <v>67</v>
      </c>
      <c r="Y29" s="63" t="s">
        <v>67</v>
      </c>
      <c r="Z29" s="63" t="s">
        <v>67</v>
      </c>
      <c r="AA29" s="63" t="s">
        <v>67</v>
      </c>
      <c r="AB29" s="63" t="s">
        <v>67</v>
      </c>
      <c r="AC29" s="63" t="s">
        <v>67</v>
      </c>
      <c r="AD29" s="133">
        <v>0</v>
      </c>
      <c r="AE29" s="133">
        <v>1</v>
      </c>
      <c r="AF29" s="63">
        <v>0</v>
      </c>
      <c r="AG29" s="63">
        <v>1</v>
      </c>
      <c r="AH29" s="63">
        <v>1</v>
      </c>
      <c r="AI29" s="63">
        <v>1</v>
      </c>
      <c r="AJ29" s="53" t="s">
        <v>32</v>
      </c>
      <c r="AL29" t="str">
        <f t="shared" si="0"/>
        <v xml:space="preserve">    (U1)ALERT_REQ_UNKNOWN</v>
      </c>
      <c r="AR29" s="65" t="str">
        <f t="shared" si="3"/>
        <v xml:space="preserve">    (U4)0x00000017U,                                                           /* 23 UNKNOWN                                         */</v>
      </c>
      <c r="AS29" s="65" t="str">
        <f t="shared" si="4"/>
        <v xml:space="preserve">    (U4)0x0000003FU,                                                           /* 23 UNKNOWN                                         */</v>
      </c>
      <c r="AT29" s="65" t="str">
        <f t="shared" si="1"/>
        <v xml:space="preserve">    (U1)ALERT_REQ_UNKNOWN,                                                     /* 23 UNKNOWN                                         */</v>
      </c>
    </row>
    <row r="30" spans="2:49">
      <c r="B30" s="138"/>
      <c r="C30" s="49">
        <f t="shared" si="2"/>
        <v>24</v>
      </c>
      <c r="D30" s="63" t="s">
        <v>67</v>
      </c>
      <c r="E30" s="63" t="s">
        <v>67</v>
      </c>
      <c r="F30" s="63" t="s">
        <v>67</v>
      </c>
      <c r="G30" s="63" t="s">
        <v>67</v>
      </c>
      <c r="H30" s="63" t="s">
        <v>67</v>
      </c>
      <c r="I30" s="63" t="s">
        <v>67</v>
      </c>
      <c r="J30" s="63" t="s">
        <v>67</v>
      </c>
      <c r="K30" s="63" t="s">
        <v>67</v>
      </c>
      <c r="L30" s="63" t="s">
        <v>67</v>
      </c>
      <c r="M30" s="63" t="s">
        <v>67</v>
      </c>
      <c r="N30" s="63" t="s">
        <v>67</v>
      </c>
      <c r="O30" s="63" t="s">
        <v>67</v>
      </c>
      <c r="P30" s="63" t="s">
        <v>67</v>
      </c>
      <c r="Q30" s="63" t="s">
        <v>67</v>
      </c>
      <c r="R30" s="63" t="s">
        <v>67</v>
      </c>
      <c r="S30" s="63" t="s">
        <v>67</v>
      </c>
      <c r="T30" s="63" t="s">
        <v>67</v>
      </c>
      <c r="U30" s="63" t="s">
        <v>67</v>
      </c>
      <c r="V30" s="63" t="s">
        <v>67</v>
      </c>
      <c r="W30" s="63" t="s">
        <v>67</v>
      </c>
      <c r="X30" s="63" t="s">
        <v>67</v>
      </c>
      <c r="Y30" s="63" t="s">
        <v>67</v>
      </c>
      <c r="Z30" s="63" t="s">
        <v>67</v>
      </c>
      <c r="AA30" s="63" t="s">
        <v>67</v>
      </c>
      <c r="AB30" s="63" t="s">
        <v>67</v>
      </c>
      <c r="AC30" s="63" t="s">
        <v>67</v>
      </c>
      <c r="AD30" s="133">
        <v>0</v>
      </c>
      <c r="AE30" s="133">
        <v>1</v>
      </c>
      <c r="AF30" s="63">
        <v>1</v>
      </c>
      <c r="AG30" s="63">
        <v>0</v>
      </c>
      <c r="AH30" s="63">
        <v>0</v>
      </c>
      <c r="AI30" s="63">
        <v>0</v>
      </c>
      <c r="AJ30" s="53" t="s">
        <v>32</v>
      </c>
      <c r="AL30" t="str">
        <f t="shared" si="0"/>
        <v xml:space="preserve">    (U1)ALERT_REQ_UNKNOWN</v>
      </c>
      <c r="AR30" s="65" t="str">
        <f t="shared" si="3"/>
        <v xml:space="preserve">    (U4)0x00000018U,                                                           /* 24 UNKNOWN                                         */</v>
      </c>
      <c r="AS30" s="65" t="str">
        <f t="shared" si="4"/>
        <v xml:space="preserve">    (U4)0x0000003FU,                                                           /* 24 UNKNOWN                                         */</v>
      </c>
      <c r="AT30" s="65" t="str">
        <f t="shared" si="1"/>
        <v xml:space="preserve">    (U1)ALERT_REQ_UNKNOWN,                                                     /* 24 UNKNOWN                                         */</v>
      </c>
    </row>
    <row r="31" spans="2:49">
      <c r="B31" s="138"/>
      <c r="C31" s="49">
        <f t="shared" si="2"/>
        <v>25</v>
      </c>
      <c r="D31" s="63" t="s">
        <v>67</v>
      </c>
      <c r="E31" s="63" t="s">
        <v>67</v>
      </c>
      <c r="F31" s="63" t="s">
        <v>67</v>
      </c>
      <c r="G31" s="63" t="s">
        <v>67</v>
      </c>
      <c r="H31" s="63" t="s">
        <v>67</v>
      </c>
      <c r="I31" s="63" t="s">
        <v>67</v>
      </c>
      <c r="J31" s="63" t="s">
        <v>67</v>
      </c>
      <c r="K31" s="63" t="s">
        <v>67</v>
      </c>
      <c r="L31" s="63" t="s">
        <v>67</v>
      </c>
      <c r="M31" s="63" t="s">
        <v>67</v>
      </c>
      <c r="N31" s="63" t="s">
        <v>67</v>
      </c>
      <c r="O31" s="63" t="s">
        <v>67</v>
      </c>
      <c r="P31" s="63" t="s">
        <v>67</v>
      </c>
      <c r="Q31" s="63" t="s">
        <v>67</v>
      </c>
      <c r="R31" s="63" t="s">
        <v>67</v>
      </c>
      <c r="S31" s="63" t="s">
        <v>67</v>
      </c>
      <c r="T31" s="63" t="s">
        <v>67</v>
      </c>
      <c r="U31" s="63" t="s">
        <v>67</v>
      </c>
      <c r="V31" s="63" t="s">
        <v>67</v>
      </c>
      <c r="W31" s="63" t="s">
        <v>67</v>
      </c>
      <c r="X31" s="63" t="s">
        <v>67</v>
      </c>
      <c r="Y31" s="63" t="s">
        <v>67</v>
      </c>
      <c r="Z31" s="63" t="s">
        <v>67</v>
      </c>
      <c r="AA31" s="63" t="s">
        <v>67</v>
      </c>
      <c r="AB31" s="63" t="s">
        <v>67</v>
      </c>
      <c r="AC31" s="63" t="s">
        <v>67</v>
      </c>
      <c r="AD31" s="133">
        <v>0</v>
      </c>
      <c r="AE31" s="133">
        <v>1</v>
      </c>
      <c r="AF31" s="63">
        <v>1</v>
      </c>
      <c r="AG31" s="63">
        <v>0</v>
      </c>
      <c r="AH31" s="63">
        <v>0</v>
      </c>
      <c r="AI31" s="63">
        <v>1</v>
      </c>
      <c r="AJ31" s="53" t="s">
        <v>32</v>
      </c>
      <c r="AL31" t="str">
        <f t="shared" si="0"/>
        <v xml:space="preserve">    (U1)ALERT_REQ_UNKNOWN</v>
      </c>
      <c r="AR31" s="65" t="str">
        <f t="shared" si="3"/>
        <v xml:space="preserve">    (U4)0x00000019U,                                                           /* 25 UNKNOWN                                         */</v>
      </c>
      <c r="AS31" s="65" t="str">
        <f t="shared" si="4"/>
        <v xml:space="preserve">    (U4)0x0000003FU,                                                           /* 25 UNKNOWN                                         */</v>
      </c>
      <c r="AT31" s="65" t="str">
        <f t="shared" si="1"/>
        <v xml:space="preserve">    (U1)ALERT_REQ_UNKNOWN,                                                     /* 25 UNKNOWN                                         */</v>
      </c>
    </row>
    <row r="32" spans="2:49">
      <c r="B32" s="138"/>
      <c r="C32" s="49">
        <f t="shared" si="2"/>
        <v>26</v>
      </c>
      <c r="D32" s="63" t="s">
        <v>67</v>
      </c>
      <c r="E32" s="63" t="s">
        <v>67</v>
      </c>
      <c r="F32" s="63" t="s">
        <v>67</v>
      </c>
      <c r="G32" s="63" t="s">
        <v>67</v>
      </c>
      <c r="H32" s="63" t="s">
        <v>67</v>
      </c>
      <c r="I32" s="63" t="s">
        <v>67</v>
      </c>
      <c r="J32" s="63" t="s">
        <v>67</v>
      </c>
      <c r="K32" s="63" t="s">
        <v>67</v>
      </c>
      <c r="L32" s="63" t="s">
        <v>67</v>
      </c>
      <c r="M32" s="63" t="s">
        <v>67</v>
      </c>
      <c r="N32" s="63" t="s">
        <v>67</v>
      </c>
      <c r="O32" s="63" t="s">
        <v>67</v>
      </c>
      <c r="P32" s="63" t="s">
        <v>67</v>
      </c>
      <c r="Q32" s="63" t="s">
        <v>67</v>
      </c>
      <c r="R32" s="63" t="s">
        <v>67</v>
      </c>
      <c r="S32" s="63" t="s">
        <v>67</v>
      </c>
      <c r="T32" s="63" t="s">
        <v>67</v>
      </c>
      <c r="U32" s="63" t="s">
        <v>67</v>
      </c>
      <c r="V32" s="63" t="s">
        <v>67</v>
      </c>
      <c r="W32" s="63" t="s">
        <v>67</v>
      </c>
      <c r="X32" s="63" t="s">
        <v>67</v>
      </c>
      <c r="Y32" s="63" t="s">
        <v>67</v>
      </c>
      <c r="Z32" s="63" t="s">
        <v>67</v>
      </c>
      <c r="AA32" s="63" t="s">
        <v>67</v>
      </c>
      <c r="AB32" s="63" t="s">
        <v>67</v>
      </c>
      <c r="AC32" s="63" t="s">
        <v>67</v>
      </c>
      <c r="AD32" s="133">
        <v>0</v>
      </c>
      <c r="AE32" s="133">
        <v>1</v>
      </c>
      <c r="AF32" s="63">
        <v>1</v>
      </c>
      <c r="AG32" s="63">
        <v>0</v>
      </c>
      <c r="AH32" s="63">
        <v>1</v>
      </c>
      <c r="AI32" s="63">
        <v>0</v>
      </c>
      <c r="AJ32" s="53" t="s">
        <v>32</v>
      </c>
      <c r="AL32" t="str">
        <f t="shared" si="0"/>
        <v xml:space="preserve">    (U1)ALERT_REQ_UNKNOWN</v>
      </c>
      <c r="AR32" s="65" t="str">
        <f t="shared" si="3"/>
        <v xml:space="preserve">    (U4)0x0000001AU,                                                           /* 26 UNKNOWN                                         */</v>
      </c>
      <c r="AS32" s="65" t="str">
        <f t="shared" si="4"/>
        <v xml:space="preserve">    (U4)0x0000003FU,                                                           /* 26 UNKNOWN                                         */</v>
      </c>
      <c r="AT32" s="65" t="str">
        <f t="shared" si="1"/>
        <v xml:space="preserve">    (U1)ALERT_REQ_UNKNOWN,                                                     /* 26 UNKNOWN                                         */</v>
      </c>
    </row>
    <row r="33" spans="2:46">
      <c r="B33" s="138"/>
      <c r="C33" s="49">
        <f t="shared" si="2"/>
        <v>27</v>
      </c>
      <c r="D33" s="63" t="s">
        <v>67</v>
      </c>
      <c r="E33" s="63" t="s">
        <v>67</v>
      </c>
      <c r="F33" s="63" t="s">
        <v>67</v>
      </c>
      <c r="G33" s="63" t="s">
        <v>67</v>
      </c>
      <c r="H33" s="63" t="s">
        <v>67</v>
      </c>
      <c r="I33" s="63" t="s">
        <v>67</v>
      </c>
      <c r="J33" s="63" t="s">
        <v>67</v>
      </c>
      <c r="K33" s="63" t="s">
        <v>67</v>
      </c>
      <c r="L33" s="63" t="s">
        <v>67</v>
      </c>
      <c r="M33" s="63" t="s">
        <v>67</v>
      </c>
      <c r="N33" s="63" t="s">
        <v>67</v>
      </c>
      <c r="O33" s="63" t="s">
        <v>67</v>
      </c>
      <c r="P33" s="63" t="s">
        <v>67</v>
      </c>
      <c r="Q33" s="63" t="s">
        <v>67</v>
      </c>
      <c r="R33" s="63" t="s">
        <v>67</v>
      </c>
      <c r="S33" s="63" t="s">
        <v>67</v>
      </c>
      <c r="T33" s="63" t="s">
        <v>67</v>
      </c>
      <c r="U33" s="63" t="s">
        <v>67</v>
      </c>
      <c r="V33" s="63" t="s">
        <v>67</v>
      </c>
      <c r="W33" s="63" t="s">
        <v>67</v>
      </c>
      <c r="X33" s="63" t="s">
        <v>67</v>
      </c>
      <c r="Y33" s="63" t="s">
        <v>67</v>
      </c>
      <c r="Z33" s="63" t="s">
        <v>67</v>
      </c>
      <c r="AA33" s="63" t="s">
        <v>67</v>
      </c>
      <c r="AB33" s="63" t="s">
        <v>67</v>
      </c>
      <c r="AC33" s="63" t="s">
        <v>67</v>
      </c>
      <c r="AD33" s="133">
        <v>0</v>
      </c>
      <c r="AE33" s="133">
        <v>1</v>
      </c>
      <c r="AF33" s="63">
        <v>1</v>
      </c>
      <c r="AG33" s="63">
        <v>0</v>
      </c>
      <c r="AH33" s="63">
        <v>1</v>
      </c>
      <c r="AI33" s="63">
        <v>1</v>
      </c>
      <c r="AJ33" s="53" t="s">
        <v>32</v>
      </c>
      <c r="AL33" t="str">
        <f t="shared" si="0"/>
        <v xml:space="preserve">    (U1)ALERT_REQ_UNKNOWN</v>
      </c>
      <c r="AR33" s="65" t="str">
        <f t="shared" si="3"/>
        <v xml:space="preserve">    (U4)0x0000001BU,                                                           /* 27 UNKNOWN                                         */</v>
      </c>
      <c r="AS33" s="65" t="str">
        <f t="shared" si="4"/>
        <v xml:space="preserve">    (U4)0x0000003FU,                                                           /* 27 UNKNOWN                                         */</v>
      </c>
      <c r="AT33" s="65" t="str">
        <f t="shared" si="1"/>
        <v xml:space="preserve">    (U1)ALERT_REQ_UNKNOWN,                                                     /* 27 UNKNOWN                                         */</v>
      </c>
    </row>
    <row r="34" spans="2:46">
      <c r="B34" s="138"/>
      <c r="C34" s="49">
        <f t="shared" si="2"/>
        <v>28</v>
      </c>
      <c r="D34" s="63" t="s">
        <v>67</v>
      </c>
      <c r="E34" s="63" t="s">
        <v>67</v>
      </c>
      <c r="F34" s="63" t="s">
        <v>67</v>
      </c>
      <c r="G34" s="63" t="s">
        <v>67</v>
      </c>
      <c r="H34" s="63" t="s">
        <v>67</v>
      </c>
      <c r="I34" s="63" t="s">
        <v>67</v>
      </c>
      <c r="J34" s="63" t="s">
        <v>67</v>
      </c>
      <c r="K34" s="63" t="s">
        <v>67</v>
      </c>
      <c r="L34" s="63" t="s">
        <v>67</v>
      </c>
      <c r="M34" s="63" t="s">
        <v>67</v>
      </c>
      <c r="N34" s="63" t="s">
        <v>67</v>
      </c>
      <c r="O34" s="63" t="s">
        <v>67</v>
      </c>
      <c r="P34" s="63" t="s">
        <v>67</v>
      </c>
      <c r="Q34" s="63" t="s">
        <v>67</v>
      </c>
      <c r="R34" s="63" t="s">
        <v>67</v>
      </c>
      <c r="S34" s="63" t="s">
        <v>67</v>
      </c>
      <c r="T34" s="63" t="s">
        <v>67</v>
      </c>
      <c r="U34" s="63" t="s">
        <v>67</v>
      </c>
      <c r="V34" s="63" t="s">
        <v>67</v>
      </c>
      <c r="W34" s="63" t="s">
        <v>67</v>
      </c>
      <c r="X34" s="63" t="s">
        <v>67</v>
      </c>
      <c r="Y34" s="63" t="s">
        <v>67</v>
      </c>
      <c r="Z34" s="63" t="s">
        <v>67</v>
      </c>
      <c r="AA34" s="63" t="s">
        <v>67</v>
      </c>
      <c r="AB34" s="63" t="s">
        <v>67</v>
      </c>
      <c r="AC34" s="63" t="s">
        <v>67</v>
      </c>
      <c r="AD34" s="133">
        <v>0</v>
      </c>
      <c r="AE34" s="133">
        <v>1</v>
      </c>
      <c r="AF34" s="63">
        <v>1</v>
      </c>
      <c r="AG34" s="63">
        <v>1</v>
      </c>
      <c r="AH34" s="63">
        <v>0</v>
      </c>
      <c r="AI34" s="63">
        <v>0</v>
      </c>
      <c r="AJ34" s="53" t="s">
        <v>32</v>
      </c>
      <c r="AL34" t="str">
        <f t="shared" si="0"/>
        <v xml:space="preserve">    (U1)ALERT_REQ_UNKNOWN</v>
      </c>
      <c r="AR34" s="65" t="str">
        <f t="shared" si="3"/>
        <v xml:space="preserve">    (U4)0x0000001CU,                                                           /* 28 UNKNOWN                                         */</v>
      </c>
      <c r="AS34" s="65" t="str">
        <f t="shared" si="4"/>
        <v xml:space="preserve">    (U4)0x0000003FU,                                                           /* 28 UNKNOWN                                         */</v>
      </c>
      <c r="AT34" s="65" t="str">
        <f t="shared" si="1"/>
        <v xml:space="preserve">    (U1)ALERT_REQ_UNKNOWN,                                                     /* 28 UNKNOWN                                         */</v>
      </c>
    </row>
    <row r="35" spans="2:46">
      <c r="B35" s="138"/>
      <c r="C35" s="49">
        <f t="shared" si="2"/>
        <v>29</v>
      </c>
      <c r="D35" s="63" t="s">
        <v>67</v>
      </c>
      <c r="E35" s="63" t="s">
        <v>67</v>
      </c>
      <c r="F35" s="63" t="s">
        <v>67</v>
      </c>
      <c r="G35" s="63" t="s">
        <v>67</v>
      </c>
      <c r="H35" s="63" t="s">
        <v>67</v>
      </c>
      <c r="I35" s="63" t="s">
        <v>67</v>
      </c>
      <c r="J35" s="63" t="s">
        <v>67</v>
      </c>
      <c r="K35" s="63" t="s">
        <v>67</v>
      </c>
      <c r="L35" s="63" t="s">
        <v>67</v>
      </c>
      <c r="M35" s="63" t="s">
        <v>67</v>
      </c>
      <c r="N35" s="63" t="s">
        <v>67</v>
      </c>
      <c r="O35" s="63" t="s">
        <v>67</v>
      </c>
      <c r="P35" s="63" t="s">
        <v>67</v>
      </c>
      <c r="Q35" s="63" t="s">
        <v>67</v>
      </c>
      <c r="R35" s="63" t="s">
        <v>67</v>
      </c>
      <c r="S35" s="63" t="s">
        <v>67</v>
      </c>
      <c r="T35" s="63" t="s">
        <v>67</v>
      </c>
      <c r="U35" s="63" t="s">
        <v>67</v>
      </c>
      <c r="V35" s="63" t="s">
        <v>67</v>
      </c>
      <c r="W35" s="63" t="s">
        <v>67</v>
      </c>
      <c r="X35" s="63" t="s">
        <v>67</v>
      </c>
      <c r="Y35" s="63" t="s">
        <v>67</v>
      </c>
      <c r="Z35" s="63" t="s">
        <v>67</v>
      </c>
      <c r="AA35" s="63" t="s">
        <v>67</v>
      </c>
      <c r="AB35" s="63" t="s">
        <v>67</v>
      </c>
      <c r="AC35" s="63" t="s">
        <v>67</v>
      </c>
      <c r="AD35" s="133">
        <v>0</v>
      </c>
      <c r="AE35" s="133">
        <v>1</v>
      </c>
      <c r="AF35" s="63">
        <v>1</v>
      </c>
      <c r="AG35" s="63">
        <v>1</v>
      </c>
      <c r="AH35" s="63">
        <v>0</v>
      </c>
      <c r="AI35" s="63">
        <v>1</v>
      </c>
      <c r="AJ35" s="53" t="s">
        <v>32</v>
      </c>
      <c r="AL35" t="str">
        <f t="shared" si="0"/>
        <v xml:space="preserve">    (U1)ALERT_REQ_UNKNOWN</v>
      </c>
      <c r="AR35" s="65" t="str">
        <f t="shared" si="3"/>
        <v xml:space="preserve">    (U4)0x0000001DU,                                                           /* 29 UNKNOWN                                         */</v>
      </c>
      <c r="AS35" s="65" t="str">
        <f t="shared" si="4"/>
        <v xml:space="preserve">    (U4)0x0000003FU,                                                           /* 29 UNKNOWN                                         */</v>
      </c>
      <c r="AT35" s="65" t="str">
        <f t="shared" si="1"/>
        <v xml:space="preserve">    (U1)ALERT_REQ_UNKNOWN,                                                     /* 29 UNKNOWN                                         */</v>
      </c>
    </row>
    <row r="36" spans="2:46">
      <c r="B36" s="138"/>
      <c r="C36" s="49">
        <f t="shared" si="2"/>
        <v>30</v>
      </c>
      <c r="D36" s="63" t="s">
        <v>67</v>
      </c>
      <c r="E36" s="63" t="s">
        <v>67</v>
      </c>
      <c r="F36" s="63" t="s">
        <v>67</v>
      </c>
      <c r="G36" s="63" t="s">
        <v>67</v>
      </c>
      <c r="H36" s="63" t="s">
        <v>67</v>
      </c>
      <c r="I36" s="63" t="s">
        <v>67</v>
      </c>
      <c r="J36" s="63" t="s">
        <v>67</v>
      </c>
      <c r="K36" s="63" t="s">
        <v>67</v>
      </c>
      <c r="L36" s="63" t="s">
        <v>67</v>
      </c>
      <c r="M36" s="63" t="s">
        <v>67</v>
      </c>
      <c r="N36" s="63" t="s">
        <v>67</v>
      </c>
      <c r="O36" s="63" t="s">
        <v>67</v>
      </c>
      <c r="P36" s="63" t="s">
        <v>67</v>
      </c>
      <c r="Q36" s="63" t="s">
        <v>67</v>
      </c>
      <c r="R36" s="63" t="s">
        <v>67</v>
      </c>
      <c r="S36" s="63" t="s">
        <v>67</v>
      </c>
      <c r="T36" s="63" t="s">
        <v>67</v>
      </c>
      <c r="U36" s="63" t="s">
        <v>67</v>
      </c>
      <c r="V36" s="63" t="s">
        <v>67</v>
      </c>
      <c r="W36" s="63" t="s">
        <v>67</v>
      </c>
      <c r="X36" s="63" t="s">
        <v>67</v>
      </c>
      <c r="Y36" s="63" t="s">
        <v>67</v>
      </c>
      <c r="Z36" s="63" t="s">
        <v>67</v>
      </c>
      <c r="AA36" s="63" t="s">
        <v>67</v>
      </c>
      <c r="AB36" s="63" t="s">
        <v>67</v>
      </c>
      <c r="AC36" s="63" t="s">
        <v>67</v>
      </c>
      <c r="AD36" s="133">
        <v>0</v>
      </c>
      <c r="AE36" s="133">
        <v>1</v>
      </c>
      <c r="AF36" s="63">
        <v>1</v>
      </c>
      <c r="AG36" s="63">
        <v>1</v>
      </c>
      <c r="AH36" s="63">
        <v>1</v>
      </c>
      <c r="AI36" s="63">
        <v>0</v>
      </c>
      <c r="AJ36" s="53" t="s">
        <v>32</v>
      </c>
      <c r="AL36" t="str">
        <f t="shared" si="0"/>
        <v xml:space="preserve">    (U1)ALERT_REQ_UNKNOWN</v>
      </c>
      <c r="AR36" s="65" t="str">
        <f t="shared" si="3"/>
        <v xml:space="preserve">    (U4)0x0000001EU,                                                           /* 30 UNKNOWN                                         */</v>
      </c>
      <c r="AS36" s="65" t="str">
        <f t="shared" si="4"/>
        <v xml:space="preserve">    (U4)0x0000003FU,                                                           /* 30 UNKNOWN                                         */</v>
      </c>
      <c r="AT36" s="65" t="str">
        <f t="shared" si="1"/>
        <v xml:space="preserve">    (U1)ALERT_REQ_UNKNOWN,                                                     /* 30 UNKNOWN                                         */</v>
      </c>
    </row>
    <row r="37" spans="2:46">
      <c r="B37" s="138"/>
      <c r="C37" s="49">
        <f t="shared" si="2"/>
        <v>31</v>
      </c>
      <c r="D37" s="63" t="s">
        <v>67</v>
      </c>
      <c r="E37" s="63" t="s">
        <v>67</v>
      </c>
      <c r="F37" s="63" t="s">
        <v>67</v>
      </c>
      <c r="G37" s="63" t="s">
        <v>67</v>
      </c>
      <c r="H37" s="63" t="s">
        <v>67</v>
      </c>
      <c r="I37" s="63" t="s">
        <v>67</v>
      </c>
      <c r="J37" s="63" t="s">
        <v>67</v>
      </c>
      <c r="K37" s="63" t="s">
        <v>67</v>
      </c>
      <c r="L37" s="63" t="s">
        <v>67</v>
      </c>
      <c r="M37" s="63" t="s">
        <v>67</v>
      </c>
      <c r="N37" s="63" t="s">
        <v>67</v>
      </c>
      <c r="O37" s="63" t="s">
        <v>67</v>
      </c>
      <c r="P37" s="63" t="s">
        <v>67</v>
      </c>
      <c r="Q37" s="63" t="s">
        <v>67</v>
      </c>
      <c r="R37" s="63" t="s">
        <v>67</v>
      </c>
      <c r="S37" s="63" t="s">
        <v>67</v>
      </c>
      <c r="T37" s="63" t="s">
        <v>67</v>
      </c>
      <c r="U37" s="63" t="s">
        <v>67</v>
      </c>
      <c r="V37" s="63" t="s">
        <v>67</v>
      </c>
      <c r="W37" s="63" t="s">
        <v>67</v>
      </c>
      <c r="X37" s="63" t="s">
        <v>67</v>
      </c>
      <c r="Y37" s="63" t="s">
        <v>67</v>
      </c>
      <c r="Z37" s="63" t="s">
        <v>67</v>
      </c>
      <c r="AA37" s="63" t="s">
        <v>67</v>
      </c>
      <c r="AB37" s="63" t="s">
        <v>67</v>
      </c>
      <c r="AC37" s="63" t="s">
        <v>67</v>
      </c>
      <c r="AD37" s="133">
        <v>0</v>
      </c>
      <c r="AE37" s="133">
        <v>1</v>
      </c>
      <c r="AF37" s="63">
        <v>1</v>
      </c>
      <c r="AG37" s="63">
        <v>1</v>
      </c>
      <c r="AH37" s="63">
        <v>1</v>
      </c>
      <c r="AI37" s="63">
        <v>1</v>
      </c>
      <c r="AJ37" s="53" t="s">
        <v>32</v>
      </c>
      <c r="AL37" t="str">
        <f t="shared" si="0"/>
        <v xml:space="preserve">    (U1)ALERT_REQ_UNKNOWN</v>
      </c>
      <c r="AR37" s="65" t="str">
        <f t="shared" si="3"/>
        <v xml:space="preserve">    (U4)0x0000001FU,                                                           /* 31 UNKNOWN                                         */</v>
      </c>
      <c r="AS37" s="65" t="str">
        <f t="shared" si="4"/>
        <v xml:space="preserve">    (U4)0x0000003FU,                                                           /* 31 UNKNOWN                                         */</v>
      </c>
      <c r="AT37" s="65" t="str">
        <f t="shared" si="1"/>
        <v xml:space="preserve">    (U1)ALERT_REQ_UNKNOWN,                                                     /* 31 UNKNOWN                                         */</v>
      </c>
    </row>
    <row r="38" spans="2:46">
      <c r="B38" s="138"/>
      <c r="C38" s="49">
        <f t="shared" si="2"/>
        <v>32</v>
      </c>
      <c r="D38" s="63" t="s">
        <v>67</v>
      </c>
      <c r="E38" s="63" t="s">
        <v>67</v>
      </c>
      <c r="F38" s="63" t="s">
        <v>67</v>
      </c>
      <c r="G38" s="63" t="s">
        <v>67</v>
      </c>
      <c r="H38" s="63" t="s">
        <v>67</v>
      </c>
      <c r="I38" s="63" t="s">
        <v>67</v>
      </c>
      <c r="J38" s="63" t="s">
        <v>67</v>
      </c>
      <c r="K38" s="63" t="s">
        <v>67</v>
      </c>
      <c r="L38" s="63" t="s">
        <v>67</v>
      </c>
      <c r="M38" s="63" t="s">
        <v>67</v>
      </c>
      <c r="N38" s="63" t="s">
        <v>67</v>
      </c>
      <c r="O38" s="63" t="s">
        <v>67</v>
      </c>
      <c r="P38" s="63" t="s">
        <v>67</v>
      </c>
      <c r="Q38" s="63" t="s">
        <v>67</v>
      </c>
      <c r="R38" s="63" t="s">
        <v>67</v>
      </c>
      <c r="S38" s="63" t="s">
        <v>67</v>
      </c>
      <c r="T38" s="63" t="s">
        <v>67</v>
      </c>
      <c r="U38" s="63" t="s">
        <v>67</v>
      </c>
      <c r="V38" s="63" t="s">
        <v>67</v>
      </c>
      <c r="W38" s="63" t="s">
        <v>67</v>
      </c>
      <c r="X38" s="63" t="s">
        <v>67</v>
      </c>
      <c r="Y38" s="63" t="s">
        <v>67</v>
      </c>
      <c r="Z38" s="63" t="s">
        <v>67</v>
      </c>
      <c r="AA38" s="63" t="s">
        <v>67</v>
      </c>
      <c r="AB38" s="63" t="s">
        <v>67</v>
      </c>
      <c r="AC38" s="63" t="s">
        <v>67</v>
      </c>
      <c r="AD38" s="133">
        <v>1</v>
      </c>
      <c r="AE38" s="133">
        <v>0</v>
      </c>
      <c r="AF38" s="136">
        <v>0</v>
      </c>
      <c r="AG38" s="136">
        <v>0</v>
      </c>
      <c r="AH38" s="136">
        <v>0</v>
      </c>
      <c r="AI38" s="136">
        <v>0</v>
      </c>
      <c r="AJ38" s="53" t="s">
        <v>32</v>
      </c>
      <c r="AL38" t="str">
        <f t="shared" si="0"/>
        <v xml:space="preserve">    (U1)ALERT_REQ_UNKNOWN</v>
      </c>
      <c r="AR38" s="65" t="str">
        <f t="shared" si="3"/>
        <v xml:space="preserve">    (U4)0x00000020U,                                                           /* 32 UNKNOWN                                         */</v>
      </c>
      <c r="AS38" s="65" t="str">
        <f t="shared" si="4"/>
        <v xml:space="preserve">    (U4)0x0000003FU,                                                           /* 32 UNKNOWN                                         */</v>
      </c>
      <c r="AT38" s="65" t="str">
        <f t="shared" si="1"/>
        <v xml:space="preserve">    (U1)ALERT_REQ_UNKNOWN,                                                     /* 32 UNKNOWN                                         */</v>
      </c>
    </row>
    <row r="39" spans="2:46">
      <c r="B39" s="138"/>
      <c r="C39" s="49">
        <f t="shared" si="2"/>
        <v>33</v>
      </c>
      <c r="D39" s="63" t="s">
        <v>67</v>
      </c>
      <c r="E39" s="63" t="s">
        <v>67</v>
      </c>
      <c r="F39" s="63" t="s">
        <v>67</v>
      </c>
      <c r="G39" s="63" t="s">
        <v>67</v>
      </c>
      <c r="H39" s="63" t="s">
        <v>67</v>
      </c>
      <c r="I39" s="63" t="s">
        <v>67</v>
      </c>
      <c r="J39" s="63" t="s">
        <v>67</v>
      </c>
      <c r="K39" s="63" t="s">
        <v>67</v>
      </c>
      <c r="L39" s="63" t="s">
        <v>67</v>
      </c>
      <c r="M39" s="63" t="s">
        <v>67</v>
      </c>
      <c r="N39" s="63" t="s">
        <v>67</v>
      </c>
      <c r="O39" s="63" t="s">
        <v>67</v>
      </c>
      <c r="P39" s="63" t="s">
        <v>67</v>
      </c>
      <c r="Q39" s="63" t="s">
        <v>67</v>
      </c>
      <c r="R39" s="63" t="s">
        <v>67</v>
      </c>
      <c r="S39" s="63" t="s">
        <v>67</v>
      </c>
      <c r="T39" s="63" t="s">
        <v>67</v>
      </c>
      <c r="U39" s="63" t="s">
        <v>67</v>
      </c>
      <c r="V39" s="63" t="s">
        <v>67</v>
      </c>
      <c r="W39" s="63" t="s">
        <v>67</v>
      </c>
      <c r="X39" s="63" t="s">
        <v>67</v>
      </c>
      <c r="Y39" s="63" t="s">
        <v>67</v>
      </c>
      <c r="Z39" s="63" t="s">
        <v>67</v>
      </c>
      <c r="AA39" s="63" t="s">
        <v>67</v>
      </c>
      <c r="AB39" s="63" t="s">
        <v>67</v>
      </c>
      <c r="AC39" s="63" t="s">
        <v>67</v>
      </c>
      <c r="AD39" s="133">
        <v>1</v>
      </c>
      <c r="AE39" s="133">
        <v>0</v>
      </c>
      <c r="AF39" s="136">
        <v>0</v>
      </c>
      <c r="AG39" s="136">
        <v>0</v>
      </c>
      <c r="AH39" s="136">
        <v>0</v>
      </c>
      <c r="AI39" s="136">
        <v>1</v>
      </c>
      <c r="AJ39" s="53" t="s">
        <v>32</v>
      </c>
      <c r="AL39" t="str">
        <f t="shared" si="0"/>
        <v xml:space="preserve">    (U1)ALERT_REQ_UNKNOWN</v>
      </c>
      <c r="AR39" s="65" t="str">
        <f t="shared" si="3"/>
        <v xml:space="preserve">    (U4)0x00000021U,                                                           /* 33 UNKNOWN                                         */</v>
      </c>
      <c r="AS39" s="65" t="str">
        <f t="shared" si="4"/>
        <v xml:space="preserve">    (U4)0x0000003FU,                                                           /* 33 UNKNOWN                                         */</v>
      </c>
      <c r="AT39" s="65" t="str">
        <f t="shared" si="1"/>
        <v xml:space="preserve">    (U1)ALERT_REQ_UNKNOWN,                                                     /* 33 UNKNOWN                                         */</v>
      </c>
    </row>
    <row r="40" spans="2:46">
      <c r="B40" s="138"/>
      <c r="C40" s="49">
        <f t="shared" si="2"/>
        <v>34</v>
      </c>
      <c r="D40" s="63" t="s">
        <v>67</v>
      </c>
      <c r="E40" s="63" t="s">
        <v>67</v>
      </c>
      <c r="F40" s="63" t="s">
        <v>67</v>
      </c>
      <c r="G40" s="63" t="s">
        <v>67</v>
      </c>
      <c r="H40" s="63" t="s">
        <v>67</v>
      </c>
      <c r="I40" s="63" t="s">
        <v>67</v>
      </c>
      <c r="J40" s="63" t="s">
        <v>67</v>
      </c>
      <c r="K40" s="63" t="s">
        <v>67</v>
      </c>
      <c r="L40" s="63" t="s">
        <v>67</v>
      </c>
      <c r="M40" s="63" t="s">
        <v>67</v>
      </c>
      <c r="N40" s="63" t="s">
        <v>67</v>
      </c>
      <c r="O40" s="63" t="s">
        <v>67</v>
      </c>
      <c r="P40" s="63" t="s">
        <v>67</v>
      </c>
      <c r="Q40" s="63" t="s">
        <v>67</v>
      </c>
      <c r="R40" s="63" t="s">
        <v>67</v>
      </c>
      <c r="S40" s="63" t="s">
        <v>67</v>
      </c>
      <c r="T40" s="63" t="s">
        <v>67</v>
      </c>
      <c r="U40" s="63" t="s">
        <v>67</v>
      </c>
      <c r="V40" s="63" t="s">
        <v>67</v>
      </c>
      <c r="W40" s="63" t="s">
        <v>67</v>
      </c>
      <c r="X40" s="63" t="s">
        <v>67</v>
      </c>
      <c r="Y40" s="63" t="s">
        <v>67</v>
      </c>
      <c r="Z40" s="63" t="s">
        <v>67</v>
      </c>
      <c r="AA40" s="63" t="s">
        <v>67</v>
      </c>
      <c r="AB40" s="63" t="s">
        <v>67</v>
      </c>
      <c r="AC40" s="63" t="s">
        <v>67</v>
      </c>
      <c r="AD40" s="133">
        <v>1</v>
      </c>
      <c r="AE40" s="133">
        <v>0</v>
      </c>
      <c r="AF40" s="136">
        <v>0</v>
      </c>
      <c r="AG40" s="136">
        <v>0</v>
      </c>
      <c r="AH40" s="136">
        <v>1</v>
      </c>
      <c r="AI40" s="136">
        <v>0</v>
      </c>
      <c r="AJ40" s="53" t="s">
        <v>32</v>
      </c>
      <c r="AL40" t="str">
        <f t="shared" si="0"/>
        <v xml:space="preserve">    (U1)ALERT_REQ_UNKNOWN</v>
      </c>
      <c r="AR40" s="65" t="str">
        <f t="shared" si="3"/>
        <v xml:space="preserve">    (U4)0x00000022U,                                                           /* 34 UNKNOWN                                         */</v>
      </c>
      <c r="AS40" s="65" t="str">
        <f t="shared" si="4"/>
        <v xml:space="preserve">    (U4)0x0000003FU,                                                           /* 34 UNKNOWN                                         */</v>
      </c>
      <c r="AT40" s="65" t="str">
        <f t="shared" si="1"/>
        <v xml:space="preserve">    (U1)ALERT_REQ_UNKNOWN,                                                     /* 34 UNKNOWN                                         */</v>
      </c>
    </row>
    <row r="41" spans="2:46">
      <c r="B41" s="138"/>
      <c r="C41" s="49">
        <f t="shared" si="2"/>
        <v>35</v>
      </c>
      <c r="D41" s="63" t="s">
        <v>67</v>
      </c>
      <c r="E41" s="63" t="s">
        <v>67</v>
      </c>
      <c r="F41" s="63" t="s">
        <v>67</v>
      </c>
      <c r="G41" s="63" t="s">
        <v>67</v>
      </c>
      <c r="H41" s="63" t="s">
        <v>67</v>
      </c>
      <c r="I41" s="63" t="s">
        <v>67</v>
      </c>
      <c r="J41" s="63" t="s">
        <v>67</v>
      </c>
      <c r="K41" s="63" t="s">
        <v>67</v>
      </c>
      <c r="L41" s="63" t="s">
        <v>67</v>
      </c>
      <c r="M41" s="63" t="s">
        <v>67</v>
      </c>
      <c r="N41" s="63" t="s">
        <v>67</v>
      </c>
      <c r="O41" s="63" t="s">
        <v>67</v>
      </c>
      <c r="P41" s="63" t="s">
        <v>67</v>
      </c>
      <c r="Q41" s="63" t="s">
        <v>67</v>
      </c>
      <c r="R41" s="63" t="s">
        <v>67</v>
      </c>
      <c r="S41" s="63" t="s">
        <v>67</v>
      </c>
      <c r="T41" s="63" t="s">
        <v>67</v>
      </c>
      <c r="U41" s="63" t="s">
        <v>67</v>
      </c>
      <c r="V41" s="63" t="s">
        <v>67</v>
      </c>
      <c r="W41" s="63" t="s">
        <v>67</v>
      </c>
      <c r="X41" s="63" t="s">
        <v>67</v>
      </c>
      <c r="Y41" s="63" t="s">
        <v>67</v>
      </c>
      <c r="Z41" s="63" t="s">
        <v>67</v>
      </c>
      <c r="AA41" s="63" t="s">
        <v>67</v>
      </c>
      <c r="AB41" s="63" t="s">
        <v>67</v>
      </c>
      <c r="AC41" s="63" t="s">
        <v>67</v>
      </c>
      <c r="AD41" s="133">
        <v>1</v>
      </c>
      <c r="AE41" s="133">
        <v>0</v>
      </c>
      <c r="AF41" s="63">
        <v>0</v>
      </c>
      <c r="AG41" s="63">
        <v>0</v>
      </c>
      <c r="AH41" s="63">
        <v>1</v>
      </c>
      <c r="AI41" s="63">
        <v>1</v>
      </c>
      <c r="AJ41" s="53" t="s">
        <v>32</v>
      </c>
      <c r="AL41" t="str">
        <f t="shared" si="0"/>
        <v xml:space="preserve">    (U1)ALERT_REQ_UNKNOWN</v>
      </c>
      <c r="AR41" s="65" t="str">
        <f t="shared" si="3"/>
        <v xml:space="preserve">    (U4)0x00000023U,                                                           /* 35 UNKNOWN                                         */</v>
      </c>
      <c r="AS41" s="65" t="str">
        <f t="shared" si="4"/>
        <v xml:space="preserve">    (U4)0x0000003FU,                                                           /* 35 UNKNOWN                                         */</v>
      </c>
      <c r="AT41" s="65" t="str">
        <f t="shared" si="1"/>
        <v xml:space="preserve">    (U1)ALERT_REQ_UNKNOWN,                                                     /* 35 UNKNOWN                                         */</v>
      </c>
    </row>
    <row r="42" spans="2:46">
      <c r="B42" s="138"/>
      <c r="C42" s="49">
        <f t="shared" si="2"/>
        <v>36</v>
      </c>
      <c r="D42" s="63" t="s">
        <v>67</v>
      </c>
      <c r="E42" s="63" t="s">
        <v>67</v>
      </c>
      <c r="F42" s="63" t="s">
        <v>67</v>
      </c>
      <c r="G42" s="63" t="s">
        <v>67</v>
      </c>
      <c r="H42" s="63" t="s">
        <v>67</v>
      </c>
      <c r="I42" s="63" t="s">
        <v>67</v>
      </c>
      <c r="J42" s="63" t="s">
        <v>67</v>
      </c>
      <c r="K42" s="63" t="s">
        <v>67</v>
      </c>
      <c r="L42" s="63" t="s">
        <v>67</v>
      </c>
      <c r="M42" s="63" t="s">
        <v>67</v>
      </c>
      <c r="N42" s="63" t="s">
        <v>67</v>
      </c>
      <c r="O42" s="63" t="s">
        <v>67</v>
      </c>
      <c r="P42" s="63" t="s">
        <v>67</v>
      </c>
      <c r="Q42" s="63" t="s">
        <v>67</v>
      </c>
      <c r="R42" s="63" t="s">
        <v>67</v>
      </c>
      <c r="S42" s="63" t="s">
        <v>67</v>
      </c>
      <c r="T42" s="63" t="s">
        <v>67</v>
      </c>
      <c r="U42" s="63" t="s">
        <v>67</v>
      </c>
      <c r="V42" s="63" t="s">
        <v>67</v>
      </c>
      <c r="W42" s="63" t="s">
        <v>67</v>
      </c>
      <c r="X42" s="63" t="s">
        <v>67</v>
      </c>
      <c r="Y42" s="63" t="s">
        <v>67</v>
      </c>
      <c r="Z42" s="63" t="s">
        <v>67</v>
      </c>
      <c r="AA42" s="63" t="s">
        <v>67</v>
      </c>
      <c r="AB42" s="63" t="s">
        <v>67</v>
      </c>
      <c r="AC42" s="63" t="s">
        <v>67</v>
      </c>
      <c r="AD42" s="133">
        <v>1</v>
      </c>
      <c r="AE42" s="133">
        <v>0</v>
      </c>
      <c r="AF42" s="63">
        <v>0</v>
      </c>
      <c r="AG42" s="63">
        <v>1</v>
      </c>
      <c r="AH42" s="63">
        <v>0</v>
      </c>
      <c r="AI42" s="63">
        <v>0</v>
      </c>
      <c r="AJ42" s="53" t="s">
        <v>32</v>
      </c>
      <c r="AL42" t="str">
        <f t="shared" si="0"/>
        <v xml:space="preserve">    (U1)ALERT_REQ_UNKNOWN</v>
      </c>
      <c r="AR42" s="65" t="str">
        <f t="shared" si="3"/>
        <v xml:space="preserve">    (U4)0x00000024U,                                                           /* 36 UNKNOWN                                         */</v>
      </c>
      <c r="AS42" s="65" t="str">
        <f t="shared" si="4"/>
        <v xml:space="preserve">    (U4)0x0000003FU,                                                           /* 36 UNKNOWN                                         */</v>
      </c>
      <c r="AT42" s="65" t="str">
        <f t="shared" si="1"/>
        <v xml:space="preserve">    (U1)ALERT_REQ_UNKNOWN,                                                     /* 36 UNKNOWN                                         */</v>
      </c>
    </row>
    <row r="43" spans="2:46">
      <c r="B43" s="138"/>
      <c r="C43" s="49">
        <f t="shared" si="2"/>
        <v>37</v>
      </c>
      <c r="D43" s="63" t="s">
        <v>67</v>
      </c>
      <c r="E43" s="63" t="s">
        <v>67</v>
      </c>
      <c r="F43" s="63" t="s">
        <v>67</v>
      </c>
      <c r="G43" s="63" t="s">
        <v>67</v>
      </c>
      <c r="H43" s="63" t="s">
        <v>67</v>
      </c>
      <c r="I43" s="63" t="s">
        <v>67</v>
      </c>
      <c r="J43" s="63" t="s">
        <v>67</v>
      </c>
      <c r="K43" s="63" t="s">
        <v>67</v>
      </c>
      <c r="L43" s="63" t="s">
        <v>67</v>
      </c>
      <c r="M43" s="63" t="s">
        <v>67</v>
      </c>
      <c r="N43" s="63" t="s">
        <v>67</v>
      </c>
      <c r="O43" s="63" t="s">
        <v>67</v>
      </c>
      <c r="P43" s="63" t="s">
        <v>67</v>
      </c>
      <c r="Q43" s="63" t="s">
        <v>67</v>
      </c>
      <c r="R43" s="63" t="s">
        <v>67</v>
      </c>
      <c r="S43" s="63" t="s">
        <v>67</v>
      </c>
      <c r="T43" s="63" t="s">
        <v>67</v>
      </c>
      <c r="U43" s="63" t="s">
        <v>67</v>
      </c>
      <c r="V43" s="63" t="s">
        <v>67</v>
      </c>
      <c r="W43" s="63" t="s">
        <v>67</v>
      </c>
      <c r="X43" s="63" t="s">
        <v>67</v>
      </c>
      <c r="Y43" s="63" t="s">
        <v>67</v>
      </c>
      <c r="Z43" s="63" t="s">
        <v>67</v>
      </c>
      <c r="AA43" s="63" t="s">
        <v>67</v>
      </c>
      <c r="AB43" s="63" t="s">
        <v>67</v>
      </c>
      <c r="AC43" s="63" t="s">
        <v>67</v>
      </c>
      <c r="AD43" s="133">
        <v>1</v>
      </c>
      <c r="AE43" s="133">
        <v>0</v>
      </c>
      <c r="AF43" s="63">
        <v>0</v>
      </c>
      <c r="AG43" s="63">
        <v>1</v>
      </c>
      <c r="AH43" s="63">
        <v>0</v>
      </c>
      <c r="AI43" s="63">
        <v>1</v>
      </c>
      <c r="AJ43" s="53" t="s">
        <v>32</v>
      </c>
      <c r="AL43" t="str">
        <f t="shared" si="0"/>
        <v xml:space="preserve">    (U1)ALERT_REQ_UNKNOWN</v>
      </c>
      <c r="AR43" s="65" t="str">
        <f t="shared" si="3"/>
        <v xml:space="preserve">    (U4)0x00000025U,                                                           /* 37 UNKNOWN                                         */</v>
      </c>
      <c r="AS43" s="65" t="str">
        <f t="shared" si="4"/>
        <v xml:space="preserve">    (U4)0x0000003FU,                                                           /* 37 UNKNOWN                                         */</v>
      </c>
      <c r="AT43" s="65" t="str">
        <f t="shared" si="1"/>
        <v xml:space="preserve">    (U1)ALERT_REQ_UNKNOWN,                                                     /* 37 UNKNOWN                                         */</v>
      </c>
    </row>
    <row r="44" spans="2:46">
      <c r="B44" s="138"/>
      <c r="C44" s="49">
        <f t="shared" si="2"/>
        <v>38</v>
      </c>
      <c r="D44" s="63" t="s">
        <v>67</v>
      </c>
      <c r="E44" s="63" t="s">
        <v>67</v>
      </c>
      <c r="F44" s="63" t="s">
        <v>67</v>
      </c>
      <c r="G44" s="63" t="s">
        <v>67</v>
      </c>
      <c r="H44" s="63" t="s">
        <v>67</v>
      </c>
      <c r="I44" s="63" t="s">
        <v>67</v>
      </c>
      <c r="J44" s="63" t="s">
        <v>67</v>
      </c>
      <c r="K44" s="63" t="s">
        <v>67</v>
      </c>
      <c r="L44" s="63" t="s">
        <v>67</v>
      </c>
      <c r="M44" s="63" t="s">
        <v>67</v>
      </c>
      <c r="N44" s="63" t="s">
        <v>67</v>
      </c>
      <c r="O44" s="63" t="s">
        <v>67</v>
      </c>
      <c r="P44" s="63" t="s">
        <v>67</v>
      </c>
      <c r="Q44" s="63" t="s">
        <v>67</v>
      </c>
      <c r="R44" s="63" t="s">
        <v>67</v>
      </c>
      <c r="S44" s="63" t="s">
        <v>67</v>
      </c>
      <c r="T44" s="63" t="s">
        <v>67</v>
      </c>
      <c r="U44" s="63" t="s">
        <v>67</v>
      </c>
      <c r="V44" s="63" t="s">
        <v>67</v>
      </c>
      <c r="W44" s="63" t="s">
        <v>67</v>
      </c>
      <c r="X44" s="63" t="s">
        <v>67</v>
      </c>
      <c r="Y44" s="63" t="s">
        <v>67</v>
      </c>
      <c r="Z44" s="63" t="s">
        <v>67</v>
      </c>
      <c r="AA44" s="63" t="s">
        <v>67</v>
      </c>
      <c r="AB44" s="63" t="s">
        <v>67</v>
      </c>
      <c r="AC44" s="63" t="s">
        <v>67</v>
      </c>
      <c r="AD44" s="133">
        <v>1</v>
      </c>
      <c r="AE44" s="133">
        <v>0</v>
      </c>
      <c r="AF44" s="63">
        <v>0</v>
      </c>
      <c r="AG44" s="63">
        <v>1</v>
      </c>
      <c r="AH44" s="63">
        <v>1</v>
      </c>
      <c r="AI44" s="63">
        <v>0</v>
      </c>
      <c r="AJ44" s="53" t="s">
        <v>32</v>
      </c>
      <c r="AL44" t="str">
        <f t="shared" si="0"/>
        <v xml:space="preserve">    (U1)ALERT_REQ_UNKNOWN</v>
      </c>
      <c r="AR44" s="65" t="str">
        <f t="shared" si="3"/>
        <v xml:space="preserve">    (U4)0x00000026U,                                                           /* 38 UNKNOWN                                         */</v>
      </c>
      <c r="AS44" s="65" t="str">
        <f t="shared" si="4"/>
        <v xml:space="preserve">    (U4)0x0000003FU,                                                           /* 38 UNKNOWN                                         */</v>
      </c>
      <c r="AT44" s="65" t="str">
        <f t="shared" si="1"/>
        <v xml:space="preserve">    (U1)ALERT_REQ_UNKNOWN,                                                     /* 38 UNKNOWN                                         */</v>
      </c>
    </row>
    <row r="45" spans="2:46">
      <c r="B45" s="138"/>
      <c r="C45" s="49">
        <f t="shared" si="2"/>
        <v>39</v>
      </c>
      <c r="D45" s="63" t="s">
        <v>67</v>
      </c>
      <c r="E45" s="63" t="s">
        <v>67</v>
      </c>
      <c r="F45" s="63" t="s">
        <v>67</v>
      </c>
      <c r="G45" s="63" t="s">
        <v>67</v>
      </c>
      <c r="H45" s="63" t="s">
        <v>67</v>
      </c>
      <c r="I45" s="63" t="s">
        <v>67</v>
      </c>
      <c r="J45" s="63" t="s">
        <v>67</v>
      </c>
      <c r="K45" s="63" t="s">
        <v>67</v>
      </c>
      <c r="L45" s="63" t="s">
        <v>67</v>
      </c>
      <c r="M45" s="63" t="s">
        <v>67</v>
      </c>
      <c r="N45" s="63" t="s">
        <v>67</v>
      </c>
      <c r="O45" s="63" t="s">
        <v>67</v>
      </c>
      <c r="P45" s="63" t="s">
        <v>67</v>
      </c>
      <c r="Q45" s="63" t="s">
        <v>67</v>
      </c>
      <c r="R45" s="63" t="s">
        <v>67</v>
      </c>
      <c r="S45" s="63" t="s">
        <v>67</v>
      </c>
      <c r="T45" s="63" t="s">
        <v>67</v>
      </c>
      <c r="U45" s="63" t="s">
        <v>67</v>
      </c>
      <c r="V45" s="63" t="s">
        <v>67</v>
      </c>
      <c r="W45" s="63" t="s">
        <v>67</v>
      </c>
      <c r="X45" s="63" t="s">
        <v>67</v>
      </c>
      <c r="Y45" s="63" t="s">
        <v>67</v>
      </c>
      <c r="Z45" s="63" t="s">
        <v>67</v>
      </c>
      <c r="AA45" s="63" t="s">
        <v>67</v>
      </c>
      <c r="AB45" s="63" t="s">
        <v>67</v>
      </c>
      <c r="AC45" s="63" t="s">
        <v>67</v>
      </c>
      <c r="AD45" s="133">
        <v>1</v>
      </c>
      <c r="AE45" s="133">
        <v>0</v>
      </c>
      <c r="AF45" s="63">
        <v>0</v>
      </c>
      <c r="AG45" s="63">
        <v>1</v>
      </c>
      <c r="AH45" s="63">
        <v>1</v>
      </c>
      <c r="AI45" s="63">
        <v>1</v>
      </c>
      <c r="AJ45" s="53" t="s">
        <v>32</v>
      </c>
      <c r="AL45" t="str">
        <f t="shared" si="0"/>
        <v xml:space="preserve">    (U1)ALERT_REQ_UNKNOWN</v>
      </c>
      <c r="AR45" s="65" t="str">
        <f t="shared" si="3"/>
        <v xml:space="preserve">    (U4)0x00000027U,                                                           /* 39 UNKNOWN                                         */</v>
      </c>
      <c r="AS45" s="65" t="str">
        <f t="shared" si="4"/>
        <v xml:space="preserve">    (U4)0x0000003FU,                                                           /* 39 UNKNOWN                                         */</v>
      </c>
      <c r="AT45" s="65" t="str">
        <f t="shared" si="1"/>
        <v xml:space="preserve">    (U1)ALERT_REQ_UNKNOWN,                                                     /* 39 UNKNOWN                                         */</v>
      </c>
    </row>
    <row r="46" spans="2:46">
      <c r="B46" s="138"/>
      <c r="C46" s="49">
        <f t="shared" si="2"/>
        <v>40</v>
      </c>
      <c r="D46" s="63" t="s">
        <v>67</v>
      </c>
      <c r="E46" s="63" t="s">
        <v>67</v>
      </c>
      <c r="F46" s="63" t="s">
        <v>67</v>
      </c>
      <c r="G46" s="63" t="s">
        <v>67</v>
      </c>
      <c r="H46" s="63" t="s">
        <v>67</v>
      </c>
      <c r="I46" s="63" t="s">
        <v>67</v>
      </c>
      <c r="J46" s="63" t="s">
        <v>67</v>
      </c>
      <c r="K46" s="63" t="s">
        <v>67</v>
      </c>
      <c r="L46" s="63" t="s">
        <v>67</v>
      </c>
      <c r="M46" s="63" t="s">
        <v>67</v>
      </c>
      <c r="N46" s="63" t="s">
        <v>67</v>
      </c>
      <c r="O46" s="63" t="s">
        <v>67</v>
      </c>
      <c r="P46" s="63" t="s">
        <v>67</v>
      </c>
      <c r="Q46" s="63" t="s">
        <v>67</v>
      </c>
      <c r="R46" s="63" t="s">
        <v>67</v>
      </c>
      <c r="S46" s="63" t="s">
        <v>67</v>
      </c>
      <c r="T46" s="63" t="s">
        <v>67</v>
      </c>
      <c r="U46" s="63" t="s">
        <v>67</v>
      </c>
      <c r="V46" s="63" t="s">
        <v>67</v>
      </c>
      <c r="W46" s="63" t="s">
        <v>67</v>
      </c>
      <c r="X46" s="63" t="s">
        <v>67</v>
      </c>
      <c r="Y46" s="63" t="s">
        <v>67</v>
      </c>
      <c r="Z46" s="63" t="s">
        <v>67</v>
      </c>
      <c r="AA46" s="63" t="s">
        <v>67</v>
      </c>
      <c r="AB46" s="63" t="s">
        <v>67</v>
      </c>
      <c r="AC46" s="63" t="s">
        <v>67</v>
      </c>
      <c r="AD46" s="133">
        <v>1</v>
      </c>
      <c r="AE46" s="133">
        <v>0</v>
      </c>
      <c r="AF46" s="63">
        <v>1</v>
      </c>
      <c r="AG46" s="63">
        <v>0</v>
      </c>
      <c r="AH46" s="63">
        <v>0</v>
      </c>
      <c r="AI46" s="63">
        <v>0</v>
      </c>
      <c r="AJ46" s="53" t="s">
        <v>32</v>
      </c>
      <c r="AL46" t="str">
        <f t="shared" si="0"/>
        <v xml:space="preserve">    (U1)ALERT_REQ_UNKNOWN</v>
      </c>
      <c r="AR46" s="65" t="str">
        <f t="shared" si="3"/>
        <v xml:space="preserve">    (U4)0x00000028U,                                                           /* 40 UNKNOWN                                         */</v>
      </c>
      <c r="AS46" s="65" t="str">
        <f t="shared" si="4"/>
        <v xml:space="preserve">    (U4)0x0000003FU,                                                           /* 40 UNKNOWN                                         */</v>
      </c>
      <c r="AT46" s="65" t="str">
        <f t="shared" si="1"/>
        <v xml:space="preserve">    (U1)ALERT_REQ_UNKNOWN,                                                     /* 40 UNKNOWN                                         */</v>
      </c>
    </row>
    <row r="47" spans="2:46">
      <c r="B47" s="138"/>
      <c r="C47" s="49">
        <f t="shared" si="2"/>
        <v>41</v>
      </c>
      <c r="D47" s="63" t="s">
        <v>67</v>
      </c>
      <c r="E47" s="63" t="s">
        <v>67</v>
      </c>
      <c r="F47" s="63" t="s">
        <v>67</v>
      </c>
      <c r="G47" s="63" t="s">
        <v>67</v>
      </c>
      <c r="H47" s="63" t="s">
        <v>67</v>
      </c>
      <c r="I47" s="63" t="s">
        <v>67</v>
      </c>
      <c r="J47" s="63" t="s">
        <v>67</v>
      </c>
      <c r="K47" s="63" t="s">
        <v>67</v>
      </c>
      <c r="L47" s="63" t="s">
        <v>67</v>
      </c>
      <c r="M47" s="63" t="s">
        <v>67</v>
      </c>
      <c r="N47" s="63" t="s">
        <v>67</v>
      </c>
      <c r="O47" s="63" t="s">
        <v>67</v>
      </c>
      <c r="P47" s="63" t="s">
        <v>67</v>
      </c>
      <c r="Q47" s="63" t="s">
        <v>67</v>
      </c>
      <c r="R47" s="63" t="s">
        <v>67</v>
      </c>
      <c r="S47" s="63" t="s">
        <v>67</v>
      </c>
      <c r="T47" s="63" t="s">
        <v>67</v>
      </c>
      <c r="U47" s="63" t="s">
        <v>67</v>
      </c>
      <c r="V47" s="63" t="s">
        <v>67</v>
      </c>
      <c r="W47" s="63" t="s">
        <v>67</v>
      </c>
      <c r="X47" s="63" t="s">
        <v>67</v>
      </c>
      <c r="Y47" s="63" t="s">
        <v>67</v>
      </c>
      <c r="Z47" s="63" t="s">
        <v>67</v>
      </c>
      <c r="AA47" s="63" t="s">
        <v>67</v>
      </c>
      <c r="AB47" s="63" t="s">
        <v>67</v>
      </c>
      <c r="AC47" s="63" t="s">
        <v>67</v>
      </c>
      <c r="AD47" s="133">
        <v>1</v>
      </c>
      <c r="AE47" s="133">
        <v>0</v>
      </c>
      <c r="AF47" s="63">
        <v>1</v>
      </c>
      <c r="AG47" s="63">
        <v>0</v>
      </c>
      <c r="AH47" s="63">
        <v>0</v>
      </c>
      <c r="AI47" s="63">
        <v>1</v>
      </c>
      <c r="AJ47" s="53" t="s">
        <v>32</v>
      </c>
      <c r="AL47" t="str">
        <f t="shared" si="0"/>
        <v xml:space="preserve">    (U1)ALERT_REQ_UNKNOWN</v>
      </c>
      <c r="AR47" s="65" t="str">
        <f t="shared" si="3"/>
        <v xml:space="preserve">    (U4)0x00000029U,                                                           /* 41 UNKNOWN                                         */</v>
      </c>
      <c r="AS47" s="65" t="str">
        <f t="shared" si="4"/>
        <v xml:space="preserve">    (U4)0x0000003FU,                                                           /* 41 UNKNOWN                                         */</v>
      </c>
      <c r="AT47" s="65" t="str">
        <f t="shared" si="1"/>
        <v xml:space="preserve">    (U1)ALERT_REQ_UNKNOWN,                                                     /* 41 UNKNOWN                                         */</v>
      </c>
    </row>
    <row r="48" spans="2:46">
      <c r="B48" s="138"/>
      <c r="C48" s="49">
        <f t="shared" si="2"/>
        <v>42</v>
      </c>
      <c r="D48" s="63" t="s">
        <v>67</v>
      </c>
      <c r="E48" s="63" t="s">
        <v>67</v>
      </c>
      <c r="F48" s="63" t="s">
        <v>67</v>
      </c>
      <c r="G48" s="63" t="s">
        <v>67</v>
      </c>
      <c r="H48" s="63" t="s">
        <v>67</v>
      </c>
      <c r="I48" s="63" t="s">
        <v>67</v>
      </c>
      <c r="J48" s="63" t="s">
        <v>67</v>
      </c>
      <c r="K48" s="63" t="s">
        <v>67</v>
      </c>
      <c r="L48" s="63" t="s">
        <v>67</v>
      </c>
      <c r="M48" s="63" t="s">
        <v>67</v>
      </c>
      <c r="N48" s="63" t="s">
        <v>67</v>
      </c>
      <c r="O48" s="63" t="s">
        <v>67</v>
      </c>
      <c r="P48" s="63" t="s">
        <v>67</v>
      </c>
      <c r="Q48" s="63" t="s">
        <v>67</v>
      </c>
      <c r="R48" s="63" t="s">
        <v>67</v>
      </c>
      <c r="S48" s="63" t="s">
        <v>67</v>
      </c>
      <c r="T48" s="63" t="s">
        <v>67</v>
      </c>
      <c r="U48" s="63" t="s">
        <v>67</v>
      </c>
      <c r="V48" s="63" t="s">
        <v>67</v>
      </c>
      <c r="W48" s="63" t="s">
        <v>67</v>
      </c>
      <c r="X48" s="63" t="s">
        <v>67</v>
      </c>
      <c r="Y48" s="63" t="s">
        <v>67</v>
      </c>
      <c r="Z48" s="63" t="s">
        <v>67</v>
      </c>
      <c r="AA48" s="63" t="s">
        <v>67</v>
      </c>
      <c r="AB48" s="63" t="s">
        <v>67</v>
      </c>
      <c r="AC48" s="63" t="s">
        <v>67</v>
      </c>
      <c r="AD48" s="133">
        <v>1</v>
      </c>
      <c r="AE48" s="133">
        <v>0</v>
      </c>
      <c r="AF48" s="63">
        <v>1</v>
      </c>
      <c r="AG48" s="63">
        <v>0</v>
      </c>
      <c r="AH48" s="63">
        <v>1</v>
      </c>
      <c r="AI48" s="63">
        <v>0</v>
      </c>
      <c r="AJ48" s="53" t="s">
        <v>32</v>
      </c>
      <c r="AL48" t="str">
        <f t="shared" si="0"/>
        <v xml:space="preserve">    (U1)ALERT_REQ_UNKNOWN</v>
      </c>
      <c r="AR48" s="65" t="str">
        <f t="shared" si="3"/>
        <v xml:space="preserve">    (U4)0x0000002AU,                                                           /* 42 UNKNOWN                                         */</v>
      </c>
      <c r="AS48" s="65" t="str">
        <f t="shared" si="4"/>
        <v xml:space="preserve">    (U4)0x0000003FU,                                                           /* 42 UNKNOWN                                         */</v>
      </c>
      <c r="AT48" s="65" t="str">
        <f t="shared" si="1"/>
        <v xml:space="preserve">    (U1)ALERT_REQ_UNKNOWN,                                                     /* 42 UNKNOWN                                         */</v>
      </c>
    </row>
    <row r="49" spans="2:46">
      <c r="B49" s="138"/>
      <c r="C49" s="49">
        <f t="shared" si="2"/>
        <v>43</v>
      </c>
      <c r="D49" s="63" t="s">
        <v>67</v>
      </c>
      <c r="E49" s="63" t="s">
        <v>67</v>
      </c>
      <c r="F49" s="63" t="s">
        <v>67</v>
      </c>
      <c r="G49" s="63" t="s">
        <v>67</v>
      </c>
      <c r="H49" s="63" t="s">
        <v>67</v>
      </c>
      <c r="I49" s="63" t="s">
        <v>67</v>
      </c>
      <c r="J49" s="63" t="s">
        <v>67</v>
      </c>
      <c r="K49" s="63" t="s">
        <v>67</v>
      </c>
      <c r="L49" s="63" t="s">
        <v>67</v>
      </c>
      <c r="M49" s="63" t="s">
        <v>67</v>
      </c>
      <c r="N49" s="63" t="s">
        <v>67</v>
      </c>
      <c r="O49" s="63" t="s">
        <v>67</v>
      </c>
      <c r="P49" s="63" t="s">
        <v>67</v>
      </c>
      <c r="Q49" s="63" t="s">
        <v>67</v>
      </c>
      <c r="R49" s="63" t="s">
        <v>67</v>
      </c>
      <c r="S49" s="63" t="s">
        <v>67</v>
      </c>
      <c r="T49" s="63" t="s">
        <v>67</v>
      </c>
      <c r="U49" s="63" t="s">
        <v>67</v>
      </c>
      <c r="V49" s="63" t="s">
        <v>67</v>
      </c>
      <c r="W49" s="63" t="s">
        <v>67</v>
      </c>
      <c r="X49" s="63" t="s">
        <v>67</v>
      </c>
      <c r="Y49" s="63" t="s">
        <v>67</v>
      </c>
      <c r="Z49" s="63" t="s">
        <v>67</v>
      </c>
      <c r="AA49" s="63" t="s">
        <v>67</v>
      </c>
      <c r="AB49" s="63" t="s">
        <v>67</v>
      </c>
      <c r="AC49" s="63" t="s">
        <v>67</v>
      </c>
      <c r="AD49" s="133">
        <v>1</v>
      </c>
      <c r="AE49" s="133">
        <v>0</v>
      </c>
      <c r="AF49" s="63">
        <v>1</v>
      </c>
      <c r="AG49" s="63">
        <v>0</v>
      </c>
      <c r="AH49" s="63">
        <v>1</v>
      </c>
      <c r="AI49" s="63">
        <v>1</v>
      </c>
      <c r="AJ49" s="53" t="s">
        <v>32</v>
      </c>
      <c r="AL49" t="str">
        <f t="shared" si="0"/>
        <v xml:space="preserve">    (U1)ALERT_REQ_UNKNOWN</v>
      </c>
      <c r="AR49" s="65" t="str">
        <f t="shared" si="3"/>
        <v xml:space="preserve">    (U4)0x0000002BU,                                                           /* 43 UNKNOWN                                         */</v>
      </c>
      <c r="AS49" s="65" t="str">
        <f t="shared" si="4"/>
        <v xml:space="preserve">    (U4)0x0000003FU,                                                           /* 43 UNKNOWN                                         */</v>
      </c>
      <c r="AT49" s="65" t="str">
        <f t="shared" si="1"/>
        <v xml:space="preserve">    (U1)ALERT_REQ_UNKNOWN,                                                     /* 43 UNKNOWN                                         */</v>
      </c>
    </row>
    <row r="50" spans="2:46">
      <c r="B50" s="138"/>
      <c r="C50" s="49">
        <f t="shared" si="2"/>
        <v>44</v>
      </c>
      <c r="D50" s="63" t="s">
        <v>67</v>
      </c>
      <c r="E50" s="63" t="s">
        <v>67</v>
      </c>
      <c r="F50" s="63" t="s">
        <v>67</v>
      </c>
      <c r="G50" s="63" t="s">
        <v>67</v>
      </c>
      <c r="H50" s="63" t="s">
        <v>67</v>
      </c>
      <c r="I50" s="63" t="s">
        <v>67</v>
      </c>
      <c r="J50" s="63" t="s">
        <v>67</v>
      </c>
      <c r="K50" s="63" t="s">
        <v>67</v>
      </c>
      <c r="L50" s="63" t="s">
        <v>67</v>
      </c>
      <c r="M50" s="63" t="s">
        <v>67</v>
      </c>
      <c r="N50" s="63" t="s">
        <v>67</v>
      </c>
      <c r="O50" s="63" t="s">
        <v>67</v>
      </c>
      <c r="P50" s="63" t="s">
        <v>67</v>
      </c>
      <c r="Q50" s="63" t="s">
        <v>67</v>
      </c>
      <c r="R50" s="63" t="s">
        <v>67</v>
      </c>
      <c r="S50" s="63" t="s">
        <v>67</v>
      </c>
      <c r="T50" s="63" t="s">
        <v>67</v>
      </c>
      <c r="U50" s="63" t="s">
        <v>67</v>
      </c>
      <c r="V50" s="63" t="s">
        <v>67</v>
      </c>
      <c r="W50" s="63" t="s">
        <v>67</v>
      </c>
      <c r="X50" s="63" t="s">
        <v>67</v>
      </c>
      <c r="Y50" s="63" t="s">
        <v>67</v>
      </c>
      <c r="Z50" s="63" t="s">
        <v>67</v>
      </c>
      <c r="AA50" s="63" t="s">
        <v>67</v>
      </c>
      <c r="AB50" s="63" t="s">
        <v>67</v>
      </c>
      <c r="AC50" s="63" t="s">
        <v>67</v>
      </c>
      <c r="AD50" s="133">
        <v>1</v>
      </c>
      <c r="AE50" s="133">
        <v>0</v>
      </c>
      <c r="AF50" s="63">
        <v>1</v>
      </c>
      <c r="AG50" s="63">
        <v>1</v>
      </c>
      <c r="AH50" s="63">
        <v>0</v>
      </c>
      <c r="AI50" s="63">
        <v>0</v>
      </c>
      <c r="AJ50" s="53" t="s">
        <v>32</v>
      </c>
      <c r="AL50" t="str">
        <f t="shared" si="0"/>
        <v xml:space="preserve">    (U1)ALERT_REQ_UNKNOWN</v>
      </c>
      <c r="AR50" s="65" t="str">
        <f t="shared" si="3"/>
        <v xml:space="preserve">    (U4)0x0000002CU,                                                           /* 44 UNKNOWN                                         */</v>
      </c>
      <c r="AS50" s="65" t="str">
        <f t="shared" si="4"/>
        <v xml:space="preserve">    (U4)0x0000003FU,                                                           /* 44 UNKNOWN                                         */</v>
      </c>
      <c r="AT50" s="65" t="str">
        <f t="shared" si="1"/>
        <v xml:space="preserve">    (U1)ALERT_REQ_UNKNOWN,                                                     /* 44 UNKNOWN                                         */</v>
      </c>
    </row>
    <row r="51" spans="2:46">
      <c r="B51" s="138"/>
      <c r="C51" s="49">
        <f t="shared" si="2"/>
        <v>45</v>
      </c>
      <c r="D51" s="63" t="s">
        <v>67</v>
      </c>
      <c r="E51" s="63" t="s">
        <v>67</v>
      </c>
      <c r="F51" s="63" t="s">
        <v>67</v>
      </c>
      <c r="G51" s="63" t="s">
        <v>67</v>
      </c>
      <c r="H51" s="63" t="s">
        <v>67</v>
      </c>
      <c r="I51" s="63" t="s">
        <v>67</v>
      </c>
      <c r="J51" s="63" t="s">
        <v>67</v>
      </c>
      <c r="K51" s="63" t="s">
        <v>67</v>
      </c>
      <c r="L51" s="63" t="s">
        <v>67</v>
      </c>
      <c r="M51" s="63" t="s">
        <v>67</v>
      </c>
      <c r="N51" s="63" t="s">
        <v>67</v>
      </c>
      <c r="O51" s="63" t="s">
        <v>67</v>
      </c>
      <c r="P51" s="63" t="s">
        <v>67</v>
      </c>
      <c r="Q51" s="63" t="s">
        <v>67</v>
      </c>
      <c r="R51" s="63" t="s">
        <v>67</v>
      </c>
      <c r="S51" s="63" t="s">
        <v>67</v>
      </c>
      <c r="T51" s="63" t="s">
        <v>67</v>
      </c>
      <c r="U51" s="63" t="s">
        <v>67</v>
      </c>
      <c r="V51" s="63" t="s">
        <v>67</v>
      </c>
      <c r="W51" s="63" t="s">
        <v>67</v>
      </c>
      <c r="X51" s="63" t="s">
        <v>67</v>
      </c>
      <c r="Y51" s="63" t="s">
        <v>67</v>
      </c>
      <c r="Z51" s="63" t="s">
        <v>67</v>
      </c>
      <c r="AA51" s="63" t="s">
        <v>67</v>
      </c>
      <c r="AB51" s="63" t="s">
        <v>67</v>
      </c>
      <c r="AC51" s="63" t="s">
        <v>67</v>
      </c>
      <c r="AD51" s="133">
        <v>1</v>
      </c>
      <c r="AE51" s="133">
        <v>0</v>
      </c>
      <c r="AF51" s="63">
        <v>1</v>
      </c>
      <c r="AG51" s="63">
        <v>1</v>
      </c>
      <c r="AH51" s="63">
        <v>0</v>
      </c>
      <c r="AI51" s="63">
        <v>1</v>
      </c>
      <c r="AJ51" s="53" t="s">
        <v>32</v>
      </c>
      <c r="AL51" t="str">
        <f t="shared" si="0"/>
        <v xml:space="preserve">    (U1)ALERT_REQ_UNKNOWN</v>
      </c>
      <c r="AR51" s="65" t="str">
        <f t="shared" si="3"/>
        <v xml:space="preserve">    (U4)0x0000002DU,                                                           /* 45 UNKNOWN                                         */</v>
      </c>
      <c r="AS51" s="65" t="str">
        <f t="shared" si="4"/>
        <v xml:space="preserve">    (U4)0x0000003FU,                                                           /* 45 UNKNOWN                                         */</v>
      </c>
      <c r="AT51" s="65" t="str">
        <f t="shared" si="1"/>
        <v xml:space="preserve">    (U1)ALERT_REQ_UNKNOWN,                                                     /* 45 UNKNOWN                                         */</v>
      </c>
    </row>
    <row r="52" spans="2:46">
      <c r="B52" s="138"/>
      <c r="C52" s="49">
        <f t="shared" si="2"/>
        <v>46</v>
      </c>
      <c r="D52" s="63" t="s">
        <v>67</v>
      </c>
      <c r="E52" s="63" t="s">
        <v>67</v>
      </c>
      <c r="F52" s="63" t="s">
        <v>67</v>
      </c>
      <c r="G52" s="63" t="s">
        <v>67</v>
      </c>
      <c r="H52" s="63" t="s">
        <v>67</v>
      </c>
      <c r="I52" s="63" t="s">
        <v>67</v>
      </c>
      <c r="J52" s="63" t="s">
        <v>67</v>
      </c>
      <c r="K52" s="63" t="s">
        <v>67</v>
      </c>
      <c r="L52" s="63" t="s">
        <v>67</v>
      </c>
      <c r="M52" s="63" t="s">
        <v>67</v>
      </c>
      <c r="N52" s="63" t="s">
        <v>67</v>
      </c>
      <c r="O52" s="63" t="s">
        <v>67</v>
      </c>
      <c r="P52" s="63" t="s">
        <v>67</v>
      </c>
      <c r="Q52" s="63" t="s">
        <v>67</v>
      </c>
      <c r="R52" s="63" t="s">
        <v>67</v>
      </c>
      <c r="S52" s="63" t="s">
        <v>67</v>
      </c>
      <c r="T52" s="63" t="s">
        <v>67</v>
      </c>
      <c r="U52" s="63" t="s">
        <v>67</v>
      </c>
      <c r="V52" s="63" t="s">
        <v>67</v>
      </c>
      <c r="W52" s="63" t="s">
        <v>67</v>
      </c>
      <c r="X52" s="63" t="s">
        <v>67</v>
      </c>
      <c r="Y52" s="63" t="s">
        <v>67</v>
      </c>
      <c r="Z52" s="63" t="s">
        <v>67</v>
      </c>
      <c r="AA52" s="63" t="s">
        <v>67</v>
      </c>
      <c r="AB52" s="63" t="s">
        <v>67</v>
      </c>
      <c r="AC52" s="63" t="s">
        <v>67</v>
      </c>
      <c r="AD52" s="133">
        <v>1</v>
      </c>
      <c r="AE52" s="133">
        <v>0</v>
      </c>
      <c r="AF52" s="63">
        <v>1</v>
      </c>
      <c r="AG52" s="63">
        <v>1</v>
      </c>
      <c r="AH52" s="63">
        <v>1</v>
      </c>
      <c r="AI52" s="63">
        <v>0</v>
      </c>
      <c r="AJ52" s="53" t="s">
        <v>32</v>
      </c>
      <c r="AL52" t="str">
        <f t="shared" si="0"/>
        <v xml:space="preserve">    (U1)ALERT_REQ_UNKNOWN</v>
      </c>
      <c r="AR52" s="65" t="str">
        <f t="shared" si="3"/>
        <v xml:space="preserve">    (U4)0x0000002EU,                                                           /* 46 UNKNOWN                                         */</v>
      </c>
      <c r="AS52" s="65" t="str">
        <f t="shared" si="4"/>
        <v xml:space="preserve">    (U4)0x0000003FU,                                                           /* 46 UNKNOWN                                         */</v>
      </c>
      <c r="AT52" s="65" t="str">
        <f t="shared" si="1"/>
        <v xml:space="preserve">    (U1)ALERT_REQ_UNKNOWN,                                                     /* 46 UNKNOWN                                         */</v>
      </c>
    </row>
    <row r="53" spans="2:46">
      <c r="B53" s="138"/>
      <c r="C53" s="49">
        <f t="shared" si="2"/>
        <v>47</v>
      </c>
      <c r="D53" s="63" t="s">
        <v>67</v>
      </c>
      <c r="E53" s="63" t="s">
        <v>67</v>
      </c>
      <c r="F53" s="63" t="s">
        <v>67</v>
      </c>
      <c r="G53" s="63" t="s">
        <v>67</v>
      </c>
      <c r="H53" s="63" t="s">
        <v>67</v>
      </c>
      <c r="I53" s="63" t="s">
        <v>67</v>
      </c>
      <c r="J53" s="63" t="s">
        <v>67</v>
      </c>
      <c r="K53" s="63" t="s">
        <v>67</v>
      </c>
      <c r="L53" s="63" t="s">
        <v>67</v>
      </c>
      <c r="M53" s="63" t="s">
        <v>67</v>
      </c>
      <c r="N53" s="63" t="s">
        <v>67</v>
      </c>
      <c r="O53" s="63" t="s">
        <v>67</v>
      </c>
      <c r="P53" s="63" t="s">
        <v>67</v>
      </c>
      <c r="Q53" s="63" t="s">
        <v>67</v>
      </c>
      <c r="R53" s="63" t="s">
        <v>67</v>
      </c>
      <c r="S53" s="63" t="s">
        <v>67</v>
      </c>
      <c r="T53" s="63" t="s">
        <v>67</v>
      </c>
      <c r="U53" s="63" t="s">
        <v>67</v>
      </c>
      <c r="V53" s="63" t="s">
        <v>67</v>
      </c>
      <c r="W53" s="63" t="s">
        <v>67</v>
      </c>
      <c r="X53" s="63" t="s">
        <v>67</v>
      </c>
      <c r="Y53" s="63" t="s">
        <v>67</v>
      </c>
      <c r="Z53" s="63" t="s">
        <v>67</v>
      </c>
      <c r="AA53" s="63" t="s">
        <v>67</v>
      </c>
      <c r="AB53" s="63" t="s">
        <v>67</v>
      </c>
      <c r="AC53" s="63" t="s">
        <v>67</v>
      </c>
      <c r="AD53" s="133">
        <v>1</v>
      </c>
      <c r="AE53" s="133">
        <v>0</v>
      </c>
      <c r="AF53" s="63">
        <v>1</v>
      </c>
      <c r="AG53" s="63">
        <v>1</v>
      </c>
      <c r="AH53" s="63">
        <v>1</v>
      </c>
      <c r="AI53" s="63">
        <v>1</v>
      </c>
      <c r="AJ53" s="53" t="s">
        <v>32</v>
      </c>
      <c r="AL53" t="str">
        <f t="shared" si="0"/>
        <v xml:space="preserve">    (U1)ALERT_REQ_UNKNOWN</v>
      </c>
      <c r="AR53" s="65" t="str">
        <f t="shared" si="3"/>
        <v xml:space="preserve">    (U4)0x0000002FU,                                                           /* 47 UNKNOWN                                         */</v>
      </c>
      <c r="AS53" s="65" t="str">
        <f t="shared" si="4"/>
        <v xml:space="preserve">    (U4)0x0000003FU,                                                           /* 47 UNKNOWN                                         */</v>
      </c>
      <c r="AT53" s="65" t="str">
        <f t="shared" si="1"/>
        <v xml:space="preserve">    (U1)ALERT_REQ_UNKNOWN,                                                     /* 47 UNKNOWN                                         */</v>
      </c>
    </row>
    <row r="54" spans="2:46">
      <c r="B54" s="138"/>
      <c r="C54" s="49">
        <f t="shared" si="2"/>
        <v>48</v>
      </c>
      <c r="D54" s="63" t="s">
        <v>67</v>
      </c>
      <c r="E54" s="63" t="s">
        <v>67</v>
      </c>
      <c r="F54" s="63" t="s">
        <v>67</v>
      </c>
      <c r="G54" s="63" t="s">
        <v>67</v>
      </c>
      <c r="H54" s="63" t="s">
        <v>67</v>
      </c>
      <c r="I54" s="63" t="s">
        <v>67</v>
      </c>
      <c r="J54" s="63" t="s">
        <v>67</v>
      </c>
      <c r="K54" s="63" t="s">
        <v>67</v>
      </c>
      <c r="L54" s="63" t="s">
        <v>67</v>
      </c>
      <c r="M54" s="63" t="s">
        <v>67</v>
      </c>
      <c r="N54" s="63" t="s">
        <v>67</v>
      </c>
      <c r="O54" s="63" t="s">
        <v>67</v>
      </c>
      <c r="P54" s="63" t="s">
        <v>67</v>
      </c>
      <c r="Q54" s="63" t="s">
        <v>67</v>
      </c>
      <c r="R54" s="63" t="s">
        <v>67</v>
      </c>
      <c r="S54" s="63" t="s">
        <v>67</v>
      </c>
      <c r="T54" s="63" t="s">
        <v>67</v>
      </c>
      <c r="U54" s="63" t="s">
        <v>67</v>
      </c>
      <c r="V54" s="63" t="s">
        <v>67</v>
      </c>
      <c r="W54" s="63" t="s">
        <v>67</v>
      </c>
      <c r="X54" s="63" t="s">
        <v>67</v>
      </c>
      <c r="Y54" s="63" t="s">
        <v>67</v>
      </c>
      <c r="Z54" s="63" t="s">
        <v>67</v>
      </c>
      <c r="AA54" s="63" t="s">
        <v>67</v>
      </c>
      <c r="AB54" s="63" t="s">
        <v>67</v>
      </c>
      <c r="AC54" s="63" t="s">
        <v>67</v>
      </c>
      <c r="AD54" s="133">
        <v>1</v>
      </c>
      <c r="AE54" s="133">
        <v>1</v>
      </c>
      <c r="AF54" s="136">
        <v>0</v>
      </c>
      <c r="AG54" s="136">
        <v>0</v>
      </c>
      <c r="AH54" s="136">
        <v>0</v>
      </c>
      <c r="AI54" s="136">
        <v>0</v>
      </c>
      <c r="AJ54" s="53" t="s">
        <v>32</v>
      </c>
      <c r="AL54" t="str">
        <f t="shared" si="0"/>
        <v xml:space="preserve">    (U1)ALERT_REQ_UNKNOWN</v>
      </c>
      <c r="AR54" s="65" t="str">
        <f t="shared" si="3"/>
        <v xml:space="preserve">    (U4)0x00000030U,                                                           /* 48 UNKNOWN                                         */</v>
      </c>
      <c r="AS54" s="65" t="str">
        <f t="shared" si="4"/>
        <v xml:space="preserve">    (U4)0x0000003FU,                                                           /* 48 UNKNOWN                                         */</v>
      </c>
      <c r="AT54" s="65" t="str">
        <f t="shared" si="1"/>
        <v xml:space="preserve">    (U1)ALERT_REQ_UNKNOWN,                                                     /* 48 UNKNOWN                                         */</v>
      </c>
    </row>
    <row r="55" spans="2:46">
      <c r="B55" s="138"/>
      <c r="C55" s="49">
        <f t="shared" si="2"/>
        <v>49</v>
      </c>
      <c r="D55" s="63" t="s">
        <v>67</v>
      </c>
      <c r="E55" s="63" t="s">
        <v>67</v>
      </c>
      <c r="F55" s="63" t="s">
        <v>67</v>
      </c>
      <c r="G55" s="63" t="s">
        <v>67</v>
      </c>
      <c r="H55" s="63" t="s">
        <v>67</v>
      </c>
      <c r="I55" s="63" t="s">
        <v>67</v>
      </c>
      <c r="J55" s="63" t="s">
        <v>67</v>
      </c>
      <c r="K55" s="63" t="s">
        <v>67</v>
      </c>
      <c r="L55" s="63" t="s">
        <v>67</v>
      </c>
      <c r="M55" s="63" t="s">
        <v>67</v>
      </c>
      <c r="N55" s="63" t="s">
        <v>67</v>
      </c>
      <c r="O55" s="63" t="s">
        <v>67</v>
      </c>
      <c r="P55" s="63" t="s">
        <v>67</v>
      </c>
      <c r="Q55" s="63" t="s">
        <v>67</v>
      </c>
      <c r="R55" s="63" t="s">
        <v>67</v>
      </c>
      <c r="S55" s="63" t="s">
        <v>67</v>
      </c>
      <c r="T55" s="63" t="s">
        <v>67</v>
      </c>
      <c r="U55" s="63" t="s">
        <v>67</v>
      </c>
      <c r="V55" s="63" t="s">
        <v>67</v>
      </c>
      <c r="W55" s="63" t="s">
        <v>67</v>
      </c>
      <c r="X55" s="63" t="s">
        <v>67</v>
      </c>
      <c r="Y55" s="63" t="s">
        <v>67</v>
      </c>
      <c r="Z55" s="63" t="s">
        <v>67</v>
      </c>
      <c r="AA55" s="63" t="s">
        <v>67</v>
      </c>
      <c r="AB55" s="63" t="s">
        <v>67</v>
      </c>
      <c r="AC55" s="63" t="s">
        <v>67</v>
      </c>
      <c r="AD55" s="133">
        <v>1</v>
      </c>
      <c r="AE55" s="133">
        <v>1</v>
      </c>
      <c r="AF55" s="136">
        <v>0</v>
      </c>
      <c r="AG55" s="136">
        <v>0</v>
      </c>
      <c r="AH55" s="136">
        <v>0</v>
      </c>
      <c r="AI55" s="136">
        <v>1</v>
      </c>
      <c r="AJ55" s="53" t="s">
        <v>32</v>
      </c>
      <c r="AL55" t="str">
        <f t="shared" si="0"/>
        <v xml:space="preserve">    (U1)ALERT_REQ_UNKNOWN</v>
      </c>
      <c r="AR55" s="65" t="str">
        <f t="shared" si="3"/>
        <v xml:space="preserve">    (U4)0x00000031U,                                                           /* 49 UNKNOWN                                         */</v>
      </c>
      <c r="AS55" s="65" t="str">
        <f t="shared" si="4"/>
        <v xml:space="preserve">    (U4)0x0000003FU,                                                           /* 49 UNKNOWN                                         */</v>
      </c>
      <c r="AT55" s="65" t="str">
        <f t="shared" si="1"/>
        <v xml:space="preserve">    (U1)ALERT_REQ_UNKNOWN,                                                     /* 49 UNKNOWN                                         */</v>
      </c>
    </row>
    <row r="56" spans="2:46">
      <c r="B56" s="138"/>
      <c r="C56" s="49">
        <f t="shared" si="2"/>
        <v>50</v>
      </c>
      <c r="D56" s="63" t="s">
        <v>67</v>
      </c>
      <c r="E56" s="63" t="s">
        <v>67</v>
      </c>
      <c r="F56" s="63" t="s">
        <v>67</v>
      </c>
      <c r="G56" s="63" t="s">
        <v>67</v>
      </c>
      <c r="H56" s="63" t="s">
        <v>67</v>
      </c>
      <c r="I56" s="63" t="s">
        <v>67</v>
      </c>
      <c r="J56" s="63" t="s">
        <v>67</v>
      </c>
      <c r="K56" s="63" t="s">
        <v>67</v>
      </c>
      <c r="L56" s="63" t="s">
        <v>67</v>
      </c>
      <c r="M56" s="63" t="s">
        <v>67</v>
      </c>
      <c r="N56" s="63" t="s">
        <v>67</v>
      </c>
      <c r="O56" s="63" t="s">
        <v>67</v>
      </c>
      <c r="P56" s="63" t="s">
        <v>67</v>
      </c>
      <c r="Q56" s="63" t="s">
        <v>67</v>
      </c>
      <c r="R56" s="63" t="s">
        <v>67</v>
      </c>
      <c r="S56" s="63" t="s">
        <v>67</v>
      </c>
      <c r="T56" s="63" t="s">
        <v>67</v>
      </c>
      <c r="U56" s="63" t="s">
        <v>67</v>
      </c>
      <c r="V56" s="63" t="s">
        <v>67</v>
      </c>
      <c r="W56" s="63" t="s">
        <v>67</v>
      </c>
      <c r="X56" s="63" t="s">
        <v>67</v>
      </c>
      <c r="Y56" s="63" t="s">
        <v>67</v>
      </c>
      <c r="Z56" s="63" t="s">
        <v>67</v>
      </c>
      <c r="AA56" s="63" t="s">
        <v>67</v>
      </c>
      <c r="AB56" s="63" t="s">
        <v>67</v>
      </c>
      <c r="AC56" s="63" t="s">
        <v>67</v>
      </c>
      <c r="AD56" s="133">
        <v>1</v>
      </c>
      <c r="AE56" s="133">
        <v>1</v>
      </c>
      <c r="AF56" s="136">
        <v>0</v>
      </c>
      <c r="AG56" s="136">
        <v>0</v>
      </c>
      <c r="AH56" s="136">
        <v>1</v>
      </c>
      <c r="AI56" s="136">
        <v>0</v>
      </c>
      <c r="AJ56" s="53" t="s">
        <v>32</v>
      </c>
      <c r="AL56" t="str">
        <f t="shared" si="0"/>
        <v xml:space="preserve">    (U1)ALERT_REQ_UNKNOWN</v>
      </c>
      <c r="AR56" s="65" t="str">
        <f t="shared" si="3"/>
        <v xml:space="preserve">    (U4)0x00000032U,                                                           /* 50 UNKNOWN                                         */</v>
      </c>
      <c r="AS56" s="65" t="str">
        <f t="shared" si="4"/>
        <v xml:space="preserve">    (U4)0x0000003FU,                                                           /* 50 UNKNOWN                                         */</v>
      </c>
      <c r="AT56" s="65" t="str">
        <f t="shared" si="1"/>
        <v xml:space="preserve">    (U1)ALERT_REQ_UNKNOWN,                                                     /* 50 UNKNOWN                                         */</v>
      </c>
    </row>
    <row r="57" spans="2:46">
      <c r="B57" s="138"/>
      <c r="C57" s="49">
        <f t="shared" si="2"/>
        <v>51</v>
      </c>
      <c r="D57" s="63" t="s">
        <v>67</v>
      </c>
      <c r="E57" s="63" t="s">
        <v>67</v>
      </c>
      <c r="F57" s="63" t="s">
        <v>67</v>
      </c>
      <c r="G57" s="63" t="s">
        <v>67</v>
      </c>
      <c r="H57" s="63" t="s">
        <v>67</v>
      </c>
      <c r="I57" s="63" t="s">
        <v>67</v>
      </c>
      <c r="J57" s="63" t="s">
        <v>67</v>
      </c>
      <c r="K57" s="63" t="s">
        <v>67</v>
      </c>
      <c r="L57" s="63" t="s">
        <v>67</v>
      </c>
      <c r="M57" s="63" t="s">
        <v>67</v>
      </c>
      <c r="N57" s="63" t="s">
        <v>67</v>
      </c>
      <c r="O57" s="63" t="s">
        <v>67</v>
      </c>
      <c r="P57" s="63" t="s">
        <v>67</v>
      </c>
      <c r="Q57" s="63" t="s">
        <v>67</v>
      </c>
      <c r="R57" s="63" t="s">
        <v>67</v>
      </c>
      <c r="S57" s="63" t="s">
        <v>67</v>
      </c>
      <c r="T57" s="63" t="s">
        <v>67</v>
      </c>
      <c r="U57" s="63" t="s">
        <v>67</v>
      </c>
      <c r="V57" s="63" t="s">
        <v>67</v>
      </c>
      <c r="W57" s="63" t="s">
        <v>67</v>
      </c>
      <c r="X57" s="63" t="s">
        <v>67</v>
      </c>
      <c r="Y57" s="63" t="s">
        <v>67</v>
      </c>
      <c r="Z57" s="63" t="s">
        <v>67</v>
      </c>
      <c r="AA57" s="63" t="s">
        <v>67</v>
      </c>
      <c r="AB57" s="63" t="s">
        <v>67</v>
      </c>
      <c r="AC57" s="63" t="s">
        <v>67</v>
      </c>
      <c r="AD57" s="133">
        <v>1</v>
      </c>
      <c r="AE57" s="133">
        <v>1</v>
      </c>
      <c r="AF57" s="63">
        <v>0</v>
      </c>
      <c r="AG57" s="63">
        <v>0</v>
      </c>
      <c r="AH57" s="63">
        <v>1</v>
      </c>
      <c r="AI57" s="63">
        <v>1</v>
      </c>
      <c r="AJ57" s="53" t="s">
        <v>32</v>
      </c>
      <c r="AL57" t="str">
        <f t="shared" si="0"/>
        <v xml:space="preserve">    (U1)ALERT_REQ_UNKNOWN</v>
      </c>
      <c r="AR57" s="65" t="str">
        <f t="shared" si="3"/>
        <v xml:space="preserve">    (U4)0x00000033U,                                                           /* 51 UNKNOWN                                         */</v>
      </c>
      <c r="AS57" s="65" t="str">
        <f t="shared" si="4"/>
        <v xml:space="preserve">    (U4)0x0000003FU,                                                           /* 51 UNKNOWN                                         */</v>
      </c>
      <c r="AT57" s="65" t="str">
        <f t="shared" si="1"/>
        <v xml:space="preserve">    (U1)ALERT_REQ_UNKNOWN,                                                     /* 51 UNKNOWN                                         */</v>
      </c>
    </row>
    <row r="58" spans="2:46">
      <c r="B58" s="138"/>
      <c r="C58" s="49">
        <f t="shared" si="2"/>
        <v>52</v>
      </c>
      <c r="D58" s="63" t="s">
        <v>67</v>
      </c>
      <c r="E58" s="63" t="s">
        <v>67</v>
      </c>
      <c r="F58" s="63" t="s">
        <v>67</v>
      </c>
      <c r="G58" s="63" t="s">
        <v>67</v>
      </c>
      <c r="H58" s="63" t="s">
        <v>67</v>
      </c>
      <c r="I58" s="63" t="s">
        <v>67</v>
      </c>
      <c r="J58" s="63" t="s">
        <v>67</v>
      </c>
      <c r="K58" s="63" t="s">
        <v>67</v>
      </c>
      <c r="L58" s="63" t="s">
        <v>67</v>
      </c>
      <c r="M58" s="63" t="s">
        <v>67</v>
      </c>
      <c r="N58" s="63" t="s">
        <v>67</v>
      </c>
      <c r="O58" s="63" t="s">
        <v>67</v>
      </c>
      <c r="P58" s="63" t="s">
        <v>67</v>
      </c>
      <c r="Q58" s="63" t="s">
        <v>67</v>
      </c>
      <c r="R58" s="63" t="s">
        <v>67</v>
      </c>
      <c r="S58" s="63" t="s">
        <v>67</v>
      </c>
      <c r="T58" s="63" t="s">
        <v>67</v>
      </c>
      <c r="U58" s="63" t="s">
        <v>67</v>
      </c>
      <c r="V58" s="63" t="s">
        <v>67</v>
      </c>
      <c r="W58" s="63" t="s">
        <v>67</v>
      </c>
      <c r="X58" s="63" t="s">
        <v>67</v>
      </c>
      <c r="Y58" s="63" t="s">
        <v>67</v>
      </c>
      <c r="Z58" s="63" t="s">
        <v>67</v>
      </c>
      <c r="AA58" s="63" t="s">
        <v>67</v>
      </c>
      <c r="AB58" s="63" t="s">
        <v>67</v>
      </c>
      <c r="AC58" s="63" t="s">
        <v>67</v>
      </c>
      <c r="AD58" s="133">
        <v>1</v>
      </c>
      <c r="AE58" s="133">
        <v>1</v>
      </c>
      <c r="AF58" s="63">
        <v>0</v>
      </c>
      <c r="AG58" s="63">
        <v>1</v>
      </c>
      <c r="AH58" s="63">
        <v>0</v>
      </c>
      <c r="AI58" s="63">
        <v>0</v>
      </c>
      <c r="AJ58" s="53" t="s">
        <v>32</v>
      </c>
      <c r="AL58" t="str">
        <f t="shared" si="0"/>
        <v xml:space="preserve">    (U1)ALERT_REQ_UNKNOWN</v>
      </c>
      <c r="AR58" s="65" t="str">
        <f t="shared" si="3"/>
        <v xml:space="preserve">    (U4)0x00000034U,                                                           /* 52 UNKNOWN                                         */</v>
      </c>
      <c r="AS58" s="65" t="str">
        <f t="shared" si="4"/>
        <v xml:space="preserve">    (U4)0x0000003FU,                                                           /* 52 UNKNOWN                                         */</v>
      </c>
      <c r="AT58" s="65" t="str">
        <f t="shared" si="1"/>
        <v xml:space="preserve">    (U1)ALERT_REQ_UNKNOWN,                                                     /* 52 UNKNOWN                                         */</v>
      </c>
    </row>
    <row r="59" spans="2:46">
      <c r="B59" s="138"/>
      <c r="C59" s="49">
        <f t="shared" si="2"/>
        <v>53</v>
      </c>
      <c r="D59" s="63" t="s">
        <v>67</v>
      </c>
      <c r="E59" s="63" t="s">
        <v>67</v>
      </c>
      <c r="F59" s="63" t="s">
        <v>67</v>
      </c>
      <c r="G59" s="63" t="s">
        <v>67</v>
      </c>
      <c r="H59" s="63" t="s">
        <v>67</v>
      </c>
      <c r="I59" s="63" t="s">
        <v>67</v>
      </c>
      <c r="J59" s="63" t="s">
        <v>67</v>
      </c>
      <c r="K59" s="63" t="s">
        <v>67</v>
      </c>
      <c r="L59" s="63" t="s">
        <v>67</v>
      </c>
      <c r="M59" s="63" t="s">
        <v>67</v>
      </c>
      <c r="N59" s="63" t="s">
        <v>67</v>
      </c>
      <c r="O59" s="63" t="s">
        <v>67</v>
      </c>
      <c r="P59" s="63" t="s">
        <v>67</v>
      </c>
      <c r="Q59" s="63" t="s">
        <v>67</v>
      </c>
      <c r="R59" s="63" t="s">
        <v>67</v>
      </c>
      <c r="S59" s="63" t="s">
        <v>67</v>
      </c>
      <c r="T59" s="63" t="s">
        <v>67</v>
      </c>
      <c r="U59" s="63" t="s">
        <v>67</v>
      </c>
      <c r="V59" s="63" t="s">
        <v>67</v>
      </c>
      <c r="W59" s="63" t="s">
        <v>67</v>
      </c>
      <c r="X59" s="63" t="s">
        <v>67</v>
      </c>
      <c r="Y59" s="63" t="s">
        <v>67</v>
      </c>
      <c r="Z59" s="63" t="s">
        <v>67</v>
      </c>
      <c r="AA59" s="63" t="s">
        <v>67</v>
      </c>
      <c r="AB59" s="63" t="s">
        <v>67</v>
      </c>
      <c r="AC59" s="63" t="s">
        <v>67</v>
      </c>
      <c r="AD59" s="133">
        <v>1</v>
      </c>
      <c r="AE59" s="133">
        <v>1</v>
      </c>
      <c r="AF59" s="63">
        <v>0</v>
      </c>
      <c r="AG59" s="63">
        <v>1</v>
      </c>
      <c r="AH59" s="63">
        <v>0</v>
      </c>
      <c r="AI59" s="63">
        <v>1</v>
      </c>
      <c r="AJ59" s="53" t="s">
        <v>32</v>
      </c>
      <c r="AL59" t="str">
        <f t="shared" si="0"/>
        <v xml:space="preserve">    (U1)ALERT_REQ_UNKNOWN</v>
      </c>
      <c r="AR59" s="65" t="str">
        <f t="shared" si="3"/>
        <v xml:space="preserve">    (U4)0x00000035U,                                                           /* 53 UNKNOWN                                         */</v>
      </c>
      <c r="AS59" s="65" t="str">
        <f t="shared" si="4"/>
        <v xml:space="preserve">    (U4)0x0000003FU,                                                           /* 53 UNKNOWN                                         */</v>
      </c>
      <c r="AT59" s="65" t="str">
        <f t="shared" si="1"/>
        <v xml:space="preserve">    (U1)ALERT_REQ_UNKNOWN,                                                     /* 53 UNKNOWN                                         */</v>
      </c>
    </row>
    <row r="60" spans="2:46">
      <c r="B60" s="138"/>
      <c r="C60" s="49">
        <f t="shared" si="2"/>
        <v>54</v>
      </c>
      <c r="D60" s="63" t="s">
        <v>67</v>
      </c>
      <c r="E60" s="63" t="s">
        <v>67</v>
      </c>
      <c r="F60" s="63" t="s">
        <v>67</v>
      </c>
      <c r="G60" s="63" t="s">
        <v>67</v>
      </c>
      <c r="H60" s="63" t="s">
        <v>67</v>
      </c>
      <c r="I60" s="63" t="s">
        <v>67</v>
      </c>
      <c r="J60" s="63" t="s">
        <v>67</v>
      </c>
      <c r="K60" s="63" t="s">
        <v>67</v>
      </c>
      <c r="L60" s="63" t="s">
        <v>67</v>
      </c>
      <c r="M60" s="63" t="s">
        <v>67</v>
      </c>
      <c r="N60" s="63" t="s">
        <v>67</v>
      </c>
      <c r="O60" s="63" t="s">
        <v>67</v>
      </c>
      <c r="P60" s="63" t="s">
        <v>67</v>
      </c>
      <c r="Q60" s="63" t="s">
        <v>67</v>
      </c>
      <c r="R60" s="63" t="s">
        <v>67</v>
      </c>
      <c r="S60" s="63" t="s">
        <v>67</v>
      </c>
      <c r="T60" s="63" t="s">
        <v>67</v>
      </c>
      <c r="U60" s="63" t="s">
        <v>67</v>
      </c>
      <c r="V60" s="63" t="s">
        <v>67</v>
      </c>
      <c r="W60" s="63" t="s">
        <v>67</v>
      </c>
      <c r="X60" s="63" t="s">
        <v>67</v>
      </c>
      <c r="Y60" s="63" t="s">
        <v>67</v>
      </c>
      <c r="Z60" s="63" t="s">
        <v>67</v>
      </c>
      <c r="AA60" s="63" t="s">
        <v>67</v>
      </c>
      <c r="AB60" s="63" t="s">
        <v>67</v>
      </c>
      <c r="AC60" s="63" t="s">
        <v>67</v>
      </c>
      <c r="AD60" s="133">
        <v>1</v>
      </c>
      <c r="AE60" s="133">
        <v>1</v>
      </c>
      <c r="AF60" s="63">
        <v>0</v>
      </c>
      <c r="AG60" s="63">
        <v>1</v>
      </c>
      <c r="AH60" s="63">
        <v>1</v>
      </c>
      <c r="AI60" s="63">
        <v>0</v>
      </c>
      <c r="AJ60" s="53" t="s">
        <v>32</v>
      </c>
      <c r="AL60" t="str">
        <f t="shared" si="0"/>
        <v xml:space="preserve">    (U1)ALERT_REQ_UNKNOWN</v>
      </c>
      <c r="AR60" s="65" t="str">
        <f t="shared" si="3"/>
        <v xml:space="preserve">    (U4)0x00000036U,                                                           /* 54 UNKNOWN                                         */</v>
      </c>
      <c r="AS60" s="65" t="str">
        <f t="shared" si="4"/>
        <v xml:space="preserve">    (U4)0x0000003FU,                                                           /* 54 UNKNOWN                                         */</v>
      </c>
      <c r="AT60" s="65" t="str">
        <f t="shared" si="1"/>
        <v xml:space="preserve">    (U1)ALERT_REQ_UNKNOWN,                                                     /* 54 UNKNOWN                                         */</v>
      </c>
    </row>
    <row r="61" spans="2:46">
      <c r="B61" s="138"/>
      <c r="C61" s="49">
        <f t="shared" si="2"/>
        <v>55</v>
      </c>
      <c r="D61" s="63" t="s">
        <v>67</v>
      </c>
      <c r="E61" s="63" t="s">
        <v>67</v>
      </c>
      <c r="F61" s="63" t="s">
        <v>67</v>
      </c>
      <c r="G61" s="63" t="s">
        <v>67</v>
      </c>
      <c r="H61" s="63" t="s">
        <v>67</v>
      </c>
      <c r="I61" s="63" t="s">
        <v>67</v>
      </c>
      <c r="J61" s="63" t="s">
        <v>67</v>
      </c>
      <c r="K61" s="63" t="s">
        <v>67</v>
      </c>
      <c r="L61" s="63" t="s">
        <v>67</v>
      </c>
      <c r="M61" s="63" t="s">
        <v>67</v>
      </c>
      <c r="N61" s="63" t="s">
        <v>67</v>
      </c>
      <c r="O61" s="63" t="s">
        <v>67</v>
      </c>
      <c r="P61" s="63" t="s">
        <v>67</v>
      </c>
      <c r="Q61" s="63" t="s">
        <v>67</v>
      </c>
      <c r="R61" s="63" t="s">
        <v>67</v>
      </c>
      <c r="S61" s="63" t="s">
        <v>67</v>
      </c>
      <c r="T61" s="63" t="s">
        <v>67</v>
      </c>
      <c r="U61" s="63" t="s">
        <v>67</v>
      </c>
      <c r="V61" s="63" t="s">
        <v>67</v>
      </c>
      <c r="W61" s="63" t="s">
        <v>67</v>
      </c>
      <c r="X61" s="63" t="s">
        <v>67</v>
      </c>
      <c r="Y61" s="63" t="s">
        <v>67</v>
      </c>
      <c r="Z61" s="63" t="s">
        <v>67</v>
      </c>
      <c r="AA61" s="63" t="s">
        <v>67</v>
      </c>
      <c r="AB61" s="63" t="s">
        <v>67</v>
      </c>
      <c r="AC61" s="63" t="s">
        <v>67</v>
      </c>
      <c r="AD61" s="133">
        <v>1</v>
      </c>
      <c r="AE61" s="133">
        <v>1</v>
      </c>
      <c r="AF61" s="63">
        <v>0</v>
      </c>
      <c r="AG61" s="63">
        <v>1</v>
      </c>
      <c r="AH61" s="63">
        <v>1</v>
      </c>
      <c r="AI61" s="63">
        <v>1</v>
      </c>
      <c r="AJ61" s="53" t="s">
        <v>32</v>
      </c>
      <c r="AL61" t="str">
        <f t="shared" si="0"/>
        <v xml:space="preserve">    (U1)ALERT_REQ_UNKNOWN</v>
      </c>
      <c r="AR61" s="65" t="str">
        <f t="shared" si="3"/>
        <v xml:space="preserve">    (U4)0x00000037U,                                                           /* 55 UNKNOWN                                         */</v>
      </c>
      <c r="AS61" s="65" t="str">
        <f t="shared" si="4"/>
        <v xml:space="preserve">    (U4)0x0000003FU,                                                           /* 55 UNKNOWN                                         */</v>
      </c>
      <c r="AT61" s="65" t="str">
        <f t="shared" si="1"/>
        <v xml:space="preserve">    (U1)ALERT_REQ_UNKNOWN,                                                     /* 55 UNKNOWN                                         */</v>
      </c>
    </row>
    <row r="62" spans="2:46">
      <c r="B62" s="138"/>
      <c r="C62" s="49">
        <f t="shared" si="2"/>
        <v>56</v>
      </c>
      <c r="D62" s="63" t="s">
        <v>67</v>
      </c>
      <c r="E62" s="63" t="s">
        <v>67</v>
      </c>
      <c r="F62" s="63" t="s">
        <v>67</v>
      </c>
      <c r="G62" s="63" t="s">
        <v>67</v>
      </c>
      <c r="H62" s="63" t="s">
        <v>67</v>
      </c>
      <c r="I62" s="63" t="s">
        <v>67</v>
      </c>
      <c r="J62" s="63" t="s">
        <v>67</v>
      </c>
      <c r="K62" s="63" t="s">
        <v>67</v>
      </c>
      <c r="L62" s="63" t="s">
        <v>67</v>
      </c>
      <c r="M62" s="63" t="s">
        <v>67</v>
      </c>
      <c r="N62" s="63" t="s">
        <v>67</v>
      </c>
      <c r="O62" s="63" t="s">
        <v>67</v>
      </c>
      <c r="P62" s="63" t="s">
        <v>67</v>
      </c>
      <c r="Q62" s="63" t="s">
        <v>67</v>
      </c>
      <c r="R62" s="63" t="s">
        <v>67</v>
      </c>
      <c r="S62" s="63" t="s">
        <v>67</v>
      </c>
      <c r="T62" s="63" t="s">
        <v>67</v>
      </c>
      <c r="U62" s="63" t="s">
        <v>67</v>
      </c>
      <c r="V62" s="63" t="s">
        <v>67</v>
      </c>
      <c r="W62" s="63" t="s">
        <v>67</v>
      </c>
      <c r="X62" s="63" t="s">
        <v>67</v>
      </c>
      <c r="Y62" s="63" t="s">
        <v>67</v>
      </c>
      <c r="Z62" s="63" t="s">
        <v>67</v>
      </c>
      <c r="AA62" s="63" t="s">
        <v>67</v>
      </c>
      <c r="AB62" s="63" t="s">
        <v>67</v>
      </c>
      <c r="AC62" s="63" t="s">
        <v>67</v>
      </c>
      <c r="AD62" s="133">
        <v>1</v>
      </c>
      <c r="AE62" s="133">
        <v>1</v>
      </c>
      <c r="AF62" s="63">
        <v>1</v>
      </c>
      <c r="AG62" s="63">
        <v>0</v>
      </c>
      <c r="AH62" s="63">
        <v>0</v>
      </c>
      <c r="AI62" s="63">
        <v>0</v>
      </c>
      <c r="AJ62" s="53" t="s">
        <v>32</v>
      </c>
      <c r="AL62" t="str">
        <f t="shared" si="0"/>
        <v xml:space="preserve">    (U1)ALERT_REQ_UNKNOWN</v>
      </c>
      <c r="AR62" s="65" t="str">
        <f t="shared" si="3"/>
        <v xml:space="preserve">    (U4)0x00000038U,                                                           /* 56 UNKNOWN                                         */</v>
      </c>
      <c r="AS62" s="65" t="str">
        <f t="shared" si="4"/>
        <v xml:space="preserve">    (U4)0x0000003FU,                                                           /* 56 UNKNOWN                                         */</v>
      </c>
      <c r="AT62" s="65" t="str">
        <f t="shared" si="1"/>
        <v xml:space="preserve">    (U1)ALERT_REQ_UNKNOWN,                                                     /* 56 UNKNOWN                                         */</v>
      </c>
    </row>
    <row r="63" spans="2:46">
      <c r="B63" s="138"/>
      <c r="C63" s="49">
        <f t="shared" si="2"/>
        <v>57</v>
      </c>
      <c r="D63" s="63" t="s">
        <v>67</v>
      </c>
      <c r="E63" s="63" t="s">
        <v>67</v>
      </c>
      <c r="F63" s="63" t="s">
        <v>67</v>
      </c>
      <c r="G63" s="63" t="s">
        <v>67</v>
      </c>
      <c r="H63" s="63" t="s">
        <v>67</v>
      </c>
      <c r="I63" s="63" t="s">
        <v>67</v>
      </c>
      <c r="J63" s="63" t="s">
        <v>67</v>
      </c>
      <c r="K63" s="63" t="s">
        <v>67</v>
      </c>
      <c r="L63" s="63" t="s">
        <v>67</v>
      </c>
      <c r="M63" s="63" t="s">
        <v>67</v>
      </c>
      <c r="N63" s="63" t="s">
        <v>67</v>
      </c>
      <c r="O63" s="63" t="s">
        <v>67</v>
      </c>
      <c r="P63" s="63" t="s">
        <v>67</v>
      </c>
      <c r="Q63" s="63" t="s">
        <v>67</v>
      </c>
      <c r="R63" s="63" t="s">
        <v>67</v>
      </c>
      <c r="S63" s="63" t="s">
        <v>67</v>
      </c>
      <c r="T63" s="63" t="s">
        <v>67</v>
      </c>
      <c r="U63" s="63" t="s">
        <v>67</v>
      </c>
      <c r="V63" s="63" t="s">
        <v>67</v>
      </c>
      <c r="W63" s="63" t="s">
        <v>67</v>
      </c>
      <c r="X63" s="63" t="s">
        <v>67</v>
      </c>
      <c r="Y63" s="63" t="s">
        <v>67</v>
      </c>
      <c r="Z63" s="63" t="s">
        <v>67</v>
      </c>
      <c r="AA63" s="63" t="s">
        <v>67</v>
      </c>
      <c r="AB63" s="63" t="s">
        <v>67</v>
      </c>
      <c r="AC63" s="63" t="s">
        <v>67</v>
      </c>
      <c r="AD63" s="133">
        <v>1</v>
      </c>
      <c r="AE63" s="133">
        <v>1</v>
      </c>
      <c r="AF63" s="63">
        <v>1</v>
      </c>
      <c r="AG63" s="63">
        <v>0</v>
      </c>
      <c r="AH63" s="63">
        <v>0</v>
      </c>
      <c r="AI63" s="63">
        <v>1</v>
      </c>
      <c r="AJ63" s="53" t="s">
        <v>32</v>
      </c>
      <c r="AL63" t="str">
        <f t="shared" si="0"/>
        <v xml:space="preserve">    (U1)ALERT_REQ_UNKNOWN</v>
      </c>
      <c r="AR63" s="65" t="str">
        <f t="shared" si="3"/>
        <v xml:space="preserve">    (U4)0x00000039U,                                                           /* 57 UNKNOWN                                         */</v>
      </c>
      <c r="AS63" s="65" t="str">
        <f t="shared" si="4"/>
        <v xml:space="preserve">    (U4)0x0000003FU,                                                           /* 57 UNKNOWN                                         */</v>
      </c>
      <c r="AT63" s="65" t="str">
        <f t="shared" si="1"/>
        <v xml:space="preserve">    (U1)ALERT_REQ_UNKNOWN,                                                     /* 57 UNKNOWN                                         */</v>
      </c>
    </row>
    <row r="64" spans="2:46">
      <c r="B64" s="138"/>
      <c r="C64" s="49">
        <f t="shared" si="2"/>
        <v>58</v>
      </c>
      <c r="D64" s="63" t="s">
        <v>67</v>
      </c>
      <c r="E64" s="63" t="s">
        <v>67</v>
      </c>
      <c r="F64" s="63" t="s">
        <v>67</v>
      </c>
      <c r="G64" s="63" t="s">
        <v>67</v>
      </c>
      <c r="H64" s="63" t="s">
        <v>67</v>
      </c>
      <c r="I64" s="63" t="s">
        <v>67</v>
      </c>
      <c r="J64" s="63" t="s">
        <v>67</v>
      </c>
      <c r="K64" s="63" t="s">
        <v>67</v>
      </c>
      <c r="L64" s="63" t="s">
        <v>67</v>
      </c>
      <c r="M64" s="63" t="s">
        <v>67</v>
      </c>
      <c r="N64" s="63" t="s">
        <v>67</v>
      </c>
      <c r="O64" s="63" t="s">
        <v>67</v>
      </c>
      <c r="P64" s="63" t="s">
        <v>67</v>
      </c>
      <c r="Q64" s="63" t="s">
        <v>67</v>
      </c>
      <c r="R64" s="63" t="s">
        <v>67</v>
      </c>
      <c r="S64" s="63" t="s">
        <v>67</v>
      </c>
      <c r="T64" s="63" t="s">
        <v>67</v>
      </c>
      <c r="U64" s="63" t="s">
        <v>67</v>
      </c>
      <c r="V64" s="63" t="s">
        <v>67</v>
      </c>
      <c r="W64" s="63" t="s">
        <v>67</v>
      </c>
      <c r="X64" s="63" t="s">
        <v>67</v>
      </c>
      <c r="Y64" s="63" t="s">
        <v>67</v>
      </c>
      <c r="Z64" s="63" t="s">
        <v>67</v>
      </c>
      <c r="AA64" s="63" t="s">
        <v>67</v>
      </c>
      <c r="AB64" s="63" t="s">
        <v>67</v>
      </c>
      <c r="AC64" s="63" t="s">
        <v>67</v>
      </c>
      <c r="AD64" s="133">
        <v>1</v>
      </c>
      <c r="AE64" s="133">
        <v>1</v>
      </c>
      <c r="AF64" s="63">
        <v>1</v>
      </c>
      <c r="AG64" s="63">
        <v>0</v>
      </c>
      <c r="AH64" s="63">
        <v>1</v>
      </c>
      <c r="AI64" s="63">
        <v>0</v>
      </c>
      <c r="AJ64" s="53" t="s">
        <v>32</v>
      </c>
      <c r="AL64" t="str">
        <f t="shared" si="0"/>
        <v xml:space="preserve">    (U1)ALERT_REQ_UNKNOWN</v>
      </c>
      <c r="AR64" s="65" t="str">
        <f t="shared" si="3"/>
        <v xml:space="preserve">    (U4)0x0000003AU,                                                           /* 58 UNKNOWN                                         */</v>
      </c>
      <c r="AS64" s="65" t="str">
        <f t="shared" si="4"/>
        <v xml:space="preserve">    (U4)0x0000003FU,                                                           /* 58 UNKNOWN                                         */</v>
      </c>
      <c r="AT64" s="65" t="str">
        <f t="shared" si="1"/>
        <v xml:space="preserve">    (U1)ALERT_REQ_UNKNOWN,                                                     /* 58 UNKNOWN                                         */</v>
      </c>
    </row>
    <row r="65" spans="1:46">
      <c r="B65" s="138"/>
      <c r="C65" s="49">
        <f t="shared" si="2"/>
        <v>59</v>
      </c>
      <c r="D65" s="63" t="s">
        <v>67</v>
      </c>
      <c r="E65" s="63" t="s">
        <v>67</v>
      </c>
      <c r="F65" s="63" t="s">
        <v>67</v>
      </c>
      <c r="G65" s="63" t="s">
        <v>67</v>
      </c>
      <c r="H65" s="63" t="s">
        <v>67</v>
      </c>
      <c r="I65" s="63" t="s">
        <v>67</v>
      </c>
      <c r="J65" s="63" t="s">
        <v>67</v>
      </c>
      <c r="K65" s="63" t="s">
        <v>67</v>
      </c>
      <c r="L65" s="63" t="s">
        <v>67</v>
      </c>
      <c r="M65" s="63" t="s">
        <v>67</v>
      </c>
      <c r="N65" s="63" t="s">
        <v>67</v>
      </c>
      <c r="O65" s="63" t="s">
        <v>67</v>
      </c>
      <c r="P65" s="63" t="s">
        <v>67</v>
      </c>
      <c r="Q65" s="63" t="s">
        <v>67</v>
      </c>
      <c r="R65" s="63" t="s">
        <v>67</v>
      </c>
      <c r="S65" s="63" t="s">
        <v>67</v>
      </c>
      <c r="T65" s="63" t="s">
        <v>67</v>
      </c>
      <c r="U65" s="63" t="s">
        <v>67</v>
      </c>
      <c r="V65" s="63" t="s">
        <v>67</v>
      </c>
      <c r="W65" s="63" t="s">
        <v>67</v>
      </c>
      <c r="X65" s="63" t="s">
        <v>67</v>
      </c>
      <c r="Y65" s="63" t="s">
        <v>67</v>
      </c>
      <c r="Z65" s="63" t="s">
        <v>67</v>
      </c>
      <c r="AA65" s="63" t="s">
        <v>67</v>
      </c>
      <c r="AB65" s="63" t="s">
        <v>67</v>
      </c>
      <c r="AC65" s="63" t="s">
        <v>67</v>
      </c>
      <c r="AD65" s="133">
        <v>1</v>
      </c>
      <c r="AE65" s="133">
        <v>1</v>
      </c>
      <c r="AF65" s="63">
        <v>1</v>
      </c>
      <c r="AG65" s="63">
        <v>0</v>
      </c>
      <c r="AH65" s="63">
        <v>1</v>
      </c>
      <c r="AI65" s="63">
        <v>1</v>
      </c>
      <c r="AJ65" s="53" t="s">
        <v>32</v>
      </c>
      <c r="AL65" t="str">
        <f t="shared" si="0"/>
        <v xml:space="preserve">    (U1)ALERT_REQ_UNKNOWN</v>
      </c>
      <c r="AR65" s="65" t="str">
        <f t="shared" si="3"/>
        <v xml:space="preserve">    (U4)0x0000003BU,                                                           /* 59 UNKNOWN                                         */</v>
      </c>
      <c r="AS65" s="65" t="str">
        <f t="shared" si="4"/>
        <v xml:space="preserve">    (U4)0x0000003FU,                                                           /* 59 UNKNOWN                                         */</v>
      </c>
      <c r="AT65" s="65" t="str">
        <f t="shared" si="1"/>
        <v xml:space="preserve">    (U1)ALERT_REQ_UNKNOWN,                                                     /* 59 UNKNOWN                                         */</v>
      </c>
    </row>
    <row r="66" spans="1:46">
      <c r="B66" s="138"/>
      <c r="C66" s="49">
        <f t="shared" si="2"/>
        <v>60</v>
      </c>
      <c r="D66" s="63" t="s">
        <v>67</v>
      </c>
      <c r="E66" s="63" t="s">
        <v>67</v>
      </c>
      <c r="F66" s="63" t="s">
        <v>67</v>
      </c>
      <c r="G66" s="63" t="s">
        <v>67</v>
      </c>
      <c r="H66" s="63" t="s">
        <v>67</v>
      </c>
      <c r="I66" s="63" t="s">
        <v>67</v>
      </c>
      <c r="J66" s="63" t="s">
        <v>67</v>
      </c>
      <c r="K66" s="63" t="s">
        <v>67</v>
      </c>
      <c r="L66" s="63" t="s">
        <v>67</v>
      </c>
      <c r="M66" s="63" t="s">
        <v>67</v>
      </c>
      <c r="N66" s="63" t="s">
        <v>67</v>
      </c>
      <c r="O66" s="63" t="s">
        <v>67</v>
      </c>
      <c r="P66" s="63" t="s">
        <v>67</v>
      </c>
      <c r="Q66" s="63" t="s">
        <v>67</v>
      </c>
      <c r="R66" s="63" t="s">
        <v>67</v>
      </c>
      <c r="S66" s="63" t="s">
        <v>67</v>
      </c>
      <c r="T66" s="63" t="s">
        <v>67</v>
      </c>
      <c r="U66" s="63" t="s">
        <v>67</v>
      </c>
      <c r="V66" s="63" t="s">
        <v>67</v>
      </c>
      <c r="W66" s="63" t="s">
        <v>67</v>
      </c>
      <c r="X66" s="63" t="s">
        <v>67</v>
      </c>
      <c r="Y66" s="63" t="s">
        <v>67</v>
      </c>
      <c r="Z66" s="63" t="s">
        <v>67</v>
      </c>
      <c r="AA66" s="63" t="s">
        <v>67</v>
      </c>
      <c r="AB66" s="63" t="s">
        <v>67</v>
      </c>
      <c r="AC66" s="63" t="s">
        <v>67</v>
      </c>
      <c r="AD66" s="133">
        <v>1</v>
      </c>
      <c r="AE66" s="133">
        <v>1</v>
      </c>
      <c r="AF66" s="63">
        <v>1</v>
      </c>
      <c r="AG66" s="63">
        <v>1</v>
      </c>
      <c r="AH66" s="63">
        <v>0</v>
      </c>
      <c r="AI66" s="63">
        <v>0</v>
      </c>
      <c r="AJ66" s="53" t="s">
        <v>32</v>
      </c>
      <c r="AL66" t="str">
        <f t="shared" si="0"/>
        <v xml:space="preserve">    (U1)ALERT_REQ_UNKNOWN</v>
      </c>
      <c r="AR66" s="65" t="str">
        <f t="shared" si="3"/>
        <v xml:space="preserve">    (U4)0x0000003CU,                                                           /* 60 UNKNOWN                                         */</v>
      </c>
      <c r="AS66" s="65" t="str">
        <f t="shared" si="4"/>
        <v xml:space="preserve">    (U4)0x0000003FU,                                                           /* 60 UNKNOWN                                         */</v>
      </c>
      <c r="AT66" s="65" t="str">
        <f t="shared" si="1"/>
        <v xml:space="preserve">    (U1)ALERT_REQ_UNKNOWN,                                                     /* 60 UNKNOWN                                         */</v>
      </c>
    </row>
    <row r="67" spans="1:46">
      <c r="B67" s="138"/>
      <c r="C67" s="49">
        <f t="shared" si="2"/>
        <v>61</v>
      </c>
      <c r="D67" s="63" t="s">
        <v>67</v>
      </c>
      <c r="E67" s="63" t="s">
        <v>67</v>
      </c>
      <c r="F67" s="63" t="s">
        <v>67</v>
      </c>
      <c r="G67" s="63" t="s">
        <v>67</v>
      </c>
      <c r="H67" s="63" t="s">
        <v>67</v>
      </c>
      <c r="I67" s="63" t="s">
        <v>67</v>
      </c>
      <c r="J67" s="63" t="s">
        <v>67</v>
      </c>
      <c r="K67" s="63" t="s">
        <v>67</v>
      </c>
      <c r="L67" s="63" t="s">
        <v>67</v>
      </c>
      <c r="M67" s="63" t="s">
        <v>67</v>
      </c>
      <c r="N67" s="63" t="s">
        <v>67</v>
      </c>
      <c r="O67" s="63" t="s">
        <v>67</v>
      </c>
      <c r="P67" s="63" t="s">
        <v>67</v>
      </c>
      <c r="Q67" s="63" t="s">
        <v>67</v>
      </c>
      <c r="R67" s="63" t="s">
        <v>67</v>
      </c>
      <c r="S67" s="63" t="s">
        <v>67</v>
      </c>
      <c r="T67" s="63" t="s">
        <v>67</v>
      </c>
      <c r="U67" s="63" t="s">
        <v>67</v>
      </c>
      <c r="V67" s="63" t="s">
        <v>67</v>
      </c>
      <c r="W67" s="63" t="s">
        <v>67</v>
      </c>
      <c r="X67" s="63" t="s">
        <v>67</v>
      </c>
      <c r="Y67" s="63" t="s">
        <v>67</v>
      </c>
      <c r="Z67" s="63" t="s">
        <v>67</v>
      </c>
      <c r="AA67" s="63" t="s">
        <v>67</v>
      </c>
      <c r="AB67" s="63" t="s">
        <v>67</v>
      </c>
      <c r="AC67" s="63" t="s">
        <v>67</v>
      </c>
      <c r="AD67" s="133">
        <v>1</v>
      </c>
      <c r="AE67" s="133">
        <v>1</v>
      </c>
      <c r="AF67" s="63">
        <v>1</v>
      </c>
      <c r="AG67" s="63">
        <v>1</v>
      </c>
      <c r="AH67" s="63">
        <v>0</v>
      </c>
      <c r="AI67" s="63">
        <v>1</v>
      </c>
      <c r="AJ67" s="53" t="s">
        <v>32</v>
      </c>
      <c r="AL67" t="str">
        <f t="shared" si="0"/>
        <v xml:space="preserve">    (U1)ALERT_REQ_UNKNOWN</v>
      </c>
      <c r="AR67" s="65" t="str">
        <f t="shared" si="3"/>
        <v xml:space="preserve">    (U4)0x0000003DU,                                                           /* 61 UNKNOWN                                         */</v>
      </c>
      <c r="AS67" s="65" t="str">
        <f t="shared" si="4"/>
        <v xml:space="preserve">    (U4)0x0000003FU,                                                           /* 61 UNKNOWN                                         */</v>
      </c>
      <c r="AT67" s="65" t="str">
        <f t="shared" si="1"/>
        <v xml:space="preserve">    (U1)ALERT_REQ_UNKNOWN,                                                     /* 61 UNKNOWN                                         */</v>
      </c>
    </row>
    <row r="68" spans="1:46">
      <c r="B68" s="138"/>
      <c r="C68" s="49">
        <f t="shared" si="2"/>
        <v>62</v>
      </c>
      <c r="D68" s="63" t="s">
        <v>67</v>
      </c>
      <c r="E68" s="63" t="s">
        <v>67</v>
      </c>
      <c r="F68" s="63" t="s">
        <v>67</v>
      </c>
      <c r="G68" s="63" t="s">
        <v>67</v>
      </c>
      <c r="H68" s="63" t="s">
        <v>67</v>
      </c>
      <c r="I68" s="63" t="s">
        <v>67</v>
      </c>
      <c r="J68" s="63" t="s">
        <v>67</v>
      </c>
      <c r="K68" s="63" t="s">
        <v>67</v>
      </c>
      <c r="L68" s="63" t="s">
        <v>67</v>
      </c>
      <c r="M68" s="63" t="s">
        <v>67</v>
      </c>
      <c r="N68" s="63" t="s">
        <v>67</v>
      </c>
      <c r="O68" s="63" t="s">
        <v>67</v>
      </c>
      <c r="P68" s="63" t="s">
        <v>67</v>
      </c>
      <c r="Q68" s="63" t="s">
        <v>67</v>
      </c>
      <c r="R68" s="63" t="s">
        <v>67</v>
      </c>
      <c r="S68" s="63" t="s">
        <v>67</v>
      </c>
      <c r="T68" s="63" t="s">
        <v>67</v>
      </c>
      <c r="U68" s="63" t="s">
        <v>67</v>
      </c>
      <c r="V68" s="63" t="s">
        <v>67</v>
      </c>
      <c r="W68" s="63" t="s">
        <v>67</v>
      </c>
      <c r="X68" s="63" t="s">
        <v>67</v>
      </c>
      <c r="Y68" s="63" t="s">
        <v>67</v>
      </c>
      <c r="Z68" s="63" t="s">
        <v>67</v>
      </c>
      <c r="AA68" s="63" t="s">
        <v>67</v>
      </c>
      <c r="AB68" s="63" t="s">
        <v>67</v>
      </c>
      <c r="AC68" s="63" t="s">
        <v>67</v>
      </c>
      <c r="AD68" s="133">
        <v>1</v>
      </c>
      <c r="AE68" s="133">
        <v>1</v>
      </c>
      <c r="AF68" s="63">
        <v>1</v>
      </c>
      <c r="AG68" s="63">
        <v>1</v>
      </c>
      <c r="AH68" s="63">
        <v>1</v>
      </c>
      <c r="AI68" s="63">
        <v>0</v>
      </c>
      <c r="AJ68" s="53" t="s">
        <v>32</v>
      </c>
      <c r="AL68" t="str">
        <f t="shared" si="0"/>
        <v xml:space="preserve">    (U1)ALERT_REQ_UNKNOWN</v>
      </c>
      <c r="AR68" s="65" t="str">
        <f t="shared" si="3"/>
        <v xml:space="preserve">    (U4)0x0000003EU,                                                           /* 62 UNKNOWN                                         */</v>
      </c>
      <c r="AS68" s="65" t="str">
        <f t="shared" si="4"/>
        <v xml:space="preserve">    (U4)0x0000003FU,                                                           /* 62 UNKNOWN                                         */</v>
      </c>
      <c r="AT68" s="65" t="str">
        <f t="shared" si="1"/>
        <v xml:space="preserve">    (U1)ALERT_REQ_UNKNOWN,                                                     /* 62 UNKNOWN                                         */</v>
      </c>
    </row>
    <row r="69" spans="1:46">
      <c r="B69" s="139"/>
      <c r="C69" s="49">
        <f t="shared" si="2"/>
        <v>63</v>
      </c>
      <c r="D69" s="63" t="s">
        <v>67</v>
      </c>
      <c r="E69" s="63" t="s">
        <v>67</v>
      </c>
      <c r="F69" s="63" t="s">
        <v>67</v>
      </c>
      <c r="G69" s="63" t="s">
        <v>67</v>
      </c>
      <c r="H69" s="63" t="s">
        <v>67</v>
      </c>
      <c r="I69" s="63" t="s">
        <v>67</v>
      </c>
      <c r="J69" s="63" t="s">
        <v>67</v>
      </c>
      <c r="K69" s="63" t="s">
        <v>67</v>
      </c>
      <c r="L69" s="63" t="s">
        <v>67</v>
      </c>
      <c r="M69" s="63" t="s">
        <v>67</v>
      </c>
      <c r="N69" s="63" t="s">
        <v>67</v>
      </c>
      <c r="O69" s="63" t="s">
        <v>67</v>
      </c>
      <c r="P69" s="63" t="s">
        <v>67</v>
      </c>
      <c r="Q69" s="63" t="s">
        <v>67</v>
      </c>
      <c r="R69" s="63" t="s">
        <v>67</v>
      </c>
      <c r="S69" s="63" t="s">
        <v>67</v>
      </c>
      <c r="T69" s="63" t="s">
        <v>67</v>
      </c>
      <c r="U69" s="63" t="s">
        <v>67</v>
      </c>
      <c r="V69" s="63" t="s">
        <v>67</v>
      </c>
      <c r="W69" s="63" t="s">
        <v>67</v>
      </c>
      <c r="X69" s="63" t="s">
        <v>67</v>
      </c>
      <c r="Y69" s="63" t="s">
        <v>67</v>
      </c>
      <c r="Z69" s="63" t="s">
        <v>67</v>
      </c>
      <c r="AA69" s="63" t="s">
        <v>67</v>
      </c>
      <c r="AB69" s="63" t="s">
        <v>67</v>
      </c>
      <c r="AC69" s="63" t="s">
        <v>67</v>
      </c>
      <c r="AD69" s="133">
        <v>1</v>
      </c>
      <c r="AE69" s="133">
        <v>1</v>
      </c>
      <c r="AF69" s="63">
        <v>1</v>
      </c>
      <c r="AG69" s="63">
        <v>1</v>
      </c>
      <c r="AH69" s="63">
        <v>1</v>
      </c>
      <c r="AI69" s="63">
        <v>1</v>
      </c>
      <c r="AJ69" s="53" t="s">
        <v>32</v>
      </c>
      <c r="AL69" t="str">
        <f t="shared" si="0"/>
        <v xml:space="preserve">    (U1)ALERT_REQ_UNKNOWN</v>
      </c>
      <c r="AR69" s="65" t="str">
        <f t="shared" si="3"/>
        <v xml:space="preserve">    (U4)0x0000003FU                                                            /* 63 UNKNOWN                                         */</v>
      </c>
      <c r="AS69" s="65" t="str">
        <f t="shared" si="4"/>
        <v xml:space="preserve">    (U4)0x0000003FU                                                            /* 63 UNKNOWN                                         */</v>
      </c>
      <c r="AT69" s="65" t="str">
        <f t="shared" si="1"/>
        <v xml:space="preserve">    (U1)ALERT_REQ_UNKNOWN                                                      /* 63 UNKNOWN                                         */</v>
      </c>
    </row>
    <row r="70" spans="1:46" ht="14.25" thickBot="1">
      <c r="A70" s="58" t="s">
        <v>64</v>
      </c>
      <c r="B70" s="59"/>
      <c r="C70" s="59"/>
      <c r="D70" s="61"/>
      <c r="E70" s="61"/>
      <c r="F70" s="61"/>
      <c r="G70" s="61"/>
      <c r="H70" s="61"/>
      <c r="I70" s="61"/>
      <c r="J70" s="61"/>
      <c r="K70" s="61"/>
      <c r="L70" s="61"/>
      <c r="M70" s="61"/>
      <c r="N70" s="61"/>
      <c r="O70" s="61"/>
      <c r="P70" s="61"/>
      <c r="Q70" s="61"/>
      <c r="R70" s="61"/>
      <c r="S70" s="61"/>
      <c r="T70" s="61"/>
      <c r="U70" s="61"/>
      <c r="V70" s="61"/>
      <c r="W70" s="61"/>
      <c r="X70" s="61"/>
      <c r="Y70" s="61"/>
      <c r="Z70" s="61"/>
      <c r="AA70" s="61"/>
      <c r="AB70" s="61"/>
      <c r="AC70" s="61"/>
      <c r="AD70" s="61"/>
      <c r="AE70" s="61"/>
      <c r="AF70" s="61"/>
      <c r="AG70" s="61"/>
      <c r="AH70" s="61"/>
      <c r="AI70" s="61"/>
      <c r="AJ70" s="59"/>
      <c r="AR70" s="66" t="str">
        <f t="shared" si="3"/>
        <v>};</v>
      </c>
      <c r="AS70" s="66" t="str">
        <f t="shared" si="4"/>
        <v>};</v>
      </c>
      <c r="AT70" s="66" t="str">
        <f t="shared" ref="AT70" si="5">IF(AJ70&lt;&gt;"",AL70&amp;IF(AJ71&lt;&gt;"",","," ")&amp;REPT(" ",78-LEN(AL70))&amp;"/* "&amp;IF(C70&lt;10,"0"&amp;C70,C70)&amp;" "&amp;AJ70&amp;REPT(" ",48-LEN(AJ70))&amp;"*/",IF(AJ69&lt;&gt;"","};",""))</f>
        <v>};</v>
      </c>
    </row>
    <row r="71" spans="1:46">
      <c r="B71" s="140" t="str">
        <f ca="1">IF(B6&lt;&gt;"",B6,"")</f>
        <v>Table BZ</v>
      </c>
      <c r="C71" s="49">
        <f>IF(C6&lt;&gt;"",C6,"")</f>
        <v>0</v>
      </c>
      <c r="D71" s="130">
        <f t="shared" ref="D71:AI78" si="6">IF(D6=1,1,0)</f>
        <v>0</v>
      </c>
      <c r="E71" s="130">
        <f t="shared" si="6"/>
        <v>0</v>
      </c>
      <c r="F71" s="130">
        <f t="shared" si="6"/>
        <v>0</v>
      </c>
      <c r="G71" s="130">
        <f t="shared" si="6"/>
        <v>0</v>
      </c>
      <c r="H71" s="130">
        <f t="shared" si="6"/>
        <v>0</v>
      </c>
      <c r="I71" s="130">
        <f t="shared" si="6"/>
        <v>0</v>
      </c>
      <c r="J71" s="130">
        <f t="shared" si="6"/>
        <v>0</v>
      </c>
      <c r="K71" s="130">
        <f t="shared" si="6"/>
        <v>0</v>
      </c>
      <c r="L71" s="130">
        <f t="shared" si="6"/>
        <v>0</v>
      </c>
      <c r="M71" s="130">
        <f t="shared" si="6"/>
        <v>0</v>
      </c>
      <c r="N71" s="130">
        <f t="shared" si="6"/>
        <v>0</v>
      </c>
      <c r="O71" s="130">
        <f t="shared" si="6"/>
        <v>0</v>
      </c>
      <c r="P71" s="130">
        <f t="shared" si="6"/>
        <v>0</v>
      </c>
      <c r="Q71" s="130">
        <f t="shared" si="6"/>
        <v>0</v>
      </c>
      <c r="R71" s="130">
        <f t="shared" si="6"/>
        <v>0</v>
      </c>
      <c r="S71" s="130">
        <f t="shared" si="6"/>
        <v>0</v>
      </c>
      <c r="T71" s="130">
        <f t="shared" si="6"/>
        <v>0</v>
      </c>
      <c r="U71" s="130">
        <f t="shared" si="6"/>
        <v>0</v>
      </c>
      <c r="V71" s="130">
        <f t="shared" si="6"/>
        <v>0</v>
      </c>
      <c r="W71" s="130">
        <f t="shared" si="6"/>
        <v>0</v>
      </c>
      <c r="X71" s="130">
        <f t="shared" si="6"/>
        <v>0</v>
      </c>
      <c r="Y71" s="130">
        <f t="shared" si="6"/>
        <v>0</v>
      </c>
      <c r="Z71" s="130">
        <f t="shared" si="6"/>
        <v>0</v>
      </c>
      <c r="AA71" s="130">
        <f t="shared" si="6"/>
        <v>0</v>
      </c>
      <c r="AB71" s="130">
        <f t="shared" si="6"/>
        <v>0</v>
      </c>
      <c r="AC71" s="130">
        <f t="shared" si="6"/>
        <v>0</v>
      </c>
      <c r="AD71" s="130">
        <f t="shared" si="6"/>
        <v>0</v>
      </c>
      <c r="AE71" s="130">
        <f t="shared" si="6"/>
        <v>0</v>
      </c>
      <c r="AF71" s="130">
        <f t="shared" si="6"/>
        <v>0</v>
      </c>
      <c r="AG71" s="130">
        <f t="shared" si="6"/>
        <v>0</v>
      </c>
      <c r="AH71" s="130">
        <f t="shared" si="6"/>
        <v>0</v>
      </c>
      <c r="AI71" s="130">
        <f t="shared" si="6"/>
        <v>0</v>
      </c>
      <c r="AJ71" s="49" t="str">
        <f t="shared" ref="AJ71:AJ134" si="7">IF(AJ6&lt;&gt;"",AJ6,"")</f>
        <v>UNKNOWN</v>
      </c>
      <c r="AK71" s="62"/>
      <c r="AL71" s="62" t="str">
        <f>BIN2HEX(AB71&amp;AC71&amp;AD71&amp;AE71&amp;AF71&amp;AG71&amp;AH71&amp;AI71,2)</f>
        <v>00</v>
      </c>
      <c r="AM71" s="64" t="str">
        <f>BIN2HEX(T71&amp;U71&amp;V71&amp;W71&amp;X71&amp;Y71&amp;Z71&amp;AA71,2)</f>
        <v>00</v>
      </c>
      <c r="AN71" s="64" t="str">
        <f>BIN2HEX(L71&amp;M71&amp;N71&amp;O71&amp;P71&amp;Q71&amp;R71&amp;S71,2)</f>
        <v>00</v>
      </c>
      <c r="AO71" s="64" t="str">
        <f>BIN2HEX(D71&amp;E71&amp;F71&amp;G71&amp;H71&amp;I71&amp;J71&amp;K71,2)</f>
        <v>00</v>
      </c>
      <c r="AQ71" t="str">
        <f t="shared" ref="AQ71:AQ134" si="8">IF(AJ71="","","    (U4)0x"&amp;AO71&amp;AN71&amp;AM71&amp;AL71&amp;"U"&amp;IF(AJ72=""," ",",")&amp;REPT(" ",59)&amp;"/* "&amp;IF(C71&lt;10,"0"&amp;C71,C71)&amp;" "&amp;AJ71&amp;REPT(" ",47-LEN(AJ71))&amp;" */")</f>
        <v xml:space="preserve">    (U4)0x00000000U,                                                           /* 00 UNKNOWN                                         */</v>
      </c>
    </row>
    <row r="72" spans="1:46">
      <c r="B72" s="138"/>
      <c r="C72" s="49">
        <f t="shared" ref="C72:C134" si="9">IF(C7&lt;&gt;"",C7,"")</f>
        <v>1</v>
      </c>
      <c r="D72" s="130">
        <f t="shared" si="6"/>
        <v>0</v>
      </c>
      <c r="E72" s="130">
        <f t="shared" si="6"/>
        <v>0</v>
      </c>
      <c r="F72" s="130">
        <f t="shared" si="6"/>
        <v>0</v>
      </c>
      <c r="G72" s="130">
        <f t="shared" si="6"/>
        <v>0</v>
      </c>
      <c r="H72" s="130">
        <f t="shared" si="6"/>
        <v>0</v>
      </c>
      <c r="I72" s="130">
        <f t="shared" si="6"/>
        <v>0</v>
      </c>
      <c r="J72" s="130">
        <f t="shared" si="6"/>
        <v>0</v>
      </c>
      <c r="K72" s="130">
        <f t="shared" si="6"/>
        <v>0</v>
      </c>
      <c r="L72" s="130">
        <f t="shared" si="6"/>
        <v>0</v>
      </c>
      <c r="M72" s="130">
        <f t="shared" si="6"/>
        <v>0</v>
      </c>
      <c r="N72" s="130">
        <f t="shared" si="6"/>
        <v>0</v>
      </c>
      <c r="O72" s="130">
        <f t="shared" si="6"/>
        <v>0</v>
      </c>
      <c r="P72" s="130">
        <f t="shared" si="6"/>
        <v>0</v>
      </c>
      <c r="Q72" s="130">
        <f t="shared" si="6"/>
        <v>0</v>
      </c>
      <c r="R72" s="130">
        <f t="shared" si="6"/>
        <v>0</v>
      </c>
      <c r="S72" s="130">
        <f t="shared" si="6"/>
        <v>0</v>
      </c>
      <c r="T72" s="130">
        <f t="shared" si="6"/>
        <v>0</v>
      </c>
      <c r="U72" s="130">
        <f t="shared" si="6"/>
        <v>0</v>
      </c>
      <c r="V72" s="130">
        <f t="shared" si="6"/>
        <v>0</v>
      </c>
      <c r="W72" s="130">
        <f t="shared" si="6"/>
        <v>0</v>
      </c>
      <c r="X72" s="130">
        <f t="shared" si="6"/>
        <v>0</v>
      </c>
      <c r="Y72" s="130">
        <f t="shared" si="6"/>
        <v>0</v>
      </c>
      <c r="Z72" s="130">
        <f t="shared" si="6"/>
        <v>0</v>
      </c>
      <c r="AA72" s="130">
        <f t="shared" si="6"/>
        <v>0</v>
      </c>
      <c r="AB72" s="130">
        <f t="shared" si="6"/>
        <v>0</v>
      </c>
      <c r="AC72" s="130">
        <f t="shared" si="6"/>
        <v>0</v>
      </c>
      <c r="AD72" s="130">
        <f t="shared" si="6"/>
        <v>0</v>
      </c>
      <c r="AE72" s="130">
        <f t="shared" si="6"/>
        <v>0</v>
      </c>
      <c r="AF72" s="130">
        <f t="shared" si="6"/>
        <v>0</v>
      </c>
      <c r="AG72" s="130">
        <f t="shared" si="6"/>
        <v>0</v>
      </c>
      <c r="AH72" s="130">
        <f t="shared" si="6"/>
        <v>0</v>
      </c>
      <c r="AI72" s="130">
        <f t="shared" si="6"/>
        <v>1</v>
      </c>
      <c r="AJ72" s="49" t="str">
        <f t="shared" si="7"/>
        <v>RCTA</v>
      </c>
      <c r="AK72" s="62"/>
      <c r="AL72" s="62" t="str">
        <f t="shared" ref="AL72:AL134" si="10">BIN2HEX(AB72&amp;AC72&amp;AD72&amp;AE72&amp;AF72&amp;AG72&amp;AH72&amp;AI72,2)</f>
        <v>01</v>
      </c>
      <c r="AM72" s="64" t="str">
        <f t="shared" ref="AM72:AM134" si="11">BIN2HEX(T72&amp;U72&amp;V72&amp;W72&amp;X72&amp;Y72&amp;Z72&amp;AA72,2)</f>
        <v>00</v>
      </c>
      <c r="AN72" s="64" t="str">
        <f t="shared" ref="AN72:AN134" si="12">BIN2HEX(L72&amp;M72&amp;N72&amp;O72&amp;P72&amp;Q72&amp;R72&amp;S72,2)</f>
        <v>00</v>
      </c>
      <c r="AO72" s="64" t="str">
        <f t="shared" ref="AO72:AO134" si="13">BIN2HEX(D72&amp;E72&amp;F72&amp;G72&amp;H72&amp;I72&amp;J72&amp;K72,2)</f>
        <v>00</v>
      </c>
      <c r="AQ72" t="str">
        <f t="shared" si="8"/>
        <v xml:space="preserve">    (U4)0x00000001U,                                                           /* 01 RCTA                                            */</v>
      </c>
    </row>
    <row r="73" spans="1:46">
      <c r="B73" s="138"/>
      <c r="C73" s="49">
        <f t="shared" si="9"/>
        <v>2</v>
      </c>
      <c r="D73" s="130">
        <f t="shared" si="6"/>
        <v>0</v>
      </c>
      <c r="E73" s="130">
        <f t="shared" si="6"/>
        <v>0</v>
      </c>
      <c r="F73" s="130">
        <f t="shared" si="6"/>
        <v>0</v>
      </c>
      <c r="G73" s="130">
        <f t="shared" si="6"/>
        <v>0</v>
      </c>
      <c r="H73" s="130">
        <f t="shared" si="6"/>
        <v>0</v>
      </c>
      <c r="I73" s="130">
        <f t="shared" si="6"/>
        <v>0</v>
      </c>
      <c r="J73" s="130">
        <f t="shared" si="6"/>
        <v>0</v>
      </c>
      <c r="K73" s="130">
        <f t="shared" si="6"/>
        <v>0</v>
      </c>
      <c r="L73" s="130">
        <f t="shared" si="6"/>
        <v>0</v>
      </c>
      <c r="M73" s="130">
        <f t="shared" si="6"/>
        <v>0</v>
      </c>
      <c r="N73" s="130">
        <f t="shared" si="6"/>
        <v>0</v>
      </c>
      <c r="O73" s="130">
        <f t="shared" si="6"/>
        <v>0</v>
      </c>
      <c r="P73" s="130">
        <f t="shared" si="6"/>
        <v>0</v>
      </c>
      <c r="Q73" s="130">
        <f t="shared" si="6"/>
        <v>0</v>
      </c>
      <c r="R73" s="130">
        <f t="shared" si="6"/>
        <v>0</v>
      </c>
      <c r="S73" s="130">
        <f t="shared" si="6"/>
        <v>0</v>
      </c>
      <c r="T73" s="130">
        <f t="shared" si="6"/>
        <v>0</v>
      </c>
      <c r="U73" s="130">
        <f t="shared" si="6"/>
        <v>0</v>
      </c>
      <c r="V73" s="130">
        <f t="shared" si="6"/>
        <v>0</v>
      </c>
      <c r="W73" s="130">
        <f t="shared" si="6"/>
        <v>0</v>
      </c>
      <c r="X73" s="130">
        <f t="shared" si="6"/>
        <v>0</v>
      </c>
      <c r="Y73" s="130">
        <f t="shared" si="6"/>
        <v>0</v>
      </c>
      <c r="Z73" s="130">
        <f t="shared" si="6"/>
        <v>0</v>
      </c>
      <c r="AA73" s="130">
        <f t="shared" si="6"/>
        <v>0</v>
      </c>
      <c r="AB73" s="130">
        <f t="shared" si="6"/>
        <v>0</v>
      </c>
      <c r="AC73" s="130">
        <f t="shared" si="6"/>
        <v>0</v>
      </c>
      <c r="AD73" s="130">
        <f t="shared" si="6"/>
        <v>0</v>
      </c>
      <c r="AE73" s="130">
        <f t="shared" si="6"/>
        <v>0</v>
      </c>
      <c r="AF73" s="130">
        <f t="shared" si="6"/>
        <v>0</v>
      </c>
      <c r="AG73" s="130">
        <f t="shared" si="6"/>
        <v>0</v>
      </c>
      <c r="AH73" s="130">
        <f t="shared" si="6"/>
        <v>1</v>
      </c>
      <c r="AI73" s="130">
        <f t="shared" si="6"/>
        <v>0</v>
      </c>
      <c r="AJ73" s="49" t="str">
        <f t="shared" si="7"/>
        <v>FR_CAD</v>
      </c>
      <c r="AK73" s="62"/>
      <c r="AL73" s="62" t="str">
        <f t="shared" si="10"/>
        <v>02</v>
      </c>
      <c r="AM73" s="64" t="str">
        <f t="shared" si="11"/>
        <v>00</v>
      </c>
      <c r="AN73" s="64" t="str">
        <f t="shared" si="12"/>
        <v>00</v>
      </c>
      <c r="AO73" s="64" t="str">
        <f t="shared" si="13"/>
        <v>00</v>
      </c>
      <c r="AQ73" t="str">
        <f t="shared" si="8"/>
        <v xml:space="preserve">    (U4)0x00000002U,                                                           /* 02 FR_CAD                                          */</v>
      </c>
    </row>
    <row r="74" spans="1:46">
      <c r="B74" s="138"/>
      <c r="C74" s="49">
        <f t="shared" si="9"/>
        <v>3</v>
      </c>
      <c r="D74" s="130">
        <f t="shared" si="6"/>
        <v>0</v>
      </c>
      <c r="E74" s="130">
        <f t="shared" si="6"/>
        <v>0</v>
      </c>
      <c r="F74" s="130">
        <f t="shared" si="6"/>
        <v>0</v>
      </c>
      <c r="G74" s="130">
        <f t="shared" si="6"/>
        <v>0</v>
      </c>
      <c r="H74" s="130">
        <f t="shared" si="6"/>
        <v>0</v>
      </c>
      <c r="I74" s="130">
        <f t="shared" si="6"/>
        <v>0</v>
      </c>
      <c r="J74" s="130">
        <f t="shared" si="6"/>
        <v>0</v>
      </c>
      <c r="K74" s="130">
        <f t="shared" si="6"/>
        <v>0</v>
      </c>
      <c r="L74" s="130">
        <f t="shared" si="6"/>
        <v>0</v>
      </c>
      <c r="M74" s="130">
        <f t="shared" si="6"/>
        <v>0</v>
      </c>
      <c r="N74" s="130">
        <f t="shared" si="6"/>
        <v>0</v>
      </c>
      <c r="O74" s="130">
        <f t="shared" si="6"/>
        <v>0</v>
      </c>
      <c r="P74" s="130">
        <f t="shared" si="6"/>
        <v>0</v>
      </c>
      <c r="Q74" s="130">
        <f t="shared" si="6"/>
        <v>0</v>
      </c>
      <c r="R74" s="130">
        <f t="shared" si="6"/>
        <v>0</v>
      </c>
      <c r="S74" s="130">
        <f t="shared" si="6"/>
        <v>0</v>
      </c>
      <c r="T74" s="130">
        <f t="shared" si="6"/>
        <v>0</v>
      </c>
      <c r="U74" s="130">
        <f t="shared" si="6"/>
        <v>0</v>
      </c>
      <c r="V74" s="130">
        <f t="shared" si="6"/>
        <v>0</v>
      </c>
      <c r="W74" s="130">
        <f t="shared" si="6"/>
        <v>0</v>
      </c>
      <c r="X74" s="130">
        <f t="shared" si="6"/>
        <v>0</v>
      </c>
      <c r="Y74" s="130">
        <f t="shared" si="6"/>
        <v>0</v>
      </c>
      <c r="Z74" s="130">
        <f t="shared" si="6"/>
        <v>0</v>
      </c>
      <c r="AA74" s="130">
        <f t="shared" si="6"/>
        <v>0</v>
      </c>
      <c r="AB74" s="130">
        <f t="shared" si="6"/>
        <v>0</v>
      </c>
      <c r="AC74" s="130">
        <f t="shared" si="6"/>
        <v>0</v>
      </c>
      <c r="AD74" s="130">
        <f t="shared" si="6"/>
        <v>0</v>
      </c>
      <c r="AE74" s="130">
        <f t="shared" si="6"/>
        <v>0</v>
      </c>
      <c r="AF74" s="130">
        <f t="shared" si="6"/>
        <v>0</v>
      </c>
      <c r="AG74" s="130">
        <f t="shared" si="6"/>
        <v>0</v>
      </c>
      <c r="AH74" s="130">
        <f t="shared" si="6"/>
        <v>1</v>
      </c>
      <c r="AI74" s="130">
        <f t="shared" si="6"/>
        <v>1</v>
      </c>
      <c r="AJ74" s="49" t="str">
        <f t="shared" si="7"/>
        <v>FR_SD</v>
      </c>
      <c r="AK74" s="62"/>
      <c r="AL74" s="62" t="str">
        <f t="shared" si="10"/>
        <v>03</v>
      </c>
      <c r="AM74" s="64" t="str">
        <f t="shared" si="11"/>
        <v>00</v>
      </c>
      <c r="AN74" s="64" t="str">
        <f t="shared" si="12"/>
        <v>00</v>
      </c>
      <c r="AO74" s="64" t="str">
        <f t="shared" si="13"/>
        <v>00</v>
      </c>
      <c r="AQ74" t="str">
        <f t="shared" si="8"/>
        <v xml:space="preserve">    (U4)0x00000003U,                                                           /* 03 FR_SD                                           */</v>
      </c>
    </row>
    <row r="75" spans="1:46">
      <c r="B75" s="138"/>
      <c r="C75" s="49">
        <f t="shared" si="9"/>
        <v>4</v>
      </c>
      <c r="D75" s="130">
        <f t="shared" si="6"/>
        <v>0</v>
      </c>
      <c r="E75" s="130">
        <f t="shared" si="6"/>
        <v>0</v>
      </c>
      <c r="F75" s="130">
        <f t="shared" si="6"/>
        <v>0</v>
      </c>
      <c r="G75" s="130">
        <f t="shared" si="6"/>
        <v>0</v>
      </c>
      <c r="H75" s="130">
        <f t="shared" si="6"/>
        <v>0</v>
      </c>
      <c r="I75" s="130">
        <f t="shared" si="6"/>
        <v>0</v>
      </c>
      <c r="J75" s="130">
        <f t="shared" si="6"/>
        <v>0</v>
      </c>
      <c r="K75" s="130">
        <f t="shared" si="6"/>
        <v>0</v>
      </c>
      <c r="L75" s="130">
        <f t="shared" si="6"/>
        <v>0</v>
      </c>
      <c r="M75" s="130">
        <f t="shared" si="6"/>
        <v>0</v>
      </c>
      <c r="N75" s="130">
        <f t="shared" si="6"/>
        <v>0</v>
      </c>
      <c r="O75" s="130">
        <f t="shared" si="6"/>
        <v>0</v>
      </c>
      <c r="P75" s="130">
        <f t="shared" si="6"/>
        <v>0</v>
      </c>
      <c r="Q75" s="130">
        <f t="shared" si="6"/>
        <v>0</v>
      </c>
      <c r="R75" s="130">
        <f t="shared" si="6"/>
        <v>0</v>
      </c>
      <c r="S75" s="130">
        <f t="shared" si="6"/>
        <v>0</v>
      </c>
      <c r="T75" s="130">
        <f t="shared" si="6"/>
        <v>0</v>
      </c>
      <c r="U75" s="130">
        <f t="shared" si="6"/>
        <v>0</v>
      </c>
      <c r="V75" s="130">
        <f t="shared" si="6"/>
        <v>0</v>
      </c>
      <c r="W75" s="130">
        <f t="shared" si="6"/>
        <v>0</v>
      </c>
      <c r="X75" s="130">
        <f t="shared" si="6"/>
        <v>0</v>
      </c>
      <c r="Y75" s="130">
        <f t="shared" si="6"/>
        <v>0</v>
      </c>
      <c r="Z75" s="130">
        <f t="shared" si="6"/>
        <v>0</v>
      </c>
      <c r="AA75" s="130">
        <f t="shared" si="6"/>
        <v>0</v>
      </c>
      <c r="AB75" s="130">
        <f t="shared" si="6"/>
        <v>0</v>
      </c>
      <c r="AC75" s="130">
        <f t="shared" si="6"/>
        <v>0</v>
      </c>
      <c r="AD75" s="130">
        <f t="shared" si="6"/>
        <v>0</v>
      </c>
      <c r="AE75" s="130">
        <f t="shared" si="6"/>
        <v>0</v>
      </c>
      <c r="AF75" s="130">
        <f t="shared" si="6"/>
        <v>0</v>
      </c>
      <c r="AG75" s="130">
        <f t="shared" si="6"/>
        <v>1</v>
      </c>
      <c r="AH75" s="130">
        <f t="shared" si="6"/>
        <v>0</v>
      </c>
      <c r="AI75" s="130">
        <f t="shared" si="6"/>
        <v>0</v>
      </c>
      <c r="AJ75" s="49" t="str">
        <f t="shared" si="7"/>
        <v>FR_MD</v>
      </c>
      <c r="AK75" s="62"/>
      <c r="AL75" s="62" t="str">
        <f t="shared" si="10"/>
        <v>04</v>
      </c>
      <c r="AM75" s="64" t="str">
        <f t="shared" si="11"/>
        <v>00</v>
      </c>
      <c r="AN75" s="64" t="str">
        <f t="shared" si="12"/>
        <v>00</v>
      </c>
      <c r="AO75" s="64" t="str">
        <f t="shared" si="13"/>
        <v>00</v>
      </c>
      <c r="AQ75" t="str">
        <f t="shared" si="8"/>
        <v xml:space="preserve">    (U4)0x00000004U,                                                           /* 04 FR_MD                                           */</v>
      </c>
    </row>
    <row r="76" spans="1:46">
      <c r="B76" s="138"/>
      <c r="C76" s="49">
        <f t="shared" si="9"/>
        <v>5</v>
      </c>
      <c r="D76" s="130">
        <f t="shared" si="6"/>
        <v>0</v>
      </c>
      <c r="E76" s="130">
        <f t="shared" si="6"/>
        <v>0</v>
      </c>
      <c r="F76" s="130">
        <f t="shared" si="6"/>
        <v>0</v>
      </c>
      <c r="G76" s="130">
        <f t="shared" si="6"/>
        <v>0</v>
      </c>
      <c r="H76" s="130">
        <f t="shared" si="6"/>
        <v>0</v>
      </c>
      <c r="I76" s="130">
        <f t="shared" si="6"/>
        <v>0</v>
      </c>
      <c r="J76" s="130">
        <f t="shared" si="6"/>
        <v>0</v>
      </c>
      <c r="K76" s="130">
        <f t="shared" si="6"/>
        <v>0</v>
      </c>
      <c r="L76" s="130">
        <f t="shared" si="6"/>
        <v>0</v>
      </c>
      <c r="M76" s="130">
        <f t="shared" si="6"/>
        <v>0</v>
      </c>
      <c r="N76" s="130">
        <f t="shared" si="6"/>
        <v>0</v>
      </c>
      <c r="O76" s="130">
        <f t="shared" si="6"/>
        <v>0</v>
      </c>
      <c r="P76" s="130">
        <f t="shared" si="6"/>
        <v>0</v>
      </c>
      <c r="Q76" s="130">
        <f t="shared" si="6"/>
        <v>0</v>
      </c>
      <c r="R76" s="130">
        <f t="shared" si="6"/>
        <v>0</v>
      </c>
      <c r="S76" s="130">
        <f t="shared" si="6"/>
        <v>0</v>
      </c>
      <c r="T76" s="130">
        <f t="shared" si="6"/>
        <v>0</v>
      </c>
      <c r="U76" s="130">
        <f t="shared" si="6"/>
        <v>0</v>
      </c>
      <c r="V76" s="130">
        <f t="shared" si="6"/>
        <v>0</v>
      </c>
      <c r="W76" s="130">
        <f t="shared" si="6"/>
        <v>0</v>
      </c>
      <c r="X76" s="130">
        <f t="shared" si="6"/>
        <v>0</v>
      </c>
      <c r="Y76" s="130">
        <f t="shared" si="6"/>
        <v>0</v>
      </c>
      <c r="Z76" s="130">
        <f t="shared" si="6"/>
        <v>0</v>
      </c>
      <c r="AA76" s="130">
        <f t="shared" si="6"/>
        <v>0</v>
      </c>
      <c r="AB76" s="130">
        <f t="shared" si="6"/>
        <v>0</v>
      </c>
      <c r="AC76" s="130">
        <f t="shared" si="6"/>
        <v>0</v>
      </c>
      <c r="AD76" s="130">
        <f t="shared" si="6"/>
        <v>0</v>
      </c>
      <c r="AE76" s="130">
        <f t="shared" si="6"/>
        <v>0</v>
      </c>
      <c r="AF76" s="130">
        <f t="shared" si="6"/>
        <v>0</v>
      </c>
      <c r="AG76" s="130">
        <f t="shared" si="6"/>
        <v>1</v>
      </c>
      <c r="AH76" s="130">
        <f t="shared" si="6"/>
        <v>0</v>
      </c>
      <c r="AI76" s="130">
        <f t="shared" si="6"/>
        <v>1</v>
      </c>
      <c r="AJ76" s="49" t="str">
        <f t="shared" si="7"/>
        <v>FR_LD</v>
      </c>
      <c r="AK76" s="62"/>
      <c r="AL76" s="62" t="str">
        <f t="shared" si="10"/>
        <v>05</v>
      </c>
      <c r="AM76" s="64" t="str">
        <f t="shared" si="11"/>
        <v>00</v>
      </c>
      <c r="AN76" s="64" t="str">
        <f t="shared" si="12"/>
        <v>00</v>
      </c>
      <c r="AO76" s="64" t="str">
        <f t="shared" si="13"/>
        <v>00</v>
      </c>
      <c r="AQ76" t="str">
        <f t="shared" si="8"/>
        <v xml:space="preserve">    (U4)0x00000005U,                                                           /* 05 FR_LD                                           */</v>
      </c>
    </row>
    <row r="77" spans="1:46">
      <c r="B77" s="138"/>
      <c r="C77" s="49">
        <f t="shared" si="9"/>
        <v>6</v>
      </c>
      <c r="D77" s="130">
        <f t="shared" si="6"/>
        <v>0</v>
      </c>
      <c r="E77" s="130">
        <f t="shared" si="6"/>
        <v>0</v>
      </c>
      <c r="F77" s="130">
        <f t="shared" si="6"/>
        <v>0</v>
      </c>
      <c r="G77" s="130">
        <f t="shared" si="6"/>
        <v>0</v>
      </c>
      <c r="H77" s="130">
        <f t="shared" si="6"/>
        <v>0</v>
      </c>
      <c r="I77" s="130">
        <f t="shared" si="6"/>
        <v>0</v>
      </c>
      <c r="J77" s="130">
        <f t="shared" si="6"/>
        <v>0</v>
      </c>
      <c r="K77" s="130">
        <f t="shared" si="6"/>
        <v>0</v>
      </c>
      <c r="L77" s="130">
        <f t="shared" si="6"/>
        <v>0</v>
      </c>
      <c r="M77" s="130">
        <f t="shared" si="6"/>
        <v>0</v>
      </c>
      <c r="N77" s="130">
        <f t="shared" si="6"/>
        <v>0</v>
      </c>
      <c r="O77" s="130">
        <f t="shared" si="6"/>
        <v>0</v>
      </c>
      <c r="P77" s="130">
        <f t="shared" si="6"/>
        <v>0</v>
      </c>
      <c r="Q77" s="130">
        <f t="shared" si="6"/>
        <v>0</v>
      </c>
      <c r="R77" s="130">
        <f t="shared" si="6"/>
        <v>0</v>
      </c>
      <c r="S77" s="130">
        <f t="shared" si="6"/>
        <v>0</v>
      </c>
      <c r="T77" s="130">
        <f t="shared" si="6"/>
        <v>0</v>
      </c>
      <c r="U77" s="130">
        <f t="shared" si="6"/>
        <v>0</v>
      </c>
      <c r="V77" s="130">
        <f t="shared" si="6"/>
        <v>0</v>
      </c>
      <c r="W77" s="130">
        <f t="shared" si="6"/>
        <v>0</v>
      </c>
      <c r="X77" s="130">
        <f t="shared" si="6"/>
        <v>0</v>
      </c>
      <c r="Y77" s="130">
        <f t="shared" si="6"/>
        <v>0</v>
      </c>
      <c r="Z77" s="130">
        <f t="shared" si="6"/>
        <v>0</v>
      </c>
      <c r="AA77" s="130">
        <f t="shared" si="6"/>
        <v>0</v>
      </c>
      <c r="AB77" s="130">
        <f t="shared" si="6"/>
        <v>0</v>
      </c>
      <c r="AC77" s="130">
        <f t="shared" si="6"/>
        <v>0</v>
      </c>
      <c r="AD77" s="130">
        <f t="shared" si="6"/>
        <v>0</v>
      </c>
      <c r="AE77" s="130">
        <f t="shared" si="6"/>
        <v>0</v>
      </c>
      <c r="AF77" s="130">
        <f t="shared" si="6"/>
        <v>0</v>
      </c>
      <c r="AG77" s="130">
        <f t="shared" si="6"/>
        <v>1</v>
      </c>
      <c r="AH77" s="130">
        <f t="shared" si="6"/>
        <v>1</v>
      </c>
      <c r="AI77" s="130">
        <f t="shared" si="6"/>
        <v>0</v>
      </c>
      <c r="AJ77" s="49" t="str">
        <f t="shared" si="7"/>
        <v>RR_CAD</v>
      </c>
      <c r="AK77" s="62"/>
      <c r="AL77" s="62" t="str">
        <f t="shared" si="10"/>
        <v>06</v>
      </c>
      <c r="AM77" s="64" t="str">
        <f t="shared" si="11"/>
        <v>00</v>
      </c>
      <c r="AN77" s="64" t="str">
        <f t="shared" si="12"/>
        <v>00</v>
      </c>
      <c r="AO77" s="64" t="str">
        <f t="shared" si="13"/>
        <v>00</v>
      </c>
      <c r="AQ77" t="str">
        <f t="shared" si="8"/>
        <v xml:space="preserve">    (U4)0x00000006U,                                                           /* 06 RR_CAD                                          */</v>
      </c>
    </row>
    <row r="78" spans="1:46">
      <c r="B78" s="138"/>
      <c r="C78" s="49">
        <f t="shared" si="9"/>
        <v>7</v>
      </c>
      <c r="D78" s="130">
        <f t="shared" si="6"/>
        <v>0</v>
      </c>
      <c r="E78" s="130">
        <f t="shared" si="6"/>
        <v>0</v>
      </c>
      <c r="F78" s="130">
        <f t="shared" si="6"/>
        <v>0</v>
      </c>
      <c r="G78" s="130">
        <f t="shared" si="6"/>
        <v>0</v>
      </c>
      <c r="H78" s="130">
        <f t="shared" si="6"/>
        <v>0</v>
      </c>
      <c r="I78" s="130">
        <f t="shared" si="6"/>
        <v>0</v>
      </c>
      <c r="J78" s="130">
        <f t="shared" si="6"/>
        <v>0</v>
      </c>
      <c r="K78" s="130">
        <f t="shared" si="6"/>
        <v>0</v>
      </c>
      <c r="L78" s="130">
        <f t="shared" si="6"/>
        <v>0</v>
      </c>
      <c r="M78" s="130">
        <f t="shared" si="6"/>
        <v>0</v>
      </c>
      <c r="N78" s="130">
        <f t="shared" si="6"/>
        <v>0</v>
      </c>
      <c r="O78" s="130">
        <f t="shared" si="6"/>
        <v>0</v>
      </c>
      <c r="P78" s="130">
        <f t="shared" si="6"/>
        <v>0</v>
      </c>
      <c r="Q78" s="130">
        <f t="shared" si="6"/>
        <v>0</v>
      </c>
      <c r="R78" s="130">
        <f t="shared" si="6"/>
        <v>0</v>
      </c>
      <c r="S78" s="130">
        <f t="shared" si="6"/>
        <v>0</v>
      </c>
      <c r="T78" s="130">
        <f t="shared" si="6"/>
        <v>0</v>
      </c>
      <c r="U78" s="130">
        <f t="shared" si="6"/>
        <v>0</v>
      </c>
      <c r="V78" s="130">
        <f t="shared" si="6"/>
        <v>0</v>
      </c>
      <c r="W78" s="130">
        <f t="shared" si="6"/>
        <v>0</v>
      </c>
      <c r="X78" s="130">
        <f t="shared" si="6"/>
        <v>0</v>
      </c>
      <c r="Y78" s="130">
        <f t="shared" si="6"/>
        <v>0</v>
      </c>
      <c r="Z78" s="130">
        <f t="shared" si="6"/>
        <v>0</v>
      </c>
      <c r="AA78" s="130">
        <f t="shared" si="6"/>
        <v>0</v>
      </c>
      <c r="AB78" s="130">
        <f t="shared" si="6"/>
        <v>0</v>
      </c>
      <c r="AC78" s="130">
        <f t="shared" si="6"/>
        <v>0</v>
      </c>
      <c r="AD78" s="130">
        <f t="shared" si="6"/>
        <v>0</v>
      </c>
      <c r="AE78" s="130">
        <f t="shared" si="6"/>
        <v>0</v>
      </c>
      <c r="AF78" s="130">
        <f t="shared" si="6"/>
        <v>0</v>
      </c>
      <c r="AG78" s="130">
        <f t="shared" si="6"/>
        <v>1</v>
      </c>
      <c r="AH78" s="130">
        <f t="shared" si="6"/>
        <v>1</v>
      </c>
      <c r="AI78" s="130">
        <f t="shared" ref="AI78" si="14">IF(AI13=1,1,0)</f>
        <v>1</v>
      </c>
      <c r="AJ78" s="49" t="str">
        <f t="shared" si="7"/>
        <v>RR_SD</v>
      </c>
      <c r="AK78" s="62"/>
      <c r="AL78" s="62" t="str">
        <f t="shared" si="10"/>
        <v>07</v>
      </c>
      <c r="AM78" s="64" t="str">
        <f t="shared" si="11"/>
        <v>00</v>
      </c>
      <c r="AN78" s="64" t="str">
        <f t="shared" si="12"/>
        <v>00</v>
      </c>
      <c r="AO78" s="64" t="str">
        <f t="shared" si="13"/>
        <v>00</v>
      </c>
      <c r="AQ78" t="str">
        <f t="shared" si="8"/>
        <v xml:space="preserve">    (U4)0x00000007U,                                                           /* 07 RR_SD                                           */</v>
      </c>
    </row>
    <row r="79" spans="1:46">
      <c r="B79" s="138"/>
      <c r="C79" s="49">
        <f t="shared" si="9"/>
        <v>8</v>
      </c>
      <c r="D79" s="130">
        <f t="shared" ref="D79:AI86" si="15">IF(D14=1,1,0)</f>
        <v>0</v>
      </c>
      <c r="E79" s="130">
        <f t="shared" si="15"/>
        <v>0</v>
      </c>
      <c r="F79" s="130">
        <f t="shared" si="15"/>
        <v>0</v>
      </c>
      <c r="G79" s="130">
        <f t="shared" si="15"/>
        <v>0</v>
      </c>
      <c r="H79" s="130">
        <f t="shared" si="15"/>
        <v>0</v>
      </c>
      <c r="I79" s="130">
        <f t="shared" si="15"/>
        <v>0</v>
      </c>
      <c r="J79" s="130">
        <f t="shared" si="15"/>
        <v>0</v>
      </c>
      <c r="K79" s="130">
        <f t="shared" si="15"/>
        <v>0</v>
      </c>
      <c r="L79" s="130">
        <f t="shared" si="15"/>
        <v>0</v>
      </c>
      <c r="M79" s="130">
        <f t="shared" si="15"/>
        <v>0</v>
      </c>
      <c r="N79" s="130">
        <f t="shared" si="15"/>
        <v>0</v>
      </c>
      <c r="O79" s="130">
        <f t="shared" si="15"/>
        <v>0</v>
      </c>
      <c r="P79" s="130">
        <f t="shared" si="15"/>
        <v>0</v>
      </c>
      <c r="Q79" s="130">
        <f t="shared" si="15"/>
        <v>0</v>
      </c>
      <c r="R79" s="130">
        <f t="shared" si="15"/>
        <v>0</v>
      </c>
      <c r="S79" s="130">
        <f t="shared" si="15"/>
        <v>0</v>
      </c>
      <c r="T79" s="130">
        <f t="shared" si="15"/>
        <v>0</v>
      </c>
      <c r="U79" s="130">
        <f t="shared" si="15"/>
        <v>0</v>
      </c>
      <c r="V79" s="130">
        <f t="shared" si="15"/>
        <v>0</v>
      </c>
      <c r="W79" s="130">
        <f t="shared" si="15"/>
        <v>0</v>
      </c>
      <c r="X79" s="130">
        <f t="shared" si="15"/>
        <v>0</v>
      </c>
      <c r="Y79" s="130">
        <f t="shared" si="15"/>
        <v>0</v>
      </c>
      <c r="Z79" s="130">
        <f t="shared" si="15"/>
        <v>0</v>
      </c>
      <c r="AA79" s="130">
        <f t="shared" si="15"/>
        <v>0</v>
      </c>
      <c r="AB79" s="130">
        <f t="shared" si="15"/>
        <v>0</v>
      </c>
      <c r="AC79" s="130">
        <f t="shared" si="15"/>
        <v>0</v>
      </c>
      <c r="AD79" s="130">
        <f t="shared" si="15"/>
        <v>0</v>
      </c>
      <c r="AE79" s="130">
        <f t="shared" si="15"/>
        <v>0</v>
      </c>
      <c r="AF79" s="130">
        <f t="shared" si="15"/>
        <v>1</v>
      </c>
      <c r="AG79" s="130">
        <f t="shared" si="15"/>
        <v>0</v>
      </c>
      <c r="AH79" s="130">
        <f t="shared" si="15"/>
        <v>0</v>
      </c>
      <c r="AI79" s="130">
        <f t="shared" si="15"/>
        <v>0</v>
      </c>
      <c r="AJ79" s="49" t="str">
        <f t="shared" si="7"/>
        <v>RR_MD</v>
      </c>
      <c r="AK79" s="62"/>
      <c r="AL79" s="62" t="str">
        <f t="shared" si="10"/>
        <v>08</v>
      </c>
      <c r="AM79" s="64" t="str">
        <f t="shared" si="11"/>
        <v>00</v>
      </c>
      <c r="AN79" s="64" t="str">
        <f t="shared" si="12"/>
        <v>00</v>
      </c>
      <c r="AO79" s="64" t="str">
        <f t="shared" si="13"/>
        <v>00</v>
      </c>
      <c r="AQ79" t="str">
        <f t="shared" si="8"/>
        <v xml:space="preserve">    (U4)0x00000008U,                                                           /* 08 RR_MD                                           */</v>
      </c>
    </row>
    <row r="80" spans="1:46">
      <c r="B80" s="138"/>
      <c r="C80" s="49">
        <f t="shared" si="9"/>
        <v>9</v>
      </c>
      <c r="D80" s="130">
        <f t="shared" si="15"/>
        <v>0</v>
      </c>
      <c r="E80" s="130">
        <f t="shared" si="15"/>
        <v>0</v>
      </c>
      <c r="F80" s="130">
        <f t="shared" si="15"/>
        <v>0</v>
      </c>
      <c r="G80" s="130">
        <f t="shared" si="15"/>
        <v>0</v>
      </c>
      <c r="H80" s="130">
        <f t="shared" si="15"/>
        <v>0</v>
      </c>
      <c r="I80" s="130">
        <f t="shared" si="15"/>
        <v>0</v>
      </c>
      <c r="J80" s="130">
        <f t="shared" si="15"/>
        <v>0</v>
      </c>
      <c r="K80" s="130">
        <f t="shared" si="15"/>
        <v>0</v>
      </c>
      <c r="L80" s="130">
        <f t="shared" si="15"/>
        <v>0</v>
      </c>
      <c r="M80" s="130">
        <f t="shared" si="15"/>
        <v>0</v>
      </c>
      <c r="N80" s="130">
        <f t="shared" si="15"/>
        <v>0</v>
      </c>
      <c r="O80" s="130">
        <f t="shared" si="15"/>
        <v>0</v>
      </c>
      <c r="P80" s="130">
        <f t="shared" si="15"/>
        <v>0</v>
      </c>
      <c r="Q80" s="130">
        <f t="shared" si="15"/>
        <v>0</v>
      </c>
      <c r="R80" s="130">
        <f t="shared" si="15"/>
        <v>0</v>
      </c>
      <c r="S80" s="130">
        <f t="shared" si="15"/>
        <v>0</v>
      </c>
      <c r="T80" s="130">
        <f t="shared" si="15"/>
        <v>0</v>
      </c>
      <c r="U80" s="130">
        <f t="shared" si="15"/>
        <v>0</v>
      </c>
      <c r="V80" s="130">
        <f t="shared" si="15"/>
        <v>0</v>
      </c>
      <c r="W80" s="130">
        <f t="shared" si="15"/>
        <v>0</v>
      </c>
      <c r="X80" s="130">
        <f t="shared" si="15"/>
        <v>0</v>
      </c>
      <c r="Y80" s="130">
        <f t="shared" si="15"/>
        <v>0</v>
      </c>
      <c r="Z80" s="130">
        <f t="shared" si="15"/>
        <v>0</v>
      </c>
      <c r="AA80" s="130">
        <f t="shared" si="15"/>
        <v>0</v>
      </c>
      <c r="AB80" s="130">
        <f t="shared" si="15"/>
        <v>0</v>
      </c>
      <c r="AC80" s="130">
        <f t="shared" si="15"/>
        <v>0</v>
      </c>
      <c r="AD80" s="130">
        <f t="shared" si="15"/>
        <v>0</v>
      </c>
      <c r="AE80" s="130">
        <f t="shared" si="15"/>
        <v>0</v>
      </c>
      <c r="AF80" s="130">
        <f t="shared" si="15"/>
        <v>1</v>
      </c>
      <c r="AG80" s="130">
        <f t="shared" si="15"/>
        <v>0</v>
      </c>
      <c r="AH80" s="130">
        <f t="shared" si="15"/>
        <v>0</v>
      </c>
      <c r="AI80" s="130">
        <f t="shared" si="15"/>
        <v>1</v>
      </c>
      <c r="AJ80" s="49" t="str">
        <f t="shared" si="7"/>
        <v>RR_LD</v>
      </c>
      <c r="AK80" s="62"/>
      <c r="AL80" s="62" t="str">
        <f t="shared" si="10"/>
        <v>09</v>
      </c>
      <c r="AM80" s="64" t="str">
        <f t="shared" si="11"/>
        <v>00</v>
      </c>
      <c r="AN80" s="64" t="str">
        <f t="shared" si="12"/>
        <v>00</v>
      </c>
      <c r="AO80" s="64" t="str">
        <f t="shared" si="13"/>
        <v>00</v>
      </c>
      <c r="AQ80" t="str">
        <f t="shared" si="8"/>
        <v xml:space="preserve">    (U4)0x00000009U,                                                           /* 09 RR_LD                                           */</v>
      </c>
    </row>
    <row r="81" spans="2:43">
      <c r="B81" s="138"/>
      <c r="C81" s="49">
        <f t="shared" si="9"/>
        <v>10</v>
      </c>
      <c r="D81" s="130">
        <f t="shared" si="15"/>
        <v>0</v>
      </c>
      <c r="E81" s="130">
        <f t="shared" si="15"/>
        <v>0</v>
      </c>
      <c r="F81" s="130">
        <f t="shared" si="15"/>
        <v>0</v>
      </c>
      <c r="G81" s="130">
        <f t="shared" si="15"/>
        <v>0</v>
      </c>
      <c r="H81" s="130">
        <f t="shared" si="15"/>
        <v>0</v>
      </c>
      <c r="I81" s="130">
        <f t="shared" si="15"/>
        <v>0</v>
      </c>
      <c r="J81" s="130">
        <f t="shared" si="15"/>
        <v>0</v>
      </c>
      <c r="K81" s="130">
        <f t="shared" si="15"/>
        <v>0</v>
      </c>
      <c r="L81" s="130">
        <f t="shared" si="15"/>
        <v>0</v>
      </c>
      <c r="M81" s="130">
        <f t="shared" si="15"/>
        <v>0</v>
      </c>
      <c r="N81" s="130">
        <f t="shared" si="15"/>
        <v>0</v>
      </c>
      <c r="O81" s="130">
        <f t="shared" si="15"/>
        <v>0</v>
      </c>
      <c r="P81" s="130">
        <f t="shared" si="15"/>
        <v>0</v>
      </c>
      <c r="Q81" s="130">
        <f t="shared" si="15"/>
        <v>0</v>
      </c>
      <c r="R81" s="130">
        <f t="shared" si="15"/>
        <v>0</v>
      </c>
      <c r="S81" s="130">
        <f t="shared" si="15"/>
        <v>0</v>
      </c>
      <c r="T81" s="130">
        <f t="shared" si="15"/>
        <v>0</v>
      </c>
      <c r="U81" s="130">
        <f t="shared" si="15"/>
        <v>0</v>
      </c>
      <c r="V81" s="130">
        <f t="shared" si="15"/>
        <v>0</v>
      </c>
      <c r="W81" s="130">
        <f t="shared" si="15"/>
        <v>0</v>
      </c>
      <c r="X81" s="130">
        <f t="shared" si="15"/>
        <v>0</v>
      </c>
      <c r="Y81" s="130">
        <f t="shared" si="15"/>
        <v>0</v>
      </c>
      <c r="Z81" s="130">
        <f t="shared" si="15"/>
        <v>0</v>
      </c>
      <c r="AA81" s="130">
        <f t="shared" si="15"/>
        <v>0</v>
      </c>
      <c r="AB81" s="130">
        <f t="shared" si="15"/>
        <v>0</v>
      </c>
      <c r="AC81" s="130">
        <f t="shared" si="15"/>
        <v>0</v>
      </c>
      <c r="AD81" s="130">
        <f t="shared" si="15"/>
        <v>0</v>
      </c>
      <c r="AE81" s="130">
        <f t="shared" si="15"/>
        <v>0</v>
      </c>
      <c r="AF81" s="130">
        <f t="shared" si="15"/>
        <v>1</v>
      </c>
      <c r="AG81" s="130">
        <f t="shared" si="15"/>
        <v>0</v>
      </c>
      <c r="AH81" s="130">
        <f t="shared" si="15"/>
        <v>1</v>
      </c>
      <c r="AI81" s="130">
        <f t="shared" si="15"/>
        <v>0</v>
      </c>
      <c r="AJ81" s="49" t="str">
        <f t="shared" si="7"/>
        <v>CAD</v>
      </c>
      <c r="AK81" s="62"/>
      <c r="AL81" s="62" t="str">
        <f t="shared" si="10"/>
        <v>0A</v>
      </c>
      <c r="AM81" s="64" t="str">
        <f t="shared" si="11"/>
        <v>00</v>
      </c>
      <c r="AN81" s="64" t="str">
        <f t="shared" si="12"/>
        <v>00</v>
      </c>
      <c r="AO81" s="64" t="str">
        <f t="shared" si="13"/>
        <v>00</v>
      </c>
      <c r="AQ81" t="str">
        <f t="shared" si="8"/>
        <v xml:space="preserve">    (U4)0x0000000AU,                                                           /* 10 CAD                                             */</v>
      </c>
    </row>
    <row r="82" spans="2:43">
      <c r="B82" s="138"/>
      <c r="C82" s="49">
        <f t="shared" si="9"/>
        <v>11</v>
      </c>
      <c r="D82" s="130">
        <f t="shared" si="15"/>
        <v>0</v>
      </c>
      <c r="E82" s="130">
        <f t="shared" si="15"/>
        <v>0</v>
      </c>
      <c r="F82" s="130">
        <f t="shared" si="15"/>
        <v>0</v>
      </c>
      <c r="G82" s="130">
        <f t="shared" si="15"/>
        <v>0</v>
      </c>
      <c r="H82" s="130">
        <f t="shared" si="15"/>
        <v>0</v>
      </c>
      <c r="I82" s="130">
        <f t="shared" si="15"/>
        <v>0</v>
      </c>
      <c r="J82" s="130">
        <f t="shared" si="15"/>
        <v>0</v>
      </c>
      <c r="K82" s="130">
        <f t="shared" si="15"/>
        <v>0</v>
      </c>
      <c r="L82" s="130">
        <f t="shared" si="15"/>
        <v>0</v>
      </c>
      <c r="M82" s="130">
        <f t="shared" si="15"/>
        <v>0</v>
      </c>
      <c r="N82" s="130">
        <f t="shared" si="15"/>
        <v>0</v>
      </c>
      <c r="O82" s="130">
        <f t="shared" si="15"/>
        <v>0</v>
      </c>
      <c r="P82" s="130">
        <f t="shared" si="15"/>
        <v>0</v>
      </c>
      <c r="Q82" s="130">
        <f t="shared" si="15"/>
        <v>0</v>
      </c>
      <c r="R82" s="130">
        <f t="shared" si="15"/>
        <v>0</v>
      </c>
      <c r="S82" s="130">
        <f t="shared" si="15"/>
        <v>0</v>
      </c>
      <c r="T82" s="130">
        <f t="shared" si="15"/>
        <v>0</v>
      </c>
      <c r="U82" s="130">
        <f t="shared" si="15"/>
        <v>0</v>
      </c>
      <c r="V82" s="130">
        <f t="shared" si="15"/>
        <v>0</v>
      </c>
      <c r="W82" s="130">
        <f t="shared" si="15"/>
        <v>0</v>
      </c>
      <c r="X82" s="130">
        <f t="shared" si="15"/>
        <v>0</v>
      </c>
      <c r="Y82" s="130">
        <f t="shared" si="15"/>
        <v>0</v>
      </c>
      <c r="Z82" s="130">
        <f t="shared" si="15"/>
        <v>0</v>
      </c>
      <c r="AA82" s="130">
        <f t="shared" si="15"/>
        <v>0</v>
      </c>
      <c r="AB82" s="130">
        <f t="shared" si="15"/>
        <v>0</v>
      </c>
      <c r="AC82" s="130">
        <f t="shared" si="15"/>
        <v>0</v>
      </c>
      <c r="AD82" s="130">
        <f t="shared" si="15"/>
        <v>0</v>
      </c>
      <c r="AE82" s="130">
        <f t="shared" si="15"/>
        <v>0</v>
      </c>
      <c r="AF82" s="130">
        <f t="shared" si="15"/>
        <v>1</v>
      </c>
      <c r="AG82" s="130">
        <f t="shared" si="15"/>
        <v>0</v>
      </c>
      <c r="AH82" s="130">
        <f t="shared" si="15"/>
        <v>1</v>
      </c>
      <c r="AI82" s="130">
        <f t="shared" si="15"/>
        <v>1</v>
      </c>
      <c r="AJ82" s="49" t="str">
        <f t="shared" si="7"/>
        <v>SD</v>
      </c>
      <c r="AK82" s="62"/>
      <c r="AL82" s="62" t="str">
        <f t="shared" si="10"/>
        <v>0B</v>
      </c>
      <c r="AM82" s="64" t="str">
        <f t="shared" si="11"/>
        <v>00</v>
      </c>
      <c r="AN82" s="64" t="str">
        <f t="shared" si="12"/>
        <v>00</v>
      </c>
      <c r="AO82" s="64" t="str">
        <f t="shared" si="13"/>
        <v>00</v>
      </c>
      <c r="AQ82" t="str">
        <f t="shared" si="8"/>
        <v xml:space="preserve">    (U4)0x0000000BU,                                                           /* 11 SD                                              */</v>
      </c>
    </row>
    <row r="83" spans="2:43">
      <c r="B83" s="138"/>
      <c r="C83" s="49">
        <f t="shared" si="9"/>
        <v>12</v>
      </c>
      <c r="D83" s="130">
        <f t="shared" si="15"/>
        <v>0</v>
      </c>
      <c r="E83" s="130">
        <f t="shared" si="15"/>
        <v>0</v>
      </c>
      <c r="F83" s="130">
        <f t="shared" si="15"/>
        <v>0</v>
      </c>
      <c r="G83" s="130">
        <f t="shared" si="15"/>
        <v>0</v>
      </c>
      <c r="H83" s="130">
        <f t="shared" si="15"/>
        <v>0</v>
      </c>
      <c r="I83" s="130">
        <f t="shared" si="15"/>
        <v>0</v>
      </c>
      <c r="J83" s="130">
        <f t="shared" si="15"/>
        <v>0</v>
      </c>
      <c r="K83" s="130">
        <f t="shared" si="15"/>
        <v>0</v>
      </c>
      <c r="L83" s="130">
        <f t="shared" si="15"/>
        <v>0</v>
      </c>
      <c r="M83" s="130">
        <f t="shared" si="15"/>
        <v>0</v>
      </c>
      <c r="N83" s="130">
        <f t="shared" si="15"/>
        <v>0</v>
      </c>
      <c r="O83" s="130">
        <f t="shared" si="15"/>
        <v>0</v>
      </c>
      <c r="P83" s="130">
        <f t="shared" si="15"/>
        <v>0</v>
      </c>
      <c r="Q83" s="130">
        <f t="shared" si="15"/>
        <v>0</v>
      </c>
      <c r="R83" s="130">
        <f t="shared" si="15"/>
        <v>0</v>
      </c>
      <c r="S83" s="130">
        <f t="shared" si="15"/>
        <v>0</v>
      </c>
      <c r="T83" s="130">
        <f t="shared" si="15"/>
        <v>0</v>
      </c>
      <c r="U83" s="130">
        <f t="shared" si="15"/>
        <v>0</v>
      </c>
      <c r="V83" s="130">
        <f t="shared" si="15"/>
        <v>0</v>
      </c>
      <c r="W83" s="130">
        <f t="shared" si="15"/>
        <v>0</v>
      </c>
      <c r="X83" s="130">
        <f t="shared" si="15"/>
        <v>0</v>
      </c>
      <c r="Y83" s="130">
        <f t="shared" si="15"/>
        <v>0</v>
      </c>
      <c r="Z83" s="130">
        <f t="shared" si="15"/>
        <v>0</v>
      </c>
      <c r="AA83" s="130">
        <f t="shared" si="15"/>
        <v>0</v>
      </c>
      <c r="AB83" s="130">
        <f t="shared" si="15"/>
        <v>0</v>
      </c>
      <c r="AC83" s="130">
        <f t="shared" si="15"/>
        <v>0</v>
      </c>
      <c r="AD83" s="130">
        <f t="shared" si="15"/>
        <v>0</v>
      </c>
      <c r="AE83" s="130">
        <f t="shared" si="15"/>
        <v>0</v>
      </c>
      <c r="AF83" s="130">
        <f t="shared" si="15"/>
        <v>1</v>
      </c>
      <c r="AG83" s="130">
        <f t="shared" si="15"/>
        <v>1</v>
      </c>
      <c r="AH83" s="130">
        <f t="shared" si="15"/>
        <v>0</v>
      </c>
      <c r="AI83" s="130">
        <f t="shared" si="15"/>
        <v>0</v>
      </c>
      <c r="AJ83" s="49" t="str">
        <f t="shared" si="7"/>
        <v>MD</v>
      </c>
      <c r="AK83" s="62"/>
      <c r="AL83" s="62" t="str">
        <f t="shared" si="10"/>
        <v>0C</v>
      </c>
      <c r="AM83" s="64" t="str">
        <f t="shared" si="11"/>
        <v>00</v>
      </c>
      <c r="AN83" s="64" t="str">
        <f t="shared" si="12"/>
        <v>00</v>
      </c>
      <c r="AO83" s="64" t="str">
        <f t="shared" si="13"/>
        <v>00</v>
      </c>
      <c r="AQ83" t="str">
        <f t="shared" si="8"/>
        <v xml:space="preserve">    (U4)0x0000000CU,                                                           /* 12 MD                                              */</v>
      </c>
    </row>
    <row r="84" spans="2:43">
      <c r="B84" s="138"/>
      <c r="C84" s="49">
        <f t="shared" si="9"/>
        <v>13</v>
      </c>
      <c r="D84" s="130">
        <f t="shared" si="15"/>
        <v>0</v>
      </c>
      <c r="E84" s="130">
        <f t="shared" si="15"/>
        <v>0</v>
      </c>
      <c r="F84" s="130">
        <f t="shared" si="15"/>
        <v>0</v>
      </c>
      <c r="G84" s="130">
        <f t="shared" si="15"/>
        <v>0</v>
      </c>
      <c r="H84" s="130">
        <f t="shared" si="15"/>
        <v>0</v>
      </c>
      <c r="I84" s="130">
        <f t="shared" si="15"/>
        <v>0</v>
      </c>
      <c r="J84" s="130">
        <f t="shared" si="15"/>
        <v>0</v>
      </c>
      <c r="K84" s="130">
        <f t="shared" si="15"/>
        <v>0</v>
      </c>
      <c r="L84" s="130">
        <f t="shared" si="15"/>
        <v>0</v>
      </c>
      <c r="M84" s="130">
        <f t="shared" si="15"/>
        <v>0</v>
      </c>
      <c r="N84" s="130">
        <f t="shared" si="15"/>
        <v>0</v>
      </c>
      <c r="O84" s="130">
        <f t="shared" si="15"/>
        <v>0</v>
      </c>
      <c r="P84" s="130">
        <f t="shared" si="15"/>
        <v>0</v>
      </c>
      <c r="Q84" s="130">
        <f t="shared" si="15"/>
        <v>0</v>
      </c>
      <c r="R84" s="130">
        <f t="shared" si="15"/>
        <v>0</v>
      </c>
      <c r="S84" s="130">
        <f t="shared" si="15"/>
        <v>0</v>
      </c>
      <c r="T84" s="130">
        <f t="shared" si="15"/>
        <v>0</v>
      </c>
      <c r="U84" s="130">
        <f t="shared" si="15"/>
        <v>0</v>
      </c>
      <c r="V84" s="130">
        <f t="shared" si="15"/>
        <v>0</v>
      </c>
      <c r="W84" s="130">
        <f t="shared" si="15"/>
        <v>0</v>
      </c>
      <c r="X84" s="130">
        <f t="shared" si="15"/>
        <v>0</v>
      </c>
      <c r="Y84" s="130">
        <f t="shared" si="15"/>
        <v>0</v>
      </c>
      <c r="Z84" s="130">
        <f t="shared" si="15"/>
        <v>0</v>
      </c>
      <c r="AA84" s="130">
        <f t="shared" si="15"/>
        <v>0</v>
      </c>
      <c r="AB84" s="130">
        <f t="shared" si="15"/>
        <v>0</v>
      </c>
      <c r="AC84" s="130">
        <f t="shared" si="15"/>
        <v>0</v>
      </c>
      <c r="AD84" s="130">
        <f t="shared" si="15"/>
        <v>0</v>
      </c>
      <c r="AE84" s="130">
        <f t="shared" si="15"/>
        <v>0</v>
      </c>
      <c r="AF84" s="130">
        <f t="shared" si="15"/>
        <v>1</v>
      </c>
      <c r="AG84" s="130">
        <f t="shared" si="15"/>
        <v>1</v>
      </c>
      <c r="AH84" s="130">
        <f t="shared" si="15"/>
        <v>0</v>
      </c>
      <c r="AI84" s="130">
        <f t="shared" si="15"/>
        <v>1</v>
      </c>
      <c r="AJ84" s="49" t="str">
        <f t="shared" si="7"/>
        <v>LD</v>
      </c>
      <c r="AK84" s="62"/>
      <c r="AL84" s="62" t="str">
        <f t="shared" si="10"/>
        <v>0D</v>
      </c>
      <c r="AM84" s="64" t="str">
        <f t="shared" si="11"/>
        <v>00</v>
      </c>
      <c r="AN84" s="64" t="str">
        <f t="shared" si="12"/>
        <v>00</v>
      </c>
      <c r="AO84" s="64" t="str">
        <f t="shared" si="13"/>
        <v>00</v>
      </c>
      <c r="AQ84" t="str">
        <f t="shared" si="8"/>
        <v xml:space="preserve">    (U4)0x0000000DU,                                                           /* 13 LD                                              */</v>
      </c>
    </row>
    <row r="85" spans="2:43">
      <c r="B85" s="138"/>
      <c r="C85" s="49">
        <f t="shared" si="9"/>
        <v>14</v>
      </c>
      <c r="D85" s="130">
        <f t="shared" si="15"/>
        <v>0</v>
      </c>
      <c r="E85" s="130">
        <f t="shared" si="15"/>
        <v>0</v>
      </c>
      <c r="F85" s="130">
        <f t="shared" si="15"/>
        <v>0</v>
      </c>
      <c r="G85" s="130">
        <f t="shared" si="15"/>
        <v>0</v>
      </c>
      <c r="H85" s="130">
        <f t="shared" si="15"/>
        <v>0</v>
      </c>
      <c r="I85" s="130">
        <f t="shared" si="15"/>
        <v>0</v>
      </c>
      <c r="J85" s="130">
        <f t="shared" si="15"/>
        <v>0</v>
      </c>
      <c r="K85" s="130">
        <f t="shared" si="15"/>
        <v>0</v>
      </c>
      <c r="L85" s="130">
        <f t="shared" si="15"/>
        <v>0</v>
      </c>
      <c r="M85" s="130">
        <f t="shared" si="15"/>
        <v>0</v>
      </c>
      <c r="N85" s="130">
        <f t="shared" si="15"/>
        <v>0</v>
      </c>
      <c r="O85" s="130">
        <f t="shared" si="15"/>
        <v>0</v>
      </c>
      <c r="P85" s="130">
        <f t="shared" si="15"/>
        <v>0</v>
      </c>
      <c r="Q85" s="130">
        <f t="shared" si="15"/>
        <v>0</v>
      </c>
      <c r="R85" s="130">
        <f t="shared" si="15"/>
        <v>0</v>
      </c>
      <c r="S85" s="130">
        <f t="shared" si="15"/>
        <v>0</v>
      </c>
      <c r="T85" s="130">
        <f t="shared" si="15"/>
        <v>0</v>
      </c>
      <c r="U85" s="130">
        <f t="shared" si="15"/>
        <v>0</v>
      </c>
      <c r="V85" s="130">
        <f t="shared" si="15"/>
        <v>0</v>
      </c>
      <c r="W85" s="130">
        <f t="shared" si="15"/>
        <v>0</v>
      </c>
      <c r="X85" s="130">
        <f t="shared" si="15"/>
        <v>0</v>
      </c>
      <c r="Y85" s="130">
        <f t="shared" si="15"/>
        <v>0</v>
      </c>
      <c r="Z85" s="130">
        <f t="shared" si="15"/>
        <v>0</v>
      </c>
      <c r="AA85" s="130">
        <f t="shared" si="15"/>
        <v>0</v>
      </c>
      <c r="AB85" s="130">
        <f t="shared" si="15"/>
        <v>0</v>
      </c>
      <c r="AC85" s="130">
        <f t="shared" si="15"/>
        <v>0</v>
      </c>
      <c r="AD85" s="130">
        <f t="shared" si="15"/>
        <v>0</v>
      </c>
      <c r="AE85" s="130">
        <f t="shared" si="15"/>
        <v>0</v>
      </c>
      <c r="AF85" s="130">
        <f t="shared" si="15"/>
        <v>1</v>
      </c>
      <c r="AG85" s="130">
        <f t="shared" si="15"/>
        <v>1</v>
      </c>
      <c r="AH85" s="130">
        <f t="shared" si="15"/>
        <v>1</v>
      </c>
      <c r="AI85" s="130">
        <f t="shared" si="15"/>
        <v>0</v>
      </c>
      <c r="AJ85" s="49" t="str">
        <f t="shared" si="7"/>
        <v>UNKNOWN</v>
      </c>
      <c r="AK85" s="62"/>
      <c r="AL85" s="62" t="str">
        <f t="shared" si="10"/>
        <v>0E</v>
      </c>
      <c r="AM85" s="64" t="str">
        <f t="shared" si="11"/>
        <v>00</v>
      </c>
      <c r="AN85" s="64" t="str">
        <f t="shared" si="12"/>
        <v>00</v>
      </c>
      <c r="AO85" s="64" t="str">
        <f t="shared" si="13"/>
        <v>00</v>
      </c>
      <c r="AQ85" t="str">
        <f t="shared" si="8"/>
        <v xml:space="preserve">    (U4)0x0000000EU,                                                           /* 14 UNKNOWN                                         */</v>
      </c>
    </row>
    <row r="86" spans="2:43">
      <c r="B86" s="138"/>
      <c r="C86" s="49">
        <f t="shared" si="9"/>
        <v>15</v>
      </c>
      <c r="D86" s="130">
        <f t="shared" si="15"/>
        <v>0</v>
      </c>
      <c r="E86" s="130">
        <f t="shared" si="15"/>
        <v>0</v>
      </c>
      <c r="F86" s="130">
        <f t="shared" si="15"/>
        <v>0</v>
      </c>
      <c r="G86" s="130">
        <f t="shared" si="15"/>
        <v>0</v>
      </c>
      <c r="H86" s="130">
        <f t="shared" si="15"/>
        <v>0</v>
      </c>
      <c r="I86" s="130">
        <f t="shared" si="15"/>
        <v>0</v>
      </c>
      <c r="J86" s="130">
        <f t="shared" si="15"/>
        <v>0</v>
      </c>
      <c r="K86" s="130">
        <f t="shared" si="15"/>
        <v>0</v>
      </c>
      <c r="L86" s="130">
        <f t="shared" si="15"/>
        <v>0</v>
      </c>
      <c r="M86" s="130">
        <f t="shared" si="15"/>
        <v>0</v>
      </c>
      <c r="N86" s="130">
        <f t="shared" si="15"/>
        <v>0</v>
      </c>
      <c r="O86" s="130">
        <f t="shared" si="15"/>
        <v>0</v>
      </c>
      <c r="P86" s="130">
        <f t="shared" si="15"/>
        <v>0</v>
      </c>
      <c r="Q86" s="130">
        <f t="shared" si="15"/>
        <v>0</v>
      </c>
      <c r="R86" s="130">
        <f t="shared" si="15"/>
        <v>0</v>
      </c>
      <c r="S86" s="130">
        <f t="shared" si="15"/>
        <v>0</v>
      </c>
      <c r="T86" s="130">
        <f t="shared" si="15"/>
        <v>0</v>
      </c>
      <c r="U86" s="130">
        <f t="shared" si="15"/>
        <v>0</v>
      </c>
      <c r="V86" s="130">
        <f t="shared" si="15"/>
        <v>0</v>
      </c>
      <c r="W86" s="130">
        <f t="shared" si="15"/>
        <v>0</v>
      </c>
      <c r="X86" s="130">
        <f t="shared" si="15"/>
        <v>0</v>
      </c>
      <c r="Y86" s="130">
        <f t="shared" si="15"/>
        <v>0</v>
      </c>
      <c r="Z86" s="130">
        <f t="shared" si="15"/>
        <v>0</v>
      </c>
      <c r="AA86" s="130">
        <f t="shared" si="15"/>
        <v>0</v>
      </c>
      <c r="AB86" s="130">
        <f t="shared" si="15"/>
        <v>0</v>
      </c>
      <c r="AC86" s="130">
        <f t="shared" si="15"/>
        <v>0</v>
      </c>
      <c r="AD86" s="130">
        <f t="shared" si="15"/>
        <v>0</v>
      </c>
      <c r="AE86" s="130">
        <f t="shared" si="15"/>
        <v>0</v>
      </c>
      <c r="AF86" s="130">
        <f t="shared" si="15"/>
        <v>1</v>
      </c>
      <c r="AG86" s="130">
        <f t="shared" si="15"/>
        <v>1</v>
      </c>
      <c r="AH86" s="130">
        <f t="shared" si="15"/>
        <v>1</v>
      </c>
      <c r="AI86" s="130">
        <f t="shared" ref="AI86" si="16">IF(AI21=1,1,0)</f>
        <v>1</v>
      </c>
      <c r="AJ86" s="49" t="str">
        <f t="shared" si="7"/>
        <v>UNKNOWN</v>
      </c>
      <c r="AK86" s="62"/>
      <c r="AL86" s="62" t="str">
        <f t="shared" si="10"/>
        <v>0F</v>
      </c>
      <c r="AM86" s="64" t="str">
        <f t="shared" si="11"/>
        <v>00</v>
      </c>
      <c r="AN86" s="64" t="str">
        <f t="shared" si="12"/>
        <v>00</v>
      </c>
      <c r="AO86" s="64" t="str">
        <f t="shared" si="13"/>
        <v>00</v>
      </c>
      <c r="AQ86" t="str">
        <f t="shared" si="8"/>
        <v xml:space="preserve">    (U4)0x0000000FU,                                                           /* 15 UNKNOWN                                         */</v>
      </c>
    </row>
    <row r="87" spans="2:43">
      <c r="B87" s="138"/>
      <c r="C87" s="49">
        <f t="shared" si="9"/>
        <v>16</v>
      </c>
      <c r="D87" s="130">
        <f t="shared" ref="D87:AI94" si="17">IF(D22=1,1,0)</f>
        <v>0</v>
      </c>
      <c r="E87" s="130">
        <f t="shared" si="17"/>
        <v>0</v>
      </c>
      <c r="F87" s="130">
        <f t="shared" si="17"/>
        <v>0</v>
      </c>
      <c r="G87" s="130">
        <f t="shared" si="17"/>
        <v>0</v>
      </c>
      <c r="H87" s="130">
        <f t="shared" si="17"/>
        <v>0</v>
      </c>
      <c r="I87" s="130">
        <f t="shared" si="17"/>
        <v>0</v>
      </c>
      <c r="J87" s="130">
        <f t="shared" si="17"/>
        <v>0</v>
      </c>
      <c r="K87" s="130">
        <f t="shared" si="17"/>
        <v>0</v>
      </c>
      <c r="L87" s="130">
        <f t="shared" si="17"/>
        <v>0</v>
      </c>
      <c r="M87" s="130">
        <f t="shared" si="17"/>
        <v>0</v>
      </c>
      <c r="N87" s="130">
        <f t="shared" si="17"/>
        <v>0</v>
      </c>
      <c r="O87" s="130">
        <f t="shared" si="17"/>
        <v>0</v>
      </c>
      <c r="P87" s="130">
        <f t="shared" si="17"/>
        <v>0</v>
      </c>
      <c r="Q87" s="130">
        <f t="shared" si="17"/>
        <v>0</v>
      </c>
      <c r="R87" s="130">
        <f t="shared" si="17"/>
        <v>0</v>
      </c>
      <c r="S87" s="130">
        <f t="shared" si="17"/>
        <v>0</v>
      </c>
      <c r="T87" s="130">
        <f t="shared" si="17"/>
        <v>0</v>
      </c>
      <c r="U87" s="130">
        <f t="shared" si="17"/>
        <v>0</v>
      </c>
      <c r="V87" s="130">
        <f t="shared" si="17"/>
        <v>0</v>
      </c>
      <c r="W87" s="130">
        <f t="shared" si="17"/>
        <v>0</v>
      </c>
      <c r="X87" s="130">
        <f t="shared" si="17"/>
        <v>0</v>
      </c>
      <c r="Y87" s="130">
        <f t="shared" si="17"/>
        <v>0</v>
      </c>
      <c r="Z87" s="130">
        <f t="shared" si="17"/>
        <v>0</v>
      </c>
      <c r="AA87" s="130">
        <f t="shared" si="17"/>
        <v>0</v>
      </c>
      <c r="AB87" s="130">
        <f t="shared" si="17"/>
        <v>0</v>
      </c>
      <c r="AC87" s="130">
        <f t="shared" si="17"/>
        <v>0</v>
      </c>
      <c r="AD87" s="130">
        <f t="shared" si="17"/>
        <v>0</v>
      </c>
      <c r="AE87" s="130">
        <f t="shared" si="17"/>
        <v>1</v>
      </c>
      <c r="AF87" s="130">
        <f t="shared" si="17"/>
        <v>0</v>
      </c>
      <c r="AG87" s="130">
        <f t="shared" si="17"/>
        <v>0</v>
      </c>
      <c r="AH87" s="130">
        <f t="shared" si="17"/>
        <v>0</v>
      </c>
      <c r="AI87" s="130">
        <f t="shared" si="17"/>
        <v>0</v>
      </c>
      <c r="AJ87" s="49" t="str">
        <f t="shared" si="7"/>
        <v>UNKNOWN</v>
      </c>
      <c r="AK87" s="62"/>
      <c r="AL87" s="62" t="str">
        <f t="shared" si="10"/>
        <v>10</v>
      </c>
      <c r="AM87" s="64" t="str">
        <f t="shared" si="11"/>
        <v>00</v>
      </c>
      <c r="AN87" s="64" t="str">
        <f t="shared" si="12"/>
        <v>00</v>
      </c>
      <c r="AO87" s="64" t="str">
        <f t="shared" si="13"/>
        <v>00</v>
      </c>
      <c r="AQ87" t="str">
        <f t="shared" si="8"/>
        <v xml:space="preserve">    (U4)0x00000010U,                                                           /* 16 UNKNOWN                                         */</v>
      </c>
    </row>
    <row r="88" spans="2:43">
      <c r="B88" s="138"/>
      <c r="C88" s="49">
        <f t="shared" si="9"/>
        <v>17</v>
      </c>
      <c r="D88" s="130">
        <f t="shared" si="17"/>
        <v>0</v>
      </c>
      <c r="E88" s="130">
        <f t="shared" si="17"/>
        <v>0</v>
      </c>
      <c r="F88" s="130">
        <f t="shared" si="17"/>
        <v>0</v>
      </c>
      <c r="G88" s="130">
        <f t="shared" si="17"/>
        <v>0</v>
      </c>
      <c r="H88" s="130">
        <f t="shared" si="17"/>
        <v>0</v>
      </c>
      <c r="I88" s="130">
        <f t="shared" si="17"/>
        <v>0</v>
      </c>
      <c r="J88" s="130">
        <f t="shared" si="17"/>
        <v>0</v>
      </c>
      <c r="K88" s="130">
        <f t="shared" si="17"/>
        <v>0</v>
      </c>
      <c r="L88" s="130">
        <f t="shared" si="17"/>
        <v>0</v>
      </c>
      <c r="M88" s="130">
        <f t="shared" si="17"/>
        <v>0</v>
      </c>
      <c r="N88" s="130">
        <f t="shared" si="17"/>
        <v>0</v>
      </c>
      <c r="O88" s="130">
        <f t="shared" si="17"/>
        <v>0</v>
      </c>
      <c r="P88" s="130">
        <f t="shared" si="17"/>
        <v>0</v>
      </c>
      <c r="Q88" s="130">
        <f t="shared" si="17"/>
        <v>0</v>
      </c>
      <c r="R88" s="130">
        <f t="shared" si="17"/>
        <v>0</v>
      </c>
      <c r="S88" s="130">
        <f t="shared" si="17"/>
        <v>0</v>
      </c>
      <c r="T88" s="130">
        <f t="shared" si="17"/>
        <v>0</v>
      </c>
      <c r="U88" s="130">
        <f t="shared" si="17"/>
        <v>0</v>
      </c>
      <c r="V88" s="130">
        <f t="shared" si="17"/>
        <v>0</v>
      </c>
      <c r="W88" s="130">
        <f t="shared" si="17"/>
        <v>0</v>
      </c>
      <c r="X88" s="130">
        <f t="shared" si="17"/>
        <v>0</v>
      </c>
      <c r="Y88" s="130">
        <f t="shared" si="17"/>
        <v>0</v>
      </c>
      <c r="Z88" s="130">
        <f t="shared" si="17"/>
        <v>0</v>
      </c>
      <c r="AA88" s="130">
        <f t="shared" si="17"/>
        <v>0</v>
      </c>
      <c r="AB88" s="130">
        <f t="shared" si="17"/>
        <v>0</v>
      </c>
      <c r="AC88" s="130">
        <f t="shared" si="17"/>
        <v>0</v>
      </c>
      <c r="AD88" s="130">
        <f t="shared" si="17"/>
        <v>0</v>
      </c>
      <c r="AE88" s="130">
        <f t="shared" si="17"/>
        <v>1</v>
      </c>
      <c r="AF88" s="130">
        <f t="shared" si="17"/>
        <v>0</v>
      </c>
      <c r="AG88" s="130">
        <f t="shared" si="17"/>
        <v>0</v>
      </c>
      <c r="AH88" s="130">
        <f t="shared" si="17"/>
        <v>0</v>
      </c>
      <c r="AI88" s="130">
        <f t="shared" si="17"/>
        <v>1</v>
      </c>
      <c r="AJ88" s="49" t="str">
        <f t="shared" si="7"/>
        <v>UNKNOWN</v>
      </c>
      <c r="AK88" s="62"/>
      <c r="AL88" s="62" t="str">
        <f t="shared" si="10"/>
        <v>11</v>
      </c>
      <c r="AM88" s="64" t="str">
        <f t="shared" si="11"/>
        <v>00</v>
      </c>
      <c r="AN88" s="64" t="str">
        <f t="shared" si="12"/>
        <v>00</v>
      </c>
      <c r="AO88" s="64" t="str">
        <f t="shared" si="13"/>
        <v>00</v>
      </c>
      <c r="AQ88" t="str">
        <f t="shared" si="8"/>
        <v xml:space="preserve">    (U4)0x00000011U,                                                           /* 17 UNKNOWN                                         */</v>
      </c>
    </row>
    <row r="89" spans="2:43">
      <c r="B89" s="138"/>
      <c r="C89" s="49">
        <f t="shared" si="9"/>
        <v>18</v>
      </c>
      <c r="D89" s="130">
        <f t="shared" si="17"/>
        <v>0</v>
      </c>
      <c r="E89" s="130">
        <f t="shared" si="17"/>
        <v>0</v>
      </c>
      <c r="F89" s="130">
        <f t="shared" si="17"/>
        <v>0</v>
      </c>
      <c r="G89" s="130">
        <f t="shared" si="17"/>
        <v>0</v>
      </c>
      <c r="H89" s="130">
        <f t="shared" si="17"/>
        <v>0</v>
      </c>
      <c r="I89" s="130">
        <f t="shared" si="17"/>
        <v>0</v>
      </c>
      <c r="J89" s="130">
        <f t="shared" si="17"/>
        <v>0</v>
      </c>
      <c r="K89" s="130">
        <f t="shared" si="17"/>
        <v>0</v>
      </c>
      <c r="L89" s="130">
        <f t="shared" si="17"/>
        <v>0</v>
      </c>
      <c r="M89" s="130">
        <f t="shared" si="17"/>
        <v>0</v>
      </c>
      <c r="N89" s="130">
        <f t="shared" si="17"/>
        <v>0</v>
      </c>
      <c r="O89" s="130">
        <f t="shared" si="17"/>
        <v>0</v>
      </c>
      <c r="P89" s="130">
        <f t="shared" si="17"/>
        <v>0</v>
      </c>
      <c r="Q89" s="130">
        <f t="shared" si="17"/>
        <v>0</v>
      </c>
      <c r="R89" s="130">
        <f t="shared" si="17"/>
        <v>0</v>
      </c>
      <c r="S89" s="130">
        <f t="shared" si="17"/>
        <v>0</v>
      </c>
      <c r="T89" s="130">
        <f t="shared" si="17"/>
        <v>0</v>
      </c>
      <c r="U89" s="130">
        <f t="shared" si="17"/>
        <v>0</v>
      </c>
      <c r="V89" s="130">
        <f t="shared" si="17"/>
        <v>0</v>
      </c>
      <c r="W89" s="130">
        <f t="shared" si="17"/>
        <v>0</v>
      </c>
      <c r="X89" s="130">
        <f t="shared" si="17"/>
        <v>0</v>
      </c>
      <c r="Y89" s="130">
        <f t="shared" si="17"/>
        <v>0</v>
      </c>
      <c r="Z89" s="130">
        <f t="shared" si="17"/>
        <v>0</v>
      </c>
      <c r="AA89" s="130">
        <f t="shared" si="17"/>
        <v>0</v>
      </c>
      <c r="AB89" s="130">
        <f t="shared" si="17"/>
        <v>0</v>
      </c>
      <c r="AC89" s="130">
        <f t="shared" si="17"/>
        <v>0</v>
      </c>
      <c r="AD89" s="130">
        <f t="shared" si="17"/>
        <v>0</v>
      </c>
      <c r="AE89" s="130">
        <f t="shared" si="17"/>
        <v>1</v>
      </c>
      <c r="AF89" s="130">
        <f t="shared" si="17"/>
        <v>0</v>
      </c>
      <c r="AG89" s="130">
        <f t="shared" si="17"/>
        <v>0</v>
      </c>
      <c r="AH89" s="130">
        <f t="shared" si="17"/>
        <v>1</v>
      </c>
      <c r="AI89" s="130">
        <f t="shared" si="17"/>
        <v>0</v>
      </c>
      <c r="AJ89" s="49" t="str">
        <f t="shared" si="7"/>
        <v>UNKNOWN</v>
      </c>
      <c r="AK89" s="62"/>
      <c r="AL89" s="62" t="str">
        <f t="shared" si="10"/>
        <v>12</v>
      </c>
      <c r="AM89" s="64" t="str">
        <f t="shared" si="11"/>
        <v>00</v>
      </c>
      <c r="AN89" s="64" t="str">
        <f t="shared" si="12"/>
        <v>00</v>
      </c>
      <c r="AO89" s="64" t="str">
        <f t="shared" si="13"/>
        <v>00</v>
      </c>
      <c r="AQ89" t="str">
        <f t="shared" si="8"/>
        <v xml:space="preserve">    (U4)0x00000012U,                                                           /* 18 UNKNOWN                                         */</v>
      </c>
    </row>
    <row r="90" spans="2:43">
      <c r="B90" s="138"/>
      <c r="C90" s="49">
        <f t="shared" si="9"/>
        <v>19</v>
      </c>
      <c r="D90" s="130">
        <f t="shared" si="17"/>
        <v>0</v>
      </c>
      <c r="E90" s="130">
        <f t="shared" si="17"/>
        <v>0</v>
      </c>
      <c r="F90" s="130">
        <f t="shared" si="17"/>
        <v>0</v>
      </c>
      <c r="G90" s="130">
        <f t="shared" si="17"/>
        <v>0</v>
      </c>
      <c r="H90" s="130">
        <f t="shared" si="17"/>
        <v>0</v>
      </c>
      <c r="I90" s="130">
        <f t="shared" si="17"/>
        <v>0</v>
      </c>
      <c r="J90" s="130">
        <f t="shared" si="17"/>
        <v>0</v>
      </c>
      <c r="K90" s="130">
        <f t="shared" si="17"/>
        <v>0</v>
      </c>
      <c r="L90" s="130">
        <f t="shared" si="17"/>
        <v>0</v>
      </c>
      <c r="M90" s="130">
        <f t="shared" si="17"/>
        <v>0</v>
      </c>
      <c r="N90" s="130">
        <f t="shared" si="17"/>
        <v>0</v>
      </c>
      <c r="O90" s="130">
        <f t="shared" si="17"/>
        <v>0</v>
      </c>
      <c r="P90" s="130">
        <f t="shared" si="17"/>
        <v>0</v>
      </c>
      <c r="Q90" s="130">
        <f t="shared" si="17"/>
        <v>0</v>
      </c>
      <c r="R90" s="130">
        <f t="shared" si="17"/>
        <v>0</v>
      </c>
      <c r="S90" s="130">
        <f t="shared" si="17"/>
        <v>0</v>
      </c>
      <c r="T90" s="130">
        <f t="shared" si="17"/>
        <v>0</v>
      </c>
      <c r="U90" s="130">
        <f t="shared" si="17"/>
        <v>0</v>
      </c>
      <c r="V90" s="130">
        <f t="shared" si="17"/>
        <v>0</v>
      </c>
      <c r="W90" s="130">
        <f t="shared" si="17"/>
        <v>0</v>
      </c>
      <c r="X90" s="130">
        <f t="shared" si="17"/>
        <v>0</v>
      </c>
      <c r="Y90" s="130">
        <f t="shared" si="17"/>
        <v>0</v>
      </c>
      <c r="Z90" s="130">
        <f t="shared" si="17"/>
        <v>0</v>
      </c>
      <c r="AA90" s="130">
        <f t="shared" si="17"/>
        <v>0</v>
      </c>
      <c r="AB90" s="130">
        <f t="shared" si="17"/>
        <v>0</v>
      </c>
      <c r="AC90" s="130">
        <f t="shared" si="17"/>
        <v>0</v>
      </c>
      <c r="AD90" s="130">
        <f t="shared" si="17"/>
        <v>0</v>
      </c>
      <c r="AE90" s="130">
        <f t="shared" si="17"/>
        <v>1</v>
      </c>
      <c r="AF90" s="130">
        <f t="shared" si="17"/>
        <v>0</v>
      </c>
      <c r="AG90" s="130">
        <f t="shared" si="17"/>
        <v>0</v>
      </c>
      <c r="AH90" s="130">
        <f t="shared" si="17"/>
        <v>1</v>
      </c>
      <c r="AI90" s="130">
        <f t="shared" si="17"/>
        <v>1</v>
      </c>
      <c r="AJ90" s="49" t="str">
        <f t="shared" si="7"/>
        <v>UNKNOWN</v>
      </c>
      <c r="AK90" s="62"/>
      <c r="AL90" s="62" t="str">
        <f t="shared" si="10"/>
        <v>13</v>
      </c>
      <c r="AM90" s="64" t="str">
        <f t="shared" si="11"/>
        <v>00</v>
      </c>
      <c r="AN90" s="64" t="str">
        <f t="shared" si="12"/>
        <v>00</v>
      </c>
      <c r="AO90" s="64" t="str">
        <f t="shared" si="13"/>
        <v>00</v>
      </c>
      <c r="AQ90" t="str">
        <f t="shared" si="8"/>
        <v xml:space="preserve">    (U4)0x00000013U,                                                           /* 19 UNKNOWN                                         */</v>
      </c>
    </row>
    <row r="91" spans="2:43">
      <c r="B91" s="138"/>
      <c r="C91" s="49">
        <f t="shared" si="9"/>
        <v>20</v>
      </c>
      <c r="D91" s="130">
        <f t="shared" si="17"/>
        <v>0</v>
      </c>
      <c r="E91" s="130">
        <f t="shared" si="17"/>
        <v>0</v>
      </c>
      <c r="F91" s="130">
        <f t="shared" si="17"/>
        <v>0</v>
      </c>
      <c r="G91" s="130">
        <f t="shared" si="17"/>
        <v>0</v>
      </c>
      <c r="H91" s="130">
        <f t="shared" si="17"/>
        <v>0</v>
      </c>
      <c r="I91" s="130">
        <f t="shared" si="17"/>
        <v>0</v>
      </c>
      <c r="J91" s="130">
        <f t="shared" si="17"/>
        <v>0</v>
      </c>
      <c r="K91" s="130">
        <f t="shared" si="17"/>
        <v>0</v>
      </c>
      <c r="L91" s="130">
        <f t="shared" si="17"/>
        <v>0</v>
      </c>
      <c r="M91" s="130">
        <f t="shared" si="17"/>
        <v>0</v>
      </c>
      <c r="N91" s="130">
        <f t="shared" si="17"/>
        <v>0</v>
      </c>
      <c r="O91" s="130">
        <f t="shared" si="17"/>
        <v>0</v>
      </c>
      <c r="P91" s="130">
        <f t="shared" si="17"/>
        <v>0</v>
      </c>
      <c r="Q91" s="130">
        <f t="shared" si="17"/>
        <v>0</v>
      </c>
      <c r="R91" s="130">
        <f t="shared" si="17"/>
        <v>0</v>
      </c>
      <c r="S91" s="130">
        <f t="shared" si="17"/>
        <v>0</v>
      </c>
      <c r="T91" s="130">
        <f t="shared" si="17"/>
        <v>0</v>
      </c>
      <c r="U91" s="130">
        <f t="shared" si="17"/>
        <v>0</v>
      </c>
      <c r="V91" s="130">
        <f t="shared" si="17"/>
        <v>0</v>
      </c>
      <c r="W91" s="130">
        <f t="shared" si="17"/>
        <v>0</v>
      </c>
      <c r="X91" s="130">
        <f t="shared" si="17"/>
        <v>0</v>
      </c>
      <c r="Y91" s="130">
        <f t="shared" si="17"/>
        <v>0</v>
      </c>
      <c r="Z91" s="130">
        <f t="shared" si="17"/>
        <v>0</v>
      </c>
      <c r="AA91" s="130">
        <f t="shared" si="17"/>
        <v>0</v>
      </c>
      <c r="AB91" s="130">
        <f t="shared" si="17"/>
        <v>0</v>
      </c>
      <c r="AC91" s="130">
        <f t="shared" si="17"/>
        <v>0</v>
      </c>
      <c r="AD91" s="130">
        <f t="shared" si="17"/>
        <v>0</v>
      </c>
      <c r="AE91" s="130">
        <f t="shared" si="17"/>
        <v>1</v>
      </c>
      <c r="AF91" s="130">
        <f t="shared" si="17"/>
        <v>0</v>
      </c>
      <c r="AG91" s="130">
        <f t="shared" si="17"/>
        <v>1</v>
      </c>
      <c r="AH91" s="130">
        <f t="shared" si="17"/>
        <v>0</v>
      </c>
      <c r="AI91" s="130">
        <f t="shared" si="17"/>
        <v>0</v>
      </c>
      <c r="AJ91" s="49" t="str">
        <f t="shared" si="7"/>
        <v>UNKNOWN</v>
      </c>
      <c r="AK91" s="62"/>
      <c r="AL91" s="62" t="str">
        <f t="shared" si="10"/>
        <v>14</v>
      </c>
      <c r="AM91" s="64" t="str">
        <f t="shared" si="11"/>
        <v>00</v>
      </c>
      <c r="AN91" s="64" t="str">
        <f t="shared" si="12"/>
        <v>00</v>
      </c>
      <c r="AO91" s="64" t="str">
        <f t="shared" si="13"/>
        <v>00</v>
      </c>
      <c r="AQ91" t="str">
        <f t="shared" si="8"/>
        <v xml:space="preserve">    (U4)0x00000014U,                                                           /* 20 UNKNOWN                                         */</v>
      </c>
    </row>
    <row r="92" spans="2:43">
      <c r="B92" s="138"/>
      <c r="C92" s="49">
        <f t="shared" si="9"/>
        <v>21</v>
      </c>
      <c r="D92" s="130">
        <f t="shared" si="17"/>
        <v>0</v>
      </c>
      <c r="E92" s="130">
        <f t="shared" si="17"/>
        <v>0</v>
      </c>
      <c r="F92" s="130">
        <f t="shared" si="17"/>
        <v>0</v>
      </c>
      <c r="G92" s="130">
        <f t="shared" si="17"/>
        <v>0</v>
      </c>
      <c r="H92" s="130">
        <f t="shared" si="17"/>
        <v>0</v>
      </c>
      <c r="I92" s="130">
        <f t="shared" si="17"/>
        <v>0</v>
      </c>
      <c r="J92" s="130">
        <f t="shared" si="17"/>
        <v>0</v>
      </c>
      <c r="K92" s="130">
        <f t="shared" si="17"/>
        <v>0</v>
      </c>
      <c r="L92" s="130">
        <f t="shared" si="17"/>
        <v>0</v>
      </c>
      <c r="M92" s="130">
        <f t="shared" si="17"/>
        <v>0</v>
      </c>
      <c r="N92" s="130">
        <f t="shared" si="17"/>
        <v>0</v>
      </c>
      <c r="O92" s="130">
        <f t="shared" si="17"/>
        <v>0</v>
      </c>
      <c r="P92" s="130">
        <f t="shared" si="17"/>
        <v>0</v>
      </c>
      <c r="Q92" s="130">
        <f t="shared" si="17"/>
        <v>0</v>
      </c>
      <c r="R92" s="130">
        <f t="shared" si="17"/>
        <v>0</v>
      </c>
      <c r="S92" s="130">
        <f t="shared" si="17"/>
        <v>0</v>
      </c>
      <c r="T92" s="130">
        <f t="shared" si="17"/>
        <v>0</v>
      </c>
      <c r="U92" s="130">
        <f t="shared" si="17"/>
        <v>0</v>
      </c>
      <c r="V92" s="130">
        <f t="shared" si="17"/>
        <v>0</v>
      </c>
      <c r="W92" s="130">
        <f t="shared" si="17"/>
        <v>0</v>
      </c>
      <c r="X92" s="130">
        <f t="shared" si="17"/>
        <v>0</v>
      </c>
      <c r="Y92" s="130">
        <f t="shared" si="17"/>
        <v>0</v>
      </c>
      <c r="Z92" s="130">
        <f t="shared" si="17"/>
        <v>0</v>
      </c>
      <c r="AA92" s="130">
        <f t="shared" si="17"/>
        <v>0</v>
      </c>
      <c r="AB92" s="130">
        <f t="shared" si="17"/>
        <v>0</v>
      </c>
      <c r="AC92" s="130">
        <f t="shared" si="17"/>
        <v>0</v>
      </c>
      <c r="AD92" s="130">
        <f t="shared" si="17"/>
        <v>0</v>
      </c>
      <c r="AE92" s="130">
        <f t="shared" si="17"/>
        <v>1</v>
      </c>
      <c r="AF92" s="130">
        <f t="shared" si="17"/>
        <v>0</v>
      </c>
      <c r="AG92" s="130">
        <f t="shared" si="17"/>
        <v>1</v>
      </c>
      <c r="AH92" s="130">
        <f t="shared" si="17"/>
        <v>0</v>
      </c>
      <c r="AI92" s="130">
        <f t="shared" si="17"/>
        <v>1</v>
      </c>
      <c r="AJ92" s="49" t="str">
        <f t="shared" si="7"/>
        <v>UNKNOWN</v>
      </c>
      <c r="AK92" s="62"/>
      <c r="AL92" s="62" t="str">
        <f t="shared" si="10"/>
        <v>15</v>
      </c>
      <c r="AM92" s="64" t="str">
        <f t="shared" si="11"/>
        <v>00</v>
      </c>
      <c r="AN92" s="64" t="str">
        <f t="shared" si="12"/>
        <v>00</v>
      </c>
      <c r="AO92" s="64" t="str">
        <f t="shared" si="13"/>
        <v>00</v>
      </c>
      <c r="AQ92" t="str">
        <f t="shared" si="8"/>
        <v xml:space="preserve">    (U4)0x00000015U,                                                           /* 21 UNKNOWN                                         */</v>
      </c>
    </row>
    <row r="93" spans="2:43">
      <c r="B93" s="138"/>
      <c r="C93" s="49">
        <f t="shared" si="9"/>
        <v>22</v>
      </c>
      <c r="D93" s="130">
        <f t="shared" si="17"/>
        <v>0</v>
      </c>
      <c r="E93" s="130">
        <f t="shared" si="17"/>
        <v>0</v>
      </c>
      <c r="F93" s="130">
        <f t="shared" si="17"/>
        <v>0</v>
      </c>
      <c r="G93" s="130">
        <f t="shared" si="17"/>
        <v>0</v>
      </c>
      <c r="H93" s="130">
        <f t="shared" si="17"/>
        <v>0</v>
      </c>
      <c r="I93" s="130">
        <f t="shared" si="17"/>
        <v>0</v>
      </c>
      <c r="J93" s="130">
        <f t="shared" si="17"/>
        <v>0</v>
      </c>
      <c r="K93" s="130">
        <f t="shared" si="17"/>
        <v>0</v>
      </c>
      <c r="L93" s="130">
        <f t="shared" si="17"/>
        <v>0</v>
      </c>
      <c r="M93" s="130">
        <f t="shared" si="17"/>
        <v>0</v>
      </c>
      <c r="N93" s="130">
        <f t="shared" si="17"/>
        <v>0</v>
      </c>
      <c r="O93" s="130">
        <f t="shared" si="17"/>
        <v>0</v>
      </c>
      <c r="P93" s="130">
        <f t="shared" si="17"/>
        <v>0</v>
      </c>
      <c r="Q93" s="130">
        <f t="shared" si="17"/>
        <v>0</v>
      </c>
      <c r="R93" s="130">
        <f t="shared" si="17"/>
        <v>0</v>
      </c>
      <c r="S93" s="130">
        <f t="shared" si="17"/>
        <v>0</v>
      </c>
      <c r="T93" s="130">
        <f t="shared" si="17"/>
        <v>0</v>
      </c>
      <c r="U93" s="130">
        <f t="shared" si="17"/>
        <v>0</v>
      </c>
      <c r="V93" s="130">
        <f t="shared" si="17"/>
        <v>0</v>
      </c>
      <c r="W93" s="130">
        <f t="shared" si="17"/>
        <v>0</v>
      </c>
      <c r="X93" s="130">
        <f t="shared" si="17"/>
        <v>0</v>
      </c>
      <c r="Y93" s="130">
        <f t="shared" si="17"/>
        <v>0</v>
      </c>
      <c r="Z93" s="130">
        <f t="shared" si="17"/>
        <v>0</v>
      </c>
      <c r="AA93" s="130">
        <f t="shared" si="17"/>
        <v>0</v>
      </c>
      <c r="AB93" s="130">
        <f t="shared" si="17"/>
        <v>0</v>
      </c>
      <c r="AC93" s="130">
        <f t="shared" si="17"/>
        <v>0</v>
      </c>
      <c r="AD93" s="130">
        <f t="shared" si="17"/>
        <v>0</v>
      </c>
      <c r="AE93" s="130">
        <f t="shared" si="17"/>
        <v>1</v>
      </c>
      <c r="AF93" s="130">
        <f t="shared" si="17"/>
        <v>0</v>
      </c>
      <c r="AG93" s="130">
        <f t="shared" si="17"/>
        <v>1</v>
      </c>
      <c r="AH93" s="130">
        <f t="shared" si="17"/>
        <v>1</v>
      </c>
      <c r="AI93" s="130">
        <f t="shared" si="17"/>
        <v>0</v>
      </c>
      <c r="AJ93" s="49" t="str">
        <f t="shared" si="7"/>
        <v>UNKNOWN</v>
      </c>
      <c r="AK93" s="62"/>
      <c r="AL93" s="62" t="str">
        <f t="shared" si="10"/>
        <v>16</v>
      </c>
      <c r="AM93" s="64" t="str">
        <f t="shared" si="11"/>
        <v>00</v>
      </c>
      <c r="AN93" s="64" t="str">
        <f t="shared" si="12"/>
        <v>00</v>
      </c>
      <c r="AO93" s="64" t="str">
        <f t="shared" si="13"/>
        <v>00</v>
      </c>
      <c r="AQ93" t="str">
        <f t="shared" si="8"/>
        <v xml:space="preserve">    (U4)0x00000016U,                                                           /* 22 UNKNOWN                                         */</v>
      </c>
    </row>
    <row r="94" spans="2:43">
      <c r="B94" s="138"/>
      <c r="C94" s="49">
        <f t="shared" si="9"/>
        <v>23</v>
      </c>
      <c r="D94" s="130">
        <f t="shared" si="17"/>
        <v>0</v>
      </c>
      <c r="E94" s="130">
        <f t="shared" si="17"/>
        <v>0</v>
      </c>
      <c r="F94" s="130">
        <f t="shared" si="17"/>
        <v>0</v>
      </c>
      <c r="G94" s="130">
        <f t="shared" si="17"/>
        <v>0</v>
      </c>
      <c r="H94" s="130">
        <f t="shared" si="17"/>
        <v>0</v>
      </c>
      <c r="I94" s="130">
        <f t="shared" si="17"/>
        <v>0</v>
      </c>
      <c r="J94" s="130">
        <f t="shared" si="17"/>
        <v>0</v>
      </c>
      <c r="K94" s="130">
        <f t="shared" si="17"/>
        <v>0</v>
      </c>
      <c r="L94" s="130">
        <f t="shared" si="17"/>
        <v>0</v>
      </c>
      <c r="M94" s="130">
        <f t="shared" si="17"/>
        <v>0</v>
      </c>
      <c r="N94" s="130">
        <f t="shared" si="17"/>
        <v>0</v>
      </c>
      <c r="O94" s="130">
        <f t="shared" si="17"/>
        <v>0</v>
      </c>
      <c r="P94" s="130">
        <f t="shared" si="17"/>
        <v>0</v>
      </c>
      <c r="Q94" s="130">
        <f t="shared" si="17"/>
        <v>0</v>
      </c>
      <c r="R94" s="130">
        <f t="shared" si="17"/>
        <v>0</v>
      </c>
      <c r="S94" s="130">
        <f t="shared" si="17"/>
        <v>0</v>
      </c>
      <c r="T94" s="130">
        <f t="shared" si="17"/>
        <v>0</v>
      </c>
      <c r="U94" s="130">
        <f t="shared" si="17"/>
        <v>0</v>
      </c>
      <c r="V94" s="130">
        <f t="shared" si="17"/>
        <v>0</v>
      </c>
      <c r="W94" s="130">
        <f t="shared" si="17"/>
        <v>0</v>
      </c>
      <c r="X94" s="130">
        <f t="shared" si="17"/>
        <v>0</v>
      </c>
      <c r="Y94" s="130">
        <f t="shared" si="17"/>
        <v>0</v>
      </c>
      <c r="Z94" s="130">
        <f t="shared" si="17"/>
        <v>0</v>
      </c>
      <c r="AA94" s="130">
        <f t="shared" si="17"/>
        <v>0</v>
      </c>
      <c r="AB94" s="130">
        <f t="shared" si="17"/>
        <v>0</v>
      </c>
      <c r="AC94" s="130">
        <f t="shared" si="17"/>
        <v>0</v>
      </c>
      <c r="AD94" s="130">
        <f t="shared" si="17"/>
        <v>0</v>
      </c>
      <c r="AE94" s="130">
        <f t="shared" si="17"/>
        <v>1</v>
      </c>
      <c r="AF94" s="130">
        <f t="shared" si="17"/>
        <v>0</v>
      </c>
      <c r="AG94" s="130">
        <f t="shared" si="17"/>
        <v>1</v>
      </c>
      <c r="AH94" s="130">
        <f t="shared" si="17"/>
        <v>1</v>
      </c>
      <c r="AI94" s="130">
        <f t="shared" ref="AI94" si="18">IF(AI29=1,1,0)</f>
        <v>1</v>
      </c>
      <c r="AJ94" s="49" t="str">
        <f t="shared" si="7"/>
        <v>UNKNOWN</v>
      </c>
      <c r="AK94" s="62"/>
      <c r="AL94" s="62" t="str">
        <f t="shared" si="10"/>
        <v>17</v>
      </c>
      <c r="AM94" s="64" t="str">
        <f t="shared" si="11"/>
        <v>00</v>
      </c>
      <c r="AN94" s="64" t="str">
        <f t="shared" si="12"/>
        <v>00</v>
      </c>
      <c r="AO94" s="64" t="str">
        <f t="shared" si="13"/>
        <v>00</v>
      </c>
      <c r="AQ94" t="str">
        <f t="shared" si="8"/>
        <v xml:space="preserve">    (U4)0x00000017U,                                                           /* 23 UNKNOWN                                         */</v>
      </c>
    </row>
    <row r="95" spans="2:43">
      <c r="B95" s="138"/>
      <c r="C95" s="49">
        <f t="shared" si="9"/>
        <v>24</v>
      </c>
      <c r="D95" s="130">
        <f t="shared" ref="D95:AI102" si="19">IF(D30=1,1,0)</f>
        <v>0</v>
      </c>
      <c r="E95" s="130">
        <f t="shared" si="19"/>
        <v>0</v>
      </c>
      <c r="F95" s="130">
        <f t="shared" si="19"/>
        <v>0</v>
      </c>
      <c r="G95" s="130">
        <f t="shared" si="19"/>
        <v>0</v>
      </c>
      <c r="H95" s="130">
        <f t="shared" si="19"/>
        <v>0</v>
      </c>
      <c r="I95" s="130">
        <f t="shared" si="19"/>
        <v>0</v>
      </c>
      <c r="J95" s="130">
        <f t="shared" si="19"/>
        <v>0</v>
      </c>
      <c r="K95" s="130">
        <f t="shared" si="19"/>
        <v>0</v>
      </c>
      <c r="L95" s="130">
        <f t="shared" si="19"/>
        <v>0</v>
      </c>
      <c r="M95" s="130">
        <f t="shared" si="19"/>
        <v>0</v>
      </c>
      <c r="N95" s="130">
        <f t="shared" si="19"/>
        <v>0</v>
      </c>
      <c r="O95" s="130">
        <f t="shared" si="19"/>
        <v>0</v>
      </c>
      <c r="P95" s="130">
        <f t="shared" si="19"/>
        <v>0</v>
      </c>
      <c r="Q95" s="130">
        <f t="shared" si="19"/>
        <v>0</v>
      </c>
      <c r="R95" s="130">
        <f t="shared" si="19"/>
        <v>0</v>
      </c>
      <c r="S95" s="130">
        <f t="shared" si="19"/>
        <v>0</v>
      </c>
      <c r="T95" s="130">
        <f t="shared" si="19"/>
        <v>0</v>
      </c>
      <c r="U95" s="130">
        <f t="shared" si="19"/>
        <v>0</v>
      </c>
      <c r="V95" s="130">
        <f t="shared" si="19"/>
        <v>0</v>
      </c>
      <c r="W95" s="130">
        <f t="shared" si="19"/>
        <v>0</v>
      </c>
      <c r="X95" s="130">
        <f t="shared" si="19"/>
        <v>0</v>
      </c>
      <c r="Y95" s="130">
        <f t="shared" si="19"/>
        <v>0</v>
      </c>
      <c r="Z95" s="130">
        <f t="shared" si="19"/>
        <v>0</v>
      </c>
      <c r="AA95" s="130">
        <f t="shared" si="19"/>
        <v>0</v>
      </c>
      <c r="AB95" s="130">
        <f t="shared" si="19"/>
        <v>0</v>
      </c>
      <c r="AC95" s="130">
        <f t="shared" si="19"/>
        <v>0</v>
      </c>
      <c r="AD95" s="130">
        <f t="shared" si="19"/>
        <v>0</v>
      </c>
      <c r="AE95" s="130">
        <f t="shared" si="19"/>
        <v>1</v>
      </c>
      <c r="AF95" s="130">
        <f t="shared" si="19"/>
        <v>1</v>
      </c>
      <c r="AG95" s="130">
        <f t="shared" si="19"/>
        <v>0</v>
      </c>
      <c r="AH95" s="130">
        <f t="shared" si="19"/>
        <v>0</v>
      </c>
      <c r="AI95" s="130">
        <f t="shared" si="19"/>
        <v>0</v>
      </c>
      <c r="AJ95" s="49" t="str">
        <f t="shared" si="7"/>
        <v>UNKNOWN</v>
      </c>
      <c r="AK95" s="62"/>
      <c r="AL95" s="62" t="str">
        <f t="shared" si="10"/>
        <v>18</v>
      </c>
      <c r="AM95" s="64" t="str">
        <f t="shared" si="11"/>
        <v>00</v>
      </c>
      <c r="AN95" s="64" t="str">
        <f t="shared" si="12"/>
        <v>00</v>
      </c>
      <c r="AO95" s="64" t="str">
        <f t="shared" si="13"/>
        <v>00</v>
      </c>
      <c r="AQ95" t="str">
        <f t="shared" si="8"/>
        <v xml:space="preserve">    (U4)0x00000018U,                                                           /* 24 UNKNOWN                                         */</v>
      </c>
    </row>
    <row r="96" spans="2:43">
      <c r="B96" s="138"/>
      <c r="C96" s="49">
        <f t="shared" si="9"/>
        <v>25</v>
      </c>
      <c r="D96" s="130">
        <f t="shared" si="19"/>
        <v>0</v>
      </c>
      <c r="E96" s="130">
        <f t="shared" si="19"/>
        <v>0</v>
      </c>
      <c r="F96" s="130">
        <f t="shared" si="19"/>
        <v>0</v>
      </c>
      <c r="G96" s="130">
        <f t="shared" si="19"/>
        <v>0</v>
      </c>
      <c r="H96" s="130">
        <f t="shared" si="19"/>
        <v>0</v>
      </c>
      <c r="I96" s="130">
        <f t="shared" si="19"/>
        <v>0</v>
      </c>
      <c r="J96" s="130">
        <f t="shared" si="19"/>
        <v>0</v>
      </c>
      <c r="K96" s="130">
        <f t="shared" si="19"/>
        <v>0</v>
      </c>
      <c r="L96" s="130">
        <f t="shared" si="19"/>
        <v>0</v>
      </c>
      <c r="M96" s="130">
        <f t="shared" si="19"/>
        <v>0</v>
      </c>
      <c r="N96" s="130">
        <f t="shared" si="19"/>
        <v>0</v>
      </c>
      <c r="O96" s="130">
        <f t="shared" si="19"/>
        <v>0</v>
      </c>
      <c r="P96" s="130">
        <f t="shared" si="19"/>
        <v>0</v>
      </c>
      <c r="Q96" s="130">
        <f t="shared" si="19"/>
        <v>0</v>
      </c>
      <c r="R96" s="130">
        <f t="shared" si="19"/>
        <v>0</v>
      </c>
      <c r="S96" s="130">
        <f t="shared" si="19"/>
        <v>0</v>
      </c>
      <c r="T96" s="130">
        <f t="shared" si="19"/>
        <v>0</v>
      </c>
      <c r="U96" s="130">
        <f t="shared" si="19"/>
        <v>0</v>
      </c>
      <c r="V96" s="130">
        <f t="shared" si="19"/>
        <v>0</v>
      </c>
      <c r="W96" s="130">
        <f t="shared" si="19"/>
        <v>0</v>
      </c>
      <c r="X96" s="130">
        <f t="shared" si="19"/>
        <v>0</v>
      </c>
      <c r="Y96" s="130">
        <f t="shared" si="19"/>
        <v>0</v>
      </c>
      <c r="Z96" s="130">
        <f t="shared" si="19"/>
        <v>0</v>
      </c>
      <c r="AA96" s="130">
        <f t="shared" si="19"/>
        <v>0</v>
      </c>
      <c r="AB96" s="130">
        <f t="shared" si="19"/>
        <v>0</v>
      </c>
      <c r="AC96" s="130">
        <f t="shared" si="19"/>
        <v>0</v>
      </c>
      <c r="AD96" s="130">
        <f t="shared" si="19"/>
        <v>0</v>
      </c>
      <c r="AE96" s="130">
        <f t="shared" si="19"/>
        <v>1</v>
      </c>
      <c r="AF96" s="130">
        <f t="shared" si="19"/>
        <v>1</v>
      </c>
      <c r="AG96" s="130">
        <f t="shared" si="19"/>
        <v>0</v>
      </c>
      <c r="AH96" s="130">
        <f t="shared" si="19"/>
        <v>0</v>
      </c>
      <c r="AI96" s="130">
        <f t="shared" si="19"/>
        <v>1</v>
      </c>
      <c r="AJ96" s="49" t="str">
        <f t="shared" si="7"/>
        <v>UNKNOWN</v>
      </c>
      <c r="AK96" s="62"/>
      <c r="AL96" s="62" t="str">
        <f t="shared" si="10"/>
        <v>19</v>
      </c>
      <c r="AM96" s="64" t="str">
        <f t="shared" si="11"/>
        <v>00</v>
      </c>
      <c r="AN96" s="64" t="str">
        <f t="shared" si="12"/>
        <v>00</v>
      </c>
      <c r="AO96" s="64" t="str">
        <f t="shared" si="13"/>
        <v>00</v>
      </c>
      <c r="AQ96" t="str">
        <f t="shared" si="8"/>
        <v xml:space="preserve">    (U4)0x00000019U,                                                           /* 25 UNKNOWN                                         */</v>
      </c>
    </row>
    <row r="97" spans="2:43">
      <c r="B97" s="138"/>
      <c r="C97" s="49">
        <f t="shared" si="9"/>
        <v>26</v>
      </c>
      <c r="D97" s="130">
        <f t="shared" si="19"/>
        <v>0</v>
      </c>
      <c r="E97" s="130">
        <f t="shared" si="19"/>
        <v>0</v>
      </c>
      <c r="F97" s="130">
        <f t="shared" si="19"/>
        <v>0</v>
      </c>
      <c r="G97" s="130">
        <f t="shared" si="19"/>
        <v>0</v>
      </c>
      <c r="H97" s="130">
        <f t="shared" si="19"/>
        <v>0</v>
      </c>
      <c r="I97" s="130">
        <f t="shared" si="19"/>
        <v>0</v>
      </c>
      <c r="J97" s="130">
        <f t="shared" si="19"/>
        <v>0</v>
      </c>
      <c r="K97" s="130">
        <f t="shared" si="19"/>
        <v>0</v>
      </c>
      <c r="L97" s="130">
        <f t="shared" si="19"/>
        <v>0</v>
      </c>
      <c r="M97" s="130">
        <f t="shared" si="19"/>
        <v>0</v>
      </c>
      <c r="N97" s="130">
        <f t="shared" si="19"/>
        <v>0</v>
      </c>
      <c r="O97" s="130">
        <f t="shared" si="19"/>
        <v>0</v>
      </c>
      <c r="P97" s="130">
        <f t="shared" si="19"/>
        <v>0</v>
      </c>
      <c r="Q97" s="130">
        <f t="shared" si="19"/>
        <v>0</v>
      </c>
      <c r="R97" s="130">
        <f t="shared" si="19"/>
        <v>0</v>
      </c>
      <c r="S97" s="130">
        <f t="shared" si="19"/>
        <v>0</v>
      </c>
      <c r="T97" s="130">
        <f t="shared" si="19"/>
        <v>0</v>
      </c>
      <c r="U97" s="130">
        <f t="shared" si="19"/>
        <v>0</v>
      </c>
      <c r="V97" s="130">
        <f t="shared" si="19"/>
        <v>0</v>
      </c>
      <c r="W97" s="130">
        <f t="shared" si="19"/>
        <v>0</v>
      </c>
      <c r="X97" s="130">
        <f t="shared" si="19"/>
        <v>0</v>
      </c>
      <c r="Y97" s="130">
        <f t="shared" si="19"/>
        <v>0</v>
      </c>
      <c r="Z97" s="130">
        <f t="shared" si="19"/>
        <v>0</v>
      </c>
      <c r="AA97" s="130">
        <f t="shared" si="19"/>
        <v>0</v>
      </c>
      <c r="AB97" s="130">
        <f t="shared" si="19"/>
        <v>0</v>
      </c>
      <c r="AC97" s="130">
        <f t="shared" si="19"/>
        <v>0</v>
      </c>
      <c r="AD97" s="130">
        <f t="shared" si="19"/>
        <v>0</v>
      </c>
      <c r="AE97" s="130">
        <f t="shared" si="19"/>
        <v>1</v>
      </c>
      <c r="AF97" s="130">
        <f t="shared" si="19"/>
        <v>1</v>
      </c>
      <c r="AG97" s="130">
        <f t="shared" si="19"/>
        <v>0</v>
      </c>
      <c r="AH97" s="130">
        <f t="shared" si="19"/>
        <v>1</v>
      </c>
      <c r="AI97" s="130">
        <f t="shared" si="19"/>
        <v>0</v>
      </c>
      <c r="AJ97" s="49" t="str">
        <f t="shared" si="7"/>
        <v>UNKNOWN</v>
      </c>
      <c r="AK97" s="62"/>
      <c r="AL97" s="62" t="str">
        <f t="shared" si="10"/>
        <v>1A</v>
      </c>
      <c r="AM97" s="64" t="str">
        <f t="shared" si="11"/>
        <v>00</v>
      </c>
      <c r="AN97" s="64" t="str">
        <f t="shared" si="12"/>
        <v>00</v>
      </c>
      <c r="AO97" s="64" t="str">
        <f t="shared" si="13"/>
        <v>00</v>
      </c>
      <c r="AQ97" t="str">
        <f t="shared" si="8"/>
        <v xml:space="preserve">    (U4)0x0000001AU,                                                           /* 26 UNKNOWN                                         */</v>
      </c>
    </row>
    <row r="98" spans="2:43">
      <c r="B98" s="138"/>
      <c r="C98" s="49">
        <f t="shared" si="9"/>
        <v>27</v>
      </c>
      <c r="D98" s="130">
        <f t="shared" si="19"/>
        <v>0</v>
      </c>
      <c r="E98" s="130">
        <f t="shared" si="19"/>
        <v>0</v>
      </c>
      <c r="F98" s="130">
        <f t="shared" si="19"/>
        <v>0</v>
      </c>
      <c r="G98" s="130">
        <f t="shared" si="19"/>
        <v>0</v>
      </c>
      <c r="H98" s="130">
        <f t="shared" si="19"/>
        <v>0</v>
      </c>
      <c r="I98" s="130">
        <f t="shared" si="19"/>
        <v>0</v>
      </c>
      <c r="J98" s="130">
        <f t="shared" si="19"/>
        <v>0</v>
      </c>
      <c r="K98" s="130">
        <f t="shared" si="19"/>
        <v>0</v>
      </c>
      <c r="L98" s="130">
        <f t="shared" si="19"/>
        <v>0</v>
      </c>
      <c r="M98" s="130">
        <f t="shared" si="19"/>
        <v>0</v>
      </c>
      <c r="N98" s="130">
        <f t="shared" si="19"/>
        <v>0</v>
      </c>
      <c r="O98" s="130">
        <f t="shared" si="19"/>
        <v>0</v>
      </c>
      <c r="P98" s="130">
        <f t="shared" si="19"/>
        <v>0</v>
      </c>
      <c r="Q98" s="130">
        <f t="shared" si="19"/>
        <v>0</v>
      </c>
      <c r="R98" s="130">
        <f t="shared" si="19"/>
        <v>0</v>
      </c>
      <c r="S98" s="130">
        <f t="shared" si="19"/>
        <v>0</v>
      </c>
      <c r="T98" s="130">
        <f t="shared" si="19"/>
        <v>0</v>
      </c>
      <c r="U98" s="130">
        <f t="shared" si="19"/>
        <v>0</v>
      </c>
      <c r="V98" s="130">
        <f t="shared" si="19"/>
        <v>0</v>
      </c>
      <c r="W98" s="130">
        <f t="shared" si="19"/>
        <v>0</v>
      </c>
      <c r="X98" s="130">
        <f t="shared" si="19"/>
        <v>0</v>
      </c>
      <c r="Y98" s="130">
        <f t="shared" si="19"/>
        <v>0</v>
      </c>
      <c r="Z98" s="130">
        <f t="shared" si="19"/>
        <v>0</v>
      </c>
      <c r="AA98" s="130">
        <f t="shared" si="19"/>
        <v>0</v>
      </c>
      <c r="AB98" s="130">
        <f t="shared" si="19"/>
        <v>0</v>
      </c>
      <c r="AC98" s="130">
        <f t="shared" si="19"/>
        <v>0</v>
      </c>
      <c r="AD98" s="130">
        <f t="shared" si="19"/>
        <v>0</v>
      </c>
      <c r="AE98" s="130">
        <f t="shared" si="19"/>
        <v>1</v>
      </c>
      <c r="AF98" s="130">
        <f t="shared" si="19"/>
        <v>1</v>
      </c>
      <c r="AG98" s="130">
        <f t="shared" si="19"/>
        <v>0</v>
      </c>
      <c r="AH98" s="130">
        <f t="shared" si="19"/>
        <v>1</v>
      </c>
      <c r="AI98" s="130">
        <f t="shared" si="19"/>
        <v>1</v>
      </c>
      <c r="AJ98" s="49" t="str">
        <f t="shared" si="7"/>
        <v>UNKNOWN</v>
      </c>
      <c r="AK98" s="62"/>
      <c r="AL98" s="62" t="str">
        <f t="shared" si="10"/>
        <v>1B</v>
      </c>
      <c r="AM98" s="64" t="str">
        <f t="shared" si="11"/>
        <v>00</v>
      </c>
      <c r="AN98" s="64" t="str">
        <f t="shared" si="12"/>
        <v>00</v>
      </c>
      <c r="AO98" s="64" t="str">
        <f t="shared" si="13"/>
        <v>00</v>
      </c>
      <c r="AQ98" t="str">
        <f t="shared" si="8"/>
        <v xml:space="preserve">    (U4)0x0000001BU,                                                           /* 27 UNKNOWN                                         */</v>
      </c>
    </row>
    <row r="99" spans="2:43">
      <c r="B99" s="138"/>
      <c r="C99" s="49">
        <f t="shared" si="9"/>
        <v>28</v>
      </c>
      <c r="D99" s="130">
        <f t="shared" si="19"/>
        <v>0</v>
      </c>
      <c r="E99" s="130">
        <f t="shared" si="19"/>
        <v>0</v>
      </c>
      <c r="F99" s="130">
        <f t="shared" si="19"/>
        <v>0</v>
      </c>
      <c r="G99" s="130">
        <f t="shared" si="19"/>
        <v>0</v>
      </c>
      <c r="H99" s="130">
        <f t="shared" si="19"/>
        <v>0</v>
      </c>
      <c r="I99" s="130">
        <f t="shared" si="19"/>
        <v>0</v>
      </c>
      <c r="J99" s="130">
        <f t="shared" si="19"/>
        <v>0</v>
      </c>
      <c r="K99" s="130">
        <f t="shared" si="19"/>
        <v>0</v>
      </c>
      <c r="L99" s="130">
        <f t="shared" si="19"/>
        <v>0</v>
      </c>
      <c r="M99" s="130">
        <f t="shared" si="19"/>
        <v>0</v>
      </c>
      <c r="N99" s="130">
        <f t="shared" si="19"/>
        <v>0</v>
      </c>
      <c r="O99" s="130">
        <f t="shared" si="19"/>
        <v>0</v>
      </c>
      <c r="P99" s="130">
        <f t="shared" si="19"/>
        <v>0</v>
      </c>
      <c r="Q99" s="130">
        <f t="shared" si="19"/>
        <v>0</v>
      </c>
      <c r="R99" s="130">
        <f t="shared" si="19"/>
        <v>0</v>
      </c>
      <c r="S99" s="130">
        <f t="shared" si="19"/>
        <v>0</v>
      </c>
      <c r="T99" s="130">
        <f t="shared" si="19"/>
        <v>0</v>
      </c>
      <c r="U99" s="130">
        <f t="shared" si="19"/>
        <v>0</v>
      </c>
      <c r="V99" s="130">
        <f t="shared" si="19"/>
        <v>0</v>
      </c>
      <c r="W99" s="130">
        <f t="shared" si="19"/>
        <v>0</v>
      </c>
      <c r="X99" s="130">
        <f t="shared" si="19"/>
        <v>0</v>
      </c>
      <c r="Y99" s="130">
        <f t="shared" si="19"/>
        <v>0</v>
      </c>
      <c r="Z99" s="130">
        <f t="shared" si="19"/>
        <v>0</v>
      </c>
      <c r="AA99" s="130">
        <f t="shared" si="19"/>
        <v>0</v>
      </c>
      <c r="AB99" s="130">
        <f t="shared" si="19"/>
        <v>0</v>
      </c>
      <c r="AC99" s="130">
        <f t="shared" si="19"/>
        <v>0</v>
      </c>
      <c r="AD99" s="130">
        <f t="shared" si="19"/>
        <v>0</v>
      </c>
      <c r="AE99" s="130">
        <f t="shared" si="19"/>
        <v>1</v>
      </c>
      <c r="AF99" s="130">
        <f t="shared" si="19"/>
        <v>1</v>
      </c>
      <c r="AG99" s="130">
        <f t="shared" si="19"/>
        <v>1</v>
      </c>
      <c r="AH99" s="130">
        <f t="shared" si="19"/>
        <v>0</v>
      </c>
      <c r="AI99" s="130">
        <f t="shared" si="19"/>
        <v>0</v>
      </c>
      <c r="AJ99" s="49" t="str">
        <f t="shared" si="7"/>
        <v>UNKNOWN</v>
      </c>
      <c r="AK99" s="62"/>
      <c r="AL99" s="62" t="str">
        <f t="shared" si="10"/>
        <v>1C</v>
      </c>
      <c r="AM99" s="64" t="str">
        <f t="shared" si="11"/>
        <v>00</v>
      </c>
      <c r="AN99" s="64" t="str">
        <f t="shared" si="12"/>
        <v>00</v>
      </c>
      <c r="AO99" s="64" t="str">
        <f t="shared" si="13"/>
        <v>00</v>
      </c>
      <c r="AQ99" t="str">
        <f t="shared" si="8"/>
        <v xml:space="preserve">    (U4)0x0000001CU,                                                           /* 28 UNKNOWN                                         */</v>
      </c>
    </row>
    <row r="100" spans="2:43">
      <c r="B100" s="138"/>
      <c r="C100" s="49">
        <f t="shared" si="9"/>
        <v>29</v>
      </c>
      <c r="D100" s="130">
        <f t="shared" si="19"/>
        <v>0</v>
      </c>
      <c r="E100" s="130">
        <f t="shared" si="19"/>
        <v>0</v>
      </c>
      <c r="F100" s="130">
        <f t="shared" si="19"/>
        <v>0</v>
      </c>
      <c r="G100" s="130">
        <f t="shared" si="19"/>
        <v>0</v>
      </c>
      <c r="H100" s="130">
        <f t="shared" si="19"/>
        <v>0</v>
      </c>
      <c r="I100" s="130">
        <f t="shared" si="19"/>
        <v>0</v>
      </c>
      <c r="J100" s="130">
        <f t="shared" si="19"/>
        <v>0</v>
      </c>
      <c r="K100" s="130">
        <f t="shared" si="19"/>
        <v>0</v>
      </c>
      <c r="L100" s="130">
        <f t="shared" si="19"/>
        <v>0</v>
      </c>
      <c r="M100" s="130">
        <f t="shared" si="19"/>
        <v>0</v>
      </c>
      <c r="N100" s="130">
        <f t="shared" si="19"/>
        <v>0</v>
      </c>
      <c r="O100" s="130">
        <f t="shared" si="19"/>
        <v>0</v>
      </c>
      <c r="P100" s="130">
        <f t="shared" si="19"/>
        <v>0</v>
      </c>
      <c r="Q100" s="130">
        <f t="shared" si="19"/>
        <v>0</v>
      </c>
      <c r="R100" s="130">
        <f t="shared" si="19"/>
        <v>0</v>
      </c>
      <c r="S100" s="130">
        <f t="shared" si="19"/>
        <v>0</v>
      </c>
      <c r="T100" s="130">
        <f t="shared" si="19"/>
        <v>0</v>
      </c>
      <c r="U100" s="130">
        <f t="shared" si="19"/>
        <v>0</v>
      </c>
      <c r="V100" s="130">
        <f t="shared" si="19"/>
        <v>0</v>
      </c>
      <c r="W100" s="130">
        <f t="shared" si="19"/>
        <v>0</v>
      </c>
      <c r="X100" s="130">
        <f t="shared" si="19"/>
        <v>0</v>
      </c>
      <c r="Y100" s="130">
        <f t="shared" si="19"/>
        <v>0</v>
      </c>
      <c r="Z100" s="130">
        <f t="shared" si="19"/>
        <v>0</v>
      </c>
      <c r="AA100" s="130">
        <f t="shared" si="19"/>
        <v>0</v>
      </c>
      <c r="AB100" s="130">
        <f t="shared" si="19"/>
        <v>0</v>
      </c>
      <c r="AC100" s="130">
        <f t="shared" si="19"/>
        <v>0</v>
      </c>
      <c r="AD100" s="130">
        <f t="shared" si="19"/>
        <v>0</v>
      </c>
      <c r="AE100" s="130">
        <f t="shared" si="19"/>
        <v>1</v>
      </c>
      <c r="AF100" s="130">
        <f t="shared" si="19"/>
        <v>1</v>
      </c>
      <c r="AG100" s="130">
        <f t="shared" si="19"/>
        <v>1</v>
      </c>
      <c r="AH100" s="130">
        <f t="shared" si="19"/>
        <v>0</v>
      </c>
      <c r="AI100" s="130">
        <f t="shared" si="19"/>
        <v>1</v>
      </c>
      <c r="AJ100" s="49" t="str">
        <f t="shared" si="7"/>
        <v>UNKNOWN</v>
      </c>
      <c r="AK100" s="62"/>
      <c r="AL100" s="62" t="str">
        <f t="shared" si="10"/>
        <v>1D</v>
      </c>
      <c r="AM100" s="64" t="str">
        <f t="shared" si="11"/>
        <v>00</v>
      </c>
      <c r="AN100" s="64" t="str">
        <f t="shared" si="12"/>
        <v>00</v>
      </c>
      <c r="AO100" s="64" t="str">
        <f t="shared" si="13"/>
        <v>00</v>
      </c>
      <c r="AQ100" t="str">
        <f t="shared" si="8"/>
        <v xml:space="preserve">    (U4)0x0000001DU,                                                           /* 29 UNKNOWN                                         */</v>
      </c>
    </row>
    <row r="101" spans="2:43">
      <c r="B101" s="138"/>
      <c r="C101" s="49">
        <f t="shared" si="9"/>
        <v>30</v>
      </c>
      <c r="D101" s="130">
        <f t="shared" si="19"/>
        <v>0</v>
      </c>
      <c r="E101" s="130">
        <f t="shared" si="19"/>
        <v>0</v>
      </c>
      <c r="F101" s="130">
        <f t="shared" si="19"/>
        <v>0</v>
      </c>
      <c r="G101" s="130">
        <f t="shared" si="19"/>
        <v>0</v>
      </c>
      <c r="H101" s="130">
        <f t="shared" si="19"/>
        <v>0</v>
      </c>
      <c r="I101" s="130">
        <f t="shared" si="19"/>
        <v>0</v>
      </c>
      <c r="J101" s="130">
        <f t="shared" si="19"/>
        <v>0</v>
      </c>
      <c r="K101" s="130">
        <f t="shared" si="19"/>
        <v>0</v>
      </c>
      <c r="L101" s="130">
        <f t="shared" si="19"/>
        <v>0</v>
      </c>
      <c r="M101" s="130">
        <f t="shared" si="19"/>
        <v>0</v>
      </c>
      <c r="N101" s="130">
        <f t="shared" si="19"/>
        <v>0</v>
      </c>
      <c r="O101" s="130">
        <f t="shared" si="19"/>
        <v>0</v>
      </c>
      <c r="P101" s="130">
        <f t="shared" si="19"/>
        <v>0</v>
      </c>
      <c r="Q101" s="130">
        <f t="shared" si="19"/>
        <v>0</v>
      </c>
      <c r="R101" s="130">
        <f t="shared" si="19"/>
        <v>0</v>
      </c>
      <c r="S101" s="130">
        <f t="shared" si="19"/>
        <v>0</v>
      </c>
      <c r="T101" s="130">
        <f t="shared" si="19"/>
        <v>0</v>
      </c>
      <c r="U101" s="130">
        <f t="shared" si="19"/>
        <v>0</v>
      </c>
      <c r="V101" s="130">
        <f t="shared" si="19"/>
        <v>0</v>
      </c>
      <c r="W101" s="130">
        <f t="shared" si="19"/>
        <v>0</v>
      </c>
      <c r="X101" s="130">
        <f t="shared" si="19"/>
        <v>0</v>
      </c>
      <c r="Y101" s="130">
        <f t="shared" si="19"/>
        <v>0</v>
      </c>
      <c r="Z101" s="130">
        <f t="shared" si="19"/>
        <v>0</v>
      </c>
      <c r="AA101" s="130">
        <f t="shared" si="19"/>
        <v>0</v>
      </c>
      <c r="AB101" s="130">
        <f t="shared" si="19"/>
        <v>0</v>
      </c>
      <c r="AC101" s="130">
        <f t="shared" si="19"/>
        <v>0</v>
      </c>
      <c r="AD101" s="130">
        <f t="shared" si="19"/>
        <v>0</v>
      </c>
      <c r="AE101" s="130">
        <f t="shared" si="19"/>
        <v>1</v>
      </c>
      <c r="AF101" s="130">
        <f t="shared" si="19"/>
        <v>1</v>
      </c>
      <c r="AG101" s="130">
        <f t="shared" si="19"/>
        <v>1</v>
      </c>
      <c r="AH101" s="130">
        <f t="shared" si="19"/>
        <v>1</v>
      </c>
      <c r="AI101" s="130">
        <f t="shared" si="19"/>
        <v>0</v>
      </c>
      <c r="AJ101" s="49" t="str">
        <f t="shared" si="7"/>
        <v>UNKNOWN</v>
      </c>
      <c r="AK101" s="62"/>
      <c r="AL101" s="62" t="str">
        <f t="shared" si="10"/>
        <v>1E</v>
      </c>
      <c r="AM101" s="64" t="str">
        <f t="shared" si="11"/>
        <v>00</v>
      </c>
      <c r="AN101" s="64" t="str">
        <f t="shared" si="12"/>
        <v>00</v>
      </c>
      <c r="AO101" s="64" t="str">
        <f t="shared" si="13"/>
        <v>00</v>
      </c>
      <c r="AQ101" t="str">
        <f t="shared" si="8"/>
        <v xml:space="preserve">    (U4)0x0000001EU,                                                           /* 30 UNKNOWN                                         */</v>
      </c>
    </row>
    <row r="102" spans="2:43">
      <c r="B102" s="138"/>
      <c r="C102" s="49">
        <f t="shared" si="9"/>
        <v>31</v>
      </c>
      <c r="D102" s="130">
        <f t="shared" si="19"/>
        <v>0</v>
      </c>
      <c r="E102" s="130">
        <f t="shared" si="19"/>
        <v>0</v>
      </c>
      <c r="F102" s="130">
        <f t="shared" si="19"/>
        <v>0</v>
      </c>
      <c r="G102" s="130">
        <f t="shared" si="19"/>
        <v>0</v>
      </c>
      <c r="H102" s="130">
        <f t="shared" si="19"/>
        <v>0</v>
      </c>
      <c r="I102" s="130">
        <f t="shared" si="19"/>
        <v>0</v>
      </c>
      <c r="J102" s="130">
        <f t="shared" si="19"/>
        <v>0</v>
      </c>
      <c r="K102" s="130">
        <f t="shared" si="19"/>
        <v>0</v>
      </c>
      <c r="L102" s="130">
        <f t="shared" si="19"/>
        <v>0</v>
      </c>
      <c r="M102" s="130">
        <f t="shared" si="19"/>
        <v>0</v>
      </c>
      <c r="N102" s="130">
        <f t="shared" si="19"/>
        <v>0</v>
      </c>
      <c r="O102" s="130">
        <f t="shared" si="19"/>
        <v>0</v>
      </c>
      <c r="P102" s="130">
        <f t="shared" si="19"/>
        <v>0</v>
      </c>
      <c r="Q102" s="130">
        <f t="shared" si="19"/>
        <v>0</v>
      </c>
      <c r="R102" s="130">
        <f t="shared" si="19"/>
        <v>0</v>
      </c>
      <c r="S102" s="130">
        <f t="shared" si="19"/>
        <v>0</v>
      </c>
      <c r="T102" s="130">
        <f t="shared" si="19"/>
        <v>0</v>
      </c>
      <c r="U102" s="130">
        <f t="shared" si="19"/>
        <v>0</v>
      </c>
      <c r="V102" s="130">
        <f t="shared" si="19"/>
        <v>0</v>
      </c>
      <c r="W102" s="130">
        <f t="shared" si="19"/>
        <v>0</v>
      </c>
      <c r="X102" s="130">
        <f t="shared" si="19"/>
        <v>0</v>
      </c>
      <c r="Y102" s="130">
        <f t="shared" si="19"/>
        <v>0</v>
      </c>
      <c r="Z102" s="130">
        <f t="shared" si="19"/>
        <v>0</v>
      </c>
      <c r="AA102" s="130">
        <f t="shared" si="19"/>
        <v>0</v>
      </c>
      <c r="AB102" s="130">
        <f t="shared" si="19"/>
        <v>0</v>
      </c>
      <c r="AC102" s="130">
        <f t="shared" si="19"/>
        <v>0</v>
      </c>
      <c r="AD102" s="130">
        <f t="shared" si="19"/>
        <v>0</v>
      </c>
      <c r="AE102" s="130">
        <f t="shared" si="19"/>
        <v>1</v>
      </c>
      <c r="AF102" s="130">
        <f t="shared" si="19"/>
        <v>1</v>
      </c>
      <c r="AG102" s="130">
        <f t="shared" si="19"/>
        <v>1</v>
      </c>
      <c r="AH102" s="130">
        <f t="shared" si="19"/>
        <v>1</v>
      </c>
      <c r="AI102" s="130">
        <f t="shared" ref="AI102" si="20">IF(AI37=1,1,0)</f>
        <v>1</v>
      </c>
      <c r="AJ102" s="49" t="str">
        <f t="shared" si="7"/>
        <v>UNKNOWN</v>
      </c>
      <c r="AK102" s="62"/>
      <c r="AL102" s="62" t="str">
        <f t="shared" si="10"/>
        <v>1F</v>
      </c>
      <c r="AM102" s="64" t="str">
        <f t="shared" si="11"/>
        <v>00</v>
      </c>
      <c r="AN102" s="64" t="str">
        <f t="shared" si="12"/>
        <v>00</v>
      </c>
      <c r="AO102" s="64" t="str">
        <f t="shared" si="13"/>
        <v>00</v>
      </c>
      <c r="AQ102" t="str">
        <f t="shared" si="8"/>
        <v xml:space="preserve">    (U4)0x0000001FU,                                                           /* 31 UNKNOWN                                         */</v>
      </c>
    </row>
    <row r="103" spans="2:43">
      <c r="B103" s="138"/>
      <c r="C103" s="49">
        <f t="shared" si="9"/>
        <v>32</v>
      </c>
      <c r="D103" s="130">
        <f t="shared" ref="D103:AI110" si="21">IF(D38=1,1,0)</f>
        <v>0</v>
      </c>
      <c r="E103" s="130">
        <f t="shared" si="21"/>
        <v>0</v>
      </c>
      <c r="F103" s="130">
        <f t="shared" si="21"/>
        <v>0</v>
      </c>
      <c r="G103" s="130">
        <f t="shared" si="21"/>
        <v>0</v>
      </c>
      <c r="H103" s="130">
        <f t="shared" si="21"/>
        <v>0</v>
      </c>
      <c r="I103" s="130">
        <f t="shared" si="21"/>
        <v>0</v>
      </c>
      <c r="J103" s="130">
        <f t="shared" si="21"/>
        <v>0</v>
      </c>
      <c r="K103" s="130">
        <f t="shared" si="21"/>
        <v>0</v>
      </c>
      <c r="L103" s="130">
        <f t="shared" si="21"/>
        <v>0</v>
      </c>
      <c r="M103" s="130">
        <f t="shared" si="21"/>
        <v>0</v>
      </c>
      <c r="N103" s="130">
        <f t="shared" si="21"/>
        <v>0</v>
      </c>
      <c r="O103" s="130">
        <f t="shared" si="21"/>
        <v>0</v>
      </c>
      <c r="P103" s="130">
        <f t="shared" si="21"/>
        <v>0</v>
      </c>
      <c r="Q103" s="130">
        <f t="shared" si="21"/>
        <v>0</v>
      </c>
      <c r="R103" s="130">
        <f t="shared" si="21"/>
        <v>0</v>
      </c>
      <c r="S103" s="130">
        <f t="shared" si="21"/>
        <v>0</v>
      </c>
      <c r="T103" s="130">
        <f t="shared" si="21"/>
        <v>0</v>
      </c>
      <c r="U103" s="130">
        <f t="shared" si="21"/>
        <v>0</v>
      </c>
      <c r="V103" s="130">
        <f t="shared" si="21"/>
        <v>0</v>
      </c>
      <c r="W103" s="130">
        <f t="shared" si="21"/>
        <v>0</v>
      </c>
      <c r="X103" s="130">
        <f t="shared" si="21"/>
        <v>0</v>
      </c>
      <c r="Y103" s="130">
        <f t="shared" si="21"/>
        <v>0</v>
      </c>
      <c r="Z103" s="130">
        <f t="shared" si="21"/>
        <v>0</v>
      </c>
      <c r="AA103" s="130">
        <f t="shared" si="21"/>
        <v>0</v>
      </c>
      <c r="AB103" s="130">
        <f t="shared" si="21"/>
        <v>0</v>
      </c>
      <c r="AC103" s="130">
        <f t="shared" si="21"/>
        <v>0</v>
      </c>
      <c r="AD103" s="130">
        <f t="shared" si="21"/>
        <v>1</v>
      </c>
      <c r="AE103" s="130">
        <f t="shared" si="21"/>
        <v>0</v>
      </c>
      <c r="AF103" s="130">
        <f t="shared" si="21"/>
        <v>0</v>
      </c>
      <c r="AG103" s="130">
        <f t="shared" si="21"/>
        <v>0</v>
      </c>
      <c r="AH103" s="130">
        <f t="shared" si="21"/>
        <v>0</v>
      </c>
      <c r="AI103" s="130">
        <f t="shared" si="21"/>
        <v>0</v>
      </c>
      <c r="AJ103" s="49" t="str">
        <f t="shared" si="7"/>
        <v>UNKNOWN</v>
      </c>
      <c r="AK103" s="62"/>
      <c r="AL103" s="62" t="str">
        <f t="shared" si="10"/>
        <v>20</v>
      </c>
      <c r="AM103" s="64" t="str">
        <f t="shared" si="11"/>
        <v>00</v>
      </c>
      <c r="AN103" s="64" t="str">
        <f t="shared" si="12"/>
        <v>00</v>
      </c>
      <c r="AO103" s="64" t="str">
        <f t="shared" si="13"/>
        <v>00</v>
      </c>
      <c r="AQ103" t="str">
        <f t="shared" si="8"/>
        <v xml:space="preserve">    (U4)0x00000020U,                                                           /* 32 UNKNOWN                                         */</v>
      </c>
    </row>
    <row r="104" spans="2:43">
      <c r="B104" s="138"/>
      <c r="C104" s="49">
        <f t="shared" si="9"/>
        <v>33</v>
      </c>
      <c r="D104" s="130">
        <f t="shared" si="21"/>
        <v>0</v>
      </c>
      <c r="E104" s="130">
        <f t="shared" si="21"/>
        <v>0</v>
      </c>
      <c r="F104" s="130">
        <f t="shared" si="21"/>
        <v>0</v>
      </c>
      <c r="G104" s="130">
        <f t="shared" si="21"/>
        <v>0</v>
      </c>
      <c r="H104" s="130">
        <f t="shared" si="21"/>
        <v>0</v>
      </c>
      <c r="I104" s="130">
        <f t="shared" si="21"/>
        <v>0</v>
      </c>
      <c r="J104" s="130">
        <f t="shared" si="21"/>
        <v>0</v>
      </c>
      <c r="K104" s="130">
        <f t="shared" si="21"/>
        <v>0</v>
      </c>
      <c r="L104" s="130">
        <f t="shared" si="21"/>
        <v>0</v>
      </c>
      <c r="M104" s="130">
        <f t="shared" si="21"/>
        <v>0</v>
      </c>
      <c r="N104" s="130">
        <f t="shared" si="21"/>
        <v>0</v>
      </c>
      <c r="O104" s="130">
        <f t="shared" si="21"/>
        <v>0</v>
      </c>
      <c r="P104" s="130">
        <f t="shared" si="21"/>
        <v>0</v>
      </c>
      <c r="Q104" s="130">
        <f t="shared" si="21"/>
        <v>0</v>
      </c>
      <c r="R104" s="130">
        <f t="shared" si="21"/>
        <v>0</v>
      </c>
      <c r="S104" s="130">
        <f t="shared" si="21"/>
        <v>0</v>
      </c>
      <c r="T104" s="130">
        <f t="shared" si="21"/>
        <v>0</v>
      </c>
      <c r="U104" s="130">
        <f t="shared" si="21"/>
        <v>0</v>
      </c>
      <c r="V104" s="130">
        <f t="shared" si="21"/>
        <v>0</v>
      </c>
      <c r="W104" s="130">
        <f t="shared" si="21"/>
        <v>0</v>
      </c>
      <c r="X104" s="130">
        <f t="shared" si="21"/>
        <v>0</v>
      </c>
      <c r="Y104" s="130">
        <f t="shared" si="21"/>
        <v>0</v>
      </c>
      <c r="Z104" s="130">
        <f t="shared" si="21"/>
        <v>0</v>
      </c>
      <c r="AA104" s="130">
        <f t="shared" si="21"/>
        <v>0</v>
      </c>
      <c r="AB104" s="130">
        <f t="shared" si="21"/>
        <v>0</v>
      </c>
      <c r="AC104" s="130">
        <f t="shared" si="21"/>
        <v>0</v>
      </c>
      <c r="AD104" s="130">
        <f t="shared" si="21"/>
        <v>1</v>
      </c>
      <c r="AE104" s="130">
        <f t="shared" si="21"/>
        <v>0</v>
      </c>
      <c r="AF104" s="130">
        <f t="shared" si="21"/>
        <v>0</v>
      </c>
      <c r="AG104" s="130">
        <f t="shared" si="21"/>
        <v>0</v>
      </c>
      <c r="AH104" s="130">
        <f t="shared" si="21"/>
        <v>0</v>
      </c>
      <c r="AI104" s="130">
        <f t="shared" si="21"/>
        <v>1</v>
      </c>
      <c r="AJ104" s="49" t="str">
        <f t="shared" si="7"/>
        <v>UNKNOWN</v>
      </c>
      <c r="AK104" s="62"/>
      <c r="AL104" s="62" t="str">
        <f t="shared" si="10"/>
        <v>21</v>
      </c>
      <c r="AM104" s="64" t="str">
        <f t="shared" si="11"/>
        <v>00</v>
      </c>
      <c r="AN104" s="64" t="str">
        <f t="shared" si="12"/>
        <v>00</v>
      </c>
      <c r="AO104" s="64" t="str">
        <f t="shared" si="13"/>
        <v>00</v>
      </c>
      <c r="AQ104" t="str">
        <f t="shared" si="8"/>
        <v xml:space="preserve">    (U4)0x00000021U,                                                           /* 33 UNKNOWN                                         */</v>
      </c>
    </row>
    <row r="105" spans="2:43">
      <c r="B105" s="138"/>
      <c r="C105" s="49">
        <f t="shared" si="9"/>
        <v>34</v>
      </c>
      <c r="D105" s="130">
        <f t="shared" si="21"/>
        <v>0</v>
      </c>
      <c r="E105" s="130">
        <f t="shared" si="21"/>
        <v>0</v>
      </c>
      <c r="F105" s="130">
        <f t="shared" si="21"/>
        <v>0</v>
      </c>
      <c r="G105" s="130">
        <f t="shared" si="21"/>
        <v>0</v>
      </c>
      <c r="H105" s="130">
        <f t="shared" si="21"/>
        <v>0</v>
      </c>
      <c r="I105" s="130">
        <f t="shared" si="21"/>
        <v>0</v>
      </c>
      <c r="J105" s="130">
        <f t="shared" si="21"/>
        <v>0</v>
      </c>
      <c r="K105" s="130">
        <f t="shared" si="21"/>
        <v>0</v>
      </c>
      <c r="L105" s="130">
        <f t="shared" si="21"/>
        <v>0</v>
      </c>
      <c r="M105" s="130">
        <f t="shared" si="21"/>
        <v>0</v>
      </c>
      <c r="N105" s="130">
        <f t="shared" si="21"/>
        <v>0</v>
      </c>
      <c r="O105" s="130">
        <f t="shared" si="21"/>
        <v>0</v>
      </c>
      <c r="P105" s="130">
        <f t="shared" si="21"/>
        <v>0</v>
      </c>
      <c r="Q105" s="130">
        <f t="shared" si="21"/>
        <v>0</v>
      </c>
      <c r="R105" s="130">
        <f t="shared" si="21"/>
        <v>0</v>
      </c>
      <c r="S105" s="130">
        <f t="shared" si="21"/>
        <v>0</v>
      </c>
      <c r="T105" s="130">
        <f t="shared" si="21"/>
        <v>0</v>
      </c>
      <c r="U105" s="130">
        <f t="shared" si="21"/>
        <v>0</v>
      </c>
      <c r="V105" s="130">
        <f t="shared" si="21"/>
        <v>0</v>
      </c>
      <c r="W105" s="130">
        <f t="shared" si="21"/>
        <v>0</v>
      </c>
      <c r="X105" s="130">
        <f t="shared" si="21"/>
        <v>0</v>
      </c>
      <c r="Y105" s="130">
        <f t="shared" si="21"/>
        <v>0</v>
      </c>
      <c r="Z105" s="130">
        <f t="shared" si="21"/>
        <v>0</v>
      </c>
      <c r="AA105" s="130">
        <f t="shared" si="21"/>
        <v>0</v>
      </c>
      <c r="AB105" s="130">
        <f t="shared" si="21"/>
        <v>0</v>
      </c>
      <c r="AC105" s="130">
        <f t="shared" si="21"/>
        <v>0</v>
      </c>
      <c r="AD105" s="130">
        <f t="shared" si="21"/>
        <v>1</v>
      </c>
      <c r="AE105" s="130">
        <f t="shared" si="21"/>
        <v>0</v>
      </c>
      <c r="AF105" s="130">
        <f t="shared" si="21"/>
        <v>0</v>
      </c>
      <c r="AG105" s="130">
        <f t="shared" si="21"/>
        <v>0</v>
      </c>
      <c r="AH105" s="130">
        <f t="shared" si="21"/>
        <v>1</v>
      </c>
      <c r="AI105" s="130">
        <f t="shared" si="21"/>
        <v>0</v>
      </c>
      <c r="AJ105" s="49" t="str">
        <f t="shared" si="7"/>
        <v>UNKNOWN</v>
      </c>
      <c r="AK105" s="62"/>
      <c r="AL105" s="62" t="str">
        <f t="shared" si="10"/>
        <v>22</v>
      </c>
      <c r="AM105" s="64" t="str">
        <f t="shared" si="11"/>
        <v>00</v>
      </c>
      <c r="AN105" s="64" t="str">
        <f t="shared" si="12"/>
        <v>00</v>
      </c>
      <c r="AO105" s="64" t="str">
        <f t="shared" si="13"/>
        <v>00</v>
      </c>
      <c r="AQ105" t="str">
        <f t="shared" si="8"/>
        <v xml:space="preserve">    (U4)0x00000022U,                                                           /* 34 UNKNOWN                                         */</v>
      </c>
    </row>
    <row r="106" spans="2:43">
      <c r="B106" s="138"/>
      <c r="C106" s="49">
        <f t="shared" si="9"/>
        <v>35</v>
      </c>
      <c r="D106" s="130">
        <f t="shared" si="21"/>
        <v>0</v>
      </c>
      <c r="E106" s="130">
        <f t="shared" si="21"/>
        <v>0</v>
      </c>
      <c r="F106" s="130">
        <f t="shared" si="21"/>
        <v>0</v>
      </c>
      <c r="G106" s="130">
        <f t="shared" si="21"/>
        <v>0</v>
      </c>
      <c r="H106" s="130">
        <f t="shared" si="21"/>
        <v>0</v>
      </c>
      <c r="I106" s="130">
        <f t="shared" si="21"/>
        <v>0</v>
      </c>
      <c r="J106" s="130">
        <f t="shared" si="21"/>
        <v>0</v>
      </c>
      <c r="K106" s="130">
        <f t="shared" si="21"/>
        <v>0</v>
      </c>
      <c r="L106" s="130">
        <f t="shared" si="21"/>
        <v>0</v>
      </c>
      <c r="M106" s="130">
        <f t="shared" si="21"/>
        <v>0</v>
      </c>
      <c r="N106" s="130">
        <f t="shared" si="21"/>
        <v>0</v>
      </c>
      <c r="O106" s="130">
        <f t="shared" si="21"/>
        <v>0</v>
      </c>
      <c r="P106" s="130">
        <f t="shared" si="21"/>
        <v>0</v>
      </c>
      <c r="Q106" s="130">
        <f t="shared" si="21"/>
        <v>0</v>
      </c>
      <c r="R106" s="130">
        <f t="shared" si="21"/>
        <v>0</v>
      </c>
      <c r="S106" s="130">
        <f t="shared" si="21"/>
        <v>0</v>
      </c>
      <c r="T106" s="130">
        <f t="shared" si="21"/>
        <v>0</v>
      </c>
      <c r="U106" s="130">
        <f t="shared" si="21"/>
        <v>0</v>
      </c>
      <c r="V106" s="130">
        <f t="shared" si="21"/>
        <v>0</v>
      </c>
      <c r="W106" s="130">
        <f t="shared" si="21"/>
        <v>0</v>
      </c>
      <c r="X106" s="130">
        <f t="shared" si="21"/>
        <v>0</v>
      </c>
      <c r="Y106" s="130">
        <f t="shared" si="21"/>
        <v>0</v>
      </c>
      <c r="Z106" s="130">
        <f t="shared" si="21"/>
        <v>0</v>
      </c>
      <c r="AA106" s="130">
        <f t="shared" si="21"/>
        <v>0</v>
      </c>
      <c r="AB106" s="130">
        <f t="shared" si="21"/>
        <v>0</v>
      </c>
      <c r="AC106" s="130">
        <f t="shared" si="21"/>
        <v>0</v>
      </c>
      <c r="AD106" s="130">
        <f t="shared" si="21"/>
        <v>1</v>
      </c>
      <c r="AE106" s="130">
        <f t="shared" si="21"/>
        <v>0</v>
      </c>
      <c r="AF106" s="130">
        <f t="shared" si="21"/>
        <v>0</v>
      </c>
      <c r="AG106" s="130">
        <f t="shared" si="21"/>
        <v>0</v>
      </c>
      <c r="AH106" s="130">
        <f t="shared" si="21"/>
        <v>1</v>
      </c>
      <c r="AI106" s="130">
        <f t="shared" si="21"/>
        <v>1</v>
      </c>
      <c r="AJ106" s="49" t="str">
        <f t="shared" si="7"/>
        <v>UNKNOWN</v>
      </c>
      <c r="AK106" s="62"/>
      <c r="AL106" s="62" t="str">
        <f t="shared" si="10"/>
        <v>23</v>
      </c>
      <c r="AM106" s="64" t="str">
        <f t="shared" si="11"/>
        <v>00</v>
      </c>
      <c r="AN106" s="64" t="str">
        <f t="shared" si="12"/>
        <v>00</v>
      </c>
      <c r="AO106" s="64" t="str">
        <f t="shared" si="13"/>
        <v>00</v>
      </c>
      <c r="AQ106" t="str">
        <f t="shared" si="8"/>
        <v xml:space="preserve">    (U4)0x00000023U,                                                           /* 35 UNKNOWN                                         */</v>
      </c>
    </row>
    <row r="107" spans="2:43">
      <c r="B107" s="138"/>
      <c r="C107" s="49">
        <f t="shared" si="9"/>
        <v>36</v>
      </c>
      <c r="D107" s="130">
        <f t="shared" si="21"/>
        <v>0</v>
      </c>
      <c r="E107" s="130">
        <f t="shared" si="21"/>
        <v>0</v>
      </c>
      <c r="F107" s="130">
        <f t="shared" si="21"/>
        <v>0</v>
      </c>
      <c r="G107" s="130">
        <f t="shared" si="21"/>
        <v>0</v>
      </c>
      <c r="H107" s="130">
        <f t="shared" si="21"/>
        <v>0</v>
      </c>
      <c r="I107" s="130">
        <f t="shared" si="21"/>
        <v>0</v>
      </c>
      <c r="J107" s="130">
        <f t="shared" si="21"/>
        <v>0</v>
      </c>
      <c r="K107" s="130">
        <f t="shared" si="21"/>
        <v>0</v>
      </c>
      <c r="L107" s="130">
        <f t="shared" si="21"/>
        <v>0</v>
      </c>
      <c r="M107" s="130">
        <f t="shared" si="21"/>
        <v>0</v>
      </c>
      <c r="N107" s="130">
        <f t="shared" si="21"/>
        <v>0</v>
      </c>
      <c r="O107" s="130">
        <f t="shared" si="21"/>
        <v>0</v>
      </c>
      <c r="P107" s="130">
        <f t="shared" si="21"/>
        <v>0</v>
      </c>
      <c r="Q107" s="130">
        <f t="shared" si="21"/>
        <v>0</v>
      </c>
      <c r="R107" s="130">
        <f t="shared" si="21"/>
        <v>0</v>
      </c>
      <c r="S107" s="130">
        <f t="shared" si="21"/>
        <v>0</v>
      </c>
      <c r="T107" s="130">
        <f t="shared" si="21"/>
        <v>0</v>
      </c>
      <c r="U107" s="130">
        <f t="shared" si="21"/>
        <v>0</v>
      </c>
      <c r="V107" s="130">
        <f t="shared" si="21"/>
        <v>0</v>
      </c>
      <c r="W107" s="130">
        <f t="shared" si="21"/>
        <v>0</v>
      </c>
      <c r="X107" s="130">
        <f t="shared" si="21"/>
        <v>0</v>
      </c>
      <c r="Y107" s="130">
        <f t="shared" si="21"/>
        <v>0</v>
      </c>
      <c r="Z107" s="130">
        <f t="shared" si="21"/>
        <v>0</v>
      </c>
      <c r="AA107" s="130">
        <f t="shared" si="21"/>
        <v>0</v>
      </c>
      <c r="AB107" s="130">
        <f t="shared" si="21"/>
        <v>0</v>
      </c>
      <c r="AC107" s="130">
        <f t="shared" si="21"/>
        <v>0</v>
      </c>
      <c r="AD107" s="130">
        <f t="shared" si="21"/>
        <v>1</v>
      </c>
      <c r="AE107" s="130">
        <f t="shared" si="21"/>
        <v>0</v>
      </c>
      <c r="AF107" s="130">
        <f t="shared" si="21"/>
        <v>0</v>
      </c>
      <c r="AG107" s="130">
        <f t="shared" si="21"/>
        <v>1</v>
      </c>
      <c r="AH107" s="130">
        <f t="shared" si="21"/>
        <v>0</v>
      </c>
      <c r="AI107" s="130">
        <f t="shared" si="21"/>
        <v>0</v>
      </c>
      <c r="AJ107" s="49" t="str">
        <f t="shared" si="7"/>
        <v>UNKNOWN</v>
      </c>
      <c r="AK107" s="62"/>
      <c r="AL107" s="62" t="str">
        <f t="shared" si="10"/>
        <v>24</v>
      </c>
      <c r="AM107" s="64" t="str">
        <f t="shared" si="11"/>
        <v>00</v>
      </c>
      <c r="AN107" s="64" t="str">
        <f t="shared" si="12"/>
        <v>00</v>
      </c>
      <c r="AO107" s="64" t="str">
        <f t="shared" si="13"/>
        <v>00</v>
      </c>
      <c r="AQ107" t="str">
        <f t="shared" si="8"/>
        <v xml:space="preserve">    (U4)0x00000024U,                                                           /* 36 UNKNOWN                                         */</v>
      </c>
    </row>
    <row r="108" spans="2:43">
      <c r="B108" s="138"/>
      <c r="C108" s="49">
        <f t="shared" si="9"/>
        <v>37</v>
      </c>
      <c r="D108" s="130">
        <f t="shared" si="21"/>
        <v>0</v>
      </c>
      <c r="E108" s="130">
        <f t="shared" si="21"/>
        <v>0</v>
      </c>
      <c r="F108" s="130">
        <f t="shared" si="21"/>
        <v>0</v>
      </c>
      <c r="G108" s="130">
        <f t="shared" si="21"/>
        <v>0</v>
      </c>
      <c r="H108" s="130">
        <f t="shared" si="21"/>
        <v>0</v>
      </c>
      <c r="I108" s="130">
        <f t="shared" si="21"/>
        <v>0</v>
      </c>
      <c r="J108" s="130">
        <f t="shared" si="21"/>
        <v>0</v>
      </c>
      <c r="K108" s="130">
        <f t="shared" si="21"/>
        <v>0</v>
      </c>
      <c r="L108" s="130">
        <f t="shared" si="21"/>
        <v>0</v>
      </c>
      <c r="M108" s="130">
        <f t="shared" si="21"/>
        <v>0</v>
      </c>
      <c r="N108" s="130">
        <f t="shared" si="21"/>
        <v>0</v>
      </c>
      <c r="O108" s="130">
        <f t="shared" si="21"/>
        <v>0</v>
      </c>
      <c r="P108" s="130">
        <f t="shared" si="21"/>
        <v>0</v>
      </c>
      <c r="Q108" s="130">
        <f t="shared" si="21"/>
        <v>0</v>
      </c>
      <c r="R108" s="130">
        <f t="shared" si="21"/>
        <v>0</v>
      </c>
      <c r="S108" s="130">
        <f t="shared" si="21"/>
        <v>0</v>
      </c>
      <c r="T108" s="130">
        <f t="shared" si="21"/>
        <v>0</v>
      </c>
      <c r="U108" s="130">
        <f t="shared" si="21"/>
        <v>0</v>
      </c>
      <c r="V108" s="130">
        <f t="shared" si="21"/>
        <v>0</v>
      </c>
      <c r="W108" s="130">
        <f t="shared" si="21"/>
        <v>0</v>
      </c>
      <c r="X108" s="130">
        <f t="shared" si="21"/>
        <v>0</v>
      </c>
      <c r="Y108" s="130">
        <f t="shared" si="21"/>
        <v>0</v>
      </c>
      <c r="Z108" s="130">
        <f t="shared" si="21"/>
        <v>0</v>
      </c>
      <c r="AA108" s="130">
        <f t="shared" si="21"/>
        <v>0</v>
      </c>
      <c r="AB108" s="130">
        <f t="shared" si="21"/>
        <v>0</v>
      </c>
      <c r="AC108" s="130">
        <f t="shared" si="21"/>
        <v>0</v>
      </c>
      <c r="AD108" s="130">
        <f t="shared" si="21"/>
        <v>1</v>
      </c>
      <c r="AE108" s="130">
        <f t="shared" si="21"/>
        <v>0</v>
      </c>
      <c r="AF108" s="130">
        <f t="shared" si="21"/>
        <v>0</v>
      </c>
      <c r="AG108" s="130">
        <f t="shared" si="21"/>
        <v>1</v>
      </c>
      <c r="AH108" s="130">
        <f t="shared" si="21"/>
        <v>0</v>
      </c>
      <c r="AI108" s="130">
        <f t="shared" si="21"/>
        <v>1</v>
      </c>
      <c r="AJ108" s="49" t="str">
        <f t="shared" si="7"/>
        <v>UNKNOWN</v>
      </c>
      <c r="AK108" s="62"/>
      <c r="AL108" s="62" t="str">
        <f t="shared" si="10"/>
        <v>25</v>
      </c>
      <c r="AM108" s="64" t="str">
        <f t="shared" si="11"/>
        <v>00</v>
      </c>
      <c r="AN108" s="64" t="str">
        <f t="shared" si="12"/>
        <v>00</v>
      </c>
      <c r="AO108" s="64" t="str">
        <f t="shared" si="13"/>
        <v>00</v>
      </c>
      <c r="AQ108" t="str">
        <f t="shared" si="8"/>
        <v xml:space="preserve">    (U4)0x00000025U,                                                           /* 37 UNKNOWN                                         */</v>
      </c>
    </row>
    <row r="109" spans="2:43">
      <c r="B109" s="138"/>
      <c r="C109" s="49">
        <f t="shared" si="9"/>
        <v>38</v>
      </c>
      <c r="D109" s="130">
        <f t="shared" si="21"/>
        <v>0</v>
      </c>
      <c r="E109" s="130">
        <f t="shared" si="21"/>
        <v>0</v>
      </c>
      <c r="F109" s="130">
        <f t="shared" si="21"/>
        <v>0</v>
      </c>
      <c r="G109" s="130">
        <f t="shared" si="21"/>
        <v>0</v>
      </c>
      <c r="H109" s="130">
        <f t="shared" si="21"/>
        <v>0</v>
      </c>
      <c r="I109" s="130">
        <f t="shared" si="21"/>
        <v>0</v>
      </c>
      <c r="J109" s="130">
        <f t="shared" si="21"/>
        <v>0</v>
      </c>
      <c r="K109" s="130">
        <f t="shared" si="21"/>
        <v>0</v>
      </c>
      <c r="L109" s="130">
        <f t="shared" si="21"/>
        <v>0</v>
      </c>
      <c r="M109" s="130">
        <f t="shared" si="21"/>
        <v>0</v>
      </c>
      <c r="N109" s="130">
        <f t="shared" si="21"/>
        <v>0</v>
      </c>
      <c r="O109" s="130">
        <f t="shared" si="21"/>
        <v>0</v>
      </c>
      <c r="P109" s="130">
        <f t="shared" si="21"/>
        <v>0</v>
      </c>
      <c r="Q109" s="130">
        <f t="shared" si="21"/>
        <v>0</v>
      </c>
      <c r="R109" s="130">
        <f t="shared" si="21"/>
        <v>0</v>
      </c>
      <c r="S109" s="130">
        <f t="shared" si="21"/>
        <v>0</v>
      </c>
      <c r="T109" s="130">
        <f t="shared" si="21"/>
        <v>0</v>
      </c>
      <c r="U109" s="130">
        <f t="shared" si="21"/>
        <v>0</v>
      </c>
      <c r="V109" s="130">
        <f t="shared" si="21"/>
        <v>0</v>
      </c>
      <c r="W109" s="130">
        <f t="shared" si="21"/>
        <v>0</v>
      </c>
      <c r="X109" s="130">
        <f t="shared" si="21"/>
        <v>0</v>
      </c>
      <c r="Y109" s="130">
        <f t="shared" si="21"/>
        <v>0</v>
      </c>
      <c r="Z109" s="130">
        <f t="shared" si="21"/>
        <v>0</v>
      </c>
      <c r="AA109" s="130">
        <f t="shared" si="21"/>
        <v>0</v>
      </c>
      <c r="AB109" s="130">
        <f t="shared" si="21"/>
        <v>0</v>
      </c>
      <c r="AC109" s="130">
        <f t="shared" si="21"/>
        <v>0</v>
      </c>
      <c r="AD109" s="130">
        <f t="shared" si="21"/>
        <v>1</v>
      </c>
      <c r="AE109" s="130">
        <f t="shared" si="21"/>
        <v>0</v>
      </c>
      <c r="AF109" s="130">
        <f t="shared" si="21"/>
        <v>0</v>
      </c>
      <c r="AG109" s="130">
        <f t="shared" si="21"/>
        <v>1</v>
      </c>
      <c r="AH109" s="130">
        <f t="shared" si="21"/>
        <v>1</v>
      </c>
      <c r="AI109" s="130">
        <f t="shared" si="21"/>
        <v>0</v>
      </c>
      <c r="AJ109" s="49" t="str">
        <f t="shared" si="7"/>
        <v>UNKNOWN</v>
      </c>
      <c r="AK109" s="62"/>
      <c r="AL109" s="62" t="str">
        <f t="shared" si="10"/>
        <v>26</v>
      </c>
      <c r="AM109" s="64" t="str">
        <f t="shared" si="11"/>
        <v>00</v>
      </c>
      <c r="AN109" s="64" t="str">
        <f t="shared" si="12"/>
        <v>00</v>
      </c>
      <c r="AO109" s="64" t="str">
        <f t="shared" si="13"/>
        <v>00</v>
      </c>
      <c r="AQ109" t="str">
        <f t="shared" si="8"/>
        <v xml:space="preserve">    (U4)0x00000026U,                                                           /* 38 UNKNOWN                                         */</v>
      </c>
    </row>
    <row r="110" spans="2:43">
      <c r="B110" s="138"/>
      <c r="C110" s="49">
        <f t="shared" si="9"/>
        <v>39</v>
      </c>
      <c r="D110" s="130">
        <f t="shared" si="21"/>
        <v>0</v>
      </c>
      <c r="E110" s="130">
        <f t="shared" si="21"/>
        <v>0</v>
      </c>
      <c r="F110" s="130">
        <f t="shared" si="21"/>
        <v>0</v>
      </c>
      <c r="G110" s="130">
        <f t="shared" si="21"/>
        <v>0</v>
      </c>
      <c r="H110" s="130">
        <f t="shared" si="21"/>
        <v>0</v>
      </c>
      <c r="I110" s="130">
        <f t="shared" si="21"/>
        <v>0</v>
      </c>
      <c r="J110" s="130">
        <f t="shared" si="21"/>
        <v>0</v>
      </c>
      <c r="K110" s="130">
        <f t="shared" si="21"/>
        <v>0</v>
      </c>
      <c r="L110" s="130">
        <f t="shared" si="21"/>
        <v>0</v>
      </c>
      <c r="M110" s="130">
        <f t="shared" si="21"/>
        <v>0</v>
      </c>
      <c r="N110" s="130">
        <f t="shared" si="21"/>
        <v>0</v>
      </c>
      <c r="O110" s="130">
        <f t="shared" si="21"/>
        <v>0</v>
      </c>
      <c r="P110" s="130">
        <f t="shared" si="21"/>
        <v>0</v>
      </c>
      <c r="Q110" s="130">
        <f t="shared" si="21"/>
        <v>0</v>
      </c>
      <c r="R110" s="130">
        <f t="shared" si="21"/>
        <v>0</v>
      </c>
      <c r="S110" s="130">
        <f t="shared" si="21"/>
        <v>0</v>
      </c>
      <c r="T110" s="130">
        <f t="shared" si="21"/>
        <v>0</v>
      </c>
      <c r="U110" s="130">
        <f t="shared" si="21"/>
        <v>0</v>
      </c>
      <c r="V110" s="130">
        <f t="shared" si="21"/>
        <v>0</v>
      </c>
      <c r="W110" s="130">
        <f t="shared" si="21"/>
        <v>0</v>
      </c>
      <c r="X110" s="130">
        <f t="shared" si="21"/>
        <v>0</v>
      </c>
      <c r="Y110" s="130">
        <f t="shared" si="21"/>
        <v>0</v>
      </c>
      <c r="Z110" s="130">
        <f t="shared" si="21"/>
        <v>0</v>
      </c>
      <c r="AA110" s="130">
        <f t="shared" si="21"/>
        <v>0</v>
      </c>
      <c r="AB110" s="130">
        <f t="shared" si="21"/>
        <v>0</v>
      </c>
      <c r="AC110" s="130">
        <f t="shared" si="21"/>
        <v>0</v>
      </c>
      <c r="AD110" s="130">
        <f t="shared" si="21"/>
        <v>1</v>
      </c>
      <c r="AE110" s="130">
        <f t="shared" si="21"/>
        <v>0</v>
      </c>
      <c r="AF110" s="130">
        <f t="shared" si="21"/>
        <v>0</v>
      </c>
      <c r="AG110" s="130">
        <f t="shared" si="21"/>
        <v>1</v>
      </c>
      <c r="AH110" s="130">
        <f t="shared" si="21"/>
        <v>1</v>
      </c>
      <c r="AI110" s="130">
        <f t="shared" ref="AI110" si="22">IF(AI45=1,1,0)</f>
        <v>1</v>
      </c>
      <c r="AJ110" s="49" t="str">
        <f t="shared" si="7"/>
        <v>UNKNOWN</v>
      </c>
      <c r="AK110" s="62"/>
      <c r="AL110" s="62" t="str">
        <f t="shared" si="10"/>
        <v>27</v>
      </c>
      <c r="AM110" s="64" t="str">
        <f t="shared" si="11"/>
        <v>00</v>
      </c>
      <c r="AN110" s="64" t="str">
        <f t="shared" si="12"/>
        <v>00</v>
      </c>
      <c r="AO110" s="64" t="str">
        <f t="shared" si="13"/>
        <v>00</v>
      </c>
      <c r="AQ110" t="str">
        <f t="shared" si="8"/>
        <v xml:space="preserve">    (U4)0x00000027U,                                                           /* 39 UNKNOWN                                         */</v>
      </c>
    </row>
    <row r="111" spans="2:43">
      <c r="B111" s="138"/>
      <c r="C111" s="49">
        <f t="shared" si="9"/>
        <v>40</v>
      </c>
      <c r="D111" s="130">
        <f t="shared" ref="D111:AI118" si="23">IF(D46=1,1,0)</f>
        <v>0</v>
      </c>
      <c r="E111" s="130">
        <f t="shared" si="23"/>
        <v>0</v>
      </c>
      <c r="F111" s="130">
        <f t="shared" si="23"/>
        <v>0</v>
      </c>
      <c r="G111" s="130">
        <f t="shared" si="23"/>
        <v>0</v>
      </c>
      <c r="H111" s="130">
        <f t="shared" si="23"/>
        <v>0</v>
      </c>
      <c r="I111" s="130">
        <f t="shared" si="23"/>
        <v>0</v>
      </c>
      <c r="J111" s="130">
        <f t="shared" si="23"/>
        <v>0</v>
      </c>
      <c r="K111" s="130">
        <f t="shared" si="23"/>
        <v>0</v>
      </c>
      <c r="L111" s="130">
        <f t="shared" si="23"/>
        <v>0</v>
      </c>
      <c r="M111" s="130">
        <f t="shared" si="23"/>
        <v>0</v>
      </c>
      <c r="N111" s="130">
        <f t="shared" si="23"/>
        <v>0</v>
      </c>
      <c r="O111" s="130">
        <f t="shared" si="23"/>
        <v>0</v>
      </c>
      <c r="P111" s="130">
        <f t="shared" si="23"/>
        <v>0</v>
      </c>
      <c r="Q111" s="130">
        <f t="shared" si="23"/>
        <v>0</v>
      </c>
      <c r="R111" s="130">
        <f t="shared" si="23"/>
        <v>0</v>
      </c>
      <c r="S111" s="130">
        <f t="shared" si="23"/>
        <v>0</v>
      </c>
      <c r="T111" s="130">
        <f t="shared" si="23"/>
        <v>0</v>
      </c>
      <c r="U111" s="130">
        <f t="shared" si="23"/>
        <v>0</v>
      </c>
      <c r="V111" s="130">
        <f t="shared" si="23"/>
        <v>0</v>
      </c>
      <c r="W111" s="130">
        <f t="shared" si="23"/>
        <v>0</v>
      </c>
      <c r="X111" s="130">
        <f t="shared" si="23"/>
        <v>0</v>
      </c>
      <c r="Y111" s="130">
        <f t="shared" si="23"/>
        <v>0</v>
      </c>
      <c r="Z111" s="130">
        <f t="shared" si="23"/>
        <v>0</v>
      </c>
      <c r="AA111" s="130">
        <f t="shared" si="23"/>
        <v>0</v>
      </c>
      <c r="AB111" s="130">
        <f t="shared" si="23"/>
        <v>0</v>
      </c>
      <c r="AC111" s="130">
        <f t="shared" si="23"/>
        <v>0</v>
      </c>
      <c r="AD111" s="130">
        <f t="shared" si="23"/>
        <v>1</v>
      </c>
      <c r="AE111" s="130">
        <f t="shared" si="23"/>
        <v>0</v>
      </c>
      <c r="AF111" s="130">
        <f t="shared" si="23"/>
        <v>1</v>
      </c>
      <c r="AG111" s="130">
        <f t="shared" si="23"/>
        <v>0</v>
      </c>
      <c r="AH111" s="130">
        <f t="shared" si="23"/>
        <v>0</v>
      </c>
      <c r="AI111" s="130">
        <f t="shared" si="23"/>
        <v>0</v>
      </c>
      <c r="AJ111" s="49" t="str">
        <f t="shared" si="7"/>
        <v>UNKNOWN</v>
      </c>
      <c r="AK111" s="62"/>
      <c r="AL111" s="62" t="str">
        <f t="shared" si="10"/>
        <v>28</v>
      </c>
      <c r="AM111" s="64" t="str">
        <f t="shared" si="11"/>
        <v>00</v>
      </c>
      <c r="AN111" s="64" t="str">
        <f t="shared" si="12"/>
        <v>00</v>
      </c>
      <c r="AO111" s="64" t="str">
        <f t="shared" si="13"/>
        <v>00</v>
      </c>
      <c r="AQ111" t="str">
        <f t="shared" si="8"/>
        <v xml:space="preserve">    (U4)0x00000028U,                                                           /* 40 UNKNOWN                                         */</v>
      </c>
    </row>
    <row r="112" spans="2:43">
      <c r="B112" s="138"/>
      <c r="C112" s="49">
        <f t="shared" si="9"/>
        <v>41</v>
      </c>
      <c r="D112" s="130">
        <f t="shared" si="23"/>
        <v>0</v>
      </c>
      <c r="E112" s="130">
        <f t="shared" si="23"/>
        <v>0</v>
      </c>
      <c r="F112" s="130">
        <f t="shared" si="23"/>
        <v>0</v>
      </c>
      <c r="G112" s="130">
        <f t="shared" si="23"/>
        <v>0</v>
      </c>
      <c r="H112" s="130">
        <f t="shared" si="23"/>
        <v>0</v>
      </c>
      <c r="I112" s="130">
        <f t="shared" si="23"/>
        <v>0</v>
      </c>
      <c r="J112" s="130">
        <f t="shared" si="23"/>
        <v>0</v>
      </c>
      <c r="K112" s="130">
        <f t="shared" si="23"/>
        <v>0</v>
      </c>
      <c r="L112" s="130">
        <f t="shared" si="23"/>
        <v>0</v>
      </c>
      <c r="M112" s="130">
        <f t="shared" si="23"/>
        <v>0</v>
      </c>
      <c r="N112" s="130">
        <f t="shared" si="23"/>
        <v>0</v>
      </c>
      <c r="O112" s="130">
        <f t="shared" si="23"/>
        <v>0</v>
      </c>
      <c r="P112" s="130">
        <f t="shared" si="23"/>
        <v>0</v>
      </c>
      <c r="Q112" s="130">
        <f t="shared" si="23"/>
        <v>0</v>
      </c>
      <c r="R112" s="130">
        <f t="shared" si="23"/>
        <v>0</v>
      </c>
      <c r="S112" s="130">
        <f t="shared" si="23"/>
        <v>0</v>
      </c>
      <c r="T112" s="130">
        <f t="shared" si="23"/>
        <v>0</v>
      </c>
      <c r="U112" s="130">
        <f t="shared" si="23"/>
        <v>0</v>
      </c>
      <c r="V112" s="130">
        <f t="shared" si="23"/>
        <v>0</v>
      </c>
      <c r="W112" s="130">
        <f t="shared" si="23"/>
        <v>0</v>
      </c>
      <c r="X112" s="130">
        <f t="shared" si="23"/>
        <v>0</v>
      </c>
      <c r="Y112" s="130">
        <f t="shared" si="23"/>
        <v>0</v>
      </c>
      <c r="Z112" s="130">
        <f t="shared" si="23"/>
        <v>0</v>
      </c>
      <c r="AA112" s="130">
        <f t="shared" si="23"/>
        <v>0</v>
      </c>
      <c r="AB112" s="130">
        <f t="shared" si="23"/>
        <v>0</v>
      </c>
      <c r="AC112" s="130">
        <f t="shared" si="23"/>
        <v>0</v>
      </c>
      <c r="AD112" s="130">
        <f t="shared" si="23"/>
        <v>1</v>
      </c>
      <c r="AE112" s="130">
        <f t="shared" si="23"/>
        <v>0</v>
      </c>
      <c r="AF112" s="130">
        <f t="shared" si="23"/>
        <v>1</v>
      </c>
      <c r="AG112" s="130">
        <f t="shared" si="23"/>
        <v>0</v>
      </c>
      <c r="AH112" s="130">
        <f t="shared" si="23"/>
        <v>0</v>
      </c>
      <c r="AI112" s="130">
        <f t="shared" si="23"/>
        <v>1</v>
      </c>
      <c r="AJ112" s="49" t="str">
        <f t="shared" si="7"/>
        <v>UNKNOWN</v>
      </c>
      <c r="AK112" s="62"/>
      <c r="AL112" s="62" t="str">
        <f t="shared" si="10"/>
        <v>29</v>
      </c>
      <c r="AM112" s="64" t="str">
        <f t="shared" si="11"/>
        <v>00</v>
      </c>
      <c r="AN112" s="64" t="str">
        <f t="shared" si="12"/>
        <v>00</v>
      </c>
      <c r="AO112" s="64" t="str">
        <f t="shared" si="13"/>
        <v>00</v>
      </c>
      <c r="AQ112" t="str">
        <f t="shared" si="8"/>
        <v xml:space="preserve">    (U4)0x00000029U,                                                           /* 41 UNKNOWN                                         */</v>
      </c>
    </row>
    <row r="113" spans="2:43">
      <c r="B113" s="138"/>
      <c r="C113" s="49">
        <f t="shared" si="9"/>
        <v>42</v>
      </c>
      <c r="D113" s="130">
        <f t="shared" si="23"/>
        <v>0</v>
      </c>
      <c r="E113" s="130">
        <f t="shared" si="23"/>
        <v>0</v>
      </c>
      <c r="F113" s="130">
        <f t="shared" si="23"/>
        <v>0</v>
      </c>
      <c r="G113" s="130">
        <f t="shared" si="23"/>
        <v>0</v>
      </c>
      <c r="H113" s="130">
        <f t="shared" si="23"/>
        <v>0</v>
      </c>
      <c r="I113" s="130">
        <f t="shared" si="23"/>
        <v>0</v>
      </c>
      <c r="J113" s="130">
        <f t="shared" si="23"/>
        <v>0</v>
      </c>
      <c r="K113" s="130">
        <f t="shared" si="23"/>
        <v>0</v>
      </c>
      <c r="L113" s="130">
        <f t="shared" si="23"/>
        <v>0</v>
      </c>
      <c r="M113" s="130">
        <f t="shared" si="23"/>
        <v>0</v>
      </c>
      <c r="N113" s="130">
        <f t="shared" si="23"/>
        <v>0</v>
      </c>
      <c r="O113" s="130">
        <f t="shared" si="23"/>
        <v>0</v>
      </c>
      <c r="P113" s="130">
        <f t="shared" si="23"/>
        <v>0</v>
      </c>
      <c r="Q113" s="130">
        <f t="shared" si="23"/>
        <v>0</v>
      </c>
      <c r="R113" s="130">
        <f t="shared" si="23"/>
        <v>0</v>
      </c>
      <c r="S113" s="130">
        <f t="shared" si="23"/>
        <v>0</v>
      </c>
      <c r="T113" s="130">
        <f t="shared" si="23"/>
        <v>0</v>
      </c>
      <c r="U113" s="130">
        <f t="shared" si="23"/>
        <v>0</v>
      </c>
      <c r="V113" s="130">
        <f t="shared" si="23"/>
        <v>0</v>
      </c>
      <c r="W113" s="130">
        <f t="shared" si="23"/>
        <v>0</v>
      </c>
      <c r="X113" s="130">
        <f t="shared" si="23"/>
        <v>0</v>
      </c>
      <c r="Y113" s="130">
        <f t="shared" si="23"/>
        <v>0</v>
      </c>
      <c r="Z113" s="130">
        <f t="shared" si="23"/>
        <v>0</v>
      </c>
      <c r="AA113" s="130">
        <f t="shared" si="23"/>
        <v>0</v>
      </c>
      <c r="AB113" s="130">
        <f t="shared" si="23"/>
        <v>0</v>
      </c>
      <c r="AC113" s="130">
        <f t="shared" si="23"/>
        <v>0</v>
      </c>
      <c r="AD113" s="130">
        <f t="shared" si="23"/>
        <v>1</v>
      </c>
      <c r="AE113" s="130">
        <f t="shared" si="23"/>
        <v>0</v>
      </c>
      <c r="AF113" s="130">
        <f t="shared" si="23"/>
        <v>1</v>
      </c>
      <c r="AG113" s="130">
        <f t="shared" si="23"/>
        <v>0</v>
      </c>
      <c r="AH113" s="130">
        <f t="shared" si="23"/>
        <v>1</v>
      </c>
      <c r="AI113" s="130">
        <f t="shared" si="23"/>
        <v>0</v>
      </c>
      <c r="AJ113" s="49" t="str">
        <f t="shared" si="7"/>
        <v>UNKNOWN</v>
      </c>
      <c r="AK113" s="62"/>
      <c r="AL113" s="62" t="str">
        <f t="shared" si="10"/>
        <v>2A</v>
      </c>
      <c r="AM113" s="64" t="str">
        <f t="shared" si="11"/>
        <v>00</v>
      </c>
      <c r="AN113" s="64" t="str">
        <f t="shared" si="12"/>
        <v>00</v>
      </c>
      <c r="AO113" s="64" t="str">
        <f t="shared" si="13"/>
        <v>00</v>
      </c>
      <c r="AQ113" t="str">
        <f t="shared" si="8"/>
        <v xml:space="preserve">    (U4)0x0000002AU,                                                           /* 42 UNKNOWN                                         */</v>
      </c>
    </row>
    <row r="114" spans="2:43">
      <c r="B114" s="138"/>
      <c r="C114" s="49">
        <f t="shared" si="9"/>
        <v>43</v>
      </c>
      <c r="D114" s="130">
        <f t="shared" si="23"/>
        <v>0</v>
      </c>
      <c r="E114" s="130">
        <f t="shared" si="23"/>
        <v>0</v>
      </c>
      <c r="F114" s="130">
        <f t="shared" si="23"/>
        <v>0</v>
      </c>
      <c r="G114" s="130">
        <f t="shared" si="23"/>
        <v>0</v>
      </c>
      <c r="H114" s="130">
        <f t="shared" si="23"/>
        <v>0</v>
      </c>
      <c r="I114" s="130">
        <f t="shared" si="23"/>
        <v>0</v>
      </c>
      <c r="J114" s="130">
        <f t="shared" si="23"/>
        <v>0</v>
      </c>
      <c r="K114" s="130">
        <f t="shared" si="23"/>
        <v>0</v>
      </c>
      <c r="L114" s="130">
        <f t="shared" si="23"/>
        <v>0</v>
      </c>
      <c r="M114" s="130">
        <f t="shared" si="23"/>
        <v>0</v>
      </c>
      <c r="N114" s="130">
        <f t="shared" si="23"/>
        <v>0</v>
      </c>
      <c r="O114" s="130">
        <f t="shared" si="23"/>
        <v>0</v>
      </c>
      <c r="P114" s="130">
        <f t="shared" si="23"/>
        <v>0</v>
      </c>
      <c r="Q114" s="130">
        <f t="shared" si="23"/>
        <v>0</v>
      </c>
      <c r="R114" s="130">
        <f t="shared" si="23"/>
        <v>0</v>
      </c>
      <c r="S114" s="130">
        <f t="shared" si="23"/>
        <v>0</v>
      </c>
      <c r="T114" s="130">
        <f t="shared" si="23"/>
        <v>0</v>
      </c>
      <c r="U114" s="130">
        <f t="shared" si="23"/>
        <v>0</v>
      </c>
      <c r="V114" s="130">
        <f t="shared" si="23"/>
        <v>0</v>
      </c>
      <c r="W114" s="130">
        <f t="shared" si="23"/>
        <v>0</v>
      </c>
      <c r="X114" s="130">
        <f t="shared" si="23"/>
        <v>0</v>
      </c>
      <c r="Y114" s="130">
        <f t="shared" si="23"/>
        <v>0</v>
      </c>
      <c r="Z114" s="130">
        <f t="shared" si="23"/>
        <v>0</v>
      </c>
      <c r="AA114" s="130">
        <f t="shared" si="23"/>
        <v>0</v>
      </c>
      <c r="AB114" s="130">
        <f t="shared" si="23"/>
        <v>0</v>
      </c>
      <c r="AC114" s="130">
        <f t="shared" si="23"/>
        <v>0</v>
      </c>
      <c r="AD114" s="130">
        <f t="shared" si="23"/>
        <v>1</v>
      </c>
      <c r="AE114" s="130">
        <f t="shared" si="23"/>
        <v>0</v>
      </c>
      <c r="AF114" s="130">
        <f t="shared" si="23"/>
        <v>1</v>
      </c>
      <c r="AG114" s="130">
        <f t="shared" si="23"/>
        <v>0</v>
      </c>
      <c r="AH114" s="130">
        <f t="shared" si="23"/>
        <v>1</v>
      </c>
      <c r="AI114" s="130">
        <f t="shared" si="23"/>
        <v>1</v>
      </c>
      <c r="AJ114" s="49" t="str">
        <f t="shared" si="7"/>
        <v>UNKNOWN</v>
      </c>
      <c r="AK114" s="62"/>
      <c r="AL114" s="62" t="str">
        <f t="shared" si="10"/>
        <v>2B</v>
      </c>
      <c r="AM114" s="64" t="str">
        <f t="shared" si="11"/>
        <v>00</v>
      </c>
      <c r="AN114" s="64" t="str">
        <f t="shared" si="12"/>
        <v>00</v>
      </c>
      <c r="AO114" s="64" t="str">
        <f t="shared" si="13"/>
        <v>00</v>
      </c>
      <c r="AQ114" t="str">
        <f t="shared" si="8"/>
        <v xml:space="preserve">    (U4)0x0000002BU,                                                           /* 43 UNKNOWN                                         */</v>
      </c>
    </row>
    <row r="115" spans="2:43">
      <c r="B115" s="138"/>
      <c r="C115" s="49">
        <f t="shared" si="9"/>
        <v>44</v>
      </c>
      <c r="D115" s="130">
        <f t="shared" si="23"/>
        <v>0</v>
      </c>
      <c r="E115" s="130">
        <f t="shared" si="23"/>
        <v>0</v>
      </c>
      <c r="F115" s="130">
        <f t="shared" si="23"/>
        <v>0</v>
      </c>
      <c r="G115" s="130">
        <f t="shared" si="23"/>
        <v>0</v>
      </c>
      <c r="H115" s="130">
        <f t="shared" si="23"/>
        <v>0</v>
      </c>
      <c r="I115" s="130">
        <f t="shared" si="23"/>
        <v>0</v>
      </c>
      <c r="J115" s="130">
        <f t="shared" si="23"/>
        <v>0</v>
      </c>
      <c r="K115" s="130">
        <f t="shared" si="23"/>
        <v>0</v>
      </c>
      <c r="L115" s="130">
        <f t="shared" si="23"/>
        <v>0</v>
      </c>
      <c r="M115" s="130">
        <f t="shared" si="23"/>
        <v>0</v>
      </c>
      <c r="N115" s="130">
        <f t="shared" si="23"/>
        <v>0</v>
      </c>
      <c r="O115" s="130">
        <f t="shared" si="23"/>
        <v>0</v>
      </c>
      <c r="P115" s="130">
        <f t="shared" si="23"/>
        <v>0</v>
      </c>
      <c r="Q115" s="130">
        <f t="shared" si="23"/>
        <v>0</v>
      </c>
      <c r="R115" s="130">
        <f t="shared" si="23"/>
        <v>0</v>
      </c>
      <c r="S115" s="130">
        <f t="shared" si="23"/>
        <v>0</v>
      </c>
      <c r="T115" s="130">
        <f t="shared" si="23"/>
        <v>0</v>
      </c>
      <c r="U115" s="130">
        <f t="shared" si="23"/>
        <v>0</v>
      </c>
      <c r="V115" s="130">
        <f t="shared" si="23"/>
        <v>0</v>
      </c>
      <c r="W115" s="130">
        <f t="shared" si="23"/>
        <v>0</v>
      </c>
      <c r="X115" s="130">
        <f t="shared" si="23"/>
        <v>0</v>
      </c>
      <c r="Y115" s="130">
        <f t="shared" si="23"/>
        <v>0</v>
      </c>
      <c r="Z115" s="130">
        <f t="shared" si="23"/>
        <v>0</v>
      </c>
      <c r="AA115" s="130">
        <f t="shared" si="23"/>
        <v>0</v>
      </c>
      <c r="AB115" s="130">
        <f t="shared" si="23"/>
        <v>0</v>
      </c>
      <c r="AC115" s="130">
        <f t="shared" si="23"/>
        <v>0</v>
      </c>
      <c r="AD115" s="130">
        <f t="shared" si="23"/>
        <v>1</v>
      </c>
      <c r="AE115" s="130">
        <f t="shared" si="23"/>
        <v>0</v>
      </c>
      <c r="AF115" s="130">
        <f t="shared" si="23"/>
        <v>1</v>
      </c>
      <c r="AG115" s="130">
        <f t="shared" si="23"/>
        <v>1</v>
      </c>
      <c r="AH115" s="130">
        <f t="shared" si="23"/>
        <v>0</v>
      </c>
      <c r="AI115" s="130">
        <f t="shared" si="23"/>
        <v>0</v>
      </c>
      <c r="AJ115" s="49" t="str">
        <f t="shared" si="7"/>
        <v>UNKNOWN</v>
      </c>
      <c r="AK115" s="62"/>
      <c r="AL115" s="62" t="str">
        <f t="shared" si="10"/>
        <v>2C</v>
      </c>
      <c r="AM115" s="64" t="str">
        <f t="shared" si="11"/>
        <v>00</v>
      </c>
      <c r="AN115" s="64" t="str">
        <f t="shared" si="12"/>
        <v>00</v>
      </c>
      <c r="AO115" s="64" t="str">
        <f t="shared" si="13"/>
        <v>00</v>
      </c>
      <c r="AQ115" t="str">
        <f t="shared" si="8"/>
        <v xml:space="preserve">    (U4)0x0000002CU,                                                           /* 44 UNKNOWN                                         */</v>
      </c>
    </row>
    <row r="116" spans="2:43">
      <c r="B116" s="138"/>
      <c r="C116" s="49">
        <f t="shared" si="9"/>
        <v>45</v>
      </c>
      <c r="D116" s="130">
        <f t="shared" si="23"/>
        <v>0</v>
      </c>
      <c r="E116" s="130">
        <f t="shared" si="23"/>
        <v>0</v>
      </c>
      <c r="F116" s="130">
        <f t="shared" si="23"/>
        <v>0</v>
      </c>
      <c r="G116" s="130">
        <f t="shared" si="23"/>
        <v>0</v>
      </c>
      <c r="H116" s="130">
        <f t="shared" si="23"/>
        <v>0</v>
      </c>
      <c r="I116" s="130">
        <f t="shared" si="23"/>
        <v>0</v>
      </c>
      <c r="J116" s="130">
        <f t="shared" si="23"/>
        <v>0</v>
      </c>
      <c r="K116" s="130">
        <f t="shared" si="23"/>
        <v>0</v>
      </c>
      <c r="L116" s="130">
        <f t="shared" si="23"/>
        <v>0</v>
      </c>
      <c r="M116" s="130">
        <f t="shared" si="23"/>
        <v>0</v>
      </c>
      <c r="N116" s="130">
        <f t="shared" si="23"/>
        <v>0</v>
      </c>
      <c r="O116" s="130">
        <f t="shared" si="23"/>
        <v>0</v>
      </c>
      <c r="P116" s="130">
        <f t="shared" si="23"/>
        <v>0</v>
      </c>
      <c r="Q116" s="130">
        <f t="shared" si="23"/>
        <v>0</v>
      </c>
      <c r="R116" s="130">
        <f t="shared" si="23"/>
        <v>0</v>
      </c>
      <c r="S116" s="130">
        <f t="shared" si="23"/>
        <v>0</v>
      </c>
      <c r="T116" s="130">
        <f t="shared" si="23"/>
        <v>0</v>
      </c>
      <c r="U116" s="130">
        <f t="shared" si="23"/>
        <v>0</v>
      </c>
      <c r="V116" s="130">
        <f t="shared" si="23"/>
        <v>0</v>
      </c>
      <c r="W116" s="130">
        <f t="shared" si="23"/>
        <v>0</v>
      </c>
      <c r="X116" s="130">
        <f t="shared" si="23"/>
        <v>0</v>
      </c>
      <c r="Y116" s="130">
        <f t="shared" si="23"/>
        <v>0</v>
      </c>
      <c r="Z116" s="130">
        <f t="shared" si="23"/>
        <v>0</v>
      </c>
      <c r="AA116" s="130">
        <f t="shared" si="23"/>
        <v>0</v>
      </c>
      <c r="AB116" s="130">
        <f t="shared" si="23"/>
        <v>0</v>
      </c>
      <c r="AC116" s="130">
        <f t="shared" si="23"/>
        <v>0</v>
      </c>
      <c r="AD116" s="130">
        <f t="shared" si="23"/>
        <v>1</v>
      </c>
      <c r="AE116" s="130">
        <f t="shared" si="23"/>
        <v>0</v>
      </c>
      <c r="AF116" s="130">
        <f t="shared" si="23"/>
        <v>1</v>
      </c>
      <c r="AG116" s="130">
        <f t="shared" si="23"/>
        <v>1</v>
      </c>
      <c r="AH116" s="130">
        <f t="shared" si="23"/>
        <v>0</v>
      </c>
      <c r="AI116" s="130">
        <f t="shared" si="23"/>
        <v>1</v>
      </c>
      <c r="AJ116" s="49" t="str">
        <f t="shared" si="7"/>
        <v>UNKNOWN</v>
      </c>
      <c r="AK116" s="62"/>
      <c r="AL116" s="62" t="str">
        <f t="shared" si="10"/>
        <v>2D</v>
      </c>
      <c r="AM116" s="64" t="str">
        <f t="shared" si="11"/>
        <v>00</v>
      </c>
      <c r="AN116" s="64" t="str">
        <f t="shared" si="12"/>
        <v>00</v>
      </c>
      <c r="AO116" s="64" t="str">
        <f t="shared" si="13"/>
        <v>00</v>
      </c>
      <c r="AQ116" t="str">
        <f t="shared" si="8"/>
        <v xml:space="preserve">    (U4)0x0000002DU,                                                           /* 45 UNKNOWN                                         */</v>
      </c>
    </row>
    <row r="117" spans="2:43">
      <c r="B117" s="138"/>
      <c r="C117" s="49">
        <f t="shared" si="9"/>
        <v>46</v>
      </c>
      <c r="D117" s="130">
        <f t="shared" si="23"/>
        <v>0</v>
      </c>
      <c r="E117" s="130">
        <f t="shared" si="23"/>
        <v>0</v>
      </c>
      <c r="F117" s="130">
        <f t="shared" si="23"/>
        <v>0</v>
      </c>
      <c r="G117" s="130">
        <f t="shared" si="23"/>
        <v>0</v>
      </c>
      <c r="H117" s="130">
        <f t="shared" si="23"/>
        <v>0</v>
      </c>
      <c r="I117" s="130">
        <f t="shared" si="23"/>
        <v>0</v>
      </c>
      <c r="J117" s="130">
        <f t="shared" si="23"/>
        <v>0</v>
      </c>
      <c r="K117" s="130">
        <f t="shared" si="23"/>
        <v>0</v>
      </c>
      <c r="L117" s="130">
        <f t="shared" si="23"/>
        <v>0</v>
      </c>
      <c r="M117" s="130">
        <f t="shared" si="23"/>
        <v>0</v>
      </c>
      <c r="N117" s="130">
        <f t="shared" si="23"/>
        <v>0</v>
      </c>
      <c r="O117" s="130">
        <f t="shared" si="23"/>
        <v>0</v>
      </c>
      <c r="P117" s="130">
        <f t="shared" si="23"/>
        <v>0</v>
      </c>
      <c r="Q117" s="130">
        <f t="shared" si="23"/>
        <v>0</v>
      </c>
      <c r="R117" s="130">
        <f t="shared" si="23"/>
        <v>0</v>
      </c>
      <c r="S117" s="130">
        <f t="shared" si="23"/>
        <v>0</v>
      </c>
      <c r="T117" s="130">
        <f t="shared" si="23"/>
        <v>0</v>
      </c>
      <c r="U117" s="130">
        <f t="shared" si="23"/>
        <v>0</v>
      </c>
      <c r="V117" s="130">
        <f t="shared" si="23"/>
        <v>0</v>
      </c>
      <c r="W117" s="130">
        <f t="shared" si="23"/>
        <v>0</v>
      </c>
      <c r="X117" s="130">
        <f t="shared" si="23"/>
        <v>0</v>
      </c>
      <c r="Y117" s="130">
        <f t="shared" si="23"/>
        <v>0</v>
      </c>
      <c r="Z117" s="130">
        <f t="shared" si="23"/>
        <v>0</v>
      </c>
      <c r="AA117" s="130">
        <f t="shared" si="23"/>
        <v>0</v>
      </c>
      <c r="AB117" s="130">
        <f t="shared" si="23"/>
        <v>0</v>
      </c>
      <c r="AC117" s="130">
        <f t="shared" si="23"/>
        <v>0</v>
      </c>
      <c r="AD117" s="130">
        <f t="shared" si="23"/>
        <v>1</v>
      </c>
      <c r="AE117" s="130">
        <f t="shared" si="23"/>
        <v>0</v>
      </c>
      <c r="AF117" s="130">
        <f t="shared" si="23"/>
        <v>1</v>
      </c>
      <c r="AG117" s="130">
        <f t="shared" si="23"/>
        <v>1</v>
      </c>
      <c r="AH117" s="130">
        <f t="shared" si="23"/>
        <v>1</v>
      </c>
      <c r="AI117" s="130">
        <f t="shared" si="23"/>
        <v>0</v>
      </c>
      <c r="AJ117" s="49" t="str">
        <f t="shared" si="7"/>
        <v>UNKNOWN</v>
      </c>
      <c r="AK117" s="62"/>
      <c r="AL117" s="62" t="str">
        <f t="shared" si="10"/>
        <v>2E</v>
      </c>
      <c r="AM117" s="64" t="str">
        <f t="shared" si="11"/>
        <v>00</v>
      </c>
      <c r="AN117" s="64" t="str">
        <f t="shared" si="12"/>
        <v>00</v>
      </c>
      <c r="AO117" s="64" t="str">
        <f t="shared" si="13"/>
        <v>00</v>
      </c>
      <c r="AQ117" t="str">
        <f t="shared" si="8"/>
        <v xml:space="preserve">    (U4)0x0000002EU,                                                           /* 46 UNKNOWN                                         */</v>
      </c>
    </row>
    <row r="118" spans="2:43">
      <c r="B118" s="138"/>
      <c r="C118" s="49">
        <f t="shared" si="9"/>
        <v>47</v>
      </c>
      <c r="D118" s="130">
        <f t="shared" si="23"/>
        <v>0</v>
      </c>
      <c r="E118" s="130">
        <f t="shared" si="23"/>
        <v>0</v>
      </c>
      <c r="F118" s="130">
        <f t="shared" si="23"/>
        <v>0</v>
      </c>
      <c r="G118" s="130">
        <f t="shared" si="23"/>
        <v>0</v>
      </c>
      <c r="H118" s="130">
        <f t="shared" si="23"/>
        <v>0</v>
      </c>
      <c r="I118" s="130">
        <f t="shared" si="23"/>
        <v>0</v>
      </c>
      <c r="J118" s="130">
        <f t="shared" si="23"/>
        <v>0</v>
      </c>
      <c r="K118" s="130">
        <f t="shared" si="23"/>
        <v>0</v>
      </c>
      <c r="L118" s="130">
        <f t="shared" si="23"/>
        <v>0</v>
      </c>
      <c r="M118" s="130">
        <f t="shared" si="23"/>
        <v>0</v>
      </c>
      <c r="N118" s="130">
        <f t="shared" si="23"/>
        <v>0</v>
      </c>
      <c r="O118" s="130">
        <f t="shared" si="23"/>
        <v>0</v>
      </c>
      <c r="P118" s="130">
        <f t="shared" si="23"/>
        <v>0</v>
      </c>
      <c r="Q118" s="130">
        <f t="shared" si="23"/>
        <v>0</v>
      </c>
      <c r="R118" s="130">
        <f t="shared" si="23"/>
        <v>0</v>
      </c>
      <c r="S118" s="130">
        <f t="shared" si="23"/>
        <v>0</v>
      </c>
      <c r="T118" s="130">
        <f t="shared" si="23"/>
        <v>0</v>
      </c>
      <c r="U118" s="130">
        <f t="shared" si="23"/>
        <v>0</v>
      </c>
      <c r="V118" s="130">
        <f t="shared" si="23"/>
        <v>0</v>
      </c>
      <c r="W118" s="130">
        <f t="shared" si="23"/>
        <v>0</v>
      </c>
      <c r="X118" s="130">
        <f t="shared" si="23"/>
        <v>0</v>
      </c>
      <c r="Y118" s="130">
        <f t="shared" si="23"/>
        <v>0</v>
      </c>
      <c r="Z118" s="130">
        <f t="shared" si="23"/>
        <v>0</v>
      </c>
      <c r="AA118" s="130">
        <f t="shared" si="23"/>
        <v>0</v>
      </c>
      <c r="AB118" s="130">
        <f t="shared" si="23"/>
        <v>0</v>
      </c>
      <c r="AC118" s="130">
        <f t="shared" si="23"/>
        <v>0</v>
      </c>
      <c r="AD118" s="130">
        <f t="shared" si="23"/>
        <v>1</v>
      </c>
      <c r="AE118" s="130">
        <f t="shared" si="23"/>
        <v>0</v>
      </c>
      <c r="AF118" s="130">
        <f t="shared" si="23"/>
        <v>1</v>
      </c>
      <c r="AG118" s="130">
        <f t="shared" si="23"/>
        <v>1</v>
      </c>
      <c r="AH118" s="130">
        <f t="shared" si="23"/>
        <v>1</v>
      </c>
      <c r="AI118" s="130">
        <f t="shared" ref="AI118" si="24">IF(AI53=1,1,0)</f>
        <v>1</v>
      </c>
      <c r="AJ118" s="49" t="str">
        <f t="shared" si="7"/>
        <v>UNKNOWN</v>
      </c>
      <c r="AK118" s="62"/>
      <c r="AL118" s="62" t="str">
        <f t="shared" si="10"/>
        <v>2F</v>
      </c>
      <c r="AM118" s="64" t="str">
        <f t="shared" si="11"/>
        <v>00</v>
      </c>
      <c r="AN118" s="64" t="str">
        <f t="shared" si="12"/>
        <v>00</v>
      </c>
      <c r="AO118" s="64" t="str">
        <f t="shared" si="13"/>
        <v>00</v>
      </c>
      <c r="AQ118" t="str">
        <f t="shared" si="8"/>
        <v xml:space="preserve">    (U4)0x0000002FU,                                                           /* 47 UNKNOWN                                         */</v>
      </c>
    </row>
    <row r="119" spans="2:43">
      <c r="B119" s="138"/>
      <c r="C119" s="49">
        <f t="shared" si="9"/>
        <v>48</v>
      </c>
      <c r="D119" s="130">
        <f t="shared" ref="D119:AI126" si="25">IF(D54=1,1,0)</f>
        <v>0</v>
      </c>
      <c r="E119" s="130">
        <f t="shared" si="25"/>
        <v>0</v>
      </c>
      <c r="F119" s="130">
        <f t="shared" si="25"/>
        <v>0</v>
      </c>
      <c r="G119" s="130">
        <f t="shared" si="25"/>
        <v>0</v>
      </c>
      <c r="H119" s="130">
        <f t="shared" si="25"/>
        <v>0</v>
      </c>
      <c r="I119" s="130">
        <f t="shared" si="25"/>
        <v>0</v>
      </c>
      <c r="J119" s="130">
        <f t="shared" si="25"/>
        <v>0</v>
      </c>
      <c r="K119" s="130">
        <f t="shared" si="25"/>
        <v>0</v>
      </c>
      <c r="L119" s="130">
        <f t="shared" si="25"/>
        <v>0</v>
      </c>
      <c r="M119" s="130">
        <f t="shared" si="25"/>
        <v>0</v>
      </c>
      <c r="N119" s="130">
        <f t="shared" si="25"/>
        <v>0</v>
      </c>
      <c r="O119" s="130">
        <f t="shared" si="25"/>
        <v>0</v>
      </c>
      <c r="P119" s="130">
        <f t="shared" si="25"/>
        <v>0</v>
      </c>
      <c r="Q119" s="130">
        <f t="shared" si="25"/>
        <v>0</v>
      </c>
      <c r="R119" s="130">
        <f t="shared" si="25"/>
        <v>0</v>
      </c>
      <c r="S119" s="130">
        <f t="shared" si="25"/>
        <v>0</v>
      </c>
      <c r="T119" s="130">
        <f t="shared" si="25"/>
        <v>0</v>
      </c>
      <c r="U119" s="130">
        <f t="shared" si="25"/>
        <v>0</v>
      </c>
      <c r="V119" s="130">
        <f t="shared" si="25"/>
        <v>0</v>
      </c>
      <c r="W119" s="130">
        <f t="shared" si="25"/>
        <v>0</v>
      </c>
      <c r="X119" s="130">
        <f t="shared" si="25"/>
        <v>0</v>
      </c>
      <c r="Y119" s="130">
        <f t="shared" si="25"/>
        <v>0</v>
      </c>
      <c r="Z119" s="130">
        <f t="shared" si="25"/>
        <v>0</v>
      </c>
      <c r="AA119" s="130">
        <f t="shared" si="25"/>
        <v>0</v>
      </c>
      <c r="AB119" s="130">
        <f t="shared" si="25"/>
        <v>0</v>
      </c>
      <c r="AC119" s="130">
        <f t="shared" si="25"/>
        <v>0</v>
      </c>
      <c r="AD119" s="130">
        <f t="shared" si="25"/>
        <v>1</v>
      </c>
      <c r="AE119" s="130">
        <f t="shared" si="25"/>
        <v>1</v>
      </c>
      <c r="AF119" s="130">
        <f t="shared" si="25"/>
        <v>0</v>
      </c>
      <c r="AG119" s="130">
        <f t="shared" si="25"/>
        <v>0</v>
      </c>
      <c r="AH119" s="130">
        <f t="shared" si="25"/>
        <v>0</v>
      </c>
      <c r="AI119" s="130">
        <f t="shared" si="25"/>
        <v>0</v>
      </c>
      <c r="AJ119" s="49" t="str">
        <f t="shared" si="7"/>
        <v>UNKNOWN</v>
      </c>
      <c r="AK119" s="62"/>
      <c r="AL119" s="62" t="str">
        <f t="shared" si="10"/>
        <v>30</v>
      </c>
      <c r="AM119" s="64" t="str">
        <f t="shared" si="11"/>
        <v>00</v>
      </c>
      <c r="AN119" s="64" t="str">
        <f t="shared" si="12"/>
        <v>00</v>
      </c>
      <c r="AO119" s="64" t="str">
        <f t="shared" si="13"/>
        <v>00</v>
      </c>
      <c r="AQ119" t="str">
        <f t="shared" si="8"/>
        <v xml:space="preserve">    (U4)0x00000030U,                                                           /* 48 UNKNOWN                                         */</v>
      </c>
    </row>
    <row r="120" spans="2:43">
      <c r="B120" s="138"/>
      <c r="C120" s="49">
        <f t="shared" si="9"/>
        <v>49</v>
      </c>
      <c r="D120" s="130">
        <f t="shared" si="25"/>
        <v>0</v>
      </c>
      <c r="E120" s="130">
        <f t="shared" si="25"/>
        <v>0</v>
      </c>
      <c r="F120" s="130">
        <f t="shared" si="25"/>
        <v>0</v>
      </c>
      <c r="G120" s="130">
        <f t="shared" si="25"/>
        <v>0</v>
      </c>
      <c r="H120" s="130">
        <f t="shared" si="25"/>
        <v>0</v>
      </c>
      <c r="I120" s="130">
        <f t="shared" si="25"/>
        <v>0</v>
      </c>
      <c r="J120" s="130">
        <f t="shared" si="25"/>
        <v>0</v>
      </c>
      <c r="K120" s="130">
        <f t="shared" si="25"/>
        <v>0</v>
      </c>
      <c r="L120" s="130">
        <f t="shared" si="25"/>
        <v>0</v>
      </c>
      <c r="M120" s="130">
        <f t="shared" si="25"/>
        <v>0</v>
      </c>
      <c r="N120" s="130">
        <f t="shared" si="25"/>
        <v>0</v>
      </c>
      <c r="O120" s="130">
        <f t="shared" si="25"/>
        <v>0</v>
      </c>
      <c r="P120" s="130">
        <f t="shared" si="25"/>
        <v>0</v>
      </c>
      <c r="Q120" s="130">
        <f t="shared" si="25"/>
        <v>0</v>
      </c>
      <c r="R120" s="130">
        <f t="shared" si="25"/>
        <v>0</v>
      </c>
      <c r="S120" s="130">
        <f t="shared" si="25"/>
        <v>0</v>
      </c>
      <c r="T120" s="130">
        <f t="shared" si="25"/>
        <v>0</v>
      </c>
      <c r="U120" s="130">
        <f t="shared" si="25"/>
        <v>0</v>
      </c>
      <c r="V120" s="130">
        <f t="shared" si="25"/>
        <v>0</v>
      </c>
      <c r="W120" s="130">
        <f t="shared" si="25"/>
        <v>0</v>
      </c>
      <c r="X120" s="130">
        <f t="shared" si="25"/>
        <v>0</v>
      </c>
      <c r="Y120" s="130">
        <f t="shared" si="25"/>
        <v>0</v>
      </c>
      <c r="Z120" s="130">
        <f t="shared" si="25"/>
        <v>0</v>
      </c>
      <c r="AA120" s="130">
        <f t="shared" si="25"/>
        <v>0</v>
      </c>
      <c r="AB120" s="130">
        <f t="shared" si="25"/>
        <v>0</v>
      </c>
      <c r="AC120" s="130">
        <f t="shared" si="25"/>
        <v>0</v>
      </c>
      <c r="AD120" s="130">
        <f t="shared" si="25"/>
        <v>1</v>
      </c>
      <c r="AE120" s="130">
        <f t="shared" si="25"/>
        <v>1</v>
      </c>
      <c r="AF120" s="130">
        <f t="shared" si="25"/>
        <v>0</v>
      </c>
      <c r="AG120" s="130">
        <f t="shared" si="25"/>
        <v>0</v>
      </c>
      <c r="AH120" s="130">
        <f t="shared" si="25"/>
        <v>0</v>
      </c>
      <c r="AI120" s="130">
        <f t="shared" si="25"/>
        <v>1</v>
      </c>
      <c r="AJ120" s="49" t="str">
        <f t="shared" si="7"/>
        <v>UNKNOWN</v>
      </c>
      <c r="AK120" s="62"/>
      <c r="AL120" s="62" t="str">
        <f t="shared" si="10"/>
        <v>31</v>
      </c>
      <c r="AM120" s="64" t="str">
        <f t="shared" si="11"/>
        <v>00</v>
      </c>
      <c r="AN120" s="64" t="str">
        <f t="shared" si="12"/>
        <v>00</v>
      </c>
      <c r="AO120" s="64" t="str">
        <f t="shared" si="13"/>
        <v>00</v>
      </c>
      <c r="AQ120" t="str">
        <f t="shared" si="8"/>
        <v xml:space="preserve">    (U4)0x00000031U,                                                           /* 49 UNKNOWN                                         */</v>
      </c>
    </row>
    <row r="121" spans="2:43">
      <c r="B121" s="138"/>
      <c r="C121" s="49">
        <f t="shared" si="9"/>
        <v>50</v>
      </c>
      <c r="D121" s="130">
        <f t="shared" si="25"/>
        <v>0</v>
      </c>
      <c r="E121" s="130">
        <f t="shared" si="25"/>
        <v>0</v>
      </c>
      <c r="F121" s="130">
        <f t="shared" si="25"/>
        <v>0</v>
      </c>
      <c r="G121" s="130">
        <f t="shared" si="25"/>
        <v>0</v>
      </c>
      <c r="H121" s="130">
        <f t="shared" si="25"/>
        <v>0</v>
      </c>
      <c r="I121" s="130">
        <f t="shared" si="25"/>
        <v>0</v>
      </c>
      <c r="J121" s="130">
        <f t="shared" si="25"/>
        <v>0</v>
      </c>
      <c r="K121" s="130">
        <f t="shared" si="25"/>
        <v>0</v>
      </c>
      <c r="L121" s="130">
        <f t="shared" si="25"/>
        <v>0</v>
      </c>
      <c r="M121" s="130">
        <f t="shared" si="25"/>
        <v>0</v>
      </c>
      <c r="N121" s="130">
        <f t="shared" si="25"/>
        <v>0</v>
      </c>
      <c r="O121" s="130">
        <f t="shared" si="25"/>
        <v>0</v>
      </c>
      <c r="P121" s="130">
        <f t="shared" si="25"/>
        <v>0</v>
      </c>
      <c r="Q121" s="130">
        <f t="shared" si="25"/>
        <v>0</v>
      </c>
      <c r="R121" s="130">
        <f t="shared" si="25"/>
        <v>0</v>
      </c>
      <c r="S121" s="130">
        <f t="shared" si="25"/>
        <v>0</v>
      </c>
      <c r="T121" s="130">
        <f t="shared" si="25"/>
        <v>0</v>
      </c>
      <c r="U121" s="130">
        <f t="shared" si="25"/>
        <v>0</v>
      </c>
      <c r="V121" s="130">
        <f t="shared" si="25"/>
        <v>0</v>
      </c>
      <c r="W121" s="130">
        <f t="shared" si="25"/>
        <v>0</v>
      </c>
      <c r="X121" s="130">
        <f t="shared" si="25"/>
        <v>0</v>
      </c>
      <c r="Y121" s="130">
        <f t="shared" si="25"/>
        <v>0</v>
      </c>
      <c r="Z121" s="130">
        <f t="shared" si="25"/>
        <v>0</v>
      </c>
      <c r="AA121" s="130">
        <f t="shared" si="25"/>
        <v>0</v>
      </c>
      <c r="AB121" s="130">
        <f t="shared" si="25"/>
        <v>0</v>
      </c>
      <c r="AC121" s="130">
        <f t="shared" si="25"/>
        <v>0</v>
      </c>
      <c r="AD121" s="130">
        <f t="shared" si="25"/>
        <v>1</v>
      </c>
      <c r="AE121" s="130">
        <f t="shared" si="25"/>
        <v>1</v>
      </c>
      <c r="AF121" s="130">
        <f t="shared" si="25"/>
        <v>0</v>
      </c>
      <c r="AG121" s="130">
        <f t="shared" si="25"/>
        <v>0</v>
      </c>
      <c r="AH121" s="130">
        <f t="shared" si="25"/>
        <v>1</v>
      </c>
      <c r="AI121" s="130">
        <f t="shared" si="25"/>
        <v>0</v>
      </c>
      <c r="AJ121" s="49" t="str">
        <f t="shared" si="7"/>
        <v>UNKNOWN</v>
      </c>
      <c r="AK121" s="62"/>
      <c r="AL121" s="62" t="str">
        <f t="shared" si="10"/>
        <v>32</v>
      </c>
      <c r="AM121" s="64" t="str">
        <f t="shared" si="11"/>
        <v>00</v>
      </c>
      <c r="AN121" s="64" t="str">
        <f t="shared" si="12"/>
        <v>00</v>
      </c>
      <c r="AO121" s="64" t="str">
        <f t="shared" si="13"/>
        <v>00</v>
      </c>
      <c r="AQ121" t="str">
        <f t="shared" si="8"/>
        <v xml:space="preserve">    (U4)0x00000032U,                                                           /* 50 UNKNOWN                                         */</v>
      </c>
    </row>
    <row r="122" spans="2:43">
      <c r="B122" s="138"/>
      <c r="C122" s="49">
        <f t="shared" si="9"/>
        <v>51</v>
      </c>
      <c r="D122" s="130">
        <f t="shared" si="25"/>
        <v>0</v>
      </c>
      <c r="E122" s="130">
        <f t="shared" si="25"/>
        <v>0</v>
      </c>
      <c r="F122" s="130">
        <f t="shared" si="25"/>
        <v>0</v>
      </c>
      <c r="G122" s="130">
        <f t="shared" si="25"/>
        <v>0</v>
      </c>
      <c r="H122" s="130">
        <f t="shared" si="25"/>
        <v>0</v>
      </c>
      <c r="I122" s="130">
        <f t="shared" si="25"/>
        <v>0</v>
      </c>
      <c r="J122" s="130">
        <f t="shared" si="25"/>
        <v>0</v>
      </c>
      <c r="K122" s="130">
        <f t="shared" si="25"/>
        <v>0</v>
      </c>
      <c r="L122" s="130">
        <f t="shared" si="25"/>
        <v>0</v>
      </c>
      <c r="M122" s="130">
        <f t="shared" si="25"/>
        <v>0</v>
      </c>
      <c r="N122" s="130">
        <f t="shared" si="25"/>
        <v>0</v>
      </c>
      <c r="O122" s="130">
        <f t="shared" si="25"/>
        <v>0</v>
      </c>
      <c r="P122" s="130">
        <f t="shared" si="25"/>
        <v>0</v>
      </c>
      <c r="Q122" s="130">
        <f t="shared" si="25"/>
        <v>0</v>
      </c>
      <c r="R122" s="130">
        <f t="shared" si="25"/>
        <v>0</v>
      </c>
      <c r="S122" s="130">
        <f t="shared" si="25"/>
        <v>0</v>
      </c>
      <c r="T122" s="130">
        <f t="shared" si="25"/>
        <v>0</v>
      </c>
      <c r="U122" s="130">
        <f t="shared" si="25"/>
        <v>0</v>
      </c>
      <c r="V122" s="130">
        <f t="shared" si="25"/>
        <v>0</v>
      </c>
      <c r="W122" s="130">
        <f t="shared" si="25"/>
        <v>0</v>
      </c>
      <c r="X122" s="130">
        <f t="shared" si="25"/>
        <v>0</v>
      </c>
      <c r="Y122" s="130">
        <f t="shared" si="25"/>
        <v>0</v>
      </c>
      <c r="Z122" s="130">
        <f t="shared" si="25"/>
        <v>0</v>
      </c>
      <c r="AA122" s="130">
        <f t="shared" si="25"/>
        <v>0</v>
      </c>
      <c r="AB122" s="130">
        <f t="shared" si="25"/>
        <v>0</v>
      </c>
      <c r="AC122" s="130">
        <f t="shared" si="25"/>
        <v>0</v>
      </c>
      <c r="AD122" s="130">
        <f t="shared" si="25"/>
        <v>1</v>
      </c>
      <c r="AE122" s="130">
        <f t="shared" si="25"/>
        <v>1</v>
      </c>
      <c r="AF122" s="130">
        <f t="shared" si="25"/>
        <v>0</v>
      </c>
      <c r="AG122" s="130">
        <f t="shared" si="25"/>
        <v>0</v>
      </c>
      <c r="AH122" s="130">
        <f t="shared" si="25"/>
        <v>1</v>
      </c>
      <c r="AI122" s="130">
        <f t="shared" si="25"/>
        <v>1</v>
      </c>
      <c r="AJ122" s="49" t="str">
        <f t="shared" si="7"/>
        <v>UNKNOWN</v>
      </c>
      <c r="AK122" s="62"/>
      <c r="AL122" s="62" t="str">
        <f t="shared" si="10"/>
        <v>33</v>
      </c>
      <c r="AM122" s="64" t="str">
        <f t="shared" si="11"/>
        <v>00</v>
      </c>
      <c r="AN122" s="64" t="str">
        <f t="shared" si="12"/>
        <v>00</v>
      </c>
      <c r="AO122" s="64" t="str">
        <f t="shared" si="13"/>
        <v>00</v>
      </c>
      <c r="AQ122" t="str">
        <f t="shared" si="8"/>
        <v xml:space="preserve">    (U4)0x00000033U,                                                           /* 51 UNKNOWN                                         */</v>
      </c>
    </row>
    <row r="123" spans="2:43">
      <c r="B123" s="138"/>
      <c r="C123" s="49">
        <f t="shared" si="9"/>
        <v>52</v>
      </c>
      <c r="D123" s="130">
        <f t="shared" si="25"/>
        <v>0</v>
      </c>
      <c r="E123" s="130">
        <f t="shared" si="25"/>
        <v>0</v>
      </c>
      <c r="F123" s="130">
        <f t="shared" si="25"/>
        <v>0</v>
      </c>
      <c r="G123" s="130">
        <f t="shared" si="25"/>
        <v>0</v>
      </c>
      <c r="H123" s="130">
        <f t="shared" si="25"/>
        <v>0</v>
      </c>
      <c r="I123" s="130">
        <f t="shared" si="25"/>
        <v>0</v>
      </c>
      <c r="J123" s="130">
        <f t="shared" si="25"/>
        <v>0</v>
      </c>
      <c r="K123" s="130">
        <f t="shared" si="25"/>
        <v>0</v>
      </c>
      <c r="L123" s="130">
        <f t="shared" si="25"/>
        <v>0</v>
      </c>
      <c r="M123" s="130">
        <f t="shared" si="25"/>
        <v>0</v>
      </c>
      <c r="N123" s="130">
        <f t="shared" si="25"/>
        <v>0</v>
      </c>
      <c r="O123" s="130">
        <f t="shared" si="25"/>
        <v>0</v>
      </c>
      <c r="P123" s="130">
        <f t="shared" si="25"/>
        <v>0</v>
      </c>
      <c r="Q123" s="130">
        <f t="shared" si="25"/>
        <v>0</v>
      </c>
      <c r="R123" s="130">
        <f t="shared" si="25"/>
        <v>0</v>
      </c>
      <c r="S123" s="130">
        <f t="shared" si="25"/>
        <v>0</v>
      </c>
      <c r="T123" s="130">
        <f t="shared" si="25"/>
        <v>0</v>
      </c>
      <c r="U123" s="130">
        <f t="shared" si="25"/>
        <v>0</v>
      </c>
      <c r="V123" s="130">
        <f t="shared" si="25"/>
        <v>0</v>
      </c>
      <c r="W123" s="130">
        <f t="shared" si="25"/>
        <v>0</v>
      </c>
      <c r="X123" s="130">
        <f t="shared" si="25"/>
        <v>0</v>
      </c>
      <c r="Y123" s="130">
        <f t="shared" si="25"/>
        <v>0</v>
      </c>
      <c r="Z123" s="130">
        <f t="shared" si="25"/>
        <v>0</v>
      </c>
      <c r="AA123" s="130">
        <f t="shared" si="25"/>
        <v>0</v>
      </c>
      <c r="AB123" s="130">
        <f t="shared" si="25"/>
        <v>0</v>
      </c>
      <c r="AC123" s="130">
        <f t="shared" si="25"/>
        <v>0</v>
      </c>
      <c r="AD123" s="130">
        <f t="shared" si="25"/>
        <v>1</v>
      </c>
      <c r="AE123" s="130">
        <f t="shared" si="25"/>
        <v>1</v>
      </c>
      <c r="AF123" s="130">
        <f t="shared" si="25"/>
        <v>0</v>
      </c>
      <c r="AG123" s="130">
        <f t="shared" si="25"/>
        <v>1</v>
      </c>
      <c r="AH123" s="130">
        <f t="shared" si="25"/>
        <v>0</v>
      </c>
      <c r="AI123" s="130">
        <f t="shared" si="25"/>
        <v>0</v>
      </c>
      <c r="AJ123" s="49" t="str">
        <f t="shared" si="7"/>
        <v>UNKNOWN</v>
      </c>
      <c r="AK123" s="62"/>
      <c r="AL123" s="62" t="str">
        <f t="shared" si="10"/>
        <v>34</v>
      </c>
      <c r="AM123" s="64" t="str">
        <f t="shared" si="11"/>
        <v>00</v>
      </c>
      <c r="AN123" s="64" t="str">
        <f t="shared" si="12"/>
        <v>00</v>
      </c>
      <c r="AO123" s="64" t="str">
        <f t="shared" si="13"/>
        <v>00</v>
      </c>
      <c r="AQ123" t="str">
        <f t="shared" si="8"/>
        <v xml:space="preserve">    (U4)0x00000034U,                                                           /* 52 UNKNOWN                                         */</v>
      </c>
    </row>
    <row r="124" spans="2:43">
      <c r="B124" s="138"/>
      <c r="C124" s="49">
        <f t="shared" si="9"/>
        <v>53</v>
      </c>
      <c r="D124" s="130">
        <f t="shared" si="25"/>
        <v>0</v>
      </c>
      <c r="E124" s="130">
        <f t="shared" si="25"/>
        <v>0</v>
      </c>
      <c r="F124" s="130">
        <f t="shared" si="25"/>
        <v>0</v>
      </c>
      <c r="G124" s="130">
        <f t="shared" si="25"/>
        <v>0</v>
      </c>
      <c r="H124" s="130">
        <f t="shared" si="25"/>
        <v>0</v>
      </c>
      <c r="I124" s="130">
        <f t="shared" si="25"/>
        <v>0</v>
      </c>
      <c r="J124" s="130">
        <f t="shared" si="25"/>
        <v>0</v>
      </c>
      <c r="K124" s="130">
        <f t="shared" si="25"/>
        <v>0</v>
      </c>
      <c r="L124" s="130">
        <f t="shared" si="25"/>
        <v>0</v>
      </c>
      <c r="M124" s="130">
        <f t="shared" si="25"/>
        <v>0</v>
      </c>
      <c r="N124" s="130">
        <f t="shared" si="25"/>
        <v>0</v>
      </c>
      <c r="O124" s="130">
        <f t="shared" si="25"/>
        <v>0</v>
      </c>
      <c r="P124" s="130">
        <f t="shared" si="25"/>
        <v>0</v>
      </c>
      <c r="Q124" s="130">
        <f t="shared" si="25"/>
        <v>0</v>
      </c>
      <c r="R124" s="130">
        <f t="shared" si="25"/>
        <v>0</v>
      </c>
      <c r="S124" s="130">
        <f t="shared" si="25"/>
        <v>0</v>
      </c>
      <c r="T124" s="130">
        <f t="shared" si="25"/>
        <v>0</v>
      </c>
      <c r="U124" s="130">
        <f t="shared" si="25"/>
        <v>0</v>
      </c>
      <c r="V124" s="130">
        <f t="shared" si="25"/>
        <v>0</v>
      </c>
      <c r="W124" s="130">
        <f t="shared" si="25"/>
        <v>0</v>
      </c>
      <c r="X124" s="130">
        <f t="shared" si="25"/>
        <v>0</v>
      </c>
      <c r="Y124" s="130">
        <f t="shared" si="25"/>
        <v>0</v>
      </c>
      <c r="Z124" s="130">
        <f t="shared" si="25"/>
        <v>0</v>
      </c>
      <c r="AA124" s="130">
        <f t="shared" si="25"/>
        <v>0</v>
      </c>
      <c r="AB124" s="130">
        <f t="shared" si="25"/>
        <v>0</v>
      </c>
      <c r="AC124" s="130">
        <f t="shared" si="25"/>
        <v>0</v>
      </c>
      <c r="AD124" s="130">
        <f t="shared" si="25"/>
        <v>1</v>
      </c>
      <c r="AE124" s="130">
        <f t="shared" si="25"/>
        <v>1</v>
      </c>
      <c r="AF124" s="130">
        <f t="shared" si="25"/>
        <v>0</v>
      </c>
      <c r="AG124" s="130">
        <f t="shared" si="25"/>
        <v>1</v>
      </c>
      <c r="AH124" s="130">
        <f t="shared" si="25"/>
        <v>0</v>
      </c>
      <c r="AI124" s="130">
        <f t="shared" si="25"/>
        <v>1</v>
      </c>
      <c r="AJ124" s="49" t="str">
        <f t="shared" si="7"/>
        <v>UNKNOWN</v>
      </c>
      <c r="AK124" s="62"/>
      <c r="AL124" s="62" t="str">
        <f t="shared" si="10"/>
        <v>35</v>
      </c>
      <c r="AM124" s="64" t="str">
        <f t="shared" si="11"/>
        <v>00</v>
      </c>
      <c r="AN124" s="64" t="str">
        <f t="shared" si="12"/>
        <v>00</v>
      </c>
      <c r="AO124" s="64" t="str">
        <f t="shared" si="13"/>
        <v>00</v>
      </c>
      <c r="AQ124" t="str">
        <f t="shared" si="8"/>
        <v xml:space="preserve">    (U4)0x00000035U,                                                           /* 53 UNKNOWN                                         */</v>
      </c>
    </row>
    <row r="125" spans="2:43">
      <c r="B125" s="138"/>
      <c r="C125" s="49">
        <f t="shared" si="9"/>
        <v>54</v>
      </c>
      <c r="D125" s="130">
        <f t="shared" si="25"/>
        <v>0</v>
      </c>
      <c r="E125" s="130">
        <f t="shared" si="25"/>
        <v>0</v>
      </c>
      <c r="F125" s="130">
        <f t="shared" si="25"/>
        <v>0</v>
      </c>
      <c r="G125" s="130">
        <f t="shared" si="25"/>
        <v>0</v>
      </c>
      <c r="H125" s="130">
        <f t="shared" si="25"/>
        <v>0</v>
      </c>
      <c r="I125" s="130">
        <f t="shared" si="25"/>
        <v>0</v>
      </c>
      <c r="J125" s="130">
        <f t="shared" si="25"/>
        <v>0</v>
      </c>
      <c r="K125" s="130">
        <f t="shared" si="25"/>
        <v>0</v>
      </c>
      <c r="L125" s="130">
        <f t="shared" si="25"/>
        <v>0</v>
      </c>
      <c r="M125" s="130">
        <f t="shared" si="25"/>
        <v>0</v>
      </c>
      <c r="N125" s="130">
        <f t="shared" si="25"/>
        <v>0</v>
      </c>
      <c r="O125" s="130">
        <f t="shared" si="25"/>
        <v>0</v>
      </c>
      <c r="P125" s="130">
        <f t="shared" si="25"/>
        <v>0</v>
      </c>
      <c r="Q125" s="130">
        <f t="shared" si="25"/>
        <v>0</v>
      </c>
      <c r="R125" s="130">
        <f t="shared" si="25"/>
        <v>0</v>
      </c>
      <c r="S125" s="130">
        <f t="shared" si="25"/>
        <v>0</v>
      </c>
      <c r="T125" s="130">
        <f t="shared" si="25"/>
        <v>0</v>
      </c>
      <c r="U125" s="130">
        <f t="shared" si="25"/>
        <v>0</v>
      </c>
      <c r="V125" s="130">
        <f t="shared" si="25"/>
        <v>0</v>
      </c>
      <c r="W125" s="130">
        <f t="shared" si="25"/>
        <v>0</v>
      </c>
      <c r="X125" s="130">
        <f t="shared" si="25"/>
        <v>0</v>
      </c>
      <c r="Y125" s="130">
        <f t="shared" si="25"/>
        <v>0</v>
      </c>
      <c r="Z125" s="130">
        <f t="shared" si="25"/>
        <v>0</v>
      </c>
      <c r="AA125" s="130">
        <f t="shared" si="25"/>
        <v>0</v>
      </c>
      <c r="AB125" s="130">
        <f t="shared" si="25"/>
        <v>0</v>
      </c>
      <c r="AC125" s="130">
        <f t="shared" si="25"/>
        <v>0</v>
      </c>
      <c r="AD125" s="130">
        <f t="shared" si="25"/>
        <v>1</v>
      </c>
      <c r="AE125" s="130">
        <f t="shared" si="25"/>
        <v>1</v>
      </c>
      <c r="AF125" s="130">
        <f t="shared" si="25"/>
        <v>0</v>
      </c>
      <c r="AG125" s="130">
        <f t="shared" si="25"/>
        <v>1</v>
      </c>
      <c r="AH125" s="130">
        <f t="shared" si="25"/>
        <v>1</v>
      </c>
      <c r="AI125" s="130">
        <f t="shared" si="25"/>
        <v>0</v>
      </c>
      <c r="AJ125" s="49" t="str">
        <f t="shared" si="7"/>
        <v>UNKNOWN</v>
      </c>
      <c r="AK125" s="62"/>
      <c r="AL125" s="62" t="str">
        <f t="shared" si="10"/>
        <v>36</v>
      </c>
      <c r="AM125" s="64" t="str">
        <f t="shared" si="11"/>
        <v>00</v>
      </c>
      <c r="AN125" s="64" t="str">
        <f t="shared" si="12"/>
        <v>00</v>
      </c>
      <c r="AO125" s="64" t="str">
        <f t="shared" si="13"/>
        <v>00</v>
      </c>
      <c r="AQ125" t="str">
        <f t="shared" si="8"/>
        <v xml:space="preserve">    (U4)0x00000036U,                                                           /* 54 UNKNOWN                                         */</v>
      </c>
    </row>
    <row r="126" spans="2:43">
      <c r="B126" s="138"/>
      <c r="C126" s="49">
        <f t="shared" si="9"/>
        <v>55</v>
      </c>
      <c r="D126" s="130">
        <f t="shared" si="25"/>
        <v>0</v>
      </c>
      <c r="E126" s="130">
        <f t="shared" si="25"/>
        <v>0</v>
      </c>
      <c r="F126" s="130">
        <f t="shared" si="25"/>
        <v>0</v>
      </c>
      <c r="G126" s="130">
        <f t="shared" si="25"/>
        <v>0</v>
      </c>
      <c r="H126" s="130">
        <f t="shared" si="25"/>
        <v>0</v>
      </c>
      <c r="I126" s="130">
        <f t="shared" si="25"/>
        <v>0</v>
      </c>
      <c r="J126" s="130">
        <f t="shared" si="25"/>
        <v>0</v>
      </c>
      <c r="K126" s="130">
        <f t="shared" si="25"/>
        <v>0</v>
      </c>
      <c r="L126" s="130">
        <f t="shared" si="25"/>
        <v>0</v>
      </c>
      <c r="M126" s="130">
        <f t="shared" si="25"/>
        <v>0</v>
      </c>
      <c r="N126" s="130">
        <f t="shared" si="25"/>
        <v>0</v>
      </c>
      <c r="O126" s="130">
        <f t="shared" si="25"/>
        <v>0</v>
      </c>
      <c r="P126" s="130">
        <f t="shared" si="25"/>
        <v>0</v>
      </c>
      <c r="Q126" s="130">
        <f t="shared" si="25"/>
        <v>0</v>
      </c>
      <c r="R126" s="130">
        <f t="shared" si="25"/>
        <v>0</v>
      </c>
      <c r="S126" s="130">
        <f t="shared" si="25"/>
        <v>0</v>
      </c>
      <c r="T126" s="130">
        <f t="shared" si="25"/>
        <v>0</v>
      </c>
      <c r="U126" s="130">
        <f t="shared" si="25"/>
        <v>0</v>
      </c>
      <c r="V126" s="130">
        <f t="shared" si="25"/>
        <v>0</v>
      </c>
      <c r="W126" s="130">
        <f t="shared" si="25"/>
        <v>0</v>
      </c>
      <c r="X126" s="130">
        <f t="shared" si="25"/>
        <v>0</v>
      </c>
      <c r="Y126" s="130">
        <f t="shared" si="25"/>
        <v>0</v>
      </c>
      <c r="Z126" s="130">
        <f t="shared" si="25"/>
        <v>0</v>
      </c>
      <c r="AA126" s="130">
        <f t="shared" si="25"/>
        <v>0</v>
      </c>
      <c r="AB126" s="130">
        <f t="shared" si="25"/>
        <v>0</v>
      </c>
      <c r="AC126" s="130">
        <f t="shared" si="25"/>
        <v>0</v>
      </c>
      <c r="AD126" s="130">
        <f t="shared" si="25"/>
        <v>1</v>
      </c>
      <c r="AE126" s="130">
        <f t="shared" si="25"/>
        <v>1</v>
      </c>
      <c r="AF126" s="130">
        <f t="shared" si="25"/>
        <v>0</v>
      </c>
      <c r="AG126" s="130">
        <f t="shared" si="25"/>
        <v>1</v>
      </c>
      <c r="AH126" s="130">
        <f t="shared" si="25"/>
        <v>1</v>
      </c>
      <c r="AI126" s="130">
        <f t="shared" ref="AI126" si="26">IF(AI61=1,1,0)</f>
        <v>1</v>
      </c>
      <c r="AJ126" s="49" t="str">
        <f t="shared" si="7"/>
        <v>UNKNOWN</v>
      </c>
      <c r="AK126" s="62"/>
      <c r="AL126" s="62" t="str">
        <f t="shared" si="10"/>
        <v>37</v>
      </c>
      <c r="AM126" s="64" t="str">
        <f t="shared" si="11"/>
        <v>00</v>
      </c>
      <c r="AN126" s="64" t="str">
        <f t="shared" si="12"/>
        <v>00</v>
      </c>
      <c r="AO126" s="64" t="str">
        <f t="shared" si="13"/>
        <v>00</v>
      </c>
      <c r="AQ126" t="str">
        <f t="shared" si="8"/>
        <v xml:space="preserve">    (U4)0x00000037U,                                                           /* 55 UNKNOWN                                         */</v>
      </c>
    </row>
    <row r="127" spans="2:43">
      <c r="B127" s="138"/>
      <c r="C127" s="49">
        <f t="shared" si="9"/>
        <v>56</v>
      </c>
      <c r="D127" s="130">
        <f t="shared" ref="D127:AI134" si="27">IF(D62=1,1,0)</f>
        <v>0</v>
      </c>
      <c r="E127" s="130">
        <f t="shared" si="27"/>
        <v>0</v>
      </c>
      <c r="F127" s="130">
        <f t="shared" si="27"/>
        <v>0</v>
      </c>
      <c r="G127" s="130">
        <f t="shared" si="27"/>
        <v>0</v>
      </c>
      <c r="H127" s="130">
        <f t="shared" si="27"/>
        <v>0</v>
      </c>
      <c r="I127" s="130">
        <f t="shared" si="27"/>
        <v>0</v>
      </c>
      <c r="J127" s="130">
        <f t="shared" si="27"/>
        <v>0</v>
      </c>
      <c r="K127" s="130">
        <f t="shared" si="27"/>
        <v>0</v>
      </c>
      <c r="L127" s="130">
        <f t="shared" si="27"/>
        <v>0</v>
      </c>
      <c r="M127" s="130">
        <f t="shared" si="27"/>
        <v>0</v>
      </c>
      <c r="N127" s="130">
        <f t="shared" si="27"/>
        <v>0</v>
      </c>
      <c r="O127" s="130">
        <f t="shared" si="27"/>
        <v>0</v>
      </c>
      <c r="P127" s="130">
        <f t="shared" si="27"/>
        <v>0</v>
      </c>
      <c r="Q127" s="130">
        <f t="shared" si="27"/>
        <v>0</v>
      </c>
      <c r="R127" s="130">
        <f t="shared" si="27"/>
        <v>0</v>
      </c>
      <c r="S127" s="130">
        <f t="shared" si="27"/>
        <v>0</v>
      </c>
      <c r="T127" s="130">
        <f t="shared" si="27"/>
        <v>0</v>
      </c>
      <c r="U127" s="130">
        <f t="shared" si="27"/>
        <v>0</v>
      </c>
      <c r="V127" s="130">
        <f t="shared" si="27"/>
        <v>0</v>
      </c>
      <c r="W127" s="130">
        <f t="shared" si="27"/>
        <v>0</v>
      </c>
      <c r="X127" s="130">
        <f t="shared" si="27"/>
        <v>0</v>
      </c>
      <c r="Y127" s="130">
        <f t="shared" si="27"/>
        <v>0</v>
      </c>
      <c r="Z127" s="130">
        <f t="shared" si="27"/>
        <v>0</v>
      </c>
      <c r="AA127" s="130">
        <f t="shared" si="27"/>
        <v>0</v>
      </c>
      <c r="AB127" s="130">
        <f t="shared" si="27"/>
        <v>0</v>
      </c>
      <c r="AC127" s="130">
        <f t="shared" si="27"/>
        <v>0</v>
      </c>
      <c r="AD127" s="130">
        <f t="shared" si="27"/>
        <v>1</v>
      </c>
      <c r="AE127" s="130">
        <f t="shared" si="27"/>
        <v>1</v>
      </c>
      <c r="AF127" s="130">
        <f t="shared" si="27"/>
        <v>1</v>
      </c>
      <c r="AG127" s="130">
        <f t="shared" si="27"/>
        <v>0</v>
      </c>
      <c r="AH127" s="130">
        <f t="shared" si="27"/>
        <v>0</v>
      </c>
      <c r="AI127" s="130">
        <f t="shared" si="27"/>
        <v>0</v>
      </c>
      <c r="AJ127" s="49" t="str">
        <f t="shared" si="7"/>
        <v>UNKNOWN</v>
      </c>
      <c r="AK127" s="62"/>
      <c r="AL127" s="62" t="str">
        <f t="shared" si="10"/>
        <v>38</v>
      </c>
      <c r="AM127" s="64" t="str">
        <f t="shared" si="11"/>
        <v>00</v>
      </c>
      <c r="AN127" s="64" t="str">
        <f t="shared" si="12"/>
        <v>00</v>
      </c>
      <c r="AO127" s="64" t="str">
        <f t="shared" si="13"/>
        <v>00</v>
      </c>
      <c r="AQ127" t="str">
        <f t="shared" si="8"/>
        <v xml:space="preserve">    (U4)0x00000038U,                                                           /* 56 UNKNOWN                                         */</v>
      </c>
    </row>
    <row r="128" spans="2:43">
      <c r="B128" s="138"/>
      <c r="C128" s="49">
        <f t="shared" si="9"/>
        <v>57</v>
      </c>
      <c r="D128" s="130">
        <f t="shared" si="27"/>
        <v>0</v>
      </c>
      <c r="E128" s="130">
        <f t="shared" si="27"/>
        <v>0</v>
      </c>
      <c r="F128" s="130">
        <f t="shared" si="27"/>
        <v>0</v>
      </c>
      <c r="G128" s="130">
        <f t="shared" si="27"/>
        <v>0</v>
      </c>
      <c r="H128" s="130">
        <f t="shared" si="27"/>
        <v>0</v>
      </c>
      <c r="I128" s="130">
        <f t="shared" si="27"/>
        <v>0</v>
      </c>
      <c r="J128" s="130">
        <f t="shared" si="27"/>
        <v>0</v>
      </c>
      <c r="K128" s="130">
        <f t="shared" si="27"/>
        <v>0</v>
      </c>
      <c r="L128" s="130">
        <f t="shared" si="27"/>
        <v>0</v>
      </c>
      <c r="M128" s="130">
        <f t="shared" si="27"/>
        <v>0</v>
      </c>
      <c r="N128" s="130">
        <f t="shared" si="27"/>
        <v>0</v>
      </c>
      <c r="O128" s="130">
        <f t="shared" si="27"/>
        <v>0</v>
      </c>
      <c r="P128" s="130">
        <f t="shared" si="27"/>
        <v>0</v>
      </c>
      <c r="Q128" s="130">
        <f t="shared" si="27"/>
        <v>0</v>
      </c>
      <c r="R128" s="130">
        <f t="shared" si="27"/>
        <v>0</v>
      </c>
      <c r="S128" s="130">
        <f t="shared" si="27"/>
        <v>0</v>
      </c>
      <c r="T128" s="130">
        <f t="shared" si="27"/>
        <v>0</v>
      </c>
      <c r="U128" s="130">
        <f t="shared" si="27"/>
        <v>0</v>
      </c>
      <c r="V128" s="130">
        <f t="shared" si="27"/>
        <v>0</v>
      </c>
      <c r="W128" s="130">
        <f t="shared" si="27"/>
        <v>0</v>
      </c>
      <c r="X128" s="130">
        <f t="shared" si="27"/>
        <v>0</v>
      </c>
      <c r="Y128" s="130">
        <f t="shared" si="27"/>
        <v>0</v>
      </c>
      <c r="Z128" s="130">
        <f t="shared" si="27"/>
        <v>0</v>
      </c>
      <c r="AA128" s="130">
        <f t="shared" si="27"/>
        <v>0</v>
      </c>
      <c r="AB128" s="130">
        <f t="shared" si="27"/>
        <v>0</v>
      </c>
      <c r="AC128" s="130">
        <f t="shared" si="27"/>
        <v>0</v>
      </c>
      <c r="AD128" s="130">
        <f t="shared" si="27"/>
        <v>1</v>
      </c>
      <c r="AE128" s="130">
        <f t="shared" si="27"/>
        <v>1</v>
      </c>
      <c r="AF128" s="130">
        <f t="shared" si="27"/>
        <v>1</v>
      </c>
      <c r="AG128" s="130">
        <f t="shared" si="27"/>
        <v>0</v>
      </c>
      <c r="AH128" s="130">
        <f t="shared" si="27"/>
        <v>0</v>
      </c>
      <c r="AI128" s="130">
        <f t="shared" si="27"/>
        <v>1</v>
      </c>
      <c r="AJ128" s="49" t="str">
        <f t="shared" si="7"/>
        <v>UNKNOWN</v>
      </c>
      <c r="AK128" s="62"/>
      <c r="AL128" s="62" t="str">
        <f t="shared" si="10"/>
        <v>39</v>
      </c>
      <c r="AM128" s="64" t="str">
        <f t="shared" si="11"/>
        <v>00</v>
      </c>
      <c r="AN128" s="64" t="str">
        <f t="shared" si="12"/>
        <v>00</v>
      </c>
      <c r="AO128" s="64" t="str">
        <f t="shared" si="13"/>
        <v>00</v>
      </c>
      <c r="AQ128" t="str">
        <f t="shared" si="8"/>
        <v xml:space="preserve">    (U4)0x00000039U,                                                           /* 57 UNKNOWN                                         */</v>
      </c>
    </row>
    <row r="129" spans="1:43">
      <c r="B129" s="138"/>
      <c r="C129" s="49">
        <f t="shared" si="9"/>
        <v>58</v>
      </c>
      <c r="D129" s="130">
        <f t="shared" si="27"/>
        <v>0</v>
      </c>
      <c r="E129" s="130">
        <f t="shared" si="27"/>
        <v>0</v>
      </c>
      <c r="F129" s="130">
        <f t="shared" si="27"/>
        <v>0</v>
      </c>
      <c r="G129" s="130">
        <f t="shared" si="27"/>
        <v>0</v>
      </c>
      <c r="H129" s="130">
        <f t="shared" si="27"/>
        <v>0</v>
      </c>
      <c r="I129" s="130">
        <f t="shared" si="27"/>
        <v>0</v>
      </c>
      <c r="J129" s="130">
        <f t="shared" si="27"/>
        <v>0</v>
      </c>
      <c r="K129" s="130">
        <f t="shared" si="27"/>
        <v>0</v>
      </c>
      <c r="L129" s="130">
        <f t="shared" si="27"/>
        <v>0</v>
      </c>
      <c r="M129" s="130">
        <f t="shared" si="27"/>
        <v>0</v>
      </c>
      <c r="N129" s="130">
        <f t="shared" si="27"/>
        <v>0</v>
      </c>
      <c r="O129" s="130">
        <f t="shared" si="27"/>
        <v>0</v>
      </c>
      <c r="P129" s="130">
        <f t="shared" si="27"/>
        <v>0</v>
      </c>
      <c r="Q129" s="130">
        <f t="shared" si="27"/>
        <v>0</v>
      </c>
      <c r="R129" s="130">
        <f t="shared" si="27"/>
        <v>0</v>
      </c>
      <c r="S129" s="130">
        <f t="shared" si="27"/>
        <v>0</v>
      </c>
      <c r="T129" s="130">
        <f t="shared" si="27"/>
        <v>0</v>
      </c>
      <c r="U129" s="130">
        <f t="shared" si="27"/>
        <v>0</v>
      </c>
      <c r="V129" s="130">
        <f t="shared" si="27"/>
        <v>0</v>
      </c>
      <c r="W129" s="130">
        <f t="shared" si="27"/>
        <v>0</v>
      </c>
      <c r="X129" s="130">
        <f t="shared" si="27"/>
        <v>0</v>
      </c>
      <c r="Y129" s="130">
        <f t="shared" si="27"/>
        <v>0</v>
      </c>
      <c r="Z129" s="130">
        <f t="shared" si="27"/>
        <v>0</v>
      </c>
      <c r="AA129" s="130">
        <f t="shared" si="27"/>
        <v>0</v>
      </c>
      <c r="AB129" s="130">
        <f t="shared" si="27"/>
        <v>0</v>
      </c>
      <c r="AC129" s="130">
        <f t="shared" si="27"/>
        <v>0</v>
      </c>
      <c r="AD129" s="130">
        <f t="shared" si="27"/>
        <v>1</v>
      </c>
      <c r="AE129" s="130">
        <f t="shared" si="27"/>
        <v>1</v>
      </c>
      <c r="AF129" s="130">
        <f t="shared" si="27"/>
        <v>1</v>
      </c>
      <c r="AG129" s="130">
        <f t="shared" si="27"/>
        <v>0</v>
      </c>
      <c r="AH129" s="130">
        <f t="shared" si="27"/>
        <v>1</v>
      </c>
      <c r="AI129" s="130">
        <f t="shared" si="27"/>
        <v>0</v>
      </c>
      <c r="AJ129" s="49" t="str">
        <f t="shared" si="7"/>
        <v>UNKNOWN</v>
      </c>
      <c r="AK129" s="62"/>
      <c r="AL129" s="62" t="str">
        <f t="shared" si="10"/>
        <v>3A</v>
      </c>
      <c r="AM129" s="64" t="str">
        <f t="shared" si="11"/>
        <v>00</v>
      </c>
      <c r="AN129" s="64" t="str">
        <f t="shared" si="12"/>
        <v>00</v>
      </c>
      <c r="AO129" s="64" t="str">
        <f t="shared" si="13"/>
        <v>00</v>
      </c>
      <c r="AQ129" t="str">
        <f t="shared" si="8"/>
        <v xml:space="preserve">    (U4)0x0000003AU,                                                           /* 58 UNKNOWN                                         */</v>
      </c>
    </row>
    <row r="130" spans="1:43">
      <c r="B130" s="138"/>
      <c r="C130" s="49">
        <f t="shared" si="9"/>
        <v>59</v>
      </c>
      <c r="D130" s="130">
        <f t="shared" si="27"/>
        <v>0</v>
      </c>
      <c r="E130" s="130">
        <f t="shared" si="27"/>
        <v>0</v>
      </c>
      <c r="F130" s="130">
        <f t="shared" si="27"/>
        <v>0</v>
      </c>
      <c r="G130" s="130">
        <f t="shared" si="27"/>
        <v>0</v>
      </c>
      <c r="H130" s="130">
        <f t="shared" si="27"/>
        <v>0</v>
      </c>
      <c r="I130" s="130">
        <f t="shared" si="27"/>
        <v>0</v>
      </c>
      <c r="J130" s="130">
        <f t="shared" si="27"/>
        <v>0</v>
      </c>
      <c r="K130" s="130">
        <f t="shared" si="27"/>
        <v>0</v>
      </c>
      <c r="L130" s="130">
        <f t="shared" si="27"/>
        <v>0</v>
      </c>
      <c r="M130" s="130">
        <f t="shared" si="27"/>
        <v>0</v>
      </c>
      <c r="N130" s="130">
        <f t="shared" si="27"/>
        <v>0</v>
      </c>
      <c r="O130" s="130">
        <f t="shared" si="27"/>
        <v>0</v>
      </c>
      <c r="P130" s="130">
        <f t="shared" si="27"/>
        <v>0</v>
      </c>
      <c r="Q130" s="130">
        <f t="shared" si="27"/>
        <v>0</v>
      </c>
      <c r="R130" s="130">
        <f t="shared" si="27"/>
        <v>0</v>
      </c>
      <c r="S130" s="130">
        <f t="shared" si="27"/>
        <v>0</v>
      </c>
      <c r="T130" s="130">
        <f t="shared" si="27"/>
        <v>0</v>
      </c>
      <c r="U130" s="130">
        <f t="shared" si="27"/>
        <v>0</v>
      </c>
      <c r="V130" s="130">
        <f t="shared" si="27"/>
        <v>0</v>
      </c>
      <c r="W130" s="130">
        <f t="shared" si="27"/>
        <v>0</v>
      </c>
      <c r="X130" s="130">
        <f t="shared" si="27"/>
        <v>0</v>
      </c>
      <c r="Y130" s="130">
        <f t="shared" si="27"/>
        <v>0</v>
      </c>
      <c r="Z130" s="130">
        <f t="shared" si="27"/>
        <v>0</v>
      </c>
      <c r="AA130" s="130">
        <f t="shared" si="27"/>
        <v>0</v>
      </c>
      <c r="AB130" s="130">
        <f t="shared" si="27"/>
        <v>0</v>
      </c>
      <c r="AC130" s="130">
        <f t="shared" si="27"/>
        <v>0</v>
      </c>
      <c r="AD130" s="130">
        <f t="shared" si="27"/>
        <v>1</v>
      </c>
      <c r="AE130" s="130">
        <f t="shared" si="27"/>
        <v>1</v>
      </c>
      <c r="AF130" s="130">
        <f t="shared" si="27"/>
        <v>1</v>
      </c>
      <c r="AG130" s="130">
        <f t="shared" si="27"/>
        <v>0</v>
      </c>
      <c r="AH130" s="130">
        <f t="shared" si="27"/>
        <v>1</v>
      </c>
      <c r="AI130" s="130">
        <f t="shared" si="27"/>
        <v>1</v>
      </c>
      <c r="AJ130" s="49" t="str">
        <f t="shared" si="7"/>
        <v>UNKNOWN</v>
      </c>
      <c r="AK130" s="62"/>
      <c r="AL130" s="62" t="str">
        <f t="shared" si="10"/>
        <v>3B</v>
      </c>
      <c r="AM130" s="64" t="str">
        <f t="shared" si="11"/>
        <v>00</v>
      </c>
      <c r="AN130" s="64" t="str">
        <f t="shared" si="12"/>
        <v>00</v>
      </c>
      <c r="AO130" s="64" t="str">
        <f t="shared" si="13"/>
        <v>00</v>
      </c>
      <c r="AQ130" t="str">
        <f t="shared" si="8"/>
        <v xml:space="preserve">    (U4)0x0000003BU,                                                           /* 59 UNKNOWN                                         */</v>
      </c>
    </row>
    <row r="131" spans="1:43">
      <c r="B131" s="138"/>
      <c r="C131" s="49">
        <f t="shared" si="9"/>
        <v>60</v>
      </c>
      <c r="D131" s="130">
        <f t="shared" si="27"/>
        <v>0</v>
      </c>
      <c r="E131" s="130">
        <f t="shared" si="27"/>
        <v>0</v>
      </c>
      <c r="F131" s="130">
        <f t="shared" si="27"/>
        <v>0</v>
      </c>
      <c r="G131" s="130">
        <f t="shared" si="27"/>
        <v>0</v>
      </c>
      <c r="H131" s="130">
        <f t="shared" si="27"/>
        <v>0</v>
      </c>
      <c r="I131" s="130">
        <f t="shared" si="27"/>
        <v>0</v>
      </c>
      <c r="J131" s="130">
        <f t="shared" si="27"/>
        <v>0</v>
      </c>
      <c r="K131" s="130">
        <f t="shared" si="27"/>
        <v>0</v>
      </c>
      <c r="L131" s="130">
        <f t="shared" si="27"/>
        <v>0</v>
      </c>
      <c r="M131" s="130">
        <f t="shared" si="27"/>
        <v>0</v>
      </c>
      <c r="N131" s="130">
        <f t="shared" si="27"/>
        <v>0</v>
      </c>
      <c r="O131" s="130">
        <f t="shared" si="27"/>
        <v>0</v>
      </c>
      <c r="P131" s="130">
        <f t="shared" si="27"/>
        <v>0</v>
      </c>
      <c r="Q131" s="130">
        <f t="shared" si="27"/>
        <v>0</v>
      </c>
      <c r="R131" s="130">
        <f t="shared" si="27"/>
        <v>0</v>
      </c>
      <c r="S131" s="130">
        <f t="shared" si="27"/>
        <v>0</v>
      </c>
      <c r="T131" s="130">
        <f t="shared" si="27"/>
        <v>0</v>
      </c>
      <c r="U131" s="130">
        <f t="shared" si="27"/>
        <v>0</v>
      </c>
      <c r="V131" s="130">
        <f t="shared" si="27"/>
        <v>0</v>
      </c>
      <c r="W131" s="130">
        <f t="shared" si="27"/>
        <v>0</v>
      </c>
      <c r="X131" s="130">
        <f t="shared" si="27"/>
        <v>0</v>
      </c>
      <c r="Y131" s="130">
        <f t="shared" si="27"/>
        <v>0</v>
      </c>
      <c r="Z131" s="130">
        <f t="shared" si="27"/>
        <v>0</v>
      </c>
      <c r="AA131" s="130">
        <f t="shared" si="27"/>
        <v>0</v>
      </c>
      <c r="AB131" s="130">
        <f t="shared" si="27"/>
        <v>0</v>
      </c>
      <c r="AC131" s="130">
        <f t="shared" si="27"/>
        <v>0</v>
      </c>
      <c r="AD131" s="130">
        <f t="shared" si="27"/>
        <v>1</v>
      </c>
      <c r="AE131" s="130">
        <f t="shared" si="27"/>
        <v>1</v>
      </c>
      <c r="AF131" s="130">
        <f t="shared" si="27"/>
        <v>1</v>
      </c>
      <c r="AG131" s="130">
        <f t="shared" si="27"/>
        <v>1</v>
      </c>
      <c r="AH131" s="130">
        <f t="shared" si="27"/>
        <v>0</v>
      </c>
      <c r="AI131" s="130">
        <f t="shared" si="27"/>
        <v>0</v>
      </c>
      <c r="AJ131" s="49" t="str">
        <f t="shared" si="7"/>
        <v>UNKNOWN</v>
      </c>
      <c r="AK131" s="62"/>
      <c r="AL131" s="62" t="str">
        <f t="shared" si="10"/>
        <v>3C</v>
      </c>
      <c r="AM131" s="64" t="str">
        <f t="shared" si="11"/>
        <v>00</v>
      </c>
      <c r="AN131" s="64" t="str">
        <f t="shared" si="12"/>
        <v>00</v>
      </c>
      <c r="AO131" s="64" t="str">
        <f t="shared" si="13"/>
        <v>00</v>
      </c>
      <c r="AQ131" t="str">
        <f t="shared" si="8"/>
        <v xml:space="preserve">    (U4)0x0000003CU,                                                           /* 60 UNKNOWN                                         */</v>
      </c>
    </row>
    <row r="132" spans="1:43">
      <c r="B132" s="138"/>
      <c r="C132" s="49">
        <f t="shared" si="9"/>
        <v>61</v>
      </c>
      <c r="D132" s="130">
        <f t="shared" si="27"/>
        <v>0</v>
      </c>
      <c r="E132" s="130">
        <f t="shared" si="27"/>
        <v>0</v>
      </c>
      <c r="F132" s="130">
        <f t="shared" si="27"/>
        <v>0</v>
      </c>
      <c r="G132" s="130">
        <f t="shared" si="27"/>
        <v>0</v>
      </c>
      <c r="H132" s="130">
        <f t="shared" si="27"/>
        <v>0</v>
      </c>
      <c r="I132" s="130">
        <f t="shared" si="27"/>
        <v>0</v>
      </c>
      <c r="J132" s="130">
        <f t="shared" si="27"/>
        <v>0</v>
      </c>
      <c r="K132" s="130">
        <f t="shared" si="27"/>
        <v>0</v>
      </c>
      <c r="L132" s="130">
        <f t="shared" si="27"/>
        <v>0</v>
      </c>
      <c r="M132" s="130">
        <f t="shared" si="27"/>
        <v>0</v>
      </c>
      <c r="N132" s="130">
        <f t="shared" si="27"/>
        <v>0</v>
      </c>
      <c r="O132" s="130">
        <f t="shared" si="27"/>
        <v>0</v>
      </c>
      <c r="P132" s="130">
        <f t="shared" si="27"/>
        <v>0</v>
      </c>
      <c r="Q132" s="130">
        <f t="shared" si="27"/>
        <v>0</v>
      </c>
      <c r="R132" s="130">
        <f t="shared" si="27"/>
        <v>0</v>
      </c>
      <c r="S132" s="130">
        <f t="shared" si="27"/>
        <v>0</v>
      </c>
      <c r="T132" s="130">
        <f t="shared" si="27"/>
        <v>0</v>
      </c>
      <c r="U132" s="130">
        <f t="shared" si="27"/>
        <v>0</v>
      </c>
      <c r="V132" s="130">
        <f t="shared" si="27"/>
        <v>0</v>
      </c>
      <c r="W132" s="130">
        <f t="shared" si="27"/>
        <v>0</v>
      </c>
      <c r="X132" s="130">
        <f t="shared" si="27"/>
        <v>0</v>
      </c>
      <c r="Y132" s="130">
        <f t="shared" si="27"/>
        <v>0</v>
      </c>
      <c r="Z132" s="130">
        <f t="shared" si="27"/>
        <v>0</v>
      </c>
      <c r="AA132" s="130">
        <f t="shared" si="27"/>
        <v>0</v>
      </c>
      <c r="AB132" s="130">
        <f t="shared" si="27"/>
        <v>0</v>
      </c>
      <c r="AC132" s="130">
        <f t="shared" si="27"/>
        <v>0</v>
      </c>
      <c r="AD132" s="130">
        <f t="shared" si="27"/>
        <v>1</v>
      </c>
      <c r="AE132" s="130">
        <f t="shared" si="27"/>
        <v>1</v>
      </c>
      <c r="AF132" s="130">
        <f t="shared" si="27"/>
        <v>1</v>
      </c>
      <c r="AG132" s="130">
        <f t="shared" si="27"/>
        <v>1</v>
      </c>
      <c r="AH132" s="130">
        <f t="shared" si="27"/>
        <v>0</v>
      </c>
      <c r="AI132" s="130">
        <f t="shared" si="27"/>
        <v>1</v>
      </c>
      <c r="AJ132" s="49" t="str">
        <f t="shared" si="7"/>
        <v>UNKNOWN</v>
      </c>
      <c r="AK132" s="62"/>
      <c r="AL132" s="62" t="str">
        <f t="shared" si="10"/>
        <v>3D</v>
      </c>
      <c r="AM132" s="64" t="str">
        <f t="shared" si="11"/>
        <v>00</v>
      </c>
      <c r="AN132" s="64" t="str">
        <f t="shared" si="12"/>
        <v>00</v>
      </c>
      <c r="AO132" s="64" t="str">
        <f t="shared" si="13"/>
        <v>00</v>
      </c>
      <c r="AQ132" t="str">
        <f t="shared" si="8"/>
        <v xml:space="preserve">    (U4)0x0000003DU,                                                           /* 61 UNKNOWN                                         */</v>
      </c>
    </row>
    <row r="133" spans="1:43">
      <c r="B133" s="138"/>
      <c r="C133" s="49">
        <f t="shared" si="9"/>
        <v>62</v>
      </c>
      <c r="D133" s="130">
        <f t="shared" si="27"/>
        <v>0</v>
      </c>
      <c r="E133" s="130">
        <f t="shared" si="27"/>
        <v>0</v>
      </c>
      <c r="F133" s="130">
        <f t="shared" si="27"/>
        <v>0</v>
      </c>
      <c r="G133" s="130">
        <f t="shared" si="27"/>
        <v>0</v>
      </c>
      <c r="H133" s="130">
        <f t="shared" si="27"/>
        <v>0</v>
      </c>
      <c r="I133" s="130">
        <f t="shared" si="27"/>
        <v>0</v>
      </c>
      <c r="J133" s="130">
        <f t="shared" si="27"/>
        <v>0</v>
      </c>
      <c r="K133" s="130">
        <f t="shared" si="27"/>
        <v>0</v>
      </c>
      <c r="L133" s="130">
        <f t="shared" si="27"/>
        <v>0</v>
      </c>
      <c r="M133" s="130">
        <f t="shared" si="27"/>
        <v>0</v>
      </c>
      <c r="N133" s="130">
        <f t="shared" si="27"/>
        <v>0</v>
      </c>
      <c r="O133" s="130">
        <f t="shared" si="27"/>
        <v>0</v>
      </c>
      <c r="P133" s="130">
        <f t="shared" si="27"/>
        <v>0</v>
      </c>
      <c r="Q133" s="130">
        <f t="shared" si="27"/>
        <v>0</v>
      </c>
      <c r="R133" s="130">
        <f t="shared" si="27"/>
        <v>0</v>
      </c>
      <c r="S133" s="130">
        <f t="shared" si="27"/>
        <v>0</v>
      </c>
      <c r="T133" s="130">
        <f t="shared" si="27"/>
        <v>0</v>
      </c>
      <c r="U133" s="130">
        <f t="shared" si="27"/>
        <v>0</v>
      </c>
      <c r="V133" s="130">
        <f t="shared" si="27"/>
        <v>0</v>
      </c>
      <c r="W133" s="130">
        <f t="shared" si="27"/>
        <v>0</v>
      </c>
      <c r="X133" s="130">
        <f t="shared" si="27"/>
        <v>0</v>
      </c>
      <c r="Y133" s="130">
        <f t="shared" si="27"/>
        <v>0</v>
      </c>
      <c r="Z133" s="130">
        <f t="shared" si="27"/>
        <v>0</v>
      </c>
      <c r="AA133" s="130">
        <f t="shared" si="27"/>
        <v>0</v>
      </c>
      <c r="AB133" s="130">
        <f t="shared" si="27"/>
        <v>0</v>
      </c>
      <c r="AC133" s="130">
        <f t="shared" si="27"/>
        <v>0</v>
      </c>
      <c r="AD133" s="130">
        <f t="shared" si="27"/>
        <v>1</v>
      </c>
      <c r="AE133" s="130">
        <f t="shared" si="27"/>
        <v>1</v>
      </c>
      <c r="AF133" s="130">
        <f t="shared" si="27"/>
        <v>1</v>
      </c>
      <c r="AG133" s="130">
        <f t="shared" si="27"/>
        <v>1</v>
      </c>
      <c r="AH133" s="130">
        <f t="shared" si="27"/>
        <v>1</v>
      </c>
      <c r="AI133" s="130">
        <f t="shared" si="27"/>
        <v>0</v>
      </c>
      <c r="AJ133" s="49" t="str">
        <f t="shared" si="7"/>
        <v>UNKNOWN</v>
      </c>
      <c r="AK133" s="62"/>
      <c r="AL133" s="62" t="str">
        <f t="shared" si="10"/>
        <v>3E</v>
      </c>
      <c r="AM133" s="64" t="str">
        <f t="shared" si="11"/>
        <v>00</v>
      </c>
      <c r="AN133" s="64" t="str">
        <f t="shared" si="12"/>
        <v>00</v>
      </c>
      <c r="AO133" s="64" t="str">
        <f t="shared" si="13"/>
        <v>00</v>
      </c>
      <c r="AQ133" t="str">
        <f t="shared" si="8"/>
        <v xml:space="preserve">    (U4)0x0000003EU,                                                           /* 62 UNKNOWN                                         */</v>
      </c>
    </row>
    <row r="134" spans="1:43">
      <c r="B134" s="139"/>
      <c r="C134" s="49">
        <f t="shared" si="9"/>
        <v>63</v>
      </c>
      <c r="D134" s="130">
        <f t="shared" si="27"/>
        <v>0</v>
      </c>
      <c r="E134" s="130">
        <f t="shared" si="27"/>
        <v>0</v>
      </c>
      <c r="F134" s="130">
        <f t="shared" si="27"/>
        <v>0</v>
      </c>
      <c r="G134" s="130">
        <f t="shared" si="27"/>
        <v>0</v>
      </c>
      <c r="H134" s="130">
        <f t="shared" si="27"/>
        <v>0</v>
      </c>
      <c r="I134" s="130">
        <f t="shared" si="27"/>
        <v>0</v>
      </c>
      <c r="J134" s="130">
        <f t="shared" si="27"/>
        <v>0</v>
      </c>
      <c r="K134" s="130">
        <f t="shared" si="27"/>
        <v>0</v>
      </c>
      <c r="L134" s="130">
        <f t="shared" si="27"/>
        <v>0</v>
      </c>
      <c r="M134" s="130">
        <f t="shared" si="27"/>
        <v>0</v>
      </c>
      <c r="N134" s="130">
        <f t="shared" si="27"/>
        <v>0</v>
      </c>
      <c r="O134" s="130">
        <f t="shared" si="27"/>
        <v>0</v>
      </c>
      <c r="P134" s="130">
        <f t="shared" si="27"/>
        <v>0</v>
      </c>
      <c r="Q134" s="130">
        <f t="shared" si="27"/>
        <v>0</v>
      </c>
      <c r="R134" s="130">
        <f t="shared" si="27"/>
        <v>0</v>
      </c>
      <c r="S134" s="130">
        <f t="shared" si="27"/>
        <v>0</v>
      </c>
      <c r="T134" s="130">
        <f t="shared" si="27"/>
        <v>0</v>
      </c>
      <c r="U134" s="130">
        <f t="shared" si="27"/>
        <v>0</v>
      </c>
      <c r="V134" s="130">
        <f t="shared" si="27"/>
        <v>0</v>
      </c>
      <c r="W134" s="130">
        <f t="shared" si="27"/>
        <v>0</v>
      </c>
      <c r="X134" s="130">
        <f t="shared" si="27"/>
        <v>0</v>
      </c>
      <c r="Y134" s="130">
        <f t="shared" si="27"/>
        <v>0</v>
      </c>
      <c r="Z134" s="130">
        <f t="shared" si="27"/>
        <v>0</v>
      </c>
      <c r="AA134" s="130">
        <f t="shared" si="27"/>
        <v>0</v>
      </c>
      <c r="AB134" s="130">
        <f t="shared" si="27"/>
        <v>0</v>
      </c>
      <c r="AC134" s="130">
        <f t="shared" si="27"/>
        <v>0</v>
      </c>
      <c r="AD134" s="130">
        <f t="shared" si="27"/>
        <v>1</v>
      </c>
      <c r="AE134" s="130">
        <f t="shared" si="27"/>
        <v>1</v>
      </c>
      <c r="AF134" s="130">
        <f t="shared" si="27"/>
        <v>1</v>
      </c>
      <c r="AG134" s="130">
        <f t="shared" si="27"/>
        <v>1</v>
      </c>
      <c r="AH134" s="130">
        <f t="shared" si="27"/>
        <v>1</v>
      </c>
      <c r="AI134" s="130">
        <f t="shared" ref="AI134" si="28">IF(AI69=1,1,0)</f>
        <v>1</v>
      </c>
      <c r="AJ134" s="49" t="str">
        <f t="shared" si="7"/>
        <v>UNKNOWN</v>
      </c>
      <c r="AK134" s="62"/>
      <c r="AL134" s="62" t="str">
        <f t="shared" si="10"/>
        <v>3F</v>
      </c>
      <c r="AM134" s="64" t="str">
        <f t="shared" si="11"/>
        <v>00</v>
      </c>
      <c r="AN134" s="64" t="str">
        <f t="shared" si="12"/>
        <v>00</v>
      </c>
      <c r="AO134" s="64" t="str">
        <f t="shared" si="13"/>
        <v>00</v>
      </c>
      <c r="AQ134" t="str">
        <f t="shared" si="8"/>
        <v xml:space="preserve">    (U4)0x0000003FU                                                            /* 63 UNKNOWN                                         */</v>
      </c>
    </row>
    <row r="135" spans="1:43">
      <c r="A135" s="58" t="s">
        <v>65</v>
      </c>
      <c r="B135" s="59"/>
      <c r="C135" s="59"/>
      <c r="D135" s="61"/>
      <c r="E135" s="61"/>
      <c r="F135" s="61"/>
      <c r="G135" s="61"/>
      <c r="H135" s="61"/>
      <c r="I135" s="61"/>
      <c r="J135" s="61"/>
      <c r="K135" s="61"/>
      <c r="L135" s="61"/>
      <c r="M135" s="61"/>
      <c r="N135" s="61"/>
      <c r="O135" s="61"/>
      <c r="P135" s="61"/>
      <c r="Q135" s="61"/>
      <c r="R135" s="61"/>
      <c r="S135" s="61"/>
      <c r="T135" s="61"/>
      <c r="U135" s="61"/>
      <c r="V135" s="61"/>
      <c r="W135" s="61"/>
      <c r="X135" s="61"/>
      <c r="Y135" s="61"/>
      <c r="Z135" s="61"/>
      <c r="AA135" s="61"/>
      <c r="AB135" s="61"/>
      <c r="AC135" s="61"/>
      <c r="AD135" s="61"/>
      <c r="AE135" s="61"/>
      <c r="AF135" s="61"/>
      <c r="AG135" s="61"/>
      <c r="AH135" s="61"/>
      <c r="AI135" s="61"/>
      <c r="AJ135" s="59"/>
    </row>
    <row r="136" spans="1:43">
      <c r="B136" s="140" t="str">
        <f ca="1">IF(B6&lt;&gt;"",B6,"")</f>
        <v>Table BZ</v>
      </c>
      <c r="C136" s="49">
        <f>IF(C6&lt;&gt;"",C6,"")</f>
        <v>0</v>
      </c>
      <c r="D136" s="130">
        <f t="shared" ref="D136:AI143" si="29">IF(OR(D6=0,D6=1),1,0)</f>
        <v>0</v>
      </c>
      <c r="E136" s="130">
        <f t="shared" si="29"/>
        <v>0</v>
      </c>
      <c r="F136" s="130">
        <f t="shared" si="29"/>
        <v>0</v>
      </c>
      <c r="G136" s="130">
        <f t="shared" si="29"/>
        <v>0</v>
      </c>
      <c r="H136" s="130">
        <f t="shared" si="29"/>
        <v>0</v>
      </c>
      <c r="I136" s="130">
        <f t="shared" si="29"/>
        <v>0</v>
      </c>
      <c r="J136" s="130">
        <f t="shared" si="29"/>
        <v>0</v>
      </c>
      <c r="K136" s="130">
        <f t="shared" si="29"/>
        <v>0</v>
      </c>
      <c r="L136" s="130">
        <f t="shared" si="29"/>
        <v>0</v>
      </c>
      <c r="M136" s="130">
        <f t="shared" si="29"/>
        <v>0</v>
      </c>
      <c r="N136" s="130">
        <f t="shared" si="29"/>
        <v>0</v>
      </c>
      <c r="O136" s="130">
        <f t="shared" si="29"/>
        <v>0</v>
      </c>
      <c r="P136" s="130">
        <f t="shared" si="29"/>
        <v>0</v>
      </c>
      <c r="Q136" s="130">
        <f t="shared" si="29"/>
        <v>0</v>
      </c>
      <c r="R136" s="130">
        <f t="shared" si="29"/>
        <v>0</v>
      </c>
      <c r="S136" s="130">
        <f t="shared" si="29"/>
        <v>0</v>
      </c>
      <c r="T136" s="130">
        <f t="shared" si="29"/>
        <v>0</v>
      </c>
      <c r="U136" s="130">
        <f t="shared" si="29"/>
        <v>0</v>
      </c>
      <c r="V136" s="130">
        <f t="shared" si="29"/>
        <v>0</v>
      </c>
      <c r="W136" s="130">
        <f t="shared" si="29"/>
        <v>0</v>
      </c>
      <c r="X136" s="130">
        <f t="shared" si="29"/>
        <v>0</v>
      </c>
      <c r="Y136" s="130">
        <f t="shared" si="29"/>
        <v>0</v>
      </c>
      <c r="Z136" s="130">
        <f t="shared" si="29"/>
        <v>0</v>
      </c>
      <c r="AA136" s="130">
        <f t="shared" si="29"/>
        <v>0</v>
      </c>
      <c r="AB136" s="130">
        <f t="shared" si="29"/>
        <v>0</v>
      </c>
      <c r="AC136" s="130">
        <f t="shared" si="29"/>
        <v>0</v>
      </c>
      <c r="AD136" s="130">
        <f t="shared" si="29"/>
        <v>1</v>
      </c>
      <c r="AE136" s="130">
        <f t="shared" si="29"/>
        <v>1</v>
      </c>
      <c r="AF136" s="130">
        <f t="shared" si="29"/>
        <v>1</v>
      </c>
      <c r="AG136" s="130">
        <f t="shared" si="29"/>
        <v>1</v>
      </c>
      <c r="AH136" s="130">
        <f t="shared" si="29"/>
        <v>1</v>
      </c>
      <c r="AI136" s="130">
        <f t="shared" si="29"/>
        <v>1</v>
      </c>
      <c r="AJ136" s="49" t="str">
        <f t="shared" ref="AJ136:AJ199" si="30">IF(AJ6&lt;&gt;"",AJ6,"")</f>
        <v>UNKNOWN</v>
      </c>
      <c r="AK136" s="62"/>
      <c r="AL136" s="62" t="str">
        <f>BIN2HEX(AB136&amp;AC136&amp;AD136&amp;AE136&amp;AF136&amp;AG136&amp;AH136&amp;AI136,2)</f>
        <v>3F</v>
      </c>
      <c r="AM136" s="64" t="str">
        <f>BIN2HEX(T136&amp;U136&amp;V136&amp;W136&amp;X136&amp;Y136&amp;Z136&amp;AA136,2)</f>
        <v>00</v>
      </c>
      <c r="AN136" s="64" t="str">
        <f>BIN2HEX(L136&amp;M136&amp;N136&amp;O136&amp;P136&amp;Q136&amp;R136&amp;S136,2)</f>
        <v>00</v>
      </c>
      <c r="AO136" s="64" t="str">
        <f>BIN2HEX(D136&amp;E136&amp;F136&amp;G136&amp;H136&amp;I136&amp;J136&amp;K136,2)</f>
        <v>00</v>
      </c>
      <c r="AQ136" t="str">
        <f t="shared" ref="AQ136:AQ199" si="31">IF(AJ136="","","    (U4)0x"&amp;AO136&amp;AN136&amp;AM136&amp;AL136&amp;"U"&amp;IF(AJ137=""," ",",")&amp;REPT(" ",59)&amp;"/* "&amp;IF(C136&lt;10,"0"&amp;C136,C136)&amp;" "&amp;AJ136&amp;REPT(" ",47-LEN(AJ136))&amp;" */")</f>
        <v xml:space="preserve">    (U4)0x0000003FU,                                                           /* 00 UNKNOWN                                         */</v>
      </c>
    </row>
    <row r="137" spans="1:43">
      <c r="B137" s="138"/>
      <c r="C137" s="49">
        <f t="shared" ref="C137:C199" si="32">IF(C7&lt;&gt;"",C7,"")</f>
        <v>1</v>
      </c>
      <c r="D137" s="130">
        <f t="shared" si="29"/>
        <v>0</v>
      </c>
      <c r="E137" s="130">
        <f t="shared" si="29"/>
        <v>0</v>
      </c>
      <c r="F137" s="130">
        <f t="shared" si="29"/>
        <v>0</v>
      </c>
      <c r="G137" s="130">
        <f t="shared" si="29"/>
        <v>0</v>
      </c>
      <c r="H137" s="130">
        <f t="shared" si="29"/>
        <v>0</v>
      </c>
      <c r="I137" s="130">
        <f t="shared" si="29"/>
        <v>0</v>
      </c>
      <c r="J137" s="130">
        <f t="shared" si="29"/>
        <v>0</v>
      </c>
      <c r="K137" s="130">
        <f t="shared" si="29"/>
        <v>0</v>
      </c>
      <c r="L137" s="130">
        <f t="shared" si="29"/>
        <v>0</v>
      </c>
      <c r="M137" s="130">
        <f t="shared" si="29"/>
        <v>0</v>
      </c>
      <c r="N137" s="130">
        <f t="shared" si="29"/>
        <v>0</v>
      </c>
      <c r="O137" s="130">
        <f t="shared" si="29"/>
        <v>0</v>
      </c>
      <c r="P137" s="130">
        <f t="shared" si="29"/>
        <v>0</v>
      </c>
      <c r="Q137" s="130">
        <f t="shared" si="29"/>
        <v>0</v>
      </c>
      <c r="R137" s="130">
        <f t="shared" si="29"/>
        <v>0</v>
      </c>
      <c r="S137" s="130">
        <f t="shared" si="29"/>
        <v>0</v>
      </c>
      <c r="T137" s="130">
        <f t="shared" si="29"/>
        <v>0</v>
      </c>
      <c r="U137" s="130">
        <f t="shared" si="29"/>
        <v>0</v>
      </c>
      <c r="V137" s="130">
        <f t="shared" si="29"/>
        <v>0</v>
      </c>
      <c r="W137" s="130">
        <f t="shared" si="29"/>
        <v>0</v>
      </c>
      <c r="X137" s="130">
        <f t="shared" si="29"/>
        <v>0</v>
      </c>
      <c r="Y137" s="130">
        <f t="shared" si="29"/>
        <v>0</v>
      </c>
      <c r="Z137" s="130">
        <f t="shared" si="29"/>
        <v>0</v>
      </c>
      <c r="AA137" s="130">
        <f t="shared" si="29"/>
        <v>0</v>
      </c>
      <c r="AB137" s="130">
        <f t="shared" si="29"/>
        <v>0</v>
      </c>
      <c r="AC137" s="130">
        <f t="shared" si="29"/>
        <v>0</v>
      </c>
      <c r="AD137" s="130">
        <f t="shared" si="29"/>
        <v>1</v>
      </c>
      <c r="AE137" s="130">
        <f t="shared" si="29"/>
        <v>1</v>
      </c>
      <c r="AF137" s="130">
        <f t="shared" si="29"/>
        <v>1</v>
      </c>
      <c r="AG137" s="130">
        <f t="shared" si="29"/>
        <v>1</v>
      </c>
      <c r="AH137" s="130">
        <f t="shared" si="29"/>
        <v>1</v>
      </c>
      <c r="AI137" s="130">
        <f t="shared" si="29"/>
        <v>1</v>
      </c>
      <c r="AJ137" s="49" t="str">
        <f t="shared" si="30"/>
        <v>RCTA</v>
      </c>
      <c r="AK137" s="62"/>
      <c r="AL137" s="62" t="str">
        <f t="shared" ref="AL137:AL199" si="33">BIN2HEX(AB137&amp;AC137&amp;AD137&amp;AE137&amp;AF137&amp;AG137&amp;AH137&amp;AI137,2)</f>
        <v>3F</v>
      </c>
      <c r="AM137" s="64" t="str">
        <f t="shared" ref="AM137:AM199" si="34">BIN2HEX(T137&amp;U137&amp;V137&amp;W137&amp;X137&amp;Y137&amp;Z137&amp;AA137,2)</f>
        <v>00</v>
      </c>
      <c r="AN137" s="64" t="str">
        <f t="shared" ref="AN137:AN199" si="35">BIN2HEX(L137&amp;M137&amp;N137&amp;O137&amp;P137&amp;Q137&amp;R137&amp;S137,2)</f>
        <v>00</v>
      </c>
      <c r="AO137" s="64" t="str">
        <f t="shared" ref="AO137:AO199" si="36">BIN2HEX(D137&amp;E137&amp;F137&amp;G137&amp;H137&amp;I137&amp;J137&amp;K137,2)</f>
        <v>00</v>
      </c>
      <c r="AQ137" t="str">
        <f t="shared" si="31"/>
        <v xml:space="preserve">    (U4)0x0000003FU,                                                           /* 01 RCTA                                            */</v>
      </c>
    </row>
    <row r="138" spans="1:43">
      <c r="B138" s="138"/>
      <c r="C138" s="49">
        <f t="shared" si="32"/>
        <v>2</v>
      </c>
      <c r="D138" s="130">
        <f t="shared" si="29"/>
        <v>0</v>
      </c>
      <c r="E138" s="130">
        <f t="shared" si="29"/>
        <v>0</v>
      </c>
      <c r="F138" s="130">
        <f t="shared" si="29"/>
        <v>0</v>
      </c>
      <c r="G138" s="130">
        <f t="shared" si="29"/>
        <v>0</v>
      </c>
      <c r="H138" s="130">
        <f t="shared" si="29"/>
        <v>0</v>
      </c>
      <c r="I138" s="130">
        <f t="shared" si="29"/>
        <v>0</v>
      </c>
      <c r="J138" s="130">
        <f t="shared" si="29"/>
        <v>0</v>
      </c>
      <c r="K138" s="130">
        <f t="shared" si="29"/>
        <v>0</v>
      </c>
      <c r="L138" s="130">
        <f t="shared" si="29"/>
        <v>0</v>
      </c>
      <c r="M138" s="130">
        <f t="shared" si="29"/>
        <v>0</v>
      </c>
      <c r="N138" s="130">
        <f t="shared" si="29"/>
        <v>0</v>
      </c>
      <c r="O138" s="130">
        <f t="shared" si="29"/>
        <v>0</v>
      </c>
      <c r="P138" s="130">
        <f t="shared" si="29"/>
        <v>0</v>
      </c>
      <c r="Q138" s="130">
        <f t="shared" si="29"/>
        <v>0</v>
      </c>
      <c r="R138" s="130">
        <f t="shared" si="29"/>
        <v>0</v>
      </c>
      <c r="S138" s="130">
        <f t="shared" si="29"/>
        <v>0</v>
      </c>
      <c r="T138" s="130">
        <f t="shared" si="29"/>
        <v>0</v>
      </c>
      <c r="U138" s="130">
        <f t="shared" si="29"/>
        <v>0</v>
      </c>
      <c r="V138" s="130">
        <f t="shared" si="29"/>
        <v>0</v>
      </c>
      <c r="W138" s="130">
        <f t="shared" si="29"/>
        <v>0</v>
      </c>
      <c r="X138" s="130">
        <f t="shared" si="29"/>
        <v>0</v>
      </c>
      <c r="Y138" s="130">
        <f t="shared" si="29"/>
        <v>0</v>
      </c>
      <c r="Z138" s="130">
        <f t="shared" si="29"/>
        <v>0</v>
      </c>
      <c r="AA138" s="130">
        <f t="shared" si="29"/>
        <v>0</v>
      </c>
      <c r="AB138" s="130">
        <f t="shared" si="29"/>
        <v>0</v>
      </c>
      <c r="AC138" s="130">
        <f t="shared" si="29"/>
        <v>0</v>
      </c>
      <c r="AD138" s="130">
        <f t="shared" si="29"/>
        <v>1</v>
      </c>
      <c r="AE138" s="130">
        <f t="shared" si="29"/>
        <v>1</v>
      </c>
      <c r="AF138" s="130">
        <f t="shared" si="29"/>
        <v>1</v>
      </c>
      <c r="AG138" s="130">
        <f t="shared" si="29"/>
        <v>1</v>
      </c>
      <c r="AH138" s="130">
        <f t="shared" si="29"/>
        <v>1</v>
      </c>
      <c r="AI138" s="130">
        <f t="shared" si="29"/>
        <v>1</v>
      </c>
      <c r="AJ138" s="49" t="str">
        <f t="shared" si="30"/>
        <v>FR_CAD</v>
      </c>
      <c r="AK138" s="62"/>
      <c r="AL138" s="62" t="str">
        <f t="shared" si="33"/>
        <v>3F</v>
      </c>
      <c r="AM138" s="64" t="str">
        <f t="shared" si="34"/>
        <v>00</v>
      </c>
      <c r="AN138" s="64" t="str">
        <f t="shared" si="35"/>
        <v>00</v>
      </c>
      <c r="AO138" s="64" t="str">
        <f t="shared" si="36"/>
        <v>00</v>
      </c>
      <c r="AQ138" t="str">
        <f t="shared" si="31"/>
        <v xml:space="preserve">    (U4)0x0000003FU,                                                           /* 02 FR_CAD                                          */</v>
      </c>
    </row>
    <row r="139" spans="1:43">
      <c r="B139" s="138"/>
      <c r="C139" s="49">
        <f t="shared" si="32"/>
        <v>3</v>
      </c>
      <c r="D139" s="130">
        <f t="shared" si="29"/>
        <v>0</v>
      </c>
      <c r="E139" s="130">
        <f t="shared" si="29"/>
        <v>0</v>
      </c>
      <c r="F139" s="130">
        <f t="shared" si="29"/>
        <v>0</v>
      </c>
      <c r="G139" s="130">
        <f t="shared" si="29"/>
        <v>0</v>
      </c>
      <c r="H139" s="130">
        <f t="shared" si="29"/>
        <v>0</v>
      </c>
      <c r="I139" s="130">
        <f t="shared" si="29"/>
        <v>0</v>
      </c>
      <c r="J139" s="130">
        <f t="shared" si="29"/>
        <v>0</v>
      </c>
      <c r="K139" s="130">
        <f t="shared" si="29"/>
        <v>0</v>
      </c>
      <c r="L139" s="130">
        <f t="shared" si="29"/>
        <v>0</v>
      </c>
      <c r="M139" s="130">
        <f t="shared" si="29"/>
        <v>0</v>
      </c>
      <c r="N139" s="130">
        <f t="shared" si="29"/>
        <v>0</v>
      </c>
      <c r="O139" s="130">
        <f t="shared" si="29"/>
        <v>0</v>
      </c>
      <c r="P139" s="130">
        <f t="shared" si="29"/>
        <v>0</v>
      </c>
      <c r="Q139" s="130">
        <f t="shared" si="29"/>
        <v>0</v>
      </c>
      <c r="R139" s="130">
        <f t="shared" si="29"/>
        <v>0</v>
      </c>
      <c r="S139" s="130">
        <f t="shared" si="29"/>
        <v>0</v>
      </c>
      <c r="T139" s="130">
        <f t="shared" si="29"/>
        <v>0</v>
      </c>
      <c r="U139" s="130">
        <f t="shared" si="29"/>
        <v>0</v>
      </c>
      <c r="V139" s="130">
        <f t="shared" si="29"/>
        <v>0</v>
      </c>
      <c r="W139" s="130">
        <f t="shared" si="29"/>
        <v>0</v>
      </c>
      <c r="X139" s="130">
        <f t="shared" si="29"/>
        <v>0</v>
      </c>
      <c r="Y139" s="130">
        <f t="shared" si="29"/>
        <v>0</v>
      </c>
      <c r="Z139" s="130">
        <f t="shared" si="29"/>
        <v>0</v>
      </c>
      <c r="AA139" s="130">
        <f t="shared" si="29"/>
        <v>0</v>
      </c>
      <c r="AB139" s="130">
        <f t="shared" si="29"/>
        <v>0</v>
      </c>
      <c r="AC139" s="130">
        <f t="shared" si="29"/>
        <v>0</v>
      </c>
      <c r="AD139" s="130">
        <f t="shared" si="29"/>
        <v>1</v>
      </c>
      <c r="AE139" s="130">
        <f t="shared" si="29"/>
        <v>1</v>
      </c>
      <c r="AF139" s="130">
        <f t="shared" si="29"/>
        <v>1</v>
      </c>
      <c r="AG139" s="130">
        <f t="shared" si="29"/>
        <v>1</v>
      </c>
      <c r="AH139" s="130">
        <f t="shared" si="29"/>
        <v>1</v>
      </c>
      <c r="AI139" s="130">
        <f t="shared" si="29"/>
        <v>1</v>
      </c>
      <c r="AJ139" s="49" t="str">
        <f t="shared" si="30"/>
        <v>FR_SD</v>
      </c>
      <c r="AK139" s="62"/>
      <c r="AL139" s="62" t="str">
        <f t="shared" si="33"/>
        <v>3F</v>
      </c>
      <c r="AM139" s="64" t="str">
        <f t="shared" si="34"/>
        <v>00</v>
      </c>
      <c r="AN139" s="64" t="str">
        <f t="shared" si="35"/>
        <v>00</v>
      </c>
      <c r="AO139" s="64" t="str">
        <f t="shared" si="36"/>
        <v>00</v>
      </c>
      <c r="AQ139" t="str">
        <f t="shared" si="31"/>
        <v xml:space="preserve">    (U4)0x0000003FU,                                                           /* 03 FR_SD                                           */</v>
      </c>
    </row>
    <row r="140" spans="1:43">
      <c r="B140" s="138"/>
      <c r="C140" s="49">
        <f t="shared" si="32"/>
        <v>4</v>
      </c>
      <c r="D140" s="130">
        <f t="shared" si="29"/>
        <v>0</v>
      </c>
      <c r="E140" s="130">
        <f t="shared" si="29"/>
        <v>0</v>
      </c>
      <c r="F140" s="130">
        <f t="shared" si="29"/>
        <v>0</v>
      </c>
      <c r="G140" s="130">
        <f t="shared" si="29"/>
        <v>0</v>
      </c>
      <c r="H140" s="130">
        <f t="shared" si="29"/>
        <v>0</v>
      </c>
      <c r="I140" s="130">
        <f t="shared" si="29"/>
        <v>0</v>
      </c>
      <c r="J140" s="130">
        <f t="shared" si="29"/>
        <v>0</v>
      </c>
      <c r="K140" s="130">
        <f t="shared" si="29"/>
        <v>0</v>
      </c>
      <c r="L140" s="130">
        <f t="shared" si="29"/>
        <v>0</v>
      </c>
      <c r="M140" s="130">
        <f t="shared" si="29"/>
        <v>0</v>
      </c>
      <c r="N140" s="130">
        <f t="shared" si="29"/>
        <v>0</v>
      </c>
      <c r="O140" s="130">
        <f t="shared" si="29"/>
        <v>0</v>
      </c>
      <c r="P140" s="130">
        <f t="shared" si="29"/>
        <v>0</v>
      </c>
      <c r="Q140" s="130">
        <f t="shared" si="29"/>
        <v>0</v>
      </c>
      <c r="R140" s="130">
        <f t="shared" si="29"/>
        <v>0</v>
      </c>
      <c r="S140" s="130">
        <f t="shared" si="29"/>
        <v>0</v>
      </c>
      <c r="T140" s="130">
        <f t="shared" si="29"/>
        <v>0</v>
      </c>
      <c r="U140" s="130">
        <f t="shared" si="29"/>
        <v>0</v>
      </c>
      <c r="V140" s="130">
        <f t="shared" si="29"/>
        <v>0</v>
      </c>
      <c r="W140" s="130">
        <f t="shared" si="29"/>
        <v>0</v>
      </c>
      <c r="X140" s="130">
        <f t="shared" si="29"/>
        <v>0</v>
      </c>
      <c r="Y140" s="130">
        <f t="shared" si="29"/>
        <v>0</v>
      </c>
      <c r="Z140" s="130">
        <f t="shared" si="29"/>
        <v>0</v>
      </c>
      <c r="AA140" s="130">
        <f t="shared" si="29"/>
        <v>0</v>
      </c>
      <c r="AB140" s="130">
        <f t="shared" si="29"/>
        <v>0</v>
      </c>
      <c r="AC140" s="130">
        <f t="shared" si="29"/>
        <v>0</v>
      </c>
      <c r="AD140" s="130">
        <f t="shared" si="29"/>
        <v>1</v>
      </c>
      <c r="AE140" s="130">
        <f t="shared" si="29"/>
        <v>1</v>
      </c>
      <c r="AF140" s="130">
        <f t="shared" si="29"/>
        <v>1</v>
      </c>
      <c r="AG140" s="130">
        <f t="shared" si="29"/>
        <v>1</v>
      </c>
      <c r="AH140" s="130">
        <f t="shared" si="29"/>
        <v>1</v>
      </c>
      <c r="AI140" s="130">
        <f t="shared" si="29"/>
        <v>1</v>
      </c>
      <c r="AJ140" s="49" t="str">
        <f t="shared" si="30"/>
        <v>FR_MD</v>
      </c>
      <c r="AK140" s="62"/>
      <c r="AL140" s="62" t="str">
        <f t="shared" si="33"/>
        <v>3F</v>
      </c>
      <c r="AM140" s="64" t="str">
        <f t="shared" si="34"/>
        <v>00</v>
      </c>
      <c r="AN140" s="64" t="str">
        <f t="shared" si="35"/>
        <v>00</v>
      </c>
      <c r="AO140" s="64" t="str">
        <f t="shared" si="36"/>
        <v>00</v>
      </c>
      <c r="AQ140" t="str">
        <f t="shared" si="31"/>
        <v xml:space="preserve">    (U4)0x0000003FU,                                                           /* 04 FR_MD                                           */</v>
      </c>
    </row>
    <row r="141" spans="1:43">
      <c r="B141" s="138"/>
      <c r="C141" s="49">
        <f t="shared" si="32"/>
        <v>5</v>
      </c>
      <c r="D141" s="130">
        <f t="shared" si="29"/>
        <v>0</v>
      </c>
      <c r="E141" s="130">
        <f t="shared" si="29"/>
        <v>0</v>
      </c>
      <c r="F141" s="130">
        <f t="shared" si="29"/>
        <v>0</v>
      </c>
      <c r="G141" s="130">
        <f t="shared" si="29"/>
        <v>0</v>
      </c>
      <c r="H141" s="130">
        <f t="shared" si="29"/>
        <v>0</v>
      </c>
      <c r="I141" s="130">
        <f t="shared" si="29"/>
        <v>0</v>
      </c>
      <c r="J141" s="130">
        <f t="shared" si="29"/>
        <v>0</v>
      </c>
      <c r="K141" s="130">
        <f t="shared" si="29"/>
        <v>0</v>
      </c>
      <c r="L141" s="130">
        <f t="shared" si="29"/>
        <v>0</v>
      </c>
      <c r="M141" s="130">
        <f t="shared" si="29"/>
        <v>0</v>
      </c>
      <c r="N141" s="130">
        <f t="shared" si="29"/>
        <v>0</v>
      </c>
      <c r="O141" s="130">
        <f t="shared" si="29"/>
        <v>0</v>
      </c>
      <c r="P141" s="130">
        <f t="shared" si="29"/>
        <v>0</v>
      </c>
      <c r="Q141" s="130">
        <f t="shared" si="29"/>
        <v>0</v>
      </c>
      <c r="R141" s="130">
        <f t="shared" si="29"/>
        <v>0</v>
      </c>
      <c r="S141" s="130">
        <f t="shared" si="29"/>
        <v>0</v>
      </c>
      <c r="T141" s="130">
        <f t="shared" si="29"/>
        <v>0</v>
      </c>
      <c r="U141" s="130">
        <f t="shared" si="29"/>
        <v>0</v>
      </c>
      <c r="V141" s="130">
        <f t="shared" si="29"/>
        <v>0</v>
      </c>
      <c r="W141" s="130">
        <f t="shared" si="29"/>
        <v>0</v>
      </c>
      <c r="X141" s="130">
        <f t="shared" si="29"/>
        <v>0</v>
      </c>
      <c r="Y141" s="130">
        <f t="shared" si="29"/>
        <v>0</v>
      </c>
      <c r="Z141" s="130">
        <f t="shared" si="29"/>
        <v>0</v>
      </c>
      <c r="AA141" s="130">
        <f t="shared" si="29"/>
        <v>0</v>
      </c>
      <c r="AB141" s="130">
        <f t="shared" si="29"/>
        <v>0</v>
      </c>
      <c r="AC141" s="130">
        <f t="shared" si="29"/>
        <v>0</v>
      </c>
      <c r="AD141" s="130">
        <f t="shared" si="29"/>
        <v>1</v>
      </c>
      <c r="AE141" s="130">
        <f t="shared" si="29"/>
        <v>1</v>
      </c>
      <c r="AF141" s="130">
        <f t="shared" si="29"/>
        <v>1</v>
      </c>
      <c r="AG141" s="130">
        <f t="shared" si="29"/>
        <v>1</v>
      </c>
      <c r="AH141" s="130">
        <f t="shared" si="29"/>
        <v>1</v>
      </c>
      <c r="AI141" s="130">
        <f t="shared" si="29"/>
        <v>1</v>
      </c>
      <c r="AJ141" s="49" t="str">
        <f t="shared" si="30"/>
        <v>FR_LD</v>
      </c>
      <c r="AK141" s="62"/>
      <c r="AL141" s="62" t="str">
        <f t="shared" si="33"/>
        <v>3F</v>
      </c>
      <c r="AM141" s="64" t="str">
        <f t="shared" si="34"/>
        <v>00</v>
      </c>
      <c r="AN141" s="64" t="str">
        <f t="shared" si="35"/>
        <v>00</v>
      </c>
      <c r="AO141" s="64" t="str">
        <f t="shared" si="36"/>
        <v>00</v>
      </c>
      <c r="AQ141" t="str">
        <f t="shared" si="31"/>
        <v xml:space="preserve">    (U4)0x0000003FU,                                                           /* 05 FR_LD                                           */</v>
      </c>
    </row>
    <row r="142" spans="1:43">
      <c r="B142" s="138"/>
      <c r="C142" s="49">
        <f t="shared" si="32"/>
        <v>6</v>
      </c>
      <c r="D142" s="130">
        <f t="shared" si="29"/>
        <v>0</v>
      </c>
      <c r="E142" s="130">
        <f t="shared" si="29"/>
        <v>0</v>
      </c>
      <c r="F142" s="130">
        <f t="shared" si="29"/>
        <v>0</v>
      </c>
      <c r="G142" s="130">
        <f t="shared" si="29"/>
        <v>0</v>
      </c>
      <c r="H142" s="130">
        <f t="shared" si="29"/>
        <v>0</v>
      </c>
      <c r="I142" s="130">
        <f t="shared" si="29"/>
        <v>0</v>
      </c>
      <c r="J142" s="130">
        <f t="shared" si="29"/>
        <v>0</v>
      </c>
      <c r="K142" s="130">
        <f t="shared" si="29"/>
        <v>0</v>
      </c>
      <c r="L142" s="130">
        <f t="shared" si="29"/>
        <v>0</v>
      </c>
      <c r="M142" s="130">
        <f t="shared" si="29"/>
        <v>0</v>
      </c>
      <c r="N142" s="130">
        <f t="shared" si="29"/>
        <v>0</v>
      </c>
      <c r="O142" s="130">
        <f t="shared" si="29"/>
        <v>0</v>
      </c>
      <c r="P142" s="130">
        <f t="shared" si="29"/>
        <v>0</v>
      </c>
      <c r="Q142" s="130">
        <f t="shared" si="29"/>
        <v>0</v>
      </c>
      <c r="R142" s="130">
        <f t="shared" si="29"/>
        <v>0</v>
      </c>
      <c r="S142" s="130">
        <f t="shared" si="29"/>
        <v>0</v>
      </c>
      <c r="T142" s="130">
        <f t="shared" si="29"/>
        <v>0</v>
      </c>
      <c r="U142" s="130">
        <f t="shared" si="29"/>
        <v>0</v>
      </c>
      <c r="V142" s="130">
        <f t="shared" si="29"/>
        <v>0</v>
      </c>
      <c r="W142" s="130">
        <f t="shared" si="29"/>
        <v>0</v>
      </c>
      <c r="X142" s="130">
        <f t="shared" si="29"/>
        <v>0</v>
      </c>
      <c r="Y142" s="130">
        <f t="shared" si="29"/>
        <v>0</v>
      </c>
      <c r="Z142" s="130">
        <f t="shared" si="29"/>
        <v>0</v>
      </c>
      <c r="AA142" s="130">
        <f t="shared" si="29"/>
        <v>0</v>
      </c>
      <c r="AB142" s="130">
        <f t="shared" si="29"/>
        <v>0</v>
      </c>
      <c r="AC142" s="130">
        <f t="shared" si="29"/>
        <v>0</v>
      </c>
      <c r="AD142" s="130">
        <f t="shared" si="29"/>
        <v>1</v>
      </c>
      <c r="AE142" s="130">
        <f t="shared" si="29"/>
        <v>1</v>
      </c>
      <c r="AF142" s="130">
        <f t="shared" si="29"/>
        <v>1</v>
      </c>
      <c r="AG142" s="130">
        <f t="shared" si="29"/>
        <v>1</v>
      </c>
      <c r="AH142" s="130">
        <f t="shared" si="29"/>
        <v>1</v>
      </c>
      <c r="AI142" s="130">
        <f t="shared" si="29"/>
        <v>1</v>
      </c>
      <c r="AJ142" s="49" t="str">
        <f t="shared" si="30"/>
        <v>RR_CAD</v>
      </c>
      <c r="AK142" s="62"/>
      <c r="AL142" s="62" t="str">
        <f t="shared" si="33"/>
        <v>3F</v>
      </c>
      <c r="AM142" s="64" t="str">
        <f t="shared" si="34"/>
        <v>00</v>
      </c>
      <c r="AN142" s="64" t="str">
        <f t="shared" si="35"/>
        <v>00</v>
      </c>
      <c r="AO142" s="64" t="str">
        <f t="shared" si="36"/>
        <v>00</v>
      </c>
      <c r="AQ142" t="str">
        <f t="shared" si="31"/>
        <v xml:space="preserve">    (U4)0x0000003FU,                                                           /* 06 RR_CAD                                          */</v>
      </c>
    </row>
    <row r="143" spans="1:43">
      <c r="B143" s="138"/>
      <c r="C143" s="49">
        <f t="shared" si="32"/>
        <v>7</v>
      </c>
      <c r="D143" s="130">
        <f t="shared" si="29"/>
        <v>0</v>
      </c>
      <c r="E143" s="130">
        <f t="shared" si="29"/>
        <v>0</v>
      </c>
      <c r="F143" s="130">
        <f t="shared" si="29"/>
        <v>0</v>
      </c>
      <c r="G143" s="130">
        <f t="shared" si="29"/>
        <v>0</v>
      </c>
      <c r="H143" s="130">
        <f t="shared" si="29"/>
        <v>0</v>
      </c>
      <c r="I143" s="130">
        <f t="shared" si="29"/>
        <v>0</v>
      </c>
      <c r="J143" s="130">
        <f t="shared" si="29"/>
        <v>0</v>
      </c>
      <c r="K143" s="130">
        <f t="shared" si="29"/>
        <v>0</v>
      </c>
      <c r="L143" s="130">
        <f t="shared" si="29"/>
        <v>0</v>
      </c>
      <c r="M143" s="130">
        <f t="shared" si="29"/>
        <v>0</v>
      </c>
      <c r="N143" s="130">
        <f t="shared" si="29"/>
        <v>0</v>
      </c>
      <c r="O143" s="130">
        <f t="shared" si="29"/>
        <v>0</v>
      </c>
      <c r="P143" s="130">
        <f t="shared" si="29"/>
        <v>0</v>
      </c>
      <c r="Q143" s="130">
        <f t="shared" si="29"/>
        <v>0</v>
      </c>
      <c r="R143" s="130">
        <f t="shared" si="29"/>
        <v>0</v>
      </c>
      <c r="S143" s="130">
        <f t="shared" si="29"/>
        <v>0</v>
      </c>
      <c r="T143" s="130">
        <f t="shared" si="29"/>
        <v>0</v>
      </c>
      <c r="U143" s="130">
        <f t="shared" si="29"/>
        <v>0</v>
      </c>
      <c r="V143" s="130">
        <f t="shared" si="29"/>
        <v>0</v>
      </c>
      <c r="W143" s="130">
        <f t="shared" si="29"/>
        <v>0</v>
      </c>
      <c r="X143" s="130">
        <f t="shared" si="29"/>
        <v>0</v>
      </c>
      <c r="Y143" s="130">
        <f t="shared" si="29"/>
        <v>0</v>
      </c>
      <c r="Z143" s="130">
        <f t="shared" si="29"/>
        <v>0</v>
      </c>
      <c r="AA143" s="130">
        <f t="shared" si="29"/>
        <v>0</v>
      </c>
      <c r="AB143" s="130">
        <f t="shared" si="29"/>
        <v>0</v>
      </c>
      <c r="AC143" s="130">
        <f t="shared" si="29"/>
        <v>0</v>
      </c>
      <c r="AD143" s="130">
        <f t="shared" si="29"/>
        <v>1</v>
      </c>
      <c r="AE143" s="130">
        <f t="shared" si="29"/>
        <v>1</v>
      </c>
      <c r="AF143" s="130">
        <f t="shared" si="29"/>
        <v>1</v>
      </c>
      <c r="AG143" s="130">
        <f t="shared" si="29"/>
        <v>1</v>
      </c>
      <c r="AH143" s="130">
        <f t="shared" si="29"/>
        <v>1</v>
      </c>
      <c r="AI143" s="130">
        <f t="shared" ref="AI143" si="37">IF(OR(AI13=0,AI13=1),1,0)</f>
        <v>1</v>
      </c>
      <c r="AJ143" s="49" t="str">
        <f t="shared" si="30"/>
        <v>RR_SD</v>
      </c>
      <c r="AK143" s="62"/>
      <c r="AL143" s="62" t="str">
        <f t="shared" si="33"/>
        <v>3F</v>
      </c>
      <c r="AM143" s="64" t="str">
        <f t="shared" si="34"/>
        <v>00</v>
      </c>
      <c r="AN143" s="64" t="str">
        <f t="shared" si="35"/>
        <v>00</v>
      </c>
      <c r="AO143" s="64" t="str">
        <f t="shared" si="36"/>
        <v>00</v>
      </c>
      <c r="AQ143" t="str">
        <f t="shared" si="31"/>
        <v xml:space="preserve">    (U4)0x0000003FU,                                                           /* 07 RR_SD                                           */</v>
      </c>
    </row>
    <row r="144" spans="1:43">
      <c r="B144" s="138"/>
      <c r="C144" s="49">
        <f t="shared" si="32"/>
        <v>8</v>
      </c>
      <c r="D144" s="130">
        <f t="shared" ref="D144:AI151" si="38">IF(OR(D14=0,D14=1),1,0)</f>
        <v>0</v>
      </c>
      <c r="E144" s="130">
        <f t="shared" si="38"/>
        <v>0</v>
      </c>
      <c r="F144" s="130">
        <f t="shared" si="38"/>
        <v>0</v>
      </c>
      <c r="G144" s="130">
        <f t="shared" si="38"/>
        <v>0</v>
      </c>
      <c r="H144" s="130">
        <f t="shared" si="38"/>
        <v>0</v>
      </c>
      <c r="I144" s="130">
        <f t="shared" si="38"/>
        <v>0</v>
      </c>
      <c r="J144" s="130">
        <f t="shared" si="38"/>
        <v>0</v>
      </c>
      <c r="K144" s="130">
        <f t="shared" si="38"/>
        <v>0</v>
      </c>
      <c r="L144" s="130">
        <f t="shared" si="38"/>
        <v>0</v>
      </c>
      <c r="M144" s="130">
        <f t="shared" si="38"/>
        <v>0</v>
      </c>
      <c r="N144" s="130">
        <f t="shared" si="38"/>
        <v>0</v>
      </c>
      <c r="O144" s="130">
        <f t="shared" si="38"/>
        <v>0</v>
      </c>
      <c r="P144" s="130">
        <f t="shared" si="38"/>
        <v>0</v>
      </c>
      <c r="Q144" s="130">
        <f t="shared" si="38"/>
        <v>0</v>
      </c>
      <c r="R144" s="130">
        <f t="shared" si="38"/>
        <v>0</v>
      </c>
      <c r="S144" s="130">
        <f t="shared" si="38"/>
        <v>0</v>
      </c>
      <c r="T144" s="130">
        <f t="shared" si="38"/>
        <v>0</v>
      </c>
      <c r="U144" s="130">
        <f t="shared" si="38"/>
        <v>0</v>
      </c>
      <c r="V144" s="130">
        <f t="shared" si="38"/>
        <v>0</v>
      </c>
      <c r="W144" s="130">
        <f t="shared" si="38"/>
        <v>0</v>
      </c>
      <c r="X144" s="130">
        <f t="shared" si="38"/>
        <v>0</v>
      </c>
      <c r="Y144" s="130">
        <f t="shared" si="38"/>
        <v>0</v>
      </c>
      <c r="Z144" s="130">
        <f t="shared" si="38"/>
        <v>0</v>
      </c>
      <c r="AA144" s="130">
        <f t="shared" si="38"/>
        <v>0</v>
      </c>
      <c r="AB144" s="130">
        <f t="shared" si="38"/>
        <v>0</v>
      </c>
      <c r="AC144" s="130">
        <f t="shared" si="38"/>
        <v>0</v>
      </c>
      <c r="AD144" s="130">
        <f t="shared" si="38"/>
        <v>1</v>
      </c>
      <c r="AE144" s="130">
        <f t="shared" si="38"/>
        <v>1</v>
      </c>
      <c r="AF144" s="130">
        <f t="shared" si="38"/>
        <v>1</v>
      </c>
      <c r="AG144" s="130">
        <f t="shared" si="38"/>
        <v>1</v>
      </c>
      <c r="AH144" s="130">
        <f t="shared" si="38"/>
        <v>1</v>
      </c>
      <c r="AI144" s="130">
        <f t="shared" si="38"/>
        <v>1</v>
      </c>
      <c r="AJ144" s="49" t="str">
        <f t="shared" si="30"/>
        <v>RR_MD</v>
      </c>
      <c r="AK144" s="62"/>
      <c r="AL144" s="62" t="str">
        <f t="shared" si="33"/>
        <v>3F</v>
      </c>
      <c r="AM144" s="64" t="str">
        <f t="shared" si="34"/>
        <v>00</v>
      </c>
      <c r="AN144" s="64" t="str">
        <f t="shared" si="35"/>
        <v>00</v>
      </c>
      <c r="AO144" s="64" t="str">
        <f t="shared" si="36"/>
        <v>00</v>
      </c>
      <c r="AQ144" t="str">
        <f t="shared" si="31"/>
        <v xml:space="preserve">    (U4)0x0000003FU,                                                           /* 08 RR_MD                                           */</v>
      </c>
    </row>
    <row r="145" spans="2:43">
      <c r="B145" s="138"/>
      <c r="C145" s="49">
        <f t="shared" si="32"/>
        <v>9</v>
      </c>
      <c r="D145" s="130">
        <f t="shared" si="38"/>
        <v>0</v>
      </c>
      <c r="E145" s="130">
        <f t="shared" si="38"/>
        <v>0</v>
      </c>
      <c r="F145" s="130">
        <f t="shared" si="38"/>
        <v>0</v>
      </c>
      <c r="G145" s="130">
        <f t="shared" si="38"/>
        <v>0</v>
      </c>
      <c r="H145" s="130">
        <f t="shared" si="38"/>
        <v>0</v>
      </c>
      <c r="I145" s="130">
        <f t="shared" si="38"/>
        <v>0</v>
      </c>
      <c r="J145" s="130">
        <f t="shared" si="38"/>
        <v>0</v>
      </c>
      <c r="K145" s="130">
        <f t="shared" si="38"/>
        <v>0</v>
      </c>
      <c r="L145" s="130">
        <f t="shared" si="38"/>
        <v>0</v>
      </c>
      <c r="M145" s="130">
        <f t="shared" si="38"/>
        <v>0</v>
      </c>
      <c r="N145" s="130">
        <f t="shared" si="38"/>
        <v>0</v>
      </c>
      <c r="O145" s="130">
        <f t="shared" si="38"/>
        <v>0</v>
      </c>
      <c r="P145" s="130">
        <f t="shared" si="38"/>
        <v>0</v>
      </c>
      <c r="Q145" s="130">
        <f t="shared" si="38"/>
        <v>0</v>
      </c>
      <c r="R145" s="130">
        <f t="shared" si="38"/>
        <v>0</v>
      </c>
      <c r="S145" s="130">
        <f t="shared" si="38"/>
        <v>0</v>
      </c>
      <c r="T145" s="130">
        <f t="shared" si="38"/>
        <v>0</v>
      </c>
      <c r="U145" s="130">
        <f t="shared" si="38"/>
        <v>0</v>
      </c>
      <c r="V145" s="130">
        <f t="shared" si="38"/>
        <v>0</v>
      </c>
      <c r="W145" s="130">
        <f t="shared" si="38"/>
        <v>0</v>
      </c>
      <c r="X145" s="130">
        <f t="shared" si="38"/>
        <v>0</v>
      </c>
      <c r="Y145" s="130">
        <f t="shared" si="38"/>
        <v>0</v>
      </c>
      <c r="Z145" s="130">
        <f t="shared" si="38"/>
        <v>0</v>
      </c>
      <c r="AA145" s="130">
        <f t="shared" si="38"/>
        <v>0</v>
      </c>
      <c r="AB145" s="130">
        <f t="shared" si="38"/>
        <v>0</v>
      </c>
      <c r="AC145" s="130">
        <f t="shared" si="38"/>
        <v>0</v>
      </c>
      <c r="AD145" s="130">
        <f t="shared" si="38"/>
        <v>1</v>
      </c>
      <c r="AE145" s="130">
        <f t="shared" si="38"/>
        <v>1</v>
      </c>
      <c r="AF145" s="130">
        <f t="shared" si="38"/>
        <v>1</v>
      </c>
      <c r="AG145" s="130">
        <f t="shared" si="38"/>
        <v>1</v>
      </c>
      <c r="AH145" s="130">
        <f t="shared" si="38"/>
        <v>1</v>
      </c>
      <c r="AI145" s="130">
        <f t="shared" si="38"/>
        <v>1</v>
      </c>
      <c r="AJ145" s="49" t="str">
        <f t="shared" si="30"/>
        <v>RR_LD</v>
      </c>
      <c r="AK145" s="62"/>
      <c r="AL145" s="62" t="str">
        <f t="shared" si="33"/>
        <v>3F</v>
      </c>
      <c r="AM145" s="64" t="str">
        <f t="shared" si="34"/>
        <v>00</v>
      </c>
      <c r="AN145" s="64" t="str">
        <f t="shared" si="35"/>
        <v>00</v>
      </c>
      <c r="AO145" s="64" t="str">
        <f t="shared" si="36"/>
        <v>00</v>
      </c>
      <c r="AQ145" t="str">
        <f t="shared" si="31"/>
        <v xml:space="preserve">    (U4)0x0000003FU,                                                           /* 09 RR_LD                                           */</v>
      </c>
    </row>
    <row r="146" spans="2:43">
      <c r="B146" s="138"/>
      <c r="C146" s="49">
        <f t="shared" si="32"/>
        <v>10</v>
      </c>
      <c r="D146" s="130">
        <f t="shared" si="38"/>
        <v>0</v>
      </c>
      <c r="E146" s="130">
        <f t="shared" si="38"/>
        <v>0</v>
      </c>
      <c r="F146" s="130">
        <f t="shared" si="38"/>
        <v>0</v>
      </c>
      <c r="G146" s="130">
        <f t="shared" si="38"/>
        <v>0</v>
      </c>
      <c r="H146" s="130">
        <f t="shared" si="38"/>
        <v>0</v>
      </c>
      <c r="I146" s="130">
        <f t="shared" si="38"/>
        <v>0</v>
      </c>
      <c r="J146" s="130">
        <f t="shared" si="38"/>
        <v>0</v>
      </c>
      <c r="K146" s="130">
        <f t="shared" si="38"/>
        <v>0</v>
      </c>
      <c r="L146" s="130">
        <f t="shared" si="38"/>
        <v>0</v>
      </c>
      <c r="M146" s="130">
        <f t="shared" si="38"/>
        <v>0</v>
      </c>
      <c r="N146" s="130">
        <f t="shared" si="38"/>
        <v>0</v>
      </c>
      <c r="O146" s="130">
        <f t="shared" si="38"/>
        <v>0</v>
      </c>
      <c r="P146" s="130">
        <f t="shared" si="38"/>
        <v>0</v>
      </c>
      <c r="Q146" s="130">
        <f t="shared" si="38"/>
        <v>0</v>
      </c>
      <c r="R146" s="130">
        <f t="shared" si="38"/>
        <v>0</v>
      </c>
      <c r="S146" s="130">
        <f t="shared" si="38"/>
        <v>0</v>
      </c>
      <c r="T146" s="130">
        <f t="shared" si="38"/>
        <v>0</v>
      </c>
      <c r="U146" s="130">
        <f t="shared" si="38"/>
        <v>0</v>
      </c>
      <c r="V146" s="130">
        <f t="shared" si="38"/>
        <v>0</v>
      </c>
      <c r="W146" s="130">
        <f t="shared" si="38"/>
        <v>0</v>
      </c>
      <c r="X146" s="130">
        <f t="shared" si="38"/>
        <v>0</v>
      </c>
      <c r="Y146" s="130">
        <f t="shared" si="38"/>
        <v>0</v>
      </c>
      <c r="Z146" s="130">
        <f t="shared" si="38"/>
        <v>0</v>
      </c>
      <c r="AA146" s="130">
        <f t="shared" si="38"/>
        <v>0</v>
      </c>
      <c r="AB146" s="130">
        <f t="shared" si="38"/>
        <v>0</v>
      </c>
      <c r="AC146" s="130">
        <f t="shared" si="38"/>
        <v>0</v>
      </c>
      <c r="AD146" s="130">
        <f t="shared" si="38"/>
        <v>1</v>
      </c>
      <c r="AE146" s="130">
        <f t="shared" si="38"/>
        <v>1</v>
      </c>
      <c r="AF146" s="130">
        <f t="shared" si="38"/>
        <v>1</v>
      </c>
      <c r="AG146" s="130">
        <f t="shared" si="38"/>
        <v>1</v>
      </c>
      <c r="AH146" s="130">
        <f t="shared" si="38"/>
        <v>1</v>
      </c>
      <c r="AI146" s="130">
        <f t="shared" si="38"/>
        <v>1</v>
      </c>
      <c r="AJ146" s="49" t="str">
        <f t="shared" si="30"/>
        <v>CAD</v>
      </c>
      <c r="AK146" s="62"/>
      <c r="AL146" s="62" t="str">
        <f t="shared" si="33"/>
        <v>3F</v>
      </c>
      <c r="AM146" s="64" t="str">
        <f t="shared" si="34"/>
        <v>00</v>
      </c>
      <c r="AN146" s="64" t="str">
        <f t="shared" si="35"/>
        <v>00</v>
      </c>
      <c r="AO146" s="64" t="str">
        <f t="shared" si="36"/>
        <v>00</v>
      </c>
      <c r="AQ146" t="str">
        <f t="shared" si="31"/>
        <v xml:space="preserve">    (U4)0x0000003FU,                                                           /* 10 CAD                                             */</v>
      </c>
    </row>
    <row r="147" spans="2:43">
      <c r="B147" s="138"/>
      <c r="C147" s="49">
        <f t="shared" si="32"/>
        <v>11</v>
      </c>
      <c r="D147" s="130">
        <f t="shared" si="38"/>
        <v>0</v>
      </c>
      <c r="E147" s="130">
        <f t="shared" si="38"/>
        <v>0</v>
      </c>
      <c r="F147" s="130">
        <f t="shared" si="38"/>
        <v>0</v>
      </c>
      <c r="G147" s="130">
        <f t="shared" si="38"/>
        <v>0</v>
      </c>
      <c r="H147" s="130">
        <f t="shared" si="38"/>
        <v>0</v>
      </c>
      <c r="I147" s="130">
        <f t="shared" si="38"/>
        <v>0</v>
      </c>
      <c r="J147" s="130">
        <f t="shared" si="38"/>
        <v>0</v>
      </c>
      <c r="K147" s="130">
        <f t="shared" si="38"/>
        <v>0</v>
      </c>
      <c r="L147" s="130">
        <f t="shared" si="38"/>
        <v>0</v>
      </c>
      <c r="M147" s="130">
        <f t="shared" si="38"/>
        <v>0</v>
      </c>
      <c r="N147" s="130">
        <f t="shared" si="38"/>
        <v>0</v>
      </c>
      <c r="O147" s="130">
        <f t="shared" si="38"/>
        <v>0</v>
      </c>
      <c r="P147" s="130">
        <f t="shared" si="38"/>
        <v>0</v>
      </c>
      <c r="Q147" s="130">
        <f t="shared" si="38"/>
        <v>0</v>
      </c>
      <c r="R147" s="130">
        <f t="shared" si="38"/>
        <v>0</v>
      </c>
      <c r="S147" s="130">
        <f t="shared" si="38"/>
        <v>0</v>
      </c>
      <c r="T147" s="130">
        <f t="shared" si="38"/>
        <v>0</v>
      </c>
      <c r="U147" s="130">
        <f t="shared" si="38"/>
        <v>0</v>
      </c>
      <c r="V147" s="130">
        <f t="shared" si="38"/>
        <v>0</v>
      </c>
      <c r="W147" s="130">
        <f t="shared" si="38"/>
        <v>0</v>
      </c>
      <c r="X147" s="130">
        <f t="shared" si="38"/>
        <v>0</v>
      </c>
      <c r="Y147" s="130">
        <f t="shared" si="38"/>
        <v>0</v>
      </c>
      <c r="Z147" s="130">
        <f t="shared" si="38"/>
        <v>0</v>
      </c>
      <c r="AA147" s="130">
        <f t="shared" si="38"/>
        <v>0</v>
      </c>
      <c r="AB147" s="130">
        <f t="shared" si="38"/>
        <v>0</v>
      </c>
      <c r="AC147" s="130">
        <f t="shared" si="38"/>
        <v>0</v>
      </c>
      <c r="AD147" s="130">
        <f t="shared" si="38"/>
        <v>1</v>
      </c>
      <c r="AE147" s="130">
        <f t="shared" si="38"/>
        <v>1</v>
      </c>
      <c r="AF147" s="130">
        <f t="shared" si="38"/>
        <v>1</v>
      </c>
      <c r="AG147" s="130">
        <f t="shared" si="38"/>
        <v>1</v>
      </c>
      <c r="AH147" s="130">
        <f t="shared" si="38"/>
        <v>1</v>
      </c>
      <c r="AI147" s="130">
        <f t="shared" si="38"/>
        <v>1</v>
      </c>
      <c r="AJ147" s="49" t="str">
        <f t="shared" si="30"/>
        <v>SD</v>
      </c>
      <c r="AK147" s="62"/>
      <c r="AL147" s="62" t="str">
        <f t="shared" si="33"/>
        <v>3F</v>
      </c>
      <c r="AM147" s="64" t="str">
        <f t="shared" si="34"/>
        <v>00</v>
      </c>
      <c r="AN147" s="64" t="str">
        <f t="shared" si="35"/>
        <v>00</v>
      </c>
      <c r="AO147" s="64" t="str">
        <f t="shared" si="36"/>
        <v>00</v>
      </c>
      <c r="AQ147" t="str">
        <f t="shared" si="31"/>
        <v xml:space="preserve">    (U4)0x0000003FU,                                                           /* 11 SD                                              */</v>
      </c>
    </row>
    <row r="148" spans="2:43">
      <c r="B148" s="138"/>
      <c r="C148" s="49">
        <f t="shared" si="32"/>
        <v>12</v>
      </c>
      <c r="D148" s="130">
        <f t="shared" si="38"/>
        <v>0</v>
      </c>
      <c r="E148" s="130">
        <f t="shared" si="38"/>
        <v>0</v>
      </c>
      <c r="F148" s="130">
        <f t="shared" si="38"/>
        <v>0</v>
      </c>
      <c r="G148" s="130">
        <f t="shared" si="38"/>
        <v>0</v>
      </c>
      <c r="H148" s="130">
        <f t="shared" si="38"/>
        <v>0</v>
      </c>
      <c r="I148" s="130">
        <f t="shared" si="38"/>
        <v>0</v>
      </c>
      <c r="J148" s="130">
        <f t="shared" si="38"/>
        <v>0</v>
      </c>
      <c r="K148" s="130">
        <f t="shared" si="38"/>
        <v>0</v>
      </c>
      <c r="L148" s="130">
        <f t="shared" si="38"/>
        <v>0</v>
      </c>
      <c r="M148" s="130">
        <f t="shared" si="38"/>
        <v>0</v>
      </c>
      <c r="N148" s="130">
        <f t="shared" si="38"/>
        <v>0</v>
      </c>
      <c r="O148" s="130">
        <f t="shared" si="38"/>
        <v>0</v>
      </c>
      <c r="P148" s="130">
        <f t="shared" si="38"/>
        <v>0</v>
      </c>
      <c r="Q148" s="130">
        <f t="shared" si="38"/>
        <v>0</v>
      </c>
      <c r="R148" s="130">
        <f t="shared" si="38"/>
        <v>0</v>
      </c>
      <c r="S148" s="130">
        <f t="shared" si="38"/>
        <v>0</v>
      </c>
      <c r="T148" s="130">
        <f t="shared" si="38"/>
        <v>0</v>
      </c>
      <c r="U148" s="130">
        <f t="shared" si="38"/>
        <v>0</v>
      </c>
      <c r="V148" s="130">
        <f t="shared" si="38"/>
        <v>0</v>
      </c>
      <c r="W148" s="130">
        <f t="shared" si="38"/>
        <v>0</v>
      </c>
      <c r="X148" s="130">
        <f t="shared" si="38"/>
        <v>0</v>
      </c>
      <c r="Y148" s="130">
        <f t="shared" si="38"/>
        <v>0</v>
      </c>
      <c r="Z148" s="130">
        <f t="shared" si="38"/>
        <v>0</v>
      </c>
      <c r="AA148" s="130">
        <f t="shared" si="38"/>
        <v>0</v>
      </c>
      <c r="AB148" s="130">
        <f t="shared" si="38"/>
        <v>0</v>
      </c>
      <c r="AC148" s="130">
        <f t="shared" si="38"/>
        <v>0</v>
      </c>
      <c r="AD148" s="130">
        <f t="shared" si="38"/>
        <v>1</v>
      </c>
      <c r="AE148" s="130">
        <f t="shared" si="38"/>
        <v>1</v>
      </c>
      <c r="AF148" s="130">
        <f t="shared" si="38"/>
        <v>1</v>
      </c>
      <c r="AG148" s="130">
        <f t="shared" si="38"/>
        <v>1</v>
      </c>
      <c r="AH148" s="130">
        <f t="shared" si="38"/>
        <v>1</v>
      </c>
      <c r="AI148" s="130">
        <f t="shared" si="38"/>
        <v>1</v>
      </c>
      <c r="AJ148" s="49" t="str">
        <f t="shared" si="30"/>
        <v>MD</v>
      </c>
      <c r="AK148" s="62"/>
      <c r="AL148" s="62" t="str">
        <f t="shared" si="33"/>
        <v>3F</v>
      </c>
      <c r="AM148" s="64" t="str">
        <f t="shared" si="34"/>
        <v>00</v>
      </c>
      <c r="AN148" s="64" t="str">
        <f t="shared" si="35"/>
        <v>00</v>
      </c>
      <c r="AO148" s="64" t="str">
        <f t="shared" si="36"/>
        <v>00</v>
      </c>
      <c r="AQ148" t="str">
        <f t="shared" si="31"/>
        <v xml:space="preserve">    (U4)0x0000003FU,                                                           /* 12 MD                                              */</v>
      </c>
    </row>
    <row r="149" spans="2:43">
      <c r="B149" s="138"/>
      <c r="C149" s="49">
        <f t="shared" si="32"/>
        <v>13</v>
      </c>
      <c r="D149" s="130">
        <f t="shared" si="38"/>
        <v>0</v>
      </c>
      <c r="E149" s="130">
        <f t="shared" si="38"/>
        <v>0</v>
      </c>
      <c r="F149" s="130">
        <f t="shared" si="38"/>
        <v>0</v>
      </c>
      <c r="G149" s="130">
        <f t="shared" si="38"/>
        <v>0</v>
      </c>
      <c r="H149" s="130">
        <f t="shared" si="38"/>
        <v>0</v>
      </c>
      <c r="I149" s="130">
        <f t="shared" si="38"/>
        <v>0</v>
      </c>
      <c r="J149" s="130">
        <f t="shared" si="38"/>
        <v>0</v>
      </c>
      <c r="K149" s="130">
        <f t="shared" si="38"/>
        <v>0</v>
      </c>
      <c r="L149" s="130">
        <f t="shared" si="38"/>
        <v>0</v>
      </c>
      <c r="M149" s="130">
        <f t="shared" si="38"/>
        <v>0</v>
      </c>
      <c r="N149" s="130">
        <f t="shared" si="38"/>
        <v>0</v>
      </c>
      <c r="O149" s="130">
        <f t="shared" si="38"/>
        <v>0</v>
      </c>
      <c r="P149" s="130">
        <f t="shared" si="38"/>
        <v>0</v>
      </c>
      <c r="Q149" s="130">
        <f t="shared" si="38"/>
        <v>0</v>
      </c>
      <c r="R149" s="130">
        <f t="shared" si="38"/>
        <v>0</v>
      </c>
      <c r="S149" s="130">
        <f t="shared" si="38"/>
        <v>0</v>
      </c>
      <c r="T149" s="130">
        <f t="shared" si="38"/>
        <v>0</v>
      </c>
      <c r="U149" s="130">
        <f t="shared" si="38"/>
        <v>0</v>
      </c>
      <c r="V149" s="130">
        <f t="shared" si="38"/>
        <v>0</v>
      </c>
      <c r="W149" s="130">
        <f t="shared" si="38"/>
        <v>0</v>
      </c>
      <c r="X149" s="130">
        <f t="shared" si="38"/>
        <v>0</v>
      </c>
      <c r="Y149" s="130">
        <f t="shared" si="38"/>
        <v>0</v>
      </c>
      <c r="Z149" s="130">
        <f t="shared" si="38"/>
        <v>0</v>
      </c>
      <c r="AA149" s="130">
        <f t="shared" si="38"/>
        <v>0</v>
      </c>
      <c r="AB149" s="130">
        <f t="shared" si="38"/>
        <v>0</v>
      </c>
      <c r="AC149" s="130">
        <f t="shared" si="38"/>
        <v>0</v>
      </c>
      <c r="AD149" s="130">
        <f t="shared" si="38"/>
        <v>1</v>
      </c>
      <c r="AE149" s="130">
        <f t="shared" si="38"/>
        <v>1</v>
      </c>
      <c r="AF149" s="130">
        <f t="shared" si="38"/>
        <v>1</v>
      </c>
      <c r="AG149" s="130">
        <f t="shared" si="38"/>
        <v>1</v>
      </c>
      <c r="AH149" s="130">
        <f t="shared" si="38"/>
        <v>1</v>
      </c>
      <c r="AI149" s="130">
        <f t="shared" si="38"/>
        <v>1</v>
      </c>
      <c r="AJ149" s="49" t="str">
        <f t="shared" si="30"/>
        <v>LD</v>
      </c>
      <c r="AK149" s="62"/>
      <c r="AL149" s="62" t="str">
        <f t="shared" si="33"/>
        <v>3F</v>
      </c>
      <c r="AM149" s="64" t="str">
        <f t="shared" si="34"/>
        <v>00</v>
      </c>
      <c r="AN149" s="64" t="str">
        <f t="shared" si="35"/>
        <v>00</v>
      </c>
      <c r="AO149" s="64" t="str">
        <f t="shared" si="36"/>
        <v>00</v>
      </c>
      <c r="AQ149" t="str">
        <f t="shared" si="31"/>
        <v xml:space="preserve">    (U4)0x0000003FU,                                                           /* 13 LD                                              */</v>
      </c>
    </row>
    <row r="150" spans="2:43">
      <c r="B150" s="138"/>
      <c r="C150" s="49">
        <f t="shared" si="32"/>
        <v>14</v>
      </c>
      <c r="D150" s="130">
        <f t="shared" si="38"/>
        <v>0</v>
      </c>
      <c r="E150" s="130">
        <f t="shared" si="38"/>
        <v>0</v>
      </c>
      <c r="F150" s="130">
        <f t="shared" si="38"/>
        <v>0</v>
      </c>
      <c r="G150" s="130">
        <f t="shared" si="38"/>
        <v>0</v>
      </c>
      <c r="H150" s="130">
        <f t="shared" si="38"/>
        <v>0</v>
      </c>
      <c r="I150" s="130">
        <f t="shared" si="38"/>
        <v>0</v>
      </c>
      <c r="J150" s="130">
        <f t="shared" si="38"/>
        <v>0</v>
      </c>
      <c r="K150" s="130">
        <f t="shared" si="38"/>
        <v>0</v>
      </c>
      <c r="L150" s="130">
        <f t="shared" si="38"/>
        <v>0</v>
      </c>
      <c r="M150" s="130">
        <f t="shared" si="38"/>
        <v>0</v>
      </c>
      <c r="N150" s="130">
        <f t="shared" si="38"/>
        <v>0</v>
      </c>
      <c r="O150" s="130">
        <f t="shared" si="38"/>
        <v>0</v>
      </c>
      <c r="P150" s="130">
        <f t="shared" si="38"/>
        <v>0</v>
      </c>
      <c r="Q150" s="130">
        <f t="shared" si="38"/>
        <v>0</v>
      </c>
      <c r="R150" s="130">
        <f t="shared" si="38"/>
        <v>0</v>
      </c>
      <c r="S150" s="130">
        <f t="shared" si="38"/>
        <v>0</v>
      </c>
      <c r="T150" s="130">
        <f t="shared" si="38"/>
        <v>0</v>
      </c>
      <c r="U150" s="130">
        <f t="shared" si="38"/>
        <v>0</v>
      </c>
      <c r="V150" s="130">
        <f t="shared" si="38"/>
        <v>0</v>
      </c>
      <c r="W150" s="130">
        <f t="shared" si="38"/>
        <v>0</v>
      </c>
      <c r="X150" s="130">
        <f t="shared" si="38"/>
        <v>0</v>
      </c>
      <c r="Y150" s="130">
        <f t="shared" si="38"/>
        <v>0</v>
      </c>
      <c r="Z150" s="130">
        <f t="shared" si="38"/>
        <v>0</v>
      </c>
      <c r="AA150" s="130">
        <f t="shared" si="38"/>
        <v>0</v>
      </c>
      <c r="AB150" s="130">
        <f t="shared" si="38"/>
        <v>0</v>
      </c>
      <c r="AC150" s="130">
        <f t="shared" si="38"/>
        <v>0</v>
      </c>
      <c r="AD150" s="130">
        <f t="shared" si="38"/>
        <v>1</v>
      </c>
      <c r="AE150" s="130">
        <f t="shared" si="38"/>
        <v>1</v>
      </c>
      <c r="AF150" s="130">
        <f t="shared" si="38"/>
        <v>1</v>
      </c>
      <c r="AG150" s="130">
        <f t="shared" si="38"/>
        <v>1</v>
      </c>
      <c r="AH150" s="130">
        <f t="shared" si="38"/>
        <v>1</v>
      </c>
      <c r="AI150" s="130">
        <f t="shared" si="38"/>
        <v>1</v>
      </c>
      <c r="AJ150" s="49" t="str">
        <f t="shared" si="30"/>
        <v>UNKNOWN</v>
      </c>
      <c r="AK150" s="62"/>
      <c r="AL150" s="62" t="str">
        <f t="shared" si="33"/>
        <v>3F</v>
      </c>
      <c r="AM150" s="64" t="str">
        <f t="shared" si="34"/>
        <v>00</v>
      </c>
      <c r="AN150" s="64" t="str">
        <f t="shared" si="35"/>
        <v>00</v>
      </c>
      <c r="AO150" s="64" t="str">
        <f t="shared" si="36"/>
        <v>00</v>
      </c>
      <c r="AQ150" t="str">
        <f t="shared" si="31"/>
        <v xml:space="preserve">    (U4)0x0000003FU,                                                           /* 14 UNKNOWN                                         */</v>
      </c>
    </row>
    <row r="151" spans="2:43">
      <c r="B151" s="138"/>
      <c r="C151" s="49">
        <f t="shared" si="32"/>
        <v>15</v>
      </c>
      <c r="D151" s="130">
        <f t="shared" si="38"/>
        <v>0</v>
      </c>
      <c r="E151" s="130">
        <f t="shared" si="38"/>
        <v>0</v>
      </c>
      <c r="F151" s="130">
        <f t="shared" si="38"/>
        <v>0</v>
      </c>
      <c r="G151" s="130">
        <f t="shared" si="38"/>
        <v>0</v>
      </c>
      <c r="H151" s="130">
        <f t="shared" si="38"/>
        <v>0</v>
      </c>
      <c r="I151" s="130">
        <f t="shared" si="38"/>
        <v>0</v>
      </c>
      <c r="J151" s="130">
        <f t="shared" si="38"/>
        <v>0</v>
      </c>
      <c r="K151" s="130">
        <f t="shared" si="38"/>
        <v>0</v>
      </c>
      <c r="L151" s="130">
        <f t="shared" si="38"/>
        <v>0</v>
      </c>
      <c r="M151" s="130">
        <f t="shared" si="38"/>
        <v>0</v>
      </c>
      <c r="N151" s="130">
        <f t="shared" si="38"/>
        <v>0</v>
      </c>
      <c r="O151" s="130">
        <f t="shared" si="38"/>
        <v>0</v>
      </c>
      <c r="P151" s="130">
        <f t="shared" si="38"/>
        <v>0</v>
      </c>
      <c r="Q151" s="130">
        <f t="shared" si="38"/>
        <v>0</v>
      </c>
      <c r="R151" s="130">
        <f t="shared" si="38"/>
        <v>0</v>
      </c>
      <c r="S151" s="130">
        <f t="shared" si="38"/>
        <v>0</v>
      </c>
      <c r="T151" s="130">
        <f t="shared" si="38"/>
        <v>0</v>
      </c>
      <c r="U151" s="130">
        <f t="shared" si="38"/>
        <v>0</v>
      </c>
      <c r="V151" s="130">
        <f t="shared" si="38"/>
        <v>0</v>
      </c>
      <c r="W151" s="130">
        <f t="shared" si="38"/>
        <v>0</v>
      </c>
      <c r="X151" s="130">
        <f t="shared" si="38"/>
        <v>0</v>
      </c>
      <c r="Y151" s="130">
        <f t="shared" si="38"/>
        <v>0</v>
      </c>
      <c r="Z151" s="130">
        <f t="shared" si="38"/>
        <v>0</v>
      </c>
      <c r="AA151" s="130">
        <f t="shared" si="38"/>
        <v>0</v>
      </c>
      <c r="AB151" s="130">
        <f t="shared" si="38"/>
        <v>0</v>
      </c>
      <c r="AC151" s="130">
        <f t="shared" si="38"/>
        <v>0</v>
      </c>
      <c r="AD151" s="130">
        <f t="shared" si="38"/>
        <v>1</v>
      </c>
      <c r="AE151" s="130">
        <f t="shared" si="38"/>
        <v>1</v>
      </c>
      <c r="AF151" s="130">
        <f t="shared" si="38"/>
        <v>1</v>
      </c>
      <c r="AG151" s="130">
        <f t="shared" si="38"/>
        <v>1</v>
      </c>
      <c r="AH151" s="130">
        <f t="shared" si="38"/>
        <v>1</v>
      </c>
      <c r="AI151" s="130">
        <f t="shared" ref="AI151" si="39">IF(OR(AI21=0,AI21=1),1,0)</f>
        <v>1</v>
      </c>
      <c r="AJ151" s="49" t="str">
        <f t="shared" si="30"/>
        <v>UNKNOWN</v>
      </c>
      <c r="AK151" s="62"/>
      <c r="AL151" s="62" t="str">
        <f t="shared" si="33"/>
        <v>3F</v>
      </c>
      <c r="AM151" s="64" t="str">
        <f t="shared" si="34"/>
        <v>00</v>
      </c>
      <c r="AN151" s="64" t="str">
        <f t="shared" si="35"/>
        <v>00</v>
      </c>
      <c r="AO151" s="64" t="str">
        <f t="shared" si="36"/>
        <v>00</v>
      </c>
      <c r="AQ151" t="str">
        <f t="shared" si="31"/>
        <v xml:space="preserve">    (U4)0x0000003FU,                                                           /* 15 UNKNOWN                                         */</v>
      </c>
    </row>
    <row r="152" spans="2:43">
      <c r="B152" s="138"/>
      <c r="C152" s="49">
        <f t="shared" si="32"/>
        <v>16</v>
      </c>
      <c r="D152" s="130">
        <f t="shared" ref="D152:AI159" si="40">IF(OR(D22=0,D22=1),1,0)</f>
        <v>0</v>
      </c>
      <c r="E152" s="130">
        <f t="shared" si="40"/>
        <v>0</v>
      </c>
      <c r="F152" s="130">
        <f t="shared" si="40"/>
        <v>0</v>
      </c>
      <c r="G152" s="130">
        <f t="shared" si="40"/>
        <v>0</v>
      </c>
      <c r="H152" s="130">
        <f t="shared" si="40"/>
        <v>0</v>
      </c>
      <c r="I152" s="130">
        <f t="shared" si="40"/>
        <v>0</v>
      </c>
      <c r="J152" s="130">
        <f t="shared" si="40"/>
        <v>0</v>
      </c>
      <c r="K152" s="130">
        <f t="shared" si="40"/>
        <v>0</v>
      </c>
      <c r="L152" s="130">
        <f t="shared" si="40"/>
        <v>0</v>
      </c>
      <c r="M152" s="130">
        <f t="shared" si="40"/>
        <v>0</v>
      </c>
      <c r="N152" s="130">
        <f t="shared" si="40"/>
        <v>0</v>
      </c>
      <c r="O152" s="130">
        <f t="shared" si="40"/>
        <v>0</v>
      </c>
      <c r="P152" s="130">
        <f t="shared" si="40"/>
        <v>0</v>
      </c>
      <c r="Q152" s="130">
        <f t="shared" si="40"/>
        <v>0</v>
      </c>
      <c r="R152" s="130">
        <f t="shared" si="40"/>
        <v>0</v>
      </c>
      <c r="S152" s="130">
        <f t="shared" si="40"/>
        <v>0</v>
      </c>
      <c r="T152" s="130">
        <f t="shared" si="40"/>
        <v>0</v>
      </c>
      <c r="U152" s="130">
        <f t="shared" si="40"/>
        <v>0</v>
      </c>
      <c r="V152" s="130">
        <f t="shared" si="40"/>
        <v>0</v>
      </c>
      <c r="W152" s="130">
        <f t="shared" si="40"/>
        <v>0</v>
      </c>
      <c r="X152" s="130">
        <f t="shared" si="40"/>
        <v>0</v>
      </c>
      <c r="Y152" s="130">
        <f t="shared" si="40"/>
        <v>0</v>
      </c>
      <c r="Z152" s="130">
        <f t="shared" si="40"/>
        <v>0</v>
      </c>
      <c r="AA152" s="130">
        <f t="shared" si="40"/>
        <v>0</v>
      </c>
      <c r="AB152" s="130">
        <f t="shared" si="40"/>
        <v>0</v>
      </c>
      <c r="AC152" s="130">
        <f t="shared" si="40"/>
        <v>0</v>
      </c>
      <c r="AD152" s="130">
        <f t="shared" si="40"/>
        <v>1</v>
      </c>
      <c r="AE152" s="130">
        <f t="shared" si="40"/>
        <v>1</v>
      </c>
      <c r="AF152" s="130">
        <f t="shared" si="40"/>
        <v>1</v>
      </c>
      <c r="AG152" s="130">
        <f t="shared" si="40"/>
        <v>1</v>
      </c>
      <c r="AH152" s="130">
        <f t="shared" si="40"/>
        <v>1</v>
      </c>
      <c r="AI152" s="130">
        <f t="shared" si="40"/>
        <v>1</v>
      </c>
      <c r="AJ152" s="49" t="str">
        <f t="shared" si="30"/>
        <v>UNKNOWN</v>
      </c>
      <c r="AK152" s="62"/>
      <c r="AL152" s="62" t="str">
        <f t="shared" si="33"/>
        <v>3F</v>
      </c>
      <c r="AM152" s="64" t="str">
        <f t="shared" si="34"/>
        <v>00</v>
      </c>
      <c r="AN152" s="64" t="str">
        <f t="shared" si="35"/>
        <v>00</v>
      </c>
      <c r="AO152" s="64" t="str">
        <f t="shared" si="36"/>
        <v>00</v>
      </c>
      <c r="AQ152" t="str">
        <f t="shared" si="31"/>
        <v xml:space="preserve">    (U4)0x0000003FU,                                                           /* 16 UNKNOWN                                         */</v>
      </c>
    </row>
    <row r="153" spans="2:43">
      <c r="B153" s="138"/>
      <c r="C153" s="49">
        <f t="shared" si="32"/>
        <v>17</v>
      </c>
      <c r="D153" s="130">
        <f t="shared" si="40"/>
        <v>0</v>
      </c>
      <c r="E153" s="130">
        <f t="shared" si="40"/>
        <v>0</v>
      </c>
      <c r="F153" s="130">
        <f t="shared" si="40"/>
        <v>0</v>
      </c>
      <c r="G153" s="130">
        <f t="shared" si="40"/>
        <v>0</v>
      </c>
      <c r="H153" s="130">
        <f t="shared" si="40"/>
        <v>0</v>
      </c>
      <c r="I153" s="130">
        <f t="shared" si="40"/>
        <v>0</v>
      </c>
      <c r="J153" s="130">
        <f t="shared" si="40"/>
        <v>0</v>
      </c>
      <c r="K153" s="130">
        <f t="shared" si="40"/>
        <v>0</v>
      </c>
      <c r="L153" s="130">
        <f t="shared" si="40"/>
        <v>0</v>
      </c>
      <c r="M153" s="130">
        <f t="shared" si="40"/>
        <v>0</v>
      </c>
      <c r="N153" s="130">
        <f t="shared" si="40"/>
        <v>0</v>
      </c>
      <c r="O153" s="130">
        <f t="shared" si="40"/>
        <v>0</v>
      </c>
      <c r="P153" s="130">
        <f t="shared" si="40"/>
        <v>0</v>
      </c>
      <c r="Q153" s="130">
        <f t="shared" si="40"/>
        <v>0</v>
      </c>
      <c r="R153" s="130">
        <f t="shared" si="40"/>
        <v>0</v>
      </c>
      <c r="S153" s="130">
        <f t="shared" si="40"/>
        <v>0</v>
      </c>
      <c r="T153" s="130">
        <f t="shared" si="40"/>
        <v>0</v>
      </c>
      <c r="U153" s="130">
        <f t="shared" si="40"/>
        <v>0</v>
      </c>
      <c r="V153" s="130">
        <f t="shared" si="40"/>
        <v>0</v>
      </c>
      <c r="W153" s="130">
        <f t="shared" si="40"/>
        <v>0</v>
      </c>
      <c r="X153" s="130">
        <f t="shared" si="40"/>
        <v>0</v>
      </c>
      <c r="Y153" s="130">
        <f t="shared" si="40"/>
        <v>0</v>
      </c>
      <c r="Z153" s="130">
        <f t="shared" si="40"/>
        <v>0</v>
      </c>
      <c r="AA153" s="130">
        <f t="shared" si="40"/>
        <v>0</v>
      </c>
      <c r="AB153" s="130">
        <f t="shared" si="40"/>
        <v>0</v>
      </c>
      <c r="AC153" s="130">
        <f t="shared" si="40"/>
        <v>0</v>
      </c>
      <c r="AD153" s="130">
        <f t="shared" si="40"/>
        <v>1</v>
      </c>
      <c r="AE153" s="130">
        <f t="shared" si="40"/>
        <v>1</v>
      </c>
      <c r="AF153" s="130">
        <f t="shared" si="40"/>
        <v>1</v>
      </c>
      <c r="AG153" s="130">
        <f t="shared" si="40"/>
        <v>1</v>
      </c>
      <c r="AH153" s="130">
        <f t="shared" si="40"/>
        <v>1</v>
      </c>
      <c r="AI153" s="130">
        <f t="shared" si="40"/>
        <v>1</v>
      </c>
      <c r="AJ153" s="49" t="str">
        <f t="shared" si="30"/>
        <v>UNKNOWN</v>
      </c>
      <c r="AK153" s="62"/>
      <c r="AL153" s="62" t="str">
        <f t="shared" si="33"/>
        <v>3F</v>
      </c>
      <c r="AM153" s="64" t="str">
        <f t="shared" si="34"/>
        <v>00</v>
      </c>
      <c r="AN153" s="64" t="str">
        <f t="shared" si="35"/>
        <v>00</v>
      </c>
      <c r="AO153" s="64" t="str">
        <f t="shared" si="36"/>
        <v>00</v>
      </c>
      <c r="AQ153" t="str">
        <f t="shared" si="31"/>
        <v xml:space="preserve">    (U4)0x0000003FU,                                                           /* 17 UNKNOWN                                         */</v>
      </c>
    </row>
    <row r="154" spans="2:43">
      <c r="B154" s="138"/>
      <c r="C154" s="49">
        <f t="shared" si="32"/>
        <v>18</v>
      </c>
      <c r="D154" s="130">
        <f t="shared" si="40"/>
        <v>0</v>
      </c>
      <c r="E154" s="130">
        <f t="shared" si="40"/>
        <v>0</v>
      </c>
      <c r="F154" s="130">
        <f t="shared" si="40"/>
        <v>0</v>
      </c>
      <c r="G154" s="130">
        <f t="shared" si="40"/>
        <v>0</v>
      </c>
      <c r="H154" s="130">
        <f t="shared" si="40"/>
        <v>0</v>
      </c>
      <c r="I154" s="130">
        <f t="shared" si="40"/>
        <v>0</v>
      </c>
      <c r="J154" s="130">
        <f t="shared" si="40"/>
        <v>0</v>
      </c>
      <c r="K154" s="130">
        <f t="shared" si="40"/>
        <v>0</v>
      </c>
      <c r="L154" s="130">
        <f t="shared" si="40"/>
        <v>0</v>
      </c>
      <c r="M154" s="130">
        <f t="shared" si="40"/>
        <v>0</v>
      </c>
      <c r="N154" s="130">
        <f t="shared" si="40"/>
        <v>0</v>
      </c>
      <c r="O154" s="130">
        <f t="shared" si="40"/>
        <v>0</v>
      </c>
      <c r="P154" s="130">
        <f t="shared" si="40"/>
        <v>0</v>
      </c>
      <c r="Q154" s="130">
        <f t="shared" si="40"/>
        <v>0</v>
      </c>
      <c r="R154" s="130">
        <f t="shared" si="40"/>
        <v>0</v>
      </c>
      <c r="S154" s="130">
        <f t="shared" si="40"/>
        <v>0</v>
      </c>
      <c r="T154" s="130">
        <f t="shared" si="40"/>
        <v>0</v>
      </c>
      <c r="U154" s="130">
        <f t="shared" si="40"/>
        <v>0</v>
      </c>
      <c r="V154" s="130">
        <f t="shared" si="40"/>
        <v>0</v>
      </c>
      <c r="W154" s="130">
        <f t="shared" si="40"/>
        <v>0</v>
      </c>
      <c r="X154" s="130">
        <f t="shared" si="40"/>
        <v>0</v>
      </c>
      <c r="Y154" s="130">
        <f t="shared" si="40"/>
        <v>0</v>
      </c>
      <c r="Z154" s="130">
        <f t="shared" si="40"/>
        <v>0</v>
      </c>
      <c r="AA154" s="130">
        <f t="shared" si="40"/>
        <v>0</v>
      </c>
      <c r="AB154" s="130">
        <f t="shared" si="40"/>
        <v>0</v>
      </c>
      <c r="AC154" s="130">
        <f t="shared" si="40"/>
        <v>0</v>
      </c>
      <c r="AD154" s="130">
        <f t="shared" si="40"/>
        <v>1</v>
      </c>
      <c r="AE154" s="130">
        <f t="shared" si="40"/>
        <v>1</v>
      </c>
      <c r="AF154" s="130">
        <f t="shared" si="40"/>
        <v>1</v>
      </c>
      <c r="AG154" s="130">
        <f t="shared" si="40"/>
        <v>1</v>
      </c>
      <c r="AH154" s="130">
        <f t="shared" si="40"/>
        <v>1</v>
      </c>
      <c r="AI154" s="130">
        <f t="shared" si="40"/>
        <v>1</v>
      </c>
      <c r="AJ154" s="49" t="str">
        <f t="shared" si="30"/>
        <v>UNKNOWN</v>
      </c>
      <c r="AK154" s="62"/>
      <c r="AL154" s="62" t="str">
        <f t="shared" si="33"/>
        <v>3F</v>
      </c>
      <c r="AM154" s="64" t="str">
        <f t="shared" si="34"/>
        <v>00</v>
      </c>
      <c r="AN154" s="64" t="str">
        <f t="shared" si="35"/>
        <v>00</v>
      </c>
      <c r="AO154" s="64" t="str">
        <f t="shared" si="36"/>
        <v>00</v>
      </c>
      <c r="AQ154" t="str">
        <f t="shared" si="31"/>
        <v xml:space="preserve">    (U4)0x0000003FU,                                                           /* 18 UNKNOWN                                         */</v>
      </c>
    </row>
    <row r="155" spans="2:43">
      <c r="B155" s="138"/>
      <c r="C155" s="49">
        <f t="shared" si="32"/>
        <v>19</v>
      </c>
      <c r="D155" s="130">
        <f t="shared" si="40"/>
        <v>0</v>
      </c>
      <c r="E155" s="130">
        <f t="shared" si="40"/>
        <v>0</v>
      </c>
      <c r="F155" s="130">
        <f t="shared" si="40"/>
        <v>0</v>
      </c>
      <c r="G155" s="130">
        <f t="shared" si="40"/>
        <v>0</v>
      </c>
      <c r="H155" s="130">
        <f t="shared" si="40"/>
        <v>0</v>
      </c>
      <c r="I155" s="130">
        <f t="shared" si="40"/>
        <v>0</v>
      </c>
      <c r="J155" s="130">
        <f t="shared" si="40"/>
        <v>0</v>
      </c>
      <c r="K155" s="130">
        <f t="shared" si="40"/>
        <v>0</v>
      </c>
      <c r="L155" s="130">
        <f t="shared" si="40"/>
        <v>0</v>
      </c>
      <c r="M155" s="130">
        <f t="shared" si="40"/>
        <v>0</v>
      </c>
      <c r="N155" s="130">
        <f t="shared" si="40"/>
        <v>0</v>
      </c>
      <c r="O155" s="130">
        <f t="shared" si="40"/>
        <v>0</v>
      </c>
      <c r="P155" s="130">
        <f t="shared" si="40"/>
        <v>0</v>
      </c>
      <c r="Q155" s="130">
        <f t="shared" si="40"/>
        <v>0</v>
      </c>
      <c r="R155" s="130">
        <f t="shared" si="40"/>
        <v>0</v>
      </c>
      <c r="S155" s="130">
        <f t="shared" si="40"/>
        <v>0</v>
      </c>
      <c r="T155" s="130">
        <f t="shared" si="40"/>
        <v>0</v>
      </c>
      <c r="U155" s="130">
        <f t="shared" si="40"/>
        <v>0</v>
      </c>
      <c r="V155" s="130">
        <f t="shared" si="40"/>
        <v>0</v>
      </c>
      <c r="W155" s="130">
        <f t="shared" si="40"/>
        <v>0</v>
      </c>
      <c r="X155" s="130">
        <f t="shared" si="40"/>
        <v>0</v>
      </c>
      <c r="Y155" s="130">
        <f t="shared" si="40"/>
        <v>0</v>
      </c>
      <c r="Z155" s="130">
        <f t="shared" si="40"/>
        <v>0</v>
      </c>
      <c r="AA155" s="130">
        <f t="shared" si="40"/>
        <v>0</v>
      </c>
      <c r="AB155" s="130">
        <f t="shared" si="40"/>
        <v>0</v>
      </c>
      <c r="AC155" s="130">
        <f t="shared" si="40"/>
        <v>0</v>
      </c>
      <c r="AD155" s="130">
        <f t="shared" si="40"/>
        <v>1</v>
      </c>
      <c r="AE155" s="130">
        <f t="shared" si="40"/>
        <v>1</v>
      </c>
      <c r="AF155" s="130">
        <f t="shared" si="40"/>
        <v>1</v>
      </c>
      <c r="AG155" s="130">
        <f t="shared" si="40"/>
        <v>1</v>
      </c>
      <c r="AH155" s="130">
        <f t="shared" si="40"/>
        <v>1</v>
      </c>
      <c r="AI155" s="130">
        <f t="shared" si="40"/>
        <v>1</v>
      </c>
      <c r="AJ155" s="49" t="str">
        <f t="shared" si="30"/>
        <v>UNKNOWN</v>
      </c>
      <c r="AK155" s="62"/>
      <c r="AL155" s="62" t="str">
        <f t="shared" si="33"/>
        <v>3F</v>
      </c>
      <c r="AM155" s="64" t="str">
        <f t="shared" si="34"/>
        <v>00</v>
      </c>
      <c r="AN155" s="64" t="str">
        <f t="shared" si="35"/>
        <v>00</v>
      </c>
      <c r="AO155" s="64" t="str">
        <f t="shared" si="36"/>
        <v>00</v>
      </c>
      <c r="AQ155" t="str">
        <f t="shared" si="31"/>
        <v xml:space="preserve">    (U4)0x0000003FU,                                                           /* 19 UNKNOWN                                         */</v>
      </c>
    </row>
    <row r="156" spans="2:43">
      <c r="B156" s="138"/>
      <c r="C156" s="49">
        <f t="shared" si="32"/>
        <v>20</v>
      </c>
      <c r="D156" s="130">
        <f t="shared" si="40"/>
        <v>0</v>
      </c>
      <c r="E156" s="130">
        <f t="shared" si="40"/>
        <v>0</v>
      </c>
      <c r="F156" s="130">
        <f t="shared" si="40"/>
        <v>0</v>
      </c>
      <c r="G156" s="130">
        <f t="shared" si="40"/>
        <v>0</v>
      </c>
      <c r="H156" s="130">
        <f t="shared" si="40"/>
        <v>0</v>
      </c>
      <c r="I156" s="130">
        <f t="shared" si="40"/>
        <v>0</v>
      </c>
      <c r="J156" s="130">
        <f t="shared" si="40"/>
        <v>0</v>
      </c>
      <c r="K156" s="130">
        <f t="shared" si="40"/>
        <v>0</v>
      </c>
      <c r="L156" s="130">
        <f t="shared" si="40"/>
        <v>0</v>
      </c>
      <c r="M156" s="130">
        <f t="shared" si="40"/>
        <v>0</v>
      </c>
      <c r="N156" s="130">
        <f t="shared" si="40"/>
        <v>0</v>
      </c>
      <c r="O156" s="130">
        <f t="shared" si="40"/>
        <v>0</v>
      </c>
      <c r="P156" s="130">
        <f t="shared" si="40"/>
        <v>0</v>
      </c>
      <c r="Q156" s="130">
        <f t="shared" si="40"/>
        <v>0</v>
      </c>
      <c r="R156" s="130">
        <f t="shared" si="40"/>
        <v>0</v>
      </c>
      <c r="S156" s="130">
        <f t="shared" si="40"/>
        <v>0</v>
      </c>
      <c r="T156" s="130">
        <f t="shared" si="40"/>
        <v>0</v>
      </c>
      <c r="U156" s="130">
        <f t="shared" si="40"/>
        <v>0</v>
      </c>
      <c r="V156" s="130">
        <f t="shared" si="40"/>
        <v>0</v>
      </c>
      <c r="W156" s="130">
        <f t="shared" si="40"/>
        <v>0</v>
      </c>
      <c r="X156" s="130">
        <f t="shared" si="40"/>
        <v>0</v>
      </c>
      <c r="Y156" s="130">
        <f t="shared" si="40"/>
        <v>0</v>
      </c>
      <c r="Z156" s="130">
        <f t="shared" si="40"/>
        <v>0</v>
      </c>
      <c r="AA156" s="130">
        <f t="shared" si="40"/>
        <v>0</v>
      </c>
      <c r="AB156" s="130">
        <f t="shared" si="40"/>
        <v>0</v>
      </c>
      <c r="AC156" s="130">
        <f t="shared" si="40"/>
        <v>0</v>
      </c>
      <c r="AD156" s="130">
        <f t="shared" si="40"/>
        <v>1</v>
      </c>
      <c r="AE156" s="130">
        <f t="shared" si="40"/>
        <v>1</v>
      </c>
      <c r="AF156" s="130">
        <f t="shared" si="40"/>
        <v>1</v>
      </c>
      <c r="AG156" s="130">
        <f t="shared" si="40"/>
        <v>1</v>
      </c>
      <c r="AH156" s="130">
        <f t="shared" si="40"/>
        <v>1</v>
      </c>
      <c r="AI156" s="130">
        <f t="shared" si="40"/>
        <v>1</v>
      </c>
      <c r="AJ156" s="49" t="str">
        <f t="shared" si="30"/>
        <v>UNKNOWN</v>
      </c>
      <c r="AK156" s="62"/>
      <c r="AL156" s="62" t="str">
        <f t="shared" si="33"/>
        <v>3F</v>
      </c>
      <c r="AM156" s="64" t="str">
        <f t="shared" si="34"/>
        <v>00</v>
      </c>
      <c r="AN156" s="64" t="str">
        <f t="shared" si="35"/>
        <v>00</v>
      </c>
      <c r="AO156" s="64" t="str">
        <f t="shared" si="36"/>
        <v>00</v>
      </c>
      <c r="AQ156" t="str">
        <f t="shared" si="31"/>
        <v xml:space="preserve">    (U4)0x0000003FU,                                                           /* 20 UNKNOWN                                         */</v>
      </c>
    </row>
    <row r="157" spans="2:43">
      <c r="B157" s="138"/>
      <c r="C157" s="49">
        <f t="shared" si="32"/>
        <v>21</v>
      </c>
      <c r="D157" s="130">
        <f t="shared" si="40"/>
        <v>0</v>
      </c>
      <c r="E157" s="130">
        <f t="shared" si="40"/>
        <v>0</v>
      </c>
      <c r="F157" s="130">
        <f t="shared" si="40"/>
        <v>0</v>
      </c>
      <c r="G157" s="130">
        <f t="shared" si="40"/>
        <v>0</v>
      </c>
      <c r="H157" s="130">
        <f t="shared" si="40"/>
        <v>0</v>
      </c>
      <c r="I157" s="130">
        <f t="shared" si="40"/>
        <v>0</v>
      </c>
      <c r="J157" s="130">
        <f t="shared" si="40"/>
        <v>0</v>
      </c>
      <c r="K157" s="130">
        <f t="shared" si="40"/>
        <v>0</v>
      </c>
      <c r="L157" s="130">
        <f t="shared" si="40"/>
        <v>0</v>
      </c>
      <c r="M157" s="130">
        <f t="shared" si="40"/>
        <v>0</v>
      </c>
      <c r="N157" s="130">
        <f t="shared" si="40"/>
        <v>0</v>
      </c>
      <c r="O157" s="130">
        <f t="shared" si="40"/>
        <v>0</v>
      </c>
      <c r="P157" s="130">
        <f t="shared" si="40"/>
        <v>0</v>
      </c>
      <c r="Q157" s="130">
        <f t="shared" si="40"/>
        <v>0</v>
      </c>
      <c r="R157" s="130">
        <f t="shared" si="40"/>
        <v>0</v>
      </c>
      <c r="S157" s="130">
        <f t="shared" si="40"/>
        <v>0</v>
      </c>
      <c r="T157" s="130">
        <f t="shared" si="40"/>
        <v>0</v>
      </c>
      <c r="U157" s="130">
        <f t="shared" si="40"/>
        <v>0</v>
      </c>
      <c r="V157" s="130">
        <f t="shared" si="40"/>
        <v>0</v>
      </c>
      <c r="W157" s="130">
        <f t="shared" si="40"/>
        <v>0</v>
      </c>
      <c r="X157" s="130">
        <f t="shared" si="40"/>
        <v>0</v>
      </c>
      <c r="Y157" s="130">
        <f t="shared" si="40"/>
        <v>0</v>
      </c>
      <c r="Z157" s="130">
        <f t="shared" si="40"/>
        <v>0</v>
      </c>
      <c r="AA157" s="130">
        <f t="shared" si="40"/>
        <v>0</v>
      </c>
      <c r="AB157" s="130">
        <f t="shared" si="40"/>
        <v>0</v>
      </c>
      <c r="AC157" s="130">
        <f t="shared" si="40"/>
        <v>0</v>
      </c>
      <c r="AD157" s="130">
        <f t="shared" si="40"/>
        <v>1</v>
      </c>
      <c r="AE157" s="130">
        <f t="shared" si="40"/>
        <v>1</v>
      </c>
      <c r="AF157" s="130">
        <f t="shared" si="40"/>
        <v>1</v>
      </c>
      <c r="AG157" s="130">
        <f t="shared" si="40"/>
        <v>1</v>
      </c>
      <c r="AH157" s="130">
        <f t="shared" si="40"/>
        <v>1</v>
      </c>
      <c r="AI157" s="130">
        <f t="shared" si="40"/>
        <v>1</v>
      </c>
      <c r="AJ157" s="49" t="str">
        <f t="shared" si="30"/>
        <v>UNKNOWN</v>
      </c>
      <c r="AK157" s="62"/>
      <c r="AL157" s="62" t="str">
        <f t="shared" si="33"/>
        <v>3F</v>
      </c>
      <c r="AM157" s="64" t="str">
        <f t="shared" si="34"/>
        <v>00</v>
      </c>
      <c r="AN157" s="64" t="str">
        <f t="shared" si="35"/>
        <v>00</v>
      </c>
      <c r="AO157" s="64" t="str">
        <f t="shared" si="36"/>
        <v>00</v>
      </c>
      <c r="AQ157" t="str">
        <f t="shared" si="31"/>
        <v xml:space="preserve">    (U4)0x0000003FU,                                                           /* 21 UNKNOWN                                         */</v>
      </c>
    </row>
    <row r="158" spans="2:43">
      <c r="B158" s="138"/>
      <c r="C158" s="49">
        <f t="shared" si="32"/>
        <v>22</v>
      </c>
      <c r="D158" s="130">
        <f t="shared" si="40"/>
        <v>0</v>
      </c>
      <c r="E158" s="130">
        <f t="shared" si="40"/>
        <v>0</v>
      </c>
      <c r="F158" s="130">
        <f t="shared" si="40"/>
        <v>0</v>
      </c>
      <c r="G158" s="130">
        <f t="shared" si="40"/>
        <v>0</v>
      </c>
      <c r="H158" s="130">
        <f t="shared" si="40"/>
        <v>0</v>
      </c>
      <c r="I158" s="130">
        <f t="shared" si="40"/>
        <v>0</v>
      </c>
      <c r="J158" s="130">
        <f t="shared" si="40"/>
        <v>0</v>
      </c>
      <c r="K158" s="130">
        <f t="shared" si="40"/>
        <v>0</v>
      </c>
      <c r="L158" s="130">
        <f t="shared" si="40"/>
        <v>0</v>
      </c>
      <c r="M158" s="130">
        <f t="shared" si="40"/>
        <v>0</v>
      </c>
      <c r="N158" s="130">
        <f t="shared" si="40"/>
        <v>0</v>
      </c>
      <c r="O158" s="130">
        <f t="shared" si="40"/>
        <v>0</v>
      </c>
      <c r="P158" s="130">
        <f t="shared" si="40"/>
        <v>0</v>
      </c>
      <c r="Q158" s="130">
        <f t="shared" si="40"/>
        <v>0</v>
      </c>
      <c r="R158" s="130">
        <f t="shared" si="40"/>
        <v>0</v>
      </c>
      <c r="S158" s="130">
        <f t="shared" si="40"/>
        <v>0</v>
      </c>
      <c r="T158" s="130">
        <f t="shared" si="40"/>
        <v>0</v>
      </c>
      <c r="U158" s="130">
        <f t="shared" si="40"/>
        <v>0</v>
      </c>
      <c r="V158" s="130">
        <f t="shared" si="40"/>
        <v>0</v>
      </c>
      <c r="W158" s="130">
        <f t="shared" si="40"/>
        <v>0</v>
      </c>
      <c r="X158" s="130">
        <f t="shared" si="40"/>
        <v>0</v>
      </c>
      <c r="Y158" s="130">
        <f t="shared" si="40"/>
        <v>0</v>
      </c>
      <c r="Z158" s="130">
        <f t="shared" si="40"/>
        <v>0</v>
      </c>
      <c r="AA158" s="130">
        <f t="shared" si="40"/>
        <v>0</v>
      </c>
      <c r="AB158" s="130">
        <f t="shared" si="40"/>
        <v>0</v>
      </c>
      <c r="AC158" s="130">
        <f t="shared" si="40"/>
        <v>0</v>
      </c>
      <c r="AD158" s="130">
        <f t="shared" si="40"/>
        <v>1</v>
      </c>
      <c r="AE158" s="130">
        <f t="shared" si="40"/>
        <v>1</v>
      </c>
      <c r="AF158" s="130">
        <f t="shared" si="40"/>
        <v>1</v>
      </c>
      <c r="AG158" s="130">
        <f t="shared" si="40"/>
        <v>1</v>
      </c>
      <c r="AH158" s="130">
        <f t="shared" si="40"/>
        <v>1</v>
      </c>
      <c r="AI158" s="130">
        <f t="shared" si="40"/>
        <v>1</v>
      </c>
      <c r="AJ158" s="49" t="str">
        <f t="shared" si="30"/>
        <v>UNKNOWN</v>
      </c>
      <c r="AK158" s="62"/>
      <c r="AL158" s="62" t="str">
        <f t="shared" si="33"/>
        <v>3F</v>
      </c>
      <c r="AM158" s="64" t="str">
        <f t="shared" si="34"/>
        <v>00</v>
      </c>
      <c r="AN158" s="64" t="str">
        <f t="shared" si="35"/>
        <v>00</v>
      </c>
      <c r="AO158" s="64" t="str">
        <f t="shared" si="36"/>
        <v>00</v>
      </c>
      <c r="AQ158" t="str">
        <f t="shared" si="31"/>
        <v xml:space="preserve">    (U4)0x0000003FU,                                                           /* 22 UNKNOWN                                         */</v>
      </c>
    </row>
    <row r="159" spans="2:43">
      <c r="B159" s="138"/>
      <c r="C159" s="49">
        <f t="shared" si="32"/>
        <v>23</v>
      </c>
      <c r="D159" s="130">
        <f t="shared" si="40"/>
        <v>0</v>
      </c>
      <c r="E159" s="130">
        <f t="shared" si="40"/>
        <v>0</v>
      </c>
      <c r="F159" s="130">
        <f t="shared" si="40"/>
        <v>0</v>
      </c>
      <c r="G159" s="130">
        <f t="shared" si="40"/>
        <v>0</v>
      </c>
      <c r="H159" s="130">
        <f t="shared" si="40"/>
        <v>0</v>
      </c>
      <c r="I159" s="130">
        <f t="shared" si="40"/>
        <v>0</v>
      </c>
      <c r="J159" s="130">
        <f t="shared" si="40"/>
        <v>0</v>
      </c>
      <c r="K159" s="130">
        <f t="shared" si="40"/>
        <v>0</v>
      </c>
      <c r="L159" s="130">
        <f t="shared" si="40"/>
        <v>0</v>
      </c>
      <c r="M159" s="130">
        <f t="shared" si="40"/>
        <v>0</v>
      </c>
      <c r="N159" s="130">
        <f t="shared" si="40"/>
        <v>0</v>
      </c>
      <c r="O159" s="130">
        <f t="shared" si="40"/>
        <v>0</v>
      </c>
      <c r="P159" s="130">
        <f t="shared" si="40"/>
        <v>0</v>
      </c>
      <c r="Q159" s="130">
        <f t="shared" si="40"/>
        <v>0</v>
      </c>
      <c r="R159" s="130">
        <f t="shared" si="40"/>
        <v>0</v>
      </c>
      <c r="S159" s="130">
        <f t="shared" si="40"/>
        <v>0</v>
      </c>
      <c r="T159" s="130">
        <f t="shared" si="40"/>
        <v>0</v>
      </c>
      <c r="U159" s="130">
        <f t="shared" si="40"/>
        <v>0</v>
      </c>
      <c r="V159" s="130">
        <f t="shared" si="40"/>
        <v>0</v>
      </c>
      <c r="W159" s="130">
        <f t="shared" si="40"/>
        <v>0</v>
      </c>
      <c r="X159" s="130">
        <f t="shared" si="40"/>
        <v>0</v>
      </c>
      <c r="Y159" s="130">
        <f t="shared" si="40"/>
        <v>0</v>
      </c>
      <c r="Z159" s="130">
        <f t="shared" si="40"/>
        <v>0</v>
      </c>
      <c r="AA159" s="130">
        <f t="shared" si="40"/>
        <v>0</v>
      </c>
      <c r="AB159" s="130">
        <f t="shared" si="40"/>
        <v>0</v>
      </c>
      <c r="AC159" s="130">
        <f t="shared" si="40"/>
        <v>0</v>
      </c>
      <c r="AD159" s="130">
        <f t="shared" si="40"/>
        <v>1</v>
      </c>
      <c r="AE159" s="130">
        <f t="shared" si="40"/>
        <v>1</v>
      </c>
      <c r="AF159" s="130">
        <f t="shared" si="40"/>
        <v>1</v>
      </c>
      <c r="AG159" s="130">
        <f t="shared" si="40"/>
        <v>1</v>
      </c>
      <c r="AH159" s="130">
        <f t="shared" si="40"/>
        <v>1</v>
      </c>
      <c r="AI159" s="130">
        <f t="shared" ref="AI159" si="41">IF(OR(AI29=0,AI29=1),1,0)</f>
        <v>1</v>
      </c>
      <c r="AJ159" s="49" t="str">
        <f t="shared" si="30"/>
        <v>UNKNOWN</v>
      </c>
      <c r="AK159" s="62"/>
      <c r="AL159" s="62" t="str">
        <f t="shared" si="33"/>
        <v>3F</v>
      </c>
      <c r="AM159" s="64" t="str">
        <f t="shared" si="34"/>
        <v>00</v>
      </c>
      <c r="AN159" s="64" t="str">
        <f t="shared" si="35"/>
        <v>00</v>
      </c>
      <c r="AO159" s="64" t="str">
        <f t="shared" si="36"/>
        <v>00</v>
      </c>
      <c r="AQ159" t="str">
        <f t="shared" si="31"/>
        <v xml:space="preserve">    (U4)0x0000003FU,                                                           /* 23 UNKNOWN                                         */</v>
      </c>
    </row>
    <row r="160" spans="2:43">
      <c r="B160" s="138"/>
      <c r="C160" s="49">
        <f t="shared" si="32"/>
        <v>24</v>
      </c>
      <c r="D160" s="130">
        <f t="shared" ref="D160:AI167" si="42">IF(OR(D30=0,D30=1),1,0)</f>
        <v>0</v>
      </c>
      <c r="E160" s="130">
        <f t="shared" si="42"/>
        <v>0</v>
      </c>
      <c r="F160" s="130">
        <f t="shared" si="42"/>
        <v>0</v>
      </c>
      <c r="G160" s="130">
        <f t="shared" si="42"/>
        <v>0</v>
      </c>
      <c r="H160" s="130">
        <f t="shared" si="42"/>
        <v>0</v>
      </c>
      <c r="I160" s="130">
        <f t="shared" si="42"/>
        <v>0</v>
      </c>
      <c r="J160" s="130">
        <f t="shared" si="42"/>
        <v>0</v>
      </c>
      <c r="K160" s="130">
        <f t="shared" si="42"/>
        <v>0</v>
      </c>
      <c r="L160" s="130">
        <f t="shared" si="42"/>
        <v>0</v>
      </c>
      <c r="M160" s="130">
        <f t="shared" si="42"/>
        <v>0</v>
      </c>
      <c r="N160" s="130">
        <f t="shared" si="42"/>
        <v>0</v>
      </c>
      <c r="O160" s="130">
        <f t="shared" si="42"/>
        <v>0</v>
      </c>
      <c r="P160" s="130">
        <f t="shared" si="42"/>
        <v>0</v>
      </c>
      <c r="Q160" s="130">
        <f t="shared" si="42"/>
        <v>0</v>
      </c>
      <c r="R160" s="130">
        <f t="shared" si="42"/>
        <v>0</v>
      </c>
      <c r="S160" s="130">
        <f t="shared" si="42"/>
        <v>0</v>
      </c>
      <c r="T160" s="130">
        <f t="shared" si="42"/>
        <v>0</v>
      </c>
      <c r="U160" s="130">
        <f t="shared" si="42"/>
        <v>0</v>
      </c>
      <c r="V160" s="130">
        <f t="shared" si="42"/>
        <v>0</v>
      </c>
      <c r="W160" s="130">
        <f t="shared" si="42"/>
        <v>0</v>
      </c>
      <c r="X160" s="130">
        <f t="shared" si="42"/>
        <v>0</v>
      </c>
      <c r="Y160" s="130">
        <f t="shared" si="42"/>
        <v>0</v>
      </c>
      <c r="Z160" s="130">
        <f t="shared" si="42"/>
        <v>0</v>
      </c>
      <c r="AA160" s="130">
        <f t="shared" si="42"/>
        <v>0</v>
      </c>
      <c r="AB160" s="130">
        <f t="shared" si="42"/>
        <v>0</v>
      </c>
      <c r="AC160" s="130">
        <f t="shared" si="42"/>
        <v>0</v>
      </c>
      <c r="AD160" s="130">
        <f t="shared" si="42"/>
        <v>1</v>
      </c>
      <c r="AE160" s="130">
        <f t="shared" si="42"/>
        <v>1</v>
      </c>
      <c r="AF160" s="130">
        <f t="shared" si="42"/>
        <v>1</v>
      </c>
      <c r="AG160" s="130">
        <f t="shared" si="42"/>
        <v>1</v>
      </c>
      <c r="AH160" s="130">
        <f t="shared" si="42"/>
        <v>1</v>
      </c>
      <c r="AI160" s="130">
        <f t="shared" si="42"/>
        <v>1</v>
      </c>
      <c r="AJ160" s="49" t="str">
        <f t="shared" si="30"/>
        <v>UNKNOWN</v>
      </c>
      <c r="AK160" s="62"/>
      <c r="AL160" s="62" t="str">
        <f t="shared" si="33"/>
        <v>3F</v>
      </c>
      <c r="AM160" s="64" t="str">
        <f t="shared" si="34"/>
        <v>00</v>
      </c>
      <c r="AN160" s="64" t="str">
        <f t="shared" si="35"/>
        <v>00</v>
      </c>
      <c r="AO160" s="64" t="str">
        <f t="shared" si="36"/>
        <v>00</v>
      </c>
      <c r="AQ160" t="str">
        <f t="shared" si="31"/>
        <v xml:space="preserve">    (U4)0x0000003FU,                                                           /* 24 UNKNOWN                                         */</v>
      </c>
    </row>
    <row r="161" spans="2:43">
      <c r="B161" s="138"/>
      <c r="C161" s="49">
        <f t="shared" si="32"/>
        <v>25</v>
      </c>
      <c r="D161" s="130">
        <f t="shared" si="42"/>
        <v>0</v>
      </c>
      <c r="E161" s="130">
        <f t="shared" si="42"/>
        <v>0</v>
      </c>
      <c r="F161" s="130">
        <f t="shared" si="42"/>
        <v>0</v>
      </c>
      <c r="G161" s="130">
        <f t="shared" si="42"/>
        <v>0</v>
      </c>
      <c r="H161" s="130">
        <f t="shared" si="42"/>
        <v>0</v>
      </c>
      <c r="I161" s="130">
        <f t="shared" si="42"/>
        <v>0</v>
      </c>
      <c r="J161" s="130">
        <f t="shared" si="42"/>
        <v>0</v>
      </c>
      <c r="K161" s="130">
        <f t="shared" si="42"/>
        <v>0</v>
      </c>
      <c r="L161" s="130">
        <f t="shared" si="42"/>
        <v>0</v>
      </c>
      <c r="M161" s="130">
        <f t="shared" si="42"/>
        <v>0</v>
      </c>
      <c r="N161" s="130">
        <f t="shared" si="42"/>
        <v>0</v>
      </c>
      <c r="O161" s="130">
        <f t="shared" si="42"/>
        <v>0</v>
      </c>
      <c r="P161" s="130">
        <f t="shared" si="42"/>
        <v>0</v>
      </c>
      <c r="Q161" s="130">
        <f t="shared" si="42"/>
        <v>0</v>
      </c>
      <c r="R161" s="130">
        <f t="shared" si="42"/>
        <v>0</v>
      </c>
      <c r="S161" s="130">
        <f t="shared" si="42"/>
        <v>0</v>
      </c>
      <c r="T161" s="130">
        <f t="shared" si="42"/>
        <v>0</v>
      </c>
      <c r="U161" s="130">
        <f t="shared" si="42"/>
        <v>0</v>
      </c>
      <c r="V161" s="130">
        <f t="shared" si="42"/>
        <v>0</v>
      </c>
      <c r="W161" s="130">
        <f t="shared" si="42"/>
        <v>0</v>
      </c>
      <c r="X161" s="130">
        <f t="shared" si="42"/>
        <v>0</v>
      </c>
      <c r="Y161" s="130">
        <f t="shared" si="42"/>
        <v>0</v>
      </c>
      <c r="Z161" s="130">
        <f t="shared" si="42"/>
        <v>0</v>
      </c>
      <c r="AA161" s="130">
        <f t="shared" si="42"/>
        <v>0</v>
      </c>
      <c r="AB161" s="130">
        <f t="shared" si="42"/>
        <v>0</v>
      </c>
      <c r="AC161" s="130">
        <f t="shared" si="42"/>
        <v>0</v>
      </c>
      <c r="AD161" s="130">
        <f t="shared" si="42"/>
        <v>1</v>
      </c>
      <c r="AE161" s="130">
        <f t="shared" si="42"/>
        <v>1</v>
      </c>
      <c r="AF161" s="130">
        <f t="shared" si="42"/>
        <v>1</v>
      </c>
      <c r="AG161" s="130">
        <f t="shared" si="42"/>
        <v>1</v>
      </c>
      <c r="AH161" s="130">
        <f t="shared" si="42"/>
        <v>1</v>
      </c>
      <c r="AI161" s="130">
        <f t="shared" si="42"/>
        <v>1</v>
      </c>
      <c r="AJ161" s="49" t="str">
        <f t="shared" si="30"/>
        <v>UNKNOWN</v>
      </c>
      <c r="AK161" s="62"/>
      <c r="AL161" s="62" t="str">
        <f t="shared" si="33"/>
        <v>3F</v>
      </c>
      <c r="AM161" s="64" t="str">
        <f t="shared" si="34"/>
        <v>00</v>
      </c>
      <c r="AN161" s="64" t="str">
        <f t="shared" si="35"/>
        <v>00</v>
      </c>
      <c r="AO161" s="64" t="str">
        <f t="shared" si="36"/>
        <v>00</v>
      </c>
      <c r="AQ161" t="str">
        <f t="shared" si="31"/>
        <v xml:space="preserve">    (U4)0x0000003FU,                                                           /* 25 UNKNOWN                                         */</v>
      </c>
    </row>
    <row r="162" spans="2:43">
      <c r="B162" s="138"/>
      <c r="C162" s="49">
        <f t="shared" si="32"/>
        <v>26</v>
      </c>
      <c r="D162" s="130">
        <f t="shared" si="42"/>
        <v>0</v>
      </c>
      <c r="E162" s="130">
        <f t="shared" si="42"/>
        <v>0</v>
      </c>
      <c r="F162" s="130">
        <f t="shared" si="42"/>
        <v>0</v>
      </c>
      <c r="G162" s="130">
        <f t="shared" si="42"/>
        <v>0</v>
      </c>
      <c r="H162" s="130">
        <f t="shared" si="42"/>
        <v>0</v>
      </c>
      <c r="I162" s="130">
        <f t="shared" si="42"/>
        <v>0</v>
      </c>
      <c r="J162" s="130">
        <f t="shared" si="42"/>
        <v>0</v>
      </c>
      <c r="K162" s="130">
        <f t="shared" si="42"/>
        <v>0</v>
      </c>
      <c r="L162" s="130">
        <f t="shared" si="42"/>
        <v>0</v>
      </c>
      <c r="M162" s="130">
        <f t="shared" si="42"/>
        <v>0</v>
      </c>
      <c r="N162" s="130">
        <f t="shared" si="42"/>
        <v>0</v>
      </c>
      <c r="O162" s="130">
        <f t="shared" si="42"/>
        <v>0</v>
      </c>
      <c r="P162" s="130">
        <f t="shared" si="42"/>
        <v>0</v>
      </c>
      <c r="Q162" s="130">
        <f t="shared" si="42"/>
        <v>0</v>
      </c>
      <c r="R162" s="130">
        <f t="shared" si="42"/>
        <v>0</v>
      </c>
      <c r="S162" s="130">
        <f t="shared" si="42"/>
        <v>0</v>
      </c>
      <c r="T162" s="130">
        <f t="shared" si="42"/>
        <v>0</v>
      </c>
      <c r="U162" s="130">
        <f t="shared" si="42"/>
        <v>0</v>
      </c>
      <c r="V162" s="130">
        <f t="shared" si="42"/>
        <v>0</v>
      </c>
      <c r="W162" s="130">
        <f t="shared" si="42"/>
        <v>0</v>
      </c>
      <c r="X162" s="130">
        <f t="shared" si="42"/>
        <v>0</v>
      </c>
      <c r="Y162" s="130">
        <f t="shared" si="42"/>
        <v>0</v>
      </c>
      <c r="Z162" s="130">
        <f t="shared" si="42"/>
        <v>0</v>
      </c>
      <c r="AA162" s="130">
        <f t="shared" si="42"/>
        <v>0</v>
      </c>
      <c r="AB162" s="130">
        <f t="shared" si="42"/>
        <v>0</v>
      </c>
      <c r="AC162" s="130">
        <f t="shared" si="42"/>
        <v>0</v>
      </c>
      <c r="AD162" s="130">
        <f t="shared" si="42"/>
        <v>1</v>
      </c>
      <c r="AE162" s="130">
        <f t="shared" si="42"/>
        <v>1</v>
      </c>
      <c r="AF162" s="130">
        <f t="shared" si="42"/>
        <v>1</v>
      </c>
      <c r="AG162" s="130">
        <f t="shared" si="42"/>
        <v>1</v>
      </c>
      <c r="AH162" s="130">
        <f t="shared" si="42"/>
        <v>1</v>
      </c>
      <c r="AI162" s="130">
        <f t="shared" si="42"/>
        <v>1</v>
      </c>
      <c r="AJ162" s="49" t="str">
        <f t="shared" si="30"/>
        <v>UNKNOWN</v>
      </c>
      <c r="AK162" s="62"/>
      <c r="AL162" s="62" t="str">
        <f t="shared" si="33"/>
        <v>3F</v>
      </c>
      <c r="AM162" s="64" t="str">
        <f t="shared" si="34"/>
        <v>00</v>
      </c>
      <c r="AN162" s="64" t="str">
        <f t="shared" si="35"/>
        <v>00</v>
      </c>
      <c r="AO162" s="64" t="str">
        <f t="shared" si="36"/>
        <v>00</v>
      </c>
      <c r="AQ162" t="str">
        <f t="shared" si="31"/>
        <v xml:space="preserve">    (U4)0x0000003FU,                                                           /* 26 UNKNOWN                                         */</v>
      </c>
    </row>
    <row r="163" spans="2:43">
      <c r="B163" s="138"/>
      <c r="C163" s="49">
        <f t="shared" si="32"/>
        <v>27</v>
      </c>
      <c r="D163" s="130">
        <f t="shared" si="42"/>
        <v>0</v>
      </c>
      <c r="E163" s="130">
        <f t="shared" si="42"/>
        <v>0</v>
      </c>
      <c r="F163" s="130">
        <f t="shared" si="42"/>
        <v>0</v>
      </c>
      <c r="G163" s="130">
        <f t="shared" si="42"/>
        <v>0</v>
      </c>
      <c r="H163" s="130">
        <f t="shared" si="42"/>
        <v>0</v>
      </c>
      <c r="I163" s="130">
        <f t="shared" si="42"/>
        <v>0</v>
      </c>
      <c r="J163" s="130">
        <f t="shared" si="42"/>
        <v>0</v>
      </c>
      <c r="K163" s="130">
        <f t="shared" si="42"/>
        <v>0</v>
      </c>
      <c r="L163" s="130">
        <f t="shared" si="42"/>
        <v>0</v>
      </c>
      <c r="M163" s="130">
        <f t="shared" si="42"/>
        <v>0</v>
      </c>
      <c r="N163" s="130">
        <f t="shared" si="42"/>
        <v>0</v>
      </c>
      <c r="O163" s="130">
        <f t="shared" si="42"/>
        <v>0</v>
      </c>
      <c r="P163" s="130">
        <f t="shared" si="42"/>
        <v>0</v>
      </c>
      <c r="Q163" s="130">
        <f t="shared" si="42"/>
        <v>0</v>
      </c>
      <c r="R163" s="130">
        <f t="shared" si="42"/>
        <v>0</v>
      </c>
      <c r="S163" s="130">
        <f t="shared" si="42"/>
        <v>0</v>
      </c>
      <c r="T163" s="130">
        <f t="shared" si="42"/>
        <v>0</v>
      </c>
      <c r="U163" s="130">
        <f t="shared" si="42"/>
        <v>0</v>
      </c>
      <c r="V163" s="130">
        <f t="shared" si="42"/>
        <v>0</v>
      </c>
      <c r="W163" s="130">
        <f t="shared" si="42"/>
        <v>0</v>
      </c>
      <c r="X163" s="130">
        <f t="shared" si="42"/>
        <v>0</v>
      </c>
      <c r="Y163" s="130">
        <f t="shared" si="42"/>
        <v>0</v>
      </c>
      <c r="Z163" s="130">
        <f t="shared" si="42"/>
        <v>0</v>
      </c>
      <c r="AA163" s="130">
        <f t="shared" si="42"/>
        <v>0</v>
      </c>
      <c r="AB163" s="130">
        <f t="shared" si="42"/>
        <v>0</v>
      </c>
      <c r="AC163" s="130">
        <f t="shared" si="42"/>
        <v>0</v>
      </c>
      <c r="AD163" s="130">
        <f t="shared" si="42"/>
        <v>1</v>
      </c>
      <c r="AE163" s="130">
        <f t="shared" si="42"/>
        <v>1</v>
      </c>
      <c r="AF163" s="130">
        <f t="shared" si="42"/>
        <v>1</v>
      </c>
      <c r="AG163" s="130">
        <f t="shared" si="42"/>
        <v>1</v>
      </c>
      <c r="AH163" s="130">
        <f t="shared" si="42"/>
        <v>1</v>
      </c>
      <c r="AI163" s="130">
        <f t="shared" si="42"/>
        <v>1</v>
      </c>
      <c r="AJ163" s="49" t="str">
        <f t="shared" si="30"/>
        <v>UNKNOWN</v>
      </c>
      <c r="AK163" s="62"/>
      <c r="AL163" s="62" t="str">
        <f t="shared" si="33"/>
        <v>3F</v>
      </c>
      <c r="AM163" s="64" t="str">
        <f t="shared" si="34"/>
        <v>00</v>
      </c>
      <c r="AN163" s="64" t="str">
        <f t="shared" si="35"/>
        <v>00</v>
      </c>
      <c r="AO163" s="64" t="str">
        <f t="shared" si="36"/>
        <v>00</v>
      </c>
      <c r="AQ163" t="str">
        <f t="shared" si="31"/>
        <v xml:space="preserve">    (U4)0x0000003FU,                                                           /* 27 UNKNOWN                                         */</v>
      </c>
    </row>
    <row r="164" spans="2:43">
      <c r="B164" s="138"/>
      <c r="C164" s="49">
        <f t="shared" si="32"/>
        <v>28</v>
      </c>
      <c r="D164" s="130">
        <f t="shared" si="42"/>
        <v>0</v>
      </c>
      <c r="E164" s="130">
        <f t="shared" si="42"/>
        <v>0</v>
      </c>
      <c r="F164" s="130">
        <f t="shared" si="42"/>
        <v>0</v>
      </c>
      <c r="G164" s="130">
        <f t="shared" si="42"/>
        <v>0</v>
      </c>
      <c r="H164" s="130">
        <f t="shared" si="42"/>
        <v>0</v>
      </c>
      <c r="I164" s="130">
        <f t="shared" si="42"/>
        <v>0</v>
      </c>
      <c r="J164" s="130">
        <f t="shared" si="42"/>
        <v>0</v>
      </c>
      <c r="K164" s="130">
        <f t="shared" si="42"/>
        <v>0</v>
      </c>
      <c r="L164" s="130">
        <f t="shared" si="42"/>
        <v>0</v>
      </c>
      <c r="M164" s="130">
        <f t="shared" si="42"/>
        <v>0</v>
      </c>
      <c r="N164" s="130">
        <f t="shared" si="42"/>
        <v>0</v>
      </c>
      <c r="O164" s="130">
        <f t="shared" si="42"/>
        <v>0</v>
      </c>
      <c r="P164" s="130">
        <f t="shared" si="42"/>
        <v>0</v>
      </c>
      <c r="Q164" s="130">
        <f t="shared" si="42"/>
        <v>0</v>
      </c>
      <c r="R164" s="130">
        <f t="shared" si="42"/>
        <v>0</v>
      </c>
      <c r="S164" s="130">
        <f t="shared" si="42"/>
        <v>0</v>
      </c>
      <c r="T164" s="130">
        <f t="shared" si="42"/>
        <v>0</v>
      </c>
      <c r="U164" s="130">
        <f t="shared" si="42"/>
        <v>0</v>
      </c>
      <c r="V164" s="130">
        <f t="shared" si="42"/>
        <v>0</v>
      </c>
      <c r="W164" s="130">
        <f t="shared" si="42"/>
        <v>0</v>
      </c>
      <c r="X164" s="130">
        <f t="shared" si="42"/>
        <v>0</v>
      </c>
      <c r="Y164" s="130">
        <f t="shared" si="42"/>
        <v>0</v>
      </c>
      <c r="Z164" s="130">
        <f t="shared" si="42"/>
        <v>0</v>
      </c>
      <c r="AA164" s="130">
        <f t="shared" si="42"/>
        <v>0</v>
      </c>
      <c r="AB164" s="130">
        <f t="shared" si="42"/>
        <v>0</v>
      </c>
      <c r="AC164" s="130">
        <f t="shared" si="42"/>
        <v>0</v>
      </c>
      <c r="AD164" s="130">
        <f t="shared" si="42"/>
        <v>1</v>
      </c>
      <c r="AE164" s="130">
        <f t="shared" si="42"/>
        <v>1</v>
      </c>
      <c r="AF164" s="130">
        <f t="shared" si="42"/>
        <v>1</v>
      </c>
      <c r="AG164" s="130">
        <f t="shared" si="42"/>
        <v>1</v>
      </c>
      <c r="AH164" s="130">
        <f t="shared" si="42"/>
        <v>1</v>
      </c>
      <c r="AI164" s="130">
        <f t="shared" si="42"/>
        <v>1</v>
      </c>
      <c r="AJ164" s="49" t="str">
        <f t="shared" si="30"/>
        <v>UNKNOWN</v>
      </c>
      <c r="AK164" s="62"/>
      <c r="AL164" s="62" t="str">
        <f t="shared" si="33"/>
        <v>3F</v>
      </c>
      <c r="AM164" s="64" t="str">
        <f t="shared" si="34"/>
        <v>00</v>
      </c>
      <c r="AN164" s="64" t="str">
        <f t="shared" si="35"/>
        <v>00</v>
      </c>
      <c r="AO164" s="64" t="str">
        <f t="shared" si="36"/>
        <v>00</v>
      </c>
      <c r="AQ164" t="str">
        <f t="shared" si="31"/>
        <v xml:space="preserve">    (U4)0x0000003FU,                                                           /* 28 UNKNOWN                                         */</v>
      </c>
    </row>
    <row r="165" spans="2:43">
      <c r="B165" s="138"/>
      <c r="C165" s="49">
        <f t="shared" si="32"/>
        <v>29</v>
      </c>
      <c r="D165" s="130">
        <f t="shared" si="42"/>
        <v>0</v>
      </c>
      <c r="E165" s="130">
        <f t="shared" si="42"/>
        <v>0</v>
      </c>
      <c r="F165" s="130">
        <f t="shared" si="42"/>
        <v>0</v>
      </c>
      <c r="G165" s="130">
        <f t="shared" si="42"/>
        <v>0</v>
      </c>
      <c r="H165" s="130">
        <f t="shared" si="42"/>
        <v>0</v>
      </c>
      <c r="I165" s="130">
        <f t="shared" si="42"/>
        <v>0</v>
      </c>
      <c r="J165" s="130">
        <f t="shared" si="42"/>
        <v>0</v>
      </c>
      <c r="K165" s="130">
        <f t="shared" si="42"/>
        <v>0</v>
      </c>
      <c r="L165" s="130">
        <f t="shared" si="42"/>
        <v>0</v>
      </c>
      <c r="M165" s="130">
        <f t="shared" si="42"/>
        <v>0</v>
      </c>
      <c r="N165" s="130">
        <f t="shared" si="42"/>
        <v>0</v>
      </c>
      <c r="O165" s="130">
        <f t="shared" si="42"/>
        <v>0</v>
      </c>
      <c r="P165" s="130">
        <f t="shared" si="42"/>
        <v>0</v>
      </c>
      <c r="Q165" s="130">
        <f t="shared" si="42"/>
        <v>0</v>
      </c>
      <c r="R165" s="130">
        <f t="shared" si="42"/>
        <v>0</v>
      </c>
      <c r="S165" s="130">
        <f t="shared" si="42"/>
        <v>0</v>
      </c>
      <c r="T165" s="130">
        <f t="shared" si="42"/>
        <v>0</v>
      </c>
      <c r="U165" s="130">
        <f t="shared" si="42"/>
        <v>0</v>
      </c>
      <c r="V165" s="130">
        <f t="shared" si="42"/>
        <v>0</v>
      </c>
      <c r="W165" s="130">
        <f t="shared" si="42"/>
        <v>0</v>
      </c>
      <c r="X165" s="130">
        <f t="shared" si="42"/>
        <v>0</v>
      </c>
      <c r="Y165" s="130">
        <f t="shared" si="42"/>
        <v>0</v>
      </c>
      <c r="Z165" s="130">
        <f t="shared" si="42"/>
        <v>0</v>
      </c>
      <c r="AA165" s="130">
        <f t="shared" si="42"/>
        <v>0</v>
      </c>
      <c r="AB165" s="130">
        <f t="shared" si="42"/>
        <v>0</v>
      </c>
      <c r="AC165" s="130">
        <f t="shared" si="42"/>
        <v>0</v>
      </c>
      <c r="AD165" s="130">
        <f t="shared" si="42"/>
        <v>1</v>
      </c>
      <c r="AE165" s="130">
        <f t="shared" si="42"/>
        <v>1</v>
      </c>
      <c r="AF165" s="130">
        <f t="shared" si="42"/>
        <v>1</v>
      </c>
      <c r="AG165" s="130">
        <f t="shared" si="42"/>
        <v>1</v>
      </c>
      <c r="AH165" s="130">
        <f t="shared" si="42"/>
        <v>1</v>
      </c>
      <c r="AI165" s="130">
        <f t="shared" si="42"/>
        <v>1</v>
      </c>
      <c r="AJ165" s="49" t="str">
        <f t="shared" si="30"/>
        <v>UNKNOWN</v>
      </c>
      <c r="AK165" s="62"/>
      <c r="AL165" s="62" t="str">
        <f t="shared" si="33"/>
        <v>3F</v>
      </c>
      <c r="AM165" s="64" t="str">
        <f t="shared" si="34"/>
        <v>00</v>
      </c>
      <c r="AN165" s="64" t="str">
        <f t="shared" si="35"/>
        <v>00</v>
      </c>
      <c r="AO165" s="64" t="str">
        <f t="shared" si="36"/>
        <v>00</v>
      </c>
      <c r="AQ165" t="str">
        <f t="shared" si="31"/>
        <v xml:space="preserve">    (U4)0x0000003FU,                                                           /* 29 UNKNOWN                                         */</v>
      </c>
    </row>
    <row r="166" spans="2:43">
      <c r="B166" s="138"/>
      <c r="C166" s="49">
        <f t="shared" si="32"/>
        <v>30</v>
      </c>
      <c r="D166" s="130">
        <f t="shared" si="42"/>
        <v>0</v>
      </c>
      <c r="E166" s="130">
        <f t="shared" si="42"/>
        <v>0</v>
      </c>
      <c r="F166" s="130">
        <f t="shared" si="42"/>
        <v>0</v>
      </c>
      <c r="G166" s="130">
        <f t="shared" si="42"/>
        <v>0</v>
      </c>
      <c r="H166" s="130">
        <f t="shared" si="42"/>
        <v>0</v>
      </c>
      <c r="I166" s="130">
        <f t="shared" si="42"/>
        <v>0</v>
      </c>
      <c r="J166" s="130">
        <f t="shared" si="42"/>
        <v>0</v>
      </c>
      <c r="K166" s="130">
        <f t="shared" si="42"/>
        <v>0</v>
      </c>
      <c r="L166" s="130">
        <f t="shared" si="42"/>
        <v>0</v>
      </c>
      <c r="M166" s="130">
        <f t="shared" si="42"/>
        <v>0</v>
      </c>
      <c r="N166" s="130">
        <f t="shared" si="42"/>
        <v>0</v>
      </c>
      <c r="O166" s="130">
        <f t="shared" si="42"/>
        <v>0</v>
      </c>
      <c r="P166" s="130">
        <f t="shared" si="42"/>
        <v>0</v>
      </c>
      <c r="Q166" s="130">
        <f t="shared" si="42"/>
        <v>0</v>
      </c>
      <c r="R166" s="130">
        <f t="shared" si="42"/>
        <v>0</v>
      </c>
      <c r="S166" s="130">
        <f t="shared" si="42"/>
        <v>0</v>
      </c>
      <c r="T166" s="130">
        <f t="shared" si="42"/>
        <v>0</v>
      </c>
      <c r="U166" s="130">
        <f t="shared" si="42"/>
        <v>0</v>
      </c>
      <c r="V166" s="130">
        <f t="shared" si="42"/>
        <v>0</v>
      </c>
      <c r="W166" s="130">
        <f t="shared" si="42"/>
        <v>0</v>
      </c>
      <c r="X166" s="130">
        <f t="shared" si="42"/>
        <v>0</v>
      </c>
      <c r="Y166" s="130">
        <f t="shared" si="42"/>
        <v>0</v>
      </c>
      <c r="Z166" s="130">
        <f t="shared" si="42"/>
        <v>0</v>
      </c>
      <c r="AA166" s="130">
        <f t="shared" si="42"/>
        <v>0</v>
      </c>
      <c r="AB166" s="130">
        <f t="shared" si="42"/>
        <v>0</v>
      </c>
      <c r="AC166" s="130">
        <f t="shared" si="42"/>
        <v>0</v>
      </c>
      <c r="AD166" s="130">
        <f t="shared" si="42"/>
        <v>1</v>
      </c>
      <c r="AE166" s="130">
        <f t="shared" si="42"/>
        <v>1</v>
      </c>
      <c r="AF166" s="130">
        <f t="shared" si="42"/>
        <v>1</v>
      </c>
      <c r="AG166" s="130">
        <f t="shared" si="42"/>
        <v>1</v>
      </c>
      <c r="AH166" s="130">
        <f t="shared" si="42"/>
        <v>1</v>
      </c>
      <c r="AI166" s="130">
        <f t="shared" si="42"/>
        <v>1</v>
      </c>
      <c r="AJ166" s="49" t="str">
        <f t="shared" si="30"/>
        <v>UNKNOWN</v>
      </c>
      <c r="AK166" s="62"/>
      <c r="AL166" s="62" t="str">
        <f t="shared" si="33"/>
        <v>3F</v>
      </c>
      <c r="AM166" s="64" t="str">
        <f t="shared" si="34"/>
        <v>00</v>
      </c>
      <c r="AN166" s="64" t="str">
        <f t="shared" si="35"/>
        <v>00</v>
      </c>
      <c r="AO166" s="64" t="str">
        <f t="shared" si="36"/>
        <v>00</v>
      </c>
      <c r="AQ166" t="str">
        <f t="shared" si="31"/>
        <v xml:space="preserve">    (U4)0x0000003FU,                                                           /* 30 UNKNOWN                                         */</v>
      </c>
    </row>
    <row r="167" spans="2:43">
      <c r="B167" s="138"/>
      <c r="C167" s="49">
        <f t="shared" si="32"/>
        <v>31</v>
      </c>
      <c r="D167" s="130">
        <f t="shared" si="42"/>
        <v>0</v>
      </c>
      <c r="E167" s="130">
        <f t="shared" si="42"/>
        <v>0</v>
      </c>
      <c r="F167" s="130">
        <f t="shared" si="42"/>
        <v>0</v>
      </c>
      <c r="G167" s="130">
        <f t="shared" si="42"/>
        <v>0</v>
      </c>
      <c r="H167" s="130">
        <f t="shared" si="42"/>
        <v>0</v>
      </c>
      <c r="I167" s="130">
        <f t="shared" si="42"/>
        <v>0</v>
      </c>
      <c r="J167" s="130">
        <f t="shared" si="42"/>
        <v>0</v>
      </c>
      <c r="K167" s="130">
        <f t="shared" si="42"/>
        <v>0</v>
      </c>
      <c r="L167" s="130">
        <f t="shared" si="42"/>
        <v>0</v>
      </c>
      <c r="M167" s="130">
        <f t="shared" si="42"/>
        <v>0</v>
      </c>
      <c r="N167" s="130">
        <f t="shared" si="42"/>
        <v>0</v>
      </c>
      <c r="O167" s="130">
        <f t="shared" si="42"/>
        <v>0</v>
      </c>
      <c r="P167" s="130">
        <f t="shared" si="42"/>
        <v>0</v>
      </c>
      <c r="Q167" s="130">
        <f t="shared" si="42"/>
        <v>0</v>
      </c>
      <c r="R167" s="130">
        <f t="shared" si="42"/>
        <v>0</v>
      </c>
      <c r="S167" s="130">
        <f t="shared" si="42"/>
        <v>0</v>
      </c>
      <c r="T167" s="130">
        <f t="shared" si="42"/>
        <v>0</v>
      </c>
      <c r="U167" s="130">
        <f t="shared" si="42"/>
        <v>0</v>
      </c>
      <c r="V167" s="130">
        <f t="shared" si="42"/>
        <v>0</v>
      </c>
      <c r="W167" s="130">
        <f t="shared" si="42"/>
        <v>0</v>
      </c>
      <c r="X167" s="130">
        <f t="shared" si="42"/>
        <v>0</v>
      </c>
      <c r="Y167" s="130">
        <f t="shared" si="42"/>
        <v>0</v>
      </c>
      <c r="Z167" s="130">
        <f t="shared" si="42"/>
        <v>0</v>
      </c>
      <c r="AA167" s="130">
        <f t="shared" si="42"/>
        <v>0</v>
      </c>
      <c r="AB167" s="130">
        <f t="shared" si="42"/>
        <v>0</v>
      </c>
      <c r="AC167" s="130">
        <f t="shared" si="42"/>
        <v>0</v>
      </c>
      <c r="AD167" s="130">
        <f t="shared" si="42"/>
        <v>1</v>
      </c>
      <c r="AE167" s="130">
        <f t="shared" si="42"/>
        <v>1</v>
      </c>
      <c r="AF167" s="130">
        <f t="shared" si="42"/>
        <v>1</v>
      </c>
      <c r="AG167" s="130">
        <f t="shared" si="42"/>
        <v>1</v>
      </c>
      <c r="AH167" s="130">
        <f t="shared" si="42"/>
        <v>1</v>
      </c>
      <c r="AI167" s="130">
        <f t="shared" ref="AI167" si="43">IF(OR(AI37=0,AI37=1),1,0)</f>
        <v>1</v>
      </c>
      <c r="AJ167" s="49" t="str">
        <f t="shared" si="30"/>
        <v>UNKNOWN</v>
      </c>
      <c r="AK167" s="62"/>
      <c r="AL167" s="62" t="str">
        <f t="shared" si="33"/>
        <v>3F</v>
      </c>
      <c r="AM167" s="64" t="str">
        <f t="shared" si="34"/>
        <v>00</v>
      </c>
      <c r="AN167" s="64" t="str">
        <f t="shared" si="35"/>
        <v>00</v>
      </c>
      <c r="AO167" s="64" t="str">
        <f t="shared" si="36"/>
        <v>00</v>
      </c>
      <c r="AQ167" t="str">
        <f t="shared" si="31"/>
        <v xml:space="preserve">    (U4)0x0000003FU,                                                           /* 31 UNKNOWN                                         */</v>
      </c>
    </row>
    <row r="168" spans="2:43">
      <c r="B168" s="138"/>
      <c r="C168" s="49">
        <f t="shared" si="32"/>
        <v>32</v>
      </c>
      <c r="D168" s="130">
        <f t="shared" ref="D168:AI175" si="44">IF(OR(D38=0,D38=1),1,0)</f>
        <v>0</v>
      </c>
      <c r="E168" s="130">
        <f t="shared" si="44"/>
        <v>0</v>
      </c>
      <c r="F168" s="130">
        <f t="shared" si="44"/>
        <v>0</v>
      </c>
      <c r="G168" s="130">
        <f t="shared" si="44"/>
        <v>0</v>
      </c>
      <c r="H168" s="130">
        <f t="shared" si="44"/>
        <v>0</v>
      </c>
      <c r="I168" s="130">
        <f t="shared" si="44"/>
        <v>0</v>
      </c>
      <c r="J168" s="130">
        <f t="shared" si="44"/>
        <v>0</v>
      </c>
      <c r="K168" s="130">
        <f t="shared" si="44"/>
        <v>0</v>
      </c>
      <c r="L168" s="130">
        <f t="shared" si="44"/>
        <v>0</v>
      </c>
      <c r="M168" s="130">
        <f t="shared" si="44"/>
        <v>0</v>
      </c>
      <c r="N168" s="130">
        <f t="shared" si="44"/>
        <v>0</v>
      </c>
      <c r="O168" s="130">
        <f t="shared" si="44"/>
        <v>0</v>
      </c>
      <c r="P168" s="130">
        <f t="shared" si="44"/>
        <v>0</v>
      </c>
      <c r="Q168" s="130">
        <f t="shared" si="44"/>
        <v>0</v>
      </c>
      <c r="R168" s="130">
        <f t="shared" si="44"/>
        <v>0</v>
      </c>
      <c r="S168" s="130">
        <f t="shared" si="44"/>
        <v>0</v>
      </c>
      <c r="T168" s="130">
        <f t="shared" si="44"/>
        <v>0</v>
      </c>
      <c r="U168" s="130">
        <f t="shared" si="44"/>
        <v>0</v>
      </c>
      <c r="V168" s="130">
        <f t="shared" si="44"/>
        <v>0</v>
      </c>
      <c r="W168" s="130">
        <f t="shared" si="44"/>
        <v>0</v>
      </c>
      <c r="X168" s="130">
        <f t="shared" si="44"/>
        <v>0</v>
      </c>
      <c r="Y168" s="130">
        <f t="shared" si="44"/>
        <v>0</v>
      </c>
      <c r="Z168" s="130">
        <f t="shared" si="44"/>
        <v>0</v>
      </c>
      <c r="AA168" s="130">
        <f t="shared" si="44"/>
        <v>0</v>
      </c>
      <c r="AB168" s="130">
        <f t="shared" si="44"/>
        <v>0</v>
      </c>
      <c r="AC168" s="130">
        <f t="shared" si="44"/>
        <v>0</v>
      </c>
      <c r="AD168" s="130">
        <f t="shared" si="44"/>
        <v>1</v>
      </c>
      <c r="AE168" s="130">
        <f t="shared" si="44"/>
        <v>1</v>
      </c>
      <c r="AF168" s="130">
        <f t="shared" si="44"/>
        <v>1</v>
      </c>
      <c r="AG168" s="130">
        <f t="shared" si="44"/>
        <v>1</v>
      </c>
      <c r="AH168" s="130">
        <f t="shared" si="44"/>
        <v>1</v>
      </c>
      <c r="AI168" s="130">
        <f t="shared" si="44"/>
        <v>1</v>
      </c>
      <c r="AJ168" s="49" t="str">
        <f t="shared" si="30"/>
        <v>UNKNOWN</v>
      </c>
      <c r="AK168" s="62"/>
      <c r="AL168" s="62" t="str">
        <f t="shared" si="33"/>
        <v>3F</v>
      </c>
      <c r="AM168" s="64" t="str">
        <f t="shared" si="34"/>
        <v>00</v>
      </c>
      <c r="AN168" s="64" t="str">
        <f t="shared" si="35"/>
        <v>00</v>
      </c>
      <c r="AO168" s="64" t="str">
        <f t="shared" si="36"/>
        <v>00</v>
      </c>
      <c r="AQ168" t="str">
        <f t="shared" si="31"/>
        <v xml:space="preserve">    (U4)0x0000003FU,                                                           /* 32 UNKNOWN                                         */</v>
      </c>
    </row>
    <row r="169" spans="2:43">
      <c r="B169" s="138"/>
      <c r="C169" s="49">
        <f t="shared" si="32"/>
        <v>33</v>
      </c>
      <c r="D169" s="130">
        <f t="shared" si="44"/>
        <v>0</v>
      </c>
      <c r="E169" s="130">
        <f t="shared" si="44"/>
        <v>0</v>
      </c>
      <c r="F169" s="130">
        <f t="shared" si="44"/>
        <v>0</v>
      </c>
      <c r="G169" s="130">
        <f t="shared" si="44"/>
        <v>0</v>
      </c>
      <c r="H169" s="130">
        <f t="shared" si="44"/>
        <v>0</v>
      </c>
      <c r="I169" s="130">
        <f t="shared" si="44"/>
        <v>0</v>
      </c>
      <c r="J169" s="130">
        <f t="shared" si="44"/>
        <v>0</v>
      </c>
      <c r="K169" s="130">
        <f t="shared" si="44"/>
        <v>0</v>
      </c>
      <c r="L169" s="130">
        <f t="shared" si="44"/>
        <v>0</v>
      </c>
      <c r="M169" s="130">
        <f t="shared" si="44"/>
        <v>0</v>
      </c>
      <c r="N169" s="130">
        <f t="shared" si="44"/>
        <v>0</v>
      </c>
      <c r="O169" s="130">
        <f t="shared" si="44"/>
        <v>0</v>
      </c>
      <c r="P169" s="130">
        <f t="shared" si="44"/>
        <v>0</v>
      </c>
      <c r="Q169" s="130">
        <f t="shared" si="44"/>
        <v>0</v>
      </c>
      <c r="R169" s="130">
        <f t="shared" si="44"/>
        <v>0</v>
      </c>
      <c r="S169" s="130">
        <f t="shared" si="44"/>
        <v>0</v>
      </c>
      <c r="T169" s="130">
        <f t="shared" si="44"/>
        <v>0</v>
      </c>
      <c r="U169" s="130">
        <f t="shared" si="44"/>
        <v>0</v>
      </c>
      <c r="V169" s="130">
        <f t="shared" si="44"/>
        <v>0</v>
      </c>
      <c r="W169" s="130">
        <f t="shared" si="44"/>
        <v>0</v>
      </c>
      <c r="X169" s="130">
        <f t="shared" si="44"/>
        <v>0</v>
      </c>
      <c r="Y169" s="130">
        <f t="shared" si="44"/>
        <v>0</v>
      </c>
      <c r="Z169" s="130">
        <f t="shared" si="44"/>
        <v>0</v>
      </c>
      <c r="AA169" s="130">
        <f t="shared" si="44"/>
        <v>0</v>
      </c>
      <c r="AB169" s="130">
        <f t="shared" si="44"/>
        <v>0</v>
      </c>
      <c r="AC169" s="130">
        <f t="shared" si="44"/>
        <v>0</v>
      </c>
      <c r="AD169" s="130">
        <f t="shared" si="44"/>
        <v>1</v>
      </c>
      <c r="AE169" s="130">
        <f t="shared" si="44"/>
        <v>1</v>
      </c>
      <c r="AF169" s="130">
        <f t="shared" si="44"/>
        <v>1</v>
      </c>
      <c r="AG169" s="130">
        <f t="shared" si="44"/>
        <v>1</v>
      </c>
      <c r="AH169" s="130">
        <f t="shared" si="44"/>
        <v>1</v>
      </c>
      <c r="AI169" s="130">
        <f t="shared" si="44"/>
        <v>1</v>
      </c>
      <c r="AJ169" s="49" t="str">
        <f t="shared" si="30"/>
        <v>UNKNOWN</v>
      </c>
      <c r="AK169" s="62"/>
      <c r="AL169" s="62" t="str">
        <f t="shared" si="33"/>
        <v>3F</v>
      </c>
      <c r="AM169" s="64" t="str">
        <f t="shared" si="34"/>
        <v>00</v>
      </c>
      <c r="AN169" s="64" t="str">
        <f t="shared" si="35"/>
        <v>00</v>
      </c>
      <c r="AO169" s="64" t="str">
        <f t="shared" si="36"/>
        <v>00</v>
      </c>
      <c r="AQ169" t="str">
        <f t="shared" si="31"/>
        <v xml:space="preserve">    (U4)0x0000003FU,                                                           /* 33 UNKNOWN                                         */</v>
      </c>
    </row>
    <row r="170" spans="2:43">
      <c r="B170" s="138"/>
      <c r="C170" s="49">
        <f t="shared" si="32"/>
        <v>34</v>
      </c>
      <c r="D170" s="130">
        <f t="shared" si="44"/>
        <v>0</v>
      </c>
      <c r="E170" s="130">
        <f t="shared" si="44"/>
        <v>0</v>
      </c>
      <c r="F170" s="130">
        <f t="shared" si="44"/>
        <v>0</v>
      </c>
      <c r="G170" s="130">
        <f t="shared" si="44"/>
        <v>0</v>
      </c>
      <c r="H170" s="130">
        <f t="shared" si="44"/>
        <v>0</v>
      </c>
      <c r="I170" s="130">
        <f t="shared" si="44"/>
        <v>0</v>
      </c>
      <c r="J170" s="130">
        <f t="shared" si="44"/>
        <v>0</v>
      </c>
      <c r="K170" s="130">
        <f t="shared" si="44"/>
        <v>0</v>
      </c>
      <c r="L170" s="130">
        <f t="shared" si="44"/>
        <v>0</v>
      </c>
      <c r="M170" s="130">
        <f t="shared" si="44"/>
        <v>0</v>
      </c>
      <c r="N170" s="130">
        <f t="shared" si="44"/>
        <v>0</v>
      </c>
      <c r="O170" s="130">
        <f t="shared" si="44"/>
        <v>0</v>
      </c>
      <c r="P170" s="130">
        <f t="shared" si="44"/>
        <v>0</v>
      </c>
      <c r="Q170" s="130">
        <f t="shared" si="44"/>
        <v>0</v>
      </c>
      <c r="R170" s="130">
        <f t="shared" si="44"/>
        <v>0</v>
      </c>
      <c r="S170" s="130">
        <f t="shared" si="44"/>
        <v>0</v>
      </c>
      <c r="T170" s="130">
        <f t="shared" si="44"/>
        <v>0</v>
      </c>
      <c r="U170" s="130">
        <f t="shared" si="44"/>
        <v>0</v>
      </c>
      <c r="V170" s="130">
        <f t="shared" si="44"/>
        <v>0</v>
      </c>
      <c r="W170" s="130">
        <f t="shared" si="44"/>
        <v>0</v>
      </c>
      <c r="X170" s="130">
        <f t="shared" si="44"/>
        <v>0</v>
      </c>
      <c r="Y170" s="130">
        <f t="shared" si="44"/>
        <v>0</v>
      </c>
      <c r="Z170" s="130">
        <f t="shared" si="44"/>
        <v>0</v>
      </c>
      <c r="AA170" s="130">
        <f t="shared" si="44"/>
        <v>0</v>
      </c>
      <c r="AB170" s="130">
        <f t="shared" si="44"/>
        <v>0</v>
      </c>
      <c r="AC170" s="130">
        <f t="shared" si="44"/>
        <v>0</v>
      </c>
      <c r="AD170" s="130">
        <f t="shared" si="44"/>
        <v>1</v>
      </c>
      <c r="AE170" s="130">
        <f t="shared" si="44"/>
        <v>1</v>
      </c>
      <c r="AF170" s="130">
        <f t="shared" si="44"/>
        <v>1</v>
      </c>
      <c r="AG170" s="130">
        <f t="shared" si="44"/>
        <v>1</v>
      </c>
      <c r="AH170" s="130">
        <f t="shared" si="44"/>
        <v>1</v>
      </c>
      <c r="AI170" s="130">
        <f t="shared" si="44"/>
        <v>1</v>
      </c>
      <c r="AJ170" s="49" t="str">
        <f t="shared" si="30"/>
        <v>UNKNOWN</v>
      </c>
      <c r="AK170" s="62"/>
      <c r="AL170" s="62" t="str">
        <f t="shared" si="33"/>
        <v>3F</v>
      </c>
      <c r="AM170" s="64" t="str">
        <f t="shared" si="34"/>
        <v>00</v>
      </c>
      <c r="AN170" s="64" t="str">
        <f t="shared" si="35"/>
        <v>00</v>
      </c>
      <c r="AO170" s="64" t="str">
        <f t="shared" si="36"/>
        <v>00</v>
      </c>
      <c r="AQ170" t="str">
        <f t="shared" si="31"/>
        <v xml:space="preserve">    (U4)0x0000003FU,                                                           /* 34 UNKNOWN                                         */</v>
      </c>
    </row>
    <row r="171" spans="2:43">
      <c r="B171" s="138"/>
      <c r="C171" s="49">
        <f t="shared" si="32"/>
        <v>35</v>
      </c>
      <c r="D171" s="130">
        <f t="shared" si="44"/>
        <v>0</v>
      </c>
      <c r="E171" s="130">
        <f t="shared" si="44"/>
        <v>0</v>
      </c>
      <c r="F171" s="130">
        <f t="shared" si="44"/>
        <v>0</v>
      </c>
      <c r="G171" s="130">
        <f t="shared" si="44"/>
        <v>0</v>
      </c>
      <c r="H171" s="130">
        <f t="shared" si="44"/>
        <v>0</v>
      </c>
      <c r="I171" s="130">
        <f t="shared" si="44"/>
        <v>0</v>
      </c>
      <c r="J171" s="130">
        <f t="shared" si="44"/>
        <v>0</v>
      </c>
      <c r="K171" s="130">
        <f t="shared" si="44"/>
        <v>0</v>
      </c>
      <c r="L171" s="130">
        <f t="shared" si="44"/>
        <v>0</v>
      </c>
      <c r="M171" s="130">
        <f t="shared" si="44"/>
        <v>0</v>
      </c>
      <c r="N171" s="130">
        <f t="shared" si="44"/>
        <v>0</v>
      </c>
      <c r="O171" s="130">
        <f t="shared" si="44"/>
        <v>0</v>
      </c>
      <c r="P171" s="130">
        <f t="shared" si="44"/>
        <v>0</v>
      </c>
      <c r="Q171" s="130">
        <f t="shared" si="44"/>
        <v>0</v>
      </c>
      <c r="R171" s="130">
        <f t="shared" si="44"/>
        <v>0</v>
      </c>
      <c r="S171" s="130">
        <f t="shared" si="44"/>
        <v>0</v>
      </c>
      <c r="T171" s="130">
        <f t="shared" si="44"/>
        <v>0</v>
      </c>
      <c r="U171" s="130">
        <f t="shared" si="44"/>
        <v>0</v>
      </c>
      <c r="V171" s="130">
        <f t="shared" si="44"/>
        <v>0</v>
      </c>
      <c r="W171" s="130">
        <f t="shared" si="44"/>
        <v>0</v>
      </c>
      <c r="X171" s="130">
        <f t="shared" si="44"/>
        <v>0</v>
      </c>
      <c r="Y171" s="130">
        <f t="shared" si="44"/>
        <v>0</v>
      </c>
      <c r="Z171" s="130">
        <f t="shared" si="44"/>
        <v>0</v>
      </c>
      <c r="AA171" s="130">
        <f t="shared" si="44"/>
        <v>0</v>
      </c>
      <c r="AB171" s="130">
        <f t="shared" si="44"/>
        <v>0</v>
      </c>
      <c r="AC171" s="130">
        <f t="shared" si="44"/>
        <v>0</v>
      </c>
      <c r="AD171" s="130">
        <f t="shared" si="44"/>
        <v>1</v>
      </c>
      <c r="AE171" s="130">
        <f t="shared" si="44"/>
        <v>1</v>
      </c>
      <c r="AF171" s="130">
        <f t="shared" si="44"/>
        <v>1</v>
      </c>
      <c r="AG171" s="130">
        <f t="shared" si="44"/>
        <v>1</v>
      </c>
      <c r="AH171" s="130">
        <f t="shared" si="44"/>
        <v>1</v>
      </c>
      <c r="AI171" s="130">
        <f t="shared" si="44"/>
        <v>1</v>
      </c>
      <c r="AJ171" s="49" t="str">
        <f t="shared" si="30"/>
        <v>UNKNOWN</v>
      </c>
      <c r="AK171" s="62"/>
      <c r="AL171" s="62" t="str">
        <f t="shared" si="33"/>
        <v>3F</v>
      </c>
      <c r="AM171" s="64" t="str">
        <f t="shared" si="34"/>
        <v>00</v>
      </c>
      <c r="AN171" s="64" t="str">
        <f t="shared" si="35"/>
        <v>00</v>
      </c>
      <c r="AO171" s="64" t="str">
        <f t="shared" si="36"/>
        <v>00</v>
      </c>
      <c r="AQ171" t="str">
        <f t="shared" si="31"/>
        <v xml:space="preserve">    (U4)0x0000003FU,                                                           /* 35 UNKNOWN                                         */</v>
      </c>
    </row>
    <row r="172" spans="2:43">
      <c r="B172" s="138"/>
      <c r="C172" s="49">
        <f t="shared" si="32"/>
        <v>36</v>
      </c>
      <c r="D172" s="130">
        <f t="shared" si="44"/>
        <v>0</v>
      </c>
      <c r="E172" s="130">
        <f t="shared" si="44"/>
        <v>0</v>
      </c>
      <c r="F172" s="130">
        <f t="shared" si="44"/>
        <v>0</v>
      </c>
      <c r="G172" s="130">
        <f t="shared" si="44"/>
        <v>0</v>
      </c>
      <c r="H172" s="130">
        <f t="shared" si="44"/>
        <v>0</v>
      </c>
      <c r="I172" s="130">
        <f t="shared" si="44"/>
        <v>0</v>
      </c>
      <c r="J172" s="130">
        <f t="shared" si="44"/>
        <v>0</v>
      </c>
      <c r="K172" s="130">
        <f t="shared" si="44"/>
        <v>0</v>
      </c>
      <c r="L172" s="130">
        <f t="shared" si="44"/>
        <v>0</v>
      </c>
      <c r="M172" s="130">
        <f t="shared" si="44"/>
        <v>0</v>
      </c>
      <c r="N172" s="130">
        <f t="shared" si="44"/>
        <v>0</v>
      </c>
      <c r="O172" s="130">
        <f t="shared" si="44"/>
        <v>0</v>
      </c>
      <c r="P172" s="130">
        <f t="shared" si="44"/>
        <v>0</v>
      </c>
      <c r="Q172" s="130">
        <f t="shared" si="44"/>
        <v>0</v>
      </c>
      <c r="R172" s="130">
        <f t="shared" si="44"/>
        <v>0</v>
      </c>
      <c r="S172" s="130">
        <f t="shared" si="44"/>
        <v>0</v>
      </c>
      <c r="T172" s="130">
        <f t="shared" si="44"/>
        <v>0</v>
      </c>
      <c r="U172" s="130">
        <f t="shared" si="44"/>
        <v>0</v>
      </c>
      <c r="V172" s="130">
        <f t="shared" si="44"/>
        <v>0</v>
      </c>
      <c r="W172" s="130">
        <f t="shared" si="44"/>
        <v>0</v>
      </c>
      <c r="X172" s="130">
        <f t="shared" si="44"/>
        <v>0</v>
      </c>
      <c r="Y172" s="130">
        <f t="shared" si="44"/>
        <v>0</v>
      </c>
      <c r="Z172" s="130">
        <f t="shared" si="44"/>
        <v>0</v>
      </c>
      <c r="AA172" s="130">
        <f t="shared" si="44"/>
        <v>0</v>
      </c>
      <c r="AB172" s="130">
        <f t="shared" si="44"/>
        <v>0</v>
      </c>
      <c r="AC172" s="130">
        <f t="shared" si="44"/>
        <v>0</v>
      </c>
      <c r="AD172" s="130">
        <f t="shared" si="44"/>
        <v>1</v>
      </c>
      <c r="AE172" s="130">
        <f t="shared" si="44"/>
        <v>1</v>
      </c>
      <c r="AF172" s="130">
        <f t="shared" si="44"/>
        <v>1</v>
      </c>
      <c r="AG172" s="130">
        <f t="shared" si="44"/>
        <v>1</v>
      </c>
      <c r="AH172" s="130">
        <f t="shared" si="44"/>
        <v>1</v>
      </c>
      <c r="AI172" s="130">
        <f t="shared" si="44"/>
        <v>1</v>
      </c>
      <c r="AJ172" s="49" t="str">
        <f t="shared" si="30"/>
        <v>UNKNOWN</v>
      </c>
      <c r="AK172" s="62"/>
      <c r="AL172" s="62" t="str">
        <f t="shared" si="33"/>
        <v>3F</v>
      </c>
      <c r="AM172" s="64" t="str">
        <f t="shared" si="34"/>
        <v>00</v>
      </c>
      <c r="AN172" s="64" t="str">
        <f t="shared" si="35"/>
        <v>00</v>
      </c>
      <c r="AO172" s="64" t="str">
        <f t="shared" si="36"/>
        <v>00</v>
      </c>
      <c r="AQ172" t="str">
        <f t="shared" si="31"/>
        <v xml:space="preserve">    (U4)0x0000003FU,                                                           /* 36 UNKNOWN                                         */</v>
      </c>
    </row>
    <row r="173" spans="2:43">
      <c r="B173" s="138"/>
      <c r="C173" s="49">
        <f t="shared" si="32"/>
        <v>37</v>
      </c>
      <c r="D173" s="130">
        <f t="shared" si="44"/>
        <v>0</v>
      </c>
      <c r="E173" s="130">
        <f t="shared" si="44"/>
        <v>0</v>
      </c>
      <c r="F173" s="130">
        <f t="shared" si="44"/>
        <v>0</v>
      </c>
      <c r="G173" s="130">
        <f t="shared" si="44"/>
        <v>0</v>
      </c>
      <c r="H173" s="130">
        <f t="shared" si="44"/>
        <v>0</v>
      </c>
      <c r="I173" s="130">
        <f t="shared" si="44"/>
        <v>0</v>
      </c>
      <c r="J173" s="130">
        <f t="shared" si="44"/>
        <v>0</v>
      </c>
      <c r="K173" s="130">
        <f t="shared" si="44"/>
        <v>0</v>
      </c>
      <c r="L173" s="130">
        <f t="shared" si="44"/>
        <v>0</v>
      </c>
      <c r="M173" s="130">
        <f t="shared" si="44"/>
        <v>0</v>
      </c>
      <c r="N173" s="130">
        <f t="shared" si="44"/>
        <v>0</v>
      </c>
      <c r="O173" s="130">
        <f t="shared" si="44"/>
        <v>0</v>
      </c>
      <c r="P173" s="130">
        <f t="shared" si="44"/>
        <v>0</v>
      </c>
      <c r="Q173" s="130">
        <f t="shared" si="44"/>
        <v>0</v>
      </c>
      <c r="R173" s="130">
        <f t="shared" si="44"/>
        <v>0</v>
      </c>
      <c r="S173" s="130">
        <f t="shared" si="44"/>
        <v>0</v>
      </c>
      <c r="T173" s="130">
        <f t="shared" si="44"/>
        <v>0</v>
      </c>
      <c r="U173" s="130">
        <f t="shared" si="44"/>
        <v>0</v>
      </c>
      <c r="V173" s="130">
        <f t="shared" si="44"/>
        <v>0</v>
      </c>
      <c r="W173" s="130">
        <f t="shared" si="44"/>
        <v>0</v>
      </c>
      <c r="X173" s="130">
        <f t="shared" si="44"/>
        <v>0</v>
      </c>
      <c r="Y173" s="130">
        <f t="shared" si="44"/>
        <v>0</v>
      </c>
      <c r="Z173" s="130">
        <f t="shared" si="44"/>
        <v>0</v>
      </c>
      <c r="AA173" s="130">
        <f t="shared" si="44"/>
        <v>0</v>
      </c>
      <c r="AB173" s="130">
        <f t="shared" si="44"/>
        <v>0</v>
      </c>
      <c r="AC173" s="130">
        <f t="shared" si="44"/>
        <v>0</v>
      </c>
      <c r="AD173" s="130">
        <f t="shared" si="44"/>
        <v>1</v>
      </c>
      <c r="AE173" s="130">
        <f t="shared" si="44"/>
        <v>1</v>
      </c>
      <c r="AF173" s="130">
        <f t="shared" si="44"/>
        <v>1</v>
      </c>
      <c r="AG173" s="130">
        <f t="shared" si="44"/>
        <v>1</v>
      </c>
      <c r="AH173" s="130">
        <f t="shared" si="44"/>
        <v>1</v>
      </c>
      <c r="AI173" s="130">
        <f t="shared" si="44"/>
        <v>1</v>
      </c>
      <c r="AJ173" s="49" t="str">
        <f t="shared" si="30"/>
        <v>UNKNOWN</v>
      </c>
      <c r="AK173" s="62"/>
      <c r="AL173" s="62" t="str">
        <f t="shared" si="33"/>
        <v>3F</v>
      </c>
      <c r="AM173" s="64" t="str">
        <f t="shared" si="34"/>
        <v>00</v>
      </c>
      <c r="AN173" s="64" t="str">
        <f t="shared" si="35"/>
        <v>00</v>
      </c>
      <c r="AO173" s="64" t="str">
        <f t="shared" si="36"/>
        <v>00</v>
      </c>
      <c r="AQ173" t="str">
        <f t="shared" si="31"/>
        <v xml:space="preserve">    (U4)0x0000003FU,                                                           /* 37 UNKNOWN                                         */</v>
      </c>
    </row>
    <row r="174" spans="2:43">
      <c r="B174" s="138"/>
      <c r="C174" s="49">
        <f t="shared" si="32"/>
        <v>38</v>
      </c>
      <c r="D174" s="130">
        <f t="shared" si="44"/>
        <v>0</v>
      </c>
      <c r="E174" s="130">
        <f t="shared" si="44"/>
        <v>0</v>
      </c>
      <c r="F174" s="130">
        <f t="shared" si="44"/>
        <v>0</v>
      </c>
      <c r="G174" s="130">
        <f t="shared" si="44"/>
        <v>0</v>
      </c>
      <c r="H174" s="130">
        <f t="shared" si="44"/>
        <v>0</v>
      </c>
      <c r="I174" s="130">
        <f t="shared" si="44"/>
        <v>0</v>
      </c>
      <c r="J174" s="130">
        <f t="shared" si="44"/>
        <v>0</v>
      </c>
      <c r="K174" s="130">
        <f t="shared" si="44"/>
        <v>0</v>
      </c>
      <c r="L174" s="130">
        <f t="shared" si="44"/>
        <v>0</v>
      </c>
      <c r="M174" s="130">
        <f t="shared" si="44"/>
        <v>0</v>
      </c>
      <c r="N174" s="130">
        <f t="shared" si="44"/>
        <v>0</v>
      </c>
      <c r="O174" s="130">
        <f t="shared" si="44"/>
        <v>0</v>
      </c>
      <c r="P174" s="130">
        <f t="shared" si="44"/>
        <v>0</v>
      </c>
      <c r="Q174" s="130">
        <f t="shared" si="44"/>
        <v>0</v>
      </c>
      <c r="R174" s="130">
        <f t="shared" si="44"/>
        <v>0</v>
      </c>
      <c r="S174" s="130">
        <f t="shared" si="44"/>
        <v>0</v>
      </c>
      <c r="T174" s="130">
        <f t="shared" si="44"/>
        <v>0</v>
      </c>
      <c r="U174" s="130">
        <f t="shared" si="44"/>
        <v>0</v>
      </c>
      <c r="V174" s="130">
        <f t="shared" si="44"/>
        <v>0</v>
      </c>
      <c r="W174" s="130">
        <f t="shared" si="44"/>
        <v>0</v>
      </c>
      <c r="X174" s="130">
        <f t="shared" si="44"/>
        <v>0</v>
      </c>
      <c r="Y174" s="130">
        <f t="shared" si="44"/>
        <v>0</v>
      </c>
      <c r="Z174" s="130">
        <f t="shared" si="44"/>
        <v>0</v>
      </c>
      <c r="AA174" s="130">
        <f t="shared" si="44"/>
        <v>0</v>
      </c>
      <c r="AB174" s="130">
        <f t="shared" si="44"/>
        <v>0</v>
      </c>
      <c r="AC174" s="130">
        <f t="shared" si="44"/>
        <v>0</v>
      </c>
      <c r="AD174" s="130">
        <f t="shared" si="44"/>
        <v>1</v>
      </c>
      <c r="AE174" s="130">
        <f t="shared" si="44"/>
        <v>1</v>
      </c>
      <c r="AF174" s="130">
        <f t="shared" si="44"/>
        <v>1</v>
      </c>
      <c r="AG174" s="130">
        <f t="shared" si="44"/>
        <v>1</v>
      </c>
      <c r="AH174" s="130">
        <f t="shared" si="44"/>
        <v>1</v>
      </c>
      <c r="AI174" s="130">
        <f t="shared" si="44"/>
        <v>1</v>
      </c>
      <c r="AJ174" s="49" t="str">
        <f t="shared" si="30"/>
        <v>UNKNOWN</v>
      </c>
      <c r="AK174" s="62"/>
      <c r="AL174" s="62" t="str">
        <f t="shared" si="33"/>
        <v>3F</v>
      </c>
      <c r="AM174" s="64" t="str">
        <f t="shared" si="34"/>
        <v>00</v>
      </c>
      <c r="AN174" s="64" t="str">
        <f t="shared" si="35"/>
        <v>00</v>
      </c>
      <c r="AO174" s="64" t="str">
        <f t="shared" si="36"/>
        <v>00</v>
      </c>
      <c r="AQ174" t="str">
        <f t="shared" si="31"/>
        <v xml:space="preserve">    (U4)0x0000003FU,                                                           /* 38 UNKNOWN                                         */</v>
      </c>
    </row>
    <row r="175" spans="2:43">
      <c r="B175" s="138"/>
      <c r="C175" s="49">
        <f t="shared" si="32"/>
        <v>39</v>
      </c>
      <c r="D175" s="130">
        <f t="shared" si="44"/>
        <v>0</v>
      </c>
      <c r="E175" s="130">
        <f t="shared" si="44"/>
        <v>0</v>
      </c>
      <c r="F175" s="130">
        <f t="shared" si="44"/>
        <v>0</v>
      </c>
      <c r="G175" s="130">
        <f t="shared" si="44"/>
        <v>0</v>
      </c>
      <c r="H175" s="130">
        <f t="shared" si="44"/>
        <v>0</v>
      </c>
      <c r="I175" s="130">
        <f t="shared" si="44"/>
        <v>0</v>
      </c>
      <c r="J175" s="130">
        <f t="shared" si="44"/>
        <v>0</v>
      </c>
      <c r="K175" s="130">
        <f t="shared" si="44"/>
        <v>0</v>
      </c>
      <c r="L175" s="130">
        <f t="shared" si="44"/>
        <v>0</v>
      </c>
      <c r="M175" s="130">
        <f t="shared" si="44"/>
        <v>0</v>
      </c>
      <c r="N175" s="130">
        <f t="shared" si="44"/>
        <v>0</v>
      </c>
      <c r="O175" s="130">
        <f t="shared" si="44"/>
        <v>0</v>
      </c>
      <c r="P175" s="130">
        <f t="shared" si="44"/>
        <v>0</v>
      </c>
      <c r="Q175" s="130">
        <f t="shared" si="44"/>
        <v>0</v>
      </c>
      <c r="R175" s="130">
        <f t="shared" si="44"/>
        <v>0</v>
      </c>
      <c r="S175" s="130">
        <f t="shared" si="44"/>
        <v>0</v>
      </c>
      <c r="T175" s="130">
        <f t="shared" si="44"/>
        <v>0</v>
      </c>
      <c r="U175" s="130">
        <f t="shared" si="44"/>
        <v>0</v>
      </c>
      <c r="V175" s="130">
        <f t="shared" si="44"/>
        <v>0</v>
      </c>
      <c r="W175" s="130">
        <f t="shared" si="44"/>
        <v>0</v>
      </c>
      <c r="X175" s="130">
        <f t="shared" si="44"/>
        <v>0</v>
      </c>
      <c r="Y175" s="130">
        <f t="shared" si="44"/>
        <v>0</v>
      </c>
      <c r="Z175" s="130">
        <f t="shared" si="44"/>
        <v>0</v>
      </c>
      <c r="AA175" s="130">
        <f t="shared" si="44"/>
        <v>0</v>
      </c>
      <c r="AB175" s="130">
        <f t="shared" si="44"/>
        <v>0</v>
      </c>
      <c r="AC175" s="130">
        <f t="shared" si="44"/>
        <v>0</v>
      </c>
      <c r="AD175" s="130">
        <f t="shared" si="44"/>
        <v>1</v>
      </c>
      <c r="AE175" s="130">
        <f t="shared" si="44"/>
        <v>1</v>
      </c>
      <c r="AF175" s="130">
        <f t="shared" si="44"/>
        <v>1</v>
      </c>
      <c r="AG175" s="130">
        <f t="shared" si="44"/>
        <v>1</v>
      </c>
      <c r="AH175" s="130">
        <f t="shared" si="44"/>
        <v>1</v>
      </c>
      <c r="AI175" s="130">
        <f t="shared" ref="AI175" si="45">IF(OR(AI45=0,AI45=1),1,0)</f>
        <v>1</v>
      </c>
      <c r="AJ175" s="49" t="str">
        <f t="shared" si="30"/>
        <v>UNKNOWN</v>
      </c>
      <c r="AK175" s="62"/>
      <c r="AL175" s="62" t="str">
        <f t="shared" si="33"/>
        <v>3F</v>
      </c>
      <c r="AM175" s="64" t="str">
        <f t="shared" si="34"/>
        <v>00</v>
      </c>
      <c r="AN175" s="64" t="str">
        <f t="shared" si="35"/>
        <v>00</v>
      </c>
      <c r="AO175" s="64" t="str">
        <f t="shared" si="36"/>
        <v>00</v>
      </c>
      <c r="AQ175" t="str">
        <f t="shared" si="31"/>
        <v xml:space="preserve">    (U4)0x0000003FU,                                                           /* 39 UNKNOWN                                         */</v>
      </c>
    </row>
    <row r="176" spans="2:43">
      <c r="B176" s="138"/>
      <c r="C176" s="49">
        <f t="shared" si="32"/>
        <v>40</v>
      </c>
      <c r="D176" s="130">
        <f t="shared" ref="D176:AI183" si="46">IF(OR(D46=0,D46=1),1,0)</f>
        <v>0</v>
      </c>
      <c r="E176" s="130">
        <f t="shared" si="46"/>
        <v>0</v>
      </c>
      <c r="F176" s="130">
        <f t="shared" si="46"/>
        <v>0</v>
      </c>
      <c r="G176" s="130">
        <f t="shared" si="46"/>
        <v>0</v>
      </c>
      <c r="H176" s="130">
        <f t="shared" si="46"/>
        <v>0</v>
      </c>
      <c r="I176" s="130">
        <f t="shared" si="46"/>
        <v>0</v>
      </c>
      <c r="J176" s="130">
        <f t="shared" si="46"/>
        <v>0</v>
      </c>
      <c r="K176" s="130">
        <f t="shared" si="46"/>
        <v>0</v>
      </c>
      <c r="L176" s="130">
        <f t="shared" si="46"/>
        <v>0</v>
      </c>
      <c r="M176" s="130">
        <f t="shared" si="46"/>
        <v>0</v>
      </c>
      <c r="N176" s="130">
        <f t="shared" si="46"/>
        <v>0</v>
      </c>
      <c r="O176" s="130">
        <f t="shared" si="46"/>
        <v>0</v>
      </c>
      <c r="P176" s="130">
        <f t="shared" si="46"/>
        <v>0</v>
      </c>
      <c r="Q176" s="130">
        <f t="shared" si="46"/>
        <v>0</v>
      </c>
      <c r="R176" s="130">
        <f t="shared" si="46"/>
        <v>0</v>
      </c>
      <c r="S176" s="130">
        <f t="shared" si="46"/>
        <v>0</v>
      </c>
      <c r="T176" s="130">
        <f t="shared" si="46"/>
        <v>0</v>
      </c>
      <c r="U176" s="130">
        <f t="shared" si="46"/>
        <v>0</v>
      </c>
      <c r="V176" s="130">
        <f t="shared" si="46"/>
        <v>0</v>
      </c>
      <c r="W176" s="130">
        <f t="shared" si="46"/>
        <v>0</v>
      </c>
      <c r="X176" s="130">
        <f t="shared" si="46"/>
        <v>0</v>
      </c>
      <c r="Y176" s="130">
        <f t="shared" si="46"/>
        <v>0</v>
      </c>
      <c r="Z176" s="130">
        <f t="shared" si="46"/>
        <v>0</v>
      </c>
      <c r="AA176" s="130">
        <f t="shared" si="46"/>
        <v>0</v>
      </c>
      <c r="AB176" s="130">
        <f t="shared" si="46"/>
        <v>0</v>
      </c>
      <c r="AC176" s="130">
        <f t="shared" si="46"/>
        <v>0</v>
      </c>
      <c r="AD176" s="130">
        <f t="shared" si="46"/>
        <v>1</v>
      </c>
      <c r="AE176" s="130">
        <f t="shared" si="46"/>
        <v>1</v>
      </c>
      <c r="AF176" s="130">
        <f t="shared" si="46"/>
        <v>1</v>
      </c>
      <c r="AG176" s="130">
        <f t="shared" si="46"/>
        <v>1</v>
      </c>
      <c r="AH176" s="130">
        <f t="shared" si="46"/>
        <v>1</v>
      </c>
      <c r="AI176" s="130">
        <f t="shared" si="46"/>
        <v>1</v>
      </c>
      <c r="AJ176" s="49" t="str">
        <f t="shared" si="30"/>
        <v>UNKNOWN</v>
      </c>
      <c r="AK176" s="62"/>
      <c r="AL176" s="62" t="str">
        <f t="shared" si="33"/>
        <v>3F</v>
      </c>
      <c r="AM176" s="64" t="str">
        <f t="shared" si="34"/>
        <v>00</v>
      </c>
      <c r="AN176" s="64" t="str">
        <f t="shared" si="35"/>
        <v>00</v>
      </c>
      <c r="AO176" s="64" t="str">
        <f t="shared" si="36"/>
        <v>00</v>
      </c>
      <c r="AQ176" t="str">
        <f t="shared" si="31"/>
        <v xml:space="preserve">    (U4)0x0000003FU,                                                           /* 40 UNKNOWN                                         */</v>
      </c>
    </row>
    <row r="177" spans="2:43">
      <c r="B177" s="138"/>
      <c r="C177" s="49">
        <f t="shared" si="32"/>
        <v>41</v>
      </c>
      <c r="D177" s="130">
        <f t="shared" si="46"/>
        <v>0</v>
      </c>
      <c r="E177" s="130">
        <f t="shared" si="46"/>
        <v>0</v>
      </c>
      <c r="F177" s="130">
        <f t="shared" si="46"/>
        <v>0</v>
      </c>
      <c r="G177" s="130">
        <f t="shared" si="46"/>
        <v>0</v>
      </c>
      <c r="H177" s="130">
        <f t="shared" si="46"/>
        <v>0</v>
      </c>
      <c r="I177" s="130">
        <f t="shared" si="46"/>
        <v>0</v>
      </c>
      <c r="J177" s="130">
        <f t="shared" si="46"/>
        <v>0</v>
      </c>
      <c r="K177" s="130">
        <f t="shared" si="46"/>
        <v>0</v>
      </c>
      <c r="L177" s="130">
        <f t="shared" si="46"/>
        <v>0</v>
      </c>
      <c r="M177" s="130">
        <f t="shared" si="46"/>
        <v>0</v>
      </c>
      <c r="N177" s="130">
        <f t="shared" si="46"/>
        <v>0</v>
      </c>
      <c r="O177" s="130">
        <f t="shared" si="46"/>
        <v>0</v>
      </c>
      <c r="P177" s="130">
        <f t="shared" si="46"/>
        <v>0</v>
      </c>
      <c r="Q177" s="130">
        <f t="shared" si="46"/>
        <v>0</v>
      </c>
      <c r="R177" s="130">
        <f t="shared" si="46"/>
        <v>0</v>
      </c>
      <c r="S177" s="130">
        <f t="shared" si="46"/>
        <v>0</v>
      </c>
      <c r="T177" s="130">
        <f t="shared" si="46"/>
        <v>0</v>
      </c>
      <c r="U177" s="130">
        <f t="shared" si="46"/>
        <v>0</v>
      </c>
      <c r="V177" s="130">
        <f t="shared" si="46"/>
        <v>0</v>
      </c>
      <c r="W177" s="130">
        <f t="shared" si="46"/>
        <v>0</v>
      </c>
      <c r="X177" s="130">
        <f t="shared" si="46"/>
        <v>0</v>
      </c>
      <c r="Y177" s="130">
        <f t="shared" si="46"/>
        <v>0</v>
      </c>
      <c r="Z177" s="130">
        <f t="shared" si="46"/>
        <v>0</v>
      </c>
      <c r="AA177" s="130">
        <f t="shared" si="46"/>
        <v>0</v>
      </c>
      <c r="AB177" s="130">
        <f t="shared" si="46"/>
        <v>0</v>
      </c>
      <c r="AC177" s="130">
        <f t="shared" si="46"/>
        <v>0</v>
      </c>
      <c r="AD177" s="130">
        <f t="shared" si="46"/>
        <v>1</v>
      </c>
      <c r="AE177" s="130">
        <f t="shared" si="46"/>
        <v>1</v>
      </c>
      <c r="AF177" s="130">
        <f t="shared" si="46"/>
        <v>1</v>
      </c>
      <c r="AG177" s="130">
        <f t="shared" si="46"/>
        <v>1</v>
      </c>
      <c r="AH177" s="130">
        <f t="shared" si="46"/>
        <v>1</v>
      </c>
      <c r="AI177" s="130">
        <f t="shared" si="46"/>
        <v>1</v>
      </c>
      <c r="AJ177" s="49" t="str">
        <f t="shared" si="30"/>
        <v>UNKNOWN</v>
      </c>
      <c r="AK177" s="62"/>
      <c r="AL177" s="62" t="str">
        <f t="shared" si="33"/>
        <v>3F</v>
      </c>
      <c r="AM177" s="64" t="str">
        <f t="shared" si="34"/>
        <v>00</v>
      </c>
      <c r="AN177" s="64" t="str">
        <f t="shared" si="35"/>
        <v>00</v>
      </c>
      <c r="AO177" s="64" t="str">
        <f t="shared" si="36"/>
        <v>00</v>
      </c>
      <c r="AQ177" t="str">
        <f t="shared" si="31"/>
        <v xml:space="preserve">    (U4)0x0000003FU,                                                           /* 41 UNKNOWN                                         */</v>
      </c>
    </row>
    <row r="178" spans="2:43">
      <c r="B178" s="138"/>
      <c r="C178" s="49">
        <f t="shared" si="32"/>
        <v>42</v>
      </c>
      <c r="D178" s="130">
        <f t="shared" si="46"/>
        <v>0</v>
      </c>
      <c r="E178" s="130">
        <f t="shared" si="46"/>
        <v>0</v>
      </c>
      <c r="F178" s="130">
        <f t="shared" si="46"/>
        <v>0</v>
      </c>
      <c r="G178" s="130">
        <f t="shared" si="46"/>
        <v>0</v>
      </c>
      <c r="H178" s="130">
        <f t="shared" si="46"/>
        <v>0</v>
      </c>
      <c r="I178" s="130">
        <f t="shared" si="46"/>
        <v>0</v>
      </c>
      <c r="J178" s="130">
        <f t="shared" si="46"/>
        <v>0</v>
      </c>
      <c r="K178" s="130">
        <f t="shared" si="46"/>
        <v>0</v>
      </c>
      <c r="L178" s="130">
        <f t="shared" si="46"/>
        <v>0</v>
      </c>
      <c r="M178" s="130">
        <f t="shared" si="46"/>
        <v>0</v>
      </c>
      <c r="N178" s="130">
        <f t="shared" si="46"/>
        <v>0</v>
      </c>
      <c r="O178" s="130">
        <f t="shared" si="46"/>
        <v>0</v>
      </c>
      <c r="P178" s="130">
        <f t="shared" si="46"/>
        <v>0</v>
      </c>
      <c r="Q178" s="130">
        <f t="shared" si="46"/>
        <v>0</v>
      </c>
      <c r="R178" s="130">
        <f t="shared" si="46"/>
        <v>0</v>
      </c>
      <c r="S178" s="130">
        <f t="shared" si="46"/>
        <v>0</v>
      </c>
      <c r="T178" s="130">
        <f t="shared" si="46"/>
        <v>0</v>
      </c>
      <c r="U178" s="130">
        <f t="shared" si="46"/>
        <v>0</v>
      </c>
      <c r="V178" s="130">
        <f t="shared" si="46"/>
        <v>0</v>
      </c>
      <c r="W178" s="130">
        <f t="shared" si="46"/>
        <v>0</v>
      </c>
      <c r="X178" s="130">
        <f t="shared" si="46"/>
        <v>0</v>
      </c>
      <c r="Y178" s="130">
        <f t="shared" si="46"/>
        <v>0</v>
      </c>
      <c r="Z178" s="130">
        <f t="shared" si="46"/>
        <v>0</v>
      </c>
      <c r="AA178" s="130">
        <f t="shared" si="46"/>
        <v>0</v>
      </c>
      <c r="AB178" s="130">
        <f t="shared" si="46"/>
        <v>0</v>
      </c>
      <c r="AC178" s="130">
        <f t="shared" si="46"/>
        <v>0</v>
      </c>
      <c r="AD178" s="130">
        <f t="shared" si="46"/>
        <v>1</v>
      </c>
      <c r="AE178" s="130">
        <f t="shared" si="46"/>
        <v>1</v>
      </c>
      <c r="AF178" s="130">
        <f t="shared" si="46"/>
        <v>1</v>
      </c>
      <c r="AG178" s="130">
        <f t="shared" si="46"/>
        <v>1</v>
      </c>
      <c r="AH178" s="130">
        <f t="shared" si="46"/>
        <v>1</v>
      </c>
      <c r="AI178" s="130">
        <f t="shared" si="46"/>
        <v>1</v>
      </c>
      <c r="AJ178" s="49" t="str">
        <f t="shared" si="30"/>
        <v>UNKNOWN</v>
      </c>
      <c r="AK178" s="62"/>
      <c r="AL178" s="62" t="str">
        <f t="shared" si="33"/>
        <v>3F</v>
      </c>
      <c r="AM178" s="64" t="str">
        <f t="shared" si="34"/>
        <v>00</v>
      </c>
      <c r="AN178" s="64" t="str">
        <f t="shared" si="35"/>
        <v>00</v>
      </c>
      <c r="AO178" s="64" t="str">
        <f t="shared" si="36"/>
        <v>00</v>
      </c>
      <c r="AQ178" t="str">
        <f t="shared" si="31"/>
        <v xml:space="preserve">    (U4)0x0000003FU,                                                           /* 42 UNKNOWN                                         */</v>
      </c>
    </row>
    <row r="179" spans="2:43">
      <c r="B179" s="138"/>
      <c r="C179" s="49">
        <f t="shared" si="32"/>
        <v>43</v>
      </c>
      <c r="D179" s="130">
        <f t="shared" si="46"/>
        <v>0</v>
      </c>
      <c r="E179" s="130">
        <f t="shared" si="46"/>
        <v>0</v>
      </c>
      <c r="F179" s="130">
        <f t="shared" si="46"/>
        <v>0</v>
      </c>
      <c r="G179" s="130">
        <f t="shared" si="46"/>
        <v>0</v>
      </c>
      <c r="H179" s="130">
        <f t="shared" si="46"/>
        <v>0</v>
      </c>
      <c r="I179" s="130">
        <f t="shared" si="46"/>
        <v>0</v>
      </c>
      <c r="J179" s="130">
        <f t="shared" si="46"/>
        <v>0</v>
      </c>
      <c r="K179" s="130">
        <f t="shared" si="46"/>
        <v>0</v>
      </c>
      <c r="L179" s="130">
        <f t="shared" si="46"/>
        <v>0</v>
      </c>
      <c r="M179" s="130">
        <f t="shared" si="46"/>
        <v>0</v>
      </c>
      <c r="N179" s="130">
        <f t="shared" si="46"/>
        <v>0</v>
      </c>
      <c r="O179" s="130">
        <f t="shared" si="46"/>
        <v>0</v>
      </c>
      <c r="P179" s="130">
        <f t="shared" si="46"/>
        <v>0</v>
      </c>
      <c r="Q179" s="130">
        <f t="shared" si="46"/>
        <v>0</v>
      </c>
      <c r="R179" s="130">
        <f t="shared" si="46"/>
        <v>0</v>
      </c>
      <c r="S179" s="130">
        <f t="shared" si="46"/>
        <v>0</v>
      </c>
      <c r="T179" s="130">
        <f t="shared" si="46"/>
        <v>0</v>
      </c>
      <c r="U179" s="130">
        <f t="shared" si="46"/>
        <v>0</v>
      </c>
      <c r="V179" s="130">
        <f t="shared" si="46"/>
        <v>0</v>
      </c>
      <c r="W179" s="130">
        <f t="shared" si="46"/>
        <v>0</v>
      </c>
      <c r="X179" s="130">
        <f t="shared" si="46"/>
        <v>0</v>
      </c>
      <c r="Y179" s="130">
        <f t="shared" si="46"/>
        <v>0</v>
      </c>
      <c r="Z179" s="130">
        <f t="shared" si="46"/>
        <v>0</v>
      </c>
      <c r="AA179" s="130">
        <f t="shared" si="46"/>
        <v>0</v>
      </c>
      <c r="AB179" s="130">
        <f t="shared" si="46"/>
        <v>0</v>
      </c>
      <c r="AC179" s="130">
        <f t="shared" si="46"/>
        <v>0</v>
      </c>
      <c r="AD179" s="130">
        <f t="shared" si="46"/>
        <v>1</v>
      </c>
      <c r="AE179" s="130">
        <f t="shared" si="46"/>
        <v>1</v>
      </c>
      <c r="AF179" s="130">
        <f t="shared" si="46"/>
        <v>1</v>
      </c>
      <c r="AG179" s="130">
        <f t="shared" si="46"/>
        <v>1</v>
      </c>
      <c r="AH179" s="130">
        <f t="shared" si="46"/>
        <v>1</v>
      </c>
      <c r="AI179" s="130">
        <f t="shared" si="46"/>
        <v>1</v>
      </c>
      <c r="AJ179" s="49" t="str">
        <f t="shared" si="30"/>
        <v>UNKNOWN</v>
      </c>
      <c r="AK179" s="62"/>
      <c r="AL179" s="62" t="str">
        <f t="shared" si="33"/>
        <v>3F</v>
      </c>
      <c r="AM179" s="64" t="str">
        <f t="shared" si="34"/>
        <v>00</v>
      </c>
      <c r="AN179" s="64" t="str">
        <f t="shared" si="35"/>
        <v>00</v>
      </c>
      <c r="AO179" s="64" t="str">
        <f t="shared" si="36"/>
        <v>00</v>
      </c>
      <c r="AQ179" t="str">
        <f t="shared" si="31"/>
        <v xml:space="preserve">    (U4)0x0000003FU,                                                           /* 43 UNKNOWN                                         */</v>
      </c>
    </row>
    <row r="180" spans="2:43">
      <c r="B180" s="138"/>
      <c r="C180" s="49">
        <f t="shared" si="32"/>
        <v>44</v>
      </c>
      <c r="D180" s="130">
        <f t="shared" si="46"/>
        <v>0</v>
      </c>
      <c r="E180" s="130">
        <f t="shared" si="46"/>
        <v>0</v>
      </c>
      <c r="F180" s="130">
        <f t="shared" si="46"/>
        <v>0</v>
      </c>
      <c r="G180" s="130">
        <f t="shared" si="46"/>
        <v>0</v>
      </c>
      <c r="H180" s="130">
        <f t="shared" si="46"/>
        <v>0</v>
      </c>
      <c r="I180" s="130">
        <f t="shared" si="46"/>
        <v>0</v>
      </c>
      <c r="J180" s="130">
        <f t="shared" si="46"/>
        <v>0</v>
      </c>
      <c r="K180" s="130">
        <f t="shared" si="46"/>
        <v>0</v>
      </c>
      <c r="L180" s="130">
        <f t="shared" si="46"/>
        <v>0</v>
      </c>
      <c r="M180" s="130">
        <f t="shared" si="46"/>
        <v>0</v>
      </c>
      <c r="N180" s="130">
        <f t="shared" si="46"/>
        <v>0</v>
      </c>
      <c r="O180" s="130">
        <f t="shared" si="46"/>
        <v>0</v>
      </c>
      <c r="P180" s="130">
        <f t="shared" si="46"/>
        <v>0</v>
      </c>
      <c r="Q180" s="130">
        <f t="shared" si="46"/>
        <v>0</v>
      </c>
      <c r="R180" s="130">
        <f t="shared" si="46"/>
        <v>0</v>
      </c>
      <c r="S180" s="130">
        <f t="shared" si="46"/>
        <v>0</v>
      </c>
      <c r="T180" s="130">
        <f t="shared" si="46"/>
        <v>0</v>
      </c>
      <c r="U180" s="130">
        <f t="shared" si="46"/>
        <v>0</v>
      </c>
      <c r="V180" s="130">
        <f t="shared" si="46"/>
        <v>0</v>
      </c>
      <c r="W180" s="130">
        <f t="shared" si="46"/>
        <v>0</v>
      </c>
      <c r="X180" s="130">
        <f t="shared" si="46"/>
        <v>0</v>
      </c>
      <c r="Y180" s="130">
        <f t="shared" si="46"/>
        <v>0</v>
      </c>
      <c r="Z180" s="130">
        <f t="shared" si="46"/>
        <v>0</v>
      </c>
      <c r="AA180" s="130">
        <f t="shared" si="46"/>
        <v>0</v>
      </c>
      <c r="AB180" s="130">
        <f t="shared" si="46"/>
        <v>0</v>
      </c>
      <c r="AC180" s="130">
        <f t="shared" si="46"/>
        <v>0</v>
      </c>
      <c r="AD180" s="130">
        <f t="shared" si="46"/>
        <v>1</v>
      </c>
      <c r="AE180" s="130">
        <f t="shared" si="46"/>
        <v>1</v>
      </c>
      <c r="AF180" s="130">
        <f t="shared" si="46"/>
        <v>1</v>
      </c>
      <c r="AG180" s="130">
        <f t="shared" si="46"/>
        <v>1</v>
      </c>
      <c r="AH180" s="130">
        <f t="shared" si="46"/>
        <v>1</v>
      </c>
      <c r="AI180" s="130">
        <f t="shared" si="46"/>
        <v>1</v>
      </c>
      <c r="AJ180" s="49" t="str">
        <f t="shared" si="30"/>
        <v>UNKNOWN</v>
      </c>
      <c r="AK180" s="62"/>
      <c r="AL180" s="62" t="str">
        <f t="shared" si="33"/>
        <v>3F</v>
      </c>
      <c r="AM180" s="64" t="str">
        <f t="shared" si="34"/>
        <v>00</v>
      </c>
      <c r="AN180" s="64" t="str">
        <f t="shared" si="35"/>
        <v>00</v>
      </c>
      <c r="AO180" s="64" t="str">
        <f t="shared" si="36"/>
        <v>00</v>
      </c>
      <c r="AQ180" t="str">
        <f t="shared" si="31"/>
        <v xml:space="preserve">    (U4)0x0000003FU,                                                           /* 44 UNKNOWN                                         */</v>
      </c>
    </row>
    <row r="181" spans="2:43">
      <c r="B181" s="138"/>
      <c r="C181" s="49">
        <f t="shared" si="32"/>
        <v>45</v>
      </c>
      <c r="D181" s="130">
        <f t="shared" si="46"/>
        <v>0</v>
      </c>
      <c r="E181" s="130">
        <f t="shared" si="46"/>
        <v>0</v>
      </c>
      <c r="F181" s="130">
        <f t="shared" si="46"/>
        <v>0</v>
      </c>
      <c r="G181" s="130">
        <f t="shared" si="46"/>
        <v>0</v>
      </c>
      <c r="H181" s="130">
        <f t="shared" si="46"/>
        <v>0</v>
      </c>
      <c r="I181" s="130">
        <f t="shared" si="46"/>
        <v>0</v>
      </c>
      <c r="J181" s="130">
        <f t="shared" si="46"/>
        <v>0</v>
      </c>
      <c r="K181" s="130">
        <f t="shared" si="46"/>
        <v>0</v>
      </c>
      <c r="L181" s="130">
        <f t="shared" si="46"/>
        <v>0</v>
      </c>
      <c r="M181" s="130">
        <f t="shared" si="46"/>
        <v>0</v>
      </c>
      <c r="N181" s="130">
        <f t="shared" si="46"/>
        <v>0</v>
      </c>
      <c r="O181" s="130">
        <f t="shared" si="46"/>
        <v>0</v>
      </c>
      <c r="P181" s="130">
        <f t="shared" si="46"/>
        <v>0</v>
      </c>
      <c r="Q181" s="130">
        <f t="shared" si="46"/>
        <v>0</v>
      </c>
      <c r="R181" s="130">
        <f t="shared" si="46"/>
        <v>0</v>
      </c>
      <c r="S181" s="130">
        <f t="shared" si="46"/>
        <v>0</v>
      </c>
      <c r="T181" s="130">
        <f t="shared" si="46"/>
        <v>0</v>
      </c>
      <c r="U181" s="130">
        <f t="shared" si="46"/>
        <v>0</v>
      </c>
      <c r="V181" s="130">
        <f t="shared" si="46"/>
        <v>0</v>
      </c>
      <c r="W181" s="130">
        <f t="shared" si="46"/>
        <v>0</v>
      </c>
      <c r="X181" s="130">
        <f t="shared" si="46"/>
        <v>0</v>
      </c>
      <c r="Y181" s="130">
        <f t="shared" si="46"/>
        <v>0</v>
      </c>
      <c r="Z181" s="130">
        <f t="shared" si="46"/>
        <v>0</v>
      </c>
      <c r="AA181" s="130">
        <f t="shared" si="46"/>
        <v>0</v>
      </c>
      <c r="AB181" s="130">
        <f t="shared" si="46"/>
        <v>0</v>
      </c>
      <c r="AC181" s="130">
        <f t="shared" si="46"/>
        <v>0</v>
      </c>
      <c r="AD181" s="130">
        <f t="shared" si="46"/>
        <v>1</v>
      </c>
      <c r="AE181" s="130">
        <f t="shared" si="46"/>
        <v>1</v>
      </c>
      <c r="AF181" s="130">
        <f t="shared" si="46"/>
        <v>1</v>
      </c>
      <c r="AG181" s="130">
        <f t="shared" si="46"/>
        <v>1</v>
      </c>
      <c r="AH181" s="130">
        <f t="shared" si="46"/>
        <v>1</v>
      </c>
      <c r="AI181" s="130">
        <f t="shared" si="46"/>
        <v>1</v>
      </c>
      <c r="AJ181" s="49" t="str">
        <f t="shared" si="30"/>
        <v>UNKNOWN</v>
      </c>
      <c r="AK181" s="62"/>
      <c r="AL181" s="62" t="str">
        <f t="shared" si="33"/>
        <v>3F</v>
      </c>
      <c r="AM181" s="64" t="str">
        <f t="shared" si="34"/>
        <v>00</v>
      </c>
      <c r="AN181" s="64" t="str">
        <f t="shared" si="35"/>
        <v>00</v>
      </c>
      <c r="AO181" s="64" t="str">
        <f t="shared" si="36"/>
        <v>00</v>
      </c>
      <c r="AQ181" t="str">
        <f t="shared" si="31"/>
        <v xml:space="preserve">    (U4)0x0000003FU,                                                           /* 45 UNKNOWN                                         */</v>
      </c>
    </row>
    <row r="182" spans="2:43">
      <c r="B182" s="138"/>
      <c r="C182" s="49">
        <f t="shared" si="32"/>
        <v>46</v>
      </c>
      <c r="D182" s="130">
        <f t="shared" si="46"/>
        <v>0</v>
      </c>
      <c r="E182" s="130">
        <f t="shared" si="46"/>
        <v>0</v>
      </c>
      <c r="F182" s="130">
        <f t="shared" si="46"/>
        <v>0</v>
      </c>
      <c r="G182" s="130">
        <f t="shared" si="46"/>
        <v>0</v>
      </c>
      <c r="H182" s="130">
        <f t="shared" si="46"/>
        <v>0</v>
      </c>
      <c r="I182" s="130">
        <f t="shared" si="46"/>
        <v>0</v>
      </c>
      <c r="J182" s="130">
        <f t="shared" si="46"/>
        <v>0</v>
      </c>
      <c r="K182" s="130">
        <f t="shared" si="46"/>
        <v>0</v>
      </c>
      <c r="L182" s="130">
        <f t="shared" si="46"/>
        <v>0</v>
      </c>
      <c r="M182" s="130">
        <f t="shared" si="46"/>
        <v>0</v>
      </c>
      <c r="N182" s="130">
        <f t="shared" si="46"/>
        <v>0</v>
      </c>
      <c r="O182" s="130">
        <f t="shared" si="46"/>
        <v>0</v>
      </c>
      <c r="P182" s="130">
        <f t="shared" si="46"/>
        <v>0</v>
      </c>
      <c r="Q182" s="130">
        <f t="shared" si="46"/>
        <v>0</v>
      </c>
      <c r="R182" s="130">
        <f t="shared" si="46"/>
        <v>0</v>
      </c>
      <c r="S182" s="130">
        <f t="shared" si="46"/>
        <v>0</v>
      </c>
      <c r="T182" s="130">
        <f t="shared" si="46"/>
        <v>0</v>
      </c>
      <c r="U182" s="130">
        <f t="shared" si="46"/>
        <v>0</v>
      </c>
      <c r="V182" s="130">
        <f t="shared" si="46"/>
        <v>0</v>
      </c>
      <c r="W182" s="130">
        <f t="shared" si="46"/>
        <v>0</v>
      </c>
      <c r="X182" s="130">
        <f t="shared" si="46"/>
        <v>0</v>
      </c>
      <c r="Y182" s="130">
        <f t="shared" si="46"/>
        <v>0</v>
      </c>
      <c r="Z182" s="130">
        <f t="shared" si="46"/>
        <v>0</v>
      </c>
      <c r="AA182" s="130">
        <f t="shared" si="46"/>
        <v>0</v>
      </c>
      <c r="AB182" s="130">
        <f t="shared" si="46"/>
        <v>0</v>
      </c>
      <c r="AC182" s="130">
        <f t="shared" si="46"/>
        <v>0</v>
      </c>
      <c r="AD182" s="130">
        <f t="shared" si="46"/>
        <v>1</v>
      </c>
      <c r="AE182" s="130">
        <f t="shared" si="46"/>
        <v>1</v>
      </c>
      <c r="AF182" s="130">
        <f t="shared" si="46"/>
        <v>1</v>
      </c>
      <c r="AG182" s="130">
        <f t="shared" si="46"/>
        <v>1</v>
      </c>
      <c r="AH182" s="130">
        <f t="shared" si="46"/>
        <v>1</v>
      </c>
      <c r="AI182" s="130">
        <f t="shared" si="46"/>
        <v>1</v>
      </c>
      <c r="AJ182" s="49" t="str">
        <f t="shared" si="30"/>
        <v>UNKNOWN</v>
      </c>
      <c r="AK182" s="62"/>
      <c r="AL182" s="62" t="str">
        <f t="shared" si="33"/>
        <v>3F</v>
      </c>
      <c r="AM182" s="64" t="str">
        <f t="shared" si="34"/>
        <v>00</v>
      </c>
      <c r="AN182" s="64" t="str">
        <f t="shared" si="35"/>
        <v>00</v>
      </c>
      <c r="AO182" s="64" t="str">
        <f t="shared" si="36"/>
        <v>00</v>
      </c>
      <c r="AQ182" t="str">
        <f t="shared" si="31"/>
        <v xml:space="preserve">    (U4)0x0000003FU,                                                           /* 46 UNKNOWN                                         */</v>
      </c>
    </row>
    <row r="183" spans="2:43">
      <c r="B183" s="138"/>
      <c r="C183" s="49">
        <f t="shared" si="32"/>
        <v>47</v>
      </c>
      <c r="D183" s="130">
        <f t="shared" si="46"/>
        <v>0</v>
      </c>
      <c r="E183" s="130">
        <f t="shared" si="46"/>
        <v>0</v>
      </c>
      <c r="F183" s="130">
        <f t="shared" si="46"/>
        <v>0</v>
      </c>
      <c r="G183" s="130">
        <f t="shared" si="46"/>
        <v>0</v>
      </c>
      <c r="H183" s="130">
        <f t="shared" si="46"/>
        <v>0</v>
      </c>
      <c r="I183" s="130">
        <f t="shared" si="46"/>
        <v>0</v>
      </c>
      <c r="J183" s="130">
        <f t="shared" si="46"/>
        <v>0</v>
      </c>
      <c r="K183" s="130">
        <f t="shared" si="46"/>
        <v>0</v>
      </c>
      <c r="L183" s="130">
        <f t="shared" si="46"/>
        <v>0</v>
      </c>
      <c r="M183" s="130">
        <f t="shared" si="46"/>
        <v>0</v>
      </c>
      <c r="N183" s="130">
        <f t="shared" si="46"/>
        <v>0</v>
      </c>
      <c r="O183" s="130">
        <f t="shared" si="46"/>
        <v>0</v>
      </c>
      <c r="P183" s="130">
        <f t="shared" si="46"/>
        <v>0</v>
      </c>
      <c r="Q183" s="130">
        <f t="shared" si="46"/>
        <v>0</v>
      </c>
      <c r="R183" s="130">
        <f t="shared" si="46"/>
        <v>0</v>
      </c>
      <c r="S183" s="130">
        <f t="shared" si="46"/>
        <v>0</v>
      </c>
      <c r="T183" s="130">
        <f t="shared" si="46"/>
        <v>0</v>
      </c>
      <c r="U183" s="130">
        <f t="shared" si="46"/>
        <v>0</v>
      </c>
      <c r="V183" s="130">
        <f t="shared" si="46"/>
        <v>0</v>
      </c>
      <c r="W183" s="130">
        <f t="shared" si="46"/>
        <v>0</v>
      </c>
      <c r="X183" s="130">
        <f t="shared" si="46"/>
        <v>0</v>
      </c>
      <c r="Y183" s="130">
        <f t="shared" si="46"/>
        <v>0</v>
      </c>
      <c r="Z183" s="130">
        <f t="shared" si="46"/>
        <v>0</v>
      </c>
      <c r="AA183" s="130">
        <f t="shared" si="46"/>
        <v>0</v>
      </c>
      <c r="AB183" s="130">
        <f t="shared" si="46"/>
        <v>0</v>
      </c>
      <c r="AC183" s="130">
        <f t="shared" si="46"/>
        <v>0</v>
      </c>
      <c r="AD183" s="130">
        <f t="shared" si="46"/>
        <v>1</v>
      </c>
      <c r="AE183" s="130">
        <f t="shared" si="46"/>
        <v>1</v>
      </c>
      <c r="AF183" s="130">
        <f t="shared" si="46"/>
        <v>1</v>
      </c>
      <c r="AG183" s="130">
        <f t="shared" si="46"/>
        <v>1</v>
      </c>
      <c r="AH183" s="130">
        <f t="shared" si="46"/>
        <v>1</v>
      </c>
      <c r="AI183" s="130">
        <f t="shared" ref="AI183" si="47">IF(OR(AI53=0,AI53=1),1,0)</f>
        <v>1</v>
      </c>
      <c r="AJ183" s="49" t="str">
        <f t="shared" si="30"/>
        <v>UNKNOWN</v>
      </c>
      <c r="AK183" s="62"/>
      <c r="AL183" s="62" t="str">
        <f t="shared" si="33"/>
        <v>3F</v>
      </c>
      <c r="AM183" s="64" t="str">
        <f t="shared" si="34"/>
        <v>00</v>
      </c>
      <c r="AN183" s="64" t="str">
        <f t="shared" si="35"/>
        <v>00</v>
      </c>
      <c r="AO183" s="64" t="str">
        <f t="shared" si="36"/>
        <v>00</v>
      </c>
      <c r="AQ183" t="str">
        <f t="shared" si="31"/>
        <v xml:space="preserve">    (U4)0x0000003FU,                                                           /* 47 UNKNOWN                                         */</v>
      </c>
    </row>
    <row r="184" spans="2:43">
      <c r="B184" s="138"/>
      <c r="C184" s="49">
        <f t="shared" si="32"/>
        <v>48</v>
      </c>
      <c r="D184" s="130">
        <f t="shared" ref="D184:AI191" si="48">IF(OR(D54=0,D54=1),1,0)</f>
        <v>0</v>
      </c>
      <c r="E184" s="130">
        <f t="shared" si="48"/>
        <v>0</v>
      </c>
      <c r="F184" s="130">
        <f t="shared" si="48"/>
        <v>0</v>
      </c>
      <c r="G184" s="130">
        <f t="shared" si="48"/>
        <v>0</v>
      </c>
      <c r="H184" s="130">
        <f t="shared" si="48"/>
        <v>0</v>
      </c>
      <c r="I184" s="130">
        <f t="shared" si="48"/>
        <v>0</v>
      </c>
      <c r="J184" s="130">
        <f t="shared" si="48"/>
        <v>0</v>
      </c>
      <c r="K184" s="130">
        <f t="shared" si="48"/>
        <v>0</v>
      </c>
      <c r="L184" s="130">
        <f t="shared" si="48"/>
        <v>0</v>
      </c>
      <c r="M184" s="130">
        <f t="shared" si="48"/>
        <v>0</v>
      </c>
      <c r="N184" s="130">
        <f t="shared" si="48"/>
        <v>0</v>
      </c>
      <c r="O184" s="130">
        <f t="shared" si="48"/>
        <v>0</v>
      </c>
      <c r="P184" s="130">
        <f t="shared" si="48"/>
        <v>0</v>
      </c>
      <c r="Q184" s="130">
        <f t="shared" si="48"/>
        <v>0</v>
      </c>
      <c r="R184" s="130">
        <f t="shared" si="48"/>
        <v>0</v>
      </c>
      <c r="S184" s="130">
        <f t="shared" si="48"/>
        <v>0</v>
      </c>
      <c r="T184" s="130">
        <f t="shared" si="48"/>
        <v>0</v>
      </c>
      <c r="U184" s="130">
        <f t="shared" si="48"/>
        <v>0</v>
      </c>
      <c r="V184" s="130">
        <f t="shared" si="48"/>
        <v>0</v>
      </c>
      <c r="W184" s="130">
        <f t="shared" si="48"/>
        <v>0</v>
      </c>
      <c r="X184" s="130">
        <f t="shared" si="48"/>
        <v>0</v>
      </c>
      <c r="Y184" s="130">
        <f t="shared" si="48"/>
        <v>0</v>
      </c>
      <c r="Z184" s="130">
        <f t="shared" si="48"/>
        <v>0</v>
      </c>
      <c r="AA184" s="130">
        <f t="shared" si="48"/>
        <v>0</v>
      </c>
      <c r="AB184" s="130">
        <f t="shared" si="48"/>
        <v>0</v>
      </c>
      <c r="AC184" s="130">
        <f t="shared" si="48"/>
        <v>0</v>
      </c>
      <c r="AD184" s="130">
        <f t="shared" si="48"/>
        <v>1</v>
      </c>
      <c r="AE184" s="130">
        <f t="shared" si="48"/>
        <v>1</v>
      </c>
      <c r="AF184" s="130">
        <f t="shared" si="48"/>
        <v>1</v>
      </c>
      <c r="AG184" s="130">
        <f t="shared" si="48"/>
        <v>1</v>
      </c>
      <c r="AH184" s="130">
        <f t="shared" si="48"/>
        <v>1</v>
      </c>
      <c r="AI184" s="130">
        <f t="shared" si="48"/>
        <v>1</v>
      </c>
      <c r="AJ184" s="49" t="str">
        <f t="shared" si="30"/>
        <v>UNKNOWN</v>
      </c>
      <c r="AK184" s="62"/>
      <c r="AL184" s="62" t="str">
        <f t="shared" si="33"/>
        <v>3F</v>
      </c>
      <c r="AM184" s="64" t="str">
        <f t="shared" si="34"/>
        <v>00</v>
      </c>
      <c r="AN184" s="64" t="str">
        <f t="shared" si="35"/>
        <v>00</v>
      </c>
      <c r="AO184" s="64" t="str">
        <f t="shared" si="36"/>
        <v>00</v>
      </c>
      <c r="AQ184" t="str">
        <f t="shared" si="31"/>
        <v xml:space="preserve">    (U4)0x0000003FU,                                                           /* 48 UNKNOWN                                         */</v>
      </c>
    </row>
    <row r="185" spans="2:43">
      <c r="B185" s="138"/>
      <c r="C185" s="49">
        <f t="shared" si="32"/>
        <v>49</v>
      </c>
      <c r="D185" s="130">
        <f t="shared" si="48"/>
        <v>0</v>
      </c>
      <c r="E185" s="130">
        <f t="shared" si="48"/>
        <v>0</v>
      </c>
      <c r="F185" s="130">
        <f t="shared" si="48"/>
        <v>0</v>
      </c>
      <c r="G185" s="130">
        <f t="shared" si="48"/>
        <v>0</v>
      </c>
      <c r="H185" s="130">
        <f t="shared" si="48"/>
        <v>0</v>
      </c>
      <c r="I185" s="130">
        <f t="shared" si="48"/>
        <v>0</v>
      </c>
      <c r="J185" s="130">
        <f t="shared" si="48"/>
        <v>0</v>
      </c>
      <c r="K185" s="130">
        <f t="shared" si="48"/>
        <v>0</v>
      </c>
      <c r="L185" s="130">
        <f t="shared" si="48"/>
        <v>0</v>
      </c>
      <c r="M185" s="130">
        <f t="shared" si="48"/>
        <v>0</v>
      </c>
      <c r="N185" s="130">
        <f t="shared" si="48"/>
        <v>0</v>
      </c>
      <c r="O185" s="130">
        <f t="shared" si="48"/>
        <v>0</v>
      </c>
      <c r="P185" s="130">
        <f t="shared" si="48"/>
        <v>0</v>
      </c>
      <c r="Q185" s="130">
        <f t="shared" si="48"/>
        <v>0</v>
      </c>
      <c r="R185" s="130">
        <f t="shared" si="48"/>
        <v>0</v>
      </c>
      <c r="S185" s="130">
        <f t="shared" si="48"/>
        <v>0</v>
      </c>
      <c r="T185" s="130">
        <f t="shared" si="48"/>
        <v>0</v>
      </c>
      <c r="U185" s="130">
        <f t="shared" si="48"/>
        <v>0</v>
      </c>
      <c r="V185" s="130">
        <f t="shared" si="48"/>
        <v>0</v>
      </c>
      <c r="W185" s="130">
        <f t="shared" si="48"/>
        <v>0</v>
      </c>
      <c r="X185" s="130">
        <f t="shared" si="48"/>
        <v>0</v>
      </c>
      <c r="Y185" s="130">
        <f t="shared" si="48"/>
        <v>0</v>
      </c>
      <c r="Z185" s="130">
        <f t="shared" si="48"/>
        <v>0</v>
      </c>
      <c r="AA185" s="130">
        <f t="shared" si="48"/>
        <v>0</v>
      </c>
      <c r="AB185" s="130">
        <f t="shared" si="48"/>
        <v>0</v>
      </c>
      <c r="AC185" s="130">
        <f t="shared" si="48"/>
        <v>0</v>
      </c>
      <c r="AD185" s="130">
        <f t="shared" si="48"/>
        <v>1</v>
      </c>
      <c r="AE185" s="130">
        <f t="shared" si="48"/>
        <v>1</v>
      </c>
      <c r="AF185" s="130">
        <f t="shared" si="48"/>
        <v>1</v>
      </c>
      <c r="AG185" s="130">
        <f t="shared" si="48"/>
        <v>1</v>
      </c>
      <c r="AH185" s="130">
        <f t="shared" si="48"/>
        <v>1</v>
      </c>
      <c r="AI185" s="130">
        <f t="shared" si="48"/>
        <v>1</v>
      </c>
      <c r="AJ185" s="49" t="str">
        <f t="shared" si="30"/>
        <v>UNKNOWN</v>
      </c>
      <c r="AK185" s="62"/>
      <c r="AL185" s="62" t="str">
        <f t="shared" si="33"/>
        <v>3F</v>
      </c>
      <c r="AM185" s="64" t="str">
        <f t="shared" si="34"/>
        <v>00</v>
      </c>
      <c r="AN185" s="64" t="str">
        <f t="shared" si="35"/>
        <v>00</v>
      </c>
      <c r="AO185" s="64" t="str">
        <f t="shared" si="36"/>
        <v>00</v>
      </c>
      <c r="AQ185" t="str">
        <f t="shared" si="31"/>
        <v xml:space="preserve">    (U4)0x0000003FU,                                                           /* 49 UNKNOWN                                         */</v>
      </c>
    </row>
    <row r="186" spans="2:43">
      <c r="B186" s="138"/>
      <c r="C186" s="49">
        <f t="shared" si="32"/>
        <v>50</v>
      </c>
      <c r="D186" s="130">
        <f t="shared" si="48"/>
        <v>0</v>
      </c>
      <c r="E186" s="130">
        <f t="shared" si="48"/>
        <v>0</v>
      </c>
      <c r="F186" s="130">
        <f t="shared" si="48"/>
        <v>0</v>
      </c>
      <c r="G186" s="130">
        <f t="shared" si="48"/>
        <v>0</v>
      </c>
      <c r="H186" s="130">
        <f t="shared" si="48"/>
        <v>0</v>
      </c>
      <c r="I186" s="130">
        <f t="shared" si="48"/>
        <v>0</v>
      </c>
      <c r="J186" s="130">
        <f t="shared" si="48"/>
        <v>0</v>
      </c>
      <c r="K186" s="130">
        <f t="shared" si="48"/>
        <v>0</v>
      </c>
      <c r="L186" s="130">
        <f t="shared" si="48"/>
        <v>0</v>
      </c>
      <c r="M186" s="130">
        <f t="shared" si="48"/>
        <v>0</v>
      </c>
      <c r="N186" s="130">
        <f t="shared" si="48"/>
        <v>0</v>
      </c>
      <c r="O186" s="130">
        <f t="shared" si="48"/>
        <v>0</v>
      </c>
      <c r="P186" s="130">
        <f t="shared" si="48"/>
        <v>0</v>
      </c>
      <c r="Q186" s="130">
        <f t="shared" si="48"/>
        <v>0</v>
      </c>
      <c r="R186" s="130">
        <f t="shared" si="48"/>
        <v>0</v>
      </c>
      <c r="S186" s="130">
        <f t="shared" si="48"/>
        <v>0</v>
      </c>
      <c r="T186" s="130">
        <f t="shared" si="48"/>
        <v>0</v>
      </c>
      <c r="U186" s="130">
        <f t="shared" si="48"/>
        <v>0</v>
      </c>
      <c r="V186" s="130">
        <f t="shared" si="48"/>
        <v>0</v>
      </c>
      <c r="W186" s="130">
        <f t="shared" si="48"/>
        <v>0</v>
      </c>
      <c r="X186" s="130">
        <f t="shared" si="48"/>
        <v>0</v>
      </c>
      <c r="Y186" s="130">
        <f t="shared" si="48"/>
        <v>0</v>
      </c>
      <c r="Z186" s="130">
        <f t="shared" si="48"/>
        <v>0</v>
      </c>
      <c r="AA186" s="130">
        <f t="shared" si="48"/>
        <v>0</v>
      </c>
      <c r="AB186" s="130">
        <f t="shared" si="48"/>
        <v>0</v>
      </c>
      <c r="AC186" s="130">
        <f t="shared" si="48"/>
        <v>0</v>
      </c>
      <c r="AD186" s="130">
        <f t="shared" si="48"/>
        <v>1</v>
      </c>
      <c r="AE186" s="130">
        <f t="shared" si="48"/>
        <v>1</v>
      </c>
      <c r="AF186" s="130">
        <f t="shared" si="48"/>
        <v>1</v>
      </c>
      <c r="AG186" s="130">
        <f t="shared" si="48"/>
        <v>1</v>
      </c>
      <c r="AH186" s="130">
        <f t="shared" si="48"/>
        <v>1</v>
      </c>
      <c r="AI186" s="130">
        <f t="shared" si="48"/>
        <v>1</v>
      </c>
      <c r="AJ186" s="49" t="str">
        <f t="shared" si="30"/>
        <v>UNKNOWN</v>
      </c>
      <c r="AK186" s="62"/>
      <c r="AL186" s="62" t="str">
        <f t="shared" si="33"/>
        <v>3F</v>
      </c>
      <c r="AM186" s="64" t="str">
        <f t="shared" si="34"/>
        <v>00</v>
      </c>
      <c r="AN186" s="64" t="str">
        <f t="shared" si="35"/>
        <v>00</v>
      </c>
      <c r="AO186" s="64" t="str">
        <f t="shared" si="36"/>
        <v>00</v>
      </c>
      <c r="AQ186" t="str">
        <f t="shared" si="31"/>
        <v xml:space="preserve">    (U4)0x0000003FU,                                                           /* 50 UNKNOWN                                         */</v>
      </c>
    </row>
    <row r="187" spans="2:43">
      <c r="B187" s="138"/>
      <c r="C187" s="49">
        <f t="shared" si="32"/>
        <v>51</v>
      </c>
      <c r="D187" s="130">
        <f t="shared" si="48"/>
        <v>0</v>
      </c>
      <c r="E187" s="130">
        <f t="shared" si="48"/>
        <v>0</v>
      </c>
      <c r="F187" s="130">
        <f t="shared" si="48"/>
        <v>0</v>
      </c>
      <c r="G187" s="130">
        <f t="shared" si="48"/>
        <v>0</v>
      </c>
      <c r="H187" s="130">
        <f t="shared" si="48"/>
        <v>0</v>
      </c>
      <c r="I187" s="130">
        <f t="shared" si="48"/>
        <v>0</v>
      </c>
      <c r="J187" s="130">
        <f t="shared" si="48"/>
        <v>0</v>
      </c>
      <c r="K187" s="130">
        <f t="shared" si="48"/>
        <v>0</v>
      </c>
      <c r="L187" s="130">
        <f t="shared" si="48"/>
        <v>0</v>
      </c>
      <c r="M187" s="130">
        <f t="shared" si="48"/>
        <v>0</v>
      </c>
      <c r="N187" s="130">
        <f t="shared" si="48"/>
        <v>0</v>
      </c>
      <c r="O187" s="130">
        <f t="shared" si="48"/>
        <v>0</v>
      </c>
      <c r="P187" s="130">
        <f t="shared" si="48"/>
        <v>0</v>
      </c>
      <c r="Q187" s="130">
        <f t="shared" si="48"/>
        <v>0</v>
      </c>
      <c r="R187" s="130">
        <f t="shared" si="48"/>
        <v>0</v>
      </c>
      <c r="S187" s="130">
        <f t="shared" si="48"/>
        <v>0</v>
      </c>
      <c r="T187" s="130">
        <f t="shared" si="48"/>
        <v>0</v>
      </c>
      <c r="U187" s="130">
        <f t="shared" si="48"/>
        <v>0</v>
      </c>
      <c r="V187" s="130">
        <f t="shared" si="48"/>
        <v>0</v>
      </c>
      <c r="W187" s="130">
        <f t="shared" si="48"/>
        <v>0</v>
      </c>
      <c r="X187" s="130">
        <f t="shared" si="48"/>
        <v>0</v>
      </c>
      <c r="Y187" s="130">
        <f t="shared" si="48"/>
        <v>0</v>
      </c>
      <c r="Z187" s="130">
        <f t="shared" si="48"/>
        <v>0</v>
      </c>
      <c r="AA187" s="130">
        <f t="shared" si="48"/>
        <v>0</v>
      </c>
      <c r="AB187" s="130">
        <f t="shared" si="48"/>
        <v>0</v>
      </c>
      <c r="AC187" s="130">
        <f t="shared" si="48"/>
        <v>0</v>
      </c>
      <c r="AD187" s="130">
        <f t="shared" si="48"/>
        <v>1</v>
      </c>
      <c r="AE187" s="130">
        <f t="shared" si="48"/>
        <v>1</v>
      </c>
      <c r="AF187" s="130">
        <f t="shared" si="48"/>
        <v>1</v>
      </c>
      <c r="AG187" s="130">
        <f t="shared" si="48"/>
        <v>1</v>
      </c>
      <c r="AH187" s="130">
        <f t="shared" si="48"/>
        <v>1</v>
      </c>
      <c r="AI187" s="130">
        <f t="shared" si="48"/>
        <v>1</v>
      </c>
      <c r="AJ187" s="49" t="str">
        <f t="shared" si="30"/>
        <v>UNKNOWN</v>
      </c>
      <c r="AK187" s="62"/>
      <c r="AL187" s="62" t="str">
        <f t="shared" si="33"/>
        <v>3F</v>
      </c>
      <c r="AM187" s="64" t="str">
        <f t="shared" si="34"/>
        <v>00</v>
      </c>
      <c r="AN187" s="64" t="str">
        <f t="shared" si="35"/>
        <v>00</v>
      </c>
      <c r="AO187" s="64" t="str">
        <f t="shared" si="36"/>
        <v>00</v>
      </c>
      <c r="AQ187" t="str">
        <f t="shared" si="31"/>
        <v xml:space="preserve">    (U4)0x0000003FU,                                                           /* 51 UNKNOWN                                         */</v>
      </c>
    </row>
    <row r="188" spans="2:43">
      <c r="B188" s="138"/>
      <c r="C188" s="49">
        <f t="shared" si="32"/>
        <v>52</v>
      </c>
      <c r="D188" s="130">
        <f t="shared" si="48"/>
        <v>0</v>
      </c>
      <c r="E188" s="130">
        <f t="shared" si="48"/>
        <v>0</v>
      </c>
      <c r="F188" s="130">
        <f t="shared" si="48"/>
        <v>0</v>
      </c>
      <c r="G188" s="130">
        <f t="shared" si="48"/>
        <v>0</v>
      </c>
      <c r="H188" s="130">
        <f t="shared" si="48"/>
        <v>0</v>
      </c>
      <c r="I188" s="130">
        <f t="shared" si="48"/>
        <v>0</v>
      </c>
      <c r="J188" s="130">
        <f t="shared" si="48"/>
        <v>0</v>
      </c>
      <c r="K188" s="130">
        <f t="shared" si="48"/>
        <v>0</v>
      </c>
      <c r="L188" s="130">
        <f t="shared" si="48"/>
        <v>0</v>
      </c>
      <c r="M188" s="130">
        <f t="shared" si="48"/>
        <v>0</v>
      </c>
      <c r="N188" s="130">
        <f t="shared" si="48"/>
        <v>0</v>
      </c>
      <c r="O188" s="130">
        <f t="shared" si="48"/>
        <v>0</v>
      </c>
      <c r="P188" s="130">
        <f t="shared" si="48"/>
        <v>0</v>
      </c>
      <c r="Q188" s="130">
        <f t="shared" si="48"/>
        <v>0</v>
      </c>
      <c r="R188" s="130">
        <f t="shared" si="48"/>
        <v>0</v>
      </c>
      <c r="S188" s="130">
        <f t="shared" si="48"/>
        <v>0</v>
      </c>
      <c r="T188" s="130">
        <f t="shared" si="48"/>
        <v>0</v>
      </c>
      <c r="U188" s="130">
        <f t="shared" si="48"/>
        <v>0</v>
      </c>
      <c r="V188" s="130">
        <f t="shared" si="48"/>
        <v>0</v>
      </c>
      <c r="W188" s="130">
        <f t="shared" si="48"/>
        <v>0</v>
      </c>
      <c r="X188" s="130">
        <f t="shared" si="48"/>
        <v>0</v>
      </c>
      <c r="Y188" s="130">
        <f t="shared" si="48"/>
        <v>0</v>
      </c>
      <c r="Z188" s="130">
        <f t="shared" si="48"/>
        <v>0</v>
      </c>
      <c r="AA188" s="130">
        <f t="shared" si="48"/>
        <v>0</v>
      </c>
      <c r="AB188" s="130">
        <f t="shared" si="48"/>
        <v>0</v>
      </c>
      <c r="AC188" s="130">
        <f t="shared" si="48"/>
        <v>0</v>
      </c>
      <c r="AD188" s="130">
        <f t="shared" si="48"/>
        <v>1</v>
      </c>
      <c r="AE188" s="130">
        <f t="shared" si="48"/>
        <v>1</v>
      </c>
      <c r="AF188" s="130">
        <f t="shared" si="48"/>
        <v>1</v>
      </c>
      <c r="AG188" s="130">
        <f t="shared" si="48"/>
        <v>1</v>
      </c>
      <c r="AH188" s="130">
        <f t="shared" si="48"/>
        <v>1</v>
      </c>
      <c r="AI188" s="130">
        <f t="shared" si="48"/>
        <v>1</v>
      </c>
      <c r="AJ188" s="49" t="str">
        <f t="shared" si="30"/>
        <v>UNKNOWN</v>
      </c>
      <c r="AK188" s="62"/>
      <c r="AL188" s="62" t="str">
        <f t="shared" si="33"/>
        <v>3F</v>
      </c>
      <c r="AM188" s="64" t="str">
        <f t="shared" si="34"/>
        <v>00</v>
      </c>
      <c r="AN188" s="64" t="str">
        <f t="shared" si="35"/>
        <v>00</v>
      </c>
      <c r="AO188" s="64" t="str">
        <f t="shared" si="36"/>
        <v>00</v>
      </c>
      <c r="AQ188" t="str">
        <f t="shared" si="31"/>
        <v xml:space="preserve">    (U4)0x0000003FU,                                                           /* 52 UNKNOWN                                         */</v>
      </c>
    </row>
    <row r="189" spans="2:43">
      <c r="B189" s="138"/>
      <c r="C189" s="49">
        <f t="shared" si="32"/>
        <v>53</v>
      </c>
      <c r="D189" s="130">
        <f t="shared" si="48"/>
        <v>0</v>
      </c>
      <c r="E189" s="130">
        <f t="shared" si="48"/>
        <v>0</v>
      </c>
      <c r="F189" s="130">
        <f t="shared" si="48"/>
        <v>0</v>
      </c>
      <c r="G189" s="130">
        <f t="shared" si="48"/>
        <v>0</v>
      </c>
      <c r="H189" s="130">
        <f t="shared" si="48"/>
        <v>0</v>
      </c>
      <c r="I189" s="130">
        <f t="shared" si="48"/>
        <v>0</v>
      </c>
      <c r="J189" s="130">
        <f t="shared" si="48"/>
        <v>0</v>
      </c>
      <c r="K189" s="130">
        <f t="shared" si="48"/>
        <v>0</v>
      </c>
      <c r="L189" s="130">
        <f t="shared" si="48"/>
        <v>0</v>
      </c>
      <c r="M189" s="130">
        <f t="shared" si="48"/>
        <v>0</v>
      </c>
      <c r="N189" s="130">
        <f t="shared" si="48"/>
        <v>0</v>
      </c>
      <c r="O189" s="130">
        <f t="shared" si="48"/>
        <v>0</v>
      </c>
      <c r="P189" s="130">
        <f t="shared" si="48"/>
        <v>0</v>
      </c>
      <c r="Q189" s="130">
        <f t="shared" si="48"/>
        <v>0</v>
      </c>
      <c r="R189" s="130">
        <f t="shared" si="48"/>
        <v>0</v>
      </c>
      <c r="S189" s="130">
        <f t="shared" si="48"/>
        <v>0</v>
      </c>
      <c r="T189" s="130">
        <f t="shared" si="48"/>
        <v>0</v>
      </c>
      <c r="U189" s="130">
        <f t="shared" si="48"/>
        <v>0</v>
      </c>
      <c r="V189" s="130">
        <f t="shared" si="48"/>
        <v>0</v>
      </c>
      <c r="W189" s="130">
        <f t="shared" si="48"/>
        <v>0</v>
      </c>
      <c r="X189" s="130">
        <f t="shared" si="48"/>
        <v>0</v>
      </c>
      <c r="Y189" s="130">
        <f t="shared" si="48"/>
        <v>0</v>
      </c>
      <c r="Z189" s="130">
        <f t="shared" si="48"/>
        <v>0</v>
      </c>
      <c r="AA189" s="130">
        <f t="shared" si="48"/>
        <v>0</v>
      </c>
      <c r="AB189" s="130">
        <f t="shared" si="48"/>
        <v>0</v>
      </c>
      <c r="AC189" s="130">
        <f t="shared" si="48"/>
        <v>0</v>
      </c>
      <c r="AD189" s="130">
        <f t="shared" si="48"/>
        <v>1</v>
      </c>
      <c r="AE189" s="130">
        <f t="shared" si="48"/>
        <v>1</v>
      </c>
      <c r="AF189" s="130">
        <f t="shared" si="48"/>
        <v>1</v>
      </c>
      <c r="AG189" s="130">
        <f t="shared" si="48"/>
        <v>1</v>
      </c>
      <c r="AH189" s="130">
        <f t="shared" si="48"/>
        <v>1</v>
      </c>
      <c r="AI189" s="130">
        <f t="shared" si="48"/>
        <v>1</v>
      </c>
      <c r="AJ189" s="49" t="str">
        <f t="shared" si="30"/>
        <v>UNKNOWN</v>
      </c>
      <c r="AK189" s="62"/>
      <c r="AL189" s="62" t="str">
        <f t="shared" si="33"/>
        <v>3F</v>
      </c>
      <c r="AM189" s="64" t="str">
        <f t="shared" si="34"/>
        <v>00</v>
      </c>
      <c r="AN189" s="64" t="str">
        <f t="shared" si="35"/>
        <v>00</v>
      </c>
      <c r="AO189" s="64" t="str">
        <f t="shared" si="36"/>
        <v>00</v>
      </c>
      <c r="AQ189" t="str">
        <f t="shared" si="31"/>
        <v xml:space="preserve">    (U4)0x0000003FU,                                                           /* 53 UNKNOWN                                         */</v>
      </c>
    </row>
    <row r="190" spans="2:43">
      <c r="B190" s="138"/>
      <c r="C190" s="49">
        <f t="shared" si="32"/>
        <v>54</v>
      </c>
      <c r="D190" s="130">
        <f t="shared" si="48"/>
        <v>0</v>
      </c>
      <c r="E190" s="130">
        <f t="shared" si="48"/>
        <v>0</v>
      </c>
      <c r="F190" s="130">
        <f t="shared" si="48"/>
        <v>0</v>
      </c>
      <c r="G190" s="130">
        <f t="shared" si="48"/>
        <v>0</v>
      </c>
      <c r="H190" s="130">
        <f t="shared" si="48"/>
        <v>0</v>
      </c>
      <c r="I190" s="130">
        <f t="shared" si="48"/>
        <v>0</v>
      </c>
      <c r="J190" s="130">
        <f t="shared" si="48"/>
        <v>0</v>
      </c>
      <c r="K190" s="130">
        <f t="shared" si="48"/>
        <v>0</v>
      </c>
      <c r="L190" s="130">
        <f t="shared" si="48"/>
        <v>0</v>
      </c>
      <c r="M190" s="130">
        <f t="shared" si="48"/>
        <v>0</v>
      </c>
      <c r="N190" s="130">
        <f t="shared" si="48"/>
        <v>0</v>
      </c>
      <c r="O190" s="130">
        <f t="shared" si="48"/>
        <v>0</v>
      </c>
      <c r="P190" s="130">
        <f t="shared" si="48"/>
        <v>0</v>
      </c>
      <c r="Q190" s="130">
        <f t="shared" si="48"/>
        <v>0</v>
      </c>
      <c r="R190" s="130">
        <f t="shared" si="48"/>
        <v>0</v>
      </c>
      <c r="S190" s="130">
        <f t="shared" si="48"/>
        <v>0</v>
      </c>
      <c r="T190" s="130">
        <f t="shared" si="48"/>
        <v>0</v>
      </c>
      <c r="U190" s="130">
        <f t="shared" si="48"/>
        <v>0</v>
      </c>
      <c r="V190" s="130">
        <f t="shared" si="48"/>
        <v>0</v>
      </c>
      <c r="W190" s="130">
        <f t="shared" si="48"/>
        <v>0</v>
      </c>
      <c r="X190" s="130">
        <f t="shared" si="48"/>
        <v>0</v>
      </c>
      <c r="Y190" s="130">
        <f t="shared" si="48"/>
        <v>0</v>
      </c>
      <c r="Z190" s="130">
        <f t="shared" si="48"/>
        <v>0</v>
      </c>
      <c r="AA190" s="130">
        <f t="shared" si="48"/>
        <v>0</v>
      </c>
      <c r="AB190" s="130">
        <f t="shared" si="48"/>
        <v>0</v>
      </c>
      <c r="AC190" s="130">
        <f t="shared" si="48"/>
        <v>0</v>
      </c>
      <c r="AD190" s="130">
        <f t="shared" si="48"/>
        <v>1</v>
      </c>
      <c r="AE190" s="130">
        <f t="shared" si="48"/>
        <v>1</v>
      </c>
      <c r="AF190" s="130">
        <f t="shared" si="48"/>
        <v>1</v>
      </c>
      <c r="AG190" s="130">
        <f t="shared" si="48"/>
        <v>1</v>
      </c>
      <c r="AH190" s="130">
        <f t="shared" si="48"/>
        <v>1</v>
      </c>
      <c r="AI190" s="130">
        <f t="shared" si="48"/>
        <v>1</v>
      </c>
      <c r="AJ190" s="49" t="str">
        <f t="shared" si="30"/>
        <v>UNKNOWN</v>
      </c>
      <c r="AK190" s="62"/>
      <c r="AL190" s="62" t="str">
        <f t="shared" si="33"/>
        <v>3F</v>
      </c>
      <c r="AM190" s="64" t="str">
        <f t="shared" si="34"/>
        <v>00</v>
      </c>
      <c r="AN190" s="64" t="str">
        <f t="shared" si="35"/>
        <v>00</v>
      </c>
      <c r="AO190" s="64" t="str">
        <f t="shared" si="36"/>
        <v>00</v>
      </c>
      <c r="AQ190" t="str">
        <f t="shared" si="31"/>
        <v xml:space="preserve">    (U4)0x0000003FU,                                                           /* 54 UNKNOWN                                         */</v>
      </c>
    </row>
    <row r="191" spans="2:43">
      <c r="B191" s="138"/>
      <c r="C191" s="49">
        <f t="shared" si="32"/>
        <v>55</v>
      </c>
      <c r="D191" s="130">
        <f t="shared" si="48"/>
        <v>0</v>
      </c>
      <c r="E191" s="130">
        <f t="shared" si="48"/>
        <v>0</v>
      </c>
      <c r="F191" s="130">
        <f t="shared" si="48"/>
        <v>0</v>
      </c>
      <c r="G191" s="130">
        <f t="shared" si="48"/>
        <v>0</v>
      </c>
      <c r="H191" s="130">
        <f t="shared" si="48"/>
        <v>0</v>
      </c>
      <c r="I191" s="130">
        <f t="shared" si="48"/>
        <v>0</v>
      </c>
      <c r="J191" s="130">
        <f t="shared" si="48"/>
        <v>0</v>
      </c>
      <c r="K191" s="130">
        <f t="shared" si="48"/>
        <v>0</v>
      </c>
      <c r="L191" s="130">
        <f t="shared" si="48"/>
        <v>0</v>
      </c>
      <c r="M191" s="130">
        <f t="shared" si="48"/>
        <v>0</v>
      </c>
      <c r="N191" s="130">
        <f t="shared" si="48"/>
        <v>0</v>
      </c>
      <c r="O191" s="130">
        <f t="shared" si="48"/>
        <v>0</v>
      </c>
      <c r="P191" s="130">
        <f t="shared" si="48"/>
        <v>0</v>
      </c>
      <c r="Q191" s="130">
        <f t="shared" si="48"/>
        <v>0</v>
      </c>
      <c r="R191" s="130">
        <f t="shared" si="48"/>
        <v>0</v>
      </c>
      <c r="S191" s="130">
        <f t="shared" si="48"/>
        <v>0</v>
      </c>
      <c r="T191" s="130">
        <f t="shared" si="48"/>
        <v>0</v>
      </c>
      <c r="U191" s="130">
        <f t="shared" si="48"/>
        <v>0</v>
      </c>
      <c r="V191" s="130">
        <f t="shared" si="48"/>
        <v>0</v>
      </c>
      <c r="W191" s="130">
        <f t="shared" si="48"/>
        <v>0</v>
      </c>
      <c r="X191" s="130">
        <f t="shared" si="48"/>
        <v>0</v>
      </c>
      <c r="Y191" s="130">
        <f t="shared" si="48"/>
        <v>0</v>
      </c>
      <c r="Z191" s="130">
        <f t="shared" si="48"/>
        <v>0</v>
      </c>
      <c r="AA191" s="130">
        <f t="shared" si="48"/>
        <v>0</v>
      </c>
      <c r="AB191" s="130">
        <f t="shared" si="48"/>
        <v>0</v>
      </c>
      <c r="AC191" s="130">
        <f t="shared" si="48"/>
        <v>0</v>
      </c>
      <c r="AD191" s="130">
        <f t="shared" si="48"/>
        <v>1</v>
      </c>
      <c r="AE191" s="130">
        <f t="shared" si="48"/>
        <v>1</v>
      </c>
      <c r="AF191" s="130">
        <f t="shared" si="48"/>
        <v>1</v>
      </c>
      <c r="AG191" s="130">
        <f t="shared" si="48"/>
        <v>1</v>
      </c>
      <c r="AH191" s="130">
        <f t="shared" si="48"/>
        <v>1</v>
      </c>
      <c r="AI191" s="130">
        <f t="shared" ref="AI191" si="49">IF(OR(AI61=0,AI61=1),1,0)</f>
        <v>1</v>
      </c>
      <c r="AJ191" s="49" t="str">
        <f t="shared" si="30"/>
        <v>UNKNOWN</v>
      </c>
      <c r="AK191" s="62"/>
      <c r="AL191" s="62" t="str">
        <f t="shared" si="33"/>
        <v>3F</v>
      </c>
      <c r="AM191" s="64" t="str">
        <f t="shared" si="34"/>
        <v>00</v>
      </c>
      <c r="AN191" s="64" t="str">
        <f t="shared" si="35"/>
        <v>00</v>
      </c>
      <c r="AO191" s="64" t="str">
        <f t="shared" si="36"/>
        <v>00</v>
      </c>
      <c r="AQ191" t="str">
        <f t="shared" si="31"/>
        <v xml:space="preserve">    (U4)0x0000003FU,                                                           /* 55 UNKNOWN                                         */</v>
      </c>
    </row>
    <row r="192" spans="2:43">
      <c r="B192" s="138"/>
      <c r="C192" s="49">
        <f t="shared" si="32"/>
        <v>56</v>
      </c>
      <c r="D192" s="130">
        <f t="shared" ref="D192:AI199" si="50">IF(OR(D62=0,D62=1),1,0)</f>
        <v>0</v>
      </c>
      <c r="E192" s="130">
        <f t="shared" si="50"/>
        <v>0</v>
      </c>
      <c r="F192" s="130">
        <f t="shared" si="50"/>
        <v>0</v>
      </c>
      <c r="G192" s="130">
        <f t="shared" si="50"/>
        <v>0</v>
      </c>
      <c r="H192" s="130">
        <f t="shared" si="50"/>
        <v>0</v>
      </c>
      <c r="I192" s="130">
        <f t="shared" si="50"/>
        <v>0</v>
      </c>
      <c r="J192" s="130">
        <f t="shared" si="50"/>
        <v>0</v>
      </c>
      <c r="K192" s="130">
        <f t="shared" si="50"/>
        <v>0</v>
      </c>
      <c r="L192" s="130">
        <f t="shared" si="50"/>
        <v>0</v>
      </c>
      <c r="M192" s="130">
        <f t="shared" si="50"/>
        <v>0</v>
      </c>
      <c r="N192" s="130">
        <f t="shared" si="50"/>
        <v>0</v>
      </c>
      <c r="O192" s="130">
        <f t="shared" si="50"/>
        <v>0</v>
      </c>
      <c r="P192" s="130">
        <f t="shared" si="50"/>
        <v>0</v>
      </c>
      <c r="Q192" s="130">
        <f t="shared" si="50"/>
        <v>0</v>
      </c>
      <c r="R192" s="130">
        <f t="shared" si="50"/>
        <v>0</v>
      </c>
      <c r="S192" s="130">
        <f t="shared" si="50"/>
        <v>0</v>
      </c>
      <c r="T192" s="130">
        <f t="shared" si="50"/>
        <v>0</v>
      </c>
      <c r="U192" s="130">
        <f t="shared" si="50"/>
        <v>0</v>
      </c>
      <c r="V192" s="130">
        <f t="shared" si="50"/>
        <v>0</v>
      </c>
      <c r="W192" s="130">
        <f t="shared" si="50"/>
        <v>0</v>
      </c>
      <c r="X192" s="130">
        <f t="shared" si="50"/>
        <v>0</v>
      </c>
      <c r="Y192" s="130">
        <f t="shared" si="50"/>
        <v>0</v>
      </c>
      <c r="Z192" s="130">
        <f t="shared" si="50"/>
        <v>0</v>
      </c>
      <c r="AA192" s="130">
        <f t="shared" si="50"/>
        <v>0</v>
      </c>
      <c r="AB192" s="130">
        <f t="shared" si="50"/>
        <v>0</v>
      </c>
      <c r="AC192" s="130">
        <f t="shared" si="50"/>
        <v>0</v>
      </c>
      <c r="AD192" s="130">
        <f t="shared" si="50"/>
        <v>1</v>
      </c>
      <c r="AE192" s="130">
        <f t="shared" si="50"/>
        <v>1</v>
      </c>
      <c r="AF192" s="130">
        <f t="shared" si="50"/>
        <v>1</v>
      </c>
      <c r="AG192" s="130">
        <f t="shared" si="50"/>
        <v>1</v>
      </c>
      <c r="AH192" s="130">
        <f t="shared" si="50"/>
        <v>1</v>
      </c>
      <c r="AI192" s="130">
        <f t="shared" si="50"/>
        <v>1</v>
      </c>
      <c r="AJ192" s="49" t="str">
        <f t="shared" si="30"/>
        <v>UNKNOWN</v>
      </c>
      <c r="AK192" s="62"/>
      <c r="AL192" s="62" t="str">
        <f t="shared" si="33"/>
        <v>3F</v>
      </c>
      <c r="AM192" s="64" t="str">
        <f t="shared" si="34"/>
        <v>00</v>
      </c>
      <c r="AN192" s="64" t="str">
        <f t="shared" si="35"/>
        <v>00</v>
      </c>
      <c r="AO192" s="64" t="str">
        <f t="shared" si="36"/>
        <v>00</v>
      </c>
      <c r="AQ192" t="str">
        <f t="shared" si="31"/>
        <v xml:space="preserve">    (U4)0x0000003FU,                                                           /* 56 UNKNOWN                                         */</v>
      </c>
    </row>
    <row r="193" spans="2:43">
      <c r="B193" s="138"/>
      <c r="C193" s="49">
        <f t="shared" si="32"/>
        <v>57</v>
      </c>
      <c r="D193" s="130">
        <f t="shared" si="50"/>
        <v>0</v>
      </c>
      <c r="E193" s="130">
        <f t="shared" si="50"/>
        <v>0</v>
      </c>
      <c r="F193" s="130">
        <f t="shared" si="50"/>
        <v>0</v>
      </c>
      <c r="G193" s="130">
        <f t="shared" si="50"/>
        <v>0</v>
      </c>
      <c r="H193" s="130">
        <f t="shared" si="50"/>
        <v>0</v>
      </c>
      <c r="I193" s="130">
        <f t="shared" si="50"/>
        <v>0</v>
      </c>
      <c r="J193" s="130">
        <f t="shared" si="50"/>
        <v>0</v>
      </c>
      <c r="K193" s="130">
        <f t="shared" si="50"/>
        <v>0</v>
      </c>
      <c r="L193" s="130">
        <f t="shared" si="50"/>
        <v>0</v>
      </c>
      <c r="M193" s="130">
        <f t="shared" si="50"/>
        <v>0</v>
      </c>
      <c r="N193" s="130">
        <f t="shared" si="50"/>
        <v>0</v>
      </c>
      <c r="O193" s="130">
        <f t="shared" si="50"/>
        <v>0</v>
      </c>
      <c r="P193" s="130">
        <f t="shared" si="50"/>
        <v>0</v>
      </c>
      <c r="Q193" s="130">
        <f t="shared" si="50"/>
        <v>0</v>
      </c>
      <c r="R193" s="130">
        <f t="shared" si="50"/>
        <v>0</v>
      </c>
      <c r="S193" s="130">
        <f t="shared" si="50"/>
        <v>0</v>
      </c>
      <c r="T193" s="130">
        <f t="shared" si="50"/>
        <v>0</v>
      </c>
      <c r="U193" s="130">
        <f t="shared" si="50"/>
        <v>0</v>
      </c>
      <c r="V193" s="130">
        <f t="shared" si="50"/>
        <v>0</v>
      </c>
      <c r="W193" s="130">
        <f t="shared" si="50"/>
        <v>0</v>
      </c>
      <c r="X193" s="130">
        <f t="shared" si="50"/>
        <v>0</v>
      </c>
      <c r="Y193" s="130">
        <f t="shared" si="50"/>
        <v>0</v>
      </c>
      <c r="Z193" s="130">
        <f t="shared" si="50"/>
        <v>0</v>
      </c>
      <c r="AA193" s="130">
        <f t="shared" si="50"/>
        <v>0</v>
      </c>
      <c r="AB193" s="130">
        <f t="shared" si="50"/>
        <v>0</v>
      </c>
      <c r="AC193" s="130">
        <f t="shared" si="50"/>
        <v>0</v>
      </c>
      <c r="AD193" s="130">
        <f t="shared" si="50"/>
        <v>1</v>
      </c>
      <c r="AE193" s="130">
        <f t="shared" si="50"/>
        <v>1</v>
      </c>
      <c r="AF193" s="130">
        <f t="shared" si="50"/>
        <v>1</v>
      </c>
      <c r="AG193" s="130">
        <f t="shared" si="50"/>
        <v>1</v>
      </c>
      <c r="AH193" s="130">
        <f t="shared" si="50"/>
        <v>1</v>
      </c>
      <c r="AI193" s="130">
        <f t="shared" si="50"/>
        <v>1</v>
      </c>
      <c r="AJ193" s="49" t="str">
        <f t="shared" si="30"/>
        <v>UNKNOWN</v>
      </c>
      <c r="AK193" s="62"/>
      <c r="AL193" s="62" t="str">
        <f t="shared" si="33"/>
        <v>3F</v>
      </c>
      <c r="AM193" s="64" t="str">
        <f t="shared" si="34"/>
        <v>00</v>
      </c>
      <c r="AN193" s="64" t="str">
        <f t="shared" si="35"/>
        <v>00</v>
      </c>
      <c r="AO193" s="64" t="str">
        <f t="shared" si="36"/>
        <v>00</v>
      </c>
      <c r="AQ193" t="str">
        <f t="shared" si="31"/>
        <v xml:space="preserve">    (U4)0x0000003FU,                                                           /* 57 UNKNOWN                                         */</v>
      </c>
    </row>
    <row r="194" spans="2:43">
      <c r="B194" s="138"/>
      <c r="C194" s="49">
        <f t="shared" si="32"/>
        <v>58</v>
      </c>
      <c r="D194" s="130">
        <f t="shared" si="50"/>
        <v>0</v>
      </c>
      <c r="E194" s="130">
        <f t="shared" si="50"/>
        <v>0</v>
      </c>
      <c r="F194" s="130">
        <f t="shared" si="50"/>
        <v>0</v>
      </c>
      <c r="G194" s="130">
        <f t="shared" si="50"/>
        <v>0</v>
      </c>
      <c r="H194" s="130">
        <f t="shared" si="50"/>
        <v>0</v>
      </c>
      <c r="I194" s="130">
        <f t="shared" si="50"/>
        <v>0</v>
      </c>
      <c r="J194" s="130">
        <f t="shared" si="50"/>
        <v>0</v>
      </c>
      <c r="K194" s="130">
        <f t="shared" si="50"/>
        <v>0</v>
      </c>
      <c r="L194" s="130">
        <f t="shared" si="50"/>
        <v>0</v>
      </c>
      <c r="M194" s="130">
        <f t="shared" si="50"/>
        <v>0</v>
      </c>
      <c r="N194" s="130">
        <f t="shared" si="50"/>
        <v>0</v>
      </c>
      <c r="O194" s="130">
        <f t="shared" si="50"/>
        <v>0</v>
      </c>
      <c r="P194" s="130">
        <f t="shared" si="50"/>
        <v>0</v>
      </c>
      <c r="Q194" s="130">
        <f t="shared" si="50"/>
        <v>0</v>
      </c>
      <c r="R194" s="130">
        <f t="shared" si="50"/>
        <v>0</v>
      </c>
      <c r="S194" s="130">
        <f t="shared" si="50"/>
        <v>0</v>
      </c>
      <c r="T194" s="130">
        <f t="shared" si="50"/>
        <v>0</v>
      </c>
      <c r="U194" s="130">
        <f t="shared" si="50"/>
        <v>0</v>
      </c>
      <c r="V194" s="130">
        <f t="shared" si="50"/>
        <v>0</v>
      </c>
      <c r="W194" s="130">
        <f t="shared" si="50"/>
        <v>0</v>
      </c>
      <c r="X194" s="130">
        <f t="shared" si="50"/>
        <v>0</v>
      </c>
      <c r="Y194" s="130">
        <f t="shared" si="50"/>
        <v>0</v>
      </c>
      <c r="Z194" s="130">
        <f t="shared" si="50"/>
        <v>0</v>
      </c>
      <c r="AA194" s="130">
        <f t="shared" si="50"/>
        <v>0</v>
      </c>
      <c r="AB194" s="130">
        <f t="shared" si="50"/>
        <v>0</v>
      </c>
      <c r="AC194" s="130">
        <f t="shared" si="50"/>
        <v>0</v>
      </c>
      <c r="AD194" s="130">
        <f t="shared" si="50"/>
        <v>1</v>
      </c>
      <c r="AE194" s="130">
        <f t="shared" si="50"/>
        <v>1</v>
      </c>
      <c r="AF194" s="130">
        <f t="shared" si="50"/>
        <v>1</v>
      </c>
      <c r="AG194" s="130">
        <f t="shared" si="50"/>
        <v>1</v>
      </c>
      <c r="AH194" s="130">
        <f t="shared" si="50"/>
        <v>1</v>
      </c>
      <c r="AI194" s="130">
        <f t="shared" si="50"/>
        <v>1</v>
      </c>
      <c r="AJ194" s="49" t="str">
        <f t="shared" si="30"/>
        <v>UNKNOWN</v>
      </c>
      <c r="AK194" s="62"/>
      <c r="AL194" s="62" t="str">
        <f t="shared" si="33"/>
        <v>3F</v>
      </c>
      <c r="AM194" s="64" t="str">
        <f t="shared" si="34"/>
        <v>00</v>
      </c>
      <c r="AN194" s="64" t="str">
        <f t="shared" si="35"/>
        <v>00</v>
      </c>
      <c r="AO194" s="64" t="str">
        <f t="shared" si="36"/>
        <v>00</v>
      </c>
      <c r="AQ194" t="str">
        <f t="shared" si="31"/>
        <v xml:space="preserve">    (U4)0x0000003FU,                                                           /* 58 UNKNOWN                                         */</v>
      </c>
    </row>
    <row r="195" spans="2:43">
      <c r="B195" s="138"/>
      <c r="C195" s="49">
        <f t="shared" si="32"/>
        <v>59</v>
      </c>
      <c r="D195" s="130">
        <f t="shared" si="50"/>
        <v>0</v>
      </c>
      <c r="E195" s="130">
        <f t="shared" si="50"/>
        <v>0</v>
      </c>
      <c r="F195" s="130">
        <f t="shared" si="50"/>
        <v>0</v>
      </c>
      <c r="G195" s="130">
        <f t="shared" si="50"/>
        <v>0</v>
      </c>
      <c r="H195" s="130">
        <f t="shared" si="50"/>
        <v>0</v>
      </c>
      <c r="I195" s="130">
        <f t="shared" si="50"/>
        <v>0</v>
      </c>
      <c r="J195" s="130">
        <f t="shared" si="50"/>
        <v>0</v>
      </c>
      <c r="K195" s="130">
        <f t="shared" si="50"/>
        <v>0</v>
      </c>
      <c r="L195" s="130">
        <f t="shared" si="50"/>
        <v>0</v>
      </c>
      <c r="M195" s="130">
        <f t="shared" si="50"/>
        <v>0</v>
      </c>
      <c r="N195" s="130">
        <f t="shared" si="50"/>
        <v>0</v>
      </c>
      <c r="O195" s="130">
        <f t="shared" si="50"/>
        <v>0</v>
      </c>
      <c r="P195" s="130">
        <f t="shared" si="50"/>
        <v>0</v>
      </c>
      <c r="Q195" s="130">
        <f t="shared" si="50"/>
        <v>0</v>
      </c>
      <c r="R195" s="130">
        <f t="shared" si="50"/>
        <v>0</v>
      </c>
      <c r="S195" s="130">
        <f t="shared" si="50"/>
        <v>0</v>
      </c>
      <c r="T195" s="130">
        <f t="shared" si="50"/>
        <v>0</v>
      </c>
      <c r="U195" s="130">
        <f t="shared" si="50"/>
        <v>0</v>
      </c>
      <c r="V195" s="130">
        <f t="shared" si="50"/>
        <v>0</v>
      </c>
      <c r="W195" s="130">
        <f t="shared" si="50"/>
        <v>0</v>
      </c>
      <c r="X195" s="130">
        <f t="shared" si="50"/>
        <v>0</v>
      </c>
      <c r="Y195" s="130">
        <f t="shared" si="50"/>
        <v>0</v>
      </c>
      <c r="Z195" s="130">
        <f t="shared" si="50"/>
        <v>0</v>
      </c>
      <c r="AA195" s="130">
        <f t="shared" si="50"/>
        <v>0</v>
      </c>
      <c r="AB195" s="130">
        <f t="shared" si="50"/>
        <v>0</v>
      </c>
      <c r="AC195" s="130">
        <f t="shared" si="50"/>
        <v>0</v>
      </c>
      <c r="AD195" s="130">
        <f t="shared" si="50"/>
        <v>1</v>
      </c>
      <c r="AE195" s="130">
        <f t="shared" si="50"/>
        <v>1</v>
      </c>
      <c r="AF195" s="130">
        <f t="shared" si="50"/>
        <v>1</v>
      </c>
      <c r="AG195" s="130">
        <f t="shared" si="50"/>
        <v>1</v>
      </c>
      <c r="AH195" s="130">
        <f t="shared" si="50"/>
        <v>1</v>
      </c>
      <c r="AI195" s="130">
        <f t="shared" si="50"/>
        <v>1</v>
      </c>
      <c r="AJ195" s="49" t="str">
        <f t="shared" si="30"/>
        <v>UNKNOWN</v>
      </c>
      <c r="AK195" s="62"/>
      <c r="AL195" s="62" t="str">
        <f t="shared" si="33"/>
        <v>3F</v>
      </c>
      <c r="AM195" s="64" t="str">
        <f t="shared" si="34"/>
        <v>00</v>
      </c>
      <c r="AN195" s="64" t="str">
        <f t="shared" si="35"/>
        <v>00</v>
      </c>
      <c r="AO195" s="64" t="str">
        <f t="shared" si="36"/>
        <v>00</v>
      </c>
      <c r="AQ195" t="str">
        <f t="shared" si="31"/>
        <v xml:space="preserve">    (U4)0x0000003FU,                                                           /* 59 UNKNOWN                                         */</v>
      </c>
    </row>
    <row r="196" spans="2:43">
      <c r="B196" s="138"/>
      <c r="C196" s="49">
        <f t="shared" si="32"/>
        <v>60</v>
      </c>
      <c r="D196" s="130">
        <f t="shared" si="50"/>
        <v>0</v>
      </c>
      <c r="E196" s="130">
        <f t="shared" si="50"/>
        <v>0</v>
      </c>
      <c r="F196" s="130">
        <f t="shared" si="50"/>
        <v>0</v>
      </c>
      <c r="G196" s="130">
        <f t="shared" si="50"/>
        <v>0</v>
      </c>
      <c r="H196" s="130">
        <f t="shared" si="50"/>
        <v>0</v>
      </c>
      <c r="I196" s="130">
        <f t="shared" si="50"/>
        <v>0</v>
      </c>
      <c r="J196" s="130">
        <f t="shared" si="50"/>
        <v>0</v>
      </c>
      <c r="K196" s="130">
        <f t="shared" si="50"/>
        <v>0</v>
      </c>
      <c r="L196" s="130">
        <f t="shared" si="50"/>
        <v>0</v>
      </c>
      <c r="M196" s="130">
        <f t="shared" si="50"/>
        <v>0</v>
      </c>
      <c r="N196" s="130">
        <f t="shared" si="50"/>
        <v>0</v>
      </c>
      <c r="O196" s="130">
        <f t="shared" si="50"/>
        <v>0</v>
      </c>
      <c r="P196" s="130">
        <f t="shared" si="50"/>
        <v>0</v>
      </c>
      <c r="Q196" s="130">
        <f t="shared" si="50"/>
        <v>0</v>
      </c>
      <c r="R196" s="130">
        <f t="shared" si="50"/>
        <v>0</v>
      </c>
      <c r="S196" s="130">
        <f t="shared" si="50"/>
        <v>0</v>
      </c>
      <c r="T196" s="130">
        <f t="shared" si="50"/>
        <v>0</v>
      </c>
      <c r="U196" s="130">
        <f t="shared" si="50"/>
        <v>0</v>
      </c>
      <c r="V196" s="130">
        <f t="shared" si="50"/>
        <v>0</v>
      </c>
      <c r="W196" s="130">
        <f t="shared" si="50"/>
        <v>0</v>
      </c>
      <c r="X196" s="130">
        <f t="shared" si="50"/>
        <v>0</v>
      </c>
      <c r="Y196" s="130">
        <f t="shared" si="50"/>
        <v>0</v>
      </c>
      <c r="Z196" s="130">
        <f t="shared" si="50"/>
        <v>0</v>
      </c>
      <c r="AA196" s="130">
        <f t="shared" si="50"/>
        <v>0</v>
      </c>
      <c r="AB196" s="130">
        <f t="shared" si="50"/>
        <v>0</v>
      </c>
      <c r="AC196" s="130">
        <f t="shared" si="50"/>
        <v>0</v>
      </c>
      <c r="AD196" s="130">
        <f t="shared" si="50"/>
        <v>1</v>
      </c>
      <c r="AE196" s="130">
        <f t="shared" si="50"/>
        <v>1</v>
      </c>
      <c r="AF196" s="130">
        <f t="shared" si="50"/>
        <v>1</v>
      </c>
      <c r="AG196" s="130">
        <f t="shared" si="50"/>
        <v>1</v>
      </c>
      <c r="AH196" s="130">
        <f t="shared" si="50"/>
        <v>1</v>
      </c>
      <c r="AI196" s="130">
        <f t="shared" si="50"/>
        <v>1</v>
      </c>
      <c r="AJ196" s="49" t="str">
        <f t="shared" si="30"/>
        <v>UNKNOWN</v>
      </c>
      <c r="AK196" s="62"/>
      <c r="AL196" s="62" t="str">
        <f t="shared" si="33"/>
        <v>3F</v>
      </c>
      <c r="AM196" s="64" t="str">
        <f t="shared" si="34"/>
        <v>00</v>
      </c>
      <c r="AN196" s="64" t="str">
        <f t="shared" si="35"/>
        <v>00</v>
      </c>
      <c r="AO196" s="64" t="str">
        <f t="shared" si="36"/>
        <v>00</v>
      </c>
      <c r="AQ196" t="str">
        <f t="shared" si="31"/>
        <v xml:space="preserve">    (U4)0x0000003FU,                                                           /* 60 UNKNOWN                                         */</v>
      </c>
    </row>
    <row r="197" spans="2:43">
      <c r="B197" s="138"/>
      <c r="C197" s="49">
        <f t="shared" si="32"/>
        <v>61</v>
      </c>
      <c r="D197" s="130">
        <f t="shared" si="50"/>
        <v>0</v>
      </c>
      <c r="E197" s="130">
        <f t="shared" si="50"/>
        <v>0</v>
      </c>
      <c r="F197" s="130">
        <f t="shared" si="50"/>
        <v>0</v>
      </c>
      <c r="G197" s="130">
        <f t="shared" si="50"/>
        <v>0</v>
      </c>
      <c r="H197" s="130">
        <f t="shared" si="50"/>
        <v>0</v>
      </c>
      <c r="I197" s="130">
        <f t="shared" si="50"/>
        <v>0</v>
      </c>
      <c r="J197" s="130">
        <f t="shared" si="50"/>
        <v>0</v>
      </c>
      <c r="K197" s="130">
        <f t="shared" si="50"/>
        <v>0</v>
      </c>
      <c r="L197" s="130">
        <f t="shared" si="50"/>
        <v>0</v>
      </c>
      <c r="M197" s="130">
        <f t="shared" si="50"/>
        <v>0</v>
      </c>
      <c r="N197" s="130">
        <f t="shared" si="50"/>
        <v>0</v>
      </c>
      <c r="O197" s="130">
        <f t="shared" si="50"/>
        <v>0</v>
      </c>
      <c r="P197" s="130">
        <f t="shared" si="50"/>
        <v>0</v>
      </c>
      <c r="Q197" s="130">
        <f t="shared" si="50"/>
        <v>0</v>
      </c>
      <c r="R197" s="130">
        <f t="shared" si="50"/>
        <v>0</v>
      </c>
      <c r="S197" s="130">
        <f t="shared" si="50"/>
        <v>0</v>
      </c>
      <c r="T197" s="130">
        <f t="shared" si="50"/>
        <v>0</v>
      </c>
      <c r="U197" s="130">
        <f t="shared" si="50"/>
        <v>0</v>
      </c>
      <c r="V197" s="130">
        <f t="shared" si="50"/>
        <v>0</v>
      </c>
      <c r="W197" s="130">
        <f t="shared" si="50"/>
        <v>0</v>
      </c>
      <c r="X197" s="130">
        <f t="shared" si="50"/>
        <v>0</v>
      </c>
      <c r="Y197" s="130">
        <f t="shared" si="50"/>
        <v>0</v>
      </c>
      <c r="Z197" s="130">
        <f t="shared" si="50"/>
        <v>0</v>
      </c>
      <c r="AA197" s="130">
        <f t="shared" si="50"/>
        <v>0</v>
      </c>
      <c r="AB197" s="130">
        <f t="shared" si="50"/>
        <v>0</v>
      </c>
      <c r="AC197" s="130">
        <f t="shared" si="50"/>
        <v>0</v>
      </c>
      <c r="AD197" s="130">
        <f t="shared" si="50"/>
        <v>1</v>
      </c>
      <c r="AE197" s="130">
        <f t="shared" si="50"/>
        <v>1</v>
      </c>
      <c r="AF197" s="130">
        <f t="shared" si="50"/>
        <v>1</v>
      </c>
      <c r="AG197" s="130">
        <f t="shared" si="50"/>
        <v>1</v>
      </c>
      <c r="AH197" s="130">
        <f t="shared" si="50"/>
        <v>1</v>
      </c>
      <c r="AI197" s="130">
        <f t="shared" si="50"/>
        <v>1</v>
      </c>
      <c r="AJ197" s="49" t="str">
        <f t="shared" si="30"/>
        <v>UNKNOWN</v>
      </c>
      <c r="AK197" s="62"/>
      <c r="AL197" s="62" t="str">
        <f t="shared" si="33"/>
        <v>3F</v>
      </c>
      <c r="AM197" s="64" t="str">
        <f t="shared" si="34"/>
        <v>00</v>
      </c>
      <c r="AN197" s="64" t="str">
        <f t="shared" si="35"/>
        <v>00</v>
      </c>
      <c r="AO197" s="64" t="str">
        <f t="shared" si="36"/>
        <v>00</v>
      </c>
      <c r="AQ197" t="str">
        <f t="shared" si="31"/>
        <v xml:space="preserve">    (U4)0x0000003FU,                                                           /* 61 UNKNOWN                                         */</v>
      </c>
    </row>
    <row r="198" spans="2:43">
      <c r="B198" s="138"/>
      <c r="C198" s="49">
        <f t="shared" si="32"/>
        <v>62</v>
      </c>
      <c r="D198" s="130">
        <f t="shared" si="50"/>
        <v>0</v>
      </c>
      <c r="E198" s="130">
        <f t="shared" si="50"/>
        <v>0</v>
      </c>
      <c r="F198" s="130">
        <f t="shared" si="50"/>
        <v>0</v>
      </c>
      <c r="G198" s="130">
        <f t="shared" si="50"/>
        <v>0</v>
      </c>
      <c r="H198" s="130">
        <f t="shared" si="50"/>
        <v>0</v>
      </c>
      <c r="I198" s="130">
        <f t="shared" si="50"/>
        <v>0</v>
      </c>
      <c r="J198" s="130">
        <f t="shared" si="50"/>
        <v>0</v>
      </c>
      <c r="K198" s="130">
        <f t="shared" si="50"/>
        <v>0</v>
      </c>
      <c r="L198" s="130">
        <f t="shared" si="50"/>
        <v>0</v>
      </c>
      <c r="M198" s="130">
        <f t="shared" si="50"/>
        <v>0</v>
      </c>
      <c r="N198" s="130">
        <f t="shared" si="50"/>
        <v>0</v>
      </c>
      <c r="O198" s="130">
        <f t="shared" si="50"/>
        <v>0</v>
      </c>
      <c r="P198" s="130">
        <f t="shared" si="50"/>
        <v>0</v>
      </c>
      <c r="Q198" s="130">
        <f t="shared" si="50"/>
        <v>0</v>
      </c>
      <c r="R198" s="130">
        <f t="shared" si="50"/>
        <v>0</v>
      </c>
      <c r="S198" s="130">
        <f t="shared" si="50"/>
        <v>0</v>
      </c>
      <c r="T198" s="130">
        <f t="shared" si="50"/>
        <v>0</v>
      </c>
      <c r="U198" s="130">
        <f t="shared" si="50"/>
        <v>0</v>
      </c>
      <c r="V198" s="130">
        <f t="shared" si="50"/>
        <v>0</v>
      </c>
      <c r="W198" s="130">
        <f t="shared" si="50"/>
        <v>0</v>
      </c>
      <c r="X198" s="130">
        <f t="shared" si="50"/>
        <v>0</v>
      </c>
      <c r="Y198" s="130">
        <f t="shared" si="50"/>
        <v>0</v>
      </c>
      <c r="Z198" s="130">
        <f t="shared" si="50"/>
        <v>0</v>
      </c>
      <c r="AA198" s="130">
        <f t="shared" si="50"/>
        <v>0</v>
      </c>
      <c r="AB198" s="130">
        <f t="shared" si="50"/>
        <v>0</v>
      </c>
      <c r="AC198" s="130">
        <f t="shared" si="50"/>
        <v>0</v>
      </c>
      <c r="AD198" s="130">
        <f t="shared" si="50"/>
        <v>1</v>
      </c>
      <c r="AE198" s="130">
        <f t="shared" si="50"/>
        <v>1</v>
      </c>
      <c r="AF198" s="130">
        <f t="shared" si="50"/>
        <v>1</v>
      </c>
      <c r="AG198" s="130">
        <f t="shared" si="50"/>
        <v>1</v>
      </c>
      <c r="AH198" s="130">
        <f t="shared" si="50"/>
        <v>1</v>
      </c>
      <c r="AI198" s="130">
        <f t="shared" si="50"/>
        <v>1</v>
      </c>
      <c r="AJ198" s="49" t="str">
        <f t="shared" si="30"/>
        <v>UNKNOWN</v>
      </c>
      <c r="AK198" s="62"/>
      <c r="AL198" s="62" t="str">
        <f t="shared" si="33"/>
        <v>3F</v>
      </c>
      <c r="AM198" s="64" t="str">
        <f t="shared" si="34"/>
        <v>00</v>
      </c>
      <c r="AN198" s="64" t="str">
        <f t="shared" si="35"/>
        <v>00</v>
      </c>
      <c r="AO198" s="64" t="str">
        <f t="shared" si="36"/>
        <v>00</v>
      </c>
      <c r="AQ198" t="str">
        <f t="shared" si="31"/>
        <v xml:space="preserve">    (U4)0x0000003FU,                                                           /* 62 UNKNOWN                                         */</v>
      </c>
    </row>
    <row r="199" spans="2:43">
      <c r="B199" s="139"/>
      <c r="C199" s="49">
        <f t="shared" si="32"/>
        <v>63</v>
      </c>
      <c r="D199" s="130">
        <f t="shared" si="50"/>
        <v>0</v>
      </c>
      <c r="E199" s="130">
        <f t="shared" si="50"/>
        <v>0</v>
      </c>
      <c r="F199" s="130">
        <f t="shared" si="50"/>
        <v>0</v>
      </c>
      <c r="G199" s="130">
        <f t="shared" si="50"/>
        <v>0</v>
      </c>
      <c r="H199" s="130">
        <f t="shared" si="50"/>
        <v>0</v>
      </c>
      <c r="I199" s="130">
        <f t="shared" si="50"/>
        <v>0</v>
      </c>
      <c r="J199" s="130">
        <f t="shared" si="50"/>
        <v>0</v>
      </c>
      <c r="K199" s="130">
        <f t="shared" si="50"/>
        <v>0</v>
      </c>
      <c r="L199" s="130">
        <f t="shared" si="50"/>
        <v>0</v>
      </c>
      <c r="M199" s="130">
        <f t="shared" si="50"/>
        <v>0</v>
      </c>
      <c r="N199" s="130">
        <f t="shared" si="50"/>
        <v>0</v>
      </c>
      <c r="O199" s="130">
        <f t="shared" si="50"/>
        <v>0</v>
      </c>
      <c r="P199" s="130">
        <f t="shared" si="50"/>
        <v>0</v>
      </c>
      <c r="Q199" s="130">
        <f t="shared" si="50"/>
        <v>0</v>
      </c>
      <c r="R199" s="130">
        <f t="shared" si="50"/>
        <v>0</v>
      </c>
      <c r="S199" s="130">
        <f t="shared" si="50"/>
        <v>0</v>
      </c>
      <c r="T199" s="130">
        <f t="shared" si="50"/>
        <v>0</v>
      </c>
      <c r="U199" s="130">
        <f t="shared" si="50"/>
        <v>0</v>
      </c>
      <c r="V199" s="130">
        <f t="shared" si="50"/>
        <v>0</v>
      </c>
      <c r="W199" s="130">
        <f t="shared" si="50"/>
        <v>0</v>
      </c>
      <c r="X199" s="130">
        <f t="shared" si="50"/>
        <v>0</v>
      </c>
      <c r="Y199" s="130">
        <f t="shared" si="50"/>
        <v>0</v>
      </c>
      <c r="Z199" s="130">
        <f t="shared" si="50"/>
        <v>0</v>
      </c>
      <c r="AA199" s="130">
        <f t="shared" si="50"/>
        <v>0</v>
      </c>
      <c r="AB199" s="130">
        <f t="shared" si="50"/>
        <v>0</v>
      </c>
      <c r="AC199" s="130">
        <f t="shared" si="50"/>
        <v>0</v>
      </c>
      <c r="AD199" s="130">
        <f t="shared" si="50"/>
        <v>1</v>
      </c>
      <c r="AE199" s="130">
        <f t="shared" si="50"/>
        <v>1</v>
      </c>
      <c r="AF199" s="130">
        <f t="shared" si="50"/>
        <v>1</v>
      </c>
      <c r="AG199" s="130">
        <f t="shared" si="50"/>
        <v>1</v>
      </c>
      <c r="AH199" s="130">
        <f t="shared" si="50"/>
        <v>1</v>
      </c>
      <c r="AI199" s="130">
        <f t="shared" ref="AI199" si="51">IF(OR(AI69=0,AI69=1),1,0)</f>
        <v>1</v>
      </c>
      <c r="AJ199" s="49" t="str">
        <f t="shared" si="30"/>
        <v>UNKNOWN</v>
      </c>
      <c r="AK199" s="62"/>
      <c r="AL199" s="62" t="str">
        <f t="shared" si="33"/>
        <v>3F</v>
      </c>
      <c r="AM199" s="64" t="str">
        <f t="shared" si="34"/>
        <v>00</v>
      </c>
      <c r="AN199" s="64" t="str">
        <f t="shared" si="35"/>
        <v>00</v>
      </c>
      <c r="AO199" s="64" t="str">
        <f t="shared" si="36"/>
        <v>00</v>
      </c>
      <c r="AQ199" t="str">
        <f t="shared" si="31"/>
        <v xml:space="preserve">    (U4)0x0000003FU                                                            /* 63 UNKNOWN                                         */</v>
      </c>
    </row>
  </sheetData>
  <protectedRanges>
    <protectedRange sqref="L3:AI3 D6:AJ69" name="Table作成編集範囲"/>
    <protectedRange sqref="B3" name="Table作成編集範囲_1"/>
  </protectedRanges>
  <mergeCells count="5">
    <mergeCell ref="C2:C3"/>
    <mergeCell ref="AJ2:AJ3"/>
    <mergeCell ref="A4:B5"/>
    <mergeCell ref="AD3:AE3"/>
    <mergeCell ref="AF3:AI3"/>
  </mergeCells>
  <phoneticPr fontId="2"/>
  <conditionalFormatting sqref="D6:AI69">
    <cfRule type="cellIs" dxfId="5" priority="2" operator="equal">
      <formula>1</formula>
    </cfRule>
    <cfRule type="cellIs" dxfId="4" priority="3" operator="equal">
      <formula>"×"</formula>
    </cfRule>
  </conditionalFormatting>
  <conditionalFormatting sqref="AR5:AS70">
    <cfRule type="expression" dxfId="3" priority="1">
      <formula>$B$3="Index Table"</formula>
    </cfRule>
  </conditionalFormatting>
  <pageMargins left="0.7" right="0.7" top="0.75" bottom="0.75" header="0.3" footer="0.3"/>
  <headerFooter>
    <oddHeader>&amp;C&amp;"Calibri"&amp;10&amp;KFF0000 CONFIDENTIAL&amp;1#_x000D_</oddHeader>
  </headerFooter>
  <drawing r:id="rId1"/>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600-000000000000}">
          <x14:formula1>
            <xm:f>CH_Design!$C$3:$C$103</xm:f>
          </x14:formula1>
          <xm:sqref>AJ6:AJ69</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0BA847-EC43-4EC0-803D-407341291930}">
  <sheetPr>
    <tabColor rgb="FFCCECFF"/>
  </sheetPr>
  <dimension ref="A1:AW199"/>
  <sheetViews>
    <sheetView zoomScale="70" zoomScaleNormal="70" workbookViewId="0">
      <pane ySplit="3" topLeftCell="A4" activePane="bottomLeft" state="frozen"/>
      <selection pane="bottomLeft" activeCell="A4" sqref="A4:B5"/>
    </sheetView>
  </sheetViews>
  <sheetFormatPr defaultRowHeight="13.5"/>
  <cols>
    <col min="1" max="1" width="6" customWidth="1"/>
    <col min="2" max="2" width="16.75" bestFit="1" customWidth="1"/>
    <col min="3" max="3" width="3" bestFit="1" customWidth="1"/>
    <col min="4" max="35" width="3" customWidth="1"/>
    <col min="36" max="36" width="36.375" bestFit="1" customWidth="1"/>
    <col min="37" max="37" width="4.125" customWidth="1"/>
    <col min="38" max="42" width="9" hidden="1" customWidth="1"/>
    <col min="43" max="43" width="20.625" hidden="1" customWidth="1"/>
    <col min="44" max="47" width="41.125" customWidth="1"/>
    <col min="48" max="48" width="23.625" customWidth="1"/>
    <col min="49" max="49" width="29" bestFit="1" customWidth="1"/>
  </cols>
  <sheetData>
    <row r="1" spans="1:49">
      <c r="AH1" t="s">
        <v>59</v>
      </c>
      <c r="AI1" t="s">
        <v>60</v>
      </c>
    </row>
    <row r="2" spans="1:49">
      <c r="B2" s="129" t="s">
        <v>123</v>
      </c>
      <c r="C2" s="366" t="s">
        <v>84</v>
      </c>
      <c r="D2" s="60">
        <v>31</v>
      </c>
      <c r="E2" s="60">
        <v>30</v>
      </c>
      <c r="F2" s="60">
        <v>29</v>
      </c>
      <c r="G2" s="60">
        <v>28</v>
      </c>
      <c r="H2" s="60">
        <v>27</v>
      </c>
      <c r="I2" s="60">
        <v>26</v>
      </c>
      <c r="J2" s="60">
        <v>25</v>
      </c>
      <c r="K2" s="60">
        <v>24</v>
      </c>
      <c r="L2" s="60">
        <v>23</v>
      </c>
      <c r="M2" s="60">
        <v>22</v>
      </c>
      <c r="N2" s="60">
        <v>21</v>
      </c>
      <c r="O2" s="60">
        <v>20</v>
      </c>
      <c r="P2" s="60">
        <v>19</v>
      </c>
      <c r="Q2" s="60">
        <v>18</v>
      </c>
      <c r="R2" s="60">
        <v>17</v>
      </c>
      <c r="S2" s="60">
        <v>16</v>
      </c>
      <c r="T2" s="60">
        <v>15</v>
      </c>
      <c r="U2" s="60">
        <v>14</v>
      </c>
      <c r="V2" s="60">
        <v>13</v>
      </c>
      <c r="W2" s="60">
        <v>12</v>
      </c>
      <c r="X2" s="60">
        <v>11</v>
      </c>
      <c r="Y2" s="60">
        <v>10</v>
      </c>
      <c r="Z2" s="60">
        <v>9</v>
      </c>
      <c r="AA2" s="60">
        <v>8</v>
      </c>
      <c r="AB2" s="60">
        <v>7</v>
      </c>
      <c r="AC2" s="60">
        <v>6</v>
      </c>
      <c r="AD2" s="60">
        <v>5</v>
      </c>
      <c r="AE2" s="60">
        <v>4</v>
      </c>
      <c r="AF2" s="60">
        <v>3</v>
      </c>
      <c r="AG2" s="60">
        <v>2</v>
      </c>
      <c r="AH2" s="60">
        <v>1</v>
      </c>
      <c r="AI2" s="60">
        <v>0</v>
      </c>
      <c r="AJ2" s="368" t="s">
        <v>51</v>
      </c>
    </row>
    <row r="3" spans="1:49" ht="213" customHeight="1" thickBot="1">
      <c r="A3" s="94" t="s">
        <v>393</v>
      </c>
      <c r="B3" s="209" t="str">
        <f>IF(OR(IF(COUNTIF(D6:AC69,"0")&lt;&gt;0,TRUE,FALSE),IF(COUNTIF(D6:AC69,"1")&lt;&gt;0,TRUE,FALSE)),"Search Table","Index Table")</f>
        <v>Index Table</v>
      </c>
      <c r="C3" s="367"/>
      <c r="D3" s="131" t="s">
        <v>61</v>
      </c>
      <c r="E3" s="131" t="s">
        <v>66</v>
      </c>
      <c r="F3" s="131" t="s">
        <v>49</v>
      </c>
      <c r="G3" s="131" t="s">
        <v>211</v>
      </c>
      <c r="H3" s="131" t="s">
        <v>121</v>
      </c>
      <c r="I3" s="131" t="s">
        <v>120</v>
      </c>
      <c r="J3" s="131" t="s">
        <v>125</v>
      </c>
      <c r="K3" s="131" t="s">
        <v>124</v>
      </c>
      <c r="L3" s="132" t="s">
        <v>66</v>
      </c>
      <c r="M3" s="132" t="s">
        <v>62</v>
      </c>
      <c r="N3" s="132" t="s">
        <v>62</v>
      </c>
      <c r="O3" s="132" t="s">
        <v>62</v>
      </c>
      <c r="P3" s="132" t="s">
        <v>62</v>
      </c>
      <c r="Q3" s="132" t="s">
        <v>62</v>
      </c>
      <c r="R3" s="132" t="s">
        <v>62</v>
      </c>
      <c r="S3" s="132" t="s">
        <v>62</v>
      </c>
      <c r="T3" s="132" t="s">
        <v>62</v>
      </c>
      <c r="U3" s="132" t="s">
        <v>62</v>
      </c>
      <c r="V3" s="132" t="s">
        <v>62</v>
      </c>
      <c r="W3" s="132" t="s">
        <v>62</v>
      </c>
      <c r="X3" s="132" t="s">
        <v>62</v>
      </c>
      <c r="Y3" s="132" t="s">
        <v>62</v>
      </c>
      <c r="Z3" s="132" t="s">
        <v>62</v>
      </c>
      <c r="AA3" s="132" t="s">
        <v>62</v>
      </c>
      <c r="AB3" s="132" t="s">
        <v>66</v>
      </c>
      <c r="AC3" s="132" t="s">
        <v>62</v>
      </c>
      <c r="AD3" s="132" t="s">
        <v>62</v>
      </c>
      <c r="AE3" s="132" t="s">
        <v>62</v>
      </c>
      <c r="AF3" s="298" t="s">
        <v>317</v>
      </c>
      <c r="AG3" s="377" t="s">
        <v>316</v>
      </c>
      <c r="AH3" s="378"/>
      <c r="AI3" s="379"/>
      <c r="AJ3" s="369"/>
      <c r="AR3" s="95" t="s">
        <v>96</v>
      </c>
    </row>
    <row r="4" spans="1:49" ht="14.25" thickBot="1">
      <c r="A4" s="370" t="s">
        <v>63</v>
      </c>
      <c r="B4" s="371"/>
      <c r="C4" s="226"/>
      <c r="D4" s="226"/>
      <c r="E4" s="226"/>
      <c r="F4" s="226"/>
      <c r="G4" s="226"/>
      <c r="H4" s="226"/>
      <c r="I4" s="226"/>
      <c r="J4" s="226"/>
      <c r="K4" s="226"/>
      <c r="L4" s="226"/>
      <c r="M4" s="226"/>
      <c r="N4" s="226"/>
      <c r="O4" s="226"/>
      <c r="P4" s="226"/>
      <c r="Q4" s="226"/>
      <c r="R4" s="226"/>
      <c r="S4" s="226"/>
      <c r="T4" s="226"/>
      <c r="U4" s="226"/>
      <c r="V4" s="226"/>
      <c r="W4" s="226"/>
      <c r="X4" s="226"/>
      <c r="Y4" s="226"/>
      <c r="Z4" s="226"/>
      <c r="AA4" s="226"/>
      <c r="AB4" s="226"/>
      <c r="AC4" s="226"/>
      <c r="AD4" s="226"/>
      <c r="AE4" s="226"/>
      <c r="AF4" s="226"/>
      <c r="AG4" s="226"/>
      <c r="AH4" s="226"/>
      <c r="AI4" s="226"/>
      <c r="AJ4" s="134"/>
      <c r="AR4" s="83" t="s">
        <v>82</v>
      </c>
      <c r="AS4" s="84"/>
      <c r="AT4" s="84"/>
      <c r="AU4" s="84"/>
      <c r="AV4" s="84"/>
      <c r="AW4" s="85"/>
    </row>
    <row r="5" spans="1:49" ht="14.25" thickBot="1">
      <c r="A5" s="372"/>
      <c r="B5" s="373"/>
      <c r="C5" s="227"/>
      <c r="D5" s="227"/>
      <c r="E5" s="227"/>
      <c r="F5" s="227"/>
      <c r="G5" s="227"/>
      <c r="H5" s="227"/>
      <c r="I5" s="227"/>
      <c r="J5" s="227"/>
      <c r="K5" s="227"/>
      <c r="L5" s="227"/>
      <c r="M5" s="227"/>
      <c r="N5" s="227"/>
      <c r="O5" s="227"/>
      <c r="P5" s="227"/>
      <c r="Q5" s="227"/>
      <c r="R5" s="227"/>
      <c r="S5" s="227"/>
      <c r="T5" s="227"/>
      <c r="U5" s="227"/>
      <c r="V5" s="227"/>
      <c r="W5" s="227"/>
      <c r="X5" s="227"/>
      <c r="Y5" s="227"/>
      <c r="Z5" s="227"/>
      <c r="AA5" s="227"/>
      <c r="AB5" s="227"/>
      <c r="AC5" s="227"/>
      <c r="AD5" s="227"/>
      <c r="AE5" s="227"/>
      <c r="AF5" s="227"/>
      <c r="AG5" s="227"/>
      <c r="AH5" s="227"/>
      <c r="AI5" s="227"/>
      <c r="AJ5" s="135"/>
      <c r="AR5" s="217" t="str">
        <f ca="1">"static const U4  "&amp;AW8&amp;"["&amp;AW10&amp;"]"&amp;" = {"</f>
        <v>static const U4  u4_sp_ALERT_S_ADBZR_CSR_VOL_CRIT[ALERT_S_ADBZR_CSR_VOL_NUM_DST] = {</v>
      </c>
      <c r="AS5" s="217" t="str">
        <f ca="1">"static const U4  "&amp;$AW$9&amp;"["&amp;$AW$10&amp;"] = {"</f>
        <v>static const U4  u4_sp_ALERT_S_ADBZR_CSR_VOL_MASK[ALERT_S_ADBZR_CSR_VOL_NUM_DST] = {</v>
      </c>
      <c r="AT5" s="217" t="str">
        <f ca="1">"static const U1  "&amp;$AW$11&amp;"["&amp;$AW$10&amp;"] = {"</f>
        <v>static const U1  u1_sp_ALERT_S_ADBZR_CSR_VOL_DST[ALERT_S_ADBZR_CSR_VOL_NUM_DST] = {</v>
      </c>
      <c r="AU5" s="217" t="str">
        <f ca="1">"const ST_ALERT_MTRX "&amp;$AW$12&amp;" = {"</f>
        <v>const ST_ALERT_MTRX st_gp_ALERT_S_ADBZR_CSR_MTRX[2] = {</v>
      </c>
      <c r="AV5" s="67" t="str">
        <f ca="1">"#define "&amp;AW10&amp;REPT(" ",41-LEN(AW10))&amp;"("&amp;AW13&amp;"U)"</f>
        <v>#define ALERT_S_ADBZR_CSR_VOL_NUM_DST            (16U)</v>
      </c>
      <c r="AW5" s="68"/>
    </row>
    <row r="6" spans="1:49">
      <c r="A6" s="94" t="s">
        <v>393</v>
      </c>
      <c r="B6" s="138" t="str">
        <f ca="1">"Table "&amp;$AW$6</f>
        <v>Table VOL</v>
      </c>
      <c r="C6" s="54">
        <f>ROW()-ROW($C$6)</f>
        <v>0</v>
      </c>
      <c r="D6" s="133" t="s">
        <v>67</v>
      </c>
      <c r="E6" s="133" t="s">
        <v>67</v>
      </c>
      <c r="F6" s="133" t="s">
        <v>67</v>
      </c>
      <c r="G6" s="133" t="s">
        <v>67</v>
      </c>
      <c r="H6" s="133" t="s">
        <v>67</v>
      </c>
      <c r="I6" s="133" t="s">
        <v>67</v>
      </c>
      <c r="J6" s="133" t="s">
        <v>67</v>
      </c>
      <c r="K6" s="133" t="s">
        <v>67</v>
      </c>
      <c r="L6" s="133" t="s">
        <v>67</v>
      </c>
      <c r="M6" s="133" t="s">
        <v>67</v>
      </c>
      <c r="N6" s="133" t="s">
        <v>67</v>
      </c>
      <c r="O6" s="133" t="s">
        <v>67</v>
      </c>
      <c r="P6" s="133" t="s">
        <v>67</v>
      </c>
      <c r="Q6" s="133" t="s">
        <v>67</v>
      </c>
      <c r="R6" s="133" t="s">
        <v>67</v>
      </c>
      <c r="S6" s="133" t="s">
        <v>67</v>
      </c>
      <c r="T6" s="133" t="s">
        <v>67</v>
      </c>
      <c r="U6" s="133" t="s">
        <v>67</v>
      </c>
      <c r="V6" s="133" t="s">
        <v>67</v>
      </c>
      <c r="W6" s="133" t="s">
        <v>67</v>
      </c>
      <c r="X6" s="133" t="s">
        <v>67</v>
      </c>
      <c r="Y6" s="133" t="s">
        <v>67</v>
      </c>
      <c r="Z6" s="133" t="s">
        <v>67</v>
      </c>
      <c r="AA6" s="133" t="s">
        <v>67</v>
      </c>
      <c r="AB6" s="133" t="s">
        <v>67</v>
      </c>
      <c r="AC6" s="133" t="s">
        <v>67</v>
      </c>
      <c r="AD6" s="63" t="s">
        <v>67</v>
      </c>
      <c r="AE6" s="63" t="s">
        <v>67</v>
      </c>
      <c r="AF6" s="295">
        <v>0</v>
      </c>
      <c r="AG6" s="295">
        <v>0</v>
      </c>
      <c r="AH6" s="295">
        <v>0</v>
      </c>
      <c r="AI6" s="295">
        <v>0</v>
      </c>
      <c r="AJ6" s="296" t="s">
        <v>347</v>
      </c>
      <c r="AL6" t="str">
        <f t="shared" ref="AL6:AL69" ca="1" si="0">IF($AJ6="UNKNOWN","    (U1)ALERT_REQ_UNKNOWN","    (U1)"&amp;"ALERT_REQ_"&amp;$AW$17&amp;"_"&amp;IF($AW$6&lt;&gt;$AW$17,$AW$6&amp;"_","")&amp;AJ6)</f>
        <v xml:space="preserve">    (U1)ALERT_REQ_S_ADBZR_CSR_VOL_VOL0</v>
      </c>
      <c r="AR6" s="215" t="str">
        <f>IF(AQ71&lt;&gt;"",AQ71,IF(AQ70&lt;&gt;"","};",""))</f>
        <v xml:space="preserve">    (U4)0x00000000U,                                                           /* 00 VOL0                                            */</v>
      </c>
      <c r="AS6" s="215" t="str">
        <f>IF(AQ136&lt;&gt;"",AQ136,IF(AQ135&lt;&gt;"","};",""))</f>
        <v xml:space="preserve">    (U4)0x0000000FU,                                                           /* 00 VOL0                                            */</v>
      </c>
      <c r="AT6" s="215" t="str">
        <f t="shared" ref="AT6:AT69" ca="1" si="1">IF(AJ6&lt;&gt;"",AL6&amp;IF(AJ7&lt;&gt;"",","," ")&amp;REPT(" ",78-LEN(AL6))&amp;"/* "&amp;IF(C6&lt;10,"0"&amp;C6,C6)&amp;" "&amp;AJ6&amp;REPT(" ",48-LEN(AJ6))&amp;"*/",IF(AJ5&lt;&gt;"","};",""))</f>
        <v xml:space="preserve">    (U1)ALERT_REQ_S_ADBZR_CSR_VOL_VOL0,                                        /* 00 VOL0                                            */</v>
      </c>
      <c r="AU6" s="215" t="s">
        <v>68</v>
      </c>
      <c r="AV6" s="50" t="s">
        <v>70</v>
      </c>
      <c r="AW6" s="69" t="str">
        <f ca="1">UPPER(RIGHT(CELL("filename",A1),LEN(CELL("filename",A1))-FIND("]",CELL("filename",A1))))</f>
        <v>VOL</v>
      </c>
    </row>
    <row r="7" spans="1:49">
      <c r="A7" s="94" t="s">
        <v>393</v>
      </c>
      <c r="B7" s="138"/>
      <c r="C7" s="49">
        <f t="shared" ref="C7:C69" si="2">ROW()-ROW($C$6)</f>
        <v>1</v>
      </c>
      <c r="D7" s="63" t="s">
        <v>67</v>
      </c>
      <c r="E7" s="63" t="s">
        <v>67</v>
      </c>
      <c r="F7" s="63" t="s">
        <v>67</v>
      </c>
      <c r="G7" s="63" t="s">
        <v>67</v>
      </c>
      <c r="H7" s="63" t="s">
        <v>67</v>
      </c>
      <c r="I7" s="63" t="s">
        <v>67</v>
      </c>
      <c r="J7" s="63" t="s">
        <v>67</v>
      </c>
      <c r="K7" s="133" t="s">
        <v>67</v>
      </c>
      <c r="L7" s="63" t="s">
        <v>67</v>
      </c>
      <c r="M7" s="63" t="s">
        <v>67</v>
      </c>
      <c r="N7" s="63" t="s">
        <v>67</v>
      </c>
      <c r="O7" s="63" t="s">
        <v>67</v>
      </c>
      <c r="P7" s="63" t="s">
        <v>67</v>
      </c>
      <c r="Q7" s="63" t="s">
        <v>67</v>
      </c>
      <c r="R7" s="63" t="s">
        <v>67</v>
      </c>
      <c r="S7" s="63" t="s">
        <v>67</v>
      </c>
      <c r="T7" s="63" t="s">
        <v>67</v>
      </c>
      <c r="U7" s="63" t="s">
        <v>67</v>
      </c>
      <c r="V7" s="63" t="s">
        <v>67</v>
      </c>
      <c r="W7" s="63" t="s">
        <v>67</v>
      </c>
      <c r="X7" s="63" t="s">
        <v>67</v>
      </c>
      <c r="Y7" s="63" t="s">
        <v>67</v>
      </c>
      <c r="Z7" s="63" t="s">
        <v>67</v>
      </c>
      <c r="AA7" s="63" t="s">
        <v>67</v>
      </c>
      <c r="AB7" s="63" t="s">
        <v>67</v>
      </c>
      <c r="AC7" s="63" t="s">
        <v>67</v>
      </c>
      <c r="AD7" s="63" t="s">
        <v>67</v>
      </c>
      <c r="AE7" s="63" t="s">
        <v>67</v>
      </c>
      <c r="AF7" s="295">
        <v>0</v>
      </c>
      <c r="AG7" s="295">
        <v>0</v>
      </c>
      <c r="AH7" s="295">
        <v>0</v>
      </c>
      <c r="AI7" s="295">
        <v>1</v>
      </c>
      <c r="AJ7" s="296" t="s">
        <v>348</v>
      </c>
      <c r="AL7" t="str">
        <f t="shared" ca="1" si="0"/>
        <v xml:space="preserve">    (U1)ALERT_REQ_S_ADBZR_CSR_VOL_VOL1</v>
      </c>
      <c r="AR7" s="215" t="str">
        <f t="shared" ref="AR7:AR70" si="3">IF(AQ72&lt;&gt;"",AQ72,IF(AQ71&lt;&gt;"","};",""))</f>
        <v xml:space="preserve">    (U4)0x00000001U,                                                           /* 01 VOL1                                            */</v>
      </c>
      <c r="AS7" s="215" t="str">
        <f t="shared" ref="AS7:AS70" si="4">IF(AQ137&lt;&gt;"",AQ137,IF(AQ136&lt;&gt;"","};",""))</f>
        <v xml:space="preserve">    (U4)0x0000000FU,                                                           /* 01 VOL1                                            */</v>
      </c>
      <c r="AT7" s="215" t="str">
        <f t="shared" ca="1" si="1"/>
        <v xml:space="preserve">    (U1)ALERT_REQ_S_ADBZR_CSR_VOL_VOL1,                                        /* 01 VOL1                                            */</v>
      </c>
      <c r="AU7" s="215" t="str">
        <f ca="1">"        &amp;"&amp;$AW$14&amp;","&amp;REPT(" ",69-LEN($AW$14))&amp;"/* fp_u4_SRC_CHK                                      */"</f>
        <v xml:space="preserve">        &amp;u4_s_AlertS_adbzr_csrVolSrcchk,                                       /* fp_u4_SRC_CHK                                      */</v>
      </c>
      <c r="AV7" s="51" t="s">
        <v>71</v>
      </c>
      <c r="AW7" s="137">
        <f>IF(B3="Search Table",1,0)</f>
        <v>0</v>
      </c>
    </row>
    <row r="8" spans="1:49">
      <c r="A8" s="94" t="s">
        <v>393</v>
      </c>
      <c r="B8" s="138"/>
      <c r="C8" s="49">
        <f t="shared" si="2"/>
        <v>2</v>
      </c>
      <c r="D8" s="63" t="s">
        <v>67</v>
      </c>
      <c r="E8" s="63" t="s">
        <v>67</v>
      </c>
      <c r="F8" s="63" t="s">
        <v>67</v>
      </c>
      <c r="G8" s="63" t="s">
        <v>67</v>
      </c>
      <c r="H8" s="63" t="s">
        <v>67</v>
      </c>
      <c r="I8" s="63" t="s">
        <v>67</v>
      </c>
      <c r="J8" s="63" t="s">
        <v>67</v>
      </c>
      <c r="K8" s="63" t="s">
        <v>67</v>
      </c>
      <c r="L8" s="63" t="s">
        <v>67</v>
      </c>
      <c r="M8" s="63" t="s">
        <v>67</v>
      </c>
      <c r="N8" s="63" t="s">
        <v>67</v>
      </c>
      <c r="O8" s="63" t="s">
        <v>67</v>
      </c>
      <c r="P8" s="63" t="s">
        <v>67</v>
      </c>
      <c r="Q8" s="63" t="s">
        <v>67</v>
      </c>
      <c r="R8" s="63" t="s">
        <v>67</v>
      </c>
      <c r="S8" s="63" t="s">
        <v>67</v>
      </c>
      <c r="T8" s="63" t="s">
        <v>67</v>
      </c>
      <c r="U8" s="63" t="s">
        <v>67</v>
      </c>
      <c r="V8" s="63" t="s">
        <v>67</v>
      </c>
      <c r="W8" s="63" t="s">
        <v>67</v>
      </c>
      <c r="X8" s="63" t="s">
        <v>67</v>
      </c>
      <c r="Y8" s="63" t="s">
        <v>67</v>
      </c>
      <c r="Z8" s="63" t="s">
        <v>67</v>
      </c>
      <c r="AA8" s="63" t="s">
        <v>67</v>
      </c>
      <c r="AB8" s="63" t="s">
        <v>67</v>
      </c>
      <c r="AC8" s="63" t="s">
        <v>67</v>
      </c>
      <c r="AD8" s="63" t="s">
        <v>67</v>
      </c>
      <c r="AE8" s="63" t="s">
        <v>67</v>
      </c>
      <c r="AF8" s="295">
        <v>0</v>
      </c>
      <c r="AG8" s="295">
        <v>0</v>
      </c>
      <c r="AH8" s="295">
        <v>1</v>
      </c>
      <c r="AI8" s="295">
        <v>0</v>
      </c>
      <c r="AJ8" s="296" t="s">
        <v>349</v>
      </c>
      <c r="AL8" t="str">
        <f t="shared" ca="1" si="0"/>
        <v xml:space="preserve">    (U1)ALERT_REQ_S_ADBZR_CSR_VOL_VOL2</v>
      </c>
      <c r="AR8" s="215" t="str">
        <f t="shared" si="3"/>
        <v xml:space="preserve">    (U4)0x00000002U,                                                           /* 02 VOL2                                            */</v>
      </c>
      <c r="AS8" s="215" t="str">
        <f t="shared" si="4"/>
        <v xml:space="preserve">    (U4)0x0000000FU,                                                           /* 02 VOL2                                            */</v>
      </c>
      <c r="AT8" s="215" t="str">
        <f ca="1">IF(AJ8&lt;&gt;"",AL8&amp;IF(AJ9&lt;&gt;"",","," ")&amp;REPT(" ",78-LEN(AL8))&amp;"/* "&amp;IF(C8&lt;10,"0"&amp;C8,C8)&amp;" "&amp;AJ8&amp;REPT(" ",48-LEN(AJ8))&amp;"*/",IF(AJ7&lt;&gt;"","};",""))</f>
        <v xml:space="preserve">    (U1)ALERT_REQ_S_ADBZR_CSR_VOL_VOL2,                                        /* 02 VOL2                                            */</v>
      </c>
      <c r="AU8" s="215" t="str">
        <f ca="1">IF($AW$15&lt;&gt;"NULL","        &amp;"&amp;$AW$15&amp;","&amp;REPT(" ",69-LEN($AW$15))&amp;"/* fp_vd_XDST                                         */","        vdp_PTR_NA,                                                            /* fp_vd_XDST                                         */")</f>
        <v xml:space="preserve">        vdp_PTR_NA,                                                            /* fp_vd_XDST                                         */</v>
      </c>
      <c r="AV8" s="51" t="s">
        <v>72</v>
      </c>
      <c r="AW8" s="70" t="str">
        <f ca="1">"u4_sp_ALERT_"&amp;IF(AW6&lt;&gt;AW17,$AW$17&amp;"_"&amp;$AW$6,AW17)&amp;"_CRIT"</f>
        <v>u4_sp_ALERT_S_ADBZR_CSR_VOL_CRIT</v>
      </c>
    </row>
    <row r="9" spans="1:49">
      <c r="A9" s="94" t="s">
        <v>393</v>
      </c>
      <c r="B9" s="138"/>
      <c r="C9" s="49">
        <f t="shared" si="2"/>
        <v>3</v>
      </c>
      <c r="D9" s="63" t="s">
        <v>67</v>
      </c>
      <c r="E9" s="63" t="s">
        <v>67</v>
      </c>
      <c r="F9" s="63" t="s">
        <v>67</v>
      </c>
      <c r="G9" s="63" t="s">
        <v>67</v>
      </c>
      <c r="H9" s="63" t="s">
        <v>67</v>
      </c>
      <c r="I9" s="63" t="s">
        <v>67</v>
      </c>
      <c r="J9" s="63" t="s">
        <v>67</v>
      </c>
      <c r="K9" s="63" t="s">
        <v>67</v>
      </c>
      <c r="L9" s="63" t="s">
        <v>67</v>
      </c>
      <c r="M9" s="63" t="s">
        <v>67</v>
      </c>
      <c r="N9" s="63" t="s">
        <v>67</v>
      </c>
      <c r="O9" s="63" t="s">
        <v>67</v>
      </c>
      <c r="P9" s="63" t="s">
        <v>67</v>
      </c>
      <c r="Q9" s="63" t="s">
        <v>67</v>
      </c>
      <c r="R9" s="63" t="s">
        <v>67</v>
      </c>
      <c r="S9" s="63" t="s">
        <v>67</v>
      </c>
      <c r="T9" s="63" t="s">
        <v>67</v>
      </c>
      <c r="U9" s="63" t="s">
        <v>67</v>
      </c>
      <c r="V9" s="63" t="s">
        <v>67</v>
      </c>
      <c r="W9" s="63" t="s">
        <v>67</v>
      </c>
      <c r="X9" s="63" t="s">
        <v>67</v>
      </c>
      <c r="Y9" s="63" t="s">
        <v>67</v>
      </c>
      <c r="Z9" s="63" t="s">
        <v>67</v>
      </c>
      <c r="AA9" s="63" t="s">
        <v>67</v>
      </c>
      <c r="AB9" s="63" t="s">
        <v>67</v>
      </c>
      <c r="AC9" s="63" t="s">
        <v>67</v>
      </c>
      <c r="AD9" s="63" t="s">
        <v>67</v>
      </c>
      <c r="AE9" s="63" t="s">
        <v>67</v>
      </c>
      <c r="AF9" s="295">
        <v>0</v>
      </c>
      <c r="AG9" s="295">
        <v>0</v>
      </c>
      <c r="AH9" s="295">
        <v>1</v>
      </c>
      <c r="AI9" s="295">
        <v>1</v>
      </c>
      <c r="AJ9" s="296" t="s">
        <v>350</v>
      </c>
      <c r="AL9" t="str">
        <f t="shared" ca="1" si="0"/>
        <v xml:space="preserve">    (U1)ALERT_REQ_S_ADBZR_CSR_VOL_VOL3</v>
      </c>
      <c r="AR9" s="215" t="str">
        <f t="shared" si="3"/>
        <v xml:space="preserve">    (U4)0x00000003U,                                                           /* 03 VOL3                                            */</v>
      </c>
      <c r="AS9" s="215" t="str">
        <f t="shared" si="4"/>
        <v xml:space="preserve">    (U4)0x0000000FU,                                                           /* 03 VOL3                                            */</v>
      </c>
      <c r="AT9" s="215" t="str">
        <f t="shared" ca="1" si="1"/>
        <v xml:space="preserve">    (U1)ALERT_REQ_S_ADBZR_CSR_VOL_VOL3,                                        /* 03 VOL3                                            */</v>
      </c>
      <c r="AU9" s="215"/>
      <c r="AV9" s="51" t="s">
        <v>73</v>
      </c>
      <c r="AW9" s="70" t="str">
        <f ca="1">"u4_sp_ALERT_"&amp;IF(AW6&lt;&gt;AW17,$AW$17&amp;"_"&amp;$AW$6,AW17)&amp;"_MASK"</f>
        <v>u4_sp_ALERT_S_ADBZR_CSR_VOL_MASK</v>
      </c>
    </row>
    <row r="10" spans="1:49">
      <c r="A10" s="94" t="s">
        <v>393</v>
      </c>
      <c r="B10" s="138"/>
      <c r="C10" s="49">
        <f t="shared" si="2"/>
        <v>4</v>
      </c>
      <c r="D10" s="63" t="s">
        <v>67</v>
      </c>
      <c r="E10" s="63" t="s">
        <v>67</v>
      </c>
      <c r="F10" s="63" t="s">
        <v>67</v>
      </c>
      <c r="G10" s="63" t="s">
        <v>67</v>
      </c>
      <c r="H10" s="63" t="s">
        <v>67</v>
      </c>
      <c r="I10" s="63" t="s">
        <v>67</v>
      </c>
      <c r="J10" s="63" t="s">
        <v>67</v>
      </c>
      <c r="K10" s="63" t="s">
        <v>67</v>
      </c>
      <c r="L10" s="63" t="s">
        <v>67</v>
      </c>
      <c r="M10" s="63" t="s">
        <v>67</v>
      </c>
      <c r="N10" s="63" t="s">
        <v>67</v>
      </c>
      <c r="O10" s="63" t="s">
        <v>67</v>
      </c>
      <c r="P10" s="63" t="s">
        <v>67</v>
      </c>
      <c r="Q10" s="63" t="s">
        <v>67</v>
      </c>
      <c r="R10" s="63" t="s">
        <v>67</v>
      </c>
      <c r="S10" s="63" t="s">
        <v>67</v>
      </c>
      <c r="T10" s="63" t="s">
        <v>67</v>
      </c>
      <c r="U10" s="63" t="s">
        <v>67</v>
      </c>
      <c r="V10" s="63" t="s">
        <v>67</v>
      </c>
      <c r="W10" s="63" t="s">
        <v>67</v>
      </c>
      <c r="X10" s="63" t="s">
        <v>67</v>
      </c>
      <c r="Y10" s="63" t="s">
        <v>67</v>
      </c>
      <c r="Z10" s="63" t="s">
        <v>67</v>
      </c>
      <c r="AA10" s="63" t="s">
        <v>67</v>
      </c>
      <c r="AB10" s="63" t="s">
        <v>67</v>
      </c>
      <c r="AC10" s="63" t="s">
        <v>67</v>
      </c>
      <c r="AD10" s="63" t="s">
        <v>67</v>
      </c>
      <c r="AE10" s="63" t="s">
        <v>67</v>
      </c>
      <c r="AF10" s="295">
        <v>0</v>
      </c>
      <c r="AG10" s="295">
        <v>1</v>
      </c>
      <c r="AH10" s="295">
        <v>0</v>
      </c>
      <c r="AI10" s="295">
        <v>0</v>
      </c>
      <c r="AJ10" s="296" t="s">
        <v>351</v>
      </c>
      <c r="AL10" t="str">
        <f t="shared" ca="1" si="0"/>
        <v xml:space="preserve">    (U1)ALERT_REQ_S_ADBZR_CSR_VOL_VOL4</v>
      </c>
      <c r="AR10" s="215" t="str">
        <f t="shared" si="3"/>
        <v xml:space="preserve">    (U4)0x00000004U,                                                           /* 04 VOL4                                            */</v>
      </c>
      <c r="AS10" s="215" t="str">
        <f t="shared" si="4"/>
        <v xml:space="preserve">    (U4)0x0000000FU,                                                           /* 04 VOL4                                            */</v>
      </c>
      <c r="AT10" s="215" t="str">
        <f t="shared" ca="1" si="1"/>
        <v xml:space="preserve">    (U1)ALERT_REQ_S_ADBZR_CSR_VOL_VOL4,                                        /* 04 VOL4                                            */</v>
      </c>
      <c r="AU10" s="215" t="str">
        <f>IF($AW$7=1,"        &amp;"&amp;$AW$9&amp;"[0],"&amp;REPT(" ",66-LEN($AW$9))&amp;"/* u4p_MASK                                           */","        (const U4 *)vdp_PTR_NA,                                                /* u4p_MASK                                           */")</f>
        <v xml:space="preserve">        (const U4 *)vdp_PTR_NA,                                                /* u4p_MASK                                           */</v>
      </c>
      <c r="AV10" s="51" t="s">
        <v>74</v>
      </c>
      <c r="AW10" s="70" t="str">
        <f ca="1">"ALERT_"&amp;IF(AW6&lt;&gt;AW17,$AW$17&amp;"_"&amp;$AW$6,AW17)&amp;"_NUM_DST"</f>
        <v>ALERT_S_ADBZR_CSR_VOL_NUM_DST</v>
      </c>
    </row>
    <row r="11" spans="1:49">
      <c r="A11" s="94" t="s">
        <v>393</v>
      </c>
      <c r="B11" s="138"/>
      <c r="C11" s="49">
        <f t="shared" si="2"/>
        <v>5</v>
      </c>
      <c r="D11" s="63" t="s">
        <v>67</v>
      </c>
      <c r="E11" s="63" t="s">
        <v>67</v>
      </c>
      <c r="F11" s="63" t="s">
        <v>67</v>
      </c>
      <c r="G11" s="63" t="s">
        <v>67</v>
      </c>
      <c r="H11" s="63" t="s">
        <v>67</v>
      </c>
      <c r="I11" s="63" t="s">
        <v>67</v>
      </c>
      <c r="J11" s="63" t="s">
        <v>67</v>
      </c>
      <c r="K11" s="63" t="s">
        <v>67</v>
      </c>
      <c r="L11" s="63" t="s">
        <v>67</v>
      </c>
      <c r="M11" s="63" t="s">
        <v>67</v>
      </c>
      <c r="N11" s="63" t="s">
        <v>67</v>
      </c>
      <c r="O11" s="63" t="s">
        <v>67</v>
      </c>
      <c r="P11" s="63" t="s">
        <v>67</v>
      </c>
      <c r="Q11" s="63" t="s">
        <v>67</v>
      </c>
      <c r="R11" s="63" t="s">
        <v>67</v>
      </c>
      <c r="S11" s="63" t="s">
        <v>67</v>
      </c>
      <c r="T11" s="63" t="s">
        <v>67</v>
      </c>
      <c r="U11" s="63" t="s">
        <v>67</v>
      </c>
      <c r="V11" s="63" t="s">
        <v>67</v>
      </c>
      <c r="W11" s="63" t="s">
        <v>67</v>
      </c>
      <c r="X11" s="63" t="s">
        <v>67</v>
      </c>
      <c r="Y11" s="63" t="s">
        <v>67</v>
      </c>
      <c r="Z11" s="63" t="s">
        <v>67</v>
      </c>
      <c r="AA11" s="63" t="s">
        <v>67</v>
      </c>
      <c r="AB11" s="63" t="s">
        <v>67</v>
      </c>
      <c r="AC11" s="63" t="s">
        <v>67</v>
      </c>
      <c r="AD11" s="63" t="s">
        <v>67</v>
      </c>
      <c r="AE11" s="63" t="s">
        <v>67</v>
      </c>
      <c r="AF11" s="295">
        <v>0</v>
      </c>
      <c r="AG11" s="295">
        <v>1</v>
      </c>
      <c r="AH11" s="295">
        <v>0</v>
      </c>
      <c r="AI11" s="295">
        <v>1</v>
      </c>
      <c r="AJ11" s="296" t="s">
        <v>352</v>
      </c>
      <c r="AL11" t="str">
        <f t="shared" ca="1" si="0"/>
        <v xml:space="preserve">    (U1)ALERT_REQ_S_ADBZR_CSR_VOL_VOL5</v>
      </c>
      <c r="AR11" s="215" t="str">
        <f t="shared" si="3"/>
        <v xml:space="preserve">    (U4)0x00000005U,                                                           /* 05 VOL5                                            */</v>
      </c>
      <c r="AS11" s="215" t="str">
        <f t="shared" si="4"/>
        <v xml:space="preserve">    (U4)0x0000000FU,                                                           /* 05 VOL5                                            */</v>
      </c>
      <c r="AT11" s="215" t="str">
        <f t="shared" ca="1" si="1"/>
        <v xml:space="preserve">    (U1)ALERT_REQ_S_ADBZR_CSR_VOL_VOL5,                                        /* 05 VOL5                                            */</v>
      </c>
      <c r="AU11" s="215" t="str">
        <f>IF($AW$7=1,"        &amp;"&amp;$AW$8&amp;"[0],"&amp;REPT(" ",66-LEN($AW$8))&amp;"/* u4p_CRIT                                           */","        (const U4 *)vdp_PTR_NA,                                                /* u4p_CRIT                                           */")</f>
        <v xml:space="preserve">        (const U4 *)vdp_PTR_NA,                                                /* u4p_CRIT                                           */</v>
      </c>
      <c r="AV11" s="51" t="s">
        <v>75</v>
      </c>
      <c r="AW11" s="70" t="str">
        <f ca="1">"u1_sp_ALERT_"&amp;IF(AW6&lt;&gt;AW17,$AW$17&amp;"_"&amp;$AW$6,AW17)&amp;"_DST"</f>
        <v>u1_sp_ALERT_S_ADBZR_CSR_VOL_DST</v>
      </c>
    </row>
    <row r="12" spans="1:49">
      <c r="A12" s="94" t="s">
        <v>393</v>
      </c>
      <c r="B12" s="138"/>
      <c r="C12" s="49">
        <f t="shared" si="2"/>
        <v>6</v>
      </c>
      <c r="D12" s="63" t="s">
        <v>67</v>
      </c>
      <c r="E12" s="63" t="s">
        <v>67</v>
      </c>
      <c r="F12" s="63" t="s">
        <v>67</v>
      </c>
      <c r="G12" s="63" t="s">
        <v>67</v>
      </c>
      <c r="H12" s="63" t="s">
        <v>67</v>
      </c>
      <c r="I12" s="63" t="s">
        <v>67</v>
      </c>
      <c r="J12" s="63" t="s">
        <v>67</v>
      </c>
      <c r="K12" s="63" t="s">
        <v>67</v>
      </c>
      <c r="L12" s="63" t="s">
        <v>67</v>
      </c>
      <c r="M12" s="63" t="s">
        <v>67</v>
      </c>
      <c r="N12" s="63" t="s">
        <v>67</v>
      </c>
      <c r="O12" s="63" t="s">
        <v>67</v>
      </c>
      <c r="P12" s="63" t="s">
        <v>67</v>
      </c>
      <c r="Q12" s="63" t="s">
        <v>67</v>
      </c>
      <c r="R12" s="63" t="s">
        <v>67</v>
      </c>
      <c r="S12" s="63" t="s">
        <v>67</v>
      </c>
      <c r="T12" s="63" t="s">
        <v>67</v>
      </c>
      <c r="U12" s="63" t="s">
        <v>67</v>
      </c>
      <c r="V12" s="63" t="s">
        <v>67</v>
      </c>
      <c r="W12" s="63" t="s">
        <v>67</v>
      </c>
      <c r="X12" s="63" t="s">
        <v>67</v>
      </c>
      <c r="Y12" s="63" t="s">
        <v>67</v>
      </c>
      <c r="Z12" s="63" t="s">
        <v>67</v>
      </c>
      <c r="AA12" s="63" t="s">
        <v>67</v>
      </c>
      <c r="AB12" s="63" t="s">
        <v>67</v>
      </c>
      <c r="AC12" s="63" t="s">
        <v>67</v>
      </c>
      <c r="AD12" s="63" t="s">
        <v>67</v>
      </c>
      <c r="AE12" s="63" t="s">
        <v>67</v>
      </c>
      <c r="AF12" s="295">
        <v>0</v>
      </c>
      <c r="AG12" s="295">
        <v>1</v>
      </c>
      <c r="AH12" s="295">
        <v>1</v>
      </c>
      <c r="AI12" s="295">
        <v>0</v>
      </c>
      <c r="AJ12" s="296" t="s">
        <v>353</v>
      </c>
      <c r="AL12" t="str">
        <f t="shared" ca="1" si="0"/>
        <v xml:space="preserve">    (U1)ALERT_REQ_S_ADBZR_CSR_VOL_VOL6</v>
      </c>
      <c r="AR12" s="215" t="str">
        <f t="shared" si="3"/>
        <v xml:space="preserve">    (U4)0x00000006U,                                                           /* 06 VOL6                                            */</v>
      </c>
      <c r="AS12" s="215" t="str">
        <f t="shared" si="4"/>
        <v xml:space="preserve">    (U4)0x0000000FU,                                                           /* 06 VOL6                                            */</v>
      </c>
      <c r="AT12" s="215" t="str">
        <f t="shared" ca="1" si="1"/>
        <v xml:space="preserve">    (U1)ALERT_REQ_S_ADBZR_CSR_VOL_VOL6,                                        /* 06 VOL6                                            */</v>
      </c>
      <c r="AU12" s="215"/>
      <c r="AV12" s="51" t="s">
        <v>88</v>
      </c>
      <c r="AW12" s="70" t="str">
        <f ca="1">Matrix!D8&amp;"["&amp;Matrix!D7&amp;"]"</f>
        <v>st_gp_ALERT_S_ADBZR_CSR_MTRX[2]</v>
      </c>
    </row>
    <row r="13" spans="1:49">
      <c r="A13" s="94" t="s">
        <v>393</v>
      </c>
      <c r="B13" s="138"/>
      <c r="C13" s="49">
        <f t="shared" si="2"/>
        <v>7</v>
      </c>
      <c r="D13" s="63" t="s">
        <v>67</v>
      </c>
      <c r="E13" s="63" t="s">
        <v>67</v>
      </c>
      <c r="F13" s="63" t="s">
        <v>67</v>
      </c>
      <c r="G13" s="63" t="s">
        <v>67</v>
      </c>
      <c r="H13" s="63" t="s">
        <v>67</v>
      </c>
      <c r="I13" s="63" t="s">
        <v>67</v>
      </c>
      <c r="J13" s="63" t="s">
        <v>67</v>
      </c>
      <c r="K13" s="63" t="s">
        <v>67</v>
      </c>
      <c r="L13" s="63" t="s">
        <v>67</v>
      </c>
      <c r="M13" s="63" t="s">
        <v>67</v>
      </c>
      <c r="N13" s="63" t="s">
        <v>67</v>
      </c>
      <c r="O13" s="63" t="s">
        <v>67</v>
      </c>
      <c r="P13" s="63" t="s">
        <v>67</v>
      </c>
      <c r="Q13" s="63" t="s">
        <v>67</v>
      </c>
      <c r="R13" s="63" t="s">
        <v>67</v>
      </c>
      <c r="S13" s="63" t="s">
        <v>67</v>
      </c>
      <c r="T13" s="63" t="s">
        <v>67</v>
      </c>
      <c r="U13" s="63" t="s">
        <v>67</v>
      </c>
      <c r="V13" s="63" t="s">
        <v>67</v>
      </c>
      <c r="W13" s="63" t="s">
        <v>67</v>
      </c>
      <c r="X13" s="63" t="s">
        <v>67</v>
      </c>
      <c r="Y13" s="63" t="s">
        <v>67</v>
      </c>
      <c r="Z13" s="63" t="s">
        <v>67</v>
      </c>
      <c r="AA13" s="63" t="s">
        <v>67</v>
      </c>
      <c r="AB13" s="63" t="s">
        <v>67</v>
      </c>
      <c r="AC13" s="63" t="s">
        <v>67</v>
      </c>
      <c r="AD13" s="63" t="s">
        <v>67</v>
      </c>
      <c r="AE13" s="63" t="s">
        <v>67</v>
      </c>
      <c r="AF13" s="295">
        <v>0</v>
      </c>
      <c r="AG13" s="295">
        <v>1</v>
      </c>
      <c r="AH13" s="295">
        <v>1</v>
      </c>
      <c r="AI13" s="295">
        <v>1</v>
      </c>
      <c r="AJ13" s="296" t="s">
        <v>354</v>
      </c>
      <c r="AL13" t="str">
        <f t="shared" ca="1" si="0"/>
        <v xml:space="preserve">    (U1)ALERT_REQ_S_ADBZR_CSR_VOL_VOL7</v>
      </c>
      <c r="AR13" s="215" t="str">
        <f t="shared" si="3"/>
        <v xml:space="preserve">    (U4)0x00000007U,                                                           /* 07 VOL7                                            */</v>
      </c>
      <c r="AS13" s="215" t="str">
        <f t="shared" si="4"/>
        <v xml:space="preserve">    (U4)0x0000000FU,                                                           /* 07 VOL7                                            */</v>
      </c>
      <c r="AT13" s="215" t="str">
        <f t="shared" ca="1" si="1"/>
        <v xml:space="preserve">    (U1)ALERT_REQ_S_ADBZR_CSR_VOL_VOL7,                                        /* 07 VOL7                                            */</v>
      </c>
      <c r="AU13" s="215" t="str">
        <f ca="1">"        &amp;"&amp;$AW$11&amp;"[0],"&amp;REPT(" ",66-LEN($AW$11))&amp;"/* u1p_DST                                            */"</f>
        <v xml:space="preserve">        &amp;u1_sp_ALERT_S_ADBZR_CSR_VOL_DST[0],                                   /* u1p_DST                                            */</v>
      </c>
      <c r="AV13" s="51" t="s">
        <v>76</v>
      </c>
      <c r="AW13" s="137">
        <f>COUNTA($AJ$6:$AJ$69)</f>
        <v>16</v>
      </c>
    </row>
    <row r="14" spans="1:49">
      <c r="A14" s="94" t="s">
        <v>393</v>
      </c>
      <c r="B14" s="138"/>
      <c r="C14" s="49">
        <f t="shared" si="2"/>
        <v>8</v>
      </c>
      <c r="D14" s="63" t="s">
        <v>67</v>
      </c>
      <c r="E14" s="63" t="s">
        <v>67</v>
      </c>
      <c r="F14" s="63" t="s">
        <v>67</v>
      </c>
      <c r="G14" s="63" t="s">
        <v>67</v>
      </c>
      <c r="H14" s="63" t="s">
        <v>67</v>
      </c>
      <c r="I14" s="63" t="s">
        <v>67</v>
      </c>
      <c r="J14" s="63" t="s">
        <v>67</v>
      </c>
      <c r="K14" s="63" t="s">
        <v>67</v>
      </c>
      <c r="L14" s="63" t="s">
        <v>67</v>
      </c>
      <c r="M14" s="63" t="s">
        <v>67</v>
      </c>
      <c r="N14" s="63" t="s">
        <v>67</v>
      </c>
      <c r="O14" s="63" t="s">
        <v>67</v>
      </c>
      <c r="P14" s="63" t="s">
        <v>67</v>
      </c>
      <c r="Q14" s="63" t="s">
        <v>67</v>
      </c>
      <c r="R14" s="63" t="s">
        <v>67</v>
      </c>
      <c r="S14" s="63" t="s">
        <v>67</v>
      </c>
      <c r="T14" s="63" t="s">
        <v>67</v>
      </c>
      <c r="U14" s="63" t="s">
        <v>67</v>
      </c>
      <c r="V14" s="63" t="s">
        <v>67</v>
      </c>
      <c r="W14" s="63" t="s">
        <v>67</v>
      </c>
      <c r="X14" s="63" t="s">
        <v>67</v>
      </c>
      <c r="Y14" s="63" t="s">
        <v>67</v>
      </c>
      <c r="Z14" s="63" t="s">
        <v>67</v>
      </c>
      <c r="AA14" s="63" t="s">
        <v>67</v>
      </c>
      <c r="AB14" s="63" t="s">
        <v>67</v>
      </c>
      <c r="AC14" s="63" t="s">
        <v>67</v>
      </c>
      <c r="AD14" s="63" t="s">
        <v>67</v>
      </c>
      <c r="AE14" s="63" t="s">
        <v>67</v>
      </c>
      <c r="AF14" s="282">
        <v>1</v>
      </c>
      <c r="AG14" s="282">
        <v>0</v>
      </c>
      <c r="AH14" s="282">
        <v>0</v>
      </c>
      <c r="AI14" s="282">
        <v>0</v>
      </c>
      <c r="AJ14" s="297" t="s">
        <v>32</v>
      </c>
      <c r="AL14" t="str">
        <f t="shared" si="0"/>
        <v xml:space="preserve">    (U1)ALERT_REQ_UNKNOWN</v>
      </c>
      <c r="AR14" s="215" t="str">
        <f t="shared" si="3"/>
        <v xml:space="preserve">    (U4)0x00000008U,                                                           /* 08 UNKNOWN                                         */</v>
      </c>
      <c r="AS14" s="215" t="str">
        <f t="shared" si="4"/>
        <v xml:space="preserve">    (U4)0x0000000FU,                                                           /* 08 UNKNOWN                                         */</v>
      </c>
      <c r="AT14" s="215" t="str">
        <f t="shared" si="1"/>
        <v xml:space="preserve">    (U1)ALERT_REQ_UNKNOWN,                                                     /* 08 UNKNOWN                                         */</v>
      </c>
      <c r="AU14" s="215" t="str">
        <f ca="1">"        (U2)"&amp;$AW$10&amp;","&amp;REPT(" ",66-LEN($AW$10))&amp;"/* u2_num_srch                                        */"</f>
        <v xml:space="preserve">        (U2)ALERT_S_ADBZR_CSR_VOL_NUM_DST,                                     /* u2_num_srch                                        */</v>
      </c>
      <c r="AV14" s="51" t="s">
        <v>77</v>
      </c>
      <c r="AW14" s="70" t="str">
        <f ca="1">IF(AW6&lt;&gt;AW17,VLOOKUP(AW6,Matrix!$C$13:$G$37,4,FALSE),Matrix!F13)</f>
        <v>u4_s_AlertS_adbzr_csrVolSrcchk</v>
      </c>
    </row>
    <row r="15" spans="1:49">
      <c r="A15" s="94" t="s">
        <v>393</v>
      </c>
      <c r="B15" s="138"/>
      <c r="C15" s="49">
        <f t="shared" si="2"/>
        <v>9</v>
      </c>
      <c r="D15" s="63" t="s">
        <v>67</v>
      </c>
      <c r="E15" s="63" t="s">
        <v>67</v>
      </c>
      <c r="F15" s="63" t="s">
        <v>67</v>
      </c>
      <c r="G15" s="63" t="s">
        <v>67</v>
      </c>
      <c r="H15" s="63" t="s">
        <v>67</v>
      </c>
      <c r="I15" s="63" t="s">
        <v>67</v>
      </c>
      <c r="J15" s="63" t="s">
        <v>67</v>
      </c>
      <c r="K15" s="63" t="s">
        <v>67</v>
      </c>
      <c r="L15" s="63" t="s">
        <v>67</v>
      </c>
      <c r="M15" s="63" t="s">
        <v>67</v>
      </c>
      <c r="N15" s="63" t="s">
        <v>67</v>
      </c>
      <c r="O15" s="63" t="s">
        <v>67</v>
      </c>
      <c r="P15" s="63" t="s">
        <v>67</v>
      </c>
      <c r="Q15" s="63" t="s">
        <v>67</v>
      </c>
      <c r="R15" s="63" t="s">
        <v>67</v>
      </c>
      <c r="S15" s="63" t="s">
        <v>67</v>
      </c>
      <c r="T15" s="63" t="s">
        <v>67</v>
      </c>
      <c r="U15" s="63" t="s">
        <v>67</v>
      </c>
      <c r="V15" s="63" t="s">
        <v>67</v>
      </c>
      <c r="W15" s="63" t="s">
        <v>67</v>
      </c>
      <c r="X15" s="63" t="s">
        <v>67</v>
      </c>
      <c r="Y15" s="63" t="s">
        <v>67</v>
      </c>
      <c r="Z15" s="63" t="s">
        <v>67</v>
      </c>
      <c r="AA15" s="63" t="s">
        <v>67</v>
      </c>
      <c r="AB15" s="63" t="s">
        <v>67</v>
      </c>
      <c r="AC15" s="63" t="s">
        <v>67</v>
      </c>
      <c r="AD15" s="63" t="s">
        <v>67</v>
      </c>
      <c r="AE15" s="63" t="s">
        <v>67</v>
      </c>
      <c r="AF15" s="282">
        <v>1</v>
      </c>
      <c r="AG15" s="282">
        <v>0</v>
      </c>
      <c r="AH15" s="282">
        <v>0</v>
      </c>
      <c r="AI15" s="282">
        <v>1</v>
      </c>
      <c r="AJ15" s="297" t="s">
        <v>32</v>
      </c>
      <c r="AL15" t="str">
        <f t="shared" si="0"/>
        <v xml:space="preserve">    (U1)ALERT_REQ_UNKNOWN</v>
      </c>
      <c r="AR15" s="215" t="str">
        <f t="shared" si="3"/>
        <v xml:space="preserve">    (U4)0x00000009U,                                                           /* 09 UNKNOWN                                         */</v>
      </c>
      <c r="AS15" s="215" t="str">
        <f t="shared" si="4"/>
        <v xml:space="preserve">    (U4)0x0000000FU,                                                           /* 09 UNKNOWN                                         */</v>
      </c>
      <c r="AT15" s="215" t="str">
        <f t="shared" si="1"/>
        <v xml:space="preserve">    (U1)ALERT_REQ_UNKNOWN,                                                     /* 09 UNKNOWN                                         */</v>
      </c>
      <c r="AU15" s="215" t="str">
        <f ca="1">"        (U1)"&amp;$AW$16&amp;REPT(" ",67-LEN($AW$16))&amp;"/* u1_vom_act                                         */"</f>
        <v xml:space="preserve">        (U1)ALERT_VOM_IGN_ON                                                   /* u1_vom_act                                         */</v>
      </c>
      <c r="AV15" s="51" t="s">
        <v>80</v>
      </c>
      <c r="AW15" s="70" t="str">
        <f ca="1">IF(AW6&lt;&gt;AW17,VLOOKUP(AW6,Matrix!$C$13:$G$37,5,FALSE),Matrix!G13)</f>
        <v>NULL</v>
      </c>
    </row>
    <row r="16" spans="1:49">
      <c r="A16" s="94" t="s">
        <v>393</v>
      </c>
      <c r="B16" s="138"/>
      <c r="C16" s="49">
        <f t="shared" si="2"/>
        <v>10</v>
      </c>
      <c r="D16" s="63" t="s">
        <v>67</v>
      </c>
      <c r="E16" s="63" t="s">
        <v>67</v>
      </c>
      <c r="F16" s="63" t="s">
        <v>67</v>
      </c>
      <c r="G16" s="63" t="s">
        <v>67</v>
      </c>
      <c r="H16" s="63" t="s">
        <v>67</v>
      </c>
      <c r="I16" s="63" t="s">
        <v>67</v>
      </c>
      <c r="J16" s="63" t="s">
        <v>67</v>
      </c>
      <c r="K16" s="63" t="s">
        <v>67</v>
      </c>
      <c r="L16" s="63" t="s">
        <v>67</v>
      </c>
      <c r="M16" s="63" t="s">
        <v>67</v>
      </c>
      <c r="N16" s="63" t="s">
        <v>67</v>
      </c>
      <c r="O16" s="63" t="s">
        <v>67</v>
      </c>
      <c r="P16" s="63" t="s">
        <v>67</v>
      </c>
      <c r="Q16" s="63" t="s">
        <v>67</v>
      </c>
      <c r="R16" s="63" t="s">
        <v>67</v>
      </c>
      <c r="S16" s="63" t="s">
        <v>67</v>
      </c>
      <c r="T16" s="63" t="s">
        <v>67</v>
      </c>
      <c r="U16" s="63" t="s">
        <v>67</v>
      </c>
      <c r="V16" s="63" t="s">
        <v>67</v>
      </c>
      <c r="W16" s="63" t="s">
        <v>67</v>
      </c>
      <c r="X16" s="63" t="s">
        <v>67</v>
      </c>
      <c r="Y16" s="63" t="s">
        <v>67</v>
      </c>
      <c r="Z16" s="63" t="s">
        <v>67</v>
      </c>
      <c r="AA16" s="63" t="s">
        <v>67</v>
      </c>
      <c r="AB16" s="63" t="s">
        <v>67</v>
      </c>
      <c r="AC16" s="63" t="s">
        <v>67</v>
      </c>
      <c r="AD16" s="63" t="s">
        <v>67</v>
      </c>
      <c r="AE16" s="63" t="s">
        <v>67</v>
      </c>
      <c r="AF16" s="282">
        <v>1</v>
      </c>
      <c r="AG16" s="282">
        <v>0</v>
      </c>
      <c r="AH16" s="282">
        <v>1</v>
      </c>
      <c r="AI16" s="282">
        <v>0</v>
      </c>
      <c r="AJ16" s="297" t="s">
        <v>32</v>
      </c>
      <c r="AL16" t="str">
        <f t="shared" si="0"/>
        <v xml:space="preserve">    (U1)ALERT_REQ_UNKNOWN</v>
      </c>
      <c r="AR16" s="215" t="str">
        <f t="shared" si="3"/>
        <v xml:space="preserve">    (U4)0x0000000AU,                                                           /* 10 UNKNOWN                                         */</v>
      </c>
      <c r="AS16" s="215" t="str">
        <f t="shared" si="4"/>
        <v xml:space="preserve">    (U4)0x0000000FU,                                                           /* 10 UNKNOWN                                         */</v>
      </c>
      <c r="AT16" s="215" t="str">
        <f t="shared" si="1"/>
        <v xml:space="preserve">    (U1)ALERT_REQ_UNKNOWN,                                                     /* 10 UNKNOWN                                         */</v>
      </c>
      <c r="AU16" s="215" t="s">
        <v>69</v>
      </c>
      <c r="AV16" s="51" t="s">
        <v>78</v>
      </c>
      <c r="AW16" s="70" t="str">
        <f ca="1">IF(AW6&lt;&gt;AW17,VLOOKUP(AW6,Matrix!$C$13:$G$37,2,FALSE),Matrix!D13)</f>
        <v>ALERT_VOM_IGN_ON</v>
      </c>
    </row>
    <row r="17" spans="1:49" ht="14.25" thickBot="1">
      <c r="A17" s="94" t="s">
        <v>393</v>
      </c>
      <c r="B17" s="138"/>
      <c r="C17" s="49">
        <f t="shared" si="2"/>
        <v>11</v>
      </c>
      <c r="D17" s="63" t="s">
        <v>67</v>
      </c>
      <c r="E17" s="63" t="s">
        <v>67</v>
      </c>
      <c r="F17" s="63" t="s">
        <v>67</v>
      </c>
      <c r="G17" s="63" t="s">
        <v>67</v>
      </c>
      <c r="H17" s="63" t="s">
        <v>67</v>
      </c>
      <c r="I17" s="63" t="s">
        <v>67</v>
      </c>
      <c r="J17" s="63" t="s">
        <v>67</v>
      </c>
      <c r="K17" s="63" t="s">
        <v>67</v>
      </c>
      <c r="L17" s="63" t="s">
        <v>67</v>
      </c>
      <c r="M17" s="63" t="s">
        <v>67</v>
      </c>
      <c r="N17" s="63" t="s">
        <v>67</v>
      </c>
      <c r="O17" s="63" t="s">
        <v>67</v>
      </c>
      <c r="P17" s="63" t="s">
        <v>67</v>
      </c>
      <c r="Q17" s="63" t="s">
        <v>67</v>
      </c>
      <c r="R17" s="63" t="s">
        <v>67</v>
      </c>
      <c r="S17" s="63" t="s">
        <v>67</v>
      </c>
      <c r="T17" s="63" t="s">
        <v>67</v>
      </c>
      <c r="U17" s="63" t="s">
        <v>67</v>
      </c>
      <c r="V17" s="63" t="s">
        <v>67</v>
      </c>
      <c r="W17" s="63" t="s">
        <v>67</v>
      </c>
      <c r="X17" s="63" t="s">
        <v>67</v>
      </c>
      <c r="Y17" s="63" t="s">
        <v>67</v>
      </c>
      <c r="Z17" s="63" t="s">
        <v>67</v>
      </c>
      <c r="AA17" s="63" t="s">
        <v>67</v>
      </c>
      <c r="AB17" s="63" t="s">
        <v>67</v>
      </c>
      <c r="AC17" s="63" t="s">
        <v>67</v>
      </c>
      <c r="AD17" s="63" t="s">
        <v>67</v>
      </c>
      <c r="AE17" s="63" t="s">
        <v>67</v>
      </c>
      <c r="AF17" s="282">
        <v>1</v>
      </c>
      <c r="AG17" s="282">
        <v>0</v>
      </c>
      <c r="AH17" s="282">
        <v>1</v>
      </c>
      <c r="AI17" s="282">
        <v>1</v>
      </c>
      <c r="AJ17" s="297" t="s">
        <v>32</v>
      </c>
      <c r="AL17" t="str">
        <f t="shared" si="0"/>
        <v xml:space="preserve">    (U1)ALERT_REQ_UNKNOWN</v>
      </c>
      <c r="AR17" s="215" t="str">
        <f t="shared" si="3"/>
        <v xml:space="preserve">    (U4)0x0000000BU,                                                           /* 11 UNKNOWN                                         */</v>
      </c>
      <c r="AS17" s="215" t="str">
        <f t="shared" si="4"/>
        <v xml:space="preserve">    (U4)0x0000000FU,                                                           /* 11 UNKNOWN                                         */</v>
      </c>
      <c r="AT17" s="215" t="str">
        <f t="shared" si="1"/>
        <v xml:space="preserve">    (U1)ALERT_REQ_UNKNOWN,                                                     /* 11 UNKNOWN                                         */</v>
      </c>
      <c r="AU17" s="216" t="s">
        <v>81</v>
      </c>
      <c r="AV17" s="52" t="s">
        <v>79</v>
      </c>
      <c r="AW17" s="71" t="str">
        <f ca="1">UPPER(Matrix!$D$6)</f>
        <v>S_ADBZR_CSR</v>
      </c>
    </row>
    <row r="18" spans="1:49">
      <c r="A18" s="94" t="s">
        <v>393</v>
      </c>
      <c r="B18" s="138"/>
      <c r="C18" s="49">
        <f t="shared" si="2"/>
        <v>12</v>
      </c>
      <c r="D18" s="63" t="s">
        <v>67</v>
      </c>
      <c r="E18" s="63" t="s">
        <v>67</v>
      </c>
      <c r="F18" s="63" t="s">
        <v>67</v>
      </c>
      <c r="G18" s="63" t="s">
        <v>67</v>
      </c>
      <c r="H18" s="63" t="s">
        <v>67</v>
      </c>
      <c r="I18" s="63" t="s">
        <v>67</v>
      </c>
      <c r="J18" s="63" t="s">
        <v>67</v>
      </c>
      <c r="K18" s="63" t="s">
        <v>67</v>
      </c>
      <c r="L18" s="63" t="s">
        <v>67</v>
      </c>
      <c r="M18" s="63" t="s">
        <v>67</v>
      </c>
      <c r="N18" s="63" t="s">
        <v>67</v>
      </c>
      <c r="O18" s="63" t="s">
        <v>67</v>
      </c>
      <c r="P18" s="63" t="s">
        <v>67</v>
      </c>
      <c r="Q18" s="63" t="s">
        <v>67</v>
      </c>
      <c r="R18" s="63" t="s">
        <v>67</v>
      </c>
      <c r="S18" s="63" t="s">
        <v>67</v>
      </c>
      <c r="T18" s="63" t="s">
        <v>67</v>
      </c>
      <c r="U18" s="63" t="s">
        <v>67</v>
      </c>
      <c r="V18" s="63" t="s">
        <v>67</v>
      </c>
      <c r="W18" s="63" t="s">
        <v>67</v>
      </c>
      <c r="X18" s="63" t="s">
        <v>67</v>
      </c>
      <c r="Y18" s="63" t="s">
        <v>67</v>
      </c>
      <c r="Z18" s="63" t="s">
        <v>67</v>
      </c>
      <c r="AA18" s="63" t="s">
        <v>67</v>
      </c>
      <c r="AB18" s="63" t="s">
        <v>67</v>
      </c>
      <c r="AC18" s="63" t="s">
        <v>67</v>
      </c>
      <c r="AD18" s="63" t="s">
        <v>67</v>
      </c>
      <c r="AE18" s="63" t="s">
        <v>67</v>
      </c>
      <c r="AF18" s="282">
        <v>1</v>
      </c>
      <c r="AG18" s="282">
        <v>1</v>
      </c>
      <c r="AH18" s="282">
        <v>0</v>
      </c>
      <c r="AI18" s="282">
        <v>0</v>
      </c>
      <c r="AJ18" s="297" t="s">
        <v>32</v>
      </c>
      <c r="AL18" t="str">
        <f t="shared" si="0"/>
        <v xml:space="preserve">    (U1)ALERT_REQ_UNKNOWN</v>
      </c>
      <c r="AR18" s="215" t="str">
        <f t="shared" si="3"/>
        <v xml:space="preserve">    (U4)0x0000000CU,                                                           /* 12 UNKNOWN                                         */</v>
      </c>
      <c r="AS18" s="215" t="str">
        <f t="shared" si="4"/>
        <v xml:space="preserve">    (U4)0x0000000FU,                                                           /* 12 UNKNOWN                                         */</v>
      </c>
      <c r="AT18" s="215" t="str">
        <f t="shared" si="1"/>
        <v xml:space="preserve">    (U1)ALERT_REQ_UNKNOWN,                                                     /* 12 UNKNOWN                                         */</v>
      </c>
    </row>
    <row r="19" spans="1:49">
      <c r="A19" s="94" t="s">
        <v>393</v>
      </c>
      <c r="B19" s="138"/>
      <c r="C19" s="49">
        <f t="shared" si="2"/>
        <v>13</v>
      </c>
      <c r="D19" s="63" t="s">
        <v>67</v>
      </c>
      <c r="E19" s="63" t="s">
        <v>67</v>
      </c>
      <c r="F19" s="63" t="s">
        <v>67</v>
      </c>
      <c r="G19" s="63" t="s">
        <v>67</v>
      </c>
      <c r="H19" s="63" t="s">
        <v>67</v>
      </c>
      <c r="I19" s="63" t="s">
        <v>67</v>
      </c>
      <c r="J19" s="63" t="s">
        <v>67</v>
      </c>
      <c r="K19" s="63" t="s">
        <v>67</v>
      </c>
      <c r="L19" s="63" t="s">
        <v>67</v>
      </c>
      <c r="M19" s="63" t="s">
        <v>67</v>
      </c>
      <c r="N19" s="63" t="s">
        <v>67</v>
      </c>
      <c r="O19" s="63" t="s">
        <v>67</v>
      </c>
      <c r="P19" s="63" t="s">
        <v>67</v>
      </c>
      <c r="Q19" s="63" t="s">
        <v>67</v>
      </c>
      <c r="R19" s="63" t="s">
        <v>67</v>
      </c>
      <c r="S19" s="63" t="s">
        <v>67</v>
      </c>
      <c r="T19" s="63" t="s">
        <v>67</v>
      </c>
      <c r="U19" s="63" t="s">
        <v>67</v>
      </c>
      <c r="V19" s="63" t="s">
        <v>67</v>
      </c>
      <c r="W19" s="63" t="s">
        <v>67</v>
      </c>
      <c r="X19" s="63" t="s">
        <v>67</v>
      </c>
      <c r="Y19" s="63" t="s">
        <v>67</v>
      </c>
      <c r="Z19" s="63" t="s">
        <v>67</v>
      </c>
      <c r="AA19" s="63" t="s">
        <v>67</v>
      </c>
      <c r="AB19" s="63" t="s">
        <v>67</v>
      </c>
      <c r="AC19" s="63" t="s">
        <v>67</v>
      </c>
      <c r="AD19" s="63" t="s">
        <v>67</v>
      </c>
      <c r="AE19" s="63" t="s">
        <v>67</v>
      </c>
      <c r="AF19" s="282">
        <v>1</v>
      </c>
      <c r="AG19" s="282">
        <v>1</v>
      </c>
      <c r="AH19" s="282">
        <v>0</v>
      </c>
      <c r="AI19" s="282">
        <v>1</v>
      </c>
      <c r="AJ19" s="297" t="s">
        <v>32</v>
      </c>
      <c r="AL19" t="str">
        <f t="shared" si="0"/>
        <v xml:space="preserve">    (U1)ALERT_REQ_UNKNOWN</v>
      </c>
      <c r="AR19" s="215" t="str">
        <f t="shared" si="3"/>
        <v xml:space="preserve">    (U4)0x0000000DU,                                                           /* 13 UNKNOWN                                         */</v>
      </c>
      <c r="AS19" s="215" t="str">
        <f t="shared" si="4"/>
        <v xml:space="preserve">    (U4)0x0000000FU,                                                           /* 13 UNKNOWN                                         */</v>
      </c>
      <c r="AT19" s="215" t="str">
        <f t="shared" si="1"/>
        <v xml:space="preserve">    (U1)ALERT_REQ_UNKNOWN,                                                     /* 13 UNKNOWN                                         */</v>
      </c>
    </row>
    <row r="20" spans="1:49">
      <c r="A20" s="94" t="s">
        <v>393</v>
      </c>
      <c r="B20" s="138"/>
      <c r="C20" s="49">
        <f t="shared" si="2"/>
        <v>14</v>
      </c>
      <c r="D20" s="63" t="s">
        <v>67</v>
      </c>
      <c r="E20" s="63" t="s">
        <v>67</v>
      </c>
      <c r="F20" s="63" t="s">
        <v>67</v>
      </c>
      <c r="G20" s="63" t="s">
        <v>67</v>
      </c>
      <c r="H20" s="63" t="s">
        <v>67</v>
      </c>
      <c r="I20" s="63" t="s">
        <v>67</v>
      </c>
      <c r="J20" s="63" t="s">
        <v>67</v>
      </c>
      <c r="K20" s="63" t="s">
        <v>67</v>
      </c>
      <c r="L20" s="63" t="s">
        <v>67</v>
      </c>
      <c r="M20" s="63" t="s">
        <v>67</v>
      </c>
      <c r="N20" s="63" t="s">
        <v>67</v>
      </c>
      <c r="O20" s="63" t="s">
        <v>67</v>
      </c>
      <c r="P20" s="63" t="s">
        <v>67</v>
      </c>
      <c r="Q20" s="63" t="s">
        <v>67</v>
      </c>
      <c r="R20" s="63" t="s">
        <v>67</v>
      </c>
      <c r="S20" s="63" t="s">
        <v>67</v>
      </c>
      <c r="T20" s="63" t="s">
        <v>67</v>
      </c>
      <c r="U20" s="63" t="s">
        <v>67</v>
      </c>
      <c r="V20" s="63" t="s">
        <v>67</v>
      </c>
      <c r="W20" s="63" t="s">
        <v>67</v>
      </c>
      <c r="X20" s="63" t="s">
        <v>67</v>
      </c>
      <c r="Y20" s="63" t="s">
        <v>67</v>
      </c>
      <c r="Z20" s="63" t="s">
        <v>67</v>
      </c>
      <c r="AA20" s="63" t="s">
        <v>67</v>
      </c>
      <c r="AB20" s="63" t="s">
        <v>67</v>
      </c>
      <c r="AC20" s="63" t="s">
        <v>67</v>
      </c>
      <c r="AD20" s="63" t="s">
        <v>67</v>
      </c>
      <c r="AE20" s="63" t="s">
        <v>67</v>
      </c>
      <c r="AF20" s="282">
        <v>1</v>
      </c>
      <c r="AG20" s="282">
        <v>1</v>
      </c>
      <c r="AH20" s="282">
        <v>1</v>
      </c>
      <c r="AI20" s="282">
        <v>0</v>
      </c>
      <c r="AJ20" s="297" t="s">
        <v>32</v>
      </c>
      <c r="AL20" t="str">
        <f t="shared" si="0"/>
        <v xml:space="preserve">    (U1)ALERT_REQ_UNKNOWN</v>
      </c>
      <c r="AR20" s="215" t="str">
        <f t="shared" si="3"/>
        <v xml:space="preserve">    (U4)0x0000000EU,                                                           /* 14 UNKNOWN                                         */</v>
      </c>
      <c r="AS20" s="215" t="str">
        <f t="shared" si="4"/>
        <v xml:space="preserve">    (U4)0x0000000FU,                                                           /* 14 UNKNOWN                                         */</v>
      </c>
      <c r="AT20" s="215" t="str">
        <f t="shared" si="1"/>
        <v xml:space="preserve">    (U1)ALERT_REQ_UNKNOWN,                                                     /* 14 UNKNOWN                                         */</v>
      </c>
    </row>
    <row r="21" spans="1:49">
      <c r="A21" s="94" t="s">
        <v>393</v>
      </c>
      <c r="B21" s="138"/>
      <c r="C21" s="49">
        <f t="shared" si="2"/>
        <v>15</v>
      </c>
      <c r="D21" s="63" t="s">
        <v>67</v>
      </c>
      <c r="E21" s="63" t="s">
        <v>67</v>
      </c>
      <c r="F21" s="63" t="s">
        <v>67</v>
      </c>
      <c r="G21" s="63" t="s">
        <v>67</v>
      </c>
      <c r="H21" s="63" t="s">
        <v>67</v>
      </c>
      <c r="I21" s="63" t="s">
        <v>67</v>
      </c>
      <c r="J21" s="63" t="s">
        <v>67</v>
      </c>
      <c r="K21" s="63" t="s">
        <v>67</v>
      </c>
      <c r="L21" s="63" t="s">
        <v>67</v>
      </c>
      <c r="M21" s="63" t="s">
        <v>67</v>
      </c>
      <c r="N21" s="63" t="s">
        <v>67</v>
      </c>
      <c r="O21" s="63" t="s">
        <v>67</v>
      </c>
      <c r="P21" s="63" t="s">
        <v>67</v>
      </c>
      <c r="Q21" s="63" t="s">
        <v>67</v>
      </c>
      <c r="R21" s="63" t="s">
        <v>67</v>
      </c>
      <c r="S21" s="63" t="s">
        <v>67</v>
      </c>
      <c r="T21" s="63" t="s">
        <v>67</v>
      </c>
      <c r="U21" s="63" t="s">
        <v>67</v>
      </c>
      <c r="V21" s="63" t="s">
        <v>67</v>
      </c>
      <c r="W21" s="63" t="s">
        <v>67</v>
      </c>
      <c r="X21" s="63" t="s">
        <v>67</v>
      </c>
      <c r="Y21" s="63" t="s">
        <v>67</v>
      </c>
      <c r="Z21" s="63" t="s">
        <v>67</v>
      </c>
      <c r="AA21" s="63" t="s">
        <v>67</v>
      </c>
      <c r="AB21" s="63" t="s">
        <v>67</v>
      </c>
      <c r="AC21" s="63" t="s">
        <v>67</v>
      </c>
      <c r="AD21" s="63" t="s">
        <v>67</v>
      </c>
      <c r="AE21" s="63" t="s">
        <v>67</v>
      </c>
      <c r="AF21" s="282">
        <v>1</v>
      </c>
      <c r="AG21" s="282">
        <v>1</v>
      </c>
      <c r="AH21" s="282">
        <v>1</v>
      </c>
      <c r="AI21" s="282">
        <v>1</v>
      </c>
      <c r="AJ21" s="297" t="s">
        <v>32</v>
      </c>
      <c r="AL21" t="str">
        <f t="shared" si="0"/>
        <v xml:space="preserve">    (U1)ALERT_REQ_UNKNOWN</v>
      </c>
      <c r="AR21" s="215" t="str">
        <f t="shared" si="3"/>
        <v xml:space="preserve">    (U4)0x0000000FU                                                            /* 15 UNKNOWN                                         */</v>
      </c>
      <c r="AS21" s="215" t="str">
        <f t="shared" si="4"/>
        <v xml:space="preserve">    (U4)0x0000000FU                                                            /* 15 UNKNOWN                                         */</v>
      </c>
      <c r="AT21" s="215" t="str">
        <f t="shared" si="1"/>
        <v xml:space="preserve">    (U1)ALERT_REQ_UNKNOWN                                                      /* 15 UNKNOWN                                         */</v>
      </c>
    </row>
    <row r="22" spans="1:49">
      <c r="B22" s="138"/>
      <c r="C22" s="49">
        <f t="shared" si="2"/>
        <v>16</v>
      </c>
      <c r="D22" s="63" t="s">
        <v>67</v>
      </c>
      <c r="E22" s="63" t="s">
        <v>67</v>
      </c>
      <c r="F22" s="63" t="s">
        <v>67</v>
      </c>
      <c r="G22" s="63" t="s">
        <v>67</v>
      </c>
      <c r="H22" s="63" t="s">
        <v>67</v>
      </c>
      <c r="I22" s="63" t="s">
        <v>67</v>
      </c>
      <c r="J22" s="63" t="s">
        <v>67</v>
      </c>
      <c r="K22" s="63" t="s">
        <v>67</v>
      </c>
      <c r="L22" s="63" t="s">
        <v>67</v>
      </c>
      <c r="M22" s="63" t="s">
        <v>67</v>
      </c>
      <c r="N22" s="63" t="s">
        <v>67</v>
      </c>
      <c r="O22" s="63" t="s">
        <v>67</v>
      </c>
      <c r="P22" s="63" t="s">
        <v>67</v>
      </c>
      <c r="Q22" s="63" t="s">
        <v>67</v>
      </c>
      <c r="R22" s="63" t="s">
        <v>67</v>
      </c>
      <c r="S22" s="63" t="s">
        <v>67</v>
      </c>
      <c r="T22" s="63" t="s">
        <v>67</v>
      </c>
      <c r="U22" s="63" t="s">
        <v>67</v>
      </c>
      <c r="V22" s="63" t="s">
        <v>67</v>
      </c>
      <c r="W22" s="63" t="s">
        <v>67</v>
      </c>
      <c r="X22" s="63" t="s">
        <v>67</v>
      </c>
      <c r="Y22" s="63" t="s">
        <v>67</v>
      </c>
      <c r="Z22" s="63" t="s">
        <v>67</v>
      </c>
      <c r="AA22" s="63" t="s">
        <v>67</v>
      </c>
      <c r="AB22" s="63" t="s">
        <v>67</v>
      </c>
      <c r="AC22" s="63" t="s">
        <v>67</v>
      </c>
      <c r="AD22" s="63" t="s">
        <v>67</v>
      </c>
      <c r="AE22" s="63" t="s">
        <v>67</v>
      </c>
      <c r="AF22" s="63" t="s">
        <v>67</v>
      </c>
      <c r="AG22" s="63" t="s">
        <v>67</v>
      </c>
      <c r="AH22" s="63" t="s">
        <v>67</v>
      </c>
      <c r="AI22" s="63" t="s">
        <v>67</v>
      </c>
      <c r="AJ22" s="53"/>
      <c r="AL22" t="str">
        <f t="shared" ca="1" si="0"/>
        <v xml:space="preserve">    (U1)ALERT_REQ_S_ADBZR_CSR_VOL_</v>
      </c>
      <c r="AR22" s="215" t="str">
        <f t="shared" si="3"/>
        <v>};</v>
      </c>
      <c r="AS22" s="215" t="str">
        <f t="shared" si="4"/>
        <v>};</v>
      </c>
      <c r="AT22" s="215" t="str">
        <f t="shared" si="1"/>
        <v>};</v>
      </c>
    </row>
    <row r="23" spans="1:49">
      <c r="B23" s="138"/>
      <c r="C23" s="49">
        <f t="shared" si="2"/>
        <v>17</v>
      </c>
      <c r="D23" s="63" t="s">
        <v>67</v>
      </c>
      <c r="E23" s="63" t="s">
        <v>67</v>
      </c>
      <c r="F23" s="63" t="s">
        <v>67</v>
      </c>
      <c r="G23" s="63" t="s">
        <v>67</v>
      </c>
      <c r="H23" s="63" t="s">
        <v>67</v>
      </c>
      <c r="I23" s="63" t="s">
        <v>67</v>
      </c>
      <c r="J23" s="63" t="s">
        <v>67</v>
      </c>
      <c r="K23" s="63" t="s">
        <v>67</v>
      </c>
      <c r="L23" s="63" t="s">
        <v>67</v>
      </c>
      <c r="M23" s="63" t="s">
        <v>67</v>
      </c>
      <c r="N23" s="63" t="s">
        <v>67</v>
      </c>
      <c r="O23" s="63" t="s">
        <v>67</v>
      </c>
      <c r="P23" s="63" t="s">
        <v>67</v>
      </c>
      <c r="Q23" s="63" t="s">
        <v>67</v>
      </c>
      <c r="R23" s="63" t="s">
        <v>67</v>
      </c>
      <c r="S23" s="63" t="s">
        <v>67</v>
      </c>
      <c r="T23" s="63" t="s">
        <v>67</v>
      </c>
      <c r="U23" s="63" t="s">
        <v>67</v>
      </c>
      <c r="V23" s="63" t="s">
        <v>67</v>
      </c>
      <c r="W23" s="63" t="s">
        <v>67</v>
      </c>
      <c r="X23" s="63" t="s">
        <v>67</v>
      </c>
      <c r="Y23" s="63" t="s">
        <v>67</v>
      </c>
      <c r="Z23" s="63" t="s">
        <v>67</v>
      </c>
      <c r="AA23" s="63" t="s">
        <v>67</v>
      </c>
      <c r="AB23" s="63" t="s">
        <v>67</v>
      </c>
      <c r="AC23" s="63" t="s">
        <v>67</v>
      </c>
      <c r="AD23" s="63" t="s">
        <v>67</v>
      </c>
      <c r="AE23" s="63" t="s">
        <v>67</v>
      </c>
      <c r="AF23" s="63" t="s">
        <v>67</v>
      </c>
      <c r="AG23" s="63" t="s">
        <v>67</v>
      </c>
      <c r="AH23" s="63" t="s">
        <v>67</v>
      </c>
      <c r="AI23" s="63" t="s">
        <v>67</v>
      </c>
      <c r="AJ23" s="53"/>
      <c r="AL23" t="str">
        <f t="shared" ca="1" si="0"/>
        <v xml:space="preserve">    (U1)ALERT_REQ_S_ADBZR_CSR_VOL_</v>
      </c>
      <c r="AR23" s="215" t="str">
        <f t="shared" si="3"/>
        <v/>
      </c>
      <c r="AS23" s="215" t="str">
        <f t="shared" si="4"/>
        <v/>
      </c>
      <c r="AT23" s="215" t="str">
        <f t="shared" si="1"/>
        <v/>
      </c>
    </row>
    <row r="24" spans="1:49">
      <c r="B24" s="138"/>
      <c r="C24" s="49">
        <f t="shared" si="2"/>
        <v>18</v>
      </c>
      <c r="D24" s="63" t="s">
        <v>67</v>
      </c>
      <c r="E24" s="63" t="s">
        <v>67</v>
      </c>
      <c r="F24" s="63" t="s">
        <v>67</v>
      </c>
      <c r="G24" s="63" t="s">
        <v>67</v>
      </c>
      <c r="H24" s="63" t="s">
        <v>67</v>
      </c>
      <c r="I24" s="63" t="s">
        <v>67</v>
      </c>
      <c r="J24" s="63" t="s">
        <v>67</v>
      </c>
      <c r="K24" s="63" t="s">
        <v>67</v>
      </c>
      <c r="L24" s="63" t="s">
        <v>67</v>
      </c>
      <c r="M24" s="63" t="s">
        <v>67</v>
      </c>
      <c r="N24" s="63" t="s">
        <v>67</v>
      </c>
      <c r="O24" s="63" t="s">
        <v>67</v>
      </c>
      <c r="P24" s="63" t="s">
        <v>67</v>
      </c>
      <c r="Q24" s="63" t="s">
        <v>67</v>
      </c>
      <c r="R24" s="63" t="s">
        <v>67</v>
      </c>
      <c r="S24" s="63" t="s">
        <v>67</v>
      </c>
      <c r="T24" s="63" t="s">
        <v>67</v>
      </c>
      <c r="U24" s="63" t="s">
        <v>67</v>
      </c>
      <c r="V24" s="63" t="s">
        <v>67</v>
      </c>
      <c r="W24" s="63" t="s">
        <v>67</v>
      </c>
      <c r="X24" s="63" t="s">
        <v>67</v>
      </c>
      <c r="Y24" s="63" t="s">
        <v>67</v>
      </c>
      <c r="Z24" s="63" t="s">
        <v>67</v>
      </c>
      <c r="AA24" s="63" t="s">
        <v>67</v>
      </c>
      <c r="AB24" s="63" t="s">
        <v>67</v>
      </c>
      <c r="AC24" s="63" t="s">
        <v>67</v>
      </c>
      <c r="AD24" s="63" t="s">
        <v>67</v>
      </c>
      <c r="AE24" s="63" t="s">
        <v>67</v>
      </c>
      <c r="AF24" s="63" t="s">
        <v>67</v>
      </c>
      <c r="AG24" s="63" t="s">
        <v>67</v>
      </c>
      <c r="AH24" s="63" t="s">
        <v>67</v>
      </c>
      <c r="AI24" s="63" t="s">
        <v>67</v>
      </c>
      <c r="AJ24" s="53"/>
      <c r="AL24" t="str">
        <f t="shared" ca="1" si="0"/>
        <v xml:space="preserve">    (U1)ALERT_REQ_S_ADBZR_CSR_VOL_</v>
      </c>
      <c r="AR24" s="215" t="str">
        <f t="shared" si="3"/>
        <v/>
      </c>
      <c r="AS24" s="215" t="str">
        <f t="shared" si="4"/>
        <v/>
      </c>
      <c r="AT24" s="215" t="str">
        <f t="shared" si="1"/>
        <v/>
      </c>
    </row>
    <row r="25" spans="1:49">
      <c r="B25" s="138"/>
      <c r="C25" s="49">
        <f t="shared" si="2"/>
        <v>19</v>
      </c>
      <c r="D25" s="63" t="s">
        <v>67</v>
      </c>
      <c r="E25" s="63" t="s">
        <v>67</v>
      </c>
      <c r="F25" s="63" t="s">
        <v>67</v>
      </c>
      <c r="G25" s="63" t="s">
        <v>67</v>
      </c>
      <c r="H25" s="63" t="s">
        <v>67</v>
      </c>
      <c r="I25" s="63" t="s">
        <v>67</v>
      </c>
      <c r="J25" s="63" t="s">
        <v>67</v>
      </c>
      <c r="K25" s="63" t="s">
        <v>67</v>
      </c>
      <c r="L25" s="63" t="s">
        <v>67</v>
      </c>
      <c r="M25" s="63" t="s">
        <v>67</v>
      </c>
      <c r="N25" s="63" t="s">
        <v>67</v>
      </c>
      <c r="O25" s="63" t="s">
        <v>67</v>
      </c>
      <c r="P25" s="63" t="s">
        <v>67</v>
      </c>
      <c r="Q25" s="63" t="s">
        <v>67</v>
      </c>
      <c r="R25" s="63" t="s">
        <v>67</v>
      </c>
      <c r="S25" s="63" t="s">
        <v>67</v>
      </c>
      <c r="T25" s="63" t="s">
        <v>67</v>
      </c>
      <c r="U25" s="63" t="s">
        <v>67</v>
      </c>
      <c r="V25" s="63" t="s">
        <v>67</v>
      </c>
      <c r="W25" s="63" t="s">
        <v>67</v>
      </c>
      <c r="X25" s="63" t="s">
        <v>67</v>
      </c>
      <c r="Y25" s="63" t="s">
        <v>67</v>
      </c>
      <c r="Z25" s="63" t="s">
        <v>67</v>
      </c>
      <c r="AA25" s="63" t="s">
        <v>67</v>
      </c>
      <c r="AB25" s="63" t="s">
        <v>67</v>
      </c>
      <c r="AC25" s="63" t="s">
        <v>67</v>
      </c>
      <c r="AD25" s="63" t="s">
        <v>67</v>
      </c>
      <c r="AE25" s="63" t="s">
        <v>67</v>
      </c>
      <c r="AF25" s="63" t="s">
        <v>67</v>
      </c>
      <c r="AG25" s="63" t="s">
        <v>67</v>
      </c>
      <c r="AH25" s="63" t="s">
        <v>67</v>
      </c>
      <c r="AI25" s="63" t="s">
        <v>67</v>
      </c>
      <c r="AJ25" s="53"/>
      <c r="AL25" t="str">
        <f t="shared" ca="1" si="0"/>
        <v xml:space="preserve">    (U1)ALERT_REQ_S_ADBZR_CSR_VOL_</v>
      </c>
      <c r="AR25" s="215" t="str">
        <f t="shared" si="3"/>
        <v/>
      </c>
      <c r="AS25" s="215" t="str">
        <f t="shared" si="4"/>
        <v/>
      </c>
      <c r="AT25" s="215" t="str">
        <f t="shared" si="1"/>
        <v/>
      </c>
    </row>
    <row r="26" spans="1:49">
      <c r="B26" s="138"/>
      <c r="C26" s="49">
        <f t="shared" si="2"/>
        <v>20</v>
      </c>
      <c r="D26" s="63" t="s">
        <v>67</v>
      </c>
      <c r="E26" s="63" t="s">
        <v>67</v>
      </c>
      <c r="F26" s="63" t="s">
        <v>67</v>
      </c>
      <c r="G26" s="63" t="s">
        <v>67</v>
      </c>
      <c r="H26" s="63" t="s">
        <v>67</v>
      </c>
      <c r="I26" s="63" t="s">
        <v>67</v>
      </c>
      <c r="J26" s="63" t="s">
        <v>67</v>
      </c>
      <c r="K26" s="63" t="s">
        <v>67</v>
      </c>
      <c r="L26" s="63" t="s">
        <v>67</v>
      </c>
      <c r="M26" s="63" t="s">
        <v>67</v>
      </c>
      <c r="N26" s="63" t="s">
        <v>67</v>
      </c>
      <c r="O26" s="63" t="s">
        <v>67</v>
      </c>
      <c r="P26" s="63" t="s">
        <v>67</v>
      </c>
      <c r="Q26" s="63" t="s">
        <v>67</v>
      </c>
      <c r="R26" s="63" t="s">
        <v>67</v>
      </c>
      <c r="S26" s="63" t="s">
        <v>67</v>
      </c>
      <c r="T26" s="63" t="s">
        <v>67</v>
      </c>
      <c r="U26" s="63" t="s">
        <v>67</v>
      </c>
      <c r="V26" s="63" t="s">
        <v>67</v>
      </c>
      <c r="W26" s="63" t="s">
        <v>67</v>
      </c>
      <c r="X26" s="63" t="s">
        <v>67</v>
      </c>
      <c r="Y26" s="63" t="s">
        <v>67</v>
      </c>
      <c r="Z26" s="63" t="s">
        <v>67</v>
      </c>
      <c r="AA26" s="63" t="s">
        <v>67</v>
      </c>
      <c r="AB26" s="63" t="s">
        <v>67</v>
      </c>
      <c r="AC26" s="63" t="s">
        <v>67</v>
      </c>
      <c r="AD26" s="63" t="s">
        <v>67</v>
      </c>
      <c r="AE26" s="63" t="s">
        <v>67</v>
      </c>
      <c r="AF26" s="63" t="s">
        <v>67</v>
      </c>
      <c r="AG26" s="63" t="s">
        <v>67</v>
      </c>
      <c r="AH26" s="63" t="s">
        <v>67</v>
      </c>
      <c r="AI26" s="63" t="s">
        <v>67</v>
      </c>
      <c r="AJ26" s="53"/>
      <c r="AL26" t="str">
        <f t="shared" ca="1" si="0"/>
        <v xml:space="preserve">    (U1)ALERT_REQ_S_ADBZR_CSR_VOL_</v>
      </c>
      <c r="AR26" s="215" t="str">
        <f t="shared" si="3"/>
        <v/>
      </c>
      <c r="AS26" s="215" t="str">
        <f t="shared" si="4"/>
        <v/>
      </c>
      <c r="AT26" s="215" t="str">
        <f t="shared" si="1"/>
        <v/>
      </c>
    </row>
    <row r="27" spans="1:49">
      <c r="B27" s="138"/>
      <c r="C27" s="49">
        <f t="shared" si="2"/>
        <v>21</v>
      </c>
      <c r="D27" s="63" t="s">
        <v>67</v>
      </c>
      <c r="E27" s="63" t="s">
        <v>67</v>
      </c>
      <c r="F27" s="63" t="s">
        <v>67</v>
      </c>
      <c r="G27" s="63" t="s">
        <v>67</v>
      </c>
      <c r="H27" s="63" t="s">
        <v>67</v>
      </c>
      <c r="I27" s="63" t="s">
        <v>67</v>
      </c>
      <c r="J27" s="63" t="s">
        <v>67</v>
      </c>
      <c r="K27" s="63" t="s">
        <v>67</v>
      </c>
      <c r="L27" s="63" t="s">
        <v>67</v>
      </c>
      <c r="M27" s="63" t="s">
        <v>67</v>
      </c>
      <c r="N27" s="63" t="s">
        <v>67</v>
      </c>
      <c r="O27" s="63" t="s">
        <v>67</v>
      </c>
      <c r="P27" s="63" t="s">
        <v>67</v>
      </c>
      <c r="Q27" s="63" t="s">
        <v>67</v>
      </c>
      <c r="R27" s="63" t="s">
        <v>67</v>
      </c>
      <c r="S27" s="63" t="s">
        <v>67</v>
      </c>
      <c r="T27" s="63" t="s">
        <v>67</v>
      </c>
      <c r="U27" s="63" t="s">
        <v>67</v>
      </c>
      <c r="V27" s="63" t="s">
        <v>67</v>
      </c>
      <c r="W27" s="63" t="s">
        <v>67</v>
      </c>
      <c r="X27" s="63" t="s">
        <v>67</v>
      </c>
      <c r="Y27" s="63" t="s">
        <v>67</v>
      </c>
      <c r="Z27" s="63" t="s">
        <v>67</v>
      </c>
      <c r="AA27" s="63" t="s">
        <v>67</v>
      </c>
      <c r="AB27" s="63" t="s">
        <v>67</v>
      </c>
      <c r="AC27" s="63" t="s">
        <v>67</v>
      </c>
      <c r="AD27" s="63" t="s">
        <v>67</v>
      </c>
      <c r="AE27" s="63" t="s">
        <v>67</v>
      </c>
      <c r="AF27" s="63" t="s">
        <v>67</v>
      </c>
      <c r="AG27" s="63" t="s">
        <v>67</v>
      </c>
      <c r="AH27" s="63" t="s">
        <v>67</v>
      </c>
      <c r="AI27" s="63" t="s">
        <v>67</v>
      </c>
      <c r="AJ27" s="53"/>
      <c r="AL27" t="str">
        <f t="shared" ca="1" si="0"/>
        <v xml:space="preserve">    (U1)ALERT_REQ_S_ADBZR_CSR_VOL_</v>
      </c>
      <c r="AR27" s="215" t="str">
        <f t="shared" si="3"/>
        <v/>
      </c>
      <c r="AS27" s="215" t="str">
        <f t="shared" si="4"/>
        <v/>
      </c>
      <c r="AT27" s="215" t="str">
        <f t="shared" si="1"/>
        <v/>
      </c>
    </row>
    <row r="28" spans="1:49">
      <c r="B28" s="138"/>
      <c r="C28" s="49">
        <f t="shared" si="2"/>
        <v>22</v>
      </c>
      <c r="D28" s="63" t="s">
        <v>67</v>
      </c>
      <c r="E28" s="63" t="s">
        <v>67</v>
      </c>
      <c r="F28" s="63" t="s">
        <v>67</v>
      </c>
      <c r="G28" s="63" t="s">
        <v>67</v>
      </c>
      <c r="H28" s="63" t="s">
        <v>67</v>
      </c>
      <c r="I28" s="63" t="s">
        <v>67</v>
      </c>
      <c r="J28" s="63" t="s">
        <v>67</v>
      </c>
      <c r="K28" s="63" t="s">
        <v>67</v>
      </c>
      <c r="L28" s="63" t="s">
        <v>67</v>
      </c>
      <c r="M28" s="63" t="s">
        <v>67</v>
      </c>
      <c r="N28" s="63" t="s">
        <v>67</v>
      </c>
      <c r="O28" s="63" t="s">
        <v>67</v>
      </c>
      <c r="P28" s="63" t="s">
        <v>67</v>
      </c>
      <c r="Q28" s="63" t="s">
        <v>67</v>
      </c>
      <c r="R28" s="63" t="s">
        <v>67</v>
      </c>
      <c r="S28" s="63" t="s">
        <v>67</v>
      </c>
      <c r="T28" s="63" t="s">
        <v>67</v>
      </c>
      <c r="U28" s="63" t="s">
        <v>67</v>
      </c>
      <c r="V28" s="63" t="s">
        <v>67</v>
      </c>
      <c r="W28" s="63" t="s">
        <v>67</v>
      </c>
      <c r="X28" s="63" t="s">
        <v>67</v>
      </c>
      <c r="Y28" s="63" t="s">
        <v>67</v>
      </c>
      <c r="Z28" s="63" t="s">
        <v>67</v>
      </c>
      <c r="AA28" s="63" t="s">
        <v>67</v>
      </c>
      <c r="AB28" s="63" t="s">
        <v>67</v>
      </c>
      <c r="AC28" s="63" t="s">
        <v>67</v>
      </c>
      <c r="AD28" s="63" t="s">
        <v>67</v>
      </c>
      <c r="AE28" s="63" t="s">
        <v>67</v>
      </c>
      <c r="AF28" s="63" t="s">
        <v>67</v>
      </c>
      <c r="AG28" s="63" t="s">
        <v>67</v>
      </c>
      <c r="AH28" s="63" t="s">
        <v>67</v>
      </c>
      <c r="AI28" s="63" t="s">
        <v>67</v>
      </c>
      <c r="AJ28" s="53"/>
      <c r="AL28" t="str">
        <f t="shared" ca="1" si="0"/>
        <v xml:space="preserve">    (U1)ALERT_REQ_S_ADBZR_CSR_VOL_</v>
      </c>
      <c r="AR28" s="215" t="str">
        <f t="shared" si="3"/>
        <v/>
      </c>
      <c r="AS28" s="215" t="str">
        <f t="shared" si="4"/>
        <v/>
      </c>
      <c r="AT28" s="215" t="str">
        <f t="shared" si="1"/>
        <v/>
      </c>
    </row>
    <row r="29" spans="1:49">
      <c r="B29" s="138"/>
      <c r="C29" s="49">
        <f t="shared" si="2"/>
        <v>23</v>
      </c>
      <c r="D29" s="63" t="s">
        <v>67</v>
      </c>
      <c r="E29" s="63" t="s">
        <v>67</v>
      </c>
      <c r="F29" s="63" t="s">
        <v>67</v>
      </c>
      <c r="G29" s="63" t="s">
        <v>67</v>
      </c>
      <c r="H29" s="63" t="s">
        <v>67</v>
      </c>
      <c r="I29" s="63" t="s">
        <v>67</v>
      </c>
      <c r="J29" s="63" t="s">
        <v>67</v>
      </c>
      <c r="K29" s="63" t="s">
        <v>67</v>
      </c>
      <c r="L29" s="63" t="s">
        <v>67</v>
      </c>
      <c r="M29" s="63" t="s">
        <v>67</v>
      </c>
      <c r="N29" s="63" t="s">
        <v>67</v>
      </c>
      <c r="O29" s="63" t="s">
        <v>67</v>
      </c>
      <c r="P29" s="63" t="s">
        <v>67</v>
      </c>
      <c r="Q29" s="63" t="s">
        <v>67</v>
      </c>
      <c r="R29" s="63" t="s">
        <v>67</v>
      </c>
      <c r="S29" s="63" t="s">
        <v>67</v>
      </c>
      <c r="T29" s="63" t="s">
        <v>67</v>
      </c>
      <c r="U29" s="63" t="s">
        <v>67</v>
      </c>
      <c r="V29" s="63" t="s">
        <v>67</v>
      </c>
      <c r="W29" s="63" t="s">
        <v>67</v>
      </c>
      <c r="X29" s="63" t="s">
        <v>67</v>
      </c>
      <c r="Y29" s="63" t="s">
        <v>67</v>
      </c>
      <c r="Z29" s="63" t="s">
        <v>67</v>
      </c>
      <c r="AA29" s="63" t="s">
        <v>67</v>
      </c>
      <c r="AB29" s="63" t="s">
        <v>67</v>
      </c>
      <c r="AC29" s="63" t="s">
        <v>67</v>
      </c>
      <c r="AD29" s="63" t="s">
        <v>67</v>
      </c>
      <c r="AE29" s="63" t="s">
        <v>67</v>
      </c>
      <c r="AF29" s="63" t="s">
        <v>67</v>
      </c>
      <c r="AG29" s="63" t="s">
        <v>67</v>
      </c>
      <c r="AH29" s="63" t="s">
        <v>67</v>
      </c>
      <c r="AI29" s="63" t="s">
        <v>67</v>
      </c>
      <c r="AJ29" s="53"/>
      <c r="AL29" t="str">
        <f t="shared" ca="1" si="0"/>
        <v xml:space="preserve">    (U1)ALERT_REQ_S_ADBZR_CSR_VOL_</v>
      </c>
      <c r="AR29" s="215" t="str">
        <f t="shared" si="3"/>
        <v/>
      </c>
      <c r="AS29" s="215" t="str">
        <f t="shared" si="4"/>
        <v/>
      </c>
      <c r="AT29" s="215" t="str">
        <f t="shared" si="1"/>
        <v/>
      </c>
    </row>
    <row r="30" spans="1:49">
      <c r="B30" s="138"/>
      <c r="C30" s="49">
        <f t="shared" si="2"/>
        <v>24</v>
      </c>
      <c r="D30" s="63" t="s">
        <v>67</v>
      </c>
      <c r="E30" s="63" t="s">
        <v>67</v>
      </c>
      <c r="F30" s="63" t="s">
        <v>67</v>
      </c>
      <c r="G30" s="63" t="s">
        <v>67</v>
      </c>
      <c r="H30" s="63" t="s">
        <v>67</v>
      </c>
      <c r="I30" s="63" t="s">
        <v>67</v>
      </c>
      <c r="J30" s="63" t="s">
        <v>67</v>
      </c>
      <c r="K30" s="63" t="s">
        <v>67</v>
      </c>
      <c r="L30" s="63" t="s">
        <v>67</v>
      </c>
      <c r="M30" s="63" t="s">
        <v>67</v>
      </c>
      <c r="N30" s="63" t="s">
        <v>67</v>
      </c>
      <c r="O30" s="63" t="s">
        <v>67</v>
      </c>
      <c r="P30" s="63" t="s">
        <v>67</v>
      </c>
      <c r="Q30" s="63" t="s">
        <v>67</v>
      </c>
      <c r="R30" s="63" t="s">
        <v>67</v>
      </c>
      <c r="S30" s="63" t="s">
        <v>67</v>
      </c>
      <c r="T30" s="63" t="s">
        <v>67</v>
      </c>
      <c r="U30" s="63" t="s">
        <v>67</v>
      </c>
      <c r="V30" s="63" t="s">
        <v>67</v>
      </c>
      <c r="W30" s="63" t="s">
        <v>67</v>
      </c>
      <c r="X30" s="63" t="s">
        <v>67</v>
      </c>
      <c r="Y30" s="63" t="s">
        <v>67</v>
      </c>
      <c r="Z30" s="63" t="s">
        <v>67</v>
      </c>
      <c r="AA30" s="63" t="s">
        <v>67</v>
      </c>
      <c r="AB30" s="63" t="s">
        <v>67</v>
      </c>
      <c r="AC30" s="63" t="s">
        <v>67</v>
      </c>
      <c r="AD30" s="63" t="s">
        <v>67</v>
      </c>
      <c r="AE30" s="63" t="s">
        <v>67</v>
      </c>
      <c r="AF30" s="63" t="s">
        <v>67</v>
      </c>
      <c r="AG30" s="63" t="s">
        <v>67</v>
      </c>
      <c r="AH30" s="63" t="s">
        <v>67</v>
      </c>
      <c r="AI30" s="63" t="s">
        <v>67</v>
      </c>
      <c r="AJ30" s="53"/>
      <c r="AL30" t="str">
        <f t="shared" ca="1" si="0"/>
        <v xml:space="preserve">    (U1)ALERT_REQ_S_ADBZR_CSR_VOL_</v>
      </c>
      <c r="AR30" s="215" t="str">
        <f t="shared" si="3"/>
        <v/>
      </c>
      <c r="AS30" s="215" t="str">
        <f t="shared" si="4"/>
        <v/>
      </c>
      <c r="AT30" s="215" t="str">
        <f t="shared" si="1"/>
        <v/>
      </c>
    </row>
    <row r="31" spans="1:49">
      <c r="B31" s="138"/>
      <c r="C31" s="49">
        <f t="shared" si="2"/>
        <v>25</v>
      </c>
      <c r="D31" s="63" t="s">
        <v>67</v>
      </c>
      <c r="E31" s="63" t="s">
        <v>67</v>
      </c>
      <c r="F31" s="63" t="s">
        <v>67</v>
      </c>
      <c r="G31" s="63" t="s">
        <v>67</v>
      </c>
      <c r="H31" s="63" t="s">
        <v>67</v>
      </c>
      <c r="I31" s="63" t="s">
        <v>67</v>
      </c>
      <c r="J31" s="63" t="s">
        <v>67</v>
      </c>
      <c r="K31" s="63" t="s">
        <v>67</v>
      </c>
      <c r="L31" s="63" t="s">
        <v>67</v>
      </c>
      <c r="M31" s="63" t="s">
        <v>67</v>
      </c>
      <c r="N31" s="63" t="s">
        <v>67</v>
      </c>
      <c r="O31" s="63" t="s">
        <v>67</v>
      </c>
      <c r="P31" s="63" t="s">
        <v>67</v>
      </c>
      <c r="Q31" s="63" t="s">
        <v>67</v>
      </c>
      <c r="R31" s="63" t="s">
        <v>67</v>
      </c>
      <c r="S31" s="63" t="s">
        <v>67</v>
      </c>
      <c r="T31" s="63" t="s">
        <v>67</v>
      </c>
      <c r="U31" s="63" t="s">
        <v>67</v>
      </c>
      <c r="V31" s="63" t="s">
        <v>67</v>
      </c>
      <c r="W31" s="63" t="s">
        <v>67</v>
      </c>
      <c r="X31" s="63" t="s">
        <v>67</v>
      </c>
      <c r="Y31" s="63" t="s">
        <v>67</v>
      </c>
      <c r="Z31" s="63" t="s">
        <v>67</v>
      </c>
      <c r="AA31" s="63" t="s">
        <v>67</v>
      </c>
      <c r="AB31" s="63" t="s">
        <v>67</v>
      </c>
      <c r="AC31" s="63" t="s">
        <v>67</v>
      </c>
      <c r="AD31" s="63" t="s">
        <v>67</v>
      </c>
      <c r="AE31" s="63" t="s">
        <v>67</v>
      </c>
      <c r="AF31" s="63" t="s">
        <v>67</v>
      </c>
      <c r="AG31" s="63" t="s">
        <v>67</v>
      </c>
      <c r="AH31" s="63" t="s">
        <v>67</v>
      </c>
      <c r="AI31" s="63" t="s">
        <v>67</v>
      </c>
      <c r="AJ31" s="53"/>
      <c r="AL31" t="str">
        <f t="shared" ca="1" si="0"/>
        <v xml:space="preserve">    (U1)ALERT_REQ_S_ADBZR_CSR_VOL_</v>
      </c>
      <c r="AR31" s="215" t="str">
        <f t="shared" si="3"/>
        <v/>
      </c>
      <c r="AS31" s="215" t="str">
        <f t="shared" si="4"/>
        <v/>
      </c>
      <c r="AT31" s="215" t="str">
        <f t="shared" si="1"/>
        <v/>
      </c>
    </row>
    <row r="32" spans="1:49">
      <c r="B32" s="138"/>
      <c r="C32" s="49">
        <f t="shared" si="2"/>
        <v>26</v>
      </c>
      <c r="D32" s="63" t="s">
        <v>67</v>
      </c>
      <c r="E32" s="63" t="s">
        <v>67</v>
      </c>
      <c r="F32" s="63" t="s">
        <v>67</v>
      </c>
      <c r="G32" s="63" t="s">
        <v>67</v>
      </c>
      <c r="H32" s="63" t="s">
        <v>67</v>
      </c>
      <c r="I32" s="63" t="s">
        <v>67</v>
      </c>
      <c r="J32" s="63" t="s">
        <v>67</v>
      </c>
      <c r="K32" s="63" t="s">
        <v>67</v>
      </c>
      <c r="L32" s="63" t="s">
        <v>67</v>
      </c>
      <c r="M32" s="63" t="s">
        <v>67</v>
      </c>
      <c r="N32" s="63" t="s">
        <v>67</v>
      </c>
      <c r="O32" s="63" t="s">
        <v>67</v>
      </c>
      <c r="P32" s="63" t="s">
        <v>67</v>
      </c>
      <c r="Q32" s="63" t="s">
        <v>67</v>
      </c>
      <c r="R32" s="63" t="s">
        <v>67</v>
      </c>
      <c r="S32" s="63" t="s">
        <v>67</v>
      </c>
      <c r="T32" s="63" t="s">
        <v>67</v>
      </c>
      <c r="U32" s="63" t="s">
        <v>67</v>
      </c>
      <c r="V32" s="63" t="s">
        <v>67</v>
      </c>
      <c r="W32" s="63" t="s">
        <v>67</v>
      </c>
      <c r="X32" s="63" t="s">
        <v>67</v>
      </c>
      <c r="Y32" s="63" t="s">
        <v>67</v>
      </c>
      <c r="Z32" s="63" t="s">
        <v>67</v>
      </c>
      <c r="AA32" s="63" t="s">
        <v>67</v>
      </c>
      <c r="AB32" s="63" t="s">
        <v>67</v>
      </c>
      <c r="AC32" s="63" t="s">
        <v>67</v>
      </c>
      <c r="AD32" s="63" t="s">
        <v>67</v>
      </c>
      <c r="AE32" s="63" t="s">
        <v>67</v>
      </c>
      <c r="AF32" s="63" t="s">
        <v>67</v>
      </c>
      <c r="AG32" s="63" t="s">
        <v>67</v>
      </c>
      <c r="AH32" s="63" t="s">
        <v>67</v>
      </c>
      <c r="AI32" s="63" t="s">
        <v>67</v>
      </c>
      <c r="AJ32" s="53"/>
      <c r="AL32" t="str">
        <f t="shared" ca="1" si="0"/>
        <v xml:space="preserve">    (U1)ALERT_REQ_S_ADBZR_CSR_VOL_</v>
      </c>
      <c r="AR32" s="215" t="str">
        <f t="shared" si="3"/>
        <v/>
      </c>
      <c r="AS32" s="215" t="str">
        <f t="shared" si="4"/>
        <v/>
      </c>
      <c r="AT32" s="215" t="str">
        <f t="shared" si="1"/>
        <v/>
      </c>
    </row>
    <row r="33" spans="2:46">
      <c r="B33" s="138"/>
      <c r="C33" s="49">
        <f t="shared" si="2"/>
        <v>27</v>
      </c>
      <c r="D33" s="63" t="s">
        <v>67</v>
      </c>
      <c r="E33" s="63" t="s">
        <v>67</v>
      </c>
      <c r="F33" s="63" t="s">
        <v>67</v>
      </c>
      <c r="G33" s="63" t="s">
        <v>67</v>
      </c>
      <c r="H33" s="63" t="s">
        <v>67</v>
      </c>
      <c r="I33" s="63" t="s">
        <v>67</v>
      </c>
      <c r="J33" s="63" t="s">
        <v>67</v>
      </c>
      <c r="K33" s="63" t="s">
        <v>67</v>
      </c>
      <c r="L33" s="63" t="s">
        <v>67</v>
      </c>
      <c r="M33" s="63" t="s">
        <v>67</v>
      </c>
      <c r="N33" s="63" t="s">
        <v>67</v>
      </c>
      <c r="O33" s="63" t="s">
        <v>67</v>
      </c>
      <c r="P33" s="63" t="s">
        <v>67</v>
      </c>
      <c r="Q33" s="63" t="s">
        <v>67</v>
      </c>
      <c r="R33" s="63" t="s">
        <v>67</v>
      </c>
      <c r="S33" s="63" t="s">
        <v>67</v>
      </c>
      <c r="T33" s="63" t="s">
        <v>67</v>
      </c>
      <c r="U33" s="63" t="s">
        <v>67</v>
      </c>
      <c r="V33" s="63" t="s">
        <v>67</v>
      </c>
      <c r="W33" s="63" t="s">
        <v>67</v>
      </c>
      <c r="X33" s="63" t="s">
        <v>67</v>
      </c>
      <c r="Y33" s="63" t="s">
        <v>67</v>
      </c>
      <c r="Z33" s="63" t="s">
        <v>67</v>
      </c>
      <c r="AA33" s="63" t="s">
        <v>67</v>
      </c>
      <c r="AB33" s="63" t="s">
        <v>67</v>
      </c>
      <c r="AC33" s="63" t="s">
        <v>67</v>
      </c>
      <c r="AD33" s="63" t="s">
        <v>67</v>
      </c>
      <c r="AE33" s="63" t="s">
        <v>67</v>
      </c>
      <c r="AF33" s="63" t="s">
        <v>67</v>
      </c>
      <c r="AG33" s="63" t="s">
        <v>67</v>
      </c>
      <c r="AH33" s="63" t="s">
        <v>67</v>
      </c>
      <c r="AI33" s="63" t="s">
        <v>67</v>
      </c>
      <c r="AJ33" s="53"/>
      <c r="AL33" t="str">
        <f t="shared" ca="1" si="0"/>
        <v xml:space="preserve">    (U1)ALERT_REQ_S_ADBZR_CSR_VOL_</v>
      </c>
      <c r="AR33" s="215" t="str">
        <f t="shared" si="3"/>
        <v/>
      </c>
      <c r="AS33" s="215" t="str">
        <f t="shared" si="4"/>
        <v/>
      </c>
      <c r="AT33" s="215" t="str">
        <f t="shared" si="1"/>
        <v/>
      </c>
    </row>
    <row r="34" spans="2:46">
      <c r="B34" s="138"/>
      <c r="C34" s="49">
        <f t="shared" si="2"/>
        <v>28</v>
      </c>
      <c r="D34" s="63" t="s">
        <v>67</v>
      </c>
      <c r="E34" s="63" t="s">
        <v>67</v>
      </c>
      <c r="F34" s="63" t="s">
        <v>67</v>
      </c>
      <c r="G34" s="63" t="s">
        <v>67</v>
      </c>
      <c r="H34" s="63" t="s">
        <v>67</v>
      </c>
      <c r="I34" s="63" t="s">
        <v>67</v>
      </c>
      <c r="J34" s="63" t="s">
        <v>67</v>
      </c>
      <c r="K34" s="63" t="s">
        <v>67</v>
      </c>
      <c r="L34" s="63" t="s">
        <v>67</v>
      </c>
      <c r="M34" s="63" t="s">
        <v>67</v>
      </c>
      <c r="N34" s="63" t="s">
        <v>67</v>
      </c>
      <c r="O34" s="63" t="s">
        <v>67</v>
      </c>
      <c r="P34" s="63" t="s">
        <v>67</v>
      </c>
      <c r="Q34" s="63" t="s">
        <v>67</v>
      </c>
      <c r="R34" s="63" t="s">
        <v>67</v>
      </c>
      <c r="S34" s="63" t="s">
        <v>67</v>
      </c>
      <c r="T34" s="63" t="s">
        <v>67</v>
      </c>
      <c r="U34" s="63" t="s">
        <v>67</v>
      </c>
      <c r="V34" s="63" t="s">
        <v>67</v>
      </c>
      <c r="W34" s="63" t="s">
        <v>67</v>
      </c>
      <c r="X34" s="63" t="s">
        <v>67</v>
      </c>
      <c r="Y34" s="63" t="s">
        <v>67</v>
      </c>
      <c r="Z34" s="63" t="s">
        <v>67</v>
      </c>
      <c r="AA34" s="63" t="s">
        <v>67</v>
      </c>
      <c r="AB34" s="63" t="s">
        <v>67</v>
      </c>
      <c r="AC34" s="63" t="s">
        <v>67</v>
      </c>
      <c r="AD34" s="63" t="s">
        <v>67</v>
      </c>
      <c r="AE34" s="63" t="s">
        <v>67</v>
      </c>
      <c r="AF34" s="63" t="s">
        <v>67</v>
      </c>
      <c r="AG34" s="63" t="s">
        <v>67</v>
      </c>
      <c r="AH34" s="63" t="s">
        <v>67</v>
      </c>
      <c r="AI34" s="63" t="s">
        <v>67</v>
      </c>
      <c r="AJ34" s="53"/>
      <c r="AL34" t="str">
        <f t="shared" ca="1" si="0"/>
        <v xml:space="preserve">    (U1)ALERT_REQ_S_ADBZR_CSR_VOL_</v>
      </c>
      <c r="AR34" s="215" t="str">
        <f t="shared" si="3"/>
        <v/>
      </c>
      <c r="AS34" s="215" t="str">
        <f t="shared" si="4"/>
        <v/>
      </c>
      <c r="AT34" s="215" t="str">
        <f t="shared" si="1"/>
        <v/>
      </c>
    </row>
    <row r="35" spans="2:46">
      <c r="B35" s="138"/>
      <c r="C35" s="49">
        <f t="shared" si="2"/>
        <v>29</v>
      </c>
      <c r="D35" s="63" t="s">
        <v>67</v>
      </c>
      <c r="E35" s="63" t="s">
        <v>67</v>
      </c>
      <c r="F35" s="63" t="s">
        <v>67</v>
      </c>
      <c r="G35" s="63" t="s">
        <v>67</v>
      </c>
      <c r="H35" s="63" t="s">
        <v>67</v>
      </c>
      <c r="I35" s="63" t="s">
        <v>67</v>
      </c>
      <c r="J35" s="63" t="s">
        <v>67</v>
      </c>
      <c r="K35" s="63" t="s">
        <v>67</v>
      </c>
      <c r="L35" s="63" t="s">
        <v>67</v>
      </c>
      <c r="M35" s="63" t="s">
        <v>67</v>
      </c>
      <c r="N35" s="63" t="s">
        <v>67</v>
      </c>
      <c r="O35" s="63" t="s">
        <v>67</v>
      </c>
      <c r="P35" s="63" t="s">
        <v>67</v>
      </c>
      <c r="Q35" s="63" t="s">
        <v>67</v>
      </c>
      <c r="R35" s="63" t="s">
        <v>67</v>
      </c>
      <c r="S35" s="63" t="s">
        <v>67</v>
      </c>
      <c r="T35" s="63" t="s">
        <v>67</v>
      </c>
      <c r="U35" s="63" t="s">
        <v>67</v>
      </c>
      <c r="V35" s="63" t="s">
        <v>67</v>
      </c>
      <c r="W35" s="63" t="s">
        <v>67</v>
      </c>
      <c r="X35" s="63" t="s">
        <v>67</v>
      </c>
      <c r="Y35" s="63" t="s">
        <v>67</v>
      </c>
      <c r="Z35" s="63" t="s">
        <v>67</v>
      </c>
      <c r="AA35" s="63" t="s">
        <v>67</v>
      </c>
      <c r="AB35" s="63" t="s">
        <v>67</v>
      </c>
      <c r="AC35" s="63" t="s">
        <v>67</v>
      </c>
      <c r="AD35" s="63" t="s">
        <v>67</v>
      </c>
      <c r="AE35" s="63" t="s">
        <v>67</v>
      </c>
      <c r="AF35" s="63" t="s">
        <v>67</v>
      </c>
      <c r="AG35" s="63" t="s">
        <v>67</v>
      </c>
      <c r="AH35" s="63" t="s">
        <v>67</v>
      </c>
      <c r="AI35" s="63" t="s">
        <v>67</v>
      </c>
      <c r="AJ35" s="53"/>
      <c r="AL35" t="str">
        <f t="shared" ca="1" si="0"/>
        <v xml:space="preserve">    (U1)ALERT_REQ_S_ADBZR_CSR_VOL_</v>
      </c>
      <c r="AR35" s="215" t="str">
        <f t="shared" si="3"/>
        <v/>
      </c>
      <c r="AS35" s="215" t="str">
        <f t="shared" si="4"/>
        <v/>
      </c>
      <c r="AT35" s="215" t="str">
        <f t="shared" si="1"/>
        <v/>
      </c>
    </row>
    <row r="36" spans="2:46">
      <c r="B36" s="138"/>
      <c r="C36" s="49">
        <f t="shared" si="2"/>
        <v>30</v>
      </c>
      <c r="D36" s="63" t="s">
        <v>67</v>
      </c>
      <c r="E36" s="63" t="s">
        <v>67</v>
      </c>
      <c r="F36" s="63" t="s">
        <v>67</v>
      </c>
      <c r="G36" s="63" t="s">
        <v>67</v>
      </c>
      <c r="H36" s="63" t="s">
        <v>67</v>
      </c>
      <c r="I36" s="63" t="s">
        <v>67</v>
      </c>
      <c r="J36" s="63" t="s">
        <v>67</v>
      </c>
      <c r="K36" s="63" t="s">
        <v>67</v>
      </c>
      <c r="L36" s="63" t="s">
        <v>67</v>
      </c>
      <c r="M36" s="63" t="s">
        <v>67</v>
      </c>
      <c r="N36" s="63" t="s">
        <v>67</v>
      </c>
      <c r="O36" s="63" t="s">
        <v>67</v>
      </c>
      <c r="P36" s="63" t="s">
        <v>67</v>
      </c>
      <c r="Q36" s="63" t="s">
        <v>67</v>
      </c>
      <c r="R36" s="63" t="s">
        <v>67</v>
      </c>
      <c r="S36" s="63" t="s">
        <v>67</v>
      </c>
      <c r="T36" s="63" t="s">
        <v>67</v>
      </c>
      <c r="U36" s="63" t="s">
        <v>67</v>
      </c>
      <c r="V36" s="63" t="s">
        <v>67</v>
      </c>
      <c r="W36" s="63" t="s">
        <v>67</v>
      </c>
      <c r="X36" s="63" t="s">
        <v>67</v>
      </c>
      <c r="Y36" s="63" t="s">
        <v>67</v>
      </c>
      <c r="Z36" s="63" t="s">
        <v>67</v>
      </c>
      <c r="AA36" s="63" t="s">
        <v>67</v>
      </c>
      <c r="AB36" s="63" t="s">
        <v>67</v>
      </c>
      <c r="AC36" s="63" t="s">
        <v>67</v>
      </c>
      <c r="AD36" s="63" t="s">
        <v>67</v>
      </c>
      <c r="AE36" s="63" t="s">
        <v>67</v>
      </c>
      <c r="AF36" s="63" t="s">
        <v>67</v>
      </c>
      <c r="AG36" s="63" t="s">
        <v>67</v>
      </c>
      <c r="AH36" s="63" t="s">
        <v>67</v>
      </c>
      <c r="AI36" s="63" t="s">
        <v>67</v>
      </c>
      <c r="AJ36" s="53"/>
      <c r="AL36" t="str">
        <f t="shared" ca="1" si="0"/>
        <v xml:space="preserve">    (U1)ALERT_REQ_S_ADBZR_CSR_VOL_</v>
      </c>
      <c r="AR36" s="215" t="str">
        <f t="shared" si="3"/>
        <v/>
      </c>
      <c r="AS36" s="215" t="str">
        <f t="shared" si="4"/>
        <v/>
      </c>
      <c r="AT36" s="215" t="str">
        <f t="shared" si="1"/>
        <v/>
      </c>
    </row>
    <row r="37" spans="2:46">
      <c r="B37" s="138"/>
      <c r="C37" s="49">
        <f t="shared" si="2"/>
        <v>31</v>
      </c>
      <c r="D37" s="63" t="s">
        <v>67</v>
      </c>
      <c r="E37" s="63" t="s">
        <v>67</v>
      </c>
      <c r="F37" s="63" t="s">
        <v>67</v>
      </c>
      <c r="G37" s="63" t="s">
        <v>67</v>
      </c>
      <c r="H37" s="63" t="s">
        <v>67</v>
      </c>
      <c r="I37" s="63" t="s">
        <v>67</v>
      </c>
      <c r="J37" s="63" t="s">
        <v>67</v>
      </c>
      <c r="K37" s="63" t="s">
        <v>67</v>
      </c>
      <c r="L37" s="63" t="s">
        <v>67</v>
      </c>
      <c r="M37" s="63" t="s">
        <v>67</v>
      </c>
      <c r="N37" s="63" t="s">
        <v>67</v>
      </c>
      <c r="O37" s="63" t="s">
        <v>67</v>
      </c>
      <c r="P37" s="63" t="s">
        <v>67</v>
      </c>
      <c r="Q37" s="63" t="s">
        <v>67</v>
      </c>
      <c r="R37" s="63" t="s">
        <v>67</v>
      </c>
      <c r="S37" s="63" t="s">
        <v>67</v>
      </c>
      <c r="T37" s="63" t="s">
        <v>67</v>
      </c>
      <c r="U37" s="63" t="s">
        <v>67</v>
      </c>
      <c r="V37" s="63" t="s">
        <v>67</v>
      </c>
      <c r="W37" s="63" t="s">
        <v>67</v>
      </c>
      <c r="X37" s="63" t="s">
        <v>67</v>
      </c>
      <c r="Y37" s="63" t="s">
        <v>67</v>
      </c>
      <c r="Z37" s="63" t="s">
        <v>67</v>
      </c>
      <c r="AA37" s="63" t="s">
        <v>67</v>
      </c>
      <c r="AB37" s="63" t="s">
        <v>67</v>
      </c>
      <c r="AC37" s="63" t="s">
        <v>67</v>
      </c>
      <c r="AD37" s="63" t="s">
        <v>67</v>
      </c>
      <c r="AE37" s="63" t="s">
        <v>67</v>
      </c>
      <c r="AF37" s="63" t="s">
        <v>67</v>
      </c>
      <c r="AG37" s="63" t="s">
        <v>67</v>
      </c>
      <c r="AH37" s="63" t="s">
        <v>67</v>
      </c>
      <c r="AI37" s="63" t="s">
        <v>67</v>
      </c>
      <c r="AJ37" s="53"/>
      <c r="AL37" t="str">
        <f t="shared" ca="1" si="0"/>
        <v xml:space="preserve">    (U1)ALERT_REQ_S_ADBZR_CSR_VOL_</v>
      </c>
      <c r="AR37" s="215" t="str">
        <f t="shared" si="3"/>
        <v/>
      </c>
      <c r="AS37" s="215" t="str">
        <f t="shared" si="4"/>
        <v/>
      </c>
      <c r="AT37" s="215" t="str">
        <f t="shared" si="1"/>
        <v/>
      </c>
    </row>
    <row r="38" spans="2:46">
      <c r="B38" s="138"/>
      <c r="C38" s="49">
        <f t="shared" si="2"/>
        <v>32</v>
      </c>
      <c r="D38" s="63" t="s">
        <v>67</v>
      </c>
      <c r="E38" s="63" t="s">
        <v>67</v>
      </c>
      <c r="F38" s="63" t="s">
        <v>67</v>
      </c>
      <c r="G38" s="63" t="s">
        <v>67</v>
      </c>
      <c r="H38" s="63" t="s">
        <v>67</v>
      </c>
      <c r="I38" s="63" t="s">
        <v>67</v>
      </c>
      <c r="J38" s="63" t="s">
        <v>67</v>
      </c>
      <c r="K38" s="63" t="s">
        <v>67</v>
      </c>
      <c r="L38" s="63" t="s">
        <v>67</v>
      </c>
      <c r="M38" s="63" t="s">
        <v>67</v>
      </c>
      <c r="N38" s="63" t="s">
        <v>67</v>
      </c>
      <c r="O38" s="63" t="s">
        <v>67</v>
      </c>
      <c r="P38" s="63" t="s">
        <v>67</v>
      </c>
      <c r="Q38" s="63" t="s">
        <v>67</v>
      </c>
      <c r="R38" s="63" t="s">
        <v>67</v>
      </c>
      <c r="S38" s="63" t="s">
        <v>67</v>
      </c>
      <c r="T38" s="63" t="s">
        <v>67</v>
      </c>
      <c r="U38" s="63" t="s">
        <v>67</v>
      </c>
      <c r="V38" s="63" t="s">
        <v>67</v>
      </c>
      <c r="W38" s="63" t="s">
        <v>67</v>
      </c>
      <c r="X38" s="63" t="s">
        <v>67</v>
      </c>
      <c r="Y38" s="63" t="s">
        <v>67</v>
      </c>
      <c r="Z38" s="63" t="s">
        <v>67</v>
      </c>
      <c r="AA38" s="63" t="s">
        <v>67</v>
      </c>
      <c r="AB38" s="63" t="s">
        <v>67</v>
      </c>
      <c r="AC38" s="63" t="s">
        <v>67</v>
      </c>
      <c r="AD38" s="63" t="s">
        <v>67</v>
      </c>
      <c r="AE38" s="63" t="s">
        <v>67</v>
      </c>
      <c r="AF38" s="63" t="s">
        <v>67</v>
      </c>
      <c r="AG38" s="63" t="s">
        <v>67</v>
      </c>
      <c r="AH38" s="63" t="s">
        <v>67</v>
      </c>
      <c r="AI38" s="63" t="s">
        <v>67</v>
      </c>
      <c r="AJ38" s="53"/>
      <c r="AL38" t="str">
        <f t="shared" ca="1" si="0"/>
        <v xml:space="preserve">    (U1)ALERT_REQ_S_ADBZR_CSR_VOL_</v>
      </c>
      <c r="AR38" s="215" t="str">
        <f t="shared" si="3"/>
        <v/>
      </c>
      <c r="AS38" s="215" t="str">
        <f t="shared" si="4"/>
        <v/>
      </c>
      <c r="AT38" s="215" t="str">
        <f t="shared" si="1"/>
        <v/>
      </c>
    </row>
    <row r="39" spans="2:46">
      <c r="B39" s="138"/>
      <c r="C39" s="49">
        <f t="shared" si="2"/>
        <v>33</v>
      </c>
      <c r="D39" s="63" t="s">
        <v>67</v>
      </c>
      <c r="E39" s="63" t="s">
        <v>67</v>
      </c>
      <c r="F39" s="63" t="s">
        <v>67</v>
      </c>
      <c r="G39" s="63" t="s">
        <v>67</v>
      </c>
      <c r="H39" s="63" t="s">
        <v>67</v>
      </c>
      <c r="I39" s="63" t="s">
        <v>67</v>
      </c>
      <c r="J39" s="63" t="s">
        <v>67</v>
      </c>
      <c r="K39" s="63" t="s">
        <v>67</v>
      </c>
      <c r="L39" s="63" t="s">
        <v>67</v>
      </c>
      <c r="M39" s="63" t="s">
        <v>67</v>
      </c>
      <c r="N39" s="63" t="s">
        <v>67</v>
      </c>
      <c r="O39" s="63" t="s">
        <v>67</v>
      </c>
      <c r="P39" s="63" t="s">
        <v>67</v>
      </c>
      <c r="Q39" s="63" t="s">
        <v>67</v>
      </c>
      <c r="R39" s="63" t="s">
        <v>67</v>
      </c>
      <c r="S39" s="63" t="s">
        <v>67</v>
      </c>
      <c r="T39" s="63" t="s">
        <v>67</v>
      </c>
      <c r="U39" s="63" t="s">
        <v>67</v>
      </c>
      <c r="V39" s="63" t="s">
        <v>67</v>
      </c>
      <c r="W39" s="63" t="s">
        <v>67</v>
      </c>
      <c r="X39" s="63" t="s">
        <v>67</v>
      </c>
      <c r="Y39" s="63" t="s">
        <v>67</v>
      </c>
      <c r="Z39" s="63" t="s">
        <v>67</v>
      </c>
      <c r="AA39" s="63" t="s">
        <v>67</v>
      </c>
      <c r="AB39" s="63" t="s">
        <v>67</v>
      </c>
      <c r="AC39" s="63" t="s">
        <v>67</v>
      </c>
      <c r="AD39" s="63" t="s">
        <v>67</v>
      </c>
      <c r="AE39" s="63" t="s">
        <v>67</v>
      </c>
      <c r="AF39" s="63" t="s">
        <v>67</v>
      </c>
      <c r="AG39" s="63" t="s">
        <v>67</v>
      </c>
      <c r="AH39" s="63" t="s">
        <v>67</v>
      </c>
      <c r="AI39" s="63" t="s">
        <v>67</v>
      </c>
      <c r="AJ39" s="53"/>
      <c r="AL39" t="str">
        <f t="shared" ca="1" si="0"/>
        <v xml:space="preserve">    (U1)ALERT_REQ_S_ADBZR_CSR_VOL_</v>
      </c>
      <c r="AR39" s="215" t="str">
        <f t="shared" si="3"/>
        <v/>
      </c>
      <c r="AS39" s="215" t="str">
        <f t="shared" si="4"/>
        <v/>
      </c>
      <c r="AT39" s="215" t="str">
        <f t="shared" si="1"/>
        <v/>
      </c>
    </row>
    <row r="40" spans="2:46">
      <c r="B40" s="138"/>
      <c r="C40" s="49">
        <f t="shared" si="2"/>
        <v>34</v>
      </c>
      <c r="D40" s="63" t="s">
        <v>67</v>
      </c>
      <c r="E40" s="63" t="s">
        <v>67</v>
      </c>
      <c r="F40" s="63" t="s">
        <v>67</v>
      </c>
      <c r="G40" s="63" t="s">
        <v>67</v>
      </c>
      <c r="H40" s="63" t="s">
        <v>67</v>
      </c>
      <c r="I40" s="63" t="s">
        <v>67</v>
      </c>
      <c r="J40" s="63" t="s">
        <v>67</v>
      </c>
      <c r="K40" s="63" t="s">
        <v>67</v>
      </c>
      <c r="L40" s="63" t="s">
        <v>67</v>
      </c>
      <c r="M40" s="63" t="s">
        <v>67</v>
      </c>
      <c r="N40" s="63" t="s">
        <v>67</v>
      </c>
      <c r="O40" s="63" t="s">
        <v>67</v>
      </c>
      <c r="P40" s="63" t="s">
        <v>67</v>
      </c>
      <c r="Q40" s="63" t="s">
        <v>67</v>
      </c>
      <c r="R40" s="63" t="s">
        <v>67</v>
      </c>
      <c r="S40" s="63" t="s">
        <v>67</v>
      </c>
      <c r="T40" s="63" t="s">
        <v>67</v>
      </c>
      <c r="U40" s="63" t="s">
        <v>67</v>
      </c>
      <c r="V40" s="63" t="s">
        <v>67</v>
      </c>
      <c r="W40" s="63" t="s">
        <v>67</v>
      </c>
      <c r="X40" s="63" t="s">
        <v>67</v>
      </c>
      <c r="Y40" s="63" t="s">
        <v>67</v>
      </c>
      <c r="Z40" s="63" t="s">
        <v>67</v>
      </c>
      <c r="AA40" s="63" t="s">
        <v>67</v>
      </c>
      <c r="AB40" s="63" t="s">
        <v>67</v>
      </c>
      <c r="AC40" s="63" t="s">
        <v>67</v>
      </c>
      <c r="AD40" s="63" t="s">
        <v>67</v>
      </c>
      <c r="AE40" s="63" t="s">
        <v>67</v>
      </c>
      <c r="AF40" s="63" t="s">
        <v>67</v>
      </c>
      <c r="AG40" s="63" t="s">
        <v>67</v>
      </c>
      <c r="AH40" s="63" t="s">
        <v>67</v>
      </c>
      <c r="AI40" s="63" t="s">
        <v>67</v>
      </c>
      <c r="AJ40" s="53"/>
      <c r="AL40" t="str">
        <f t="shared" ca="1" si="0"/>
        <v xml:space="preserve">    (U1)ALERT_REQ_S_ADBZR_CSR_VOL_</v>
      </c>
      <c r="AR40" s="215" t="str">
        <f t="shared" si="3"/>
        <v/>
      </c>
      <c r="AS40" s="215" t="str">
        <f t="shared" si="4"/>
        <v/>
      </c>
      <c r="AT40" s="215" t="str">
        <f t="shared" si="1"/>
        <v/>
      </c>
    </row>
    <row r="41" spans="2:46">
      <c r="B41" s="138"/>
      <c r="C41" s="49">
        <f t="shared" si="2"/>
        <v>35</v>
      </c>
      <c r="D41" s="63" t="s">
        <v>67</v>
      </c>
      <c r="E41" s="63" t="s">
        <v>67</v>
      </c>
      <c r="F41" s="63" t="s">
        <v>67</v>
      </c>
      <c r="G41" s="63" t="s">
        <v>67</v>
      </c>
      <c r="H41" s="63" t="s">
        <v>67</v>
      </c>
      <c r="I41" s="63" t="s">
        <v>67</v>
      </c>
      <c r="J41" s="63" t="s">
        <v>67</v>
      </c>
      <c r="K41" s="63" t="s">
        <v>67</v>
      </c>
      <c r="L41" s="63" t="s">
        <v>67</v>
      </c>
      <c r="M41" s="63" t="s">
        <v>67</v>
      </c>
      <c r="N41" s="63" t="s">
        <v>67</v>
      </c>
      <c r="O41" s="63" t="s">
        <v>67</v>
      </c>
      <c r="P41" s="63" t="s">
        <v>67</v>
      </c>
      <c r="Q41" s="63" t="s">
        <v>67</v>
      </c>
      <c r="R41" s="63" t="s">
        <v>67</v>
      </c>
      <c r="S41" s="63" t="s">
        <v>67</v>
      </c>
      <c r="T41" s="63" t="s">
        <v>67</v>
      </c>
      <c r="U41" s="63" t="s">
        <v>67</v>
      </c>
      <c r="V41" s="63" t="s">
        <v>67</v>
      </c>
      <c r="W41" s="63" t="s">
        <v>67</v>
      </c>
      <c r="X41" s="63" t="s">
        <v>67</v>
      </c>
      <c r="Y41" s="63" t="s">
        <v>67</v>
      </c>
      <c r="Z41" s="63" t="s">
        <v>67</v>
      </c>
      <c r="AA41" s="63" t="s">
        <v>67</v>
      </c>
      <c r="AB41" s="63" t="s">
        <v>67</v>
      </c>
      <c r="AC41" s="63" t="s">
        <v>67</v>
      </c>
      <c r="AD41" s="63" t="s">
        <v>67</v>
      </c>
      <c r="AE41" s="63" t="s">
        <v>67</v>
      </c>
      <c r="AF41" s="63" t="s">
        <v>67</v>
      </c>
      <c r="AG41" s="63" t="s">
        <v>67</v>
      </c>
      <c r="AH41" s="63" t="s">
        <v>67</v>
      </c>
      <c r="AI41" s="63" t="s">
        <v>67</v>
      </c>
      <c r="AJ41" s="53"/>
      <c r="AL41" t="str">
        <f t="shared" ca="1" si="0"/>
        <v xml:space="preserve">    (U1)ALERT_REQ_S_ADBZR_CSR_VOL_</v>
      </c>
      <c r="AR41" s="215" t="str">
        <f t="shared" si="3"/>
        <v/>
      </c>
      <c r="AS41" s="215" t="str">
        <f t="shared" si="4"/>
        <v/>
      </c>
      <c r="AT41" s="215" t="str">
        <f t="shared" si="1"/>
        <v/>
      </c>
    </row>
    <row r="42" spans="2:46">
      <c r="B42" s="138"/>
      <c r="C42" s="49">
        <f t="shared" si="2"/>
        <v>36</v>
      </c>
      <c r="D42" s="63" t="s">
        <v>67</v>
      </c>
      <c r="E42" s="63" t="s">
        <v>67</v>
      </c>
      <c r="F42" s="63" t="s">
        <v>67</v>
      </c>
      <c r="G42" s="63" t="s">
        <v>67</v>
      </c>
      <c r="H42" s="63" t="s">
        <v>67</v>
      </c>
      <c r="I42" s="63" t="s">
        <v>67</v>
      </c>
      <c r="J42" s="63" t="s">
        <v>67</v>
      </c>
      <c r="K42" s="63" t="s">
        <v>67</v>
      </c>
      <c r="L42" s="63" t="s">
        <v>67</v>
      </c>
      <c r="M42" s="63" t="s">
        <v>67</v>
      </c>
      <c r="N42" s="63" t="s">
        <v>67</v>
      </c>
      <c r="O42" s="63" t="s">
        <v>67</v>
      </c>
      <c r="P42" s="63" t="s">
        <v>67</v>
      </c>
      <c r="Q42" s="63" t="s">
        <v>67</v>
      </c>
      <c r="R42" s="63" t="s">
        <v>67</v>
      </c>
      <c r="S42" s="63" t="s">
        <v>67</v>
      </c>
      <c r="T42" s="63" t="s">
        <v>67</v>
      </c>
      <c r="U42" s="63" t="s">
        <v>67</v>
      </c>
      <c r="V42" s="63" t="s">
        <v>67</v>
      </c>
      <c r="W42" s="63" t="s">
        <v>67</v>
      </c>
      <c r="X42" s="63" t="s">
        <v>67</v>
      </c>
      <c r="Y42" s="63" t="s">
        <v>67</v>
      </c>
      <c r="Z42" s="63" t="s">
        <v>67</v>
      </c>
      <c r="AA42" s="63" t="s">
        <v>67</v>
      </c>
      <c r="AB42" s="63" t="s">
        <v>67</v>
      </c>
      <c r="AC42" s="63" t="s">
        <v>67</v>
      </c>
      <c r="AD42" s="63" t="s">
        <v>67</v>
      </c>
      <c r="AE42" s="63" t="s">
        <v>67</v>
      </c>
      <c r="AF42" s="63" t="s">
        <v>67</v>
      </c>
      <c r="AG42" s="63" t="s">
        <v>67</v>
      </c>
      <c r="AH42" s="63" t="s">
        <v>67</v>
      </c>
      <c r="AI42" s="63" t="s">
        <v>67</v>
      </c>
      <c r="AJ42" s="53"/>
      <c r="AL42" t="str">
        <f t="shared" ca="1" si="0"/>
        <v xml:space="preserve">    (U1)ALERT_REQ_S_ADBZR_CSR_VOL_</v>
      </c>
      <c r="AR42" s="215" t="str">
        <f t="shared" si="3"/>
        <v/>
      </c>
      <c r="AS42" s="215" t="str">
        <f t="shared" si="4"/>
        <v/>
      </c>
      <c r="AT42" s="215" t="str">
        <f t="shared" si="1"/>
        <v/>
      </c>
    </row>
    <row r="43" spans="2:46">
      <c r="B43" s="138"/>
      <c r="C43" s="49">
        <f t="shared" si="2"/>
        <v>37</v>
      </c>
      <c r="D43" s="63" t="s">
        <v>67</v>
      </c>
      <c r="E43" s="63" t="s">
        <v>67</v>
      </c>
      <c r="F43" s="63" t="s">
        <v>67</v>
      </c>
      <c r="G43" s="63" t="s">
        <v>67</v>
      </c>
      <c r="H43" s="63" t="s">
        <v>67</v>
      </c>
      <c r="I43" s="63" t="s">
        <v>67</v>
      </c>
      <c r="J43" s="63" t="s">
        <v>67</v>
      </c>
      <c r="K43" s="63" t="s">
        <v>67</v>
      </c>
      <c r="L43" s="63" t="s">
        <v>67</v>
      </c>
      <c r="M43" s="63" t="s">
        <v>67</v>
      </c>
      <c r="N43" s="63" t="s">
        <v>67</v>
      </c>
      <c r="O43" s="63" t="s">
        <v>67</v>
      </c>
      <c r="P43" s="63" t="s">
        <v>67</v>
      </c>
      <c r="Q43" s="63" t="s">
        <v>67</v>
      </c>
      <c r="R43" s="63" t="s">
        <v>67</v>
      </c>
      <c r="S43" s="63" t="s">
        <v>67</v>
      </c>
      <c r="T43" s="63" t="s">
        <v>67</v>
      </c>
      <c r="U43" s="63" t="s">
        <v>67</v>
      </c>
      <c r="V43" s="63" t="s">
        <v>67</v>
      </c>
      <c r="W43" s="63" t="s">
        <v>67</v>
      </c>
      <c r="X43" s="63" t="s">
        <v>67</v>
      </c>
      <c r="Y43" s="63" t="s">
        <v>67</v>
      </c>
      <c r="Z43" s="63" t="s">
        <v>67</v>
      </c>
      <c r="AA43" s="63" t="s">
        <v>67</v>
      </c>
      <c r="AB43" s="63" t="s">
        <v>67</v>
      </c>
      <c r="AC43" s="63" t="s">
        <v>67</v>
      </c>
      <c r="AD43" s="63" t="s">
        <v>67</v>
      </c>
      <c r="AE43" s="63" t="s">
        <v>67</v>
      </c>
      <c r="AF43" s="63" t="s">
        <v>67</v>
      </c>
      <c r="AG43" s="63" t="s">
        <v>67</v>
      </c>
      <c r="AH43" s="63" t="s">
        <v>67</v>
      </c>
      <c r="AI43" s="63" t="s">
        <v>67</v>
      </c>
      <c r="AJ43" s="53"/>
      <c r="AL43" t="str">
        <f t="shared" ca="1" si="0"/>
        <v xml:space="preserve">    (U1)ALERT_REQ_S_ADBZR_CSR_VOL_</v>
      </c>
      <c r="AR43" s="215" t="str">
        <f t="shared" si="3"/>
        <v/>
      </c>
      <c r="AS43" s="215" t="str">
        <f t="shared" si="4"/>
        <v/>
      </c>
      <c r="AT43" s="215" t="str">
        <f t="shared" si="1"/>
        <v/>
      </c>
    </row>
    <row r="44" spans="2:46">
      <c r="B44" s="138"/>
      <c r="C44" s="49">
        <f t="shared" si="2"/>
        <v>38</v>
      </c>
      <c r="D44" s="63" t="s">
        <v>67</v>
      </c>
      <c r="E44" s="63" t="s">
        <v>67</v>
      </c>
      <c r="F44" s="63" t="s">
        <v>67</v>
      </c>
      <c r="G44" s="63" t="s">
        <v>67</v>
      </c>
      <c r="H44" s="63" t="s">
        <v>67</v>
      </c>
      <c r="I44" s="63" t="s">
        <v>67</v>
      </c>
      <c r="J44" s="63" t="s">
        <v>67</v>
      </c>
      <c r="K44" s="63" t="s">
        <v>67</v>
      </c>
      <c r="L44" s="63" t="s">
        <v>67</v>
      </c>
      <c r="M44" s="63" t="s">
        <v>67</v>
      </c>
      <c r="N44" s="63" t="s">
        <v>67</v>
      </c>
      <c r="O44" s="63" t="s">
        <v>67</v>
      </c>
      <c r="P44" s="63" t="s">
        <v>67</v>
      </c>
      <c r="Q44" s="63" t="s">
        <v>67</v>
      </c>
      <c r="R44" s="63" t="s">
        <v>67</v>
      </c>
      <c r="S44" s="63" t="s">
        <v>67</v>
      </c>
      <c r="T44" s="63" t="s">
        <v>67</v>
      </c>
      <c r="U44" s="63" t="s">
        <v>67</v>
      </c>
      <c r="V44" s="63" t="s">
        <v>67</v>
      </c>
      <c r="W44" s="63" t="s">
        <v>67</v>
      </c>
      <c r="X44" s="63" t="s">
        <v>67</v>
      </c>
      <c r="Y44" s="63" t="s">
        <v>67</v>
      </c>
      <c r="Z44" s="63" t="s">
        <v>67</v>
      </c>
      <c r="AA44" s="63" t="s">
        <v>67</v>
      </c>
      <c r="AB44" s="63" t="s">
        <v>67</v>
      </c>
      <c r="AC44" s="63" t="s">
        <v>67</v>
      </c>
      <c r="AD44" s="63" t="s">
        <v>67</v>
      </c>
      <c r="AE44" s="63" t="s">
        <v>67</v>
      </c>
      <c r="AF44" s="63" t="s">
        <v>67</v>
      </c>
      <c r="AG44" s="63" t="s">
        <v>67</v>
      </c>
      <c r="AH44" s="63" t="s">
        <v>67</v>
      </c>
      <c r="AI44" s="63" t="s">
        <v>67</v>
      </c>
      <c r="AJ44" s="53"/>
      <c r="AL44" t="str">
        <f t="shared" ca="1" si="0"/>
        <v xml:space="preserve">    (U1)ALERT_REQ_S_ADBZR_CSR_VOL_</v>
      </c>
      <c r="AR44" s="215" t="str">
        <f t="shared" si="3"/>
        <v/>
      </c>
      <c r="AS44" s="215" t="str">
        <f t="shared" si="4"/>
        <v/>
      </c>
      <c r="AT44" s="215" t="str">
        <f t="shared" si="1"/>
        <v/>
      </c>
    </row>
    <row r="45" spans="2:46">
      <c r="B45" s="138"/>
      <c r="C45" s="49">
        <f t="shared" si="2"/>
        <v>39</v>
      </c>
      <c r="D45" s="63" t="s">
        <v>67</v>
      </c>
      <c r="E45" s="63" t="s">
        <v>67</v>
      </c>
      <c r="F45" s="63" t="s">
        <v>67</v>
      </c>
      <c r="G45" s="63" t="s">
        <v>67</v>
      </c>
      <c r="H45" s="63" t="s">
        <v>67</v>
      </c>
      <c r="I45" s="63" t="s">
        <v>67</v>
      </c>
      <c r="J45" s="63" t="s">
        <v>67</v>
      </c>
      <c r="K45" s="63" t="s">
        <v>67</v>
      </c>
      <c r="L45" s="63" t="s">
        <v>67</v>
      </c>
      <c r="M45" s="63" t="s">
        <v>67</v>
      </c>
      <c r="N45" s="63" t="s">
        <v>67</v>
      </c>
      <c r="O45" s="63" t="s">
        <v>67</v>
      </c>
      <c r="P45" s="63" t="s">
        <v>67</v>
      </c>
      <c r="Q45" s="63" t="s">
        <v>67</v>
      </c>
      <c r="R45" s="63" t="s">
        <v>67</v>
      </c>
      <c r="S45" s="63" t="s">
        <v>67</v>
      </c>
      <c r="T45" s="63" t="s">
        <v>67</v>
      </c>
      <c r="U45" s="63" t="s">
        <v>67</v>
      </c>
      <c r="V45" s="63" t="s">
        <v>67</v>
      </c>
      <c r="W45" s="63" t="s">
        <v>67</v>
      </c>
      <c r="X45" s="63" t="s">
        <v>67</v>
      </c>
      <c r="Y45" s="63" t="s">
        <v>67</v>
      </c>
      <c r="Z45" s="63" t="s">
        <v>67</v>
      </c>
      <c r="AA45" s="63" t="s">
        <v>67</v>
      </c>
      <c r="AB45" s="63" t="s">
        <v>67</v>
      </c>
      <c r="AC45" s="63" t="s">
        <v>67</v>
      </c>
      <c r="AD45" s="63" t="s">
        <v>67</v>
      </c>
      <c r="AE45" s="63" t="s">
        <v>67</v>
      </c>
      <c r="AF45" s="63" t="s">
        <v>67</v>
      </c>
      <c r="AG45" s="63" t="s">
        <v>67</v>
      </c>
      <c r="AH45" s="63" t="s">
        <v>67</v>
      </c>
      <c r="AI45" s="63" t="s">
        <v>67</v>
      </c>
      <c r="AJ45" s="53"/>
      <c r="AL45" t="str">
        <f t="shared" ca="1" si="0"/>
        <v xml:space="preserve">    (U1)ALERT_REQ_S_ADBZR_CSR_VOL_</v>
      </c>
      <c r="AR45" s="215" t="str">
        <f t="shared" si="3"/>
        <v/>
      </c>
      <c r="AS45" s="215" t="str">
        <f t="shared" si="4"/>
        <v/>
      </c>
      <c r="AT45" s="215" t="str">
        <f t="shared" si="1"/>
        <v/>
      </c>
    </row>
    <row r="46" spans="2:46">
      <c r="B46" s="138"/>
      <c r="C46" s="49">
        <f t="shared" si="2"/>
        <v>40</v>
      </c>
      <c r="D46" s="63" t="s">
        <v>67</v>
      </c>
      <c r="E46" s="63" t="s">
        <v>67</v>
      </c>
      <c r="F46" s="63" t="s">
        <v>67</v>
      </c>
      <c r="G46" s="63" t="s">
        <v>67</v>
      </c>
      <c r="H46" s="63" t="s">
        <v>67</v>
      </c>
      <c r="I46" s="63" t="s">
        <v>67</v>
      </c>
      <c r="J46" s="63" t="s">
        <v>67</v>
      </c>
      <c r="K46" s="63" t="s">
        <v>67</v>
      </c>
      <c r="L46" s="63" t="s">
        <v>67</v>
      </c>
      <c r="M46" s="63" t="s">
        <v>67</v>
      </c>
      <c r="N46" s="63" t="s">
        <v>67</v>
      </c>
      <c r="O46" s="63" t="s">
        <v>67</v>
      </c>
      <c r="P46" s="63" t="s">
        <v>67</v>
      </c>
      <c r="Q46" s="63" t="s">
        <v>67</v>
      </c>
      <c r="R46" s="63" t="s">
        <v>67</v>
      </c>
      <c r="S46" s="63" t="s">
        <v>67</v>
      </c>
      <c r="T46" s="63" t="s">
        <v>67</v>
      </c>
      <c r="U46" s="63" t="s">
        <v>67</v>
      </c>
      <c r="V46" s="63" t="s">
        <v>67</v>
      </c>
      <c r="W46" s="63" t="s">
        <v>67</v>
      </c>
      <c r="X46" s="63" t="s">
        <v>67</v>
      </c>
      <c r="Y46" s="63" t="s">
        <v>67</v>
      </c>
      <c r="Z46" s="63" t="s">
        <v>67</v>
      </c>
      <c r="AA46" s="63" t="s">
        <v>67</v>
      </c>
      <c r="AB46" s="63" t="s">
        <v>67</v>
      </c>
      <c r="AC46" s="63" t="s">
        <v>67</v>
      </c>
      <c r="AD46" s="63" t="s">
        <v>67</v>
      </c>
      <c r="AE46" s="63" t="s">
        <v>67</v>
      </c>
      <c r="AF46" s="63" t="s">
        <v>67</v>
      </c>
      <c r="AG46" s="63" t="s">
        <v>67</v>
      </c>
      <c r="AH46" s="63" t="s">
        <v>67</v>
      </c>
      <c r="AI46" s="63" t="s">
        <v>67</v>
      </c>
      <c r="AJ46" s="53"/>
      <c r="AL46" t="str">
        <f t="shared" ca="1" si="0"/>
        <v xml:space="preserve">    (U1)ALERT_REQ_S_ADBZR_CSR_VOL_</v>
      </c>
      <c r="AR46" s="215" t="str">
        <f t="shared" si="3"/>
        <v/>
      </c>
      <c r="AS46" s="215" t="str">
        <f t="shared" si="4"/>
        <v/>
      </c>
      <c r="AT46" s="215" t="str">
        <f t="shared" si="1"/>
        <v/>
      </c>
    </row>
    <row r="47" spans="2:46">
      <c r="B47" s="138"/>
      <c r="C47" s="49">
        <f t="shared" si="2"/>
        <v>41</v>
      </c>
      <c r="D47" s="63" t="s">
        <v>67</v>
      </c>
      <c r="E47" s="63" t="s">
        <v>67</v>
      </c>
      <c r="F47" s="63" t="s">
        <v>67</v>
      </c>
      <c r="G47" s="63" t="s">
        <v>67</v>
      </c>
      <c r="H47" s="63" t="s">
        <v>67</v>
      </c>
      <c r="I47" s="63" t="s">
        <v>67</v>
      </c>
      <c r="J47" s="63" t="s">
        <v>67</v>
      </c>
      <c r="K47" s="63" t="s">
        <v>67</v>
      </c>
      <c r="L47" s="63" t="s">
        <v>67</v>
      </c>
      <c r="M47" s="63" t="s">
        <v>67</v>
      </c>
      <c r="N47" s="63" t="s">
        <v>67</v>
      </c>
      <c r="O47" s="63" t="s">
        <v>67</v>
      </c>
      <c r="P47" s="63" t="s">
        <v>67</v>
      </c>
      <c r="Q47" s="63" t="s">
        <v>67</v>
      </c>
      <c r="R47" s="63" t="s">
        <v>67</v>
      </c>
      <c r="S47" s="63" t="s">
        <v>67</v>
      </c>
      <c r="T47" s="63" t="s">
        <v>67</v>
      </c>
      <c r="U47" s="63" t="s">
        <v>67</v>
      </c>
      <c r="V47" s="63" t="s">
        <v>67</v>
      </c>
      <c r="W47" s="63" t="s">
        <v>67</v>
      </c>
      <c r="X47" s="63" t="s">
        <v>67</v>
      </c>
      <c r="Y47" s="63" t="s">
        <v>67</v>
      </c>
      <c r="Z47" s="63" t="s">
        <v>67</v>
      </c>
      <c r="AA47" s="63" t="s">
        <v>67</v>
      </c>
      <c r="AB47" s="63" t="s">
        <v>67</v>
      </c>
      <c r="AC47" s="63" t="s">
        <v>67</v>
      </c>
      <c r="AD47" s="63" t="s">
        <v>67</v>
      </c>
      <c r="AE47" s="63" t="s">
        <v>67</v>
      </c>
      <c r="AF47" s="63" t="s">
        <v>67</v>
      </c>
      <c r="AG47" s="63" t="s">
        <v>67</v>
      </c>
      <c r="AH47" s="63" t="s">
        <v>67</v>
      </c>
      <c r="AI47" s="63" t="s">
        <v>67</v>
      </c>
      <c r="AJ47" s="53"/>
      <c r="AL47" t="str">
        <f t="shared" ca="1" si="0"/>
        <v xml:space="preserve">    (U1)ALERT_REQ_S_ADBZR_CSR_VOL_</v>
      </c>
      <c r="AR47" s="215" t="str">
        <f t="shared" si="3"/>
        <v/>
      </c>
      <c r="AS47" s="215" t="str">
        <f t="shared" si="4"/>
        <v/>
      </c>
      <c r="AT47" s="215" t="str">
        <f t="shared" si="1"/>
        <v/>
      </c>
    </row>
    <row r="48" spans="2:46">
      <c r="B48" s="138"/>
      <c r="C48" s="49">
        <f t="shared" si="2"/>
        <v>42</v>
      </c>
      <c r="D48" s="63" t="s">
        <v>67</v>
      </c>
      <c r="E48" s="63" t="s">
        <v>67</v>
      </c>
      <c r="F48" s="63" t="s">
        <v>67</v>
      </c>
      <c r="G48" s="63" t="s">
        <v>67</v>
      </c>
      <c r="H48" s="63" t="s">
        <v>67</v>
      </c>
      <c r="I48" s="63" t="s">
        <v>67</v>
      </c>
      <c r="J48" s="63" t="s">
        <v>67</v>
      </c>
      <c r="K48" s="63" t="s">
        <v>67</v>
      </c>
      <c r="L48" s="63" t="s">
        <v>67</v>
      </c>
      <c r="M48" s="63" t="s">
        <v>67</v>
      </c>
      <c r="N48" s="63" t="s">
        <v>67</v>
      </c>
      <c r="O48" s="63" t="s">
        <v>67</v>
      </c>
      <c r="P48" s="63" t="s">
        <v>67</v>
      </c>
      <c r="Q48" s="63" t="s">
        <v>67</v>
      </c>
      <c r="R48" s="63" t="s">
        <v>67</v>
      </c>
      <c r="S48" s="63" t="s">
        <v>67</v>
      </c>
      <c r="T48" s="63" t="s">
        <v>67</v>
      </c>
      <c r="U48" s="63" t="s">
        <v>67</v>
      </c>
      <c r="V48" s="63" t="s">
        <v>67</v>
      </c>
      <c r="W48" s="63" t="s">
        <v>67</v>
      </c>
      <c r="X48" s="63" t="s">
        <v>67</v>
      </c>
      <c r="Y48" s="63" t="s">
        <v>67</v>
      </c>
      <c r="Z48" s="63" t="s">
        <v>67</v>
      </c>
      <c r="AA48" s="63" t="s">
        <v>67</v>
      </c>
      <c r="AB48" s="63" t="s">
        <v>67</v>
      </c>
      <c r="AC48" s="63" t="s">
        <v>67</v>
      </c>
      <c r="AD48" s="63" t="s">
        <v>67</v>
      </c>
      <c r="AE48" s="63" t="s">
        <v>67</v>
      </c>
      <c r="AF48" s="63" t="s">
        <v>67</v>
      </c>
      <c r="AG48" s="63" t="s">
        <v>67</v>
      </c>
      <c r="AH48" s="63" t="s">
        <v>67</v>
      </c>
      <c r="AI48" s="63" t="s">
        <v>67</v>
      </c>
      <c r="AJ48" s="53"/>
      <c r="AL48" t="str">
        <f t="shared" ca="1" si="0"/>
        <v xml:space="preserve">    (U1)ALERT_REQ_S_ADBZR_CSR_VOL_</v>
      </c>
      <c r="AR48" s="215" t="str">
        <f t="shared" si="3"/>
        <v/>
      </c>
      <c r="AS48" s="215" t="str">
        <f t="shared" si="4"/>
        <v/>
      </c>
      <c r="AT48" s="215" t="str">
        <f t="shared" si="1"/>
        <v/>
      </c>
    </row>
    <row r="49" spans="2:46">
      <c r="B49" s="138"/>
      <c r="C49" s="49">
        <f t="shared" si="2"/>
        <v>43</v>
      </c>
      <c r="D49" s="63" t="s">
        <v>67</v>
      </c>
      <c r="E49" s="63" t="s">
        <v>67</v>
      </c>
      <c r="F49" s="63" t="s">
        <v>67</v>
      </c>
      <c r="G49" s="63" t="s">
        <v>67</v>
      </c>
      <c r="H49" s="63" t="s">
        <v>67</v>
      </c>
      <c r="I49" s="63" t="s">
        <v>67</v>
      </c>
      <c r="J49" s="63" t="s">
        <v>67</v>
      </c>
      <c r="K49" s="63" t="s">
        <v>67</v>
      </c>
      <c r="L49" s="63" t="s">
        <v>67</v>
      </c>
      <c r="M49" s="63" t="s">
        <v>67</v>
      </c>
      <c r="N49" s="63" t="s">
        <v>67</v>
      </c>
      <c r="O49" s="63" t="s">
        <v>67</v>
      </c>
      <c r="P49" s="63" t="s">
        <v>67</v>
      </c>
      <c r="Q49" s="63" t="s">
        <v>67</v>
      </c>
      <c r="R49" s="63" t="s">
        <v>67</v>
      </c>
      <c r="S49" s="63" t="s">
        <v>67</v>
      </c>
      <c r="T49" s="63" t="s">
        <v>67</v>
      </c>
      <c r="U49" s="63" t="s">
        <v>67</v>
      </c>
      <c r="V49" s="63" t="s">
        <v>67</v>
      </c>
      <c r="W49" s="63" t="s">
        <v>67</v>
      </c>
      <c r="X49" s="63" t="s">
        <v>67</v>
      </c>
      <c r="Y49" s="63" t="s">
        <v>67</v>
      </c>
      <c r="Z49" s="63" t="s">
        <v>67</v>
      </c>
      <c r="AA49" s="63" t="s">
        <v>67</v>
      </c>
      <c r="AB49" s="63" t="s">
        <v>67</v>
      </c>
      <c r="AC49" s="63" t="s">
        <v>67</v>
      </c>
      <c r="AD49" s="63" t="s">
        <v>67</v>
      </c>
      <c r="AE49" s="63" t="s">
        <v>67</v>
      </c>
      <c r="AF49" s="63" t="s">
        <v>67</v>
      </c>
      <c r="AG49" s="63" t="s">
        <v>67</v>
      </c>
      <c r="AH49" s="63" t="s">
        <v>67</v>
      </c>
      <c r="AI49" s="63" t="s">
        <v>67</v>
      </c>
      <c r="AJ49" s="53"/>
      <c r="AL49" t="str">
        <f t="shared" ca="1" si="0"/>
        <v xml:space="preserve">    (U1)ALERT_REQ_S_ADBZR_CSR_VOL_</v>
      </c>
      <c r="AR49" s="215" t="str">
        <f t="shared" si="3"/>
        <v/>
      </c>
      <c r="AS49" s="215" t="str">
        <f t="shared" si="4"/>
        <v/>
      </c>
      <c r="AT49" s="215" t="str">
        <f t="shared" si="1"/>
        <v/>
      </c>
    </row>
    <row r="50" spans="2:46">
      <c r="B50" s="138"/>
      <c r="C50" s="49">
        <f t="shared" si="2"/>
        <v>44</v>
      </c>
      <c r="D50" s="63" t="s">
        <v>67</v>
      </c>
      <c r="E50" s="63" t="s">
        <v>67</v>
      </c>
      <c r="F50" s="63" t="s">
        <v>67</v>
      </c>
      <c r="G50" s="63" t="s">
        <v>67</v>
      </c>
      <c r="H50" s="63" t="s">
        <v>67</v>
      </c>
      <c r="I50" s="63" t="s">
        <v>67</v>
      </c>
      <c r="J50" s="63" t="s">
        <v>67</v>
      </c>
      <c r="K50" s="63" t="s">
        <v>67</v>
      </c>
      <c r="L50" s="63" t="s">
        <v>67</v>
      </c>
      <c r="M50" s="63" t="s">
        <v>67</v>
      </c>
      <c r="N50" s="63" t="s">
        <v>67</v>
      </c>
      <c r="O50" s="63" t="s">
        <v>67</v>
      </c>
      <c r="P50" s="63" t="s">
        <v>67</v>
      </c>
      <c r="Q50" s="63" t="s">
        <v>67</v>
      </c>
      <c r="R50" s="63" t="s">
        <v>67</v>
      </c>
      <c r="S50" s="63" t="s">
        <v>67</v>
      </c>
      <c r="T50" s="63" t="s">
        <v>67</v>
      </c>
      <c r="U50" s="63" t="s">
        <v>67</v>
      </c>
      <c r="V50" s="63" t="s">
        <v>67</v>
      </c>
      <c r="W50" s="63" t="s">
        <v>67</v>
      </c>
      <c r="X50" s="63" t="s">
        <v>67</v>
      </c>
      <c r="Y50" s="63" t="s">
        <v>67</v>
      </c>
      <c r="Z50" s="63" t="s">
        <v>67</v>
      </c>
      <c r="AA50" s="63" t="s">
        <v>67</v>
      </c>
      <c r="AB50" s="63" t="s">
        <v>67</v>
      </c>
      <c r="AC50" s="63" t="s">
        <v>67</v>
      </c>
      <c r="AD50" s="63" t="s">
        <v>67</v>
      </c>
      <c r="AE50" s="63" t="s">
        <v>67</v>
      </c>
      <c r="AF50" s="63" t="s">
        <v>67</v>
      </c>
      <c r="AG50" s="63" t="s">
        <v>67</v>
      </c>
      <c r="AH50" s="63" t="s">
        <v>67</v>
      </c>
      <c r="AI50" s="63" t="s">
        <v>67</v>
      </c>
      <c r="AJ50" s="53"/>
      <c r="AL50" t="str">
        <f t="shared" ca="1" si="0"/>
        <v xml:space="preserve">    (U1)ALERT_REQ_S_ADBZR_CSR_VOL_</v>
      </c>
      <c r="AR50" s="215" t="str">
        <f t="shared" si="3"/>
        <v/>
      </c>
      <c r="AS50" s="215" t="str">
        <f t="shared" si="4"/>
        <v/>
      </c>
      <c r="AT50" s="215" t="str">
        <f t="shared" si="1"/>
        <v/>
      </c>
    </row>
    <row r="51" spans="2:46">
      <c r="B51" s="138"/>
      <c r="C51" s="49">
        <f t="shared" si="2"/>
        <v>45</v>
      </c>
      <c r="D51" s="63" t="s">
        <v>67</v>
      </c>
      <c r="E51" s="63" t="s">
        <v>67</v>
      </c>
      <c r="F51" s="63" t="s">
        <v>67</v>
      </c>
      <c r="G51" s="63" t="s">
        <v>67</v>
      </c>
      <c r="H51" s="63" t="s">
        <v>67</v>
      </c>
      <c r="I51" s="63" t="s">
        <v>67</v>
      </c>
      <c r="J51" s="63" t="s">
        <v>67</v>
      </c>
      <c r="K51" s="63" t="s">
        <v>67</v>
      </c>
      <c r="L51" s="63" t="s">
        <v>67</v>
      </c>
      <c r="M51" s="63" t="s">
        <v>67</v>
      </c>
      <c r="N51" s="63" t="s">
        <v>67</v>
      </c>
      <c r="O51" s="63" t="s">
        <v>67</v>
      </c>
      <c r="P51" s="63" t="s">
        <v>67</v>
      </c>
      <c r="Q51" s="63" t="s">
        <v>67</v>
      </c>
      <c r="R51" s="63" t="s">
        <v>67</v>
      </c>
      <c r="S51" s="63" t="s">
        <v>67</v>
      </c>
      <c r="T51" s="63" t="s">
        <v>67</v>
      </c>
      <c r="U51" s="63" t="s">
        <v>67</v>
      </c>
      <c r="V51" s="63" t="s">
        <v>67</v>
      </c>
      <c r="W51" s="63" t="s">
        <v>67</v>
      </c>
      <c r="X51" s="63" t="s">
        <v>67</v>
      </c>
      <c r="Y51" s="63" t="s">
        <v>67</v>
      </c>
      <c r="Z51" s="63" t="s">
        <v>67</v>
      </c>
      <c r="AA51" s="63" t="s">
        <v>67</v>
      </c>
      <c r="AB51" s="63" t="s">
        <v>67</v>
      </c>
      <c r="AC51" s="63" t="s">
        <v>67</v>
      </c>
      <c r="AD51" s="63" t="s">
        <v>67</v>
      </c>
      <c r="AE51" s="63" t="s">
        <v>67</v>
      </c>
      <c r="AF51" s="63" t="s">
        <v>67</v>
      </c>
      <c r="AG51" s="63" t="s">
        <v>67</v>
      </c>
      <c r="AH51" s="63" t="s">
        <v>67</v>
      </c>
      <c r="AI51" s="63" t="s">
        <v>67</v>
      </c>
      <c r="AJ51" s="53"/>
      <c r="AL51" t="str">
        <f t="shared" ca="1" si="0"/>
        <v xml:space="preserve">    (U1)ALERT_REQ_S_ADBZR_CSR_VOL_</v>
      </c>
      <c r="AR51" s="215" t="str">
        <f t="shared" si="3"/>
        <v/>
      </c>
      <c r="AS51" s="215" t="str">
        <f t="shared" si="4"/>
        <v/>
      </c>
      <c r="AT51" s="215" t="str">
        <f t="shared" si="1"/>
        <v/>
      </c>
    </row>
    <row r="52" spans="2:46">
      <c r="B52" s="138"/>
      <c r="C52" s="49">
        <f t="shared" si="2"/>
        <v>46</v>
      </c>
      <c r="D52" s="63" t="s">
        <v>67</v>
      </c>
      <c r="E52" s="63" t="s">
        <v>67</v>
      </c>
      <c r="F52" s="63" t="s">
        <v>67</v>
      </c>
      <c r="G52" s="63" t="s">
        <v>67</v>
      </c>
      <c r="H52" s="63" t="s">
        <v>67</v>
      </c>
      <c r="I52" s="63" t="s">
        <v>67</v>
      </c>
      <c r="J52" s="63" t="s">
        <v>67</v>
      </c>
      <c r="K52" s="63" t="s">
        <v>67</v>
      </c>
      <c r="L52" s="63" t="s">
        <v>67</v>
      </c>
      <c r="M52" s="63" t="s">
        <v>67</v>
      </c>
      <c r="N52" s="63" t="s">
        <v>67</v>
      </c>
      <c r="O52" s="63" t="s">
        <v>67</v>
      </c>
      <c r="P52" s="63" t="s">
        <v>67</v>
      </c>
      <c r="Q52" s="63" t="s">
        <v>67</v>
      </c>
      <c r="R52" s="63" t="s">
        <v>67</v>
      </c>
      <c r="S52" s="63" t="s">
        <v>67</v>
      </c>
      <c r="T52" s="63" t="s">
        <v>67</v>
      </c>
      <c r="U52" s="63" t="s">
        <v>67</v>
      </c>
      <c r="V52" s="63" t="s">
        <v>67</v>
      </c>
      <c r="W52" s="63" t="s">
        <v>67</v>
      </c>
      <c r="X52" s="63" t="s">
        <v>67</v>
      </c>
      <c r="Y52" s="63" t="s">
        <v>67</v>
      </c>
      <c r="Z52" s="63" t="s">
        <v>67</v>
      </c>
      <c r="AA52" s="63" t="s">
        <v>67</v>
      </c>
      <c r="AB52" s="63" t="s">
        <v>67</v>
      </c>
      <c r="AC52" s="63" t="s">
        <v>67</v>
      </c>
      <c r="AD52" s="63" t="s">
        <v>67</v>
      </c>
      <c r="AE52" s="63" t="s">
        <v>67</v>
      </c>
      <c r="AF52" s="63" t="s">
        <v>67</v>
      </c>
      <c r="AG52" s="63" t="s">
        <v>67</v>
      </c>
      <c r="AH52" s="63" t="s">
        <v>67</v>
      </c>
      <c r="AI52" s="63" t="s">
        <v>67</v>
      </c>
      <c r="AJ52" s="53"/>
      <c r="AL52" t="str">
        <f t="shared" ca="1" si="0"/>
        <v xml:space="preserve">    (U1)ALERT_REQ_S_ADBZR_CSR_VOL_</v>
      </c>
      <c r="AR52" s="215" t="str">
        <f t="shared" si="3"/>
        <v/>
      </c>
      <c r="AS52" s="215" t="str">
        <f t="shared" si="4"/>
        <v/>
      </c>
      <c r="AT52" s="215" t="str">
        <f t="shared" si="1"/>
        <v/>
      </c>
    </row>
    <row r="53" spans="2:46">
      <c r="B53" s="138"/>
      <c r="C53" s="49">
        <f t="shared" si="2"/>
        <v>47</v>
      </c>
      <c r="D53" s="63" t="s">
        <v>67</v>
      </c>
      <c r="E53" s="63" t="s">
        <v>67</v>
      </c>
      <c r="F53" s="63" t="s">
        <v>67</v>
      </c>
      <c r="G53" s="63" t="s">
        <v>67</v>
      </c>
      <c r="H53" s="63" t="s">
        <v>67</v>
      </c>
      <c r="I53" s="63" t="s">
        <v>67</v>
      </c>
      <c r="J53" s="63" t="s">
        <v>67</v>
      </c>
      <c r="K53" s="63" t="s">
        <v>67</v>
      </c>
      <c r="L53" s="63" t="s">
        <v>67</v>
      </c>
      <c r="M53" s="63" t="s">
        <v>67</v>
      </c>
      <c r="N53" s="63" t="s">
        <v>67</v>
      </c>
      <c r="O53" s="63" t="s">
        <v>67</v>
      </c>
      <c r="P53" s="63" t="s">
        <v>67</v>
      </c>
      <c r="Q53" s="63" t="s">
        <v>67</v>
      </c>
      <c r="R53" s="63" t="s">
        <v>67</v>
      </c>
      <c r="S53" s="63" t="s">
        <v>67</v>
      </c>
      <c r="T53" s="63" t="s">
        <v>67</v>
      </c>
      <c r="U53" s="63" t="s">
        <v>67</v>
      </c>
      <c r="V53" s="63" t="s">
        <v>67</v>
      </c>
      <c r="W53" s="63" t="s">
        <v>67</v>
      </c>
      <c r="X53" s="63" t="s">
        <v>67</v>
      </c>
      <c r="Y53" s="63" t="s">
        <v>67</v>
      </c>
      <c r="Z53" s="63" t="s">
        <v>67</v>
      </c>
      <c r="AA53" s="63" t="s">
        <v>67</v>
      </c>
      <c r="AB53" s="63" t="s">
        <v>67</v>
      </c>
      <c r="AC53" s="63" t="s">
        <v>67</v>
      </c>
      <c r="AD53" s="63" t="s">
        <v>67</v>
      </c>
      <c r="AE53" s="63" t="s">
        <v>67</v>
      </c>
      <c r="AF53" s="63" t="s">
        <v>67</v>
      </c>
      <c r="AG53" s="63" t="s">
        <v>67</v>
      </c>
      <c r="AH53" s="63" t="s">
        <v>67</v>
      </c>
      <c r="AI53" s="63" t="s">
        <v>67</v>
      </c>
      <c r="AJ53" s="53"/>
      <c r="AL53" t="str">
        <f t="shared" ca="1" si="0"/>
        <v xml:space="preserve">    (U1)ALERT_REQ_S_ADBZR_CSR_VOL_</v>
      </c>
      <c r="AR53" s="215" t="str">
        <f t="shared" si="3"/>
        <v/>
      </c>
      <c r="AS53" s="215" t="str">
        <f t="shared" si="4"/>
        <v/>
      </c>
      <c r="AT53" s="215" t="str">
        <f t="shared" si="1"/>
        <v/>
      </c>
    </row>
    <row r="54" spans="2:46">
      <c r="B54" s="138"/>
      <c r="C54" s="49">
        <f t="shared" si="2"/>
        <v>48</v>
      </c>
      <c r="D54" s="63" t="s">
        <v>67</v>
      </c>
      <c r="E54" s="63" t="s">
        <v>67</v>
      </c>
      <c r="F54" s="63" t="s">
        <v>67</v>
      </c>
      <c r="G54" s="63" t="s">
        <v>67</v>
      </c>
      <c r="H54" s="63" t="s">
        <v>67</v>
      </c>
      <c r="I54" s="63" t="s">
        <v>67</v>
      </c>
      <c r="J54" s="63" t="s">
        <v>67</v>
      </c>
      <c r="K54" s="63" t="s">
        <v>67</v>
      </c>
      <c r="L54" s="63" t="s">
        <v>67</v>
      </c>
      <c r="M54" s="63" t="s">
        <v>67</v>
      </c>
      <c r="N54" s="63" t="s">
        <v>67</v>
      </c>
      <c r="O54" s="63" t="s">
        <v>67</v>
      </c>
      <c r="P54" s="63" t="s">
        <v>67</v>
      </c>
      <c r="Q54" s="63" t="s">
        <v>67</v>
      </c>
      <c r="R54" s="63" t="s">
        <v>67</v>
      </c>
      <c r="S54" s="63" t="s">
        <v>67</v>
      </c>
      <c r="T54" s="63" t="s">
        <v>67</v>
      </c>
      <c r="U54" s="63" t="s">
        <v>67</v>
      </c>
      <c r="V54" s="63" t="s">
        <v>67</v>
      </c>
      <c r="W54" s="63" t="s">
        <v>67</v>
      </c>
      <c r="X54" s="63" t="s">
        <v>67</v>
      </c>
      <c r="Y54" s="63" t="s">
        <v>67</v>
      </c>
      <c r="Z54" s="63" t="s">
        <v>67</v>
      </c>
      <c r="AA54" s="63" t="s">
        <v>67</v>
      </c>
      <c r="AB54" s="63" t="s">
        <v>67</v>
      </c>
      <c r="AC54" s="63" t="s">
        <v>67</v>
      </c>
      <c r="AD54" s="63" t="s">
        <v>67</v>
      </c>
      <c r="AE54" s="63" t="s">
        <v>67</v>
      </c>
      <c r="AF54" s="63" t="s">
        <v>67</v>
      </c>
      <c r="AG54" s="63" t="s">
        <v>67</v>
      </c>
      <c r="AH54" s="63" t="s">
        <v>67</v>
      </c>
      <c r="AI54" s="63" t="s">
        <v>67</v>
      </c>
      <c r="AJ54" s="53"/>
      <c r="AL54" t="str">
        <f t="shared" ca="1" si="0"/>
        <v xml:space="preserve">    (U1)ALERT_REQ_S_ADBZR_CSR_VOL_</v>
      </c>
      <c r="AR54" s="215" t="str">
        <f t="shared" si="3"/>
        <v/>
      </c>
      <c r="AS54" s="215" t="str">
        <f t="shared" si="4"/>
        <v/>
      </c>
      <c r="AT54" s="215" t="str">
        <f t="shared" si="1"/>
        <v/>
      </c>
    </row>
    <row r="55" spans="2:46">
      <c r="B55" s="138"/>
      <c r="C55" s="49">
        <f t="shared" si="2"/>
        <v>49</v>
      </c>
      <c r="D55" s="63" t="s">
        <v>67</v>
      </c>
      <c r="E55" s="63" t="s">
        <v>67</v>
      </c>
      <c r="F55" s="63" t="s">
        <v>67</v>
      </c>
      <c r="G55" s="63" t="s">
        <v>67</v>
      </c>
      <c r="H55" s="63" t="s">
        <v>67</v>
      </c>
      <c r="I55" s="63" t="s">
        <v>67</v>
      </c>
      <c r="J55" s="63" t="s">
        <v>67</v>
      </c>
      <c r="K55" s="63" t="s">
        <v>67</v>
      </c>
      <c r="L55" s="63" t="s">
        <v>67</v>
      </c>
      <c r="M55" s="63" t="s">
        <v>67</v>
      </c>
      <c r="N55" s="63" t="s">
        <v>67</v>
      </c>
      <c r="O55" s="63" t="s">
        <v>67</v>
      </c>
      <c r="P55" s="63" t="s">
        <v>67</v>
      </c>
      <c r="Q55" s="63" t="s">
        <v>67</v>
      </c>
      <c r="R55" s="63" t="s">
        <v>67</v>
      </c>
      <c r="S55" s="63" t="s">
        <v>67</v>
      </c>
      <c r="T55" s="63" t="s">
        <v>67</v>
      </c>
      <c r="U55" s="63" t="s">
        <v>67</v>
      </c>
      <c r="V55" s="63" t="s">
        <v>67</v>
      </c>
      <c r="W55" s="63" t="s">
        <v>67</v>
      </c>
      <c r="X55" s="63" t="s">
        <v>67</v>
      </c>
      <c r="Y55" s="63" t="s">
        <v>67</v>
      </c>
      <c r="Z55" s="63" t="s">
        <v>67</v>
      </c>
      <c r="AA55" s="63" t="s">
        <v>67</v>
      </c>
      <c r="AB55" s="63" t="s">
        <v>67</v>
      </c>
      <c r="AC55" s="63" t="s">
        <v>67</v>
      </c>
      <c r="AD55" s="63" t="s">
        <v>67</v>
      </c>
      <c r="AE55" s="63" t="s">
        <v>67</v>
      </c>
      <c r="AF55" s="63" t="s">
        <v>67</v>
      </c>
      <c r="AG55" s="63" t="s">
        <v>67</v>
      </c>
      <c r="AH55" s="63" t="s">
        <v>67</v>
      </c>
      <c r="AI55" s="63" t="s">
        <v>67</v>
      </c>
      <c r="AJ55" s="53"/>
      <c r="AL55" t="str">
        <f t="shared" ca="1" si="0"/>
        <v xml:space="preserve">    (U1)ALERT_REQ_S_ADBZR_CSR_VOL_</v>
      </c>
      <c r="AR55" s="215" t="str">
        <f t="shared" si="3"/>
        <v/>
      </c>
      <c r="AS55" s="215" t="str">
        <f t="shared" si="4"/>
        <v/>
      </c>
      <c r="AT55" s="215" t="str">
        <f t="shared" si="1"/>
        <v/>
      </c>
    </row>
    <row r="56" spans="2:46">
      <c r="B56" s="138"/>
      <c r="C56" s="49">
        <f t="shared" si="2"/>
        <v>50</v>
      </c>
      <c r="D56" s="63" t="s">
        <v>67</v>
      </c>
      <c r="E56" s="63" t="s">
        <v>67</v>
      </c>
      <c r="F56" s="63" t="s">
        <v>67</v>
      </c>
      <c r="G56" s="63" t="s">
        <v>67</v>
      </c>
      <c r="H56" s="63" t="s">
        <v>67</v>
      </c>
      <c r="I56" s="63" t="s">
        <v>67</v>
      </c>
      <c r="J56" s="63" t="s">
        <v>67</v>
      </c>
      <c r="K56" s="63" t="s">
        <v>67</v>
      </c>
      <c r="L56" s="63" t="s">
        <v>67</v>
      </c>
      <c r="M56" s="63" t="s">
        <v>67</v>
      </c>
      <c r="N56" s="63" t="s">
        <v>67</v>
      </c>
      <c r="O56" s="63" t="s">
        <v>67</v>
      </c>
      <c r="P56" s="63" t="s">
        <v>67</v>
      </c>
      <c r="Q56" s="63" t="s">
        <v>67</v>
      </c>
      <c r="R56" s="63" t="s">
        <v>67</v>
      </c>
      <c r="S56" s="63" t="s">
        <v>67</v>
      </c>
      <c r="T56" s="63" t="s">
        <v>67</v>
      </c>
      <c r="U56" s="63" t="s">
        <v>67</v>
      </c>
      <c r="V56" s="63" t="s">
        <v>67</v>
      </c>
      <c r="W56" s="63" t="s">
        <v>67</v>
      </c>
      <c r="X56" s="63" t="s">
        <v>67</v>
      </c>
      <c r="Y56" s="63" t="s">
        <v>67</v>
      </c>
      <c r="Z56" s="63" t="s">
        <v>67</v>
      </c>
      <c r="AA56" s="63" t="s">
        <v>67</v>
      </c>
      <c r="AB56" s="63" t="s">
        <v>67</v>
      </c>
      <c r="AC56" s="63" t="s">
        <v>67</v>
      </c>
      <c r="AD56" s="63" t="s">
        <v>67</v>
      </c>
      <c r="AE56" s="63" t="s">
        <v>67</v>
      </c>
      <c r="AF56" s="63" t="s">
        <v>67</v>
      </c>
      <c r="AG56" s="63" t="s">
        <v>67</v>
      </c>
      <c r="AH56" s="63" t="s">
        <v>67</v>
      </c>
      <c r="AI56" s="63" t="s">
        <v>67</v>
      </c>
      <c r="AJ56" s="53"/>
      <c r="AL56" t="str">
        <f t="shared" ca="1" si="0"/>
        <v xml:space="preserve">    (U1)ALERT_REQ_S_ADBZR_CSR_VOL_</v>
      </c>
      <c r="AR56" s="215" t="str">
        <f t="shared" si="3"/>
        <v/>
      </c>
      <c r="AS56" s="215" t="str">
        <f t="shared" si="4"/>
        <v/>
      </c>
      <c r="AT56" s="215" t="str">
        <f t="shared" si="1"/>
        <v/>
      </c>
    </row>
    <row r="57" spans="2:46">
      <c r="B57" s="138"/>
      <c r="C57" s="49">
        <f t="shared" si="2"/>
        <v>51</v>
      </c>
      <c r="D57" s="63" t="s">
        <v>67</v>
      </c>
      <c r="E57" s="63" t="s">
        <v>67</v>
      </c>
      <c r="F57" s="63" t="s">
        <v>67</v>
      </c>
      <c r="G57" s="63" t="s">
        <v>67</v>
      </c>
      <c r="H57" s="63" t="s">
        <v>67</v>
      </c>
      <c r="I57" s="63" t="s">
        <v>67</v>
      </c>
      <c r="J57" s="63" t="s">
        <v>67</v>
      </c>
      <c r="K57" s="63" t="s">
        <v>67</v>
      </c>
      <c r="L57" s="63" t="s">
        <v>67</v>
      </c>
      <c r="M57" s="63" t="s">
        <v>67</v>
      </c>
      <c r="N57" s="63" t="s">
        <v>67</v>
      </c>
      <c r="O57" s="63" t="s">
        <v>67</v>
      </c>
      <c r="P57" s="63" t="s">
        <v>67</v>
      </c>
      <c r="Q57" s="63" t="s">
        <v>67</v>
      </c>
      <c r="R57" s="63" t="s">
        <v>67</v>
      </c>
      <c r="S57" s="63" t="s">
        <v>67</v>
      </c>
      <c r="T57" s="63" t="s">
        <v>67</v>
      </c>
      <c r="U57" s="63" t="s">
        <v>67</v>
      </c>
      <c r="V57" s="63" t="s">
        <v>67</v>
      </c>
      <c r="W57" s="63" t="s">
        <v>67</v>
      </c>
      <c r="X57" s="63" t="s">
        <v>67</v>
      </c>
      <c r="Y57" s="63" t="s">
        <v>67</v>
      </c>
      <c r="Z57" s="63" t="s">
        <v>67</v>
      </c>
      <c r="AA57" s="63" t="s">
        <v>67</v>
      </c>
      <c r="AB57" s="63" t="s">
        <v>67</v>
      </c>
      <c r="AC57" s="63" t="s">
        <v>67</v>
      </c>
      <c r="AD57" s="63" t="s">
        <v>67</v>
      </c>
      <c r="AE57" s="63" t="s">
        <v>67</v>
      </c>
      <c r="AF57" s="63" t="s">
        <v>67</v>
      </c>
      <c r="AG57" s="63" t="s">
        <v>67</v>
      </c>
      <c r="AH57" s="63" t="s">
        <v>67</v>
      </c>
      <c r="AI57" s="63" t="s">
        <v>67</v>
      </c>
      <c r="AJ57" s="53"/>
      <c r="AL57" t="str">
        <f t="shared" ca="1" si="0"/>
        <v xml:space="preserve">    (U1)ALERT_REQ_S_ADBZR_CSR_VOL_</v>
      </c>
      <c r="AR57" s="215" t="str">
        <f t="shared" si="3"/>
        <v/>
      </c>
      <c r="AS57" s="215" t="str">
        <f t="shared" si="4"/>
        <v/>
      </c>
      <c r="AT57" s="215" t="str">
        <f t="shared" si="1"/>
        <v/>
      </c>
    </row>
    <row r="58" spans="2:46">
      <c r="B58" s="138"/>
      <c r="C58" s="49">
        <f t="shared" si="2"/>
        <v>52</v>
      </c>
      <c r="D58" s="63" t="s">
        <v>67</v>
      </c>
      <c r="E58" s="63" t="s">
        <v>67</v>
      </c>
      <c r="F58" s="63" t="s">
        <v>67</v>
      </c>
      <c r="G58" s="63" t="s">
        <v>67</v>
      </c>
      <c r="H58" s="63" t="s">
        <v>67</v>
      </c>
      <c r="I58" s="63" t="s">
        <v>67</v>
      </c>
      <c r="J58" s="63" t="s">
        <v>67</v>
      </c>
      <c r="K58" s="63" t="s">
        <v>67</v>
      </c>
      <c r="L58" s="63" t="s">
        <v>67</v>
      </c>
      <c r="M58" s="63" t="s">
        <v>67</v>
      </c>
      <c r="N58" s="63" t="s">
        <v>67</v>
      </c>
      <c r="O58" s="63" t="s">
        <v>67</v>
      </c>
      <c r="P58" s="63" t="s">
        <v>67</v>
      </c>
      <c r="Q58" s="63" t="s">
        <v>67</v>
      </c>
      <c r="R58" s="63" t="s">
        <v>67</v>
      </c>
      <c r="S58" s="63" t="s">
        <v>67</v>
      </c>
      <c r="T58" s="63" t="s">
        <v>67</v>
      </c>
      <c r="U58" s="63" t="s">
        <v>67</v>
      </c>
      <c r="V58" s="63" t="s">
        <v>67</v>
      </c>
      <c r="W58" s="63" t="s">
        <v>67</v>
      </c>
      <c r="X58" s="63" t="s">
        <v>67</v>
      </c>
      <c r="Y58" s="63" t="s">
        <v>67</v>
      </c>
      <c r="Z58" s="63" t="s">
        <v>67</v>
      </c>
      <c r="AA58" s="63" t="s">
        <v>67</v>
      </c>
      <c r="AB58" s="63" t="s">
        <v>67</v>
      </c>
      <c r="AC58" s="63" t="s">
        <v>67</v>
      </c>
      <c r="AD58" s="63" t="s">
        <v>67</v>
      </c>
      <c r="AE58" s="63" t="s">
        <v>67</v>
      </c>
      <c r="AF58" s="63" t="s">
        <v>67</v>
      </c>
      <c r="AG58" s="63" t="s">
        <v>67</v>
      </c>
      <c r="AH58" s="63" t="s">
        <v>67</v>
      </c>
      <c r="AI58" s="63" t="s">
        <v>67</v>
      </c>
      <c r="AJ58" s="53"/>
      <c r="AL58" t="str">
        <f t="shared" ca="1" si="0"/>
        <v xml:space="preserve">    (U1)ALERT_REQ_S_ADBZR_CSR_VOL_</v>
      </c>
      <c r="AR58" s="215" t="str">
        <f t="shared" si="3"/>
        <v/>
      </c>
      <c r="AS58" s="215" t="str">
        <f t="shared" si="4"/>
        <v/>
      </c>
      <c r="AT58" s="215" t="str">
        <f t="shared" si="1"/>
        <v/>
      </c>
    </row>
    <row r="59" spans="2:46">
      <c r="B59" s="138"/>
      <c r="C59" s="49">
        <f t="shared" si="2"/>
        <v>53</v>
      </c>
      <c r="D59" s="63" t="s">
        <v>67</v>
      </c>
      <c r="E59" s="63" t="s">
        <v>67</v>
      </c>
      <c r="F59" s="63" t="s">
        <v>67</v>
      </c>
      <c r="G59" s="63" t="s">
        <v>67</v>
      </c>
      <c r="H59" s="63" t="s">
        <v>67</v>
      </c>
      <c r="I59" s="63" t="s">
        <v>67</v>
      </c>
      <c r="J59" s="63" t="s">
        <v>67</v>
      </c>
      <c r="K59" s="63" t="s">
        <v>67</v>
      </c>
      <c r="L59" s="63" t="s">
        <v>67</v>
      </c>
      <c r="M59" s="63" t="s">
        <v>67</v>
      </c>
      <c r="N59" s="63" t="s">
        <v>67</v>
      </c>
      <c r="O59" s="63" t="s">
        <v>67</v>
      </c>
      <c r="P59" s="63" t="s">
        <v>67</v>
      </c>
      <c r="Q59" s="63" t="s">
        <v>67</v>
      </c>
      <c r="R59" s="63" t="s">
        <v>67</v>
      </c>
      <c r="S59" s="63" t="s">
        <v>67</v>
      </c>
      <c r="T59" s="63" t="s">
        <v>67</v>
      </c>
      <c r="U59" s="63" t="s">
        <v>67</v>
      </c>
      <c r="V59" s="63" t="s">
        <v>67</v>
      </c>
      <c r="W59" s="63" t="s">
        <v>67</v>
      </c>
      <c r="X59" s="63" t="s">
        <v>67</v>
      </c>
      <c r="Y59" s="63" t="s">
        <v>67</v>
      </c>
      <c r="Z59" s="63" t="s">
        <v>67</v>
      </c>
      <c r="AA59" s="63" t="s">
        <v>67</v>
      </c>
      <c r="AB59" s="63" t="s">
        <v>67</v>
      </c>
      <c r="AC59" s="63" t="s">
        <v>67</v>
      </c>
      <c r="AD59" s="63" t="s">
        <v>67</v>
      </c>
      <c r="AE59" s="63" t="s">
        <v>67</v>
      </c>
      <c r="AF59" s="63" t="s">
        <v>67</v>
      </c>
      <c r="AG59" s="63" t="s">
        <v>67</v>
      </c>
      <c r="AH59" s="63" t="s">
        <v>67</v>
      </c>
      <c r="AI59" s="63" t="s">
        <v>67</v>
      </c>
      <c r="AJ59" s="53"/>
      <c r="AL59" t="str">
        <f t="shared" ca="1" si="0"/>
        <v xml:space="preserve">    (U1)ALERT_REQ_S_ADBZR_CSR_VOL_</v>
      </c>
      <c r="AR59" s="215" t="str">
        <f t="shared" si="3"/>
        <v/>
      </c>
      <c r="AS59" s="215" t="str">
        <f t="shared" si="4"/>
        <v/>
      </c>
      <c r="AT59" s="215" t="str">
        <f t="shared" si="1"/>
        <v/>
      </c>
    </row>
    <row r="60" spans="2:46">
      <c r="B60" s="138"/>
      <c r="C60" s="49">
        <f t="shared" si="2"/>
        <v>54</v>
      </c>
      <c r="D60" s="63" t="s">
        <v>67</v>
      </c>
      <c r="E60" s="63" t="s">
        <v>67</v>
      </c>
      <c r="F60" s="63" t="s">
        <v>67</v>
      </c>
      <c r="G60" s="63" t="s">
        <v>67</v>
      </c>
      <c r="H60" s="63" t="s">
        <v>67</v>
      </c>
      <c r="I60" s="63" t="s">
        <v>67</v>
      </c>
      <c r="J60" s="63" t="s">
        <v>67</v>
      </c>
      <c r="K60" s="63" t="s">
        <v>67</v>
      </c>
      <c r="L60" s="63" t="s">
        <v>67</v>
      </c>
      <c r="M60" s="63" t="s">
        <v>67</v>
      </c>
      <c r="N60" s="63" t="s">
        <v>67</v>
      </c>
      <c r="O60" s="63" t="s">
        <v>67</v>
      </c>
      <c r="P60" s="63" t="s">
        <v>67</v>
      </c>
      <c r="Q60" s="63" t="s">
        <v>67</v>
      </c>
      <c r="R60" s="63" t="s">
        <v>67</v>
      </c>
      <c r="S60" s="63" t="s">
        <v>67</v>
      </c>
      <c r="T60" s="63" t="s">
        <v>67</v>
      </c>
      <c r="U60" s="63" t="s">
        <v>67</v>
      </c>
      <c r="V60" s="63" t="s">
        <v>67</v>
      </c>
      <c r="W60" s="63" t="s">
        <v>67</v>
      </c>
      <c r="X60" s="63" t="s">
        <v>67</v>
      </c>
      <c r="Y60" s="63" t="s">
        <v>67</v>
      </c>
      <c r="Z60" s="63" t="s">
        <v>67</v>
      </c>
      <c r="AA60" s="63" t="s">
        <v>67</v>
      </c>
      <c r="AB60" s="63" t="s">
        <v>67</v>
      </c>
      <c r="AC60" s="63" t="s">
        <v>67</v>
      </c>
      <c r="AD60" s="63" t="s">
        <v>67</v>
      </c>
      <c r="AE60" s="63" t="s">
        <v>67</v>
      </c>
      <c r="AF60" s="63" t="s">
        <v>67</v>
      </c>
      <c r="AG60" s="63" t="s">
        <v>67</v>
      </c>
      <c r="AH60" s="63" t="s">
        <v>67</v>
      </c>
      <c r="AI60" s="63" t="s">
        <v>67</v>
      </c>
      <c r="AJ60" s="53"/>
      <c r="AL60" t="str">
        <f t="shared" ca="1" si="0"/>
        <v xml:space="preserve">    (U1)ALERT_REQ_S_ADBZR_CSR_VOL_</v>
      </c>
      <c r="AR60" s="215" t="str">
        <f t="shared" si="3"/>
        <v/>
      </c>
      <c r="AS60" s="215" t="str">
        <f t="shared" si="4"/>
        <v/>
      </c>
      <c r="AT60" s="215" t="str">
        <f t="shared" si="1"/>
        <v/>
      </c>
    </row>
    <row r="61" spans="2:46">
      <c r="B61" s="138"/>
      <c r="C61" s="49">
        <f t="shared" si="2"/>
        <v>55</v>
      </c>
      <c r="D61" s="63" t="s">
        <v>67</v>
      </c>
      <c r="E61" s="63" t="s">
        <v>67</v>
      </c>
      <c r="F61" s="63" t="s">
        <v>67</v>
      </c>
      <c r="G61" s="63" t="s">
        <v>67</v>
      </c>
      <c r="H61" s="63" t="s">
        <v>67</v>
      </c>
      <c r="I61" s="63" t="s">
        <v>67</v>
      </c>
      <c r="J61" s="63" t="s">
        <v>67</v>
      </c>
      <c r="K61" s="63" t="s">
        <v>67</v>
      </c>
      <c r="L61" s="63" t="s">
        <v>67</v>
      </c>
      <c r="M61" s="63" t="s">
        <v>67</v>
      </c>
      <c r="N61" s="63" t="s">
        <v>67</v>
      </c>
      <c r="O61" s="63" t="s">
        <v>67</v>
      </c>
      <c r="P61" s="63" t="s">
        <v>67</v>
      </c>
      <c r="Q61" s="63" t="s">
        <v>67</v>
      </c>
      <c r="R61" s="63" t="s">
        <v>67</v>
      </c>
      <c r="S61" s="63" t="s">
        <v>67</v>
      </c>
      <c r="T61" s="63" t="s">
        <v>67</v>
      </c>
      <c r="U61" s="63" t="s">
        <v>67</v>
      </c>
      <c r="V61" s="63" t="s">
        <v>67</v>
      </c>
      <c r="W61" s="63" t="s">
        <v>67</v>
      </c>
      <c r="X61" s="63" t="s">
        <v>67</v>
      </c>
      <c r="Y61" s="63" t="s">
        <v>67</v>
      </c>
      <c r="Z61" s="63" t="s">
        <v>67</v>
      </c>
      <c r="AA61" s="63" t="s">
        <v>67</v>
      </c>
      <c r="AB61" s="63" t="s">
        <v>67</v>
      </c>
      <c r="AC61" s="63" t="s">
        <v>67</v>
      </c>
      <c r="AD61" s="63" t="s">
        <v>67</v>
      </c>
      <c r="AE61" s="63" t="s">
        <v>67</v>
      </c>
      <c r="AF61" s="63" t="s">
        <v>67</v>
      </c>
      <c r="AG61" s="63" t="s">
        <v>67</v>
      </c>
      <c r="AH61" s="63" t="s">
        <v>67</v>
      </c>
      <c r="AI61" s="63" t="s">
        <v>67</v>
      </c>
      <c r="AJ61" s="53"/>
      <c r="AL61" t="str">
        <f t="shared" ca="1" si="0"/>
        <v xml:space="preserve">    (U1)ALERT_REQ_S_ADBZR_CSR_VOL_</v>
      </c>
      <c r="AR61" s="215" t="str">
        <f t="shared" si="3"/>
        <v/>
      </c>
      <c r="AS61" s="215" t="str">
        <f t="shared" si="4"/>
        <v/>
      </c>
      <c r="AT61" s="215" t="str">
        <f t="shared" si="1"/>
        <v/>
      </c>
    </row>
    <row r="62" spans="2:46">
      <c r="B62" s="138"/>
      <c r="C62" s="49">
        <f t="shared" si="2"/>
        <v>56</v>
      </c>
      <c r="D62" s="63" t="s">
        <v>67</v>
      </c>
      <c r="E62" s="63" t="s">
        <v>67</v>
      </c>
      <c r="F62" s="63" t="s">
        <v>67</v>
      </c>
      <c r="G62" s="63" t="s">
        <v>67</v>
      </c>
      <c r="H62" s="63" t="s">
        <v>67</v>
      </c>
      <c r="I62" s="63" t="s">
        <v>67</v>
      </c>
      <c r="J62" s="63" t="s">
        <v>67</v>
      </c>
      <c r="K62" s="63" t="s">
        <v>67</v>
      </c>
      <c r="L62" s="63" t="s">
        <v>67</v>
      </c>
      <c r="M62" s="63" t="s">
        <v>67</v>
      </c>
      <c r="N62" s="63" t="s">
        <v>67</v>
      </c>
      <c r="O62" s="63" t="s">
        <v>67</v>
      </c>
      <c r="P62" s="63" t="s">
        <v>67</v>
      </c>
      <c r="Q62" s="63" t="s">
        <v>67</v>
      </c>
      <c r="R62" s="63" t="s">
        <v>67</v>
      </c>
      <c r="S62" s="63" t="s">
        <v>67</v>
      </c>
      <c r="T62" s="63" t="s">
        <v>67</v>
      </c>
      <c r="U62" s="63" t="s">
        <v>67</v>
      </c>
      <c r="V62" s="63" t="s">
        <v>67</v>
      </c>
      <c r="W62" s="63" t="s">
        <v>67</v>
      </c>
      <c r="X62" s="63" t="s">
        <v>67</v>
      </c>
      <c r="Y62" s="63" t="s">
        <v>67</v>
      </c>
      <c r="Z62" s="63" t="s">
        <v>67</v>
      </c>
      <c r="AA62" s="63" t="s">
        <v>67</v>
      </c>
      <c r="AB62" s="63" t="s">
        <v>67</v>
      </c>
      <c r="AC62" s="63" t="s">
        <v>67</v>
      </c>
      <c r="AD62" s="63" t="s">
        <v>67</v>
      </c>
      <c r="AE62" s="63" t="s">
        <v>67</v>
      </c>
      <c r="AF62" s="63" t="s">
        <v>67</v>
      </c>
      <c r="AG62" s="63" t="s">
        <v>67</v>
      </c>
      <c r="AH62" s="63" t="s">
        <v>67</v>
      </c>
      <c r="AI62" s="63" t="s">
        <v>67</v>
      </c>
      <c r="AJ62" s="53"/>
      <c r="AL62" t="str">
        <f t="shared" ca="1" si="0"/>
        <v xml:space="preserve">    (U1)ALERT_REQ_S_ADBZR_CSR_VOL_</v>
      </c>
      <c r="AR62" s="215" t="str">
        <f t="shared" si="3"/>
        <v/>
      </c>
      <c r="AS62" s="215" t="str">
        <f t="shared" si="4"/>
        <v/>
      </c>
      <c r="AT62" s="215" t="str">
        <f t="shared" si="1"/>
        <v/>
      </c>
    </row>
    <row r="63" spans="2:46">
      <c r="B63" s="138"/>
      <c r="C63" s="49">
        <f t="shared" si="2"/>
        <v>57</v>
      </c>
      <c r="D63" s="63" t="s">
        <v>67</v>
      </c>
      <c r="E63" s="63" t="s">
        <v>67</v>
      </c>
      <c r="F63" s="63" t="s">
        <v>67</v>
      </c>
      <c r="G63" s="63" t="s">
        <v>67</v>
      </c>
      <c r="H63" s="63" t="s">
        <v>67</v>
      </c>
      <c r="I63" s="63" t="s">
        <v>67</v>
      </c>
      <c r="J63" s="63" t="s">
        <v>67</v>
      </c>
      <c r="K63" s="63" t="s">
        <v>67</v>
      </c>
      <c r="L63" s="63" t="s">
        <v>67</v>
      </c>
      <c r="M63" s="63" t="s">
        <v>67</v>
      </c>
      <c r="N63" s="63" t="s">
        <v>67</v>
      </c>
      <c r="O63" s="63" t="s">
        <v>67</v>
      </c>
      <c r="P63" s="63" t="s">
        <v>67</v>
      </c>
      <c r="Q63" s="63" t="s">
        <v>67</v>
      </c>
      <c r="R63" s="63" t="s">
        <v>67</v>
      </c>
      <c r="S63" s="63" t="s">
        <v>67</v>
      </c>
      <c r="T63" s="63" t="s">
        <v>67</v>
      </c>
      <c r="U63" s="63" t="s">
        <v>67</v>
      </c>
      <c r="V63" s="63" t="s">
        <v>67</v>
      </c>
      <c r="W63" s="63" t="s">
        <v>67</v>
      </c>
      <c r="X63" s="63" t="s">
        <v>67</v>
      </c>
      <c r="Y63" s="63" t="s">
        <v>67</v>
      </c>
      <c r="Z63" s="63" t="s">
        <v>67</v>
      </c>
      <c r="AA63" s="63" t="s">
        <v>67</v>
      </c>
      <c r="AB63" s="63" t="s">
        <v>67</v>
      </c>
      <c r="AC63" s="63" t="s">
        <v>67</v>
      </c>
      <c r="AD63" s="63" t="s">
        <v>67</v>
      </c>
      <c r="AE63" s="63" t="s">
        <v>67</v>
      </c>
      <c r="AF63" s="63" t="s">
        <v>67</v>
      </c>
      <c r="AG63" s="63" t="s">
        <v>67</v>
      </c>
      <c r="AH63" s="63" t="s">
        <v>67</v>
      </c>
      <c r="AI63" s="63" t="s">
        <v>67</v>
      </c>
      <c r="AJ63" s="53"/>
      <c r="AL63" t="str">
        <f t="shared" ca="1" si="0"/>
        <v xml:space="preserve">    (U1)ALERT_REQ_S_ADBZR_CSR_VOL_</v>
      </c>
      <c r="AR63" s="215" t="str">
        <f t="shared" si="3"/>
        <v/>
      </c>
      <c r="AS63" s="215" t="str">
        <f t="shared" si="4"/>
        <v/>
      </c>
      <c r="AT63" s="215" t="str">
        <f t="shared" si="1"/>
        <v/>
      </c>
    </row>
    <row r="64" spans="2:46">
      <c r="B64" s="138"/>
      <c r="C64" s="49">
        <f t="shared" si="2"/>
        <v>58</v>
      </c>
      <c r="D64" s="63" t="s">
        <v>67</v>
      </c>
      <c r="E64" s="63" t="s">
        <v>67</v>
      </c>
      <c r="F64" s="63" t="s">
        <v>67</v>
      </c>
      <c r="G64" s="63" t="s">
        <v>67</v>
      </c>
      <c r="H64" s="63" t="s">
        <v>67</v>
      </c>
      <c r="I64" s="63" t="s">
        <v>67</v>
      </c>
      <c r="J64" s="63" t="s">
        <v>67</v>
      </c>
      <c r="K64" s="63" t="s">
        <v>67</v>
      </c>
      <c r="L64" s="63" t="s">
        <v>67</v>
      </c>
      <c r="M64" s="63" t="s">
        <v>67</v>
      </c>
      <c r="N64" s="63" t="s">
        <v>67</v>
      </c>
      <c r="O64" s="63" t="s">
        <v>67</v>
      </c>
      <c r="P64" s="63" t="s">
        <v>67</v>
      </c>
      <c r="Q64" s="63" t="s">
        <v>67</v>
      </c>
      <c r="R64" s="63" t="s">
        <v>67</v>
      </c>
      <c r="S64" s="63" t="s">
        <v>67</v>
      </c>
      <c r="T64" s="63" t="s">
        <v>67</v>
      </c>
      <c r="U64" s="63" t="s">
        <v>67</v>
      </c>
      <c r="V64" s="63" t="s">
        <v>67</v>
      </c>
      <c r="W64" s="63" t="s">
        <v>67</v>
      </c>
      <c r="X64" s="63" t="s">
        <v>67</v>
      </c>
      <c r="Y64" s="63" t="s">
        <v>67</v>
      </c>
      <c r="Z64" s="63" t="s">
        <v>67</v>
      </c>
      <c r="AA64" s="63" t="s">
        <v>67</v>
      </c>
      <c r="AB64" s="63" t="s">
        <v>67</v>
      </c>
      <c r="AC64" s="63" t="s">
        <v>67</v>
      </c>
      <c r="AD64" s="63" t="s">
        <v>67</v>
      </c>
      <c r="AE64" s="63" t="s">
        <v>67</v>
      </c>
      <c r="AF64" s="63" t="s">
        <v>67</v>
      </c>
      <c r="AG64" s="63" t="s">
        <v>67</v>
      </c>
      <c r="AH64" s="63" t="s">
        <v>67</v>
      </c>
      <c r="AI64" s="63" t="s">
        <v>67</v>
      </c>
      <c r="AJ64" s="53"/>
      <c r="AL64" t="str">
        <f t="shared" ca="1" si="0"/>
        <v xml:space="preserve">    (U1)ALERT_REQ_S_ADBZR_CSR_VOL_</v>
      </c>
      <c r="AR64" s="215" t="str">
        <f t="shared" si="3"/>
        <v/>
      </c>
      <c r="AS64" s="215" t="str">
        <f t="shared" si="4"/>
        <v/>
      </c>
      <c r="AT64" s="215" t="str">
        <f t="shared" si="1"/>
        <v/>
      </c>
    </row>
    <row r="65" spans="1:46">
      <c r="B65" s="138"/>
      <c r="C65" s="49">
        <f t="shared" si="2"/>
        <v>59</v>
      </c>
      <c r="D65" s="63" t="s">
        <v>67</v>
      </c>
      <c r="E65" s="63" t="s">
        <v>67</v>
      </c>
      <c r="F65" s="63" t="s">
        <v>67</v>
      </c>
      <c r="G65" s="63" t="s">
        <v>67</v>
      </c>
      <c r="H65" s="63" t="s">
        <v>67</v>
      </c>
      <c r="I65" s="63" t="s">
        <v>67</v>
      </c>
      <c r="J65" s="63" t="s">
        <v>67</v>
      </c>
      <c r="K65" s="63" t="s">
        <v>67</v>
      </c>
      <c r="L65" s="63" t="s">
        <v>67</v>
      </c>
      <c r="M65" s="63" t="s">
        <v>67</v>
      </c>
      <c r="N65" s="63" t="s">
        <v>67</v>
      </c>
      <c r="O65" s="63" t="s">
        <v>67</v>
      </c>
      <c r="P65" s="63" t="s">
        <v>67</v>
      </c>
      <c r="Q65" s="63" t="s">
        <v>67</v>
      </c>
      <c r="R65" s="63" t="s">
        <v>67</v>
      </c>
      <c r="S65" s="63" t="s">
        <v>67</v>
      </c>
      <c r="T65" s="63" t="s">
        <v>67</v>
      </c>
      <c r="U65" s="63" t="s">
        <v>67</v>
      </c>
      <c r="V65" s="63" t="s">
        <v>67</v>
      </c>
      <c r="W65" s="63" t="s">
        <v>67</v>
      </c>
      <c r="X65" s="63" t="s">
        <v>67</v>
      </c>
      <c r="Y65" s="63" t="s">
        <v>67</v>
      </c>
      <c r="Z65" s="63" t="s">
        <v>67</v>
      </c>
      <c r="AA65" s="63" t="s">
        <v>67</v>
      </c>
      <c r="AB65" s="63" t="s">
        <v>67</v>
      </c>
      <c r="AC65" s="63" t="s">
        <v>67</v>
      </c>
      <c r="AD65" s="63" t="s">
        <v>67</v>
      </c>
      <c r="AE65" s="63" t="s">
        <v>67</v>
      </c>
      <c r="AF65" s="63" t="s">
        <v>67</v>
      </c>
      <c r="AG65" s="63" t="s">
        <v>67</v>
      </c>
      <c r="AH65" s="63" t="s">
        <v>67</v>
      </c>
      <c r="AI65" s="63" t="s">
        <v>67</v>
      </c>
      <c r="AJ65" s="53"/>
      <c r="AL65" t="str">
        <f t="shared" ca="1" si="0"/>
        <v xml:space="preserve">    (U1)ALERT_REQ_S_ADBZR_CSR_VOL_</v>
      </c>
      <c r="AR65" s="215" t="str">
        <f t="shared" si="3"/>
        <v/>
      </c>
      <c r="AS65" s="215" t="str">
        <f t="shared" si="4"/>
        <v/>
      </c>
      <c r="AT65" s="215" t="str">
        <f t="shared" si="1"/>
        <v/>
      </c>
    </row>
    <row r="66" spans="1:46">
      <c r="B66" s="138"/>
      <c r="C66" s="49">
        <f t="shared" si="2"/>
        <v>60</v>
      </c>
      <c r="D66" s="63" t="s">
        <v>67</v>
      </c>
      <c r="E66" s="63" t="s">
        <v>67</v>
      </c>
      <c r="F66" s="63" t="s">
        <v>67</v>
      </c>
      <c r="G66" s="63" t="s">
        <v>67</v>
      </c>
      <c r="H66" s="63" t="s">
        <v>67</v>
      </c>
      <c r="I66" s="63" t="s">
        <v>67</v>
      </c>
      <c r="J66" s="63" t="s">
        <v>67</v>
      </c>
      <c r="K66" s="63" t="s">
        <v>67</v>
      </c>
      <c r="L66" s="63" t="s">
        <v>67</v>
      </c>
      <c r="M66" s="63" t="s">
        <v>67</v>
      </c>
      <c r="N66" s="63" t="s">
        <v>67</v>
      </c>
      <c r="O66" s="63" t="s">
        <v>67</v>
      </c>
      <c r="P66" s="63" t="s">
        <v>67</v>
      </c>
      <c r="Q66" s="63" t="s">
        <v>67</v>
      </c>
      <c r="R66" s="63" t="s">
        <v>67</v>
      </c>
      <c r="S66" s="63" t="s">
        <v>67</v>
      </c>
      <c r="T66" s="63" t="s">
        <v>67</v>
      </c>
      <c r="U66" s="63" t="s">
        <v>67</v>
      </c>
      <c r="V66" s="63" t="s">
        <v>67</v>
      </c>
      <c r="W66" s="63" t="s">
        <v>67</v>
      </c>
      <c r="X66" s="63" t="s">
        <v>67</v>
      </c>
      <c r="Y66" s="63" t="s">
        <v>67</v>
      </c>
      <c r="Z66" s="63" t="s">
        <v>67</v>
      </c>
      <c r="AA66" s="63" t="s">
        <v>67</v>
      </c>
      <c r="AB66" s="63" t="s">
        <v>67</v>
      </c>
      <c r="AC66" s="63" t="s">
        <v>67</v>
      </c>
      <c r="AD66" s="63" t="s">
        <v>67</v>
      </c>
      <c r="AE66" s="63" t="s">
        <v>67</v>
      </c>
      <c r="AF66" s="63" t="s">
        <v>67</v>
      </c>
      <c r="AG66" s="63" t="s">
        <v>67</v>
      </c>
      <c r="AH66" s="63" t="s">
        <v>67</v>
      </c>
      <c r="AI66" s="63" t="s">
        <v>67</v>
      </c>
      <c r="AJ66" s="53"/>
      <c r="AL66" t="str">
        <f t="shared" ca="1" si="0"/>
        <v xml:space="preserve">    (U1)ALERT_REQ_S_ADBZR_CSR_VOL_</v>
      </c>
      <c r="AR66" s="215" t="str">
        <f t="shared" si="3"/>
        <v/>
      </c>
      <c r="AS66" s="215" t="str">
        <f t="shared" si="4"/>
        <v/>
      </c>
      <c r="AT66" s="215" t="str">
        <f t="shared" si="1"/>
        <v/>
      </c>
    </row>
    <row r="67" spans="1:46">
      <c r="B67" s="138"/>
      <c r="C67" s="49">
        <f t="shared" si="2"/>
        <v>61</v>
      </c>
      <c r="D67" s="63" t="s">
        <v>67</v>
      </c>
      <c r="E67" s="63" t="s">
        <v>67</v>
      </c>
      <c r="F67" s="63" t="s">
        <v>67</v>
      </c>
      <c r="G67" s="63" t="s">
        <v>67</v>
      </c>
      <c r="H67" s="63" t="s">
        <v>67</v>
      </c>
      <c r="I67" s="63" t="s">
        <v>67</v>
      </c>
      <c r="J67" s="63" t="s">
        <v>67</v>
      </c>
      <c r="K67" s="63" t="s">
        <v>67</v>
      </c>
      <c r="L67" s="63" t="s">
        <v>67</v>
      </c>
      <c r="M67" s="63" t="s">
        <v>67</v>
      </c>
      <c r="N67" s="63" t="s">
        <v>67</v>
      </c>
      <c r="O67" s="63" t="s">
        <v>67</v>
      </c>
      <c r="P67" s="63" t="s">
        <v>67</v>
      </c>
      <c r="Q67" s="63" t="s">
        <v>67</v>
      </c>
      <c r="R67" s="63" t="s">
        <v>67</v>
      </c>
      <c r="S67" s="63" t="s">
        <v>67</v>
      </c>
      <c r="T67" s="63" t="s">
        <v>67</v>
      </c>
      <c r="U67" s="63" t="s">
        <v>67</v>
      </c>
      <c r="V67" s="63" t="s">
        <v>67</v>
      </c>
      <c r="W67" s="63" t="s">
        <v>67</v>
      </c>
      <c r="X67" s="63" t="s">
        <v>67</v>
      </c>
      <c r="Y67" s="63" t="s">
        <v>67</v>
      </c>
      <c r="Z67" s="63" t="s">
        <v>67</v>
      </c>
      <c r="AA67" s="63" t="s">
        <v>67</v>
      </c>
      <c r="AB67" s="63" t="s">
        <v>67</v>
      </c>
      <c r="AC67" s="63" t="s">
        <v>67</v>
      </c>
      <c r="AD67" s="63" t="s">
        <v>67</v>
      </c>
      <c r="AE67" s="63" t="s">
        <v>67</v>
      </c>
      <c r="AF67" s="63" t="s">
        <v>67</v>
      </c>
      <c r="AG67" s="63" t="s">
        <v>67</v>
      </c>
      <c r="AH67" s="63" t="s">
        <v>67</v>
      </c>
      <c r="AI67" s="63" t="s">
        <v>67</v>
      </c>
      <c r="AJ67" s="53"/>
      <c r="AL67" t="str">
        <f t="shared" ca="1" si="0"/>
        <v xml:space="preserve">    (U1)ALERT_REQ_S_ADBZR_CSR_VOL_</v>
      </c>
      <c r="AR67" s="215" t="str">
        <f t="shared" si="3"/>
        <v/>
      </c>
      <c r="AS67" s="215" t="str">
        <f t="shared" si="4"/>
        <v/>
      </c>
      <c r="AT67" s="215" t="str">
        <f t="shared" si="1"/>
        <v/>
      </c>
    </row>
    <row r="68" spans="1:46">
      <c r="B68" s="138"/>
      <c r="C68" s="49">
        <f t="shared" si="2"/>
        <v>62</v>
      </c>
      <c r="D68" s="63" t="s">
        <v>67</v>
      </c>
      <c r="E68" s="63" t="s">
        <v>67</v>
      </c>
      <c r="F68" s="63" t="s">
        <v>67</v>
      </c>
      <c r="G68" s="63" t="s">
        <v>67</v>
      </c>
      <c r="H68" s="63" t="s">
        <v>67</v>
      </c>
      <c r="I68" s="63" t="s">
        <v>67</v>
      </c>
      <c r="J68" s="63" t="s">
        <v>67</v>
      </c>
      <c r="K68" s="63" t="s">
        <v>67</v>
      </c>
      <c r="L68" s="63" t="s">
        <v>67</v>
      </c>
      <c r="M68" s="63" t="s">
        <v>67</v>
      </c>
      <c r="N68" s="63" t="s">
        <v>67</v>
      </c>
      <c r="O68" s="63" t="s">
        <v>67</v>
      </c>
      <c r="P68" s="63" t="s">
        <v>67</v>
      </c>
      <c r="Q68" s="63" t="s">
        <v>67</v>
      </c>
      <c r="R68" s="63" t="s">
        <v>67</v>
      </c>
      <c r="S68" s="63" t="s">
        <v>67</v>
      </c>
      <c r="T68" s="63" t="s">
        <v>67</v>
      </c>
      <c r="U68" s="63" t="s">
        <v>67</v>
      </c>
      <c r="V68" s="63" t="s">
        <v>67</v>
      </c>
      <c r="W68" s="63" t="s">
        <v>67</v>
      </c>
      <c r="X68" s="63" t="s">
        <v>67</v>
      </c>
      <c r="Y68" s="63" t="s">
        <v>67</v>
      </c>
      <c r="Z68" s="63" t="s">
        <v>67</v>
      </c>
      <c r="AA68" s="63" t="s">
        <v>67</v>
      </c>
      <c r="AB68" s="63" t="s">
        <v>67</v>
      </c>
      <c r="AC68" s="63" t="s">
        <v>67</v>
      </c>
      <c r="AD68" s="63" t="s">
        <v>67</v>
      </c>
      <c r="AE68" s="63" t="s">
        <v>67</v>
      </c>
      <c r="AF68" s="63" t="s">
        <v>67</v>
      </c>
      <c r="AG68" s="63" t="s">
        <v>67</v>
      </c>
      <c r="AH68" s="63" t="s">
        <v>67</v>
      </c>
      <c r="AI68" s="63" t="s">
        <v>67</v>
      </c>
      <c r="AJ68" s="53"/>
      <c r="AL68" t="str">
        <f t="shared" ca="1" si="0"/>
        <v xml:space="preserve">    (U1)ALERT_REQ_S_ADBZR_CSR_VOL_</v>
      </c>
      <c r="AR68" s="215" t="str">
        <f t="shared" si="3"/>
        <v/>
      </c>
      <c r="AS68" s="215" t="str">
        <f t="shared" si="4"/>
        <v/>
      </c>
      <c r="AT68" s="215" t="str">
        <f t="shared" si="1"/>
        <v/>
      </c>
    </row>
    <row r="69" spans="1:46">
      <c r="B69" s="139"/>
      <c r="C69" s="49">
        <f t="shared" si="2"/>
        <v>63</v>
      </c>
      <c r="D69" s="63" t="s">
        <v>67</v>
      </c>
      <c r="E69" s="63" t="s">
        <v>67</v>
      </c>
      <c r="F69" s="63" t="s">
        <v>67</v>
      </c>
      <c r="G69" s="63" t="s">
        <v>67</v>
      </c>
      <c r="H69" s="63" t="s">
        <v>67</v>
      </c>
      <c r="I69" s="63" t="s">
        <v>67</v>
      </c>
      <c r="J69" s="63" t="s">
        <v>67</v>
      </c>
      <c r="K69" s="63" t="s">
        <v>67</v>
      </c>
      <c r="L69" s="63" t="s">
        <v>67</v>
      </c>
      <c r="M69" s="63" t="s">
        <v>67</v>
      </c>
      <c r="N69" s="63" t="s">
        <v>67</v>
      </c>
      <c r="O69" s="63" t="s">
        <v>67</v>
      </c>
      <c r="P69" s="63" t="s">
        <v>67</v>
      </c>
      <c r="Q69" s="63" t="s">
        <v>67</v>
      </c>
      <c r="R69" s="63" t="s">
        <v>67</v>
      </c>
      <c r="S69" s="63" t="s">
        <v>67</v>
      </c>
      <c r="T69" s="63" t="s">
        <v>67</v>
      </c>
      <c r="U69" s="63" t="s">
        <v>67</v>
      </c>
      <c r="V69" s="63" t="s">
        <v>67</v>
      </c>
      <c r="W69" s="63" t="s">
        <v>67</v>
      </c>
      <c r="X69" s="63" t="s">
        <v>67</v>
      </c>
      <c r="Y69" s="63" t="s">
        <v>67</v>
      </c>
      <c r="Z69" s="63" t="s">
        <v>67</v>
      </c>
      <c r="AA69" s="63" t="s">
        <v>67</v>
      </c>
      <c r="AB69" s="63" t="s">
        <v>67</v>
      </c>
      <c r="AC69" s="63" t="s">
        <v>67</v>
      </c>
      <c r="AD69" s="63" t="s">
        <v>67</v>
      </c>
      <c r="AE69" s="63" t="s">
        <v>67</v>
      </c>
      <c r="AF69" s="63" t="s">
        <v>67</v>
      </c>
      <c r="AG69" s="63" t="s">
        <v>67</v>
      </c>
      <c r="AH69" s="63" t="s">
        <v>67</v>
      </c>
      <c r="AI69" s="63" t="s">
        <v>67</v>
      </c>
      <c r="AJ69" s="53"/>
      <c r="AL69" t="str">
        <f t="shared" ca="1" si="0"/>
        <v xml:space="preserve">    (U1)ALERT_REQ_S_ADBZR_CSR_VOL_</v>
      </c>
      <c r="AR69" s="215" t="str">
        <f t="shared" si="3"/>
        <v/>
      </c>
      <c r="AS69" s="215" t="str">
        <f t="shared" si="4"/>
        <v/>
      </c>
      <c r="AT69" s="215" t="str">
        <f t="shared" si="1"/>
        <v/>
      </c>
    </row>
    <row r="70" spans="1:46" ht="14.25" thickBot="1">
      <c r="A70" s="58" t="s">
        <v>64</v>
      </c>
      <c r="B70" s="59"/>
      <c r="C70" s="59"/>
      <c r="D70" s="61"/>
      <c r="E70" s="61"/>
      <c r="F70" s="61"/>
      <c r="G70" s="61"/>
      <c r="H70" s="61"/>
      <c r="I70" s="61"/>
      <c r="J70" s="61"/>
      <c r="K70" s="61"/>
      <c r="L70" s="61"/>
      <c r="M70" s="61"/>
      <c r="N70" s="61"/>
      <c r="O70" s="61"/>
      <c r="P70" s="61"/>
      <c r="Q70" s="61"/>
      <c r="R70" s="61"/>
      <c r="S70" s="61"/>
      <c r="T70" s="61"/>
      <c r="U70" s="61"/>
      <c r="V70" s="61"/>
      <c r="W70" s="61"/>
      <c r="X70" s="61"/>
      <c r="Y70" s="61"/>
      <c r="Z70" s="61"/>
      <c r="AA70" s="61"/>
      <c r="AB70" s="61"/>
      <c r="AC70" s="61"/>
      <c r="AD70" s="61"/>
      <c r="AE70" s="61"/>
      <c r="AF70" s="61"/>
      <c r="AG70" s="61"/>
      <c r="AH70" s="61"/>
      <c r="AI70" s="61"/>
      <c r="AJ70" s="59"/>
      <c r="AR70" s="216" t="str">
        <f t="shared" si="3"/>
        <v/>
      </c>
      <c r="AS70" s="216" t="str">
        <f t="shared" si="4"/>
        <v/>
      </c>
      <c r="AT70" s="216" t="str">
        <f t="shared" ref="AT70" si="5">IF(AJ70&lt;&gt;"",AL70&amp;IF(AJ71&lt;&gt;"",","," ")&amp;REPT(" ",78-LEN(AL70))&amp;"/* "&amp;IF(C70&lt;10,"0"&amp;C70,C70)&amp;" "&amp;AJ70&amp;REPT(" ",48-LEN(AJ70))&amp;"*/",IF(AJ69&lt;&gt;"","};",""))</f>
        <v/>
      </c>
    </row>
    <row r="71" spans="1:46">
      <c r="B71" s="140" t="str">
        <f ca="1">IF(B6&lt;&gt;"",B6,"")</f>
        <v>Table VOL</v>
      </c>
      <c r="C71" s="49">
        <f>IF(C6&lt;&gt;"",C6,"")</f>
        <v>0</v>
      </c>
      <c r="D71" s="130">
        <f t="shared" ref="D71:AI78" si="6">IF(D6=1,1,0)</f>
        <v>0</v>
      </c>
      <c r="E71" s="130">
        <f t="shared" si="6"/>
        <v>0</v>
      </c>
      <c r="F71" s="130">
        <f t="shared" si="6"/>
        <v>0</v>
      </c>
      <c r="G71" s="130">
        <f t="shared" si="6"/>
        <v>0</v>
      </c>
      <c r="H71" s="130">
        <f t="shared" si="6"/>
        <v>0</v>
      </c>
      <c r="I71" s="130">
        <f t="shared" si="6"/>
        <v>0</v>
      </c>
      <c r="J71" s="130">
        <f t="shared" si="6"/>
        <v>0</v>
      </c>
      <c r="K71" s="130">
        <f t="shared" si="6"/>
        <v>0</v>
      </c>
      <c r="L71" s="130">
        <f t="shared" si="6"/>
        <v>0</v>
      </c>
      <c r="M71" s="130">
        <f t="shared" si="6"/>
        <v>0</v>
      </c>
      <c r="N71" s="130">
        <f t="shared" si="6"/>
        <v>0</v>
      </c>
      <c r="O71" s="130">
        <f t="shared" si="6"/>
        <v>0</v>
      </c>
      <c r="P71" s="130">
        <f t="shared" si="6"/>
        <v>0</v>
      </c>
      <c r="Q71" s="130">
        <f t="shared" si="6"/>
        <v>0</v>
      </c>
      <c r="R71" s="130">
        <f t="shared" si="6"/>
        <v>0</v>
      </c>
      <c r="S71" s="130">
        <f t="shared" si="6"/>
        <v>0</v>
      </c>
      <c r="T71" s="130">
        <f t="shared" si="6"/>
        <v>0</v>
      </c>
      <c r="U71" s="130">
        <f t="shared" si="6"/>
        <v>0</v>
      </c>
      <c r="V71" s="130">
        <f t="shared" si="6"/>
        <v>0</v>
      </c>
      <c r="W71" s="130">
        <f t="shared" si="6"/>
        <v>0</v>
      </c>
      <c r="X71" s="130">
        <f t="shared" si="6"/>
        <v>0</v>
      </c>
      <c r="Y71" s="130">
        <f t="shared" si="6"/>
        <v>0</v>
      </c>
      <c r="Z71" s="130">
        <f t="shared" si="6"/>
        <v>0</v>
      </c>
      <c r="AA71" s="130">
        <f t="shared" si="6"/>
        <v>0</v>
      </c>
      <c r="AB71" s="130">
        <f t="shared" si="6"/>
        <v>0</v>
      </c>
      <c r="AC71" s="130">
        <f t="shared" si="6"/>
        <v>0</v>
      </c>
      <c r="AD71" s="130">
        <f t="shared" si="6"/>
        <v>0</v>
      </c>
      <c r="AE71" s="130">
        <f t="shared" si="6"/>
        <v>0</v>
      </c>
      <c r="AF71" s="130">
        <f t="shared" si="6"/>
        <v>0</v>
      </c>
      <c r="AG71" s="130">
        <f t="shared" si="6"/>
        <v>0</v>
      </c>
      <c r="AH71" s="130">
        <f t="shared" si="6"/>
        <v>0</v>
      </c>
      <c r="AI71" s="130">
        <f t="shared" si="6"/>
        <v>0</v>
      </c>
      <c r="AJ71" s="49" t="str">
        <f t="shared" ref="AJ71:AJ134" si="7">IF(AJ6&lt;&gt;"",AJ6,"")</f>
        <v>VOL0</v>
      </c>
      <c r="AK71" s="62"/>
      <c r="AL71" s="62" t="str">
        <f>BIN2HEX(AB71&amp;AC71&amp;AD71&amp;AE71&amp;AF71&amp;AG71&amp;AH71&amp;AI71,2)</f>
        <v>00</v>
      </c>
      <c r="AM71" s="64" t="str">
        <f>BIN2HEX(T71&amp;U71&amp;V71&amp;W71&amp;X71&amp;Y71&amp;Z71&amp;AA71,2)</f>
        <v>00</v>
      </c>
      <c r="AN71" s="64" t="str">
        <f>BIN2HEX(L71&amp;M71&amp;N71&amp;O71&amp;P71&amp;Q71&amp;R71&amp;S71,2)</f>
        <v>00</v>
      </c>
      <c r="AO71" s="64" t="str">
        <f>BIN2HEX(D71&amp;E71&amp;F71&amp;G71&amp;H71&amp;I71&amp;J71&amp;K71,2)</f>
        <v>00</v>
      </c>
      <c r="AQ71" t="str">
        <f t="shared" ref="AQ71:AQ134" si="8">IF(AJ71="","","    (U4)0x"&amp;AO71&amp;AN71&amp;AM71&amp;AL71&amp;"U"&amp;IF(AJ72=""," ",",")&amp;REPT(" ",59)&amp;"/* "&amp;IF(C71&lt;10,"0"&amp;C71,C71)&amp;" "&amp;AJ71&amp;REPT(" ",47-LEN(AJ71))&amp;" */")</f>
        <v xml:space="preserve">    (U4)0x00000000U,                                                           /* 00 VOL0                                            */</v>
      </c>
    </row>
    <row r="72" spans="1:46">
      <c r="B72" s="138"/>
      <c r="C72" s="49">
        <f t="shared" ref="C72:C134" si="9">IF(C7&lt;&gt;"",C7,"")</f>
        <v>1</v>
      </c>
      <c r="D72" s="130">
        <f t="shared" si="6"/>
        <v>0</v>
      </c>
      <c r="E72" s="130">
        <f t="shared" si="6"/>
        <v>0</v>
      </c>
      <c r="F72" s="130">
        <f t="shared" si="6"/>
        <v>0</v>
      </c>
      <c r="G72" s="130">
        <f t="shared" si="6"/>
        <v>0</v>
      </c>
      <c r="H72" s="130">
        <f t="shared" si="6"/>
        <v>0</v>
      </c>
      <c r="I72" s="130">
        <f t="shared" si="6"/>
        <v>0</v>
      </c>
      <c r="J72" s="130">
        <f t="shared" si="6"/>
        <v>0</v>
      </c>
      <c r="K72" s="130">
        <f t="shared" si="6"/>
        <v>0</v>
      </c>
      <c r="L72" s="130">
        <f t="shared" si="6"/>
        <v>0</v>
      </c>
      <c r="M72" s="130">
        <f t="shared" si="6"/>
        <v>0</v>
      </c>
      <c r="N72" s="130">
        <f t="shared" si="6"/>
        <v>0</v>
      </c>
      <c r="O72" s="130">
        <f t="shared" si="6"/>
        <v>0</v>
      </c>
      <c r="P72" s="130">
        <f t="shared" si="6"/>
        <v>0</v>
      </c>
      <c r="Q72" s="130">
        <f t="shared" si="6"/>
        <v>0</v>
      </c>
      <c r="R72" s="130">
        <f t="shared" si="6"/>
        <v>0</v>
      </c>
      <c r="S72" s="130">
        <f t="shared" si="6"/>
        <v>0</v>
      </c>
      <c r="T72" s="130">
        <f t="shared" si="6"/>
        <v>0</v>
      </c>
      <c r="U72" s="130">
        <f t="shared" si="6"/>
        <v>0</v>
      </c>
      <c r="V72" s="130">
        <f t="shared" si="6"/>
        <v>0</v>
      </c>
      <c r="W72" s="130">
        <f t="shared" si="6"/>
        <v>0</v>
      </c>
      <c r="X72" s="130">
        <f t="shared" si="6"/>
        <v>0</v>
      </c>
      <c r="Y72" s="130">
        <f t="shared" si="6"/>
        <v>0</v>
      </c>
      <c r="Z72" s="130">
        <f t="shared" si="6"/>
        <v>0</v>
      </c>
      <c r="AA72" s="130">
        <f t="shared" si="6"/>
        <v>0</v>
      </c>
      <c r="AB72" s="130">
        <f t="shared" si="6"/>
        <v>0</v>
      </c>
      <c r="AC72" s="130">
        <f t="shared" si="6"/>
        <v>0</v>
      </c>
      <c r="AD72" s="130">
        <f t="shared" si="6"/>
        <v>0</v>
      </c>
      <c r="AE72" s="130">
        <f t="shared" si="6"/>
        <v>0</v>
      </c>
      <c r="AF72" s="130">
        <f t="shared" si="6"/>
        <v>0</v>
      </c>
      <c r="AG72" s="130">
        <f t="shared" si="6"/>
        <v>0</v>
      </c>
      <c r="AH72" s="130">
        <f t="shared" si="6"/>
        <v>0</v>
      </c>
      <c r="AI72" s="130">
        <f t="shared" si="6"/>
        <v>1</v>
      </c>
      <c r="AJ72" s="49" t="str">
        <f t="shared" si="7"/>
        <v>VOL1</v>
      </c>
      <c r="AK72" s="62"/>
      <c r="AL72" s="62" t="str">
        <f t="shared" ref="AL72:AL134" si="10">BIN2HEX(AB72&amp;AC72&amp;AD72&amp;AE72&amp;AF72&amp;AG72&amp;AH72&amp;AI72,2)</f>
        <v>01</v>
      </c>
      <c r="AM72" s="64" t="str">
        <f t="shared" ref="AM72:AM134" si="11">BIN2HEX(T72&amp;U72&amp;V72&amp;W72&amp;X72&amp;Y72&amp;Z72&amp;AA72,2)</f>
        <v>00</v>
      </c>
      <c r="AN72" s="64" t="str">
        <f t="shared" ref="AN72:AN134" si="12">BIN2HEX(L72&amp;M72&amp;N72&amp;O72&amp;P72&amp;Q72&amp;R72&amp;S72,2)</f>
        <v>00</v>
      </c>
      <c r="AO72" s="64" t="str">
        <f t="shared" ref="AO72:AO134" si="13">BIN2HEX(D72&amp;E72&amp;F72&amp;G72&amp;H72&amp;I72&amp;J72&amp;K72,2)</f>
        <v>00</v>
      </c>
      <c r="AQ72" t="str">
        <f t="shared" si="8"/>
        <v xml:space="preserve">    (U4)0x00000001U,                                                           /* 01 VOL1                                            */</v>
      </c>
    </row>
    <row r="73" spans="1:46">
      <c r="B73" s="138"/>
      <c r="C73" s="49">
        <f t="shared" si="9"/>
        <v>2</v>
      </c>
      <c r="D73" s="130">
        <f t="shared" si="6"/>
        <v>0</v>
      </c>
      <c r="E73" s="130">
        <f t="shared" si="6"/>
        <v>0</v>
      </c>
      <c r="F73" s="130">
        <f t="shared" si="6"/>
        <v>0</v>
      </c>
      <c r="G73" s="130">
        <f t="shared" si="6"/>
        <v>0</v>
      </c>
      <c r="H73" s="130">
        <f t="shared" si="6"/>
        <v>0</v>
      </c>
      <c r="I73" s="130">
        <f t="shared" si="6"/>
        <v>0</v>
      </c>
      <c r="J73" s="130">
        <f t="shared" si="6"/>
        <v>0</v>
      </c>
      <c r="K73" s="130">
        <f t="shared" si="6"/>
        <v>0</v>
      </c>
      <c r="L73" s="130">
        <f t="shared" si="6"/>
        <v>0</v>
      </c>
      <c r="M73" s="130">
        <f t="shared" si="6"/>
        <v>0</v>
      </c>
      <c r="N73" s="130">
        <f t="shared" si="6"/>
        <v>0</v>
      </c>
      <c r="O73" s="130">
        <f t="shared" si="6"/>
        <v>0</v>
      </c>
      <c r="P73" s="130">
        <f t="shared" si="6"/>
        <v>0</v>
      </c>
      <c r="Q73" s="130">
        <f t="shared" si="6"/>
        <v>0</v>
      </c>
      <c r="R73" s="130">
        <f t="shared" si="6"/>
        <v>0</v>
      </c>
      <c r="S73" s="130">
        <f t="shared" si="6"/>
        <v>0</v>
      </c>
      <c r="T73" s="130">
        <f t="shared" si="6"/>
        <v>0</v>
      </c>
      <c r="U73" s="130">
        <f t="shared" si="6"/>
        <v>0</v>
      </c>
      <c r="V73" s="130">
        <f t="shared" si="6"/>
        <v>0</v>
      </c>
      <c r="W73" s="130">
        <f t="shared" si="6"/>
        <v>0</v>
      </c>
      <c r="X73" s="130">
        <f t="shared" si="6"/>
        <v>0</v>
      </c>
      <c r="Y73" s="130">
        <f t="shared" si="6"/>
        <v>0</v>
      </c>
      <c r="Z73" s="130">
        <f t="shared" si="6"/>
        <v>0</v>
      </c>
      <c r="AA73" s="130">
        <f t="shared" si="6"/>
        <v>0</v>
      </c>
      <c r="AB73" s="130">
        <f t="shared" si="6"/>
        <v>0</v>
      </c>
      <c r="AC73" s="130">
        <f t="shared" si="6"/>
        <v>0</v>
      </c>
      <c r="AD73" s="130">
        <f t="shared" si="6"/>
        <v>0</v>
      </c>
      <c r="AE73" s="130">
        <f t="shared" si="6"/>
        <v>0</v>
      </c>
      <c r="AF73" s="130">
        <f t="shared" si="6"/>
        <v>0</v>
      </c>
      <c r="AG73" s="130">
        <f t="shared" si="6"/>
        <v>0</v>
      </c>
      <c r="AH73" s="130">
        <f t="shared" si="6"/>
        <v>1</v>
      </c>
      <c r="AI73" s="130">
        <f t="shared" si="6"/>
        <v>0</v>
      </c>
      <c r="AJ73" s="49" t="str">
        <f t="shared" si="7"/>
        <v>VOL2</v>
      </c>
      <c r="AK73" s="62"/>
      <c r="AL73" s="62" t="str">
        <f t="shared" si="10"/>
        <v>02</v>
      </c>
      <c r="AM73" s="64" t="str">
        <f t="shared" si="11"/>
        <v>00</v>
      </c>
      <c r="AN73" s="64" t="str">
        <f t="shared" si="12"/>
        <v>00</v>
      </c>
      <c r="AO73" s="64" t="str">
        <f t="shared" si="13"/>
        <v>00</v>
      </c>
      <c r="AQ73" t="str">
        <f t="shared" si="8"/>
        <v xml:space="preserve">    (U4)0x00000002U,                                                           /* 02 VOL2                                            */</v>
      </c>
    </row>
    <row r="74" spans="1:46">
      <c r="B74" s="138"/>
      <c r="C74" s="49">
        <f t="shared" si="9"/>
        <v>3</v>
      </c>
      <c r="D74" s="130">
        <f t="shared" si="6"/>
        <v>0</v>
      </c>
      <c r="E74" s="130">
        <f t="shared" si="6"/>
        <v>0</v>
      </c>
      <c r="F74" s="130">
        <f t="shared" si="6"/>
        <v>0</v>
      </c>
      <c r="G74" s="130">
        <f t="shared" si="6"/>
        <v>0</v>
      </c>
      <c r="H74" s="130">
        <f t="shared" si="6"/>
        <v>0</v>
      </c>
      <c r="I74" s="130">
        <f t="shared" si="6"/>
        <v>0</v>
      </c>
      <c r="J74" s="130">
        <f t="shared" si="6"/>
        <v>0</v>
      </c>
      <c r="K74" s="130">
        <f t="shared" si="6"/>
        <v>0</v>
      </c>
      <c r="L74" s="130">
        <f t="shared" si="6"/>
        <v>0</v>
      </c>
      <c r="M74" s="130">
        <f t="shared" si="6"/>
        <v>0</v>
      </c>
      <c r="N74" s="130">
        <f t="shared" si="6"/>
        <v>0</v>
      </c>
      <c r="O74" s="130">
        <f t="shared" si="6"/>
        <v>0</v>
      </c>
      <c r="P74" s="130">
        <f t="shared" si="6"/>
        <v>0</v>
      </c>
      <c r="Q74" s="130">
        <f t="shared" si="6"/>
        <v>0</v>
      </c>
      <c r="R74" s="130">
        <f t="shared" si="6"/>
        <v>0</v>
      </c>
      <c r="S74" s="130">
        <f t="shared" si="6"/>
        <v>0</v>
      </c>
      <c r="T74" s="130">
        <f t="shared" si="6"/>
        <v>0</v>
      </c>
      <c r="U74" s="130">
        <f t="shared" si="6"/>
        <v>0</v>
      </c>
      <c r="V74" s="130">
        <f t="shared" si="6"/>
        <v>0</v>
      </c>
      <c r="W74" s="130">
        <f t="shared" si="6"/>
        <v>0</v>
      </c>
      <c r="X74" s="130">
        <f t="shared" si="6"/>
        <v>0</v>
      </c>
      <c r="Y74" s="130">
        <f t="shared" si="6"/>
        <v>0</v>
      </c>
      <c r="Z74" s="130">
        <f t="shared" si="6"/>
        <v>0</v>
      </c>
      <c r="AA74" s="130">
        <f t="shared" si="6"/>
        <v>0</v>
      </c>
      <c r="AB74" s="130">
        <f t="shared" si="6"/>
        <v>0</v>
      </c>
      <c r="AC74" s="130">
        <f t="shared" si="6"/>
        <v>0</v>
      </c>
      <c r="AD74" s="130">
        <f t="shared" si="6"/>
        <v>0</v>
      </c>
      <c r="AE74" s="130">
        <f t="shared" si="6"/>
        <v>0</v>
      </c>
      <c r="AF74" s="130">
        <f t="shared" si="6"/>
        <v>0</v>
      </c>
      <c r="AG74" s="130">
        <f t="shared" si="6"/>
        <v>0</v>
      </c>
      <c r="AH74" s="130">
        <f t="shared" si="6"/>
        <v>1</v>
      </c>
      <c r="AI74" s="130">
        <f t="shared" si="6"/>
        <v>1</v>
      </c>
      <c r="AJ74" s="49" t="str">
        <f t="shared" si="7"/>
        <v>VOL3</v>
      </c>
      <c r="AK74" s="62"/>
      <c r="AL74" s="62" t="str">
        <f t="shared" si="10"/>
        <v>03</v>
      </c>
      <c r="AM74" s="64" t="str">
        <f t="shared" si="11"/>
        <v>00</v>
      </c>
      <c r="AN74" s="64" t="str">
        <f t="shared" si="12"/>
        <v>00</v>
      </c>
      <c r="AO74" s="64" t="str">
        <f t="shared" si="13"/>
        <v>00</v>
      </c>
      <c r="AQ74" t="str">
        <f t="shared" si="8"/>
        <v xml:space="preserve">    (U4)0x00000003U,                                                           /* 03 VOL3                                            */</v>
      </c>
    </row>
    <row r="75" spans="1:46">
      <c r="B75" s="138"/>
      <c r="C75" s="49">
        <f t="shared" si="9"/>
        <v>4</v>
      </c>
      <c r="D75" s="130">
        <f t="shared" si="6"/>
        <v>0</v>
      </c>
      <c r="E75" s="130">
        <f t="shared" si="6"/>
        <v>0</v>
      </c>
      <c r="F75" s="130">
        <f t="shared" si="6"/>
        <v>0</v>
      </c>
      <c r="G75" s="130">
        <f t="shared" si="6"/>
        <v>0</v>
      </c>
      <c r="H75" s="130">
        <f t="shared" si="6"/>
        <v>0</v>
      </c>
      <c r="I75" s="130">
        <f t="shared" si="6"/>
        <v>0</v>
      </c>
      <c r="J75" s="130">
        <f t="shared" si="6"/>
        <v>0</v>
      </c>
      <c r="K75" s="130">
        <f t="shared" si="6"/>
        <v>0</v>
      </c>
      <c r="L75" s="130">
        <f t="shared" si="6"/>
        <v>0</v>
      </c>
      <c r="M75" s="130">
        <f t="shared" si="6"/>
        <v>0</v>
      </c>
      <c r="N75" s="130">
        <f t="shared" si="6"/>
        <v>0</v>
      </c>
      <c r="O75" s="130">
        <f t="shared" si="6"/>
        <v>0</v>
      </c>
      <c r="P75" s="130">
        <f t="shared" si="6"/>
        <v>0</v>
      </c>
      <c r="Q75" s="130">
        <f t="shared" si="6"/>
        <v>0</v>
      </c>
      <c r="R75" s="130">
        <f t="shared" si="6"/>
        <v>0</v>
      </c>
      <c r="S75" s="130">
        <f t="shared" si="6"/>
        <v>0</v>
      </c>
      <c r="T75" s="130">
        <f t="shared" si="6"/>
        <v>0</v>
      </c>
      <c r="U75" s="130">
        <f t="shared" si="6"/>
        <v>0</v>
      </c>
      <c r="V75" s="130">
        <f t="shared" si="6"/>
        <v>0</v>
      </c>
      <c r="W75" s="130">
        <f t="shared" si="6"/>
        <v>0</v>
      </c>
      <c r="X75" s="130">
        <f t="shared" si="6"/>
        <v>0</v>
      </c>
      <c r="Y75" s="130">
        <f t="shared" si="6"/>
        <v>0</v>
      </c>
      <c r="Z75" s="130">
        <f t="shared" si="6"/>
        <v>0</v>
      </c>
      <c r="AA75" s="130">
        <f t="shared" si="6"/>
        <v>0</v>
      </c>
      <c r="AB75" s="130">
        <f t="shared" si="6"/>
        <v>0</v>
      </c>
      <c r="AC75" s="130">
        <f t="shared" si="6"/>
        <v>0</v>
      </c>
      <c r="AD75" s="130">
        <f t="shared" si="6"/>
        <v>0</v>
      </c>
      <c r="AE75" s="130">
        <f t="shared" si="6"/>
        <v>0</v>
      </c>
      <c r="AF75" s="130">
        <f t="shared" si="6"/>
        <v>0</v>
      </c>
      <c r="AG75" s="130">
        <f t="shared" si="6"/>
        <v>1</v>
      </c>
      <c r="AH75" s="130">
        <f t="shared" si="6"/>
        <v>0</v>
      </c>
      <c r="AI75" s="130">
        <f t="shared" si="6"/>
        <v>0</v>
      </c>
      <c r="AJ75" s="49" t="str">
        <f t="shared" si="7"/>
        <v>VOL4</v>
      </c>
      <c r="AK75" s="62"/>
      <c r="AL75" s="62" t="str">
        <f t="shared" si="10"/>
        <v>04</v>
      </c>
      <c r="AM75" s="64" t="str">
        <f t="shared" si="11"/>
        <v>00</v>
      </c>
      <c r="AN75" s="64" t="str">
        <f t="shared" si="12"/>
        <v>00</v>
      </c>
      <c r="AO75" s="64" t="str">
        <f t="shared" si="13"/>
        <v>00</v>
      </c>
      <c r="AQ75" t="str">
        <f t="shared" si="8"/>
        <v xml:space="preserve">    (U4)0x00000004U,                                                           /* 04 VOL4                                            */</v>
      </c>
    </row>
    <row r="76" spans="1:46">
      <c r="B76" s="138"/>
      <c r="C76" s="49">
        <f t="shared" si="9"/>
        <v>5</v>
      </c>
      <c r="D76" s="130">
        <f t="shared" si="6"/>
        <v>0</v>
      </c>
      <c r="E76" s="130">
        <f t="shared" si="6"/>
        <v>0</v>
      </c>
      <c r="F76" s="130">
        <f t="shared" si="6"/>
        <v>0</v>
      </c>
      <c r="G76" s="130">
        <f t="shared" si="6"/>
        <v>0</v>
      </c>
      <c r="H76" s="130">
        <f t="shared" si="6"/>
        <v>0</v>
      </c>
      <c r="I76" s="130">
        <f t="shared" si="6"/>
        <v>0</v>
      </c>
      <c r="J76" s="130">
        <f t="shared" si="6"/>
        <v>0</v>
      </c>
      <c r="K76" s="130">
        <f t="shared" si="6"/>
        <v>0</v>
      </c>
      <c r="L76" s="130">
        <f t="shared" si="6"/>
        <v>0</v>
      </c>
      <c r="M76" s="130">
        <f t="shared" si="6"/>
        <v>0</v>
      </c>
      <c r="N76" s="130">
        <f t="shared" si="6"/>
        <v>0</v>
      </c>
      <c r="O76" s="130">
        <f t="shared" si="6"/>
        <v>0</v>
      </c>
      <c r="P76" s="130">
        <f t="shared" si="6"/>
        <v>0</v>
      </c>
      <c r="Q76" s="130">
        <f t="shared" si="6"/>
        <v>0</v>
      </c>
      <c r="R76" s="130">
        <f t="shared" si="6"/>
        <v>0</v>
      </c>
      <c r="S76" s="130">
        <f t="shared" si="6"/>
        <v>0</v>
      </c>
      <c r="T76" s="130">
        <f t="shared" si="6"/>
        <v>0</v>
      </c>
      <c r="U76" s="130">
        <f t="shared" si="6"/>
        <v>0</v>
      </c>
      <c r="V76" s="130">
        <f t="shared" si="6"/>
        <v>0</v>
      </c>
      <c r="W76" s="130">
        <f t="shared" si="6"/>
        <v>0</v>
      </c>
      <c r="X76" s="130">
        <f t="shared" si="6"/>
        <v>0</v>
      </c>
      <c r="Y76" s="130">
        <f t="shared" si="6"/>
        <v>0</v>
      </c>
      <c r="Z76" s="130">
        <f t="shared" si="6"/>
        <v>0</v>
      </c>
      <c r="AA76" s="130">
        <f t="shared" si="6"/>
        <v>0</v>
      </c>
      <c r="AB76" s="130">
        <f t="shared" si="6"/>
        <v>0</v>
      </c>
      <c r="AC76" s="130">
        <f t="shared" si="6"/>
        <v>0</v>
      </c>
      <c r="AD76" s="130">
        <f t="shared" si="6"/>
        <v>0</v>
      </c>
      <c r="AE76" s="130">
        <f t="shared" si="6"/>
        <v>0</v>
      </c>
      <c r="AF76" s="130">
        <f t="shared" si="6"/>
        <v>0</v>
      </c>
      <c r="AG76" s="130">
        <f t="shared" si="6"/>
        <v>1</v>
      </c>
      <c r="AH76" s="130">
        <f t="shared" si="6"/>
        <v>0</v>
      </c>
      <c r="AI76" s="130">
        <f t="shared" si="6"/>
        <v>1</v>
      </c>
      <c r="AJ76" s="49" t="str">
        <f t="shared" si="7"/>
        <v>VOL5</v>
      </c>
      <c r="AK76" s="62"/>
      <c r="AL76" s="62" t="str">
        <f t="shared" si="10"/>
        <v>05</v>
      </c>
      <c r="AM76" s="64" t="str">
        <f t="shared" si="11"/>
        <v>00</v>
      </c>
      <c r="AN76" s="64" t="str">
        <f t="shared" si="12"/>
        <v>00</v>
      </c>
      <c r="AO76" s="64" t="str">
        <f t="shared" si="13"/>
        <v>00</v>
      </c>
      <c r="AQ76" t="str">
        <f t="shared" si="8"/>
        <v xml:space="preserve">    (U4)0x00000005U,                                                           /* 05 VOL5                                            */</v>
      </c>
    </row>
    <row r="77" spans="1:46">
      <c r="B77" s="138"/>
      <c r="C77" s="49">
        <f t="shared" si="9"/>
        <v>6</v>
      </c>
      <c r="D77" s="130">
        <f t="shared" si="6"/>
        <v>0</v>
      </c>
      <c r="E77" s="130">
        <f t="shared" si="6"/>
        <v>0</v>
      </c>
      <c r="F77" s="130">
        <f t="shared" si="6"/>
        <v>0</v>
      </c>
      <c r="G77" s="130">
        <f t="shared" si="6"/>
        <v>0</v>
      </c>
      <c r="H77" s="130">
        <f t="shared" si="6"/>
        <v>0</v>
      </c>
      <c r="I77" s="130">
        <f t="shared" si="6"/>
        <v>0</v>
      </c>
      <c r="J77" s="130">
        <f t="shared" si="6"/>
        <v>0</v>
      </c>
      <c r="K77" s="130">
        <f t="shared" si="6"/>
        <v>0</v>
      </c>
      <c r="L77" s="130">
        <f t="shared" si="6"/>
        <v>0</v>
      </c>
      <c r="M77" s="130">
        <f t="shared" si="6"/>
        <v>0</v>
      </c>
      <c r="N77" s="130">
        <f t="shared" si="6"/>
        <v>0</v>
      </c>
      <c r="O77" s="130">
        <f t="shared" si="6"/>
        <v>0</v>
      </c>
      <c r="P77" s="130">
        <f t="shared" si="6"/>
        <v>0</v>
      </c>
      <c r="Q77" s="130">
        <f t="shared" si="6"/>
        <v>0</v>
      </c>
      <c r="R77" s="130">
        <f t="shared" si="6"/>
        <v>0</v>
      </c>
      <c r="S77" s="130">
        <f t="shared" si="6"/>
        <v>0</v>
      </c>
      <c r="T77" s="130">
        <f t="shared" si="6"/>
        <v>0</v>
      </c>
      <c r="U77" s="130">
        <f t="shared" si="6"/>
        <v>0</v>
      </c>
      <c r="V77" s="130">
        <f t="shared" si="6"/>
        <v>0</v>
      </c>
      <c r="W77" s="130">
        <f t="shared" si="6"/>
        <v>0</v>
      </c>
      <c r="X77" s="130">
        <f t="shared" si="6"/>
        <v>0</v>
      </c>
      <c r="Y77" s="130">
        <f t="shared" si="6"/>
        <v>0</v>
      </c>
      <c r="Z77" s="130">
        <f t="shared" si="6"/>
        <v>0</v>
      </c>
      <c r="AA77" s="130">
        <f t="shared" si="6"/>
        <v>0</v>
      </c>
      <c r="AB77" s="130">
        <f t="shared" si="6"/>
        <v>0</v>
      </c>
      <c r="AC77" s="130">
        <f t="shared" si="6"/>
        <v>0</v>
      </c>
      <c r="AD77" s="130">
        <f t="shared" si="6"/>
        <v>0</v>
      </c>
      <c r="AE77" s="130">
        <f t="shared" si="6"/>
        <v>0</v>
      </c>
      <c r="AF77" s="130">
        <f t="shared" si="6"/>
        <v>0</v>
      </c>
      <c r="AG77" s="130">
        <f t="shared" si="6"/>
        <v>1</v>
      </c>
      <c r="AH77" s="130">
        <f t="shared" si="6"/>
        <v>1</v>
      </c>
      <c r="AI77" s="130">
        <f t="shared" si="6"/>
        <v>0</v>
      </c>
      <c r="AJ77" s="49" t="str">
        <f t="shared" si="7"/>
        <v>VOL6</v>
      </c>
      <c r="AK77" s="62"/>
      <c r="AL77" s="62" t="str">
        <f t="shared" si="10"/>
        <v>06</v>
      </c>
      <c r="AM77" s="64" t="str">
        <f t="shared" si="11"/>
        <v>00</v>
      </c>
      <c r="AN77" s="64" t="str">
        <f t="shared" si="12"/>
        <v>00</v>
      </c>
      <c r="AO77" s="64" t="str">
        <f t="shared" si="13"/>
        <v>00</v>
      </c>
      <c r="AQ77" t="str">
        <f t="shared" si="8"/>
        <v xml:space="preserve">    (U4)0x00000006U,                                                           /* 06 VOL6                                            */</v>
      </c>
    </row>
    <row r="78" spans="1:46">
      <c r="B78" s="138"/>
      <c r="C78" s="49">
        <f t="shared" si="9"/>
        <v>7</v>
      </c>
      <c r="D78" s="130">
        <f t="shared" si="6"/>
        <v>0</v>
      </c>
      <c r="E78" s="130">
        <f t="shared" si="6"/>
        <v>0</v>
      </c>
      <c r="F78" s="130">
        <f t="shared" si="6"/>
        <v>0</v>
      </c>
      <c r="G78" s="130">
        <f t="shared" si="6"/>
        <v>0</v>
      </c>
      <c r="H78" s="130">
        <f t="shared" si="6"/>
        <v>0</v>
      </c>
      <c r="I78" s="130">
        <f t="shared" si="6"/>
        <v>0</v>
      </c>
      <c r="J78" s="130">
        <f t="shared" si="6"/>
        <v>0</v>
      </c>
      <c r="K78" s="130">
        <f t="shared" si="6"/>
        <v>0</v>
      </c>
      <c r="L78" s="130">
        <f t="shared" si="6"/>
        <v>0</v>
      </c>
      <c r="M78" s="130">
        <f t="shared" si="6"/>
        <v>0</v>
      </c>
      <c r="N78" s="130">
        <f t="shared" si="6"/>
        <v>0</v>
      </c>
      <c r="O78" s="130">
        <f t="shared" si="6"/>
        <v>0</v>
      </c>
      <c r="P78" s="130">
        <f t="shared" si="6"/>
        <v>0</v>
      </c>
      <c r="Q78" s="130">
        <f t="shared" si="6"/>
        <v>0</v>
      </c>
      <c r="R78" s="130">
        <f t="shared" si="6"/>
        <v>0</v>
      </c>
      <c r="S78" s="130">
        <f t="shared" si="6"/>
        <v>0</v>
      </c>
      <c r="T78" s="130">
        <f t="shared" si="6"/>
        <v>0</v>
      </c>
      <c r="U78" s="130">
        <f t="shared" si="6"/>
        <v>0</v>
      </c>
      <c r="V78" s="130">
        <f t="shared" si="6"/>
        <v>0</v>
      </c>
      <c r="W78" s="130">
        <f t="shared" si="6"/>
        <v>0</v>
      </c>
      <c r="X78" s="130">
        <f t="shared" si="6"/>
        <v>0</v>
      </c>
      <c r="Y78" s="130">
        <f t="shared" si="6"/>
        <v>0</v>
      </c>
      <c r="Z78" s="130">
        <f t="shared" si="6"/>
        <v>0</v>
      </c>
      <c r="AA78" s="130">
        <f t="shared" si="6"/>
        <v>0</v>
      </c>
      <c r="AB78" s="130">
        <f t="shared" si="6"/>
        <v>0</v>
      </c>
      <c r="AC78" s="130">
        <f t="shared" si="6"/>
        <v>0</v>
      </c>
      <c r="AD78" s="130">
        <f t="shared" si="6"/>
        <v>0</v>
      </c>
      <c r="AE78" s="130">
        <f t="shared" si="6"/>
        <v>0</v>
      </c>
      <c r="AF78" s="130">
        <f t="shared" si="6"/>
        <v>0</v>
      </c>
      <c r="AG78" s="130">
        <f t="shared" si="6"/>
        <v>1</v>
      </c>
      <c r="AH78" s="130">
        <f t="shared" si="6"/>
        <v>1</v>
      </c>
      <c r="AI78" s="130">
        <f t="shared" ref="AI78" si="14">IF(AI13=1,1,0)</f>
        <v>1</v>
      </c>
      <c r="AJ78" s="49" t="str">
        <f t="shared" si="7"/>
        <v>VOL7</v>
      </c>
      <c r="AK78" s="62"/>
      <c r="AL78" s="62" t="str">
        <f t="shared" si="10"/>
        <v>07</v>
      </c>
      <c r="AM78" s="64" t="str">
        <f t="shared" si="11"/>
        <v>00</v>
      </c>
      <c r="AN78" s="64" t="str">
        <f t="shared" si="12"/>
        <v>00</v>
      </c>
      <c r="AO78" s="64" t="str">
        <f t="shared" si="13"/>
        <v>00</v>
      </c>
      <c r="AQ78" t="str">
        <f t="shared" si="8"/>
        <v xml:space="preserve">    (U4)0x00000007U,                                                           /* 07 VOL7                                            */</v>
      </c>
    </row>
    <row r="79" spans="1:46">
      <c r="B79" s="138"/>
      <c r="C79" s="49">
        <f t="shared" si="9"/>
        <v>8</v>
      </c>
      <c r="D79" s="130">
        <f t="shared" ref="D79:AI86" si="15">IF(D14=1,1,0)</f>
        <v>0</v>
      </c>
      <c r="E79" s="130">
        <f t="shared" si="15"/>
        <v>0</v>
      </c>
      <c r="F79" s="130">
        <f t="shared" si="15"/>
        <v>0</v>
      </c>
      <c r="G79" s="130">
        <f t="shared" si="15"/>
        <v>0</v>
      </c>
      <c r="H79" s="130">
        <f t="shared" si="15"/>
        <v>0</v>
      </c>
      <c r="I79" s="130">
        <f t="shared" si="15"/>
        <v>0</v>
      </c>
      <c r="J79" s="130">
        <f t="shared" si="15"/>
        <v>0</v>
      </c>
      <c r="K79" s="130">
        <f t="shared" si="15"/>
        <v>0</v>
      </c>
      <c r="L79" s="130">
        <f t="shared" si="15"/>
        <v>0</v>
      </c>
      <c r="M79" s="130">
        <f t="shared" si="15"/>
        <v>0</v>
      </c>
      <c r="N79" s="130">
        <f t="shared" si="15"/>
        <v>0</v>
      </c>
      <c r="O79" s="130">
        <f t="shared" si="15"/>
        <v>0</v>
      </c>
      <c r="P79" s="130">
        <f t="shared" si="15"/>
        <v>0</v>
      </c>
      <c r="Q79" s="130">
        <f t="shared" si="15"/>
        <v>0</v>
      </c>
      <c r="R79" s="130">
        <f t="shared" si="15"/>
        <v>0</v>
      </c>
      <c r="S79" s="130">
        <f t="shared" si="15"/>
        <v>0</v>
      </c>
      <c r="T79" s="130">
        <f t="shared" si="15"/>
        <v>0</v>
      </c>
      <c r="U79" s="130">
        <f t="shared" si="15"/>
        <v>0</v>
      </c>
      <c r="V79" s="130">
        <f t="shared" si="15"/>
        <v>0</v>
      </c>
      <c r="W79" s="130">
        <f t="shared" si="15"/>
        <v>0</v>
      </c>
      <c r="X79" s="130">
        <f t="shared" si="15"/>
        <v>0</v>
      </c>
      <c r="Y79" s="130">
        <f t="shared" si="15"/>
        <v>0</v>
      </c>
      <c r="Z79" s="130">
        <f t="shared" si="15"/>
        <v>0</v>
      </c>
      <c r="AA79" s="130">
        <f t="shared" si="15"/>
        <v>0</v>
      </c>
      <c r="AB79" s="130">
        <f t="shared" si="15"/>
        <v>0</v>
      </c>
      <c r="AC79" s="130">
        <f t="shared" si="15"/>
        <v>0</v>
      </c>
      <c r="AD79" s="130">
        <f t="shared" si="15"/>
        <v>0</v>
      </c>
      <c r="AE79" s="130">
        <f t="shared" si="15"/>
        <v>0</v>
      </c>
      <c r="AF79" s="130">
        <f t="shared" si="15"/>
        <v>1</v>
      </c>
      <c r="AG79" s="130">
        <f t="shared" si="15"/>
        <v>0</v>
      </c>
      <c r="AH79" s="130">
        <f t="shared" si="15"/>
        <v>0</v>
      </c>
      <c r="AI79" s="130">
        <f t="shared" si="15"/>
        <v>0</v>
      </c>
      <c r="AJ79" s="49" t="str">
        <f t="shared" si="7"/>
        <v>UNKNOWN</v>
      </c>
      <c r="AK79" s="62"/>
      <c r="AL79" s="62" t="str">
        <f t="shared" si="10"/>
        <v>08</v>
      </c>
      <c r="AM79" s="64" t="str">
        <f t="shared" si="11"/>
        <v>00</v>
      </c>
      <c r="AN79" s="64" t="str">
        <f t="shared" si="12"/>
        <v>00</v>
      </c>
      <c r="AO79" s="64" t="str">
        <f t="shared" si="13"/>
        <v>00</v>
      </c>
      <c r="AQ79" t="str">
        <f t="shared" si="8"/>
        <v xml:space="preserve">    (U4)0x00000008U,                                                           /* 08 UNKNOWN                                         */</v>
      </c>
    </row>
    <row r="80" spans="1:46">
      <c r="B80" s="138"/>
      <c r="C80" s="49">
        <f t="shared" si="9"/>
        <v>9</v>
      </c>
      <c r="D80" s="130">
        <f t="shared" si="15"/>
        <v>0</v>
      </c>
      <c r="E80" s="130">
        <f t="shared" si="15"/>
        <v>0</v>
      </c>
      <c r="F80" s="130">
        <f t="shared" si="15"/>
        <v>0</v>
      </c>
      <c r="G80" s="130">
        <f t="shared" si="15"/>
        <v>0</v>
      </c>
      <c r="H80" s="130">
        <f t="shared" si="15"/>
        <v>0</v>
      </c>
      <c r="I80" s="130">
        <f t="shared" si="15"/>
        <v>0</v>
      </c>
      <c r="J80" s="130">
        <f t="shared" si="15"/>
        <v>0</v>
      </c>
      <c r="K80" s="130">
        <f t="shared" si="15"/>
        <v>0</v>
      </c>
      <c r="L80" s="130">
        <f t="shared" si="15"/>
        <v>0</v>
      </c>
      <c r="M80" s="130">
        <f t="shared" si="15"/>
        <v>0</v>
      </c>
      <c r="N80" s="130">
        <f t="shared" si="15"/>
        <v>0</v>
      </c>
      <c r="O80" s="130">
        <f t="shared" si="15"/>
        <v>0</v>
      </c>
      <c r="P80" s="130">
        <f t="shared" si="15"/>
        <v>0</v>
      </c>
      <c r="Q80" s="130">
        <f t="shared" si="15"/>
        <v>0</v>
      </c>
      <c r="R80" s="130">
        <f t="shared" si="15"/>
        <v>0</v>
      </c>
      <c r="S80" s="130">
        <f t="shared" si="15"/>
        <v>0</v>
      </c>
      <c r="T80" s="130">
        <f t="shared" si="15"/>
        <v>0</v>
      </c>
      <c r="U80" s="130">
        <f t="shared" si="15"/>
        <v>0</v>
      </c>
      <c r="V80" s="130">
        <f t="shared" si="15"/>
        <v>0</v>
      </c>
      <c r="W80" s="130">
        <f t="shared" si="15"/>
        <v>0</v>
      </c>
      <c r="X80" s="130">
        <f t="shared" si="15"/>
        <v>0</v>
      </c>
      <c r="Y80" s="130">
        <f t="shared" si="15"/>
        <v>0</v>
      </c>
      <c r="Z80" s="130">
        <f t="shared" si="15"/>
        <v>0</v>
      </c>
      <c r="AA80" s="130">
        <f t="shared" si="15"/>
        <v>0</v>
      </c>
      <c r="AB80" s="130">
        <f t="shared" si="15"/>
        <v>0</v>
      </c>
      <c r="AC80" s="130">
        <f t="shared" si="15"/>
        <v>0</v>
      </c>
      <c r="AD80" s="130">
        <f t="shared" si="15"/>
        <v>0</v>
      </c>
      <c r="AE80" s="130">
        <f t="shared" si="15"/>
        <v>0</v>
      </c>
      <c r="AF80" s="130">
        <f t="shared" si="15"/>
        <v>1</v>
      </c>
      <c r="AG80" s="130">
        <f t="shared" si="15"/>
        <v>0</v>
      </c>
      <c r="AH80" s="130">
        <f t="shared" si="15"/>
        <v>0</v>
      </c>
      <c r="AI80" s="130">
        <f t="shared" si="15"/>
        <v>1</v>
      </c>
      <c r="AJ80" s="49" t="str">
        <f t="shared" si="7"/>
        <v>UNKNOWN</v>
      </c>
      <c r="AK80" s="62"/>
      <c r="AL80" s="62" t="str">
        <f t="shared" si="10"/>
        <v>09</v>
      </c>
      <c r="AM80" s="64" t="str">
        <f t="shared" si="11"/>
        <v>00</v>
      </c>
      <c r="AN80" s="64" t="str">
        <f t="shared" si="12"/>
        <v>00</v>
      </c>
      <c r="AO80" s="64" t="str">
        <f t="shared" si="13"/>
        <v>00</v>
      </c>
      <c r="AQ80" t="str">
        <f t="shared" si="8"/>
        <v xml:space="preserve">    (U4)0x00000009U,                                                           /* 09 UNKNOWN                                         */</v>
      </c>
    </row>
    <row r="81" spans="2:43">
      <c r="B81" s="138"/>
      <c r="C81" s="49">
        <f t="shared" si="9"/>
        <v>10</v>
      </c>
      <c r="D81" s="130">
        <f t="shared" si="15"/>
        <v>0</v>
      </c>
      <c r="E81" s="130">
        <f t="shared" si="15"/>
        <v>0</v>
      </c>
      <c r="F81" s="130">
        <f t="shared" si="15"/>
        <v>0</v>
      </c>
      <c r="G81" s="130">
        <f t="shared" si="15"/>
        <v>0</v>
      </c>
      <c r="H81" s="130">
        <f t="shared" si="15"/>
        <v>0</v>
      </c>
      <c r="I81" s="130">
        <f t="shared" si="15"/>
        <v>0</v>
      </c>
      <c r="J81" s="130">
        <f t="shared" si="15"/>
        <v>0</v>
      </c>
      <c r="K81" s="130">
        <f t="shared" si="15"/>
        <v>0</v>
      </c>
      <c r="L81" s="130">
        <f t="shared" si="15"/>
        <v>0</v>
      </c>
      <c r="M81" s="130">
        <f t="shared" si="15"/>
        <v>0</v>
      </c>
      <c r="N81" s="130">
        <f t="shared" si="15"/>
        <v>0</v>
      </c>
      <c r="O81" s="130">
        <f t="shared" si="15"/>
        <v>0</v>
      </c>
      <c r="P81" s="130">
        <f t="shared" si="15"/>
        <v>0</v>
      </c>
      <c r="Q81" s="130">
        <f t="shared" si="15"/>
        <v>0</v>
      </c>
      <c r="R81" s="130">
        <f t="shared" si="15"/>
        <v>0</v>
      </c>
      <c r="S81" s="130">
        <f t="shared" si="15"/>
        <v>0</v>
      </c>
      <c r="T81" s="130">
        <f t="shared" si="15"/>
        <v>0</v>
      </c>
      <c r="U81" s="130">
        <f t="shared" si="15"/>
        <v>0</v>
      </c>
      <c r="V81" s="130">
        <f t="shared" si="15"/>
        <v>0</v>
      </c>
      <c r="W81" s="130">
        <f t="shared" si="15"/>
        <v>0</v>
      </c>
      <c r="X81" s="130">
        <f t="shared" si="15"/>
        <v>0</v>
      </c>
      <c r="Y81" s="130">
        <f t="shared" si="15"/>
        <v>0</v>
      </c>
      <c r="Z81" s="130">
        <f t="shared" si="15"/>
        <v>0</v>
      </c>
      <c r="AA81" s="130">
        <f t="shared" si="15"/>
        <v>0</v>
      </c>
      <c r="AB81" s="130">
        <f t="shared" si="15"/>
        <v>0</v>
      </c>
      <c r="AC81" s="130">
        <f t="shared" si="15"/>
        <v>0</v>
      </c>
      <c r="AD81" s="130">
        <f t="shared" si="15"/>
        <v>0</v>
      </c>
      <c r="AE81" s="130">
        <f t="shared" si="15"/>
        <v>0</v>
      </c>
      <c r="AF81" s="130">
        <f t="shared" si="15"/>
        <v>1</v>
      </c>
      <c r="AG81" s="130">
        <f t="shared" si="15"/>
        <v>0</v>
      </c>
      <c r="AH81" s="130">
        <f t="shared" si="15"/>
        <v>1</v>
      </c>
      <c r="AI81" s="130">
        <f t="shared" si="15"/>
        <v>0</v>
      </c>
      <c r="AJ81" s="49" t="str">
        <f t="shared" si="7"/>
        <v>UNKNOWN</v>
      </c>
      <c r="AK81" s="62"/>
      <c r="AL81" s="62" t="str">
        <f t="shared" si="10"/>
        <v>0A</v>
      </c>
      <c r="AM81" s="64" t="str">
        <f t="shared" si="11"/>
        <v>00</v>
      </c>
      <c r="AN81" s="64" t="str">
        <f t="shared" si="12"/>
        <v>00</v>
      </c>
      <c r="AO81" s="64" t="str">
        <f t="shared" si="13"/>
        <v>00</v>
      </c>
      <c r="AQ81" t="str">
        <f t="shared" si="8"/>
        <v xml:space="preserve">    (U4)0x0000000AU,                                                           /* 10 UNKNOWN                                         */</v>
      </c>
    </row>
    <row r="82" spans="2:43">
      <c r="B82" s="138"/>
      <c r="C82" s="49">
        <f t="shared" si="9"/>
        <v>11</v>
      </c>
      <c r="D82" s="130">
        <f t="shared" si="15"/>
        <v>0</v>
      </c>
      <c r="E82" s="130">
        <f t="shared" si="15"/>
        <v>0</v>
      </c>
      <c r="F82" s="130">
        <f t="shared" si="15"/>
        <v>0</v>
      </c>
      <c r="G82" s="130">
        <f t="shared" si="15"/>
        <v>0</v>
      </c>
      <c r="H82" s="130">
        <f t="shared" si="15"/>
        <v>0</v>
      </c>
      <c r="I82" s="130">
        <f t="shared" si="15"/>
        <v>0</v>
      </c>
      <c r="J82" s="130">
        <f t="shared" si="15"/>
        <v>0</v>
      </c>
      <c r="K82" s="130">
        <f t="shared" si="15"/>
        <v>0</v>
      </c>
      <c r="L82" s="130">
        <f t="shared" si="15"/>
        <v>0</v>
      </c>
      <c r="M82" s="130">
        <f t="shared" si="15"/>
        <v>0</v>
      </c>
      <c r="N82" s="130">
        <f t="shared" si="15"/>
        <v>0</v>
      </c>
      <c r="O82" s="130">
        <f t="shared" si="15"/>
        <v>0</v>
      </c>
      <c r="P82" s="130">
        <f t="shared" si="15"/>
        <v>0</v>
      </c>
      <c r="Q82" s="130">
        <f t="shared" si="15"/>
        <v>0</v>
      </c>
      <c r="R82" s="130">
        <f t="shared" si="15"/>
        <v>0</v>
      </c>
      <c r="S82" s="130">
        <f t="shared" si="15"/>
        <v>0</v>
      </c>
      <c r="T82" s="130">
        <f t="shared" si="15"/>
        <v>0</v>
      </c>
      <c r="U82" s="130">
        <f t="shared" si="15"/>
        <v>0</v>
      </c>
      <c r="V82" s="130">
        <f t="shared" si="15"/>
        <v>0</v>
      </c>
      <c r="W82" s="130">
        <f t="shared" si="15"/>
        <v>0</v>
      </c>
      <c r="X82" s="130">
        <f t="shared" si="15"/>
        <v>0</v>
      </c>
      <c r="Y82" s="130">
        <f t="shared" si="15"/>
        <v>0</v>
      </c>
      <c r="Z82" s="130">
        <f t="shared" si="15"/>
        <v>0</v>
      </c>
      <c r="AA82" s="130">
        <f t="shared" si="15"/>
        <v>0</v>
      </c>
      <c r="AB82" s="130">
        <f t="shared" si="15"/>
        <v>0</v>
      </c>
      <c r="AC82" s="130">
        <f t="shared" si="15"/>
        <v>0</v>
      </c>
      <c r="AD82" s="130">
        <f t="shared" si="15"/>
        <v>0</v>
      </c>
      <c r="AE82" s="130">
        <f t="shared" si="15"/>
        <v>0</v>
      </c>
      <c r="AF82" s="130">
        <f t="shared" si="15"/>
        <v>1</v>
      </c>
      <c r="AG82" s="130">
        <f t="shared" si="15"/>
        <v>0</v>
      </c>
      <c r="AH82" s="130">
        <f t="shared" si="15"/>
        <v>1</v>
      </c>
      <c r="AI82" s="130">
        <f t="shared" si="15"/>
        <v>1</v>
      </c>
      <c r="AJ82" s="49" t="str">
        <f t="shared" si="7"/>
        <v>UNKNOWN</v>
      </c>
      <c r="AK82" s="62"/>
      <c r="AL82" s="62" t="str">
        <f t="shared" si="10"/>
        <v>0B</v>
      </c>
      <c r="AM82" s="64" t="str">
        <f t="shared" si="11"/>
        <v>00</v>
      </c>
      <c r="AN82" s="64" t="str">
        <f t="shared" si="12"/>
        <v>00</v>
      </c>
      <c r="AO82" s="64" t="str">
        <f t="shared" si="13"/>
        <v>00</v>
      </c>
      <c r="AQ82" t="str">
        <f t="shared" si="8"/>
        <v xml:space="preserve">    (U4)0x0000000BU,                                                           /* 11 UNKNOWN                                         */</v>
      </c>
    </row>
    <row r="83" spans="2:43">
      <c r="B83" s="138"/>
      <c r="C83" s="49">
        <f t="shared" si="9"/>
        <v>12</v>
      </c>
      <c r="D83" s="130">
        <f t="shared" si="15"/>
        <v>0</v>
      </c>
      <c r="E83" s="130">
        <f t="shared" si="15"/>
        <v>0</v>
      </c>
      <c r="F83" s="130">
        <f t="shared" si="15"/>
        <v>0</v>
      </c>
      <c r="G83" s="130">
        <f t="shared" si="15"/>
        <v>0</v>
      </c>
      <c r="H83" s="130">
        <f t="shared" si="15"/>
        <v>0</v>
      </c>
      <c r="I83" s="130">
        <f t="shared" si="15"/>
        <v>0</v>
      </c>
      <c r="J83" s="130">
        <f t="shared" si="15"/>
        <v>0</v>
      </c>
      <c r="K83" s="130">
        <f t="shared" si="15"/>
        <v>0</v>
      </c>
      <c r="L83" s="130">
        <f t="shared" si="15"/>
        <v>0</v>
      </c>
      <c r="M83" s="130">
        <f t="shared" si="15"/>
        <v>0</v>
      </c>
      <c r="N83" s="130">
        <f t="shared" si="15"/>
        <v>0</v>
      </c>
      <c r="O83" s="130">
        <f t="shared" si="15"/>
        <v>0</v>
      </c>
      <c r="P83" s="130">
        <f t="shared" si="15"/>
        <v>0</v>
      </c>
      <c r="Q83" s="130">
        <f t="shared" si="15"/>
        <v>0</v>
      </c>
      <c r="R83" s="130">
        <f t="shared" si="15"/>
        <v>0</v>
      </c>
      <c r="S83" s="130">
        <f t="shared" si="15"/>
        <v>0</v>
      </c>
      <c r="T83" s="130">
        <f t="shared" si="15"/>
        <v>0</v>
      </c>
      <c r="U83" s="130">
        <f t="shared" si="15"/>
        <v>0</v>
      </c>
      <c r="V83" s="130">
        <f t="shared" si="15"/>
        <v>0</v>
      </c>
      <c r="W83" s="130">
        <f t="shared" si="15"/>
        <v>0</v>
      </c>
      <c r="X83" s="130">
        <f t="shared" si="15"/>
        <v>0</v>
      </c>
      <c r="Y83" s="130">
        <f t="shared" si="15"/>
        <v>0</v>
      </c>
      <c r="Z83" s="130">
        <f t="shared" si="15"/>
        <v>0</v>
      </c>
      <c r="AA83" s="130">
        <f t="shared" si="15"/>
        <v>0</v>
      </c>
      <c r="AB83" s="130">
        <f t="shared" si="15"/>
        <v>0</v>
      </c>
      <c r="AC83" s="130">
        <f t="shared" si="15"/>
        <v>0</v>
      </c>
      <c r="AD83" s="130">
        <f t="shared" si="15"/>
        <v>0</v>
      </c>
      <c r="AE83" s="130">
        <f t="shared" si="15"/>
        <v>0</v>
      </c>
      <c r="AF83" s="130">
        <f t="shared" si="15"/>
        <v>1</v>
      </c>
      <c r="AG83" s="130">
        <f t="shared" si="15"/>
        <v>1</v>
      </c>
      <c r="AH83" s="130">
        <f t="shared" si="15"/>
        <v>0</v>
      </c>
      <c r="AI83" s="130">
        <f t="shared" si="15"/>
        <v>0</v>
      </c>
      <c r="AJ83" s="49" t="str">
        <f t="shared" si="7"/>
        <v>UNKNOWN</v>
      </c>
      <c r="AK83" s="62"/>
      <c r="AL83" s="62" t="str">
        <f t="shared" si="10"/>
        <v>0C</v>
      </c>
      <c r="AM83" s="64" t="str">
        <f t="shared" si="11"/>
        <v>00</v>
      </c>
      <c r="AN83" s="64" t="str">
        <f t="shared" si="12"/>
        <v>00</v>
      </c>
      <c r="AO83" s="64" t="str">
        <f t="shared" si="13"/>
        <v>00</v>
      </c>
      <c r="AQ83" t="str">
        <f t="shared" si="8"/>
        <v xml:space="preserve">    (U4)0x0000000CU,                                                           /* 12 UNKNOWN                                         */</v>
      </c>
    </row>
    <row r="84" spans="2:43">
      <c r="B84" s="138"/>
      <c r="C84" s="49">
        <f t="shared" si="9"/>
        <v>13</v>
      </c>
      <c r="D84" s="130">
        <f t="shared" si="15"/>
        <v>0</v>
      </c>
      <c r="E84" s="130">
        <f t="shared" si="15"/>
        <v>0</v>
      </c>
      <c r="F84" s="130">
        <f t="shared" si="15"/>
        <v>0</v>
      </c>
      <c r="G84" s="130">
        <f t="shared" si="15"/>
        <v>0</v>
      </c>
      <c r="H84" s="130">
        <f t="shared" si="15"/>
        <v>0</v>
      </c>
      <c r="I84" s="130">
        <f t="shared" si="15"/>
        <v>0</v>
      </c>
      <c r="J84" s="130">
        <f t="shared" si="15"/>
        <v>0</v>
      </c>
      <c r="K84" s="130">
        <f t="shared" si="15"/>
        <v>0</v>
      </c>
      <c r="L84" s="130">
        <f t="shared" si="15"/>
        <v>0</v>
      </c>
      <c r="M84" s="130">
        <f t="shared" si="15"/>
        <v>0</v>
      </c>
      <c r="N84" s="130">
        <f t="shared" si="15"/>
        <v>0</v>
      </c>
      <c r="O84" s="130">
        <f t="shared" si="15"/>
        <v>0</v>
      </c>
      <c r="P84" s="130">
        <f t="shared" si="15"/>
        <v>0</v>
      </c>
      <c r="Q84" s="130">
        <f t="shared" si="15"/>
        <v>0</v>
      </c>
      <c r="R84" s="130">
        <f t="shared" si="15"/>
        <v>0</v>
      </c>
      <c r="S84" s="130">
        <f t="shared" si="15"/>
        <v>0</v>
      </c>
      <c r="T84" s="130">
        <f t="shared" si="15"/>
        <v>0</v>
      </c>
      <c r="U84" s="130">
        <f t="shared" si="15"/>
        <v>0</v>
      </c>
      <c r="V84" s="130">
        <f t="shared" si="15"/>
        <v>0</v>
      </c>
      <c r="W84" s="130">
        <f t="shared" si="15"/>
        <v>0</v>
      </c>
      <c r="X84" s="130">
        <f t="shared" si="15"/>
        <v>0</v>
      </c>
      <c r="Y84" s="130">
        <f t="shared" si="15"/>
        <v>0</v>
      </c>
      <c r="Z84" s="130">
        <f t="shared" si="15"/>
        <v>0</v>
      </c>
      <c r="AA84" s="130">
        <f t="shared" si="15"/>
        <v>0</v>
      </c>
      <c r="AB84" s="130">
        <f t="shared" si="15"/>
        <v>0</v>
      </c>
      <c r="AC84" s="130">
        <f t="shared" si="15"/>
        <v>0</v>
      </c>
      <c r="AD84" s="130">
        <f t="shared" si="15"/>
        <v>0</v>
      </c>
      <c r="AE84" s="130">
        <f t="shared" si="15"/>
        <v>0</v>
      </c>
      <c r="AF84" s="130">
        <f t="shared" si="15"/>
        <v>1</v>
      </c>
      <c r="AG84" s="130">
        <f t="shared" si="15"/>
        <v>1</v>
      </c>
      <c r="AH84" s="130">
        <f t="shared" si="15"/>
        <v>0</v>
      </c>
      <c r="AI84" s="130">
        <f t="shared" si="15"/>
        <v>1</v>
      </c>
      <c r="AJ84" s="49" t="str">
        <f t="shared" si="7"/>
        <v>UNKNOWN</v>
      </c>
      <c r="AK84" s="62"/>
      <c r="AL84" s="62" t="str">
        <f t="shared" si="10"/>
        <v>0D</v>
      </c>
      <c r="AM84" s="64" t="str">
        <f t="shared" si="11"/>
        <v>00</v>
      </c>
      <c r="AN84" s="64" t="str">
        <f t="shared" si="12"/>
        <v>00</v>
      </c>
      <c r="AO84" s="64" t="str">
        <f t="shared" si="13"/>
        <v>00</v>
      </c>
      <c r="AQ84" t="str">
        <f t="shared" si="8"/>
        <v xml:space="preserve">    (U4)0x0000000DU,                                                           /* 13 UNKNOWN                                         */</v>
      </c>
    </row>
    <row r="85" spans="2:43">
      <c r="B85" s="138"/>
      <c r="C85" s="49">
        <f t="shared" si="9"/>
        <v>14</v>
      </c>
      <c r="D85" s="130">
        <f t="shared" si="15"/>
        <v>0</v>
      </c>
      <c r="E85" s="130">
        <f t="shared" si="15"/>
        <v>0</v>
      </c>
      <c r="F85" s="130">
        <f t="shared" si="15"/>
        <v>0</v>
      </c>
      <c r="G85" s="130">
        <f t="shared" si="15"/>
        <v>0</v>
      </c>
      <c r="H85" s="130">
        <f t="shared" si="15"/>
        <v>0</v>
      </c>
      <c r="I85" s="130">
        <f t="shared" si="15"/>
        <v>0</v>
      </c>
      <c r="J85" s="130">
        <f t="shared" si="15"/>
        <v>0</v>
      </c>
      <c r="K85" s="130">
        <f t="shared" si="15"/>
        <v>0</v>
      </c>
      <c r="L85" s="130">
        <f t="shared" si="15"/>
        <v>0</v>
      </c>
      <c r="M85" s="130">
        <f t="shared" si="15"/>
        <v>0</v>
      </c>
      <c r="N85" s="130">
        <f t="shared" si="15"/>
        <v>0</v>
      </c>
      <c r="O85" s="130">
        <f t="shared" si="15"/>
        <v>0</v>
      </c>
      <c r="P85" s="130">
        <f t="shared" si="15"/>
        <v>0</v>
      </c>
      <c r="Q85" s="130">
        <f t="shared" si="15"/>
        <v>0</v>
      </c>
      <c r="R85" s="130">
        <f t="shared" si="15"/>
        <v>0</v>
      </c>
      <c r="S85" s="130">
        <f t="shared" si="15"/>
        <v>0</v>
      </c>
      <c r="T85" s="130">
        <f t="shared" si="15"/>
        <v>0</v>
      </c>
      <c r="U85" s="130">
        <f t="shared" si="15"/>
        <v>0</v>
      </c>
      <c r="V85" s="130">
        <f t="shared" si="15"/>
        <v>0</v>
      </c>
      <c r="W85" s="130">
        <f t="shared" si="15"/>
        <v>0</v>
      </c>
      <c r="X85" s="130">
        <f t="shared" si="15"/>
        <v>0</v>
      </c>
      <c r="Y85" s="130">
        <f t="shared" si="15"/>
        <v>0</v>
      </c>
      <c r="Z85" s="130">
        <f t="shared" si="15"/>
        <v>0</v>
      </c>
      <c r="AA85" s="130">
        <f t="shared" si="15"/>
        <v>0</v>
      </c>
      <c r="AB85" s="130">
        <f t="shared" si="15"/>
        <v>0</v>
      </c>
      <c r="AC85" s="130">
        <f t="shared" si="15"/>
        <v>0</v>
      </c>
      <c r="AD85" s="130">
        <f t="shared" si="15"/>
        <v>0</v>
      </c>
      <c r="AE85" s="130">
        <f t="shared" si="15"/>
        <v>0</v>
      </c>
      <c r="AF85" s="130">
        <f t="shared" si="15"/>
        <v>1</v>
      </c>
      <c r="AG85" s="130">
        <f t="shared" si="15"/>
        <v>1</v>
      </c>
      <c r="AH85" s="130">
        <f t="shared" si="15"/>
        <v>1</v>
      </c>
      <c r="AI85" s="130">
        <f t="shared" si="15"/>
        <v>0</v>
      </c>
      <c r="AJ85" s="49" t="str">
        <f t="shared" si="7"/>
        <v>UNKNOWN</v>
      </c>
      <c r="AK85" s="62"/>
      <c r="AL85" s="62" t="str">
        <f t="shared" si="10"/>
        <v>0E</v>
      </c>
      <c r="AM85" s="64" t="str">
        <f t="shared" si="11"/>
        <v>00</v>
      </c>
      <c r="AN85" s="64" t="str">
        <f t="shared" si="12"/>
        <v>00</v>
      </c>
      <c r="AO85" s="64" t="str">
        <f t="shared" si="13"/>
        <v>00</v>
      </c>
      <c r="AQ85" t="str">
        <f t="shared" si="8"/>
        <v xml:space="preserve">    (U4)0x0000000EU,                                                           /* 14 UNKNOWN                                         */</v>
      </c>
    </row>
    <row r="86" spans="2:43">
      <c r="B86" s="138"/>
      <c r="C86" s="49">
        <f t="shared" si="9"/>
        <v>15</v>
      </c>
      <c r="D86" s="130">
        <f t="shared" si="15"/>
        <v>0</v>
      </c>
      <c r="E86" s="130">
        <f t="shared" si="15"/>
        <v>0</v>
      </c>
      <c r="F86" s="130">
        <f t="shared" si="15"/>
        <v>0</v>
      </c>
      <c r="G86" s="130">
        <f t="shared" si="15"/>
        <v>0</v>
      </c>
      <c r="H86" s="130">
        <f t="shared" si="15"/>
        <v>0</v>
      </c>
      <c r="I86" s="130">
        <f t="shared" si="15"/>
        <v>0</v>
      </c>
      <c r="J86" s="130">
        <f t="shared" si="15"/>
        <v>0</v>
      </c>
      <c r="K86" s="130">
        <f t="shared" si="15"/>
        <v>0</v>
      </c>
      <c r="L86" s="130">
        <f t="shared" si="15"/>
        <v>0</v>
      </c>
      <c r="M86" s="130">
        <f t="shared" si="15"/>
        <v>0</v>
      </c>
      <c r="N86" s="130">
        <f t="shared" si="15"/>
        <v>0</v>
      </c>
      <c r="O86" s="130">
        <f t="shared" si="15"/>
        <v>0</v>
      </c>
      <c r="P86" s="130">
        <f t="shared" si="15"/>
        <v>0</v>
      </c>
      <c r="Q86" s="130">
        <f t="shared" si="15"/>
        <v>0</v>
      </c>
      <c r="R86" s="130">
        <f t="shared" si="15"/>
        <v>0</v>
      </c>
      <c r="S86" s="130">
        <f t="shared" si="15"/>
        <v>0</v>
      </c>
      <c r="T86" s="130">
        <f t="shared" si="15"/>
        <v>0</v>
      </c>
      <c r="U86" s="130">
        <f t="shared" si="15"/>
        <v>0</v>
      </c>
      <c r="V86" s="130">
        <f t="shared" si="15"/>
        <v>0</v>
      </c>
      <c r="W86" s="130">
        <f t="shared" si="15"/>
        <v>0</v>
      </c>
      <c r="X86" s="130">
        <f t="shared" si="15"/>
        <v>0</v>
      </c>
      <c r="Y86" s="130">
        <f t="shared" si="15"/>
        <v>0</v>
      </c>
      <c r="Z86" s="130">
        <f t="shared" si="15"/>
        <v>0</v>
      </c>
      <c r="AA86" s="130">
        <f t="shared" si="15"/>
        <v>0</v>
      </c>
      <c r="AB86" s="130">
        <f t="shared" si="15"/>
        <v>0</v>
      </c>
      <c r="AC86" s="130">
        <f t="shared" si="15"/>
        <v>0</v>
      </c>
      <c r="AD86" s="130">
        <f t="shared" si="15"/>
        <v>0</v>
      </c>
      <c r="AE86" s="130">
        <f t="shared" si="15"/>
        <v>0</v>
      </c>
      <c r="AF86" s="130">
        <f t="shared" si="15"/>
        <v>1</v>
      </c>
      <c r="AG86" s="130">
        <f t="shared" si="15"/>
        <v>1</v>
      </c>
      <c r="AH86" s="130">
        <f t="shared" si="15"/>
        <v>1</v>
      </c>
      <c r="AI86" s="130">
        <f t="shared" ref="AI86" si="16">IF(AI21=1,1,0)</f>
        <v>1</v>
      </c>
      <c r="AJ86" s="49" t="str">
        <f t="shared" si="7"/>
        <v>UNKNOWN</v>
      </c>
      <c r="AK86" s="62"/>
      <c r="AL86" s="62" t="str">
        <f t="shared" si="10"/>
        <v>0F</v>
      </c>
      <c r="AM86" s="64" t="str">
        <f t="shared" si="11"/>
        <v>00</v>
      </c>
      <c r="AN86" s="64" t="str">
        <f t="shared" si="12"/>
        <v>00</v>
      </c>
      <c r="AO86" s="64" t="str">
        <f t="shared" si="13"/>
        <v>00</v>
      </c>
      <c r="AQ86" t="str">
        <f t="shared" si="8"/>
        <v xml:space="preserve">    (U4)0x0000000FU                                                            /* 15 UNKNOWN                                         */</v>
      </c>
    </row>
    <row r="87" spans="2:43">
      <c r="B87" s="138"/>
      <c r="C87" s="49">
        <f t="shared" si="9"/>
        <v>16</v>
      </c>
      <c r="D87" s="130">
        <f t="shared" ref="D87:AI94" si="17">IF(D22=1,1,0)</f>
        <v>0</v>
      </c>
      <c r="E87" s="130">
        <f t="shared" si="17"/>
        <v>0</v>
      </c>
      <c r="F87" s="130">
        <f t="shared" si="17"/>
        <v>0</v>
      </c>
      <c r="G87" s="130">
        <f t="shared" si="17"/>
        <v>0</v>
      </c>
      <c r="H87" s="130">
        <f t="shared" si="17"/>
        <v>0</v>
      </c>
      <c r="I87" s="130">
        <f t="shared" si="17"/>
        <v>0</v>
      </c>
      <c r="J87" s="130">
        <f t="shared" si="17"/>
        <v>0</v>
      </c>
      <c r="K87" s="130">
        <f t="shared" si="17"/>
        <v>0</v>
      </c>
      <c r="L87" s="130">
        <f t="shared" si="17"/>
        <v>0</v>
      </c>
      <c r="M87" s="130">
        <f t="shared" si="17"/>
        <v>0</v>
      </c>
      <c r="N87" s="130">
        <f t="shared" si="17"/>
        <v>0</v>
      </c>
      <c r="O87" s="130">
        <f t="shared" si="17"/>
        <v>0</v>
      </c>
      <c r="P87" s="130">
        <f t="shared" si="17"/>
        <v>0</v>
      </c>
      <c r="Q87" s="130">
        <f t="shared" si="17"/>
        <v>0</v>
      </c>
      <c r="R87" s="130">
        <f t="shared" si="17"/>
        <v>0</v>
      </c>
      <c r="S87" s="130">
        <f t="shared" si="17"/>
        <v>0</v>
      </c>
      <c r="T87" s="130">
        <f t="shared" si="17"/>
        <v>0</v>
      </c>
      <c r="U87" s="130">
        <f t="shared" si="17"/>
        <v>0</v>
      </c>
      <c r="V87" s="130">
        <f t="shared" si="17"/>
        <v>0</v>
      </c>
      <c r="W87" s="130">
        <f t="shared" si="17"/>
        <v>0</v>
      </c>
      <c r="X87" s="130">
        <f t="shared" si="17"/>
        <v>0</v>
      </c>
      <c r="Y87" s="130">
        <f t="shared" si="17"/>
        <v>0</v>
      </c>
      <c r="Z87" s="130">
        <f t="shared" si="17"/>
        <v>0</v>
      </c>
      <c r="AA87" s="130">
        <f t="shared" si="17"/>
        <v>0</v>
      </c>
      <c r="AB87" s="130">
        <f t="shared" si="17"/>
        <v>0</v>
      </c>
      <c r="AC87" s="130">
        <f t="shared" si="17"/>
        <v>0</v>
      </c>
      <c r="AD87" s="130">
        <f t="shared" si="17"/>
        <v>0</v>
      </c>
      <c r="AE87" s="130">
        <f t="shared" si="17"/>
        <v>0</v>
      </c>
      <c r="AF87" s="130">
        <f t="shared" si="17"/>
        <v>0</v>
      </c>
      <c r="AG87" s="130">
        <f t="shared" si="17"/>
        <v>0</v>
      </c>
      <c r="AH87" s="130">
        <f t="shared" si="17"/>
        <v>0</v>
      </c>
      <c r="AI87" s="130">
        <f t="shared" si="17"/>
        <v>0</v>
      </c>
      <c r="AJ87" s="49" t="str">
        <f t="shared" si="7"/>
        <v/>
      </c>
      <c r="AK87" s="62"/>
      <c r="AL87" s="62" t="str">
        <f t="shared" si="10"/>
        <v>00</v>
      </c>
      <c r="AM87" s="64" t="str">
        <f t="shared" si="11"/>
        <v>00</v>
      </c>
      <c r="AN87" s="64" t="str">
        <f t="shared" si="12"/>
        <v>00</v>
      </c>
      <c r="AO87" s="64" t="str">
        <f t="shared" si="13"/>
        <v>00</v>
      </c>
      <c r="AQ87" t="str">
        <f t="shared" si="8"/>
        <v/>
      </c>
    </row>
    <row r="88" spans="2:43">
      <c r="B88" s="138"/>
      <c r="C88" s="49">
        <f t="shared" si="9"/>
        <v>17</v>
      </c>
      <c r="D88" s="130">
        <f t="shared" si="17"/>
        <v>0</v>
      </c>
      <c r="E88" s="130">
        <f t="shared" si="17"/>
        <v>0</v>
      </c>
      <c r="F88" s="130">
        <f t="shared" si="17"/>
        <v>0</v>
      </c>
      <c r="G88" s="130">
        <f t="shared" si="17"/>
        <v>0</v>
      </c>
      <c r="H88" s="130">
        <f t="shared" si="17"/>
        <v>0</v>
      </c>
      <c r="I88" s="130">
        <f t="shared" si="17"/>
        <v>0</v>
      </c>
      <c r="J88" s="130">
        <f t="shared" si="17"/>
        <v>0</v>
      </c>
      <c r="K88" s="130">
        <f t="shared" si="17"/>
        <v>0</v>
      </c>
      <c r="L88" s="130">
        <f t="shared" si="17"/>
        <v>0</v>
      </c>
      <c r="M88" s="130">
        <f t="shared" si="17"/>
        <v>0</v>
      </c>
      <c r="N88" s="130">
        <f t="shared" si="17"/>
        <v>0</v>
      </c>
      <c r="O88" s="130">
        <f t="shared" si="17"/>
        <v>0</v>
      </c>
      <c r="P88" s="130">
        <f t="shared" si="17"/>
        <v>0</v>
      </c>
      <c r="Q88" s="130">
        <f t="shared" si="17"/>
        <v>0</v>
      </c>
      <c r="R88" s="130">
        <f t="shared" si="17"/>
        <v>0</v>
      </c>
      <c r="S88" s="130">
        <f t="shared" si="17"/>
        <v>0</v>
      </c>
      <c r="T88" s="130">
        <f t="shared" si="17"/>
        <v>0</v>
      </c>
      <c r="U88" s="130">
        <f t="shared" si="17"/>
        <v>0</v>
      </c>
      <c r="V88" s="130">
        <f t="shared" si="17"/>
        <v>0</v>
      </c>
      <c r="W88" s="130">
        <f t="shared" si="17"/>
        <v>0</v>
      </c>
      <c r="X88" s="130">
        <f t="shared" si="17"/>
        <v>0</v>
      </c>
      <c r="Y88" s="130">
        <f t="shared" si="17"/>
        <v>0</v>
      </c>
      <c r="Z88" s="130">
        <f t="shared" si="17"/>
        <v>0</v>
      </c>
      <c r="AA88" s="130">
        <f t="shared" si="17"/>
        <v>0</v>
      </c>
      <c r="AB88" s="130">
        <f t="shared" si="17"/>
        <v>0</v>
      </c>
      <c r="AC88" s="130">
        <f t="shared" si="17"/>
        <v>0</v>
      </c>
      <c r="AD88" s="130">
        <f t="shared" si="17"/>
        <v>0</v>
      </c>
      <c r="AE88" s="130">
        <f t="shared" si="17"/>
        <v>0</v>
      </c>
      <c r="AF88" s="130">
        <f t="shared" si="17"/>
        <v>0</v>
      </c>
      <c r="AG88" s="130">
        <f t="shared" si="17"/>
        <v>0</v>
      </c>
      <c r="AH88" s="130">
        <f t="shared" si="17"/>
        <v>0</v>
      </c>
      <c r="AI88" s="130">
        <f t="shared" si="17"/>
        <v>0</v>
      </c>
      <c r="AJ88" s="49" t="str">
        <f t="shared" si="7"/>
        <v/>
      </c>
      <c r="AK88" s="62"/>
      <c r="AL88" s="62" t="str">
        <f t="shared" si="10"/>
        <v>00</v>
      </c>
      <c r="AM88" s="64" t="str">
        <f t="shared" si="11"/>
        <v>00</v>
      </c>
      <c r="AN88" s="64" t="str">
        <f t="shared" si="12"/>
        <v>00</v>
      </c>
      <c r="AO88" s="64" t="str">
        <f t="shared" si="13"/>
        <v>00</v>
      </c>
      <c r="AQ88" t="str">
        <f t="shared" si="8"/>
        <v/>
      </c>
    </row>
    <row r="89" spans="2:43">
      <c r="B89" s="138"/>
      <c r="C89" s="49">
        <f t="shared" si="9"/>
        <v>18</v>
      </c>
      <c r="D89" s="130">
        <f t="shared" si="17"/>
        <v>0</v>
      </c>
      <c r="E89" s="130">
        <f t="shared" si="17"/>
        <v>0</v>
      </c>
      <c r="F89" s="130">
        <f t="shared" si="17"/>
        <v>0</v>
      </c>
      <c r="G89" s="130">
        <f t="shared" si="17"/>
        <v>0</v>
      </c>
      <c r="H89" s="130">
        <f t="shared" si="17"/>
        <v>0</v>
      </c>
      <c r="I89" s="130">
        <f t="shared" si="17"/>
        <v>0</v>
      </c>
      <c r="J89" s="130">
        <f t="shared" si="17"/>
        <v>0</v>
      </c>
      <c r="K89" s="130">
        <f t="shared" si="17"/>
        <v>0</v>
      </c>
      <c r="L89" s="130">
        <f t="shared" si="17"/>
        <v>0</v>
      </c>
      <c r="M89" s="130">
        <f t="shared" si="17"/>
        <v>0</v>
      </c>
      <c r="N89" s="130">
        <f t="shared" si="17"/>
        <v>0</v>
      </c>
      <c r="O89" s="130">
        <f t="shared" si="17"/>
        <v>0</v>
      </c>
      <c r="P89" s="130">
        <f t="shared" si="17"/>
        <v>0</v>
      </c>
      <c r="Q89" s="130">
        <f t="shared" si="17"/>
        <v>0</v>
      </c>
      <c r="R89" s="130">
        <f t="shared" si="17"/>
        <v>0</v>
      </c>
      <c r="S89" s="130">
        <f t="shared" si="17"/>
        <v>0</v>
      </c>
      <c r="T89" s="130">
        <f t="shared" si="17"/>
        <v>0</v>
      </c>
      <c r="U89" s="130">
        <f t="shared" si="17"/>
        <v>0</v>
      </c>
      <c r="V89" s="130">
        <f t="shared" si="17"/>
        <v>0</v>
      </c>
      <c r="W89" s="130">
        <f t="shared" si="17"/>
        <v>0</v>
      </c>
      <c r="X89" s="130">
        <f t="shared" si="17"/>
        <v>0</v>
      </c>
      <c r="Y89" s="130">
        <f t="shared" si="17"/>
        <v>0</v>
      </c>
      <c r="Z89" s="130">
        <f t="shared" si="17"/>
        <v>0</v>
      </c>
      <c r="AA89" s="130">
        <f t="shared" si="17"/>
        <v>0</v>
      </c>
      <c r="AB89" s="130">
        <f t="shared" si="17"/>
        <v>0</v>
      </c>
      <c r="AC89" s="130">
        <f t="shared" si="17"/>
        <v>0</v>
      </c>
      <c r="AD89" s="130">
        <f t="shared" si="17"/>
        <v>0</v>
      </c>
      <c r="AE89" s="130">
        <f t="shared" si="17"/>
        <v>0</v>
      </c>
      <c r="AF89" s="130">
        <f t="shared" si="17"/>
        <v>0</v>
      </c>
      <c r="AG89" s="130">
        <f t="shared" si="17"/>
        <v>0</v>
      </c>
      <c r="AH89" s="130">
        <f t="shared" si="17"/>
        <v>0</v>
      </c>
      <c r="AI89" s="130">
        <f t="shared" si="17"/>
        <v>0</v>
      </c>
      <c r="AJ89" s="49" t="str">
        <f t="shared" si="7"/>
        <v/>
      </c>
      <c r="AK89" s="62"/>
      <c r="AL89" s="62" t="str">
        <f t="shared" si="10"/>
        <v>00</v>
      </c>
      <c r="AM89" s="64" t="str">
        <f t="shared" si="11"/>
        <v>00</v>
      </c>
      <c r="AN89" s="64" t="str">
        <f t="shared" si="12"/>
        <v>00</v>
      </c>
      <c r="AO89" s="64" t="str">
        <f t="shared" si="13"/>
        <v>00</v>
      </c>
      <c r="AQ89" t="str">
        <f t="shared" si="8"/>
        <v/>
      </c>
    </row>
    <row r="90" spans="2:43">
      <c r="B90" s="138"/>
      <c r="C90" s="49">
        <f t="shared" si="9"/>
        <v>19</v>
      </c>
      <c r="D90" s="130">
        <f t="shared" si="17"/>
        <v>0</v>
      </c>
      <c r="E90" s="130">
        <f t="shared" si="17"/>
        <v>0</v>
      </c>
      <c r="F90" s="130">
        <f t="shared" si="17"/>
        <v>0</v>
      </c>
      <c r="G90" s="130">
        <f t="shared" si="17"/>
        <v>0</v>
      </c>
      <c r="H90" s="130">
        <f t="shared" si="17"/>
        <v>0</v>
      </c>
      <c r="I90" s="130">
        <f t="shared" si="17"/>
        <v>0</v>
      </c>
      <c r="J90" s="130">
        <f t="shared" si="17"/>
        <v>0</v>
      </c>
      <c r="K90" s="130">
        <f t="shared" si="17"/>
        <v>0</v>
      </c>
      <c r="L90" s="130">
        <f t="shared" si="17"/>
        <v>0</v>
      </c>
      <c r="M90" s="130">
        <f t="shared" si="17"/>
        <v>0</v>
      </c>
      <c r="N90" s="130">
        <f t="shared" si="17"/>
        <v>0</v>
      </c>
      <c r="O90" s="130">
        <f t="shared" si="17"/>
        <v>0</v>
      </c>
      <c r="P90" s="130">
        <f t="shared" si="17"/>
        <v>0</v>
      </c>
      <c r="Q90" s="130">
        <f t="shared" si="17"/>
        <v>0</v>
      </c>
      <c r="R90" s="130">
        <f t="shared" si="17"/>
        <v>0</v>
      </c>
      <c r="S90" s="130">
        <f t="shared" si="17"/>
        <v>0</v>
      </c>
      <c r="T90" s="130">
        <f t="shared" si="17"/>
        <v>0</v>
      </c>
      <c r="U90" s="130">
        <f t="shared" si="17"/>
        <v>0</v>
      </c>
      <c r="V90" s="130">
        <f t="shared" si="17"/>
        <v>0</v>
      </c>
      <c r="W90" s="130">
        <f t="shared" si="17"/>
        <v>0</v>
      </c>
      <c r="X90" s="130">
        <f t="shared" si="17"/>
        <v>0</v>
      </c>
      <c r="Y90" s="130">
        <f t="shared" si="17"/>
        <v>0</v>
      </c>
      <c r="Z90" s="130">
        <f t="shared" si="17"/>
        <v>0</v>
      </c>
      <c r="AA90" s="130">
        <f t="shared" si="17"/>
        <v>0</v>
      </c>
      <c r="AB90" s="130">
        <f t="shared" si="17"/>
        <v>0</v>
      </c>
      <c r="AC90" s="130">
        <f t="shared" si="17"/>
        <v>0</v>
      </c>
      <c r="AD90" s="130">
        <f t="shared" si="17"/>
        <v>0</v>
      </c>
      <c r="AE90" s="130">
        <f t="shared" si="17"/>
        <v>0</v>
      </c>
      <c r="AF90" s="130">
        <f t="shared" si="17"/>
        <v>0</v>
      </c>
      <c r="AG90" s="130">
        <f t="shared" si="17"/>
        <v>0</v>
      </c>
      <c r="AH90" s="130">
        <f t="shared" si="17"/>
        <v>0</v>
      </c>
      <c r="AI90" s="130">
        <f t="shared" si="17"/>
        <v>0</v>
      </c>
      <c r="AJ90" s="49" t="str">
        <f t="shared" si="7"/>
        <v/>
      </c>
      <c r="AK90" s="62"/>
      <c r="AL90" s="62" t="str">
        <f t="shared" si="10"/>
        <v>00</v>
      </c>
      <c r="AM90" s="64" t="str">
        <f t="shared" si="11"/>
        <v>00</v>
      </c>
      <c r="AN90" s="64" t="str">
        <f t="shared" si="12"/>
        <v>00</v>
      </c>
      <c r="AO90" s="64" t="str">
        <f t="shared" si="13"/>
        <v>00</v>
      </c>
      <c r="AQ90" t="str">
        <f t="shared" si="8"/>
        <v/>
      </c>
    </row>
    <row r="91" spans="2:43">
      <c r="B91" s="138"/>
      <c r="C91" s="49">
        <f t="shared" si="9"/>
        <v>20</v>
      </c>
      <c r="D91" s="130">
        <f t="shared" si="17"/>
        <v>0</v>
      </c>
      <c r="E91" s="130">
        <f t="shared" si="17"/>
        <v>0</v>
      </c>
      <c r="F91" s="130">
        <f t="shared" si="17"/>
        <v>0</v>
      </c>
      <c r="G91" s="130">
        <f t="shared" si="17"/>
        <v>0</v>
      </c>
      <c r="H91" s="130">
        <f t="shared" si="17"/>
        <v>0</v>
      </c>
      <c r="I91" s="130">
        <f t="shared" si="17"/>
        <v>0</v>
      </c>
      <c r="J91" s="130">
        <f t="shared" si="17"/>
        <v>0</v>
      </c>
      <c r="K91" s="130">
        <f t="shared" si="17"/>
        <v>0</v>
      </c>
      <c r="L91" s="130">
        <f t="shared" si="17"/>
        <v>0</v>
      </c>
      <c r="M91" s="130">
        <f t="shared" si="17"/>
        <v>0</v>
      </c>
      <c r="N91" s="130">
        <f t="shared" si="17"/>
        <v>0</v>
      </c>
      <c r="O91" s="130">
        <f t="shared" si="17"/>
        <v>0</v>
      </c>
      <c r="P91" s="130">
        <f t="shared" si="17"/>
        <v>0</v>
      </c>
      <c r="Q91" s="130">
        <f t="shared" si="17"/>
        <v>0</v>
      </c>
      <c r="R91" s="130">
        <f t="shared" si="17"/>
        <v>0</v>
      </c>
      <c r="S91" s="130">
        <f t="shared" si="17"/>
        <v>0</v>
      </c>
      <c r="T91" s="130">
        <f t="shared" si="17"/>
        <v>0</v>
      </c>
      <c r="U91" s="130">
        <f t="shared" si="17"/>
        <v>0</v>
      </c>
      <c r="V91" s="130">
        <f t="shared" si="17"/>
        <v>0</v>
      </c>
      <c r="W91" s="130">
        <f t="shared" si="17"/>
        <v>0</v>
      </c>
      <c r="X91" s="130">
        <f t="shared" si="17"/>
        <v>0</v>
      </c>
      <c r="Y91" s="130">
        <f t="shared" si="17"/>
        <v>0</v>
      </c>
      <c r="Z91" s="130">
        <f t="shared" si="17"/>
        <v>0</v>
      </c>
      <c r="AA91" s="130">
        <f t="shared" si="17"/>
        <v>0</v>
      </c>
      <c r="AB91" s="130">
        <f t="shared" si="17"/>
        <v>0</v>
      </c>
      <c r="AC91" s="130">
        <f t="shared" si="17"/>
        <v>0</v>
      </c>
      <c r="AD91" s="130">
        <f t="shared" si="17"/>
        <v>0</v>
      </c>
      <c r="AE91" s="130">
        <f t="shared" si="17"/>
        <v>0</v>
      </c>
      <c r="AF91" s="130">
        <f t="shared" si="17"/>
        <v>0</v>
      </c>
      <c r="AG91" s="130">
        <f t="shared" si="17"/>
        <v>0</v>
      </c>
      <c r="AH91" s="130">
        <f t="shared" si="17"/>
        <v>0</v>
      </c>
      <c r="AI91" s="130">
        <f t="shared" si="17"/>
        <v>0</v>
      </c>
      <c r="AJ91" s="49" t="str">
        <f t="shared" si="7"/>
        <v/>
      </c>
      <c r="AK91" s="62"/>
      <c r="AL91" s="62" t="str">
        <f t="shared" si="10"/>
        <v>00</v>
      </c>
      <c r="AM91" s="64" t="str">
        <f t="shared" si="11"/>
        <v>00</v>
      </c>
      <c r="AN91" s="64" t="str">
        <f t="shared" si="12"/>
        <v>00</v>
      </c>
      <c r="AO91" s="64" t="str">
        <f t="shared" si="13"/>
        <v>00</v>
      </c>
      <c r="AQ91" t="str">
        <f t="shared" si="8"/>
        <v/>
      </c>
    </row>
    <row r="92" spans="2:43">
      <c r="B92" s="138"/>
      <c r="C92" s="49">
        <f t="shared" si="9"/>
        <v>21</v>
      </c>
      <c r="D92" s="130">
        <f t="shared" si="17"/>
        <v>0</v>
      </c>
      <c r="E92" s="130">
        <f t="shared" si="17"/>
        <v>0</v>
      </c>
      <c r="F92" s="130">
        <f t="shared" si="17"/>
        <v>0</v>
      </c>
      <c r="G92" s="130">
        <f t="shared" si="17"/>
        <v>0</v>
      </c>
      <c r="H92" s="130">
        <f t="shared" si="17"/>
        <v>0</v>
      </c>
      <c r="I92" s="130">
        <f t="shared" si="17"/>
        <v>0</v>
      </c>
      <c r="J92" s="130">
        <f t="shared" si="17"/>
        <v>0</v>
      </c>
      <c r="K92" s="130">
        <f t="shared" si="17"/>
        <v>0</v>
      </c>
      <c r="L92" s="130">
        <f t="shared" si="17"/>
        <v>0</v>
      </c>
      <c r="M92" s="130">
        <f t="shared" si="17"/>
        <v>0</v>
      </c>
      <c r="N92" s="130">
        <f t="shared" si="17"/>
        <v>0</v>
      </c>
      <c r="O92" s="130">
        <f t="shared" si="17"/>
        <v>0</v>
      </c>
      <c r="P92" s="130">
        <f t="shared" si="17"/>
        <v>0</v>
      </c>
      <c r="Q92" s="130">
        <f t="shared" si="17"/>
        <v>0</v>
      </c>
      <c r="R92" s="130">
        <f t="shared" si="17"/>
        <v>0</v>
      </c>
      <c r="S92" s="130">
        <f t="shared" si="17"/>
        <v>0</v>
      </c>
      <c r="T92" s="130">
        <f t="shared" si="17"/>
        <v>0</v>
      </c>
      <c r="U92" s="130">
        <f t="shared" si="17"/>
        <v>0</v>
      </c>
      <c r="V92" s="130">
        <f t="shared" si="17"/>
        <v>0</v>
      </c>
      <c r="W92" s="130">
        <f t="shared" si="17"/>
        <v>0</v>
      </c>
      <c r="X92" s="130">
        <f t="shared" si="17"/>
        <v>0</v>
      </c>
      <c r="Y92" s="130">
        <f t="shared" si="17"/>
        <v>0</v>
      </c>
      <c r="Z92" s="130">
        <f t="shared" si="17"/>
        <v>0</v>
      </c>
      <c r="AA92" s="130">
        <f t="shared" si="17"/>
        <v>0</v>
      </c>
      <c r="AB92" s="130">
        <f t="shared" si="17"/>
        <v>0</v>
      </c>
      <c r="AC92" s="130">
        <f t="shared" si="17"/>
        <v>0</v>
      </c>
      <c r="AD92" s="130">
        <f t="shared" si="17"/>
        <v>0</v>
      </c>
      <c r="AE92" s="130">
        <f t="shared" si="17"/>
        <v>0</v>
      </c>
      <c r="AF92" s="130">
        <f t="shared" si="17"/>
        <v>0</v>
      </c>
      <c r="AG92" s="130">
        <f t="shared" si="17"/>
        <v>0</v>
      </c>
      <c r="AH92" s="130">
        <f t="shared" si="17"/>
        <v>0</v>
      </c>
      <c r="AI92" s="130">
        <f t="shared" si="17"/>
        <v>0</v>
      </c>
      <c r="AJ92" s="49" t="str">
        <f t="shared" si="7"/>
        <v/>
      </c>
      <c r="AK92" s="62"/>
      <c r="AL92" s="62" t="str">
        <f t="shared" si="10"/>
        <v>00</v>
      </c>
      <c r="AM92" s="64" t="str">
        <f t="shared" si="11"/>
        <v>00</v>
      </c>
      <c r="AN92" s="64" t="str">
        <f t="shared" si="12"/>
        <v>00</v>
      </c>
      <c r="AO92" s="64" t="str">
        <f t="shared" si="13"/>
        <v>00</v>
      </c>
      <c r="AQ92" t="str">
        <f t="shared" si="8"/>
        <v/>
      </c>
    </row>
    <row r="93" spans="2:43">
      <c r="B93" s="138"/>
      <c r="C93" s="49">
        <f t="shared" si="9"/>
        <v>22</v>
      </c>
      <c r="D93" s="130">
        <f t="shared" si="17"/>
        <v>0</v>
      </c>
      <c r="E93" s="130">
        <f t="shared" si="17"/>
        <v>0</v>
      </c>
      <c r="F93" s="130">
        <f t="shared" si="17"/>
        <v>0</v>
      </c>
      <c r="G93" s="130">
        <f t="shared" si="17"/>
        <v>0</v>
      </c>
      <c r="H93" s="130">
        <f t="shared" si="17"/>
        <v>0</v>
      </c>
      <c r="I93" s="130">
        <f t="shared" si="17"/>
        <v>0</v>
      </c>
      <c r="J93" s="130">
        <f t="shared" si="17"/>
        <v>0</v>
      </c>
      <c r="K93" s="130">
        <f t="shared" si="17"/>
        <v>0</v>
      </c>
      <c r="L93" s="130">
        <f t="shared" si="17"/>
        <v>0</v>
      </c>
      <c r="M93" s="130">
        <f t="shared" si="17"/>
        <v>0</v>
      </c>
      <c r="N93" s="130">
        <f t="shared" si="17"/>
        <v>0</v>
      </c>
      <c r="O93" s="130">
        <f t="shared" si="17"/>
        <v>0</v>
      </c>
      <c r="P93" s="130">
        <f t="shared" si="17"/>
        <v>0</v>
      </c>
      <c r="Q93" s="130">
        <f t="shared" si="17"/>
        <v>0</v>
      </c>
      <c r="R93" s="130">
        <f t="shared" si="17"/>
        <v>0</v>
      </c>
      <c r="S93" s="130">
        <f t="shared" si="17"/>
        <v>0</v>
      </c>
      <c r="T93" s="130">
        <f t="shared" si="17"/>
        <v>0</v>
      </c>
      <c r="U93" s="130">
        <f t="shared" si="17"/>
        <v>0</v>
      </c>
      <c r="V93" s="130">
        <f t="shared" si="17"/>
        <v>0</v>
      </c>
      <c r="W93" s="130">
        <f t="shared" si="17"/>
        <v>0</v>
      </c>
      <c r="X93" s="130">
        <f t="shared" si="17"/>
        <v>0</v>
      </c>
      <c r="Y93" s="130">
        <f t="shared" si="17"/>
        <v>0</v>
      </c>
      <c r="Z93" s="130">
        <f t="shared" si="17"/>
        <v>0</v>
      </c>
      <c r="AA93" s="130">
        <f t="shared" si="17"/>
        <v>0</v>
      </c>
      <c r="AB93" s="130">
        <f t="shared" si="17"/>
        <v>0</v>
      </c>
      <c r="AC93" s="130">
        <f t="shared" si="17"/>
        <v>0</v>
      </c>
      <c r="AD93" s="130">
        <f t="shared" si="17"/>
        <v>0</v>
      </c>
      <c r="AE93" s="130">
        <f t="shared" si="17"/>
        <v>0</v>
      </c>
      <c r="AF93" s="130">
        <f t="shared" si="17"/>
        <v>0</v>
      </c>
      <c r="AG93" s="130">
        <f t="shared" si="17"/>
        <v>0</v>
      </c>
      <c r="AH93" s="130">
        <f t="shared" si="17"/>
        <v>0</v>
      </c>
      <c r="AI93" s="130">
        <f t="shared" si="17"/>
        <v>0</v>
      </c>
      <c r="AJ93" s="49" t="str">
        <f t="shared" si="7"/>
        <v/>
      </c>
      <c r="AK93" s="62"/>
      <c r="AL93" s="62" t="str">
        <f t="shared" si="10"/>
        <v>00</v>
      </c>
      <c r="AM93" s="64" t="str">
        <f t="shared" si="11"/>
        <v>00</v>
      </c>
      <c r="AN93" s="64" t="str">
        <f t="shared" si="12"/>
        <v>00</v>
      </c>
      <c r="AO93" s="64" t="str">
        <f t="shared" si="13"/>
        <v>00</v>
      </c>
      <c r="AQ93" t="str">
        <f t="shared" si="8"/>
        <v/>
      </c>
    </row>
    <row r="94" spans="2:43">
      <c r="B94" s="138"/>
      <c r="C94" s="49">
        <f t="shared" si="9"/>
        <v>23</v>
      </c>
      <c r="D94" s="130">
        <f t="shared" si="17"/>
        <v>0</v>
      </c>
      <c r="E94" s="130">
        <f t="shared" si="17"/>
        <v>0</v>
      </c>
      <c r="F94" s="130">
        <f t="shared" si="17"/>
        <v>0</v>
      </c>
      <c r="G94" s="130">
        <f t="shared" si="17"/>
        <v>0</v>
      </c>
      <c r="H94" s="130">
        <f t="shared" si="17"/>
        <v>0</v>
      </c>
      <c r="I94" s="130">
        <f t="shared" si="17"/>
        <v>0</v>
      </c>
      <c r="J94" s="130">
        <f t="shared" si="17"/>
        <v>0</v>
      </c>
      <c r="K94" s="130">
        <f t="shared" si="17"/>
        <v>0</v>
      </c>
      <c r="L94" s="130">
        <f t="shared" si="17"/>
        <v>0</v>
      </c>
      <c r="M94" s="130">
        <f t="shared" si="17"/>
        <v>0</v>
      </c>
      <c r="N94" s="130">
        <f t="shared" si="17"/>
        <v>0</v>
      </c>
      <c r="O94" s="130">
        <f t="shared" si="17"/>
        <v>0</v>
      </c>
      <c r="P94" s="130">
        <f t="shared" si="17"/>
        <v>0</v>
      </c>
      <c r="Q94" s="130">
        <f t="shared" si="17"/>
        <v>0</v>
      </c>
      <c r="R94" s="130">
        <f t="shared" si="17"/>
        <v>0</v>
      </c>
      <c r="S94" s="130">
        <f t="shared" si="17"/>
        <v>0</v>
      </c>
      <c r="T94" s="130">
        <f t="shared" si="17"/>
        <v>0</v>
      </c>
      <c r="U94" s="130">
        <f t="shared" si="17"/>
        <v>0</v>
      </c>
      <c r="V94" s="130">
        <f t="shared" si="17"/>
        <v>0</v>
      </c>
      <c r="W94" s="130">
        <f t="shared" si="17"/>
        <v>0</v>
      </c>
      <c r="X94" s="130">
        <f t="shared" si="17"/>
        <v>0</v>
      </c>
      <c r="Y94" s="130">
        <f t="shared" si="17"/>
        <v>0</v>
      </c>
      <c r="Z94" s="130">
        <f t="shared" si="17"/>
        <v>0</v>
      </c>
      <c r="AA94" s="130">
        <f t="shared" si="17"/>
        <v>0</v>
      </c>
      <c r="AB94" s="130">
        <f t="shared" si="17"/>
        <v>0</v>
      </c>
      <c r="AC94" s="130">
        <f t="shared" si="17"/>
        <v>0</v>
      </c>
      <c r="AD94" s="130">
        <f t="shared" si="17"/>
        <v>0</v>
      </c>
      <c r="AE94" s="130">
        <f t="shared" si="17"/>
        <v>0</v>
      </c>
      <c r="AF94" s="130">
        <f t="shared" si="17"/>
        <v>0</v>
      </c>
      <c r="AG94" s="130">
        <f t="shared" si="17"/>
        <v>0</v>
      </c>
      <c r="AH94" s="130">
        <f t="shared" si="17"/>
        <v>0</v>
      </c>
      <c r="AI94" s="130">
        <f t="shared" ref="AI94" si="18">IF(AI29=1,1,0)</f>
        <v>0</v>
      </c>
      <c r="AJ94" s="49" t="str">
        <f t="shared" si="7"/>
        <v/>
      </c>
      <c r="AK94" s="62"/>
      <c r="AL94" s="62" t="str">
        <f t="shared" si="10"/>
        <v>00</v>
      </c>
      <c r="AM94" s="64" t="str">
        <f t="shared" si="11"/>
        <v>00</v>
      </c>
      <c r="AN94" s="64" t="str">
        <f t="shared" si="12"/>
        <v>00</v>
      </c>
      <c r="AO94" s="64" t="str">
        <f t="shared" si="13"/>
        <v>00</v>
      </c>
      <c r="AQ94" t="str">
        <f t="shared" si="8"/>
        <v/>
      </c>
    </row>
    <row r="95" spans="2:43">
      <c r="B95" s="138"/>
      <c r="C95" s="49">
        <f t="shared" si="9"/>
        <v>24</v>
      </c>
      <c r="D95" s="130">
        <f t="shared" ref="D95:AI102" si="19">IF(D30=1,1,0)</f>
        <v>0</v>
      </c>
      <c r="E95" s="130">
        <f t="shared" si="19"/>
        <v>0</v>
      </c>
      <c r="F95" s="130">
        <f t="shared" si="19"/>
        <v>0</v>
      </c>
      <c r="G95" s="130">
        <f t="shared" si="19"/>
        <v>0</v>
      </c>
      <c r="H95" s="130">
        <f t="shared" si="19"/>
        <v>0</v>
      </c>
      <c r="I95" s="130">
        <f t="shared" si="19"/>
        <v>0</v>
      </c>
      <c r="J95" s="130">
        <f t="shared" si="19"/>
        <v>0</v>
      </c>
      <c r="K95" s="130">
        <f t="shared" si="19"/>
        <v>0</v>
      </c>
      <c r="L95" s="130">
        <f t="shared" si="19"/>
        <v>0</v>
      </c>
      <c r="M95" s="130">
        <f t="shared" si="19"/>
        <v>0</v>
      </c>
      <c r="N95" s="130">
        <f t="shared" si="19"/>
        <v>0</v>
      </c>
      <c r="O95" s="130">
        <f t="shared" si="19"/>
        <v>0</v>
      </c>
      <c r="P95" s="130">
        <f t="shared" si="19"/>
        <v>0</v>
      </c>
      <c r="Q95" s="130">
        <f t="shared" si="19"/>
        <v>0</v>
      </c>
      <c r="R95" s="130">
        <f t="shared" si="19"/>
        <v>0</v>
      </c>
      <c r="S95" s="130">
        <f t="shared" si="19"/>
        <v>0</v>
      </c>
      <c r="T95" s="130">
        <f t="shared" si="19"/>
        <v>0</v>
      </c>
      <c r="U95" s="130">
        <f t="shared" si="19"/>
        <v>0</v>
      </c>
      <c r="V95" s="130">
        <f t="shared" si="19"/>
        <v>0</v>
      </c>
      <c r="W95" s="130">
        <f t="shared" si="19"/>
        <v>0</v>
      </c>
      <c r="X95" s="130">
        <f t="shared" si="19"/>
        <v>0</v>
      </c>
      <c r="Y95" s="130">
        <f t="shared" si="19"/>
        <v>0</v>
      </c>
      <c r="Z95" s="130">
        <f t="shared" si="19"/>
        <v>0</v>
      </c>
      <c r="AA95" s="130">
        <f t="shared" si="19"/>
        <v>0</v>
      </c>
      <c r="AB95" s="130">
        <f t="shared" si="19"/>
        <v>0</v>
      </c>
      <c r="AC95" s="130">
        <f t="shared" si="19"/>
        <v>0</v>
      </c>
      <c r="AD95" s="130">
        <f t="shared" si="19"/>
        <v>0</v>
      </c>
      <c r="AE95" s="130">
        <f t="shared" si="19"/>
        <v>0</v>
      </c>
      <c r="AF95" s="130">
        <f t="shared" si="19"/>
        <v>0</v>
      </c>
      <c r="AG95" s="130">
        <f t="shared" si="19"/>
        <v>0</v>
      </c>
      <c r="AH95" s="130">
        <f t="shared" si="19"/>
        <v>0</v>
      </c>
      <c r="AI95" s="130">
        <f t="shared" si="19"/>
        <v>0</v>
      </c>
      <c r="AJ95" s="49" t="str">
        <f t="shared" si="7"/>
        <v/>
      </c>
      <c r="AK95" s="62"/>
      <c r="AL95" s="62" t="str">
        <f t="shared" si="10"/>
        <v>00</v>
      </c>
      <c r="AM95" s="64" t="str">
        <f t="shared" si="11"/>
        <v>00</v>
      </c>
      <c r="AN95" s="64" t="str">
        <f t="shared" si="12"/>
        <v>00</v>
      </c>
      <c r="AO95" s="64" t="str">
        <f t="shared" si="13"/>
        <v>00</v>
      </c>
      <c r="AQ95" t="str">
        <f t="shared" si="8"/>
        <v/>
      </c>
    </row>
    <row r="96" spans="2:43">
      <c r="B96" s="138"/>
      <c r="C96" s="49">
        <f t="shared" si="9"/>
        <v>25</v>
      </c>
      <c r="D96" s="130">
        <f t="shared" si="19"/>
        <v>0</v>
      </c>
      <c r="E96" s="130">
        <f t="shared" si="19"/>
        <v>0</v>
      </c>
      <c r="F96" s="130">
        <f t="shared" si="19"/>
        <v>0</v>
      </c>
      <c r="G96" s="130">
        <f t="shared" si="19"/>
        <v>0</v>
      </c>
      <c r="H96" s="130">
        <f t="shared" si="19"/>
        <v>0</v>
      </c>
      <c r="I96" s="130">
        <f t="shared" si="19"/>
        <v>0</v>
      </c>
      <c r="J96" s="130">
        <f t="shared" si="19"/>
        <v>0</v>
      </c>
      <c r="K96" s="130">
        <f t="shared" si="19"/>
        <v>0</v>
      </c>
      <c r="L96" s="130">
        <f t="shared" si="19"/>
        <v>0</v>
      </c>
      <c r="M96" s="130">
        <f t="shared" si="19"/>
        <v>0</v>
      </c>
      <c r="N96" s="130">
        <f t="shared" si="19"/>
        <v>0</v>
      </c>
      <c r="O96" s="130">
        <f t="shared" si="19"/>
        <v>0</v>
      </c>
      <c r="P96" s="130">
        <f t="shared" si="19"/>
        <v>0</v>
      </c>
      <c r="Q96" s="130">
        <f t="shared" si="19"/>
        <v>0</v>
      </c>
      <c r="R96" s="130">
        <f t="shared" si="19"/>
        <v>0</v>
      </c>
      <c r="S96" s="130">
        <f t="shared" si="19"/>
        <v>0</v>
      </c>
      <c r="T96" s="130">
        <f t="shared" si="19"/>
        <v>0</v>
      </c>
      <c r="U96" s="130">
        <f t="shared" si="19"/>
        <v>0</v>
      </c>
      <c r="V96" s="130">
        <f t="shared" si="19"/>
        <v>0</v>
      </c>
      <c r="W96" s="130">
        <f t="shared" si="19"/>
        <v>0</v>
      </c>
      <c r="X96" s="130">
        <f t="shared" si="19"/>
        <v>0</v>
      </c>
      <c r="Y96" s="130">
        <f t="shared" si="19"/>
        <v>0</v>
      </c>
      <c r="Z96" s="130">
        <f t="shared" si="19"/>
        <v>0</v>
      </c>
      <c r="AA96" s="130">
        <f t="shared" si="19"/>
        <v>0</v>
      </c>
      <c r="AB96" s="130">
        <f t="shared" si="19"/>
        <v>0</v>
      </c>
      <c r="AC96" s="130">
        <f t="shared" si="19"/>
        <v>0</v>
      </c>
      <c r="AD96" s="130">
        <f t="shared" si="19"/>
        <v>0</v>
      </c>
      <c r="AE96" s="130">
        <f t="shared" si="19"/>
        <v>0</v>
      </c>
      <c r="AF96" s="130">
        <f t="shared" si="19"/>
        <v>0</v>
      </c>
      <c r="AG96" s="130">
        <f t="shared" si="19"/>
        <v>0</v>
      </c>
      <c r="AH96" s="130">
        <f t="shared" si="19"/>
        <v>0</v>
      </c>
      <c r="AI96" s="130">
        <f t="shared" si="19"/>
        <v>0</v>
      </c>
      <c r="AJ96" s="49" t="str">
        <f t="shared" si="7"/>
        <v/>
      </c>
      <c r="AK96" s="62"/>
      <c r="AL96" s="62" t="str">
        <f t="shared" si="10"/>
        <v>00</v>
      </c>
      <c r="AM96" s="64" t="str">
        <f t="shared" si="11"/>
        <v>00</v>
      </c>
      <c r="AN96" s="64" t="str">
        <f t="shared" si="12"/>
        <v>00</v>
      </c>
      <c r="AO96" s="64" t="str">
        <f t="shared" si="13"/>
        <v>00</v>
      </c>
      <c r="AQ96" t="str">
        <f t="shared" si="8"/>
        <v/>
      </c>
    </row>
    <row r="97" spans="2:43">
      <c r="B97" s="138"/>
      <c r="C97" s="49">
        <f t="shared" si="9"/>
        <v>26</v>
      </c>
      <c r="D97" s="130">
        <f t="shared" si="19"/>
        <v>0</v>
      </c>
      <c r="E97" s="130">
        <f t="shared" si="19"/>
        <v>0</v>
      </c>
      <c r="F97" s="130">
        <f t="shared" si="19"/>
        <v>0</v>
      </c>
      <c r="G97" s="130">
        <f t="shared" si="19"/>
        <v>0</v>
      </c>
      <c r="H97" s="130">
        <f t="shared" si="19"/>
        <v>0</v>
      </c>
      <c r="I97" s="130">
        <f t="shared" si="19"/>
        <v>0</v>
      </c>
      <c r="J97" s="130">
        <f t="shared" si="19"/>
        <v>0</v>
      </c>
      <c r="K97" s="130">
        <f t="shared" si="19"/>
        <v>0</v>
      </c>
      <c r="L97" s="130">
        <f t="shared" si="19"/>
        <v>0</v>
      </c>
      <c r="M97" s="130">
        <f t="shared" si="19"/>
        <v>0</v>
      </c>
      <c r="N97" s="130">
        <f t="shared" si="19"/>
        <v>0</v>
      </c>
      <c r="O97" s="130">
        <f t="shared" si="19"/>
        <v>0</v>
      </c>
      <c r="P97" s="130">
        <f t="shared" si="19"/>
        <v>0</v>
      </c>
      <c r="Q97" s="130">
        <f t="shared" si="19"/>
        <v>0</v>
      </c>
      <c r="R97" s="130">
        <f t="shared" si="19"/>
        <v>0</v>
      </c>
      <c r="S97" s="130">
        <f t="shared" si="19"/>
        <v>0</v>
      </c>
      <c r="T97" s="130">
        <f t="shared" si="19"/>
        <v>0</v>
      </c>
      <c r="U97" s="130">
        <f t="shared" si="19"/>
        <v>0</v>
      </c>
      <c r="V97" s="130">
        <f t="shared" si="19"/>
        <v>0</v>
      </c>
      <c r="W97" s="130">
        <f t="shared" si="19"/>
        <v>0</v>
      </c>
      <c r="X97" s="130">
        <f t="shared" si="19"/>
        <v>0</v>
      </c>
      <c r="Y97" s="130">
        <f t="shared" si="19"/>
        <v>0</v>
      </c>
      <c r="Z97" s="130">
        <f t="shared" si="19"/>
        <v>0</v>
      </c>
      <c r="AA97" s="130">
        <f t="shared" si="19"/>
        <v>0</v>
      </c>
      <c r="AB97" s="130">
        <f t="shared" si="19"/>
        <v>0</v>
      </c>
      <c r="AC97" s="130">
        <f t="shared" si="19"/>
        <v>0</v>
      </c>
      <c r="AD97" s="130">
        <f t="shared" si="19"/>
        <v>0</v>
      </c>
      <c r="AE97" s="130">
        <f t="shared" si="19"/>
        <v>0</v>
      </c>
      <c r="AF97" s="130">
        <f t="shared" si="19"/>
        <v>0</v>
      </c>
      <c r="AG97" s="130">
        <f t="shared" si="19"/>
        <v>0</v>
      </c>
      <c r="AH97" s="130">
        <f t="shared" si="19"/>
        <v>0</v>
      </c>
      <c r="AI97" s="130">
        <f t="shared" si="19"/>
        <v>0</v>
      </c>
      <c r="AJ97" s="49" t="str">
        <f t="shared" si="7"/>
        <v/>
      </c>
      <c r="AK97" s="62"/>
      <c r="AL97" s="62" t="str">
        <f t="shared" si="10"/>
        <v>00</v>
      </c>
      <c r="AM97" s="64" t="str">
        <f t="shared" si="11"/>
        <v>00</v>
      </c>
      <c r="AN97" s="64" t="str">
        <f t="shared" si="12"/>
        <v>00</v>
      </c>
      <c r="AO97" s="64" t="str">
        <f t="shared" si="13"/>
        <v>00</v>
      </c>
      <c r="AQ97" t="str">
        <f t="shared" si="8"/>
        <v/>
      </c>
    </row>
    <row r="98" spans="2:43">
      <c r="B98" s="138"/>
      <c r="C98" s="49">
        <f t="shared" si="9"/>
        <v>27</v>
      </c>
      <c r="D98" s="130">
        <f t="shared" si="19"/>
        <v>0</v>
      </c>
      <c r="E98" s="130">
        <f t="shared" si="19"/>
        <v>0</v>
      </c>
      <c r="F98" s="130">
        <f t="shared" si="19"/>
        <v>0</v>
      </c>
      <c r="G98" s="130">
        <f t="shared" si="19"/>
        <v>0</v>
      </c>
      <c r="H98" s="130">
        <f t="shared" si="19"/>
        <v>0</v>
      </c>
      <c r="I98" s="130">
        <f t="shared" si="19"/>
        <v>0</v>
      </c>
      <c r="J98" s="130">
        <f t="shared" si="19"/>
        <v>0</v>
      </c>
      <c r="K98" s="130">
        <f t="shared" si="19"/>
        <v>0</v>
      </c>
      <c r="L98" s="130">
        <f t="shared" si="19"/>
        <v>0</v>
      </c>
      <c r="M98" s="130">
        <f t="shared" si="19"/>
        <v>0</v>
      </c>
      <c r="N98" s="130">
        <f t="shared" si="19"/>
        <v>0</v>
      </c>
      <c r="O98" s="130">
        <f t="shared" si="19"/>
        <v>0</v>
      </c>
      <c r="P98" s="130">
        <f t="shared" si="19"/>
        <v>0</v>
      </c>
      <c r="Q98" s="130">
        <f t="shared" si="19"/>
        <v>0</v>
      </c>
      <c r="R98" s="130">
        <f t="shared" si="19"/>
        <v>0</v>
      </c>
      <c r="S98" s="130">
        <f t="shared" si="19"/>
        <v>0</v>
      </c>
      <c r="T98" s="130">
        <f t="shared" si="19"/>
        <v>0</v>
      </c>
      <c r="U98" s="130">
        <f t="shared" si="19"/>
        <v>0</v>
      </c>
      <c r="V98" s="130">
        <f t="shared" si="19"/>
        <v>0</v>
      </c>
      <c r="W98" s="130">
        <f t="shared" si="19"/>
        <v>0</v>
      </c>
      <c r="X98" s="130">
        <f t="shared" si="19"/>
        <v>0</v>
      </c>
      <c r="Y98" s="130">
        <f t="shared" si="19"/>
        <v>0</v>
      </c>
      <c r="Z98" s="130">
        <f t="shared" si="19"/>
        <v>0</v>
      </c>
      <c r="AA98" s="130">
        <f t="shared" si="19"/>
        <v>0</v>
      </c>
      <c r="AB98" s="130">
        <f t="shared" si="19"/>
        <v>0</v>
      </c>
      <c r="AC98" s="130">
        <f t="shared" si="19"/>
        <v>0</v>
      </c>
      <c r="AD98" s="130">
        <f t="shared" si="19"/>
        <v>0</v>
      </c>
      <c r="AE98" s="130">
        <f t="shared" si="19"/>
        <v>0</v>
      </c>
      <c r="AF98" s="130">
        <f t="shared" si="19"/>
        <v>0</v>
      </c>
      <c r="AG98" s="130">
        <f t="shared" si="19"/>
        <v>0</v>
      </c>
      <c r="AH98" s="130">
        <f t="shared" si="19"/>
        <v>0</v>
      </c>
      <c r="AI98" s="130">
        <f t="shared" si="19"/>
        <v>0</v>
      </c>
      <c r="AJ98" s="49" t="str">
        <f t="shared" si="7"/>
        <v/>
      </c>
      <c r="AK98" s="62"/>
      <c r="AL98" s="62" t="str">
        <f t="shared" si="10"/>
        <v>00</v>
      </c>
      <c r="AM98" s="64" t="str">
        <f t="shared" si="11"/>
        <v>00</v>
      </c>
      <c r="AN98" s="64" t="str">
        <f t="shared" si="12"/>
        <v>00</v>
      </c>
      <c r="AO98" s="64" t="str">
        <f t="shared" si="13"/>
        <v>00</v>
      </c>
      <c r="AQ98" t="str">
        <f t="shared" si="8"/>
        <v/>
      </c>
    </row>
    <row r="99" spans="2:43">
      <c r="B99" s="138"/>
      <c r="C99" s="49">
        <f t="shared" si="9"/>
        <v>28</v>
      </c>
      <c r="D99" s="130">
        <f t="shared" si="19"/>
        <v>0</v>
      </c>
      <c r="E99" s="130">
        <f t="shared" si="19"/>
        <v>0</v>
      </c>
      <c r="F99" s="130">
        <f t="shared" si="19"/>
        <v>0</v>
      </c>
      <c r="G99" s="130">
        <f t="shared" si="19"/>
        <v>0</v>
      </c>
      <c r="H99" s="130">
        <f t="shared" si="19"/>
        <v>0</v>
      </c>
      <c r="I99" s="130">
        <f t="shared" si="19"/>
        <v>0</v>
      </c>
      <c r="J99" s="130">
        <f t="shared" si="19"/>
        <v>0</v>
      </c>
      <c r="K99" s="130">
        <f t="shared" si="19"/>
        <v>0</v>
      </c>
      <c r="L99" s="130">
        <f t="shared" si="19"/>
        <v>0</v>
      </c>
      <c r="M99" s="130">
        <f t="shared" si="19"/>
        <v>0</v>
      </c>
      <c r="N99" s="130">
        <f t="shared" si="19"/>
        <v>0</v>
      </c>
      <c r="O99" s="130">
        <f t="shared" si="19"/>
        <v>0</v>
      </c>
      <c r="P99" s="130">
        <f t="shared" si="19"/>
        <v>0</v>
      </c>
      <c r="Q99" s="130">
        <f t="shared" si="19"/>
        <v>0</v>
      </c>
      <c r="R99" s="130">
        <f t="shared" si="19"/>
        <v>0</v>
      </c>
      <c r="S99" s="130">
        <f t="shared" si="19"/>
        <v>0</v>
      </c>
      <c r="T99" s="130">
        <f t="shared" si="19"/>
        <v>0</v>
      </c>
      <c r="U99" s="130">
        <f t="shared" si="19"/>
        <v>0</v>
      </c>
      <c r="V99" s="130">
        <f t="shared" si="19"/>
        <v>0</v>
      </c>
      <c r="W99" s="130">
        <f t="shared" si="19"/>
        <v>0</v>
      </c>
      <c r="X99" s="130">
        <f t="shared" si="19"/>
        <v>0</v>
      </c>
      <c r="Y99" s="130">
        <f t="shared" si="19"/>
        <v>0</v>
      </c>
      <c r="Z99" s="130">
        <f t="shared" si="19"/>
        <v>0</v>
      </c>
      <c r="AA99" s="130">
        <f t="shared" si="19"/>
        <v>0</v>
      </c>
      <c r="AB99" s="130">
        <f t="shared" si="19"/>
        <v>0</v>
      </c>
      <c r="AC99" s="130">
        <f t="shared" si="19"/>
        <v>0</v>
      </c>
      <c r="AD99" s="130">
        <f t="shared" si="19"/>
        <v>0</v>
      </c>
      <c r="AE99" s="130">
        <f t="shared" si="19"/>
        <v>0</v>
      </c>
      <c r="AF99" s="130">
        <f t="shared" si="19"/>
        <v>0</v>
      </c>
      <c r="AG99" s="130">
        <f t="shared" si="19"/>
        <v>0</v>
      </c>
      <c r="AH99" s="130">
        <f t="shared" si="19"/>
        <v>0</v>
      </c>
      <c r="AI99" s="130">
        <f t="shared" si="19"/>
        <v>0</v>
      </c>
      <c r="AJ99" s="49" t="str">
        <f t="shared" si="7"/>
        <v/>
      </c>
      <c r="AK99" s="62"/>
      <c r="AL99" s="62" t="str">
        <f t="shared" si="10"/>
        <v>00</v>
      </c>
      <c r="AM99" s="64" t="str">
        <f t="shared" si="11"/>
        <v>00</v>
      </c>
      <c r="AN99" s="64" t="str">
        <f t="shared" si="12"/>
        <v>00</v>
      </c>
      <c r="AO99" s="64" t="str">
        <f t="shared" si="13"/>
        <v>00</v>
      </c>
      <c r="AQ99" t="str">
        <f t="shared" si="8"/>
        <v/>
      </c>
    </row>
    <row r="100" spans="2:43">
      <c r="B100" s="138"/>
      <c r="C100" s="49">
        <f t="shared" si="9"/>
        <v>29</v>
      </c>
      <c r="D100" s="130">
        <f t="shared" si="19"/>
        <v>0</v>
      </c>
      <c r="E100" s="130">
        <f t="shared" si="19"/>
        <v>0</v>
      </c>
      <c r="F100" s="130">
        <f t="shared" si="19"/>
        <v>0</v>
      </c>
      <c r="G100" s="130">
        <f t="shared" si="19"/>
        <v>0</v>
      </c>
      <c r="H100" s="130">
        <f t="shared" si="19"/>
        <v>0</v>
      </c>
      <c r="I100" s="130">
        <f t="shared" si="19"/>
        <v>0</v>
      </c>
      <c r="J100" s="130">
        <f t="shared" si="19"/>
        <v>0</v>
      </c>
      <c r="K100" s="130">
        <f t="shared" si="19"/>
        <v>0</v>
      </c>
      <c r="L100" s="130">
        <f t="shared" si="19"/>
        <v>0</v>
      </c>
      <c r="M100" s="130">
        <f t="shared" si="19"/>
        <v>0</v>
      </c>
      <c r="N100" s="130">
        <f t="shared" si="19"/>
        <v>0</v>
      </c>
      <c r="O100" s="130">
        <f t="shared" si="19"/>
        <v>0</v>
      </c>
      <c r="P100" s="130">
        <f t="shared" si="19"/>
        <v>0</v>
      </c>
      <c r="Q100" s="130">
        <f t="shared" si="19"/>
        <v>0</v>
      </c>
      <c r="R100" s="130">
        <f t="shared" si="19"/>
        <v>0</v>
      </c>
      <c r="S100" s="130">
        <f t="shared" si="19"/>
        <v>0</v>
      </c>
      <c r="T100" s="130">
        <f t="shared" si="19"/>
        <v>0</v>
      </c>
      <c r="U100" s="130">
        <f t="shared" si="19"/>
        <v>0</v>
      </c>
      <c r="V100" s="130">
        <f t="shared" si="19"/>
        <v>0</v>
      </c>
      <c r="W100" s="130">
        <f t="shared" si="19"/>
        <v>0</v>
      </c>
      <c r="X100" s="130">
        <f t="shared" si="19"/>
        <v>0</v>
      </c>
      <c r="Y100" s="130">
        <f t="shared" si="19"/>
        <v>0</v>
      </c>
      <c r="Z100" s="130">
        <f t="shared" si="19"/>
        <v>0</v>
      </c>
      <c r="AA100" s="130">
        <f t="shared" si="19"/>
        <v>0</v>
      </c>
      <c r="AB100" s="130">
        <f t="shared" si="19"/>
        <v>0</v>
      </c>
      <c r="AC100" s="130">
        <f t="shared" si="19"/>
        <v>0</v>
      </c>
      <c r="AD100" s="130">
        <f t="shared" si="19"/>
        <v>0</v>
      </c>
      <c r="AE100" s="130">
        <f t="shared" si="19"/>
        <v>0</v>
      </c>
      <c r="AF100" s="130">
        <f t="shared" si="19"/>
        <v>0</v>
      </c>
      <c r="AG100" s="130">
        <f t="shared" si="19"/>
        <v>0</v>
      </c>
      <c r="AH100" s="130">
        <f t="shared" si="19"/>
        <v>0</v>
      </c>
      <c r="AI100" s="130">
        <f t="shared" si="19"/>
        <v>0</v>
      </c>
      <c r="AJ100" s="49" t="str">
        <f t="shared" si="7"/>
        <v/>
      </c>
      <c r="AK100" s="62"/>
      <c r="AL100" s="62" t="str">
        <f t="shared" si="10"/>
        <v>00</v>
      </c>
      <c r="AM100" s="64" t="str">
        <f t="shared" si="11"/>
        <v>00</v>
      </c>
      <c r="AN100" s="64" t="str">
        <f t="shared" si="12"/>
        <v>00</v>
      </c>
      <c r="AO100" s="64" t="str">
        <f t="shared" si="13"/>
        <v>00</v>
      </c>
      <c r="AQ100" t="str">
        <f t="shared" si="8"/>
        <v/>
      </c>
    </row>
    <row r="101" spans="2:43">
      <c r="B101" s="138"/>
      <c r="C101" s="49">
        <f t="shared" si="9"/>
        <v>30</v>
      </c>
      <c r="D101" s="130">
        <f t="shared" si="19"/>
        <v>0</v>
      </c>
      <c r="E101" s="130">
        <f t="shared" si="19"/>
        <v>0</v>
      </c>
      <c r="F101" s="130">
        <f t="shared" si="19"/>
        <v>0</v>
      </c>
      <c r="G101" s="130">
        <f t="shared" si="19"/>
        <v>0</v>
      </c>
      <c r="H101" s="130">
        <f t="shared" si="19"/>
        <v>0</v>
      </c>
      <c r="I101" s="130">
        <f t="shared" si="19"/>
        <v>0</v>
      </c>
      <c r="J101" s="130">
        <f t="shared" si="19"/>
        <v>0</v>
      </c>
      <c r="K101" s="130">
        <f t="shared" si="19"/>
        <v>0</v>
      </c>
      <c r="L101" s="130">
        <f t="shared" si="19"/>
        <v>0</v>
      </c>
      <c r="M101" s="130">
        <f t="shared" si="19"/>
        <v>0</v>
      </c>
      <c r="N101" s="130">
        <f t="shared" si="19"/>
        <v>0</v>
      </c>
      <c r="O101" s="130">
        <f t="shared" si="19"/>
        <v>0</v>
      </c>
      <c r="P101" s="130">
        <f t="shared" si="19"/>
        <v>0</v>
      </c>
      <c r="Q101" s="130">
        <f t="shared" si="19"/>
        <v>0</v>
      </c>
      <c r="R101" s="130">
        <f t="shared" si="19"/>
        <v>0</v>
      </c>
      <c r="S101" s="130">
        <f t="shared" si="19"/>
        <v>0</v>
      </c>
      <c r="T101" s="130">
        <f t="shared" si="19"/>
        <v>0</v>
      </c>
      <c r="U101" s="130">
        <f t="shared" si="19"/>
        <v>0</v>
      </c>
      <c r="V101" s="130">
        <f t="shared" si="19"/>
        <v>0</v>
      </c>
      <c r="W101" s="130">
        <f t="shared" si="19"/>
        <v>0</v>
      </c>
      <c r="X101" s="130">
        <f t="shared" si="19"/>
        <v>0</v>
      </c>
      <c r="Y101" s="130">
        <f t="shared" si="19"/>
        <v>0</v>
      </c>
      <c r="Z101" s="130">
        <f t="shared" si="19"/>
        <v>0</v>
      </c>
      <c r="AA101" s="130">
        <f t="shared" si="19"/>
        <v>0</v>
      </c>
      <c r="AB101" s="130">
        <f t="shared" si="19"/>
        <v>0</v>
      </c>
      <c r="AC101" s="130">
        <f t="shared" si="19"/>
        <v>0</v>
      </c>
      <c r="AD101" s="130">
        <f t="shared" si="19"/>
        <v>0</v>
      </c>
      <c r="AE101" s="130">
        <f t="shared" si="19"/>
        <v>0</v>
      </c>
      <c r="AF101" s="130">
        <f t="shared" si="19"/>
        <v>0</v>
      </c>
      <c r="AG101" s="130">
        <f t="shared" si="19"/>
        <v>0</v>
      </c>
      <c r="AH101" s="130">
        <f t="shared" si="19"/>
        <v>0</v>
      </c>
      <c r="AI101" s="130">
        <f t="shared" si="19"/>
        <v>0</v>
      </c>
      <c r="AJ101" s="49" t="str">
        <f t="shared" si="7"/>
        <v/>
      </c>
      <c r="AK101" s="62"/>
      <c r="AL101" s="62" t="str">
        <f t="shared" si="10"/>
        <v>00</v>
      </c>
      <c r="AM101" s="64" t="str">
        <f t="shared" si="11"/>
        <v>00</v>
      </c>
      <c r="AN101" s="64" t="str">
        <f t="shared" si="12"/>
        <v>00</v>
      </c>
      <c r="AO101" s="64" t="str">
        <f t="shared" si="13"/>
        <v>00</v>
      </c>
      <c r="AQ101" t="str">
        <f t="shared" si="8"/>
        <v/>
      </c>
    </row>
    <row r="102" spans="2:43">
      <c r="B102" s="138"/>
      <c r="C102" s="49">
        <f t="shared" si="9"/>
        <v>31</v>
      </c>
      <c r="D102" s="130">
        <f t="shared" si="19"/>
        <v>0</v>
      </c>
      <c r="E102" s="130">
        <f t="shared" si="19"/>
        <v>0</v>
      </c>
      <c r="F102" s="130">
        <f t="shared" si="19"/>
        <v>0</v>
      </c>
      <c r="G102" s="130">
        <f t="shared" si="19"/>
        <v>0</v>
      </c>
      <c r="H102" s="130">
        <f t="shared" si="19"/>
        <v>0</v>
      </c>
      <c r="I102" s="130">
        <f t="shared" si="19"/>
        <v>0</v>
      </c>
      <c r="J102" s="130">
        <f t="shared" si="19"/>
        <v>0</v>
      </c>
      <c r="K102" s="130">
        <f t="shared" si="19"/>
        <v>0</v>
      </c>
      <c r="L102" s="130">
        <f t="shared" si="19"/>
        <v>0</v>
      </c>
      <c r="M102" s="130">
        <f t="shared" si="19"/>
        <v>0</v>
      </c>
      <c r="N102" s="130">
        <f t="shared" si="19"/>
        <v>0</v>
      </c>
      <c r="O102" s="130">
        <f t="shared" si="19"/>
        <v>0</v>
      </c>
      <c r="P102" s="130">
        <f t="shared" si="19"/>
        <v>0</v>
      </c>
      <c r="Q102" s="130">
        <f t="shared" si="19"/>
        <v>0</v>
      </c>
      <c r="R102" s="130">
        <f t="shared" si="19"/>
        <v>0</v>
      </c>
      <c r="S102" s="130">
        <f t="shared" si="19"/>
        <v>0</v>
      </c>
      <c r="T102" s="130">
        <f t="shared" si="19"/>
        <v>0</v>
      </c>
      <c r="U102" s="130">
        <f t="shared" si="19"/>
        <v>0</v>
      </c>
      <c r="V102" s="130">
        <f t="shared" si="19"/>
        <v>0</v>
      </c>
      <c r="W102" s="130">
        <f t="shared" si="19"/>
        <v>0</v>
      </c>
      <c r="X102" s="130">
        <f t="shared" si="19"/>
        <v>0</v>
      </c>
      <c r="Y102" s="130">
        <f t="shared" si="19"/>
        <v>0</v>
      </c>
      <c r="Z102" s="130">
        <f t="shared" si="19"/>
        <v>0</v>
      </c>
      <c r="AA102" s="130">
        <f t="shared" si="19"/>
        <v>0</v>
      </c>
      <c r="AB102" s="130">
        <f t="shared" si="19"/>
        <v>0</v>
      </c>
      <c r="AC102" s="130">
        <f t="shared" si="19"/>
        <v>0</v>
      </c>
      <c r="AD102" s="130">
        <f t="shared" si="19"/>
        <v>0</v>
      </c>
      <c r="AE102" s="130">
        <f t="shared" si="19"/>
        <v>0</v>
      </c>
      <c r="AF102" s="130">
        <f t="shared" si="19"/>
        <v>0</v>
      </c>
      <c r="AG102" s="130">
        <f t="shared" si="19"/>
        <v>0</v>
      </c>
      <c r="AH102" s="130">
        <f t="shared" si="19"/>
        <v>0</v>
      </c>
      <c r="AI102" s="130">
        <f t="shared" ref="AI102" si="20">IF(AI37=1,1,0)</f>
        <v>0</v>
      </c>
      <c r="AJ102" s="49" t="str">
        <f t="shared" si="7"/>
        <v/>
      </c>
      <c r="AK102" s="62"/>
      <c r="AL102" s="62" t="str">
        <f t="shared" si="10"/>
        <v>00</v>
      </c>
      <c r="AM102" s="64" t="str">
        <f t="shared" si="11"/>
        <v>00</v>
      </c>
      <c r="AN102" s="64" t="str">
        <f t="shared" si="12"/>
        <v>00</v>
      </c>
      <c r="AO102" s="64" t="str">
        <f t="shared" si="13"/>
        <v>00</v>
      </c>
      <c r="AQ102" t="str">
        <f t="shared" si="8"/>
        <v/>
      </c>
    </row>
    <row r="103" spans="2:43">
      <c r="B103" s="138"/>
      <c r="C103" s="49">
        <f t="shared" si="9"/>
        <v>32</v>
      </c>
      <c r="D103" s="130">
        <f t="shared" ref="D103:AI110" si="21">IF(D38=1,1,0)</f>
        <v>0</v>
      </c>
      <c r="E103" s="130">
        <f t="shared" si="21"/>
        <v>0</v>
      </c>
      <c r="F103" s="130">
        <f t="shared" si="21"/>
        <v>0</v>
      </c>
      <c r="G103" s="130">
        <f t="shared" si="21"/>
        <v>0</v>
      </c>
      <c r="H103" s="130">
        <f t="shared" si="21"/>
        <v>0</v>
      </c>
      <c r="I103" s="130">
        <f t="shared" si="21"/>
        <v>0</v>
      </c>
      <c r="J103" s="130">
        <f t="shared" si="21"/>
        <v>0</v>
      </c>
      <c r="K103" s="130">
        <f t="shared" si="21"/>
        <v>0</v>
      </c>
      <c r="L103" s="130">
        <f t="shared" si="21"/>
        <v>0</v>
      </c>
      <c r="M103" s="130">
        <f t="shared" si="21"/>
        <v>0</v>
      </c>
      <c r="N103" s="130">
        <f t="shared" si="21"/>
        <v>0</v>
      </c>
      <c r="O103" s="130">
        <f t="shared" si="21"/>
        <v>0</v>
      </c>
      <c r="P103" s="130">
        <f t="shared" si="21"/>
        <v>0</v>
      </c>
      <c r="Q103" s="130">
        <f t="shared" si="21"/>
        <v>0</v>
      </c>
      <c r="R103" s="130">
        <f t="shared" si="21"/>
        <v>0</v>
      </c>
      <c r="S103" s="130">
        <f t="shared" si="21"/>
        <v>0</v>
      </c>
      <c r="T103" s="130">
        <f t="shared" si="21"/>
        <v>0</v>
      </c>
      <c r="U103" s="130">
        <f t="shared" si="21"/>
        <v>0</v>
      </c>
      <c r="V103" s="130">
        <f t="shared" si="21"/>
        <v>0</v>
      </c>
      <c r="W103" s="130">
        <f t="shared" si="21"/>
        <v>0</v>
      </c>
      <c r="X103" s="130">
        <f t="shared" si="21"/>
        <v>0</v>
      </c>
      <c r="Y103" s="130">
        <f t="shared" si="21"/>
        <v>0</v>
      </c>
      <c r="Z103" s="130">
        <f t="shared" si="21"/>
        <v>0</v>
      </c>
      <c r="AA103" s="130">
        <f t="shared" si="21"/>
        <v>0</v>
      </c>
      <c r="AB103" s="130">
        <f t="shared" si="21"/>
        <v>0</v>
      </c>
      <c r="AC103" s="130">
        <f t="shared" si="21"/>
        <v>0</v>
      </c>
      <c r="AD103" s="130">
        <f t="shared" si="21"/>
        <v>0</v>
      </c>
      <c r="AE103" s="130">
        <f t="shared" si="21"/>
        <v>0</v>
      </c>
      <c r="AF103" s="130">
        <f t="shared" si="21"/>
        <v>0</v>
      </c>
      <c r="AG103" s="130">
        <f t="shared" si="21"/>
        <v>0</v>
      </c>
      <c r="AH103" s="130">
        <f t="shared" si="21"/>
        <v>0</v>
      </c>
      <c r="AI103" s="130">
        <f t="shared" si="21"/>
        <v>0</v>
      </c>
      <c r="AJ103" s="49" t="str">
        <f t="shared" si="7"/>
        <v/>
      </c>
      <c r="AK103" s="62"/>
      <c r="AL103" s="62" t="str">
        <f t="shared" si="10"/>
        <v>00</v>
      </c>
      <c r="AM103" s="64" t="str">
        <f t="shared" si="11"/>
        <v>00</v>
      </c>
      <c r="AN103" s="64" t="str">
        <f t="shared" si="12"/>
        <v>00</v>
      </c>
      <c r="AO103" s="64" t="str">
        <f t="shared" si="13"/>
        <v>00</v>
      </c>
      <c r="AQ103" t="str">
        <f t="shared" si="8"/>
        <v/>
      </c>
    </row>
    <row r="104" spans="2:43">
      <c r="B104" s="138"/>
      <c r="C104" s="49">
        <f t="shared" si="9"/>
        <v>33</v>
      </c>
      <c r="D104" s="130">
        <f t="shared" si="21"/>
        <v>0</v>
      </c>
      <c r="E104" s="130">
        <f t="shared" si="21"/>
        <v>0</v>
      </c>
      <c r="F104" s="130">
        <f t="shared" si="21"/>
        <v>0</v>
      </c>
      <c r="G104" s="130">
        <f t="shared" si="21"/>
        <v>0</v>
      </c>
      <c r="H104" s="130">
        <f t="shared" si="21"/>
        <v>0</v>
      </c>
      <c r="I104" s="130">
        <f t="shared" si="21"/>
        <v>0</v>
      </c>
      <c r="J104" s="130">
        <f t="shared" si="21"/>
        <v>0</v>
      </c>
      <c r="K104" s="130">
        <f t="shared" si="21"/>
        <v>0</v>
      </c>
      <c r="L104" s="130">
        <f t="shared" si="21"/>
        <v>0</v>
      </c>
      <c r="M104" s="130">
        <f t="shared" si="21"/>
        <v>0</v>
      </c>
      <c r="N104" s="130">
        <f t="shared" si="21"/>
        <v>0</v>
      </c>
      <c r="O104" s="130">
        <f t="shared" si="21"/>
        <v>0</v>
      </c>
      <c r="P104" s="130">
        <f t="shared" si="21"/>
        <v>0</v>
      </c>
      <c r="Q104" s="130">
        <f t="shared" si="21"/>
        <v>0</v>
      </c>
      <c r="R104" s="130">
        <f t="shared" si="21"/>
        <v>0</v>
      </c>
      <c r="S104" s="130">
        <f t="shared" si="21"/>
        <v>0</v>
      </c>
      <c r="T104" s="130">
        <f t="shared" si="21"/>
        <v>0</v>
      </c>
      <c r="U104" s="130">
        <f t="shared" si="21"/>
        <v>0</v>
      </c>
      <c r="V104" s="130">
        <f t="shared" si="21"/>
        <v>0</v>
      </c>
      <c r="W104" s="130">
        <f t="shared" si="21"/>
        <v>0</v>
      </c>
      <c r="X104" s="130">
        <f t="shared" si="21"/>
        <v>0</v>
      </c>
      <c r="Y104" s="130">
        <f t="shared" si="21"/>
        <v>0</v>
      </c>
      <c r="Z104" s="130">
        <f t="shared" si="21"/>
        <v>0</v>
      </c>
      <c r="AA104" s="130">
        <f t="shared" si="21"/>
        <v>0</v>
      </c>
      <c r="AB104" s="130">
        <f t="shared" si="21"/>
        <v>0</v>
      </c>
      <c r="AC104" s="130">
        <f t="shared" si="21"/>
        <v>0</v>
      </c>
      <c r="AD104" s="130">
        <f t="shared" si="21"/>
        <v>0</v>
      </c>
      <c r="AE104" s="130">
        <f t="shared" si="21"/>
        <v>0</v>
      </c>
      <c r="AF104" s="130">
        <f t="shared" si="21"/>
        <v>0</v>
      </c>
      <c r="AG104" s="130">
        <f t="shared" si="21"/>
        <v>0</v>
      </c>
      <c r="AH104" s="130">
        <f t="shared" si="21"/>
        <v>0</v>
      </c>
      <c r="AI104" s="130">
        <f t="shared" si="21"/>
        <v>0</v>
      </c>
      <c r="AJ104" s="49" t="str">
        <f t="shared" si="7"/>
        <v/>
      </c>
      <c r="AK104" s="62"/>
      <c r="AL104" s="62" t="str">
        <f t="shared" si="10"/>
        <v>00</v>
      </c>
      <c r="AM104" s="64" t="str">
        <f t="shared" si="11"/>
        <v>00</v>
      </c>
      <c r="AN104" s="64" t="str">
        <f t="shared" si="12"/>
        <v>00</v>
      </c>
      <c r="AO104" s="64" t="str">
        <f t="shared" si="13"/>
        <v>00</v>
      </c>
      <c r="AQ104" t="str">
        <f t="shared" si="8"/>
        <v/>
      </c>
    </row>
    <row r="105" spans="2:43">
      <c r="B105" s="138"/>
      <c r="C105" s="49">
        <f t="shared" si="9"/>
        <v>34</v>
      </c>
      <c r="D105" s="130">
        <f t="shared" si="21"/>
        <v>0</v>
      </c>
      <c r="E105" s="130">
        <f t="shared" si="21"/>
        <v>0</v>
      </c>
      <c r="F105" s="130">
        <f t="shared" si="21"/>
        <v>0</v>
      </c>
      <c r="G105" s="130">
        <f t="shared" si="21"/>
        <v>0</v>
      </c>
      <c r="H105" s="130">
        <f t="shared" si="21"/>
        <v>0</v>
      </c>
      <c r="I105" s="130">
        <f t="shared" si="21"/>
        <v>0</v>
      </c>
      <c r="J105" s="130">
        <f t="shared" si="21"/>
        <v>0</v>
      </c>
      <c r="K105" s="130">
        <f t="shared" si="21"/>
        <v>0</v>
      </c>
      <c r="L105" s="130">
        <f t="shared" si="21"/>
        <v>0</v>
      </c>
      <c r="M105" s="130">
        <f t="shared" si="21"/>
        <v>0</v>
      </c>
      <c r="N105" s="130">
        <f t="shared" si="21"/>
        <v>0</v>
      </c>
      <c r="O105" s="130">
        <f t="shared" si="21"/>
        <v>0</v>
      </c>
      <c r="P105" s="130">
        <f t="shared" si="21"/>
        <v>0</v>
      </c>
      <c r="Q105" s="130">
        <f t="shared" si="21"/>
        <v>0</v>
      </c>
      <c r="R105" s="130">
        <f t="shared" si="21"/>
        <v>0</v>
      </c>
      <c r="S105" s="130">
        <f t="shared" si="21"/>
        <v>0</v>
      </c>
      <c r="T105" s="130">
        <f t="shared" si="21"/>
        <v>0</v>
      </c>
      <c r="U105" s="130">
        <f t="shared" si="21"/>
        <v>0</v>
      </c>
      <c r="V105" s="130">
        <f t="shared" si="21"/>
        <v>0</v>
      </c>
      <c r="W105" s="130">
        <f t="shared" si="21"/>
        <v>0</v>
      </c>
      <c r="X105" s="130">
        <f t="shared" si="21"/>
        <v>0</v>
      </c>
      <c r="Y105" s="130">
        <f t="shared" si="21"/>
        <v>0</v>
      </c>
      <c r="Z105" s="130">
        <f t="shared" si="21"/>
        <v>0</v>
      </c>
      <c r="AA105" s="130">
        <f t="shared" si="21"/>
        <v>0</v>
      </c>
      <c r="AB105" s="130">
        <f t="shared" si="21"/>
        <v>0</v>
      </c>
      <c r="AC105" s="130">
        <f t="shared" si="21"/>
        <v>0</v>
      </c>
      <c r="AD105" s="130">
        <f t="shared" si="21"/>
        <v>0</v>
      </c>
      <c r="AE105" s="130">
        <f t="shared" si="21"/>
        <v>0</v>
      </c>
      <c r="AF105" s="130">
        <f t="shared" si="21"/>
        <v>0</v>
      </c>
      <c r="AG105" s="130">
        <f t="shared" si="21"/>
        <v>0</v>
      </c>
      <c r="AH105" s="130">
        <f t="shared" si="21"/>
        <v>0</v>
      </c>
      <c r="AI105" s="130">
        <f t="shared" si="21"/>
        <v>0</v>
      </c>
      <c r="AJ105" s="49" t="str">
        <f t="shared" si="7"/>
        <v/>
      </c>
      <c r="AK105" s="62"/>
      <c r="AL105" s="62" t="str">
        <f t="shared" si="10"/>
        <v>00</v>
      </c>
      <c r="AM105" s="64" t="str">
        <f t="shared" si="11"/>
        <v>00</v>
      </c>
      <c r="AN105" s="64" t="str">
        <f t="shared" si="12"/>
        <v>00</v>
      </c>
      <c r="AO105" s="64" t="str">
        <f t="shared" si="13"/>
        <v>00</v>
      </c>
      <c r="AQ105" t="str">
        <f t="shared" si="8"/>
        <v/>
      </c>
    </row>
    <row r="106" spans="2:43">
      <c r="B106" s="138"/>
      <c r="C106" s="49">
        <f t="shared" si="9"/>
        <v>35</v>
      </c>
      <c r="D106" s="130">
        <f t="shared" si="21"/>
        <v>0</v>
      </c>
      <c r="E106" s="130">
        <f t="shared" si="21"/>
        <v>0</v>
      </c>
      <c r="F106" s="130">
        <f t="shared" si="21"/>
        <v>0</v>
      </c>
      <c r="G106" s="130">
        <f t="shared" si="21"/>
        <v>0</v>
      </c>
      <c r="H106" s="130">
        <f t="shared" si="21"/>
        <v>0</v>
      </c>
      <c r="I106" s="130">
        <f t="shared" si="21"/>
        <v>0</v>
      </c>
      <c r="J106" s="130">
        <f t="shared" si="21"/>
        <v>0</v>
      </c>
      <c r="K106" s="130">
        <f t="shared" si="21"/>
        <v>0</v>
      </c>
      <c r="L106" s="130">
        <f t="shared" si="21"/>
        <v>0</v>
      </c>
      <c r="M106" s="130">
        <f t="shared" si="21"/>
        <v>0</v>
      </c>
      <c r="N106" s="130">
        <f t="shared" si="21"/>
        <v>0</v>
      </c>
      <c r="O106" s="130">
        <f t="shared" si="21"/>
        <v>0</v>
      </c>
      <c r="P106" s="130">
        <f t="shared" si="21"/>
        <v>0</v>
      </c>
      <c r="Q106" s="130">
        <f t="shared" si="21"/>
        <v>0</v>
      </c>
      <c r="R106" s="130">
        <f t="shared" si="21"/>
        <v>0</v>
      </c>
      <c r="S106" s="130">
        <f t="shared" si="21"/>
        <v>0</v>
      </c>
      <c r="T106" s="130">
        <f t="shared" si="21"/>
        <v>0</v>
      </c>
      <c r="U106" s="130">
        <f t="shared" si="21"/>
        <v>0</v>
      </c>
      <c r="V106" s="130">
        <f t="shared" si="21"/>
        <v>0</v>
      </c>
      <c r="W106" s="130">
        <f t="shared" si="21"/>
        <v>0</v>
      </c>
      <c r="X106" s="130">
        <f t="shared" si="21"/>
        <v>0</v>
      </c>
      <c r="Y106" s="130">
        <f t="shared" si="21"/>
        <v>0</v>
      </c>
      <c r="Z106" s="130">
        <f t="shared" si="21"/>
        <v>0</v>
      </c>
      <c r="AA106" s="130">
        <f t="shared" si="21"/>
        <v>0</v>
      </c>
      <c r="AB106" s="130">
        <f t="shared" si="21"/>
        <v>0</v>
      </c>
      <c r="AC106" s="130">
        <f t="shared" si="21"/>
        <v>0</v>
      </c>
      <c r="AD106" s="130">
        <f t="shared" si="21"/>
        <v>0</v>
      </c>
      <c r="AE106" s="130">
        <f t="shared" si="21"/>
        <v>0</v>
      </c>
      <c r="AF106" s="130">
        <f t="shared" si="21"/>
        <v>0</v>
      </c>
      <c r="AG106" s="130">
        <f t="shared" si="21"/>
        <v>0</v>
      </c>
      <c r="AH106" s="130">
        <f t="shared" si="21"/>
        <v>0</v>
      </c>
      <c r="AI106" s="130">
        <f t="shared" si="21"/>
        <v>0</v>
      </c>
      <c r="AJ106" s="49" t="str">
        <f t="shared" si="7"/>
        <v/>
      </c>
      <c r="AK106" s="62"/>
      <c r="AL106" s="62" t="str">
        <f t="shared" si="10"/>
        <v>00</v>
      </c>
      <c r="AM106" s="64" t="str">
        <f t="shared" si="11"/>
        <v>00</v>
      </c>
      <c r="AN106" s="64" t="str">
        <f t="shared" si="12"/>
        <v>00</v>
      </c>
      <c r="AO106" s="64" t="str">
        <f t="shared" si="13"/>
        <v>00</v>
      </c>
      <c r="AQ106" t="str">
        <f t="shared" si="8"/>
        <v/>
      </c>
    </row>
    <row r="107" spans="2:43">
      <c r="B107" s="138"/>
      <c r="C107" s="49">
        <f t="shared" si="9"/>
        <v>36</v>
      </c>
      <c r="D107" s="130">
        <f t="shared" si="21"/>
        <v>0</v>
      </c>
      <c r="E107" s="130">
        <f t="shared" si="21"/>
        <v>0</v>
      </c>
      <c r="F107" s="130">
        <f t="shared" si="21"/>
        <v>0</v>
      </c>
      <c r="G107" s="130">
        <f t="shared" si="21"/>
        <v>0</v>
      </c>
      <c r="H107" s="130">
        <f t="shared" si="21"/>
        <v>0</v>
      </c>
      <c r="I107" s="130">
        <f t="shared" si="21"/>
        <v>0</v>
      </c>
      <c r="J107" s="130">
        <f t="shared" si="21"/>
        <v>0</v>
      </c>
      <c r="K107" s="130">
        <f t="shared" si="21"/>
        <v>0</v>
      </c>
      <c r="L107" s="130">
        <f t="shared" si="21"/>
        <v>0</v>
      </c>
      <c r="M107" s="130">
        <f t="shared" si="21"/>
        <v>0</v>
      </c>
      <c r="N107" s="130">
        <f t="shared" si="21"/>
        <v>0</v>
      </c>
      <c r="O107" s="130">
        <f t="shared" si="21"/>
        <v>0</v>
      </c>
      <c r="P107" s="130">
        <f t="shared" si="21"/>
        <v>0</v>
      </c>
      <c r="Q107" s="130">
        <f t="shared" si="21"/>
        <v>0</v>
      </c>
      <c r="R107" s="130">
        <f t="shared" si="21"/>
        <v>0</v>
      </c>
      <c r="S107" s="130">
        <f t="shared" si="21"/>
        <v>0</v>
      </c>
      <c r="T107" s="130">
        <f t="shared" si="21"/>
        <v>0</v>
      </c>
      <c r="U107" s="130">
        <f t="shared" si="21"/>
        <v>0</v>
      </c>
      <c r="V107" s="130">
        <f t="shared" si="21"/>
        <v>0</v>
      </c>
      <c r="W107" s="130">
        <f t="shared" si="21"/>
        <v>0</v>
      </c>
      <c r="X107" s="130">
        <f t="shared" si="21"/>
        <v>0</v>
      </c>
      <c r="Y107" s="130">
        <f t="shared" si="21"/>
        <v>0</v>
      </c>
      <c r="Z107" s="130">
        <f t="shared" si="21"/>
        <v>0</v>
      </c>
      <c r="AA107" s="130">
        <f t="shared" si="21"/>
        <v>0</v>
      </c>
      <c r="AB107" s="130">
        <f t="shared" si="21"/>
        <v>0</v>
      </c>
      <c r="AC107" s="130">
        <f t="shared" si="21"/>
        <v>0</v>
      </c>
      <c r="AD107" s="130">
        <f t="shared" si="21"/>
        <v>0</v>
      </c>
      <c r="AE107" s="130">
        <f t="shared" si="21"/>
        <v>0</v>
      </c>
      <c r="AF107" s="130">
        <f t="shared" si="21"/>
        <v>0</v>
      </c>
      <c r="AG107" s="130">
        <f t="shared" si="21"/>
        <v>0</v>
      </c>
      <c r="AH107" s="130">
        <f t="shared" si="21"/>
        <v>0</v>
      </c>
      <c r="AI107" s="130">
        <f t="shared" si="21"/>
        <v>0</v>
      </c>
      <c r="AJ107" s="49" t="str">
        <f t="shared" si="7"/>
        <v/>
      </c>
      <c r="AK107" s="62"/>
      <c r="AL107" s="62" t="str">
        <f t="shared" si="10"/>
        <v>00</v>
      </c>
      <c r="AM107" s="64" t="str">
        <f t="shared" si="11"/>
        <v>00</v>
      </c>
      <c r="AN107" s="64" t="str">
        <f t="shared" si="12"/>
        <v>00</v>
      </c>
      <c r="AO107" s="64" t="str">
        <f t="shared" si="13"/>
        <v>00</v>
      </c>
      <c r="AQ107" t="str">
        <f t="shared" si="8"/>
        <v/>
      </c>
    </row>
    <row r="108" spans="2:43">
      <c r="B108" s="138"/>
      <c r="C108" s="49">
        <f t="shared" si="9"/>
        <v>37</v>
      </c>
      <c r="D108" s="130">
        <f t="shared" si="21"/>
        <v>0</v>
      </c>
      <c r="E108" s="130">
        <f t="shared" si="21"/>
        <v>0</v>
      </c>
      <c r="F108" s="130">
        <f t="shared" si="21"/>
        <v>0</v>
      </c>
      <c r="G108" s="130">
        <f t="shared" si="21"/>
        <v>0</v>
      </c>
      <c r="H108" s="130">
        <f t="shared" si="21"/>
        <v>0</v>
      </c>
      <c r="I108" s="130">
        <f t="shared" si="21"/>
        <v>0</v>
      </c>
      <c r="J108" s="130">
        <f t="shared" si="21"/>
        <v>0</v>
      </c>
      <c r="K108" s="130">
        <f t="shared" si="21"/>
        <v>0</v>
      </c>
      <c r="L108" s="130">
        <f t="shared" si="21"/>
        <v>0</v>
      </c>
      <c r="M108" s="130">
        <f t="shared" si="21"/>
        <v>0</v>
      </c>
      <c r="N108" s="130">
        <f t="shared" si="21"/>
        <v>0</v>
      </c>
      <c r="O108" s="130">
        <f t="shared" si="21"/>
        <v>0</v>
      </c>
      <c r="P108" s="130">
        <f t="shared" si="21"/>
        <v>0</v>
      </c>
      <c r="Q108" s="130">
        <f t="shared" si="21"/>
        <v>0</v>
      </c>
      <c r="R108" s="130">
        <f t="shared" si="21"/>
        <v>0</v>
      </c>
      <c r="S108" s="130">
        <f t="shared" si="21"/>
        <v>0</v>
      </c>
      <c r="T108" s="130">
        <f t="shared" si="21"/>
        <v>0</v>
      </c>
      <c r="U108" s="130">
        <f t="shared" si="21"/>
        <v>0</v>
      </c>
      <c r="V108" s="130">
        <f t="shared" si="21"/>
        <v>0</v>
      </c>
      <c r="W108" s="130">
        <f t="shared" si="21"/>
        <v>0</v>
      </c>
      <c r="X108" s="130">
        <f t="shared" si="21"/>
        <v>0</v>
      </c>
      <c r="Y108" s="130">
        <f t="shared" si="21"/>
        <v>0</v>
      </c>
      <c r="Z108" s="130">
        <f t="shared" si="21"/>
        <v>0</v>
      </c>
      <c r="AA108" s="130">
        <f t="shared" si="21"/>
        <v>0</v>
      </c>
      <c r="AB108" s="130">
        <f t="shared" si="21"/>
        <v>0</v>
      </c>
      <c r="AC108" s="130">
        <f t="shared" si="21"/>
        <v>0</v>
      </c>
      <c r="AD108" s="130">
        <f t="shared" si="21"/>
        <v>0</v>
      </c>
      <c r="AE108" s="130">
        <f t="shared" si="21"/>
        <v>0</v>
      </c>
      <c r="AF108" s="130">
        <f t="shared" si="21"/>
        <v>0</v>
      </c>
      <c r="AG108" s="130">
        <f t="shared" si="21"/>
        <v>0</v>
      </c>
      <c r="AH108" s="130">
        <f t="shared" si="21"/>
        <v>0</v>
      </c>
      <c r="AI108" s="130">
        <f t="shared" si="21"/>
        <v>0</v>
      </c>
      <c r="AJ108" s="49" t="str">
        <f t="shared" si="7"/>
        <v/>
      </c>
      <c r="AK108" s="62"/>
      <c r="AL108" s="62" t="str">
        <f t="shared" si="10"/>
        <v>00</v>
      </c>
      <c r="AM108" s="64" t="str">
        <f t="shared" si="11"/>
        <v>00</v>
      </c>
      <c r="AN108" s="64" t="str">
        <f t="shared" si="12"/>
        <v>00</v>
      </c>
      <c r="AO108" s="64" t="str">
        <f t="shared" si="13"/>
        <v>00</v>
      </c>
      <c r="AQ108" t="str">
        <f t="shared" si="8"/>
        <v/>
      </c>
    </row>
    <row r="109" spans="2:43">
      <c r="B109" s="138"/>
      <c r="C109" s="49">
        <f t="shared" si="9"/>
        <v>38</v>
      </c>
      <c r="D109" s="130">
        <f t="shared" si="21"/>
        <v>0</v>
      </c>
      <c r="E109" s="130">
        <f t="shared" si="21"/>
        <v>0</v>
      </c>
      <c r="F109" s="130">
        <f t="shared" si="21"/>
        <v>0</v>
      </c>
      <c r="G109" s="130">
        <f t="shared" si="21"/>
        <v>0</v>
      </c>
      <c r="H109" s="130">
        <f t="shared" si="21"/>
        <v>0</v>
      </c>
      <c r="I109" s="130">
        <f t="shared" si="21"/>
        <v>0</v>
      </c>
      <c r="J109" s="130">
        <f t="shared" si="21"/>
        <v>0</v>
      </c>
      <c r="K109" s="130">
        <f t="shared" si="21"/>
        <v>0</v>
      </c>
      <c r="L109" s="130">
        <f t="shared" si="21"/>
        <v>0</v>
      </c>
      <c r="M109" s="130">
        <f t="shared" si="21"/>
        <v>0</v>
      </c>
      <c r="N109" s="130">
        <f t="shared" si="21"/>
        <v>0</v>
      </c>
      <c r="O109" s="130">
        <f t="shared" si="21"/>
        <v>0</v>
      </c>
      <c r="P109" s="130">
        <f t="shared" si="21"/>
        <v>0</v>
      </c>
      <c r="Q109" s="130">
        <f t="shared" si="21"/>
        <v>0</v>
      </c>
      <c r="R109" s="130">
        <f t="shared" si="21"/>
        <v>0</v>
      </c>
      <c r="S109" s="130">
        <f t="shared" si="21"/>
        <v>0</v>
      </c>
      <c r="T109" s="130">
        <f t="shared" si="21"/>
        <v>0</v>
      </c>
      <c r="U109" s="130">
        <f t="shared" si="21"/>
        <v>0</v>
      </c>
      <c r="V109" s="130">
        <f t="shared" si="21"/>
        <v>0</v>
      </c>
      <c r="W109" s="130">
        <f t="shared" si="21"/>
        <v>0</v>
      </c>
      <c r="X109" s="130">
        <f t="shared" si="21"/>
        <v>0</v>
      </c>
      <c r="Y109" s="130">
        <f t="shared" si="21"/>
        <v>0</v>
      </c>
      <c r="Z109" s="130">
        <f t="shared" si="21"/>
        <v>0</v>
      </c>
      <c r="AA109" s="130">
        <f t="shared" si="21"/>
        <v>0</v>
      </c>
      <c r="AB109" s="130">
        <f t="shared" si="21"/>
        <v>0</v>
      </c>
      <c r="AC109" s="130">
        <f t="shared" si="21"/>
        <v>0</v>
      </c>
      <c r="AD109" s="130">
        <f t="shared" si="21"/>
        <v>0</v>
      </c>
      <c r="AE109" s="130">
        <f t="shared" si="21"/>
        <v>0</v>
      </c>
      <c r="AF109" s="130">
        <f t="shared" si="21"/>
        <v>0</v>
      </c>
      <c r="AG109" s="130">
        <f t="shared" si="21"/>
        <v>0</v>
      </c>
      <c r="AH109" s="130">
        <f t="shared" si="21"/>
        <v>0</v>
      </c>
      <c r="AI109" s="130">
        <f t="shared" si="21"/>
        <v>0</v>
      </c>
      <c r="AJ109" s="49" t="str">
        <f t="shared" si="7"/>
        <v/>
      </c>
      <c r="AK109" s="62"/>
      <c r="AL109" s="62" t="str">
        <f t="shared" si="10"/>
        <v>00</v>
      </c>
      <c r="AM109" s="64" t="str">
        <f t="shared" si="11"/>
        <v>00</v>
      </c>
      <c r="AN109" s="64" t="str">
        <f t="shared" si="12"/>
        <v>00</v>
      </c>
      <c r="AO109" s="64" t="str">
        <f t="shared" si="13"/>
        <v>00</v>
      </c>
      <c r="AQ109" t="str">
        <f t="shared" si="8"/>
        <v/>
      </c>
    </row>
    <row r="110" spans="2:43">
      <c r="B110" s="138"/>
      <c r="C110" s="49">
        <f t="shared" si="9"/>
        <v>39</v>
      </c>
      <c r="D110" s="130">
        <f t="shared" si="21"/>
        <v>0</v>
      </c>
      <c r="E110" s="130">
        <f t="shared" si="21"/>
        <v>0</v>
      </c>
      <c r="F110" s="130">
        <f t="shared" si="21"/>
        <v>0</v>
      </c>
      <c r="G110" s="130">
        <f t="shared" si="21"/>
        <v>0</v>
      </c>
      <c r="H110" s="130">
        <f t="shared" si="21"/>
        <v>0</v>
      </c>
      <c r="I110" s="130">
        <f t="shared" si="21"/>
        <v>0</v>
      </c>
      <c r="J110" s="130">
        <f t="shared" si="21"/>
        <v>0</v>
      </c>
      <c r="K110" s="130">
        <f t="shared" si="21"/>
        <v>0</v>
      </c>
      <c r="L110" s="130">
        <f t="shared" si="21"/>
        <v>0</v>
      </c>
      <c r="M110" s="130">
        <f t="shared" si="21"/>
        <v>0</v>
      </c>
      <c r="N110" s="130">
        <f t="shared" si="21"/>
        <v>0</v>
      </c>
      <c r="O110" s="130">
        <f t="shared" si="21"/>
        <v>0</v>
      </c>
      <c r="P110" s="130">
        <f t="shared" si="21"/>
        <v>0</v>
      </c>
      <c r="Q110" s="130">
        <f t="shared" si="21"/>
        <v>0</v>
      </c>
      <c r="R110" s="130">
        <f t="shared" si="21"/>
        <v>0</v>
      </c>
      <c r="S110" s="130">
        <f t="shared" si="21"/>
        <v>0</v>
      </c>
      <c r="T110" s="130">
        <f t="shared" si="21"/>
        <v>0</v>
      </c>
      <c r="U110" s="130">
        <f t="shared" si="21"/>
        <v>0</v>
      </c>
      <c r="V110" s="130">
        <f t="shared" si="21"/>
        <v>0</v>
      </c>
      <c r="W110" s="130">
        <f t="shared" si="21"/>
        <v>0</v>
      </c>
      <c r="X110" s="130">
        <f t="shared" si="21"/>
        <v>0</v>
      </c>
      <c r="Y110" s="130">
        <f t="shared" si="21"/>
        <v>0</v>
      </c>
      <c r="Z110" s="130">
        <f t="shared" si="21"/>
        <v>0</v>
      </c>
      <c r="AA110" s="130">
        <f t="shared" si="21"/>
        <v>0</v>
      </c>
      <c r="AB110" s="130">
        <f t="shared" si="21"/>
        <v>0</v>
      </c>
      <c r="AC110" s="130">
        <f t="shared" si="21"/>
        <v>0</v>
      </c>
      <c r="AD110" s="130">
        <f t="shared" si="21"/>
        <v>0</v>
      </c>
      <c r="AE110" s="130">
        <f t="shared" si="21"/>
        <v>0</v>
      </c>
      <c r="AF110" s="130">
        <f t="shared" si="21"/>
        <v>0</v>
      </c>
      <c r="AG110" s="130">
        <f t="shared" si="21"/>
        <v>0</v>
      </c>
      <c r="AH110" s="130">
        <f t="shared" si="21"/>
        <v>0</v>
      </c>
      <c r="AI110" s="130">
        <f t="shared" ref="AI110" si="22">IF(AI45=1,1,0)</f>
        <v>0</v>
      </c>
      <c r="AJ110" s="49" t="str">
        <f t="shared" si="7"/>
        <v/>
      </c>
      <c r="AK110" s="62"/>
      <c r="AL110" s="62" t="str">
        <f t="shared" si="10"/>
        <v>00</v>
      </c>
      <c r="AM110" s="64" t="str">
        <f t="shared" si="11"/>
        <v>00</v>
      </c>
      <c r="AN110" s="64" t="str">
        <f t="shared" si="12"/>
        <v>00</v>
      </c>
      <c r="AO110" s="64" t="str">
        <f t="shared" si="13"/>
        <v>00</v>
      </c>
      <c r="AQ110" t="str">
        <f t="shared" si="8"/>
        <v/>
      </c>
    </row>
    <row r="111" spans="2:43">
      <c r="B111" s="138"/>
      <c r="C111" s="49">
        <f t="shared" si="9"/>
        <v>40</v>
      </c>
      <c r="D111" s="130">
        <f t="shared" ref="D111:AI118" si="23">IF(D46=1,1,0)</f>
        <v>0</v>
      </c>
      <c r="E111" s="130">
        <f t="shared" si="23"/>
        <v>0</v>
      </c>
      <c r="F111" s="130">
        <f t="shared" si="23"/>
        <v>0</v>
      </c>
      <c r="G111" s="130">
        <f t="shared" si="23"/>
        <v>0</v>
      </c>
      <c r="H111" s="130">
        <f t="shared" si="23"/>
        <v>0</v>
      </c>
      <c r="I111" s="130">
        <f t="shared" si="23"/>
        <v>0</v>
      </c>
      <c r="J111" s="130">
        <f t="shared" si="23"/>
        <v>0</v>
      </c>
      <c r="K111" s="130">
        <f t="shared" si="23"/>
        <v>0</v>
      </c>
      <c r="L111" s="130">
        <f t="shared" si="23"/>
        <v>0</v>
      </c>
      <c r="M111" s="130">
        <f t="shared" si="23"/>
        <v>0</v>
      </c>
      <c r="N111" s="130">
        <f t="shared" si="23"/>
        <v>0</v>
      </c>
      <c r="O111" s="130">
        <f t="shared" si="23"/>
        <v>0</v>
      </c>
      <c r="P111" s="130">
        <f t="shared" si="23"/>
        <v>0</v>
      </c>
      <c r="Q111" s="130">
        <f t="shared" si="23"/>
        <v>0</v>
      </c>
      <c r="R111" s="130">
        <f t="shared" si="23"/>
        <v>0</v>
      </c>
      <c r="S111" s="130">
        <f t="shared" si="23"/>
        <v>0</v>
      </c>
      <c r="T111" s="130">
        <f t="shared" si="23"/>
        <v>0</v>
      </c>
      <c r="U111" s="130">
        <f t="shared" si="23"/>
        <v>0</v>
      </c>
      <c r="V111" s="130">
        <f t="shared" si="23"/>
        <v>0</v>
      </c>
      <c r="W111" s="130">
        <f t="shared" si="23"/>
        <v>0</v>
      </c>
      <c r="X111" s="130">
        <f t="shared" si="23"/>
        <v>0</v>
      </c>
      <c r="Y111" s="130">
        <f t="shared" si="23"/>
        <v>0</v>
      </c>
      <c r="Z111" s="130">
        <f t="shared" si="23"/>
        <v>0</v>
      </c>
      <c r="AA111" s="130">
        <f t="shared" si="23"/>
        <v>0</v>
      </c>
      <c r="AB111" s="130">
        <f t="shared" si="23"/>
        <v>0</v>
      </c>
      <c r="AC111" s="130">
        <f t="shared" si="23"/>
        <v>0</v>
      </c>
      <c r="AD111" s="130">
        <f t="shared" si="23"/>
        <v>0</v>
      </c>
      <c r="AE111" s="130">
        <f t="shared" si="23"/>
        <v>0</v>
      </c>
      <c r="AF111" s="130">
        <f t="shared" si="23"/>
        <v>0</v>
      </c>
      <c r="AG111" s="130">
        <f t="shared" si="23"/>
        <v>0</v>
      </c>
      <c r="AH111" s="130">
        <f t="shared" si="23"/>
        <v>0</v>
      </c>
      <c r="AI111" s="130">
        <f t="shared" si="23"/>
        <v>0</v>
      </c>
      <c r="AJ111" s="49" t="str">
        <f t="shared" si="7"/>
        <v/>
      </c>
      <c r="AK111" s="62"/>
      <c r="AL111" s="62" t="str">
        <f t="shared" si="10"/>
        <v>00</v>
      </c>
      <c r="AM111" s="64" t="str">
        <f t="shared" si="11"/>
        <v>00</v>
      </c>
      <c r="AN111" s="64" t="str">
        <f t="shared" si="12"/>
        <v>00</v>
      </c>
      <c r="AO111" s="64" t="str">
        <f t="shared" si="13"/>
        <v>00</v>
      </c>
      <c r="AQ111" t="str">
        <f t="shared" si="8"/>
        <v/>
      </c>
    </row>
    <row r="112" spans="2:43">
      <c r="B112" s="138"/>
      <c r="C112" s="49">
        <f t="shared" si="9"/>
        <v>41</v>
      </c>
      <c r="D112" s="130">
        <f t="shared" si="23"/>
        <v>0</v>
      </c>
      <c r="E112" s="130">
        <f t="shared" si="23"/>
        <v>0</v>
      </c>
      <c r="F112" s="130">
        <f t="shared" si="23"/>
        <v>0</v>
      </c>
      <c r="G112" s="130">
        <f t="shared" si="23"/>
        <v>0</v>
      </c>
      <c r="H112" s="130">
        <f t="shared" si="23"/>
        <v>0</v>
      </c>
      <c r="I112" s="130">
        <f t="shared" si="23"/>
        <v>0</v>
      </c>
      <c r="J112" s="130">
        <f t="shared" si="23"/>
        <v>0</v>
      </c>
      <c r="K112" s="130">
        <f t="shared" si="23"/>
        <v>0</v>
      </c>
      <c r="L112" s="130">
        <f t="shared" si="23"/>
        <v>0</v>
      </c>
      <c r="M112" s="130">
        <f t="shared" si="23"/>
        <v>0</v>
      </c>
      <c r="N112" s="130">
        <f t="shared" si="23"/>
        <v>0</v>
      </c>
      <c r="O112" s="130">
        <f t="shared" si="23"/>
        <v>0</v>
      </c>
      <c r="P112" s="130">
        <f t="shared" si="23"/>
        <v>0</v>
      </c>
      <c r="Q112" s="130">
        <f t="shared" si="23"/>
        <v>0</v>
      </c>
      <c r="R112" s="130">
        <f t="shared" si="23"/>
        <v>0</v>
      </c>
      <c r="S112" s="130">
        <f t="shared" si="23"/>
        <v>0</v>
      </c>
      <c r="T112" s="130">
        <f t="shared" si="23"/>
        <v>0</v>
      </c>
      <c r="U112" s="130">
        <f t="shared" si="23"/>
        <v>0</v>
      </c>
      <c r="V112" s="130">
        <f t="shared" si="23"/>
        <v>0</v>
      </c>
      <c r="W112" s="130">
        <f t="shared" si="23"/>
        <v>0</v>
      </c>
      <c r="X112" s="130">
        <f t="shared" si="23"/>
        <v>0</v>
      </c>
      <c r="Y112" s="130">
        <f t="shared" si="23"/>
        <v>0</v>
      </c>
      <c r="Z112" s="130">
        <f t="shared" si="23"/>
        <v>0</v>
      </c>
      <c r="AA112" s="130">
        <f t="shared" si="23"/>
        <v>0</v>
      </c>
      <c r="AB112" s="130">
        <f t="shared" si="23"/>
        <v>0</v>
      </c>
      <c r="AC112" s="130">
        <f t="shared" si="23"/>
        <v>0</v>
      </c>
      <c r="AD112" s="130">
        <f t="shared" si="23"/>
        <v>0</v>
      </c>
      <c r="AE112" s="130">
        <f t="shared" si="23"/>
        <v>0</v>
      </c>
      <c r="AF112" s="130">
        <f t="shared" si="23"/>
        <v>0</v>
      </c>
      <c r="AG112" s="130">
        <f t="shared" si="23"/>
        <v>0</v>
      </c>
      <c r="AH112" s="130">
        <f t="shared" si="23"/>
        <v>0</v>
      </c>
      <c r="AI112" s="130">
        <f t="shared" si="23"/>
        <v>0</v>
      </c>
      <c r="AJ112" s="49" t="str">
        <f t="shared" si="7"/>
        <v/>
      </c>
      <c r="AK112" s="62"/>
      <c r="AL112" s="62" t="str">
        <f t="shared" si="10"/>
        <v>00</v>
      </c>
      <c r="AM112" s="64" t="str">
        <f t="shared" si="11"/>
        <v>00</v>
      </c>
      <c r="AN112" s="64" t="str">
        <f t="shared" si="12"/>
        <v>00</v>
      </c>
      <c r="AO112" s="64" t="str">
        <f t="shared" si="13"/>
        <v>00</v>
      </c>
      <c r="AQ112" t="str">
        <f t="shared" si="8"/>
        <v/>
      </c>
    </row>
    <row r="113" spans="2:43">
      <c r="B113" s="138"/>
      <c r="C113" s="49">
        <f t="shared" si="9"/>
        <v>42</v>
      </c>
      <c r="D113" s="130">
        <f t="shared" si="23"/>
        <v>0</v>
      </c>
      <c r="E113" s="130">
        <f t="shared" si="23"/>
        <v>0</v>
      </c>
      <c r="F113" s="130">
        <f t="shared" si="23"/>
        <v>0</v>
      </c>
      <c r="G113" s="130">
        <f t="shared" si="23"/>
        <v>0</v>
      </c>
      <c r="H113" s="130">
        <f t="shared" si="23"/>
        <v>0</v>
      </c>
      <c r="I113" s="130">
        <f t="shared" si="23"/>
        <v>0</v>
      </c>
      <c r="J113" s="130">
        <f t="shared" si="23"/>
        <v>0</v>
      </c>
      <c r="K113" s="130">
        <f t="shared" si="23"/>
        <v>0</v>
      </c>
      <c r="L113" s="130">
        <f t="shared" si="23"/>
        <v>0</v>
      </c>
      <c r="M113" s="130">
        <f t="shared" si="23"/>
        <v>0</v>
      </c>
      <c r="N113" s="130">
        <f t="shared" si="23"/>
        <v>0</v>
      </c>
      <c r="O113" s="130">
        <f t="shared" si="23"/>
        <v>0</v>
      </c>
      <c r="P113" s="130">
        <f t="shared" si="23"/>
        <v>0</v>
      </c>
      <c r="Q113" s="130">
        <f t="shared" si="23"/>
        <v>0</v>
      </c>
      <c r="R113" s="130">
        <f t="shared" si="23"/>
        <v>0</v>
      </c>
      <c r="S113" s="130">
        <f t="shared" si="23"/>
        <v>0</v>
      </c>
      <c r="T113" s="130">
        <f t="shared" si="23"/>
        <v>0</v>
      </c>
      <c r="U113" s="130">
        <f t="shared" si="23"/>
        <v>0</v>
      </c>
      <c r="V113" s="130">
        <f t="shared" si="23"/>
        <v>0</v>
      </c>
      <c r="W113" s="130">
        <f t="shared" si="23"/>
        <v>0</v>
      </c>
      <c r="X113" s="130">
        <f t="shared" si="23"/>
        <v>0</v>
      </c>
      <c r="Y113" s="130">
        <f t="shared" si="23"/>
        <v>0</v>
      </c>
      <c r="Z113" s="130">
        <f t="shared" si="23"/>
        <v>0</v>
      </c>
      <c r="AA113" s="130">
        <f t="shared" si="23"/>
        <v>0</v>
      </c>
      <c r="AB113" s="130">
        <f t="shared" si="23"/>
        <v>0</v>
      </c>
      <c r="AC113" s="130">
        <f t="shared" si="23"/>
        <v>0</v>
      </c>
      <c r="AD113" s="130">
        <f t="shared" si="23"/>
        <v>0</v>
      </c>
      <c r="AE113" s="130">
        <f t="shared" si="23"/>
        <v>0</v>
      </c>
      <c r="AF113" s="130">
        <f t="shared" si="23"/>
        <v>0</v>
      </c>
      <c r="AG113" s="130">
        <f t="shared" si="23"/>
        <v>0</v>
      </c>
      <c r="AH113" s="130">
        <f t="shared" si="23"/>
        <v>0</v>
      </c>
      <c r="AI113" s="130">
        <f t="shared" si="23"/>
        <v>0</v>
      </c>
      <c r="AJ113" s="49" t="str">
        <f t="shared" si="7"/>
        <v/>
      </c>
      <c r="AK113" s="62"/>
      <c r="AL113" s="62" t="str">
        <f t="shared" si="10"/>
        <v>00</v>
      </c>
      <c r="AM113" s="64" t="str">
        <f t="shared" si="11"/>
        <v>00</v>
      </c>
      <c r="AN113" s="64" t="str">
        <f t="shared" si="12"/>
        <v>00</v>
      </c>
      <c r="AO113" s="64" t="str">
        <f t="shared" si="13"/>
        <v>00</v>
      </c>
      <c r="AQ113" t="str">
        <f t="shared" si="8"/>
        <v/>
      </c>
    </row>
    <row r="114" spans="2:43">
      <c r="B114" s="138"/>
      <c r="C114" s="49">
        <f t="shared" si="9"/>
        <v>43</v>
      </c>
      <c r="D114" s="130">
        <f t="shared" si="23"/>
        <v>0</v>
      </c>
      <c r="E114" s="130">
        <f t="shared" si="23"/>
        <v>0</v>
      </c>
      <c r="F114" s="130">
        <f t="shared" si="23"/>
        <v>0</v>
      </c>
      <c r="G114" s="130">
        <f t="shared" si="23"/>
        <v>0</v>
      </c>
      <c r="H114" s="130">
        <f t="shared" si="23"/>
        <v>0</v>
      </c>
      <c r="I114" s="130">
        <f t="shared" si="23"/>
        <v>0</v>
      </c>
      <c r="J114" s="130">
        <f t="shared" si="23"/>
        <v>0</v>
      </c>
      <c r="K114" s="130">
        <f t="shared" si="23"/>
        <v>0</v>
      </c>
      <c r="L114" s="130">
        <f t="shared" si="23"/>
        <v>0</v>
      </c>
      <c r="M114" s="130">
        <f t="shared" si="23"/>
        <v>0</v>
      </c>
      <c r="N114" s="130">
        <f t="shared" si="23"/>
        <v>0</v>
      </c>
      <c r="O114" s="130">
        <f t="shared" si="23"/>
        <v>0</v>
      </c>
      <c r="P114" s="130">
        <f t="shared" si="23"/>
        <v>0</v>
      </c>
      <c r="Q114" s="130">
        <f t="shared" si="23"/>
        <v>0</v>
      </c>
      <c r="R114" s="130">
        <f t="shared" si="23"/>
        <v>0</v>
      </c>
      <c r="S114" s="130">
        <f t="shared" si="23"/>
        <v>0</v>
      </c>
      <c r="T114" s="130">
        <f t="shared" si="23"/>
        <v>0</v>
      </c>
      <c r="U114" s="130">
        <f t="shared" si="23"/>
        <v>0</v>
      </c>
      <c r="V114" s="130">
        <f t="shared" si="23"/>
        <v>0</v>
      </c>
      <c r="W114" s="130">
        <f t="shared" si="23"/>
        <v>0</v>
      </c>
      <c r="X114" s="130">
        <f t="shared" si="23"/>
        <v>0</v>
      </c>
      <c r="Y114" s="130">
        <f t="shared" si="23"/>
        <v>0</v>
      </c>
      <c r="Z114" s="130">
        <f t="shared" si="23"/>
        <v>0</v>
      </c>
      <c r="AA114" s="130">
        <f t="shared" si="23"/>
        <v>0</v>
      </c>
      <c r="AB114" s="130">
        <f t="shared" si="23"/>
        <v>0</v>
      </c>
      <c r="AC114" s="130">
        <f t="shared" si="23"/>
        <v>0</v>
      </c>
      <c r="AD114" s="130">
        <f t="shared" si="23"/>
        <v>0</v>
      </c>
      <c r="AE114" s="130">
        <f t="shared" si="23"/>
        <v>0</v>
      </c>
      <c r="AF114" s="130">
        <f t="shared" si="23"/>
        <v>0</v>
      </c>
      <c r="AG114" s="130">
        <f t="shared" si="23"/>
        <v>0</v>
      </c>
      <c r="AH114" s="130">
        <f t="shared" si="23"/>
        <v>0</v>
      </c>
      <c r="AI114" s="130">
        <f t="shared" si="23"/>
        <v>0</v>
      </c>
      <c r="AJ114" s="49" t="str">
        <f t="shared" si="7"/>
        <v/>
      </c>
      <c r="AK114" s="62"/>
      <c r="AL114" s="62" t="str">
        <f t="shared" si="10"/>
        <v>00</v>
      </c>
      <c r="AM114" s="64" t="str">
        <f t="shared" si="11"/>
        <v>00</v>
      </c>
      <c r="AN114" s="64" t="str">
        <f t="shared" si="12"/>
        <v>00</v>
      </c>
      <c r="AO114" s="64" t="str">
        <f t="shared" si="13"/>
        <v>00</v>
      </c>
      <c r="AQ114" t="str">
        <f t="shared" si="8"/>
        <v/>
      </c>
    </row>
    <row r="115" spans="2:43">
      <c r="B115" s="138"/>
      <c r="C115" s="49">
        <f t="shared" si="9"/>
        <v>44</v>
      </c>
      <c r="D115" s="130">
        <f t="shared" si="23"/>
        <v>0</v>
      </c>
      <c r="E115" s="130">
        <f t="shared" si="23"/>
        <v>0</v>
      </c>
      <c r="F115" s="130">
        <f t="shared" si="23"/>
        <v>0</v>
      </c>
      <c r="G115" s="130">
        <f t="shared" si="23"/>
        <v>0</v>
      </c>
      <c r="H115" s="130">
        <f t="shared" si="23"/>
        <v>0</v>
      </c>
      <c r="I115" s="130">
        <f t="shared" si="23"/>
        <v>0</v>
      </c>
      <c r="J115" s="130">
        <f t="shared" si="23"/>
        <v>0</v>
      </c>
      <c r="K115" s="130">
        <f t="shared" si="23"/>
        <v>0</v>
      </c>
      <c r="L115" s="130">
        <f t="shared" si="23"/>
        <v>0</v>
      </c>
      <c r="M115" s="130">
        <f t="shared" si="23"/>
        <v>0</v>
      </c>
      <c r="N115" s="130">
        <f t="shared" si="23"/>
        <v>0</v>
      </c>
      <c r="O115" s="130">
        <f t="shared" si="23"/>
        <v>0</v>
      </c>
      <c r="P115" s="130">
        <f t="shared" si="23"/>
        <v>0</v>
      </c>
      <c r="Q115" s="130">
        <f t="shared" si="23"/>
        <v>0</v>
      </c>
      <c r="R115" s="130">
        <f t="shared" si="23"/>
        <v>0</v>
      </c>
      <c r="S115" s="130">
        <f t="shared" si="23"/>
        <v>0</v>
      </c>
      <c r="T115" s="130">
        <f t="shared" si="23"/>
        <v>0</v>
      </c>
      <c r="U115" s="130">
        <f t="shared" si="23"/>
        <v>0</v>
      </c>
      <c r="V115" s="130">
        <f t="shared" si="23"/>
        <v>0</v>
      </c>
      <c r="W115" s="130">
        <f t="shared" si="23"/>
        <v>0</v>
      </c>
      <c r="X115" s="130">
        <f t="shared" si="23"/>
        <v>0</v>
      </c>
      <c r="Y115" s="130">
        <f t="shared" si="23"/>
        <v>0</v>
      </c>
      <c r="Z115" s="130">
        <f t="shared" si="23"/>
        <v>0</v>
      </c>
      <c r="AA115" s="130">
        <f t="shared" si="23"/>
        <v>0</v>
      </c>
      <c r="AB115" s="130">
        <f t="shared" si="23"/>
        <v>0</v>
      </c>
      <c r="AC115" s="130">
        <f t="shared" si="23"/>
        <v>0</v>
      </c>
      <c r="AD115" s="130">
        <f t="shared" si="23"/>
        <v>0</v>
      </c>
      <c r="AE115" s="130">
        <f t="shared" si="23"/>
        <v>0</v>
      </c>
      <c r="AF115" s="130">
        <f t="shared" si="23"/>
        <v>0</v>
      </c>
      <c r="AG115" s="130">
        <f t="shared" si="23"/>
        <v>0</v>
      </c>
      <c r="AH115" s="130">
        <f t="shared" si="23"/>
        <v>0</v>
      </c>
      <c r="AI115" s="130">
        <f t="shared" si="23"/>
        <v>0</v>
      </c>
      <c r="AJ115" s="49" t="str">
        <f t="shared" si="7"/>
        <v/>
      </c>
      <c r="AK115" s="62"/>
      <c r="AL115" s="62" t="str">
        <f t="shared" si="10"/>
        <v>00</v>
      </c>
      <c r="AM115" s="64" t="str">
        <f t="shared" si="11"/>
        <v>00</v>
      </c>
      <c r="AN115" s="64" t="str">
        <f t="shared" si="12"/>
        <v>00</v>
      </c>
      <c r="AO115" s="64" t="str">
        <f t="shared" si="13"/>
        <v>00</v>
      </c>
      <c r="AQ115" t="str">
        <f t="shared" si="8"/>
        <v/>
      </c>
    </row>
    <row r="116" spans="2:43">
      <c r="B116" s="138"/>
      <c r="C116" s="49">
        <f t="shared" si="9"/>
        <v>45</v>
      </c>
      <c r="D116" s="130">
        <f t="shared" si="23"/>
        <v>0</v>
      </c>
      <c r="E116" s="130">
        <f t="shared" si="23"/>
        <v>0</v>
      </c>
      <c r="F116" s="130">
        <f t="shared" si="23"/>
        <v>0</v>
      </c>
      <c r="G116" s="130">
        <f t="shared" si="23"/>
        <v>0</v>
      </c>
      <c r="H116" s="130">
        <f t="shared" si="23"/>
        <v>0</v>
      </c>
      <c r="I116" s="130">
        <f t="shared" si="23"/>
        <v>0</v>
      </c>
      <c r="J116" s="130">
        <f t="shared" si="23"/>
        <v>0</v>
      </c>
      <c r="K116" s="130">
        <f t="shared" si="23"/>
        <v>0</v>
      </c>
      <c r="L116" s="130">
        <f t="shared" si="23"/>
        <v>0</v>
      </c>
      <c r="M116" s="130">
        <f t="shared" si="23"/>
        <v>0</v>
      </c>
      <c r="N116" s="130">
        <f t="shared" si="23"/>
        <v>0</v>
      </c>
      <c r="O116" s="130">
        <f t="shared" si="23"/>
        <v>0</v>
      </c>
      <c r="P116" s="130">
        <f t="shared" si="23"/>
        <v>0</v>
      </c>
      <c r="Q116" s="130">
        <f t="shared" si="23"/>
        <v>0</v>
      </c>
      <c r="R116" s="130">
        <f t="shared" si="23"/>
        <v>0</v>
      </c>
      <c r="S116" s="130">
        <f t="shared" si="23"/>
        <v>0</v>
      </c>
      <c r="T116" s="130">
        <f t="shared" si="23"/>
        <v>0</v>
      </c>
      <c r="U116" s="130">
        <f t="shared" si="23"/>
        <v>0</v>
      </c>
      <c r="V116" s="130">
        <f t="shared" si="23"/>
        <v>0</v>
      </c>
      <c r="W116" s="130">
        <f t="shared" si="23"/>
        <v>0</v>
      </c>
      <c r="X116" s="130">
        <f t="shared" si="23"/>
        <v>0</v>
      </c>
      <c r="Y116" s="130">
        <f t="shared" si="23"/>
        <v>0</v>
      </c>
      <c r="Z116" s="130">
        <f t="shared" si="23"/>
        <v>0</v>
      </c>
      <c r="AA116" s="130">
        <f t="shared" si="23"/>
        <v>0</v>
      </c>
      <c r="AB116" s="130">
        <f t="shared" si="23"/>
        <v>0</v>
      </c>
      <c r="AC116" s="130">
        <f t="shared" si="23"/>
        <v>0</v>
      </c>
      <c r="AD116" s="130">
        <f t="shared" si="23"/>
        <v>0</v>
      </c>
      <c r="AE116" s="130">
        <f t="shared" si="23"/>
        <v>0</v>
      </c>
      <c r="AF116" s="130">
        <f t="shared" si="23"/>
        <v>0</v>
      </c>
      <c r="AG116" s="130">
        <f t="shared" si="23"/>
        <v>0</v>
      </c>
      <c r="AH116" s="130">
        <f t="shared" si="23"/>
        <v>0</v>
      </c>
      <c r="AI116" s="130">
        <f t="shared" si="23"/>
        <v>0</v>
      </c>
      <c r="AJ116" s="49" t="str">
        <f t="shared" si="7"/>
        <v/>
      </c>
      <c r="AK116" s="62"/>
      <c r="AL116" s="62" t="str">
        <f t="shared" si="10"/>
        <v>00</v>
      </c>
      <c r="AM116" s="64" t="str">
        <f t="shared" si="11"/>
        <v>00</v>
      </c>
      <c r="AN116" s="64" t="str">
        <f t="shared" si="12"/>
        <v>00</v>
      </c>
      <c r="AO116" s="64" t="str">
        <f t="shared" si="13"/>
        <v>00</v>
      </c>
      <c r="AQ116" t="str">
        <f t="shared" si="8"/>
        <v/>
      </c>
    </row>
    <row r="117" spans="2:43">
      <c r="B117" s="138"/>
      <c r="C117" s="49">
        <f t="shared" si="9"/>
        <v>46</v>
      </c>
      <c r="D117" s="130">
        <f t="shared" si="23"/>
        <v>0</v>
      </c>
      <c r="E117" s="130">
        <f t="shared" si="23"/>
        <v>0</v>
      </c>
      <c r="F117" s="130">
        <f t="shared" si="23"/>
        <v>0</v>
      </c>
      <c r="G117" s="130">
        <f t="shared" si="23"/>
        <v>0</v>
      </c>
      <c r="H117" s="130">
        <f t="shared" si="23"/>
        <v>0</v>
      </c>
      <c r="I117" s="130">
        <f t="shared" si="23"/>
        <v>0</v>
      </c>
      <c r="J117" s="130">
        <f t="shared" si="23"/>
        <v>0</v>
      </c>
      <c r="K117" s="130">
        <f t="shared" si="23"/>
        <v>0</v>
      </c>
      <c r="L117" s="130">
        <f t="shared" si="23"/>
        <v>0</v>
      </c>
      <c r="M117" s="130">
        <f t="shared" si="23"/>
        <v>0</v>
      </c>
      <c r="N117" s="130">
        <f t="shared" si="23"/>
        <v>0</v>
      </c>
      <c r="O117" s="130">
        <f t="shared" si="23"/>
        <v>0</v>
      </c>
      <c r="P117" s="130">
        <f t="shared" si="23"/>
        <v>0</v>
      </c>
      <c r="Q117" s="130">
        <f t="shared" si="23"/>
        <v>0</v>
      </c>
      <c r="R117" s="130">
        <f t="shared" si="23"/>
        <v>0</v>
      </c>
      <c r="S117" s="130">
        <f t="shared" si="23"/>
        <v>0</v>
      </c>
      <c r="T117" s="130">
        <f t="shared" si="23"/>
        <v>0</v>
      </c>
      <c r="U117" s="130">
        <f t="shared" si="23"/>
        <v>0</v>
      </c>
      <c r="V117" s="130">
        <f t="shared" si="23"/>
        <v>0</v>
      </c>
      <c r="W117" s="130">
        <f t="shared" si="23"/>
        <v>0</v>
      </c>
      <c r="X117" s="130">
        <f t="shared" si="23"/>
        <v>0</v>
      </c>
      <c r="Y117" s="130">
        <f t="shared" si="23"/>
        <v>0</v>
      </c>
      <c r="Z117" s="130">
        <f t="shared" si="23"/>
        <v>0</v>
      </c>
      <c r="AA117" s="130">
        <f t="shared" si="23"/>
        <v>0</v>
      </c>
      <c r="AB117" s="130">
        <f t="shared" si="23"/>
        <v>0</v>
      </c>
      <c r="AC117" s="130">
        <f t="shared" si="23"/>
        <v>0</v>
      </c>
      <c r="AD117" s="130">
        <f t="shared" si="23"/>
        <v>0</v>
      </c>
      <c r="AE117" s="130">
        <f t="shared" si="23"/>
        <v>0</v>
      </c>
      <c r="AF117" s="130">
        <f t="shared" si="23"/>
        <v>0</v>
      </c>
      <c r="AG117" s="130">
        <f t="shared" si="23"/>
        <v>0</v>
      </c>
      <c r="AH117" s="130">
        <f t="shared" si="23"/>
        <v>0</v>
      </c>
      <c r="AI117" s="130">
        <f t="shared" si="23"/>
        <v>0</v>
      </c>
      <c r="AJ117" s="49" t="str">
        <f t="shared" si="7"/>
        <v/>
      </c>
      <c r="AK117" s="62"/>
      <c r="AL117" s="62" t="str">
        <f t="shared" si="10"/>
        <v>00</v>
      </c>
      <c r="AM117" s="64" t="str">
        <f t="shared" si="11"/>
        <v>00</v>
      </c>
      <c r="AN117" s="64" t="str">
        <f t="shared" si="12"/>
        <v>00</v>
      </c>
      <c r="AO117" s="64" t="str">
        <f t="shared" si="13"/>
        <v>00</v>
      </c>
      <c r="AQ117" t="str">
        <f t="shared" si="8"/>
        <v/>
      </c>
    </row>
    <row r="118" spans="2:43">
      <c r="B118" s="138"/>
      <c r="C118" s="49">
        <f t="shared" si="9"/>
        <v>47</v>
      </c>
      <c r="D118" s="130">
        <f t="shared" si="23"/>
        <v>0</v>
      </c>
      <c r="E118" s="130">
        <f t="shared" si="23"/>
        <v>0</v>
      </c>
      <c r="F118" s="130">
        <f t="shared" si="23"/>
        <v>0</v>
      </c>
      <c r="G118" s="130">
        <f t="shared" si="23"/>
        <v>0</v>
      </c>
      <c r="H118" s="130">
        <f t="shared" si="23"/>
        <v>0</v>
      </c>
      <c r="I118" s="130">
        <f t="shared" si="23"/>
        <v>0</v>
      </c>
      <c r="J118" s="130">
        <f t="shared" si="23"/>
        <v>0</v>
      </c>
      <c r="K118" s="130">
        <f t="shared" si="23"/>
        <v>0</v>
      </c>
      <c r="L118" s="130">
        <f t="shared" si="23"/>
        <v>0</v>
      </c>
      <c r="M118" s="130">
        <f t="shared" si="23"/>
        <v>0</v>
      </c>
      <c r="N118" s="130">
        <f t="shared" si="23"/>
        <v>0</v>
      </c>
      <c r="O118" s="130">
        <f t="shared" si="23"/>
        <v>0</v>
      </c>
      <c r="P118" s="130">
        <f t="shared" si="23"/>
        <v>0</v>
      </c>
      <c r="Q118" s="130">
        <f t="shared" si="23"/>
        <v>0</v>
      </c>
      <c r="R118" s="130">
        <f t="shared" si="23"/>
        <v>0</v>
      </c>
      <c r="S118" s="130">
        <f t="shared" si="23"/>
        <v>0</v>
      </c>
      <c r="T118" s="130">
        <f t="shared" si="23"/>
        <v>0</v>
      </c>
      <c r="U118" s="130">
        <f t="shared" si="23"/>
        <v>0</v>
      </c>
      <c r="V118" s="130">
        <f t="shared" si="23"/>
        <v>0</v>
      </c>
      <c r="W118" s="130">
        <f t="shared" si="23"/>
        <v>0</v>
      </c>
      <c r="X118" s="130">
        <f t="shared" si="23"/>
        <v>0</v>
      </c>
      <c r="Y118" s="130">
        <f t="shared" si="23"/>
        <v>0</v>
      </c>
      <c r="Z118" s="130">
        <f t="shared" si="23"/>
        <v>0</v>
      </c>
      <c r="AA118" s="130">
        <f t="shared" si="23"/>
        <v>0</v>
      </c>
      <c r="AB118" s="130">
        <f t="shared" si="23"/>
        <v>0</v>
      </c>
      <c r="AC118" s="130">
        <f t="shared" si="23"/>
        <v>0</v>
      </c>
      <c r="AD118" s="130">
        <f t="shared" si="23"/>
        <v>0</v>
      </c>
      <c r="AE118" s="130">
        <f t="shared" si="23"/>
        <v>0</v>
      </c>
      <c r="AF118" s="130">
        <f t="shared" si="23"/>
        <v>0</v>
      </c>
      <c r="AG118" s="130">
        <f t="shared" si="23"/>
        <v>0</v>
      </c>
      <c r="AH118" s="130">
        <f t="shared" si="23"/>
        <v>0</v>
      </c>
      <c r="AI118" s="130">
        <f t="shared" ref="AI118" si="24">IF(AI53=1,1,0)</f>
        <v>0</v>
      </c>
      <c r="AJ118" s="49" t="str">
        <f t="shared" si="7"/>
        <v/>
      </c>
      <c r="AK118" s="62"/>
      <c r="AL118" s="62" t="str">
        <f t="shared" si="10"/>
        <v>00</v>
      </c>
      <c r="AM118" s="64" t="str">
        <f t="shared" si="11"/>
        <v>00</v>
      </c>
      <c r="AN118" s="64" t="str">
        <f t="shared" si="12"/>
        <v>00</v>
      </c>
      <c r="AO118" s="64" t="str">
        <f t="shared" si="13"/>
        <v>00</v>
      </c>
      <c r="AQ118" t="str">
        <f t="shared" si="8"/>
        <v/>
      </c>
    </row>
    <row r="119" spans="2:43">
      <c r="B119" s="138"/>
      <c r="C119" s="49">
        <f t="shared" si="9"/>
        <v>48</v>
      </c>
      <c r="D119" s="130">
        <f t="shared" ref="D119:AI126" si="25">IF(D54=1,1,0)</f>
        <v>0</v>
      </c>
      <c r="E119" s="130">
        <f t="shared" si="25"/>
        <v>0</v>
      </c>
      <c r="F119" s="130">
        <f t="shared" si="25"/>
        <v>0</v>
      </c>
      <c r="G119" s="130">
        <f t="shared" si="25"/>
        <v>0</v>
      </c>
      <c r="H119" s="130">
        <f t="shared" si="25"/>
        <v>0</v>
      </c>
      <c r="I119" s="130">
        <f t="shared" si="25"/>
        <v>0</v>
      </c>
      <c r="J119" s="130">
        <f t="shared" si="25"/>
        <v>0</v>
      </c>
      <c r="K119" s="130">
        <f t="shared" si="25"/>
        <v>0</v>
      </c>
      <c r="L119" s="130">
        <f t="shared" si="25"/>
        <v>0</v>
      </c>
      <c r="M119" s="130">
        <f t="shared" si="25"/>
        <v>0</v>
      </c>
      <c r="N119" s="130">
        <f t="shared" si="25"/>
        <v>0</v>
      </c>
      <c r="O119" s="130">
        <f t="shared" si="25"/>
        <v>0</v>
      </c>
      <c r="P119" s="130">
        <f t="shared" si="25"/>
        <v>0</v>
      </c>
      <c r="Q119" s="130">
        <f t="shared" si="25"/>
        <v>0</v>
      </c>
      <c r="R119" s="130">
        <f t="shared" si="25"/>
        <v>0</v>
      </c>
      <c r="S119" s="130">
        <f t="shared" si="25"/>
        <v>0</v>
      </c>
      <c r="T119" s="130">
        <f t="shared" si="25"/>
        <v>0</v>
      </c>
      <c r="U119" s="130">
        <f t="shared" si="25"/>
        <v>0</v>
      </c>
      <c r="V119" s="130">
        <f t="shared" si="25"/>
        <v>0</v>
      </c>
      <c r="W119" s="130">
        <f t="shared" si="25"/>
        <v>0</v>
      </c>
      <c r="X119" s="130">
        <f t="shared" si="25"/>
        <v>0</v>
      </c>
      <c r="Y119" s="130">
        <f t="shared" si="25"/>
        <v>0</v>
      </c>
      <c r="Z119" s="130">
        <f t="shared" si="25"/>
        <v>0</v>
      </c>
      <c r="AA119" s="130">
        <f t="shared" si="25"/>
        <v>0</v>
      </c>
      <c r="AB119" s="130">
        <f t="shared" si="25"/>
        <v>0</v>
      </c>
      <c r="AC119" s="130">
        <f t="shared" si="25"/>
        <v>0</v>
      </c>
      <c r="AD119" s="130">
        <f t="shared" si="25"/>
        <v>0</v>
      </c>
      <c r="AE119" s="130">
        <f t="shared" si="25"/>
        <v>0</v>
      </c>
      <c r="AF119" s="130">
        <f t="shared" si="25"/>
        <v>0</v>
      </c>
      <c r="AG119" s="130">
        <f t="shared" si="25"/>
        <v>0</v>
      </c>
      <c r="AH119" s="130">
        <f t="shared" si="25"/>
        <v>0</v>
      </c>
      <c r="AI119" s="130">
        <f t="shared" si="25"/>
        <v>0</v>
      </c>
      <c r="AJ119" s="49" t="str">
        <f t="shared" si="7"/>
        <v/>
      </c>
      <c r="AK119" s="62"/>
      <c r="AL119" s="62" t="str">
        <f t="shared" si="10"/>
        <v>00</v>
      </c>
      <c r="AM119" s="64" t="str">
        <f t="shared" si="11"/>
        <v>00</v>
      </c>
      <c r="AN119" s="64" t="str">
        <f t="shared" si="12"/>
        <v>00</v>
      </c>
      <c r="AO119" s="64" t="str">
        <f t="shared" si="13"/>
        <v>00</v>
      </c>
      <c r="AQ119" t="str">
        <f t="shared" si="8"/>
        <v/>
      </c>
    </row>
    <row r="120" spans="2:43">
      <c r="B120" s="138"/>
      <c r="C120" s="49">
        <f t="shared" si="9"/>
        <v>49</v>
      </c>
      <c r="D120" s="130">
        <f t="shared" si="25"/>
        <v>0</v>
      </c>
      <c r="E120" s="130">
        <f t="shared" si="25"/>
        <v>0</v>
      </c>
      <c r="F120" s="130">
        <f t="shared" si="25"/>
        <v>0</v>
      </c>
      <c r="G120" s="130">
        <f t="shared" si="25"/>
        <v>0</v>
      </c>
      <c r="H120" s="130">
        <f t="shared" si="25"/>
        <v>0</v>
      </c>
      <c r="I120" s="130">
        <f t="shared" si="25"/>
        <v>0</v>
      </c>
      <c r="J120" s="130">
        <f t="shared" si="25"/>
        <v>0</v>
      </c>
      <c r="K120" s="130">
        <f t="shared" si="25"/>
        <v>0</v>
      </c>
      <c r="L120" s="130">
        <f t="shared" si="25"/>
        <v>0</v>
      </c>
      <c r="M120" s="130">
        <f t="shared" si="25"/>
        <v>0</v>
      </c>
      <c r="N120" s="130">
        <f t="shared" si="25"/>
        <v>0</v>
      </c>
      <c r="O120" s="130">
        <f t="shared" si="25"/>
        <v>0</v>
      </c>
      <c r="P120" s="130">
        <f t="shared" si="25"/>
        <v>0</v>
      </c>
      <c r="Q120" s="130">
        <f t="shared" si="25"/>
        <v>0</v>
      </c>
      <c r="R120" s="130">
        <f t="shared" si="25"/>
        <v>0</v>
      </c>
      <c r="S120" s="130">
        <f t="shared" si="25"/>
        <v>0</v>
      </c>
      <c r="T120" s="130">
        <f t="shared" si="25"/>
        <v>0</v>
      </c>
      <c r="U120" s="130">
        <f t="shared" si="25"/>
        <v>0</v>
      </c>
      <c r="V120" s="130">
        <f t="shared" si="25"/>
        <v>0</v>
      </c>
      <c r="W120" s="130">
        <f t="shared" si="25"/>
        <v>0</v>
      </c>
      <c r="X120" s="130">
        <f t="shared" si="25"/>
        <v>0</v>
      </c>
      <c r="Y120" s="130">
        <f t="shared" si="25"/>
        <v>0</v>
      </c>
      <c r="Z120" s="130">
        <f t="shared" si="25"/>
        <v>0</v>
      </c>
      <c r="AA120" s="130">
        <f t="shared" si="25"/>
        <v>0</v>
      </c>
      <c r="AB120" s="130">
        <f t="shared" si="25"/>
        <v>0</v>
      </c>
      <c r="AC120" s="130">
        <f t="shared" si="25"/>
        <v>0</v>
      </c>
      <c r="AD120" s="130">
        <f t="shared" si="25"/>
        <v>0</v>
      </c>
      <c r="AE120" s="130">
        <f t="shared" si="25"/>
        <v>0</v>
      </c>
      <c r="AF120" s="130">
        <f t="shared" si="25"/>
        <v>0</v>
      </c>
      <c r="AG120" s="130">
        <f t="shared" si="25"/>
        <v>0</v>
      </c>
      <c r="AH120" s="130">
        <f t="shared" si="25"/>
        <v>0</v>
      </c>
      <c r="AI120" s="130">
        <f t="shared" si="25"/>
        <v>0</v>
      </c>
      <c r="AJ120" s="49" t="str">
        <f t="shared" si="7"/>
        <v/>
      </c>
      <c r="AK120" s="62"/>
      <c r="AL120" s="62" t="str">
        <f t="shared" si="10"/>
        <v>00</v>
      </c>
      <c r="AM120" s="64" t="str">
        <f t="shared" si="11"/>
        <v>00</v>
      </c>
      <c r="AN120" s="64" t="str">
        <f t="shared" si="12"/>
        <v>00</v>
      </c>
      <c r="AO120" s="64" t="str">
        <f t="shared" si="13"/>
        <v>00</v>
      </c>
      <c r="AQ120" t="str">
        <f t="shared" si="8"/>
        <v/>
      </c>
    </row>
    <row r="121" spans="2:43">
      <c r="B121" s="138"/>
      <c r="C121" s="49">
        <f t="shared" si="9"/>
        <v>50</v>
      </c>
      <c r="D121" s="130">
        <f t="shared" si="25"/>
        <v>0</v>
      </c>
      <c r="E121" s="130">
        <f t="shared" si="25"/>
        <v>0</v>
      </c>
      <c r="F121" s="130">
        <f t="shared" si="25"/>
        <v>0</v>
      </c>
      <c r="G121" s="130">
        <f t="shared" si="25"/>
        <v>0</v>
      </c>
      <c r="H121" s="130">
        <f t="shared" si="25"/>
        <v>0</v>
      </c>
      <c r="I121" s="130">
        <f t="shared" si="25"/>
        <v>0</v>
      </c>
      <c r="J121" s="130">
        <f t="shared" si="25"/>
        <v>0</v>
      </c>
      <c r="K121" s="130">
        <f t="shared" si="25"/>
        <v>0</v>
      </c>
      <c r="L121" s="130">
        <f t="shared" si="25"/>
        <v>0</v>
      </c>
      <c r="M121" s="130">
        <f t="shared" si="25"/>
        <v>0</v>
      </c>
      <c r="N121" s="130">
        <f t="shared" si="25"/>
        <v>0</v>
      </c>
      <c r="O121" s="130">
        <f t="shared" si="25"/>
        <v>0</v>
      </c>
      <c r="P121" s="130">
        <f t="shared" si="25"/>
        <v>0</v>
      </c>
      <c r="Q121" s="130">
        <f t="shared" si="25"/>
        <v>0</v>
      </c>
      <c r="R121" s="130">
        <f t="shared" si="25"/>
        <v>0</v>
      </c>
      <c r="S121" s="130">
        <f t="shared" si="25"/>
        <v>0</v>
      </c>
      <c r="T121" s="130">
        <f t="shared" si="25"/>
        <v>0</v>
      </c>
      <c r="U121" s="130">
        <f t="shared" si="25"/>
        <v>0</v>
      </c>
      <c r="V121" s="130">
        <f t="shared" si="25"/>
        <v>0</v>
      </c>
      <c r="W121" s="130">
        <f t="shared" si="25"/>
        <v>0</v>
      </c>
      <c r="X121" s="130">
        <f t="shared" si="25"/>
        <v>0</v>
      </c>
      <c r="Y121" s="130">
        <f t="shared" si="25"/>
        <v>0</v>
      </c>
      <c r="Z121" s="130">
        <f t="shared" si="25"/>
        <v>0</v>
      </c>
      <c r="AA121" s="130">
        <f t="shared" si="25"/>
        <v>0</v>
      </c>
      <c r="AB121" s="130">
        <f t="shared" si="25"/>
        <v>0</v>
      </c>
      <c r="AC121" s="130">
        <f t="shared" si="25"/>
        <v>0</v>
      </c>
      <c r="AD121" s="130">
        <f t="shared" si="25"/>
        <v>0</v>
      </c>
      <c r="AE121" s="130">
        <f t="shared" si="25"/>
        <v>0</v>
      </c>
      <c r="AF121" s="130">
        <f t="shared" si="25"/>
        <v>0</v>
      </c>
      <c r="AG121" s="130">
        <f t="shared" si="25"/>
        <v>0</v>
      </c>
      <c r="AH121" s="130">
        <f t="shared" si="25"/>
        <v>0</v>
      </c>
      <c r="AI121" s="130">
        <f t="shared" si="25"/>
        <v>0</v>
      </c>
      <c r="AJ121" s="49" t="str">
        <f t="shared" si="7"/>
        <v/>
      </c>
      <c r="AK121" s="62"/>
      <c r="AL121" s="62" t="str">
        <f t="shared" si="10"/>
        <v>00</v>
      </c>
      <c r="AM121" s="64" t="str">
        <f t="shared" si="11"/>
        <v>00</v>
      </c>
      <c r="AN121" s="64" t="str">
        <f t="shared" si="12"/>
        <v>00</v>
      </c>
      <c r="AO121" s="64" t="str">
        <f t="shared" si="13"/>
        <v>00</v>
      </c>
      <c r="AQ121" t="str">
        <f t="shared" si="8"/>
        <v/>
      </c>
    </row>
    <row r="122" spans="2:43">
      <c r="B122" s="138"/>
      <c r="C122" s="49">
        <f t="shared" si="9"/>
        <v>51</v>
      </c>
      <c r="D122" s="130">
        <f t="shared" si="25"/>
        <v>0</v>
      </c>
      <c r="E122" s="130">
        <f t="shared" si="25"/>
        <v>0</v>
      </c>
      <c r="F122" s="130">
        <f t="shared" si="25"/>
        <v>0</v>
      </c>
      <c r="G122" s="130">
        <f t="shared" si="25"/>
        <v>0</v>
      </c>
      <c r="H122" s="130">
        <f t="shared" si="25"/>
        <v>0</v>
      </c>
      <c r="I122" s="130">
        <f t="shared" si="25"/>
        <v>0</v>
      </c>
      <c r="J122" s="130">
        <f t="shared" si="25"/>
        <v>0</v>
      </c>
      <c r="K122" s="130">
        <f t="shared" si="25"/>
        <v>0</v>
      </c>
      <c r="L122" s="130">
        <f t="shared" si="25"/>
        <v>0</v>
      </c>
      <c r="M122" s="130">
        <f t="shared" si="25"/>
        <v>0</v>
      </c>
      <c r="N122" s="130">
        <f t="shared" si="25"/>
        <v>0</v>
      </c>
      <c r="O122" s="130">
        <f t="shared" si="25"/>
        <v>0</v>
      </c>
      <c r="P122" s="130">
        <f t="shared" si="25"/>
        <v>0</v>
      </c>
      <c r="Q122" s="130">
        <f t="shared" si="25"/>
        <v>0</v>
      </c>
      <c r="R122" s="130">
        <f t="shared" si="25"/>
        <v>0</v>
      </c>
      <c r="S122" s="130">
        <f t="shared" si="25"/>
        <v>0</v>
      </c>
      <c r="T122" s="130">
        <f t="shared" si="25"/>
        <v>0</v>
      </c>
      <c r="U122" s="130">
        <f t="shared" si="25"/>
        <v>0</v>
      </c>
      <c r="V122" s="130">
        <f t="shared" si="25"/>
        <v>0</v>
      </c>
      <c r="W122" s="130">
        <f t="shared" si="25"/>
        <v>0</v>
      </c>
      <c r="X122" s="130">
        <f t="shared" si="25"/>
        <v>0</v>
      </c>
      <c r="Y122" s="130">
        <f t="shared" si="25"/>
        <v>0</v>
      </c>
      <c r="Z122" s="130">
        <f t="shared" si="25"/>
        <v>0</v>
      </c>
      <c r="AA122" s="130">
        <f t="shared" si="25"/>
        <v>0</v>
      </c>
      <c r="AB122" s="130">
        <f t="shared" si="25"/>
        <v>0</v>
      </c>
      <c r="AC122" s="130">
        <f t="shared" si="25"/>
        <v>0</v>
      </c>
      <c r="AD122" s="130">
        <f t="shared" si="25"/>
        <v>0</v>
      </c>
      <c r="AE122" s="130">
        <f t="shared" si="25"/>
        <v>0</v>
      </c>
      <c r="AF122" s="130">
        <f t="shared" si="25"/>
        <v>0</v>
      </c>
      <c r="AG122" s="130">
        <f t="shared" si="25"/>
        <v>0</v>
      </c>
      <c r="AH122" s="130">
        <f t="shared" si="25"/>
        <v>0</v>
      </c>
      <c r="AI122" s="130">
        <f t="shared" si="25"/>
        <v>0</v>
      </c>
      <c r="AJ122" s="49" t="str">
        <f t="shared" si="7"/>
        <v/>
      </c>
      <c r="AK122" s="62"/>
      <c r="AL122" s="62" t="str">
        <f t="shared" si="10"/>
        <v>00</v>
      </c>
      <c r="AM122" s="64" t="str">
        <f t="shared" si="11"/>
        <v>00</v>
      </c>
      <c r="AN122" s="64" t="str">
        <f t="shared" si="12"/>
        <v>00</v>
      </c>
      <c r="AO122" s="64" t="str">
        <f t="shared" si="13"/>
        <v>00</v>
      </c>
      <c r="AQ122" t="str">
        <f t="shared" si="8"/>
        <v/>
      </c>
    </row>
    <row r="123" spans="2:43">
      <c r="B123" s="138"/>
      <c r="C123" s="49">
        <f t="shared" si="9"/>
        <v>52</v>
      </c>
      <c r="D123" s="130">
        <f t="shared" si="25"/>
        <v>0</v>
      </c>
      <c r="E123" s="130">
        <f t="shared" si="25"/>
        <v>0</v>
      </c>
      <c r="F123" s="130">
        <f t="shared" si="25"/>
        <v>0</v>
      </c>
      <c r="G123" s="130">
        <f t="shared" si="25"/>
        <v>0</v>
      </c>
      <c r="H123" s="130">
        <f t="shared" si="25"/>
        <v>0</v>
      </c>
      <c r="I123" s="130">
        <f t="shared" si="25"/>
        <v>0</v>
      </c>
      <c r="J123" s="130">
        <f t="shared" si="25"/>
        <v>0</v>
      </c>
      <c r="K123" s="130">
        <f t="shared" si="25"/>
        <v>0</v>
      </c>
      <c r="L123" s="130">
        <f t="shared" si="25"/>
        <v>0</v>
      </c>
      <c r="M123" s="130">
        <f t="shared" si="25"/>
        <v>0</v>
      </c>
      <c r="N123" s="130">
        <f t="shared" si="25"/>
        <v>0</v>
      </c>
      <c r="O123" s="130">
        <f t="shared" si="25"/>
        <v>0</v>
      </c>
      <c r="P123" s="130">
        <f t="shared" si="25"/>
        <v>0</v>
      </c>
      <c r="Q123" s="130">
        <f t="shared" si="25"/>
        <v>0</v>
      </c>
      <c r="R123" s="130">
        <f t="shared" si="25"/>
        <v>0</v>
      </c>
      <c r="S123" s="130">
        <f t="shared" si="25"/>
        <v>0</v>
      </c>
      <c r="T123" s="130">
        <f t="shared" si="25"/>
        <v>0</v>
      </c>
      <c r="U123" s="130">
        <f t="shared" si="25"/>
        <v>0</v>
      </c>
      <c r="V123" s="130">
        <f t="shared" si="25"/>
        <v>0</v>
      </c>
      <c r="W123" s="130">
        <f t="shared" si="25"/>
        <v>0</v>
      </c>
      <c r="X123" s="130">
        <f t="shared" si="25"/>
        <v>0</v>
      </c>
      <c r="Y123" s="130">
        <f t="shared" si="25"/>
        <v>0</v>
      </c>
      <c r="Z123" s="130">
        <f t="shared" si="25"/>
        <v>0</v>
      </c>
      <c r="AA123" s="130">
        <f t="shared" si="25"/>
        <v>0</v>
      </c>
      <c r="AB123" s="130">
        <f t="shared" si="25"/>
        <v>0</v>
      </c>
      <c r="AC123" s="130">
        <f t="shared" si="25"/>
        <v>0</v>
      </c>
      <c r="AD123" s="130">
        <f t="shared" si="25"/>
        <v>0</v>
      </c>
      <c r="AE123" s="130">
        <f t="shared" si="25"/>
        <v>0</v>
      </c>
      <c r="AF123" s="130">
        <f t="shared" si="25"/>
        <v>0</v>
      </c>
      <c r="AG123" s="130">
        <f t="shared" si="25"/>
        <v>0</v>
      </c>
      <c r="AH123" s="130">
        <f t="shared" si="25"/>
        <v>0</v>
      </c>
      <c r="AI123" s="130">
        <f t="shared" si="25"/>
        <v>0</v>
      </c>
      <c r="AJ123" s="49" t="str">
        <f t="shared" si="7"/>
        <v/>
      </c>
      <c r="AK123" s="62"/>
      <c r="AL123" s="62" t="str">
        <f t="shared" si="10"/>
        <v>00</v>
      </c>
      <c r="AM123" s="64" t="str">
        <f t="shared" si="11"/>
        <v>00</v>
      </c>
      <c r="AN123" s="64" t="str">
        <f t="shared" si="12"/>
        <v>00</v>
      </c>
      <c r="AO123" s="64" t="str">
        <f t="shared" si="13"/>
        <v>00</v>
      </c>
      <c r="AQ123" t="str">
        <f t="shared" si="8"/>
        <v/>
      </c>
    </row>
    <row r="124" spans="2:43">
      <c r="B124" s="138"/>
      <c r="C124" s="49">
        <f t="shared" si="9"/>
        <v>53</v>
      </c>
      <c r="D124" s="130">
        <f t="shared" si="25"/>
        <v>0</v>
      </c>
      <c r="E124" s="130">
        <f t="shared" si="25"/>
        <v>0</v>
      </c>
      <c r="F124" s="130">
        <f t="shared" si="25"/>
        <v>0</v>
      </c>
      <c r="G124" s="130">
        <f t="shared" si="25"/>
        <v>0</v>
      </c>
      <c r="H124" s="130">
        <f t="shared" si="25"/>
        <v>0</v>
      </c>
      <c r="I124" s="130">
        <f t="shared" si="25"/>
        <v>0</v>
      </c>
      <c r="J124" s="130">
        <f t="shared" si="25"/>
        <v>0</v>
      </c>
      <c r="K124" s="130">
        <f t="shared" si="25"/>
        <v>0</v>
      </c>
      <c r="L124" s="130">
        <f t="shared" si="25"/>
        <v>0</v>
      </c>
      <c r="M124" s="130">
        <f t="shared" si="25"/>
        <v>0</v>
      </c>
      <c r="N124" s="130">
        <f t="shared" si="25"/>
        <v>0</v>
      </c>
      <c r="O124" s="130">
        <f t="shared" si="25"/>
        <v>0</v>
      </c>
      <c r="P124" s="130">
        <f t="shared" si="25"/>
        <v>0</v>
      </c>
      <c r="Q124" s="130">
        <f t="shared" si="25"/>
        <v>0</v>
      </c>
      <c r="R124" s="130">
        <f t="shared" si="25"/>
        <v>0</v>
      </c>
      <c r="S124" s="130">
        <f t="shared" si="25"/>
        <v>0</v>
      </c>
      <c r="T124" s="130">
        <f t="shared" si="25"/>
        <v>0</v>
      </c>
      <c r="U124" s="130">
        <f t="shared" si="25"/>
        <v>0</v>
      </c>
      <c r="V124" s="130">
        <f t="shared" si="25"/>
        <v>0</v>
      </c>
      <c r="W124" s="130">
        <f t="shared" si="25"/>
        <v>0</v>
      </c>
      <c r="X124" s="130">
        <f t="shared" si="25"/>
        <v>0</v>
      </c>
      <c r="Y124" s="130">
        <f t="shared" si="25"/>
        <v>0</v>
      </c>
      <c r="Z124" s="130">
        <f t="shared" si="25"/>
        <v>0</v>
      </c>
      <c r="AA124" s="130">
        <f t="shared" si="25"/>
        <v>0</v>
      </c>
      <c r="AB124" s="130">
        <f t="shared" si="25"/>
        <v>0</v>
      </c>
      <c r="AC124" s="130">
        <f t="shared" si="25"/>
        <v>0</v>
      </c>
      <c r="AD124" s="130">
        <f t="shared" si="25"/>
        <v>0</v>
      </c>
      <c r="AE124" s="130">
        <f t="shared" si="25"/>
        <v>0</v>
      </c>
      <c r="AF124" s="130">
        <f t="shared" si="25"/>
        <v>0</v>
      </c>
      <c r="AG124" s="130">
        <f t="shared" si="25"/>
        <v>0</v>
      </c>
      <c r="AH124" s="130">
        <f t="shared" si="25"/>
        <v>0</v>
      </c>
      <c r="AI124" s="130">
        <f t="shared" si="25"/>
        <v>0</v>
      </c>
      <c r="AJ124" s="49" t="str">
        <f t="shared" si="7"/>
        <v/>
      </c>
      <c r="AK124" s="62"/>
      <c r="AL124" s="62" t="str">
        <f t="shared" si="10"/>
        <v>00</v>
      </c>
      <c r="AM124" s="64" t="str">
        <f t="shared" si="11"/>
        <v>00</v>
      </c>
      <c r="AN124" s="64" t="str">
        <f t="shared" si="12"/>
        <v>00</v>
      </c>
      <c r="AO124" s="64" t="str">
        <f t="shared" si="13"/>
        <v>00</v>
      </c>
      <c r="AQ124" t="str">
        <f t="shared" si="8"/>
        <v/>
      </c>
    </row>
    <row r="125" spans="2:43">
      <c r="B125" s="138"/>
      <c r="C125" s="49">
        <f t="shared" si="9"/>
        <v>54</v>
      </c>
      <c r="D125" s="130">
        <f t="shared" si="25"/>
        <v>0</v>
      </c>
      <c r="E125" s="130">
        <f t="shared" si="25"/>
        <v>0</v>
      </c>
      <c r="F125" s="130">
        <f t="shared" si="25"/>
        <v>0</v>
      </c>
      <c r="G125" s="130">
        <f t="shared" si="25"/>
        <v>0</v>
      </c>
      <c r="H125" s="130">
        <f t="shared" si="25"/>
        <v>0</v>
      </c>
      <c r="I125" s="130">
        <f t="shared" si="25"/>
        <v>0</v>
      </c>
      <c r="J125" s="130">
        <f t="shared" si="25"/>
        <v>0</v>
      </c>
      <c r="K125" s="130">
        <f t="shared" si="25"/>
        <v>0</v>
      </c>
      <c r="L125" s="130">
        <f t="shared" si="25"/>
        <v>0</v>
      </c>
      <c r="M125" s="130">
        <f t="shared" si="25"/>
        <v>0</v>
      </c>
      <c r="N125" s="130">
        <f t="shared" si="25"/>
        <v>0</v>
      </c>
      <c r="O125" s="130">
        <f t="shared" si="25"/>
        <v>0</v>
      </c>
      <c r="P125" s="130">
        <f t="shared" si="25"/>
        <v>0</v>
      </c>
      <c r="Q125" s="130">
        <f t="shared" si="25"/>
        <v>0</v>
      </c>
      <c r="R125" s="130">
        <f t="shared" si="25"/>
        <v>0</v>
      </c>
      <c r="S125" s="130">
        <f t="shared" si="25"/>
        <v>0</v>
      </c>
      <c r="T125" s="130">
        <f t="shared" si="25"/>
        <v>0</v>
      </c>
      <c r="U125" s="130">
        <f t="shared" si="25"/>
        <v>0</v>
      </c>
      <c r="V125" s="130">
        <f t="shared" si="25"/>
        <v>0</v>
      </c>
      <c r="W125" s="130">
        <f t="shared" si="25"/>
        <v>0</v>
      </c>
      <c r="X125" s="130">
        <f t="shared" si="25"/>
        <v>0</v>
      </c>
      <c r="Y125" s="130">
        <f t="shared" si="25"/>
        <v>0</v>
      </c>
      <c r="Z125" s="130">
        <f t="shared" si="25"/>
        <v>0</v>
      </c>
      <c r="AA125" s="130">
        <f t="shared" si="25"/>
        <v>0</v>
      </c>
      <c r="AB125" s="130">
        <f t="shared" si="25"/>
        <v>0</v>
      </c>
      <c r="AC125" s="130">
        <f t="shared" si="25"/>
        <v>0</v>
      </c>
      <c r="AD125" s="130">
        <f t="shared" si="25"/>
        <v>0</v>
      </c>
      <c r="AE125" s="130">
        <f t="shared" si="25"/>
        <v>0</v>
      </c>
      <c r="AF125" s="130">
        <f t="shared" si="25"/>
        <v>0</v>
      </c>
      <c r="AG125" s="130">
        <f t="shared" si="25"/>
        <v>0</v>
      </c>
      <c r="AH125" s="130">
        <f t="shared" si="25"/>
        <v>0</v>
      </c>
      <c r="AI125" s="130">
        <f t="shared" si="25"/>
        <v>0</v>
      </c>
      <c r="AJ125" s="49" t="str">
        <f t="shared" si="7"/>
        <v/>
      </c>
      <c r="AK125" s="62"/>
      <c r="AL125" s="62" t="str">
        <f t="shared" si="10"/>
        <v>00</v>
      </c>
      <c r="AM125" s="64" t="str">
        <f t="shared" si="11"/>
        <v>00</v>
      </c>
      <c r="AN125" s="64" t="str">
        <f t="shared" si="12"/>
        <v>00</v>
      </c>
      <c r="AO125" s="64" t="str">
        <f t="shared" si="13"/>
        <v>00</v>
      </c>
      <c r="AQ125" t="str">
        <f t="shared" si="8"/>
        <v/>
      </c>
    </row>
    <row r="126" spans="2:43">
      <c r="B126" s="138"/>
      <c r="C126" s="49">
        <f t="shared" si="9"/>
        <v>55</v>
      </c>
      <c r="D126" s="130">
        <f t="shared" si="25"/>
        <v>0</v>
      </c>
      <c r="E126" s="130">
        <f t="shared" si="25"/>
        <v>0</v>
      </c>
      <c r="F126" s="130">
        <f t="shared" si="25"/>
        <v>0</v>
      </c>
      <c r="G126" s="130">
        <f t="shared" si="25"/>
        <v>0</v>
      </c>
      <c r="H126" s="130">
        <f t="shared" si="25"/>
        <v>0</v>
      </c>
      <c r="I126" s="130">
        <f t="shared" si="25"/>
        <v>0</v>
      </c>
      <c r="J126" s="130">
        <f t="shared" si="25"/>
        <v>0</v>
      </c>
      <c r="K126" s="130">
        <f t="shared" si="25"/>
        <v>0</v>
      </c>
      <c r="L126" s="130">
        <f t="shared" si="25"/>
        <v>0</v>
      </c>
      <c r="M126" s="130">
        <f t="shared" si="25"/>
        <v>0</v>
      </c>
      <c r="N126" s="130">
        <f t="shared" si="25"/>
        <v>0</v>
      </c>
      <c r="O126" s="130">
        <f t="shared" si="25"/>
        <v>0</v>
      </c>
      <c r="P126" s="130">
        <f t="shared" si="25"/>
        <v>0</v>
      </c>
      <c r="Q126" s="130">
        <f t="shared" si="25"/>
        <v>0</v>
      </c>
      <c r="R126" s="130">
        <f t="shared" si="25"/>
        <v>0</v>
      </c>
      <c r="S126" s="130">
        <f t="shared" si="25"/>
        <v>0</v>
      </c>
      <c r="T126" s="130">
        <f t="shared" si="25"/>
        <v>0</v>
      </c>
      <c r="U126" s="130">
        <f t="shared" si="25"/>
        <v>0</v>
      </c>
      <c r="V126" s="130">
        <f t="shared" si="25"/>
        <v>0</v>
      </c>
      <c r="W126" s="130">
        <f t="shared" si="25"/>
        <v>0</v>
      </c>
      <c r="X126" s="130">
        <f t="shared" si="25"/>
        <v>0</v>
      </c>
      <c r="Y126" s="130">
        <f t="shared" si="25"/>
        <v>0</v>
      </c>
      <c r="Z126" s="130">
        <f t="shared" si="25"/>
        <v>0</v>
      </c>
      <c r="AA126" s="130">
        <f t="shared" si="25"/>
        <v>0</v>
      </c>
      <c r="AB126" s="130">
        <f t="shared" si="25"/>
        <v>0</v>
      </c>
      <c r="AC126" s="130">
        <f t="shared" si="25"/>
        <v>0</v>
      </c>
      <c r="AD126" s="130">
        <f t="shared" si="25"/>
        <v>0</v>
      </c>
      <c r="AE126" s="130">
        <f t="shared" si="25"/>
        <v>0</v>
      </c>
      <c r="AF126" s="130">
        <f t="shared" si="25"/>
        <v>0</v>
      </c>
      <c r="AG126" s="130">
        <f t="shared" si="25"/>
        <v>0</v>
      </c>
      <c r="AH126" s="130">
        <f t="shared" si="25"/>
        <v>0</v>
      </c>
      <c r="AI126" s="130">
        <f t="shared" ref="AI126" si="26">IF(AI61=1,1,0)</f>
        <v>0</v>
      </c>
      <c r="AJ126" s="49" t="str">
        <f t="shared" si="7"/>
        <v/>
      </c>
      <c r="AK126" s="62"/>
      <c r="AL126" s="62" t="str">
        <f t="shared" si="10"/>
        <v>00</v>
      </c>
      <c r="AM126" s="64" t="str">
        <f t="shared" si="11"/>
        <v>00</v>
      </c>
      <c r="AN126" s="64" t="str">
        <f t="shared" si="12"/>
        <v>00</v>
      </c>
      <c r="AO126" s="64" t="str">
        <f t="shared" si="13"/>
        <v>00</v>
      </c>
      <c r="AQ126" t="str">
        <f t="shared" si="8"/>
        <v/>
      </c>
    </row>
    <row r="127" spans="2:43">
      <c r="B127" s="138"/>
      <c r="C127" s="49">
        <f t="shared" si="9"/>
        <v>56</v>
      </c>
      <c r="D127" s="130">
        <f t="shared" ref="D127:AI134" si="27">IF(D62=1,1,0)</f>
        <v>0</v>
      </c>
      <c r="E127" s="130">
        <f t="shared" si="27"/>
        <v>0</v>
      </c>
      <c r="F127" s="130">
        <f t="shared" si="27"/>
        <v>0</v>
      </c>
      <c r="G127" s="130">
        <f t="shared" si="27"/>
        <v>0</v>
      </c>
      <c r="H127" s="130">
        <f t="shared" si="27"/>
        <v>0</v>
      </c>
      <c r="I127" s="130">
        <f t="shared" si="27"/>
        <v>0</v>
      </c>
      <c r="J127" s="130">
        <f t="shared" si="27"/>
        <v>0</v>
      </c>
      <c r="K127" s="130">
        <f t="shared" si="27"/>
        <v>0</v>
      </c>
      <c r="L127" s="130">
        <f t="shared" si="27"/>
        <v>0</v>
      </c>
      <c r="M127" s="130">
        <f t="shared" si="27"/>
        <v>0</v>
      </c>
      <c r="N127" s="130">
        <f t="shared" si="27"/>
        <v>0</v>
      </c>
      <c r="O127" s="130">
        <f t="shared" si="27"/>
        <v>0</v>
      </c>
      <c r="P127" s="130">
        <f t="shared" si="27"/>
        <v>0</v>
      </c>
      <c r="Q127" s="130">
        <f t="shared" si="27"/>
        <v>0</v>
      </c>
      <c r="R127" s="130">
        <f t="shared" si="27"/>
        <v>0</v>
      </c>
      <c r="S127" s="130">
        <f t="shared" si="27"/>
        <v>0</v>
      </c>
      <c r="T127" s="130">
        <f t="shared" si="27"/>
        <v>0</v>
      </c>
      <c r="U127" s="130">
        <f t="shared" si="27"/>
        <v>0</v>
      </c>
      <c r="V127" s="130">
        <f t="shared" si="27"/>
        <v>0</v>
      </c>
      <c r="W127" s="130">
        <f t="shared" si="27"/>
        <v>0</v>
      </c>
      <c r="X127" s="130">
        <f t="shared" si="27"/>
        <v>0</v>
      </c>
      <c r="Y127" s="130">
        <f t="shared" si="27"/>
        <v>0</v>
      </c>
      <c r="Z127" s="130">
        <f t="shared" si="27"/>
        <v>0</v>
      </c>
      <c r="AA127" s="130">
        <f t="shared" si="27"/>
        <v>0</v>
      </c>
      <c r="AB127" s="130">
        <f t="shared" si="27"/>
        <v>0</v>
      </c>
      <c r="AC127" s="130">
        <f t="shared" si="27"/>
        <v>0</v>
      </c>
      <c r="AD127" s="130">
        <f t="shared" si="27"/>
        <v>0</v>
      </c>
      <c r="AE127" s="130">
        <f t="shared" si="27"/>
        <v>0</v>
      </c>
      <c r="AF127" s="130">
        <f t="shared" si="27"/>
        <v>0</v>
      </c>
      <c r="AG127" s="130">
        <f t="shared" si="27"/>
        <v>0</v>
      </c>
      <c r="AH127" s="130">
        <f t="shared" si="27"/>
        <v>0</v>
      </c>
      <c r="AI127" s="130">
        <f t="shared" si="27"/>
        <v>0</v>
      </c>
      <c r="AJ127" s="49" t="str">
        <f t="shared" si="7"/>
        <v/>
      </c>
      <c r="AK127" s="62"/>
      <c r="AL127" s="62" t="str">
        <f t="shared" si="10"/>
        <v>00</v>
      </c>
      <c r="AM127" s="64" t="str">
        <f t="shared" si="11"/>
        <v>00</v>
      </c>
      <c r="AN127" s="64" t="str">
        <f t="shared" si="12"/>
        <v>00</v>
      </c>
      <c r="AO127" s="64" t="str">
        <f t="shared" si="13"/>
        <v>00</v>
      </c>
      <c r="AQ127" t="str">
        <f t="shared" si="8"/>
        <v/>
      </c>
    </row>
    <row r="128" spans="2:43">
      <c r="B128" s="138"/>
      <c r="C128" s="49">
        <f t="shared" si="9"/>
        <v>57</v>
      </c>
      <c r="D128" s="130">
        <f t="shared" si="27"/>
        <v>0</v>
      </c>
      <c r="E128" s="130">
        <f t="shared" si="27"/>
        <v>0</v>
      </c>
      <c r="F128" s="130">
        <f t="shared" si="27"/>
        <v>0</v>
      </c>
      <c r="G128" s="130">
        <f t="shared" si="27"/>
        <v>0</v>
      </c>
      <c r="H128" s="130">
        <f t="shared" si="27"/>
        <v>0</v>
      </c>
      <c r="I128" s="130">
        <f t="shared" si="27"/>
        <v>0</v>
      </c>
      <c r="J128" s="130">
        <f t="shared" si="27"/>
        <v>0</v>
      </c>
      <c r="K128" s="130">
        <f t="shared" si="27"/>
        <v>0</v>
      </c>
      <c r="L128" s="130">
        <f t="shared" si="27"/>
        <v>0</v>
      </c>
      <c r="M128" s="130">
        <f t="shared" si="27"/>
        <v>0</v>
      </c>
      <c r="N128" s="130">
        <f t="shared" si="27"/>
        <v>0</v>
      </c>
      <c r="O128" s="130">
        <f t="shared" si="27"/>
        <v>0</v>
      </c>
      <c r="P128" s="130">
        <f t="shared" si="27"/>
        <v>0</v>
      </c>
      <c r="Q128" s="130">
        <f t="shared" si="27"/>
        <v>0</v>
      </c>
      <c r="R128" s="130">
        <f t="shared" si="27"/>
        <v>0</v>
      </c>
      <c r="S128" s="130">
        <f t="shared" si="27"/>
        <v>0</v>
      </c>
      <c r="T128" s="130">
        <f t="shared" si="27"/>
        <v>0</v>
      </c>
      <c r="U128" s="130">
        <f t="shared" si="27"/>
        <v>0</v>
      </c>
      <c r="V128" s="130">
        <f t="shared" si="27"/>
        <v>0</v>
      </c>
      <c r="W128" s="130">
        <f t="shared" si="27"/>
        <v>0</v>
      </c>
      <c r="X128" s="130">
        <f t="shared" si="27"/>
        <v>0</v>
      </c>
      <c r="Y128" s="130">
        <f t="shared" si="27"/>
        <v>0</v>
      </c>
      <c r="Z128" s="130">
        <f t="shared" si="27"/>
        <v>0</v>
      </c>
      <c r="AA128" s="130">
        <f t="shared" si="27"/>
        <v>0</v>
      </c>
      <c r="AB128" s="130">
        <f t="shared" si="27"/>
        <v>0</v>
      </c>
      <c r="AC128" s="130">
        <f t="shared" si="27"/>
        <v>0</v>
      </c>
      <c r="AD128" s="130">
        <f t="shared" si="27"/>
        <v>0</v>
      </c>
      <c r="AE128" s="130">
        <f t="shared" si="27"/>
        <v>0</v>
      </c>
      <c r="AF128" s="130">
        <f t="shared" si="27"/>
        <v>0</v>
      </c>
      <c r="AG128" s="130">
        <f t="shared" si="27"/>
        <v>0</v>
      </c>
      <c r="AH128" s="130">
        <f t="shared" si="27"/>
        <v>0</v>
      </c>
      <c r="AI128" s="130">
        <f t="shared" si="27"/>
        <v>0</v>
      </c>
      <c r="AJ128" s="49" t="str">
        <f t="shared" si="7"/>
        <v/>
      </c>
      <c r="AK128" s="62"/>
      <c r="AL128" s="62" t="str">
        <f t="shared" si="10"/>
        <v>00</v>
      </c>
      <c r="AM128" s="64" t="str">
        <f t="shared" si="11"/>
        <v>00</v>
      </c>
      <c r="AN128" s="64" t="str">
        <f t="shared" si="12"/>
        <v>00</v>
      </c>
      <c r="AO128" s="64" t="str">
        <f t="shared" si="13"/>
        <v>00</v>
      </c>
      <c r="AQ128" t="str">
        <f t="shared" si="8"/>
        <v/>
      </c>
    </row>
    <row r="129" spans="1:43">
      <c r="B129" s="138"/>
      <c r="C129" s="49">
        <f t="shared" si="9"/>
        <v>58</v>
      </c>
      <c r="D129" s="130">
        <f t="shared" si="27"/>
        <v>0</v>
      </c>
      <c r="E129" s="130">
        <f t="shared" si="27"/>
        <v>0</v>
      </c>
      <c r="F129" s="130">
        <f t="shared" si="27"/>
        <v>0</v>
      </c>
      <c r="G129" s="130">
        <f t="shared" si="27"/>
        <v>0</v>
      </c>
      <c r="H129" s="130">
        <f t="shared" si="27"/>
        <v>0</v>
      </c>
      <c r="I129" s="130">
        <f t="shared" si="27"/>
        <v>0</v>
      </c>
      <c r="J129" s="130">
        <f t="shared" si="27"/>
        <v>0</v>
      </c>
      <c r="K129" s="130">
        <f t="shared" si="27"/>
        <v>0</v>
      </c>
      <c r="L129" s="130">
        <f t="shared" si="27"/>
        <v>0</v>
      </c>
      <c r="M129" s="130">
        <f t="shared" si="27"/>
        <v>0</v>
      </c>
      <c r="N129" s="130">
        <f t="shared" si="27"/>
        <v>0</v>
      </c>
      <c r="O129" s="130">
        <f t="shared" si="27"/>
        <v>0</v>
      </c>
      <c r="P129" s="130">
        <f t="shared" si="27"/>
        <v>0</v>
      </c>
      <c r="Q129" s="130">
        <f t="shared" si="27"/>
        <v>0</v>
      </c>
      <c r="R129" s="130">
        <f t="shared" si="27"/>
        <v>0</v>
      </c>
      <c r="S129" s="130">
        <f t="shared" si="27"/>
        <v>0</v>
      </c>
      <c r="T129" s="130">
        <f t="shared" si="27"/>
        <v>0</v>
      </c>
      <c r="U129" s="130">
        <f t="shared" si="27"/>
        <v>0</v>
      </c>
      <c r="V129" s="130">
        <f t="shared" si="27"/>
        <v>0</v>
      </c>
      <c r="W129" s="130">
        <f t="shared" si="27"/>
        <v>0</v>
      </c>
      <c r="X129" s="130">
        <f t="shared" si="27"/>
        <v>0</v>
      </c>
      <c r="Y129" s="130">
        <f t="shared" si="27"/>
        <v>0</v>
      </c>
      <c r="Z129" s="130">
        <f t="shared" si="27"/>
        <v>0</v>
      </c>
      <c r="AA129" s="130">
        <f t="shared" si="27"/>
        <v>0</v>
      </c>
      <c r="AB129" s="130">
        <f t="shared" si="27"/>
        <v>0</v>
      </c>
      <c r="AC129" s="130">
        <f t="shared" si="27"/>
        <v>0</v>
      </c>
      <c r="AD129" s="130">
        <f t="shared" si="27"/>
        <v>0</v>
      </c>
      <c r="AE129" s="130">
        <f t="shared" si="27"/>
        <v>0</v>
      </c>
      <c r="AF129" s="130">
        <f t="shared" si="27"/>
        <v>0</v>
      </c>
      <c r="AG129" s="130">
        <f t="shared" si="27"/>
        <v>0</v>
      </c>
      <c r="AH129" s="130">
        <f t="shared" si="27"/>
        <v>0</v>
      </c>
      <c r="AI129" s="130">
        <f t="shared" si="27"/>
        <v>0</v>
      </c>
      <c r="AJ129" s="49" t="str">
        <f t="shared" si="7"/>
        <v/>
      </c>
      <c r="AK129" s="62"/>
      <c r="AL129" s="62" t="str">
        <f t="shared" si="10"/>
        <v>00</v>
      </c>
      <c r="AM129" s="64" t="str">
        <f t="shared" si="11"/>
        <v>00</v>
      </c>
      <c r="AN129" s="64" t="str">
        <f t="shared" si="12"/>
        <v>00</v>
      </c>
      <c r="AO129" s="64" t="str">
        <f t="shared" si="13"/>
        <v>00</v>
      </c>
      <c r="AQ129" t="str">
        <f t="shared" si="8"/>
        <v/>
      </c>
    </row>
    <row r="130" spans="1:43">
      <c r="B130" s="138"/>
      <c r="C130" s="49">
        <f t="shared" si="9"/>
        <v>59</v>
      </c>
      <c r="D130" s="130">
        <f t="shared" si="27"/>
        <v>0</v>
      </c>
      <c r="E130" s="130">
        <f t="shared" si="27"/>
        <v>0</v>
      </c>
      <c r="F130" s="130">
        <f t="shared" si="27"/>
        <v>0</v>
      </c>
      <c r="G130" s="130">
        <f t="shared" si="27"/>
        <v>0</v>
      </c>
      <c r="H130" s="130">
        <f t="shared" si="27"/>
        <v>0</v>
      </c>
      <c r="I130" s="130">
        <f t="shared" si="27"/>
        <v>0</v>
      </c>
      <c r="J130" s="130">
        <f t="shared" si="27"/>
        <v>0</v>
      </c>
      <c r="K130" s="130">
        <f t="shared" si="27"/>
        <v>0</v>
      </c>
      <c r="L130" s="130">
        <f t="shared" si="27"/>
        <v>0</v>
      </c>
      <c r="M130" s="130">
        <f t="shared" si="27"/>
        <v>0</v>
      </c>
      <c r="N130" s="130">
        <f t="shared" si="27"/>
        <v>0</v>
      </c>
      <c r="O130" s="130">
        <f t="shared" si="27"/>
        <v>0</v>
      </c>
      <c r="P130" s="130">
        <f t="shared" si="27"/>
        <v>0</v>
      </c>
      <c r="Q130" s="130">
        <f t="shared" si="27"/>
        <v>0</v>
      </c>
      <c r="R130" s="130">
        <f t="shared" si="27"/>
        <v>0</v>
      </c>
      <c r="S130" s="130">
        <f t="shared" si="27"/>
        <v>0</v>
      </c>
      <c r="T130" s="130">
        <f t="shared" si="27"/>
        <v>0</v>
      </c>
      <c r="U130" s="130">
        <f t="shared" si="27"/>
        <v>0</v>
      </c>
      <c r="V130" s="130">
        <f t="shared" si="27"/>
        <v>0</v>
      </c>
      <c r="W130" s="130">
        <f t="shared" si="27"/>
        <v>0</v>
      </c>
      <c r="X130" s="130">
        <f t="shared" si="27"/>
        <v>0</v>
      </c>
      <c r="Y130" s="130">
        <f t="shared" si="27"/>
        <v>0</v>
      </c>
      <c r="Z130" s="130">
        <f t="shared" si="27"/>
        <v>0</v>
      </c>
      <c r="AA130" s="130">
        <f t="shared" si="27"/>
        <v>0</v>
      </c>
      <c r="AB130" s="130">
        <f t="shared" si="27"/>
        <v>0</v>
      </c>
      <c r="AC130" s="130">
        <f t="shared" si="27"/>
        <v>0</v>
      </c>
      <c r="AD130" s="130">
        <f t="shared" si="27"/>
        <v>0</v>
      </c>
      <c r="AE130" s="130">
        <f t="shared" si="27"/>
        <v>0</v>
      </c>
      <c r="AF130" s="130">
        <f t="shared" si="27"/>
        <v>0</v>
      </c>
      <c r="AG130" s="130">
        <f t="shared" si="27"/>
        <v>0</v>
      </c>
      <c r="AH130" s="130">
        <f t="shared" si="27"/>
        <v>0</v>
      </c>
      <c r="AI130" s="130">
        <f t="shared" si="27"/>
        <v>0</v>
      </c>
      <c r="AJ130" s="49" t="str">
        <f t="shared" si="7"/>
        <v/>
      </c>
      <c r="AK130" s="62"/>
      <c r="AL130" s="62" t="str">
        <f t="shared" si="10"/>
        <v>00</v>
      </c>
      <c r="AM130" s="64" t="str">
        <f t="shared" si="11"/>
        <v>00</v>
      </c>
      <c r="AN130" s="64" t="str">
        <f t="shared" si="12"/>
        <v>00</v>
      </c>
      <c r="AO130" s="64" t="str">
        <f t="shared" si="13"/>
        <v>00</v>
      </c>
      <c r="AQ130" t="str">
        <f t="shared" si="8"/>
        <v/>
      </c>
    </row>
    <row r="131" spans="1:43">
      <c r="B131" s="138"/>
      <c r="C131" s="49">
        <f t="shared" si="9"/>
        <v>60</v>
      </c>
      <c r="D131" s="130">
        <f t="shared" si="27"/>
        <v>0</v>
      </c>
      <c r="E131" s="130">
        <f t="shared" si="27"/>
        <v>0</v>
      </c>
      <c r="F131" s="130">
        <f t="shared" si="27"/>
        <v>0</v>
      </c>
      <c r="G131" s="130">
        <f t="shared" si="27"/>
        <v>0</v>
      </c>
      <c r="H131" s="130">
        <f t="shared" si="27"/>
        <v>0</v>
      </c>
      <c r="I131" s="130">
        <f t="shared" si="27"/>
        <v>0</v>
      </c>
      <c r="J131" s="130">
        <f t="shared" si="27"/>
        <v>0</v>
      </c>
      <c r="K131" s="130">
        <f t="shared" si="27"/>
        <v>0</v>
      </c>
      <c r="L131" s="130">
        <f t="shared" si="27"/>
        <v>0</v>
      </c>
      <c r="M131" s="130">
        <f t="shared" si="27"/>
        <v>0</v>
      </c>
      <c r="N131" s="130">
        <f t="shared" si="27"/>
        <v>0</v>
      </c>
      <c r="O131" s="130">
        <f t="shared" si="27"/>
        <v>0</v>
      </c>
      <c r="P131" s="130">
        <f t="shared" si="27"/>
        <v>0</v>
      </c>
      <c r="Q131" s="130">
        <f t="shared" si="27"/>
        <v>0</v>
      </c>
      <c r="R131" s="130">
        <f t="shared" si="27"/>
        <v>0</v>
      </c>
      <c r="S131" s="130">
        <f t="shared" si="27"/>
        <v>0</v>
      </c>
      <c r="T131" s="130">
        <f t="shared" si="27"/>
        <v>0</v>
      </c>
      <c r="U131" s="130">
        <f t="shared" si="27"/>
        <v>0</v>
      </c>
      <c r="V131" s="130">
        <f t="shared" si="27"/>
        <v>0</v>
      </c>
      <c r="W131" s="130">
        <f t="shared" si="27"/>
        <v>0</v>
      </c>
      <c r="X131" s="130">
        <f t="shared" si="27"/>
        <v>0</v>
      </c>
      <c r="Y131" s="130">
        <f t="shared" si="27"/>
        <v>0</v>
      </c>
      <c r="Z131" s="130">
        <f t="shared" si="27"/>
        <v>0</v>
      </c>
      <c r="AA131" s="130">
        <f t="shared" si="27"/>
        <v>0</v>
      </c>
      <c r="AB131" s="130">
        <f t="shared" si="27"/>
        <v>0</v>
      </c>
      <c r="AC131" s="130">
        <f t="shared" si="27"/>
        <v>0</v>
      </c>
      <c r="AD131" s="130">
        <f t="shared" si="27"/>
        <v>0</v>
      </c>
      <c r="AE131" s="130">
        <f t="shared" si="27"/>
        <v>0</v>
      </c>
      <c r="AF131" s="130">
        <f t="shared" si="27"/>
        <v>0</v>
      </c>
      <c r="AG131" s="130">
        <f t="shared" si="27"/>
        <v>0</v>
      </c>
      <c r="AH131" s="130">
        <f t="shared" si="27"/>
        <v>0</v>
      </c>
      <c r="AI131" s="130">
        <f t="shared" si="27"/>
        <v>0</v>
      </c>
      <c r="AJ131" s="49" t="str">
        <f t="shared" si="7"/>
        <v/>
      </c>
      <c r="AK131" s="62"/>
      <c r="AL131" s="62" t="str">
        <f t="shared" si="10"/>
        <v>00</v>
      </c>
      <c r="AM131" s="64" t="str">
        <f t="shared" si="11"/>
        <v>00</v>
      </c>
      <c r="AN131" s="64" t="str">
        <f t="shared" si="12"/>
        <v>00</v>
      </c>
      <c r="AO131" s="64" t="str">
        <f t="shared" si="13"/>
        <v>00</v>
      </c>
      <c r="AQ131" t="str">
        <f t="shared" si="8"/>
        <v/>
      </c>
    </row>
    <row r="132" spans="1:43">
      <c r="B132" s="138"/>
      <c r="C132" s="49">
        <f t="shared" si="9"/>
        <v>61</v>
      </c>
      <c r="D132" s="130">
        <f t="shared" si="27"/>
        <v>0</v>
      </c>
      <c r="E132" s="130">
        <f t="shared" si="27"/>
        <v>0</v>
      </c>
      <c r="F132" s="130">
        <f t="shared" si="27"/>
        <v>0</v>
      </c>
      <c r="G132" s="130">
        <f t="shared" si="27"/>
        <v>0</v>
      </c>
      <c r="H132" s="130">
        <f t="shared" si="27"/>
        <v>0</v>
      </c>
      <c r="I132" s="130">
        <f t="shared" si="27"/>
        <v>0</v>
      </c>
      <c r="J132" s="130">
        <f t="shared" si="27"/>
        <v>0</v>
      </c>
      <c r="K132" s="130">
        <f t="shared" si="27"/>
        <v>0</v>
      </c>
      <c r="L132" s="130">
        <f t="shared" si="27"/>
        <v>0</v>
      </c>
      <c r="M132" s="130">
        <f t="shared" si="27"/>
        <v>0</v>
      </c>
      <c r="N132" s="130">
        <f t="shared" si="27"/>
        <v>0</v>
      </c>
      <c r="O132" s="130">
        <f t="shared" si="27"/>
        <v>0</v>
      </c>
      <c r="P132" s="130">
        <f t="shared" si="27"/>
        <v>0</v>
      </c>
      <c r="Q132" s="130">
        <f t="shared" si="27"/>
        <v>0</v>
      </c>
      <c r="R132" s="130">
        <f t="shared" si="27"/>
        <v>0</v>
      </c>
      <c r="S132" s="130">
        <f t="shared" si="27"/>
        <v>0</v>
      </c>
      <c r="T132" s="130">
        <f t="shared" si="27"/>
        <v>0</v>
      </c>
      <c r="U132" s="130">
        <f t="shared" si="27"/>
        <v>0</v>
      </c>
      <c r="V132" s="130">
        <f t="shared" si="27"/>
        <v>0</v>
      </c>
      <c r="W132" s="130">
        <f t="shared" si="27"/>
        <v>0</v>
      </c>
      <c r="X132" s="130">
        <f t="shared" si="27"/>
        <v>0</v>
      </c>
      <c r="Y132" s="130">
        <f t="shared" si="27"/>
        <v>0</v>
      </c>
      <c r="Z132" s="130">
        <f t="shared" si="27"/>
        <v>0</v>
      </c>
      <c r="AA132" s="130">
        <f t="shared" si="27"/>
        <v>0</v>
      </c>
      <c r="AB132" s="130">
        <f t="shared" si="27"/>
        <v>0</v>
      </c>
      <c r="AC132" s="130">
        <f t="shared" si="27"/>
        <v>0</v>
      </c>
      <c r="AD132" s="130">
        <f t="shared" si="27"/>
        <v>0</v>
      </c>
      <c r="AE132" s="130">
        <f t="shared" si="27"/>
        <v>0</v>
      </c>
      <c r="AF132" s="130">
        <f t="shared" si="27"/>
        <v>0</v>
      </c>
      <c r="AG132" s="130">
        <f t="shared" si="27"/>
        <v>0</v>
      </c>
      <c r="AH132" s="130">
        <f t="shared" si="27"/>
        <v>0</v>
      </c>
      <c r="AI132" s="130">
        <f t="shared" si="27"/>
        <v>0</v>
      </c>
      <c r="AJ132" s="49" t="str">
        <f t="shared" si="7"/>
        <v/>
      </c>
      <c r="AK132" s="62"/>
      <c r="AL132" s="62" t="str">
        <f t="shared" si="10"/>
        <v>00</v>
      </c>
      <c r="AM132" s="64" t="str">
        <f t="shared" si="11"/>
        <v>00</v>
      </c>
      <c r="AN132" s="64" t="str">
        <f t="shared" si="12"/>
        <v>00</v>
      </c>
      <c r="AO132" s="64" t="str">
        <f t="shared" si="13"/>
        <v>00</v>
      </c>
      <c r="AQ132" t="str">
        <f t="shared" si="8"/>
        <v/>
      </c>
    </row>
    <row r="133" spans="1:43">
      <c r="B133" s="138"/>
      <c r="C133" s="49">
        <f t="shared" si="9"/>
        <v>62</v>
      </c>
      <c r="D133" s="130">
        <f t="shared" si="27"/>
        <v>0</v>
      </c>
      <c r="E133" s="130">
        <f t="shared" si="27"/>
        <v>0</v>
      </c>
      <c r="F133" s="130">
        <f t="shared" si="27"/>
        <v>0</v>
      </c>
      <c r="G133" s="130">
        <f t="shared" si="27"/>
        <v>0</v>
      </c>
      <c r="H133" s="130">
        <f t="shared" si="27"/>
        <v>0</v>
      </c>
      <c r="I133" s="130">
        <f t="shared" si="27"/>
        <v>0</v>
      </c>
      <c r="J133" s="130">
        <f t="shared" si="27"/>
        <v>0</v>
      </c>
      <c r="K133" s="130">
        <f t="shared" si="27"/>
        <v>0</v>
      </c>
      <c r="L133" s="130">
        <f t="shared" si="27"/>
        <v>0</v>
      </c>
      <c r="M133" s="130">
        <f t="shared" si="27"/>
        <v>0</v>
      </c>
      <c r="N133" s="130">
        <f t="shared" si="27"/>
        <v>0</v>
      </c>
      <c r="O133" s="130">
        <f t="shared" si="27"/>
        <v>0</v>
      </c>
      <c r="P133" s="130">
        <f t="shared" si="27"/>
        <v>0</v>
      </c>
      <c r="Q133" s="130">
        <f t="shared" si="27"/>
        <v>0</v>
      </c>
      <c r="R133" s="130">
        <f t="shared" si="27"/>
        <v>0</v>
      </c>
      <c r="S133" s="130">
        <f t="shared" si="27"/>
        <v>0</v>
      </c>
      <c r="T133" s="130">
        <f t="shared" si="27"/>
        <v>0</v>
      </c>
      <c r="U133" s="130">
        <f t="shared" si="27"/>
        <v>0</v>
      </c>
      <c r="V133" s="130">
        <f t="shared" si="27"/>
        <v>0</v>
      </c>
      <c r="W133" s="130">
        <f t="shared" si="27"/>
        <v>0</v>
      </c>
      <c r="X133" s="130">
        <f t="shared" si="27"/>
        <v>0</v>
      </c>
      <c r="Y133" s="130">
        <f t="shared" si="27"/>
        <v>0</v>
      </c>
      <c r="Z133" s="130">
        <f t="shared" si="27"/>
        <v>0</v>
      </c>
      <c r="AA133" s="130">
        <f t="shared" si="27"/>
        <v>0</v>
      </c>
      <c r="AB133" s="130">
        <f t="shared" si="27"/>
        <v>0</v>
      </c>
      <c r="AC133" s="130">
        <f t="shared" si="27"/>
        <v>0</v>
      </c>
      <c r="AD133" s="130">
        <f t="shared" si="27"/>
        <v>0</v>
      </c>
      <c r="AE133" s="130">
        <f t="shared" si="27"/>
        <v>0</v>
      </c>
      <c r="AF133" s="130">
        <f t="shared" si="27"/>
        <v>0</v>
      </c>
      <c r="AG133" s="130">
        <f t="shared" si="27"/>
        <v>0</v>
      </c>
      <c r="AH133" s="130">
        <f t="shared" si="27"/>
        <v>0</v>
      </c>
      <c r="AI133" s="130">
        <f t="shared" si="27"/>
        <v>0</v>
      </c>
      <c r="AJ133" s="49" t="str">
        <f t="shared" si="7"/>
        <v/>
      </c>
      <c r="AK133" s="62"/>
      <c r="AL133" s="62" t="str">
        <f t="shared" si="10"/>
        <v>00</v>
      </c>
      <c r="AM133" s="64" t="str">
        <f t="shared" si="11"/>
        <v>00</v>
      </c>
      <c r="AN133" s="64" t="str">
        <f t="shared" si="12"/>
        <v>00</v>
      </c>
      <c r="AO133" s="64" t="str">
        <f t="shared" si="13"/>
        <v>00</v>
      </c>
      <c r="AQ133" t="str">
        <f t="shared" si="8"/>
        <v/>
      </c>
    </row>
    <row r="134" spans="1:43">
      <c r="B134" s="139"/>
      <c r="C134" s="49">
        <f t="shared" si="9"/>
        <v>63</v>
      </c>
      <c r="D134" s="130">
        <f t="shared" si="27"/>
        <v>0</v>
      </c>
      <c r="E134" s="130">
        <f t="shared" si="27"/>
        <v>0</v>
      </c>
      <c r="F134" s="130">
        <f t="shared" si="27"/>
        <v>0</v>
      </c>
      <c r="G134" s="130">
        <f t="shared" si="27"/>
        <v>0</v>
      </c>
      <c r="H134" s="130">
        <f t="shared" si="27"/>
        <v>0</v>
      </c>
      <c r="I134" s="130">
        <f t="shared" si="27"/>
        <v>0</v>
      </c>
      <c r="J134" s="130">
        <f t="shared" si="27"/>
        <v>0</v>
      </c>
      <c r="K134" s="130">
        <f t="shared" si="27"/>
        <v>0</v>
      </c>
      <c r="L134" s="130">
        <f t="shared" si="27"/>
        <v>0</v>
      </c>
      <c r="M134" s="130">
        <f t="shared" si="27"/>
        <v>0</v>
      </c>
      <c r="N134" s="130">
        <f t="shared" si="27"/>
        <v>0</v>
      </c>
      <c r="O134" s="130">
        <f t="shared" si="27"/>
        <v>0</v>
      </c>
      <c r="P134" s="130">
        <f t="shared" si="27"/>
        <v>0</v>
      </c>
      <c r="Q134" s="130">
        <f t="shared" si="27"/>
        <v>0</v>
      </c>
      <c r="R134" s="130">
        <f t="shared" si="27"/>
        <v>0</v>
      </c>
      <c r="S134" s="130">
        <f t="shared" si="27"/>
        <v>0</v>
      </c>
      <c r="T134" s="130">
        <f t="shared" si="27"/>
        <v>0</v>
      </c>
      <c r="U134" s="130">
        <f t="shared" si="27"/>
        <v>0</v>
      </c>
      <c r="V134" s="130">
        <f t="shared" si="27"/>
        <v>0</v>
      </c>
      <c r="W134" s="130">
        <f t="shared" si="27"/>
        <v>0</v>
      </c>
      <c r="X134" s="130">
        <f t="shared" si="27"/>
        <v>0</v>
      </c>
      <c r="Y134" s="130">
        <f t="shared" si="27"/>
        <v>0</v>
      </c>
      <c r="Z134" s="130">
        <f t="shared" si="27"/>
        <v>0</v>
      </c>
      <c r="AA134" s="130">
        <f t="shared" si="27"/>
        <v>0</v>
      </c>
      <c r="AB134" s="130">
        <f t="shared" si="27"/>
        <v>0</v>
      </c>
      <c r="AC134" s="130">
        <f t="shared" si="27"/>
        <v>0</v>
      </c>
      <c r="AD134" s="130">
        <f t="shared" si="27"/>
        <v>0</v>
      </c>
      <c r="AE134" s="130">
        <f t="shared" si="27"/>
        <v>0</v>
      </c>
      <c r="AF134" s="130">
        <f t="shared" si="27"/>
        <v>0</v>
      </c>
      <c r="AG134" s="130">
        <f t="shared" si="27"/>
        <v>0</v>
      </c>
      <c r="AH134" s="130">
        <f t="shared" si="27"/>
        <v>0</v>
      </c>
      <c r="AI134" s="130">
        <f t="shared" ref="AI134" si="28">IF(AI69=1,1,0)</f>
        <v>0</v>
      </c>
      <c r="AJ134" s="49" t="str">
        <f t="shared" si="7"/>
        <v/>
      </c>
      <c r="AK134" s="62"/>
      <c r="AL134" s="62" t="str">
        <f t="shared" si="10"/>
        <v>00</v>
      </c>
      <c r="AM134" s="64" t="str">
        <f t="shared" si="11"/>
        <v>00</v>
      </c>
      <c r="AN134" s="64" t="str">
        <f t="shared" si="12"/>
        <v>00</v>
      </c>
      <c r="AO134" s="64" t="str">
        <f t="shared" si="13"/>
        <v>00</v>
      </c>
      <c r="AQ134" t="str">
        <f t="shared" si="8"/>
        <v/>
      </c>
    </row>
    <row r="135" spans="1:43">
      <c r="A135" s="58" t="s">
        <v>65</v>
      </c>
      <c r="B135" s="59"/>
      <c r="C135" s="59"/>
      <c r="D135" s="61"/>
      <c r="E135" s="61"/>
      <c r="F135" s="61"/>
      <c r="G135" s="61"/>
      <c r="H135" s="61"/>
      <c r="I135" s="61"/>
      <c r="J135" s="61"/>
      <c r="K135" s="61"/>
      <c r="L135" s="61"/>
      <c r="M135" s="61"/>
      <c r="N135" s="61"/>
      <c r="O135" s="61"/>
      <c r="P135" s="61"/>
      <c r="Q135" s="61"/>
      <c r="R135" s="61"/>
      <c r="S135" s="61"/>
      <c r="T135" s="61"/>
      <c r="U135" s="61"/>
      <c r="V135" s="61"/>
      <c r="W135" s="61"/>
      <c r="X135" s="61"/>
      <c r="Y135" s="61"/>
      <c r="Z135" s="61"/>
      <c r="AA135" s="61"/>
      <c r="AB135" s="61"/>
      <c r="AC135" s="61"/>
      <c r="AD135" s="61"/>
      <c r="AE135" s="61"/>
      <c r="AF135" s="61"/>
      <c r="AG135" s="61"/>
      <c r="AH135" s="61"/>
      <c r="AI135" s="61"/>
      <c r="AJ135" s="59"/>
    </row>
    <row r="136" spans="1:43">
      <c r="B136" s="140" t="str">
        <f ca="1">IF(B6&lt;&gt;"",B6,"")</f>
        <v>Table VOL</v>
      </c>
      <c r="C136" s="49">
        <f>IF(C6&lt;&gt;"",C6,"")</f>
        <v>0</v>
      </c>
      <c r="D136" s="130">
        <f t="shared" ref="D136:AI143" si="29">IF(OR(D6=0,D6=1),1,0)</f>
        <v>0</v>
      </c>
      <c r="E136" s="130">
        <f t="shared" si="29"/>
        <v>0</v>
      </c>
      <c r="F136" s="130">
        <f t="shared" si="29"/>
        <v>0</v>
      </c>
      <c r="G136" s="130">
        <f t="shared" si="29"/>
        <v>0</v>
      </c>
      <c r="H136" s="130">
        <f t="shared" si="29"/>
        <v>0</v>
      </c>
      <c r="I136" s="130">
        <f t="shared" si="29"/>
        <v>0</v>
      </c>
      <c r="J136" s="130">
        <f t="shared" si="29"/>
        <v>0</v>
      </c>
      <c r="K136" s="130">
        <f t="shared" si="29"/>
        <v>0</v>
      </c>
      <c r="L136" s="130">
        <f t="shared" si="29"/>
        <v>0</v>
      </c>
      <c r="M136" s="130">
        <f t="shared" si="29"/>
        <v>0</v>
      </c>
      <c r="N136" s="130">
        <f t="shared" si="29"/>
        <v>0</v>
      </c>
      <c r="O136" s="130">
        <f t="shared" si="29"/>
        <v>0</v>
      </c>
      <c r="P136" s="130">
        <f t="shared" si="29"/>
        <v>0</v>
      </c>
      <c r="Q136" s="130">
        <f t="shared" si="29"/>
        <v>0</v>
      </c>
      <c r="R136" s="130">
        <f t="shared" si="29"/>
        <v>0</v>
      </c>
      <c r="S136" s="130">
        <f t="shared" si="29"/>
        <v>0</v>
      </c>
      <c r="T136" s="130">
        <f t="shared" si="29"/>
        <v>0</v>
      </c>
      <c r="U136" s="130">
        <f t="shared" si="29"/>
        <v>0</v>
      </c>
      <c r="V136" s="130">
        <f t="shared" si="29"/>
        <v>0</v>
      </c>
      <c r="W136" s="130">
        <f t="shared" si="29"/>
        <v>0</v>
      </c>
      <c r="X136" s="130">
        <f t="shared" si="29"/>
        <v>0</v>
      </c>
      <c r="Y136" s="130">
        <f t="shared" si="29"/>
        <v>0</v>
      </c>
      <c r="Z136" s="130">
        <f t="shared" si="29"/>
        <v>0</v>
      </c>
      <c r="AA136" s="130">
        <f t="shared" si="29"/>
        <v>0</v>
      </c>
      <c r="AB136" s="130">
        <f t="shared" si="29"/>
        <v>0</v>
      </c>
      <c r="AC136" s="130">
        <f t="shared" si="29"/>
        <v>0</v>
      </c>
      <c r="AD136" s="130">
        <f t="shared" si="29"/>
        <v>0</v>
      </c>
      <c r="AE136" s="130">
        <f t="shared" si="29"/>
        <v>0</v>
      </c>
      <c r="AF136" s="130">
        <f t="shared" si="29"/>
        <v>1</v>
      </c>
      <c r="AG136" s="130">
        <f t="shared" si="29"/>
        <v>1</v>
      </c>
      <c r="AH136" s="130">
        <f t="shared" si="29"/>
        <v>1</v>
      </c>
      <c r="AI136" s="130">
        <f t="shared" si="29"/>
        <v>1</v>
      </c>
      <c r="AJ136" s="49" t="str">
        <f t="shared" ref="AJ136:AJ199" si="30">IF(AJ6&lt;&gt;"",AJ6,"")</f>
        <v>VOL0</v>
      </c>
      <c r="AK136" s="62"/>
      <c r="AL136" s="62" t="str">
        <f>BIN2HEX(AB136&amp;AC136&amp;AD136&amp;AE136&amp;AF136&amp;AG136&amp;AH136&amp;AI136,2)</f>
        <v>0F</v>
      </c>
      <c r="AM136" s="64" t="str">
        <f>BIN2HEX(T136&amp;U136&amp;V136&amp;W136&amp;X136&amp;Y136&amp;Z136&amp;AA136,2)</f>
        <v>00</v>
      </c>
      <c r="AN136" s="64" t="str">
        <f>BIN2HEX(L136&amp;M136&amp;N136&amp;O136&amp;P136&amp;Q136&amp;R136&amp;S136,2)</f>
        <v>00</v>
      </c>
      <c r="AO136" s="64" t="str">
        <f>BIN2HEX(D136&amp;E136&amp;F136&amp;G136&amp;H136&amp;I136&amp;J136&amp;K136,2)</f>
        <v>00</v>
      </c>
      <c r="AQ136" t="str">
        <f t="shared" ref="AQ136:AQ199" si="31">IF(AJ136="","","    (U4)0x"&amp;AO136&amp;AN136&amp;AM136&amp;AL136&amp;"U"&amp;IF(AJ137=""," ",",")&amp;REPT(" ",59)&amp;"/* "&amp;IF(C136&lt;10,"0"&amp;C136,C136)&amp;" "&amp;AJ136&amp;REPT(" ",47-LEN(AJ136))&amp;" */")</f>
        <v xml:space="preserve">    (U4)0x0000000FU,                                                           /* 00 VOL0                                            */</v>
      </c>
    </row>
    <row r="137" spans="1:43">
      <c r="B137" s="138"/>
      <c r="C137" s="49">
        <f t="shared" ref="C137:C199" si="32">IF(C7&lt;&gt;"",C7,"")</f>
        <v>1</v>
      </c>
      <c r="D137" s="130">
        <f t="shared" si="29"/>
        <v>0</v>
      </c>
      <c r="E137" s="130">
        <f t="shared" si="29"/>
        <v>0</v>
      </c>
      <c r="F137" s="130">
        <f t="shared" si="29"/>
        <v>0</v>
      </c>
      <c r="G137" s="130">
        <f t="shared" si="29"/>
        <v>0</v>
      </c>
      <c r="H137" s="130">
        <f t="shared" si="29"/>
        <v>0</v>
      </c>
      <c r="I137" s="130">
        <f t="shared" si="29"/>
        <v>0</v>
      </c>
      <c r="J137" s="130">
        <f t="shared" si="29"/>
        <v>0</v>
      </c>
      <c r="K137" s="130">
        <f t="shared" si="29"/>
        <v>0</v>
      </c>
      <c r="L137" s="130">
        <f t="shared" si="29"/>
        <v>0</v>
      </c>
      <c r="M137" s="130">
        <f t="shared" si="29"/>
        <v>0</v>
      </c>
      <c r="N137" s="130">
        <f t="shared" si="29"/>
        <v>0</v>
      </c>
      <c r="O137" s="130">
        <f t="shared" si="29"/>
        <v>0</v>
      </c>
      <c r="P137" s="130">
        <f t="shared" si="29"/>
        <v>0</v>
      </c>
      <c r="Q137" s="130">
        <f t="shared" si="29"/>
        <v>0</v>
      </c>
      <c r="R137" s="130">
        <f t="shared" si="29"/>
        <v>0</v>
      </c>
      <c r="S137" s="130">
        <f t="shared" si="29"/>
        <v>0</v>
      </c>
      <c r="T137" s="130">
        <f t="shared" si="29"/>
        <v>0</v>
      </c>
      <c r="U137" s="130">
        <f t="shared" si="29"/>
        <v>0</v>
      </c>
      <c r="V137" s="130">
        <f t="shared" si="29"/>
        <v>0</v>
      </c>
      <c r="W137" s="130">
        <f t="shared" si="29"/>
        <v>0</v>
      </c>
      <c r="X137" s="130">
        <f t="shared" si="29"/>
        <v>0</v>
      </c>
      <c r="Y137" s="130">
        <f t="shared" si="29"/>
        <v>0</v>
      </c>
      <c r="Z137" s="130">
        <f t="shared" si="29"/>
        <v>0</v>
      </c>
      <c r="AA137" s="130">
        <f t="shared" si="29"/>
        <v>0</v>
      </c>
      <c r="AB137" s="130">
        <f t="shared" si="29"/>
        <v>0</v>
      </c>
      <c r="AC137" s="130">
        <f t="shared" si="29"/>
        <v>0</v>
      </c>
      <c r="AD137" s="130">
        <f t="shared" si="29"/>
        <v>0</v>
      </c>
      <c r="AE137" s="130">
        <f t="shared" si="29"/>
        <v>0</v>
      </c>
      <c r="AF137" s="130">
        <f t="shared" si="29"/>
        <v>1</v>
      </c>
      <c r="AG137" s="130">
        <f t="shared" si="29"/>
        <v>1</v>
      </c>
      <c r="AH137" s="130">
        <f t="shared" si="29"/>
        <v>1</v>
      </c>
      <c r="AI137" s="130">
        <f t="shared" si="29"/>
        <v>1</v>
      </c>
      <c r="AJ137" s="49" t="str">
        <f t="shared" si="30"/>
        <v>VOL1</v>
      </c>
      <c r="AK137" s="62"/>
      <c r="AL137" s="62" t="str">
        <f t="shared" ref="AL137:AL199" si="33">BIN2HEX(AB137&amp;AC137&amp;AD137&amp;AE137&amp;AF137&amp;AG137&amp;AH137&amp;AI137,2)</f>
        <v>0F</v>
      </c>
      <c r="AM137" s="64" t="str">
        <f t="shared" ref="AM137:AM199" si="34">BIN2HEX(T137&amp;U137&amp;V137&amp;W137&amp;X137&amp;Y137&amp;Z137&amp;AA137,2)</f>
        <v>00</v>
      </c>
      <c r="AN137" s="64" t="str">
        <f t="shared" ref="AN137:AN199" si="35">BIN2HEX(L137&amp;M137&amp;N137&amp;O137&amp;P137&amp;Q137&amp;R137&amp;S137,2)</f>
        <v>00</v>
      </c>
      <c r="AO137" s="64" t="str">
        <f t="shared" ref="AO137:AO199" si="36">BIN2HEX(D137&amp;E137&amp;F137&amp;G137&amp;H137&amp;I137&amp;J137&amp;K137,2)</f>
        <v>00</v>
      </c>
      <c r="AQ137" t="str">
        <f t="shared" si="31"/>
        <v xml:space="preserve">    (U4)0x0000000FU,                                                           /* 01 VOL1                                            */</v>
      </c>
    </row>
    <row r="138" spans="1:43">
      <c r="B138" s="138"/>
      <c r="C138" s="49">
        <f t="shared" si="32"/>
        <v>2</v>
      </c>
      <c r="D138" s="130">
        <f t="shared" si="29"/>
        <v>0</v>
      </c>
      <c r="E138" s="130">
        <f t="shared" si="29"/>
        <v>0</v>
      </c>
      <c r="F138" s="130">
        <f t="shared" si="29"/>
        <v>0</v>
      </c>
      <c r="G138" s="130">
        <f t="shared" si="29"/>
        <v>0</v>
      </c>
      <c r="H138" s="130">
        <f t="shared" si="29"/>
        <v>0</v>
      </c>
      <c r="I138" s="130">
        <f t="shared" si="29"/>
        <v>0</v>
      </c>
      <c r="J138" s="130">
        <f t="shared" si="29"/>
        <v>0</v>
      </c>
      <c r="K138" s="130">
        <f t="shared" si="29"/>
        <v>0</v>
      </c>
      <c r="L138" s="130">
        <f t="shared" si="29"/>
        <v>0</v>
      </c>
      <c r="M138" s="130">
        <f t="shared" si="29"/>
        <v>0</v>
      </c>
      <c r="N138" s="130">
        <f t="shared" si="29"/>
        <v>0</v>
      </c>
      <c r="O138" s="130">
        <f t="shared" si="29"/>
        <v>0</v>
      </c>
      <c r="P138" s="130">
        <f t="shared" si="29"/>
        <v>0</v>
      </c>
      <c r="Q138" s="130">
        <f t="shared" si="29"/>
        <v>0</v>
      </c>
      <c r="R138" s="130">
        <f t="shared" si="29"/>
        <v>0</v>
      </c>
      <c r="S138" s="130">
        <f t="shared" si="29"/>
        <v>0</v>
      </c>
      <c r="T138" s="130">
        <f t="shared" si="29"/>
        <v>0</v>
      </c>
      <c r="U138" s="130">
        <f t="shared" si="29"/>
        <v>0</v>
      </c>
      <c r="V138" s="130">
        <f t="shared" si="29"/>
        <v>0</v>
      </c>
      <c r="W138" s="130">
        <f t="shared" si="29"/>
        <v>0</v>
      </c>
      <c r="X138" s="130">
        <f t="shared" si="29"/>
        <v>0</v>
      </c>
      <c r="Y138" s="130">
        <f t="shared" si="29"/>
        <v>0</v>
      </c>
      <c r="Z138" s="130">
        <f t="shared" si="29"/>
        <v>0</v>
      </c>
      <c r="AA138" s="130">
        <f t="shared" si="29"/>
        <v>0</v>
      </c>
      <c r="AB138" s="130">
        <f t="shared" si="29"/>
        <v>0</v>
      </c>
      <c r="AC138" s="130">
        <f t="shared" si="29"/>
        <v>0</v>
      </c>
      <c r="AD138" s="130">
        <f t="shared" si="29"/>
        <v>0</v>
      </c>
      <c r="AE138" s="130">
        <f t="shared" si="29"/>
        <v>0</v>
      </c>
      <c r="AF138" s="130">
        <f t="shared" si="29"/>
        <v>1</v>
      </c>
      <c r="AG138" s="130">
        <f t="shared" si="29"/>
        <v>1</v>
      </c>
      <c r="AH138" s="130">
        <f t="shared" si="29"/>
        <v>1</v>
      </c>
      <c r="AI138" s="130">
        <f t="shared" si="29"/>
        <v>1</v>
      </c>
      <c r="AJ138" s="49" t="str">
        <f t="shared" si="30"/>
        <v>VOL2</v>
      </c>
      <c r="AK138" s="62"/>
      <c r="AL138" s="62" t="str">
        <f t="shared" si="33"/>
        <v>0F</v>
      </c>
      <c r="AM138" s="64" t="str">
        <f t="shared" si="34"/>
        <v>00</v>
      </c>
      <c r="AN138" s="64" t="str">
        <f t="shared" si="35"/>
        <v>00</v>
      </c>
      <c r="AO138" s="64" t="str">
        <f t="shared" si="36"/>
        <v>00</v>
      </c>
      <c r="AQ138" t="str">
        <f t="shared" si="31"/>
        <v xml:space="preserve">    (U4)0x0000000FU,                                                           /* 02 VOL2                                            */</v>
      </c>
    </row>
    <row r="139" spans="1:43">
      <c r="B139" s="138"/>
      <c r="C139" s="49">
        <f t="shared" si="32"/>
        <v>3</v>
      </c>
      <c r="D139" s="130">
        <f t="shared" si="29"/>
        <v>0</v>
      </c>
      <c r="E139" s="130">
        <f t="shared" si="29"/>
        <v>0</v>
      </c>
      <c r="F139" s="130">
        <f t="shared" si="29"/>
        <v>0</v>
      </c>
      <c r="G139" s="130">
        <f t="shared" si="29"/>
        <v>0</v>
      </c>
      <c r="H139" s="130">
        <f t="shared" si="29"/>
        <v>0</v>
      </c>
      <c r="I139" s="130">
        <f t="shared" si="29"/>
        <v>0</v>
      </c>
      <c r="J139" s="130">
        <f t="shared" si="29"/>
        <v>0</v>
      </c>
      <c r="K139" s="130">
        <f t="shared" si="29"/>
        <v>0</v>
      </c>
      <c r="L139" s="130">
        <f t="shared" si="29"/>
        <v>0</v>
      </c>
      <c r="M139" s="130">
        <f t="shared" si="29"/>
        <v>0</v>
      </c>
      <c r="N139" s="130">
        <f t="shared" si="29"/>
        <v>0</v>
      </c>
      <c r="O139" s="130">
        <f t="shared" si="29"/>
        <v>0</v>
      </c>
      <c r="P139" s="130">
        <f t="shared" si="29"/>
        <v>0</v>
      </c>
      <c r="Q139" s="130">
        <f t="shared" si="29"/>
        <v>0</v>
      </c>
      <c r="R139" s="130">
        <f t="shared" si="29"/>
        <v>0</v>
      </c>
      <c r="S139" s="130">
        <f t="shared" si="29"/>
        <v>0</v>
      </c>
      <c r="T139" s="130">
        <f t="shared" si="29"/>
        <v>0</v>
      </c>
      <c r="U139" s="130">
        <f t="shared" si="29"/>
        <v>0</v>
      </c>
      <c r="V139" s="130">
        <f t="shared" si="29"/>
        <v>0</v>
      </c>
      <c r="W139" s="130">
        <f t="shared" si="29"/>
        <v>0</v>
      </c>
      <c r="X139" s="130">
        <f t="shared" si="29"/>
        <v>0</v>
      </c>
      <c r="Y139" s="130">
        <f t="shared" si="29"/>
        <v>0</v>
      </c>
      <c r="Z139" s="130">
        <f t="shared" si="29"/>
        <v>0</v>
      </c>
      <c r="AA139" s="130">
        <f t="shared" si="29"/>
        <v>0</v>
      </c>
      <c r="AB139" s="130">
        <f t="shared" si="29"/>
        <v>0</v>
      </c>
      <c r="AC139" s="130">
        <f t="shared" si="29"/>
        <v>0</v>
      </c>
      <c r="AD139" s="130">
        <f t="shared" si="29"/>
        <v>0</v>
      </c>
      <c r="AE139" s="130">
        <f t="shared" si="29"/>
        <v>0</v>
      </c>
      <c r="AF139" s="130">
        <f t="shared" si="29"/>
        <v>1</v>
      </c>
      <c r="AG139" s="130">
        <f t="shared" si="29"/>
        <v>1</v>
      </c>
      <c r="AH139" s="130">
        <f t="shared" si="29"/>
        <v>1</v>
      </c>
      <c r="AI139" s="130">
        <f t="shared" si="29"/>
        <v>1</v>
      </c>
      <c r="AJ139" s="49" t="str">
        <f t="shared" si="30"/>
        <v>VOL3</v>
      </c>
      <c r="AK139" s="62"/>
      <c r="AL139" s="62" t="str">
        <f t="shared" si="33"/>
        <v>0F</v>
      </c>
      <c r="AM139" s="64" t="str">
        <f t="shared" si="34"/>
        <v>00</v>
      </c>
      <c r="AN139" s="64" t="str">
        <f t="shared" si="35"/>
        <v>00</v>
      </c>
      <c r="AO139" s="64" t="str">
        <f t="shared" si="36"/>
        <v>00</v>
      </c>
      <c r="AQ139" t="str">
        <f t="shared" si="31"/>
        <v xml:space="preserve">    (U4)0x0000000FU,                                                           /* 03 VOL3                                            */</v>
      </c>
    </row>
    <row r="140" spans="1:43">
      <c r="B140" s="138"/>
      <c r="C140" s="49">
        <f t="shared" si="32"/>
        <v>4</v>
      </c>
      <c r="D140" s="130">
        <f t="shared" si="29"/>
        <v>0</v>
      </c>
      <c r="E140" s="130">
        <f t="shared" si="29"/>
        <v>0</v>
      </c>
      <c r="F140" s="130">
        <f t="shared" si="29"/>
        <v>0</v>
      </c>
      <c r="G140" s="130">
        <f t="shared" si="29"/>
        <v>0</v>
      </c>
      <c r="H140" s="130">
        <f t="shared" si="29"/>
        <v>0</v>
      </c>
      <c r="I140" s="130">
        <f t="shared" si="29"/>
        <v>0</v>
      </c>
      <c r="J140" s="130">
        <f t="shared" si="29"/>
        <v>0</v>
      </c>
      <c r="K140" s="130">
        <f t="shared" si="29"/>
        <v>0</v>
      </c>
      <c r="L140" s="130">
        <f t="shared" si="29"/>
        <v>0</v>
      </c>
      <c r="M140" s="130">
        <f t="shared" si="29"/>
        <v>0</v>
      </c>
      <c r="N140" s="130">
        <f t="shared" si="29"/>
        <v>0</v>
      </c>
      <c r="O140" s="130">
        <f t="shared" si="29"/>
        <v>0</v>
      </c>
      <c r="P140" s="130">
        <f t="shared" si="29"/>
        <v>0</v>
      </c>
      <c r="Q140" s="130">
        <f t="shared" si="29"/>
        <v>0</v>
      </c>
      <c r="R140" s="130">
        <f t="shared" si="29"/>
        <v>0</v>
      </c>
      <c r="S140" s="130">
        <f t="shared" si="29"/>
        <v>0</v>
      </c>
      <c r="T140" s="130">
        <f t="shared" si="29"/>
        <v>0</v>
      </c>
      <c r="U140" s="130">
        <f t="shared" si="29"/>
        <v>0</v>
      </c>
      <c r="V140" s="130">
        <f t="shared" si="29"/>
        <v>0</v>
      </c>
      <c r="W140" s="130">
        <f t="shared" si="29"/>
        <v>0</v>
      </c>
      <c r="X140" s="130">
        <f t="shared" si="29"/>
        <v>0</v>
      </c>
      <c r="Y140" s="130">
        <f t="shared" si="29"/>
        <v>0</v>
      </c>
      <c r="Z140" s="130">
        <f t="shared" si="29"/>
        <v>0</v>
      </c>
      <c r="AA140" s="130">
        <f t="shared" si="29"/>
        <v>0</v>
      </c>
      <c r="AB140" s="130">
        <f t="shared" si="29"/>
        <v>0</v>
      </c>
      <c r="AC140" s="130">
        <f t="shared" si="29"/>
        <v>0</v>
      </c>
      <c r="AD140" s="130">
        <f t="shared" si="29"/>
        <v>0</v>
      </c>
      <c r="AE140" s="130">
        <f t="shared" si="29"/>
        <v>0</v>
      </c>
      <c r="AF140" s="130">
        <f t="shared" si="29"/>
        <v>1</v>
      </c>
      <c r="AG140" s="130">
        <f t="shared" si="29"/>
        <v>1</v>
      </c>
      <c r="AH140" s="130">
        <f t="shared" si="29"/>
        <v>1</v>
      </c>
      <c r="AI140" s="130">
        <f t="shared" si="29"/>
        <v>1</v>
      </c>
      <c r="AJ140" s="49" t="str">
        <f t="shared" si="30"/>
        <v>VOL4</v>
      </c>
      <c r="AK140" s="62"/>
      <c r="AL140" s="62" t="str">
        <f t="shared" si="33"/>
        <v>0F</v>
      </c>
      <c r="AM140" s="64" t="str">
        <f t="shared" si="34"/>
        <v>00</v>
      </c>
      <c r="AN140" s="64" t="str">
        <f t="shared" si="35"/>
        <v>00</v>
      </c>
      <c r="AO140" s="64" t="str">
        <f t="shared" si="36"/>
        <v>00</v>
      </c>
      <c r="AQ140" t="str">
        <f t="shared" si="31"/>
        <v xml:space="preserve">    (U4)0x0000000FU,                                                           /* 04 VOL4                                            */</v>
      </c>
    </row>
    <row r="141" spans="1:43">
      <c r="B141" s="138"/>
      <c r="C141" s="49">
        <f t="shared" si="32"/>
        <v>5</v>
      </c>
      <c r="D141" s="130">
        <f t="shared" si="29"/>
        <v>0</v>
      </c>
      <c r="E141" s="130">
        <f t="shared" si="29"/>
        <v>0</v>
      </c>
      <c r="F141" s="130">
        <f t="shared" si="29"/>
        <v>0</v>
      </c>
      <c r="G141" s="130">
        <f t="shared" si="29"/>
        <v>0</v>
      </c>
      <c r="H141" s="130">
        <f t="shared" si="29"/>
        <v>0</v>
      </c>
      <c r="I141" s="130">
        <f t="shared" si="29"/>
        <v>0</v>
      </c>
      <c r="J141" s="130">
        <f t="shared" si="29"/>
        <v>0</v>
      </c>
      <c r="K141" s="130">
        <f t="shared" si="29"/>
        <v>0</v>
      </c>
      <c r="L141" s="130">
        <f t="shared" si="29"/>
        <v>0</v>
      </c>
      <c r="M141" s="130">
        <f t="shared" si="29"/>
        <v>0</v>
      </c>
      <c r="N141" s="130">
        <f t="shared" si="29"/>
        <v>0</v>
      </c>
      <c r="O141" s="130">
        <f t="shared" si="29"/>
        <v>0</v>
      </c>
      <c r="P141" s="130">
        <f t="shared" si="29"/>
        <v>0</v>
      </c>
      <c r="Q141" s="130">
        <f t="shared" si="29"/>
        <v>0</v>
      </c>
      <c r="R141" s="130">
        <f t="shared" si="29"/>
        <v>0</v>
      </c>
      <c r="S141" s="130">
        <f t="shared" si="29"/>
        <v>0</v>
      </c>
      <c r="T141" s="130">
        <f t="shared" si="29"/>
        <v>0</v>
      </c>
      <c r="U141" s="130">
        <f t="shared" si="29"/>
        <v>0</v>
      </c>
      <c r="V141" s="130">
        <f t="shared" si="29"/>
        <v>0</v>
      </c>
      <c r="W141" s="130">
        <f t="shared" si="29"/>
        <v>0</v>
      </c>
      <c r="X141" s="130">
        <f t="shared" si="29"/>
        <v>0</v>
      </c>
      <c r="Y141" s="130">
        <f t="shared" si="29"/>
        <v>0</v>
      </c>
      <c r="Z141" s="130">
        <f t="shared" si="29"/>
        <v>0</v>
      </c>
      <c r="AA141" s="130">
        <f t="shared" si="29"/>
        <v>0</v>
      </c>
      <c r="AB141" s="130">
        <f t="shared" si="29"/>
        <v>0</v>
      </c>
      <c r="AC141" s="130">
        <f t="shared" si="29"/>
        <v>0</v>
      </c>
      <c r="AD141" s="130">
        <f t="shared" si="29"/>
        <v>0</v>
      </c>
      <c r="AE141" s="130">
        <f t="shared" si="29"/>
        <v>0</v>
      </c>
      <c r="AF141" s="130">
        <f t="shared" si="29"/>
        <v>1</v>
      </c>
      <c r="AG141" s="130">
        <f t="shared" si="29"/>
        <v>1</v>
      </c>
      <c r="AH141" s="130">
        <f t="shared" si="29"/>
        <v>1</v>
      </c>
      <c r="AI141" s="130">
        <f t="shared" si="29"/>
        <v>1</v>
      </c>
      <c r="AJ141" s="49" t="str">
        <f t="shared" si="30"/>
        <v>VOL5</v>
      </c>
      <c r="AK141" s="62"/>
      <c r="AL141" s="62" t="str">
        <f t="shared" si="33"/>
        <v>0F</v>
      </c>
      <c r="AM141" s="64" t="str">
        <f t="shared" si="34"/>
        <v>00</v>
      </c>
      <c r="AN141" s="64" t="str">
        <f t="shared" si="35"/>
        <v>00</v>
      </c>
      <c r="AO141" s="64" t="str">
        <f t="shared" si="36"/>
        <v>00</v>
      </c>
      <c r="AQ141" t="str">
        <f t="shared" si="31"/>
        <v xml:space="preserve">    (U4)0x0000000FU,                                                           /* 05 VOL5                                            */</v>
      </c>
    </row>
    <row r="142" spans="1:43">
      <c r="B142" s="138"/>
      <c r="C142" s="49">
        <f t="shared" si="32"/>
        <v>6</v>
      </c>
      <c r="D142" s="130">
        <f t="shared" si="29"/>
        <v>0</v>
      </c>
      <c r="E142" s="130">
        <f t="shared" si="29"/>
        <v>0</v>
      </c>
      <c r="F142" s="130">
        <f t="shared" si="29"/>
        <v>0</v>
      </c>
      <c r="G142" s="130">
        <f t="shared" si="29"/>
        <v>0</v>
      </c>
      <c r="H142" s="130">
        <f t="shared" si="29"/>
        <v>0</v>
      </c>
      <c r="I142" s="130">
        <f t="shared" si="29"/>
        <v>0</v>
      </c>
      <c r="J142" s="130">
        <f t="shared" si="29"/>
        <v>0</v>
      </c>
      <c r="K142" s="130">
        <f t="shared" si="29"/>
        <v>0</v>
      </c>
      <c r="L142" s="130">
        <f t="shared" si="29"/>
        <v>0</v>
      </c>
      <c r="M142" s="130">
        <f t="shared" si="29"/>
        <v>0</v>
      </c>
      <c r="N142" s="130">
        <f t="shared" si="29"/>
        <v>0</v>
      </c>
      <c r="O142" s="130">
        <f t="shared" si="29"/>
        <v>0</v>
      </c>
      <c r="P142" s="130">
        <f t="shared" si="29"/>
        <v>0</v>
      </c>
      <c r="Q142" s="130">
        <f t="shared" si="29"/>
        <v>0</v>
      </c>
      <c r="R142" s="130">
        <f t="shared" si="29"/>
        <v>0</v>
      </c>
      <c r="S142" s="130">
        <f t="shared" si="29"/>
        <v>0</v>
      </c>
      <c r="T142" s="130">
        <f t="shared" si="29"/>
        <v>0</v>
      </c>
      <c r="U142" s="130">
        <f t="shared" si="29"/>
        <v>0</v>
      </c>
      <c r="V142" s="130">
        <f t="shared" si="29"/>
        <v>0</v>
      </c>
      <c r="W142" s="130">
        <f t="shared" si="29"/>
        <v>0</v>
      </c>
      <c r="X142" s="130">
        <f t="shared" si="29"/>
        <v>0</v>
      </c>
      <c r="Y142" s="130">
        <f t="shared" si="29"/>
        <v>0</v>
      </c>
      <c r="Z142" s="130">
        <f t="shared" si="29"/>
        <v>0</v>
      </c>
      <c r="AA142" s="130">
        <f t="shared" si="29"/>
        <v>0</v>
      </c>
      <c r="AB142" s="130">
        <f t="shared" si="29"/>
        <v>0</v>
      </c>
      <c r="AC142" s="130">
        <f t="shared" si="29"/>
        <v>0</v>
      </c>
      <c r="AD142" s="130">
        <f t="shared" si="29"/>
        <v>0</v>
      </c>
      <c r="AE142" s="130">
        <f t="shared" si="29"/>
        <v>0</v>
      </c>
      <c r="AF142" s="130">
        <f t="shared" si="29"/>
        <v>1</v>
      </c>
      <c r="AG142" s="130">
        <f t="shared" si="29"/>
        <v>1</v>
      </c>
      <c r="AH142" s="130">
        <f t="shared" si="29"/>
        <v>1</v>
      </c>
      <c r="AI142" s="130">
        <f t="shared" si="29"/>
        <v>1</v>
      </c>
      <c r="AJ142" s="49" t="str">
        <f t="shared" si="30"/>
        <v>VOL6</v>
      </c>
      <c r="AK142" s="62"/>
      <c r="AL142" s="62" t="str">
        <f t="shared" si="33"/>
        <v>0F</v>
      </c>
      <c r="AM142" s="64" t="str">
        <f t="shared" si="34"/>
        <v>00</v>
      </c>
      <c r="AN142" s="64" t="str">
        <f t="shared" si="35"/>
        <v>00</v>
      </c>
      <c r="AO142" s="64" t="str">
        <f t="shared" si="36"/>
        <v>00</v>
      </c>
      <c r="AQ142" t="str">
        <f t="shared" si="31"/>
        <v xml:space="preserve">    (U4)0x0000000FU,                                                           /* 06 VOL6                                            */</v>
      </c>
    </row>
    <row r="143" spans="1:43">
      <c r="B143" s="138"/>
      <c r="C143" s="49">
        <f t="shared" si="32"/>
        <v>7</v>
      </c>
      <c r="D143" s="130">
        <f t="shared" si="29"/>
        <v>0</v>
      </c>
      <c r="E143" s="130">
        <f t="shared" si="29"/>
        <v>0</v>
      </c>
      <c r="F143" s="130">
        <f t="shared" si="29"/>
        <v>0</v>
      </c>
      <c r="G143" s="130">
        <f t="shared" si="29"/>
        <v>0</v>
      </c>
      <c r="H143" s="130">
        <f t="shared" si="29"/>
        <v>0</v>
      </c>
      <c r="I143" s="130">
        <f t="shared" si="29"/>
        <v>0</v>
      </c>
      <c r="J143" s="130">
        <f t="shared" si="29"/>
        <v>0</v>
      </c>
      <c r="K143" s="130">
        <f t="shared" si="29"/>
        <v>0</v>
      </c>
      <c r="L143" s="130">
        <f t="shared" si="29"/>
        <v>0</v>
      </c>
      <c r="M143" s="130">
        <f t="shared" si="29"/>
        <v>0</v>
      </c>
      <c r="N143" s="130">
        <f t="shared" si="29"/>
        <v>0</v>
      </c>
      <c r="O143" s="130">
        <f t="shared" si="29"/>
        <v>0</v>
      </c>
      <c r="P143" s="130">
        <f t="shared" si="29"/>
        <v>0</v>
      </c>
      <c r="Q143" s="130">
        <f t="shared" si="29"/>
        <v>0</v>
      </c>
      <c r="R143" s="130">
        <f t="shared" si="29"/>
        <v>0</v>
      </c>
      <c r="S143" s="130">
        <f t="shared" si="29"/>
        <v>0</v>
      </c>
      <c r="T143" s="130">
        <f t="shared" si="29"/>
        <v>0</v>
      </c>
      <c r="U143" s="130">
        <f t="shared" si="29"/>
        <v>0</v>
      </c>
      <c r="V143" s="130">
        <f t="shared" si="29"/>
        <v>0</v>
      </c>
      <c r="W143" s="130">
        <f t="shared" si="29"/>
        <v>0</v>
      </c>
      <c r="X143" s="130">
        <f t="shared" si="29"/>
        <v>0</v>
      </c>
      <c r="Y143" s="130">
        <f t="shared" si="29"/>
        <v>0</v>
      </c>
      <c r="Z143" s="130">
        <f t="shared" si="29"/>
        <v>0</v>
      </c>
      <c r="AA143" s="130">
        <f t="shared" si="29"/>
        <v>0</v>
      </c>
      <c r="AB143" s="130">
        <f t="shared" si="29"/>
        <v>0</v>
      </c>
      <c r="AC143" s="130">
        <f t="shared" si="29"/>
        <v>0</v>
      </c>
      <c r="AD143" s="130">
        <f t="shared" si="29"/>
        <v>0</v>
      </c>
      <c r="AE143" s="130">
        <f t="shared" si="29"/>
        <v>0</v>
      </c>
      <c r="AF143" s="130">
        <f t="shared" si="29"/>
        <v>1</v>
      </c>
      <c r="AG143" s="130">
        <f t="shared" si="29"/>
        <v>1</v>
      </c>
      <c r="AH143" s="130">
        <f t="shared" si="29"/>
        <v>1</v>
      </c>
      <c r="AI143" s="130">
        <f t="shared" ref="AI143" si="37">IF(OR(AI13=0,AI13=1),1,0)</f>
        <v>1</v>
      </c>
      <c r="AJ143" s="49" t="str">
        <f t="shared" si="30"/>
        <v>VOL7</v>
      </c>
      <c r="AK143" s="62"/>
      <c r="AL143" s="62" t="str">
        <f t="shared" si="33"/>
        <v>0F</v>
      </c>
      <c r="AM143" s="64" t="str">
        <f t="shared" si="34"/>
        <v>00</v>
      </c>
      <c r="AN143" s="64" t="str">
        <f t="shared" si="35"/>
        <v>00</v>
      </c>
      <c r="AO143" s="64" t="str">
        <f t="shared" si="36"/>
        <v>00</v>
      </c>
      <c r="AQ143" t="str">
        <f t="shared" si="31"/>
        <v xml:space="preserve">    (U4)0x0000000FU,                                                           /* 07 VOL7                                            */</v>
      </c>
    </row>
    <row r="144" spans="1:43">
      <c r="B144" s="138"/>
      <c r="C144" s="49">
        <f t="shared" si="32"/>
        <v>8</v>
      </c>
      <c r="D144" s="130">
        <f t="shared" ref="D144:AI151" si="38">IF(OR(D14=0,D14=1),1,0)</f>
        <v>0</v>
      </c>
      <c r="E144" s="130">
        <f t="shared" si="38"/>
        <v>0</v>
      </c>
      <c r="F144" s="130">
        <f t="shared" si="38"/>
        <v>0</v>
      </c>
      <c r="G144" s="130">
        <f t="shared" si="38"/>
        <v>0</v>
      </c>
      <c r="H144" s="130">
        <f t="shared" si="38"/>
        <v>0</v>
      </c>
      <c r="I144" s="130">
        <f t="shared" si="38"/>
        <v>0</v>
      </c>
      <c r="J144" s="130">
        <f t="shared" si="38"/>
        <v>0</v>
      </c>
      <c r="K144" s="130">
        <f t="shared" si="38"/>
        <v>0</v>
      </c>
      <c r="L144" s="130">
        <f t="shared" si="38"/>
        <v>0</v>
      </c>
      <c r="M144" s="130">
        <f t="shared" si="38"/>
        <v>0</v>
      </c>
      <c r="N144" s="130">
        <f t="shared" si="38"/>
        <v>0</v>
      </c>
      <c r="O144" s="130">
        <f t="shared" si="38"/>
        <v>0</v>
      </c>
      <c r="P144" s="130">
        <f t="shared" si="38"/>
        <v>0</v>
      </c>
      <c r="Q144" s="130">
        <f t="shared" si="38"/>
        <v>0</v>
      </c>
      <c r="R144" s="130">
        <f t="shared" si="38"/>
        <v>0</v>
      </c>
      <c r="S144" s="130">
        <f t="shared" si="38"/>
        <v>0</v>
      </c>
      <c r="T144" s="130">
        <f t="shared" si="38"/>
        <v>0</v>
      </c>
      <c r="U144" s="130">
        <f t="shared" si="38"/>
        <v>0</v>
      </c>
      <c r="V144" s="130">
        <f t="shared" si="38"/>
        <v>0</v>
      </c>
      <c r="W144" s="130">
        <f t="shared" si="38"/>
        <v>0</v>
      </c>
      <c r="X144" s="130">
        <f t="shared" si="38"/>
        <v>0</v>
      </c>
      <c r="Y144" s="130">
        <f t="shared" si="38"/>
        <v>0</v>
      </c>
      <c r="Z144" s="130">
        <f t="shared" si="38"/>
        <v>0</v>
      </c>
      <c r="AA144" s="130">
        <f t="shared" si="38"/>
        <v>0</v>
      </c>
      <c r="AB144" s="130">
        <f t="shared" si="38"/>
        <v>0</v>
      </c>
      <c r="AC144" s="130">
        <f t="shared" si="38"/>
        <v>0</v>
      </c>
      <c r="AD144" s="130">
        <f t="shared" si="38"/>
        <v>0</v>
      </c>
      <c r="AE144" s="130">
        <f t="shared" si="38"/>
        <v>0</v>
      </c>
      <c r="AF144" s="130">
        <f t="shared" si="38"/>
        <v>1</v>
      </c>
      <c r="AG144" s="130">
        <f t="shared" si="38"/>
        <v>1</v>
      </c>
      <c r="AH144" s="130">
        <f t="shared" si="38"/>
        <v>1</v>
      </c>
      <c r="AI144" s="130">
        <f t="shared" si="38"/>
        <v>1</v>
      </c>
      <c r="AJ144" s="49" t="str">
        <f t="shared" si="30"/>
        <v>UNKNOWN</v>
      </c>
      <c r="AK144" s="62"/>
      <c r="AL144" s="62" t="str">
        <f t="shared" si="33"/>
        <v>0F</v>
      </c>
      <c r="AM144" s="64" t="str">
        <f t="shared" si="34"/>
        <v>00</v>
      </c>
      <c r="AN144" s="64" t="str">
        <f t="shared" si="35"/>
        <v>00</v>
      </c>
      <c r="AO144" s="64" t="str">
        <f t="shared" si="36"/>
        <v>00</v>
      </c>
      <c r="AQ144" t="str">
        <f t="shared" si="31"/>
        <v xml:space="preserve">    (U4)0x0000000FU,                                                           /* 08 UNKNOWN                                         */</v>
      </c>
    </row>
    <row r="145" spans="2:43">
      <c r="B145" s="138"/>
      <c r="C145" s="49">
        <f t="shared" si="32"/>
        <v>9</v>
      </c>
      <c r="D145" s="130">
        <f t="shared" si="38"/>
        <v>0</v>
      </c>
      <c r="E145" s="130">
        <f t="shared" si="38"/>
        <v>0</v>
      </c>
      <c r="F145" s="130">
        <f t="shared" si="38"/>
        <v>0</v>
      </c>
      <c r="G145" s="130">
        <f t="shared" si="38"/>
        <v>0</v>
      </c>
      <c r="H145" s="130">
        <f t="shared" si="38"/>
        <v>0</v>
      </c>
      <c r="I145" s="130">
        <f t="shared" si="38"/>
        <v>0</v>
      </c>
      <c r="J145" s="130">
        <f t="shared" si="38"/>
        <v>0</v>
      </c>
      <c r="K145" s="130">
        <f t="shared" si="38"/>
        <v>0</v>
      </c>
      <c r="L145" s="130">
        <f t="shared" si="38"/>
        <v>0</v>
      </c>
      <c r="M145" s="130">
        <f t="shared" si="38"/>
        <v>0</v>
      </c>
      <c r="N145" s="130">
        <f t="shared" si="38"/>
        <v>0</v>
      </c>
      <c r="O145" s="130">
        <f t="shared" si="38"/>
        <v>0</v>
      </c>
      <c r="P145" s="130">
        <f t="shared" si="38"/>
        <v>0</v>
      </c>
      <c r="Q145" s="130">
        <f t="shared" si="38"/>
        <v>0</v>
      </c>
      <c r="R145" s="130">
        <f t="shared" si="38"/>
        <v>0</v>
      </c>
      <c r="S145" s="130">
        <f t="shared" si="38"/>
        <v>0</v>
      </c>
      <c r="T145" s="130">
        <f t="shared" si="38"/>
        <v>0</v>
      </c>
      <c r="U145" s="130">
        <f t="shared" si="38"/>
        <v>0</v>
      </c>
      <c r="V145" s="130">
        <f t="shared" si="38"/>
        <v>0</v>
      </c>
      <c r="W145" s="130">
        <f t="shared" si="38"/>
        <v>0</v>
      </c>
      <c r="X145" s="130">
        <f t="shared" si="38"/>
        <v>0</v>
      </c>
      <c r="Y145" s="130">
        <f t="shared" si="38"/>
        <v>0</v>
      </c>
      <c r="Z145" s="130">
        <f t="shared" si="38"/>
        <v>0</v>
      </c>
      <c r="AA145" s="130">
        <f t="shared" si="38"/>
        <v>0</v>
      </c>
      <c r="AB145" s="130">
        <f t="shared" si="38"/>
        <v>0</v>
      </c>
      <c r="AC145" s="130">
        <f t="shared" si="38"/>
        <v>0</v>
      </c>
      <c r="AD145" s="130">
        <f t="shared" si="38"/>
        <v>0</v>
      </c>
      <c r="AE145" s="130">
        <f t="shared" si="38"/>
        <v>0</v>
      </c>
      <c r="AF145" s="130">
        <f t="shared" si="38"/>
        <v>1</v>
      </c>
      <c r="AG145" s="130">
        <f t="shared" si="38"/>
        <v>1</v>
      </c>
      <c r="AH145" s="130">
        <f t="shared" si="38"/>
        <v>1</v>
      </c>
      <c r="AI145" s="130">
        <f t="shared" si="38"/>
        <v>1</v>
      </c>
      <c r="AJ145" s="49" t="str">
        <f t="shared" si="30"/>
        <v>UNKNOWN</v>
      </c>
      <c r="AK145" s="62"/>
      <c r="AL145" s="62" t="str">
        <f t="shared" si="33"/>
        <v>0F</v>
      </c>
      <c r="AM145" s="64" t="str">
        <f t="shared" si="34"/>
        <v>00</v>
      </c>
      <c r="AN145" s="64" t="str">
        <f t="shared" si="35"/>
        <v>00</v>
      </c>
      <c r="AO145" s="64" t="str">
        <f t="shared" si="36"/>
        <v>00</v>
      </c>
      <c r="AQ145" t="str">
        <f t="shared" si="31"/>
        <v xml:space="preserve">    (U4)0x0000000FU,                                                           /* 09 UNKNOWN                                         */</v>
      </c>
    </row>
    <row r="146" spans="2:43">
      <c r="B146" s="138"/>
      <c r="C146" s="49">
        <f t="shared" si="32"/>
        <v>10</v>
      </c>
      <c r="D146" s="130">
        <f t="shared" si="38"/>
        <v>0</v>
      </c>
      <c r="E146" s="130">
        <f t="shared" si="38"/>
        <v>0</v>
      </c>
      <c r="F146" s="130">
        <f t="shared" si="38"/>
        <v>0</v>
      </c>
      <c r="G146" s="130">
        <f t="shared" si="38"/>
        <v>0</v>
      </c>
      <c r="H146" s="130">
        <f t="shared" si="38"/>
        <v>0</v>
      </c>
      <c r="I146" s="130">
        <f t="shared" si="38"/>
        <v>0</v>
      </c>
      <c r="J146" s="130">
        <f t="shared" si="38"/>
        <v>0</v>
      </c>
      <c r="K146" s="130">
        <f t="shared" si="38"/>
        <v>0</v>
      </c>
      <c r="L146" s="130">
        <f t="shared" si="38"/>
        <v>0</v>
      </c>
      <c r="M146" s="130">
        <f t="shared" si="38"/>
        <v>0</v>
      </c>
      <c r="N146" s="130">
        <f t="shared" si="38"/>
        <v>0</v>
      </c>
      <c r="O146" s="130">
        <f t="shared" si="38"/>
        <v>0</v>
      </c>
      <c r="P146" s="130">
        <f t="shared" si="38"/>
        <v>0</v>
      </c>
      <c r="Q146" s="130">
        <f t="shared" si="38"/>
        <v>0</v>
      </c>
      <c r="R146" s="130">
        <f t="shared" si="38"/>
        <v>0</v>
      </c>
      <c r="S146" s="130">
        <f t="shared" si="38"/>
        <v>0</v>
      </c>
      <c r="T146" s="130">
        <f t="shared" si="38"/>
        <v>0</v>
      </c>
      <c r="U146" s="130">
        <f t="shared" si="38"/>
        <v>0</v>
      </c>
      <c r="V146" s="130">
        <f t="shared" si="38"/>
        <v>0</v>
      </c>
      <c r="W146" s="130">
        <f t="shared" si="38"/>
        <v>0</v>
      </c>
      <c r="X146" s="130">
        <f t="shared" si="38"/>
        <v>0</v>
      </c>
      <c r="Y146" s="130">
        <f t="shared" si="38"/>
        <v>0</v>
      </c>
      <c r="Z146" s="130">
        <f t="shared" si="38"/>
        <v>0</v>
      </c>
      <c r="AA146" s="130">
        <f t="shared" si="38"/>
        <v>0</v>
      </c>
      <c r="AB146" s="130">
        <f t="shared" si="38"/>
        <v>0</v>
      </c>
      <c r="AC146" s="130">
        <f t="shared" si="38"/>
        <v>0</v>
      </c>
      <c r="AD146" s="130">
        <f t="shared" si="38"/>
        <v>0</v>
      </c>
      <c r="AE146" s="130">
        <f t="shared" si="38"/>
        <v>0</v>
      </c>
      <c r="AF146" s="130">
        <f t="shared" si="38"/>
        <v>1</v>
      </c>
      <c r="AG146" s="130">
        <f t="shared" si="38"/>
        <v>1</v>
      </c>
      <c r="AH146" s="130">
        <f t="shared" si="38"/>
        <v>1</v>
      </c>
      <c r="AI146" s="130">
        <f t="shared" si="38"/>
        <v>1</v>
      </c>
      <c r="AJ146" s="49" t="str">
        <f t="shared" si="30"/>
        <v>UNKNOWN</v>
      </c>
      <c r="AK146" s="62"/>
      <c r="AL146" s="62" t="str">
        <f t="shared" si="33"/>
        <v>0F</v>
      </c>
      <c r="AM146" s="64" t="str">
        <f t="shared" si="34"/>
        <v>00</v>
      </c>
      <c r="AN146" s="64" t="str">
        <f t="shared" si="35"/>
        <v>00</v>
      </c>
      <c r="AO146" s="64" t="str">
        <f t="shared" si="36"/>
        <v>00</v>
      </c>
      <c r="AQ146" t="str">
        <f t="shared" si="31"/>
        <v xml:space="preserve">    (U4)0x0000000FU,                                                           /* 10 UNKNOWN                                         */</v>
      </c>
    </row>
    <row r="147" spans="2:43">
      <c r="B147" s="138"/>
      <c r="C147" s="49">
        <f t="shared" si="32"/>
        <v>11</v>
      </c>
      <c r="D147" s="130">
        <f t="shared" si="38"/>
        <v>0</v>
      </c>
      <c r="E147" s="130">
        <f t="shared" si="38"/>
        <v>0</v>
      </c>
      <c r="F147" s="130">
        <f t="shared" si="38"/>
        <v>0</v>
      </c>
      <c r="G147" s="130">
        <f t="shared" si="38"/>
        <v>0</v>
      </c>
      <c r="H147" s="130">
        <f t="shared" si="38"/>
        <v>0</v>
      </c>
      <c r="I147" s="130">
        <f t="shared" si="38"/>
        <v>0</v>
      </c>
      <c r="J147" s="130">
        <f t="shared" si="38"/>
        <v>0</v>
      </c>
      <c r="K147" s="130">
        <f t="shared" si="38"/>
        <v>0</v>
      </c>
      <c r="L147" s="130">
        <f t="shared" si="38"/>
        <v>0</v>
      </c>
      <c r="M147" s="130">
        <f t="shared" si="38"/>
        <v>0</v>
      </c>
      <c r="N147" s="130">
        <f t="shared" si="38"/>
        <v>0</v>
      </c>
      <c r="O147" s="130">
        <f t="shared" si="38"/>
        <v>0</v>
      </c>
      <c r="P147" s="130">
        <f t="shared" si="38"/>
        <v>0</v>
      </c>
      <c r="Q147" s="130">
        <f t="shared" si="38"/>
        <v>0</v>
      </c>
      <c r="R147" s="130">
        <f t="shared" si="38"/>
        <v>0</v>
      </c>
      <c r="S147" s="130">
        <f t="shared" si="38"/>
        <v>0</v>
      </c>
      <c r="T147" s="130">
        <f t="shared" si="38"/>
        <v>0</v>
      </c>
      <c r="U147" s="130">
        <f t="shared" si="38"/>
        <v>0</v>
      </c>
      <c r="V147" s="130">
        <f t="shared" si="38"/>
        <v>0</v>
      </c>
      <c r="W147" s="130">
        <f t="shared" si="38"/>
        <v>0</v>
      </c>
      <c r="X147" s="130">
        <f t="shared" si="38"/>
        <v>0</v>
      </c>
      <c r="Y147" s="130">
        <f t="shared" si="38"/>
        <v>0</v>
      </c>
      <c r="Z147" s="130">
        <f t="shared" si="38"/>
        <v>0</v>
      </c>
      <c r="AA147" s="130">
        <f t="shared" si="38"/>
        <v>0</v>
      </c>
      <c r="AB147" s="130">
        <f t="shared" si="38"/>
        <v>0</v>
      </c>
      <c r="AC147" s="130">
        <f t="shared" si="38"/>
        <v>0</v>
      </c>
      <c r="AD147" s="130">
        <f t="shared" si="38"/>
        <v>0</v>
      </c>
      <c r="AE147" s="130">
        <f t="shared" si="38"/>
        <v>0</v>
      </c>
      <c r="AF147" s="130">
        <f t="shared" si="38"/>
        <v>1</v>
      </c>
      <c r="AG147" s="130">
        <f t="shared" si="38"/>
        <v>1</v>
      </c>
      <c r="AH147" s="130">
        <f t="shared" si="38"/>
        <v>1</v>
      </c>
      <c r="AI147" s="130">
        <f t="shared" si="38"/>
        <v>1</v>
      </c>
      <c r="AJ147" s="49" t="str">
        <f t="shared" si="30"/>
        <v>UNKNOWN</v>
      </c>
      <c r="AK147" s="62"/>
      <c r="AL147" s="62" t="str">
        <f t="shared" si="33"/>
        <v>0F</v>
      </c>
      <c r="AM147" s="64" t="str">
        <f t="shared" si="34"/>
        <v>00</v>
      </c>
      <c r="AN147" s="64" t="str">
        <f t="shared" si="35"/>
        <v>00</v>
      </c>
      <c r="AO147" s="64" t="str">
        <f t="shared" si="36"/>
        <v>00</v>
      </c>
      <c r="AQ147" t="str">
        <f t="shared" si="31"/>
        <v xml:space="preserve">    (U4)0x0000000FU,                                                           /* 11 UNKNOWN                                         */</v>
      </c>
    </row>
    <row r="148" spans="2:43">
      <c r="B148" s="138"/>
      <c r="C148" s="49">
        <f t="shared" si="32"/>
        <v>12</v>
      </c>
      <c r="D148" s="130">
        <f t="shared" si="38"/>
        <v>0</v>
      </c>
      <c r="E148" s="130">
        <f t="shared" si="38"/>
        <v>0</v>
      </c>
      <c r="F148" s="130">
        <f t="shared" si="38"/>
        <v>0</v>
      </c>
      <c r="G148" s="130">
        <f t="shared" si="38"/>
        <v>0</v>
      </c>
      <c r="H148" s="130">
        <f t="shared" si="38"/>
        <v>0</v>
      </c>
      <c r="I148" s="130">
        <f t="shared" si="38"/>
        <v>0</v>
      </c>
      <c r="J148" s="130">
        <f t="shared" si="38"/>
        <v>0</v>
      </c>
      <c r="K148" s="130">
        <f t="shared" si="38"/>
        <v>0</v>
      </c>
      <c r="L148" s="130">
        <f t="shared" si="38"/>
        <v>0</v>
      </c>
      <c r="M148" s="130">
        <f t="shared" si="38"/>
        <v>0</v>
      </c>
      <c r="N148" s="130">
        <f t="shared" si="38"/>
        <v>0</v>
      </c>
      <c r="O148" s="130">
        <f t="shared" si="38"/>
        <v>0</v>
      </c>
      <c r="P148" s="130">
        <f t="shared" si="38"/>
        <v>0</v>
      </c>
      <c r="Q148" s="130">
        <f t="shared" si="38"/>
        <v>0</v>
      </c>
      <c r="R148" s="130">
        <f t="shared" si="38"/>
        <v>0</v>
      </c>
      <c r="S148" s="130">
        <f t="shared" si="38"/>
        <v>0</v>
      </c>
      <c r="T148" s="130">
        <f t="shared" si="38"/>
        <v>0</v>
      </c>
      <c r="U148" s="130">
        <f t="shared" si="38"/>
        <v>0</v>
      </c>
      <c r="V148" s="130">
        <f t="shared" si="38"/>
        <v>0</v>
      </c>
      <c r="W148" s="130">
        <f t="shared" si="38"/>
        <v>0</v>
      </c>
      <c r="X148" s="130">
        <f t="shared" si="38"/>
        <v>0</v>
      </c>
      <c r="Y148" s="130">
        <f t="shared" si="38"/>
        <v>0</v>
      </c>
      <c r="Z148" s="130">
        <f t="shared" si="38"/>
        <v>0</v>
      </c>
      <c r="AA148" s="130">
        <f t="shared" si="38"/>
        <v>0</v>
      </c>
      <c r="AB148" s="130">
        <f t="shared" si="38"/>
        <v>0</v>
      </c>
      <c r="AC148" s="130">
        <f t="shared" si="38"/>
        <v>0</v>
      </c>
      <c r="AD148" s="130">
        <f t="shared" si="38"/>
        <v>0</v>
      </c>
      <c r="AE148" s="130">
        <f t="shared" si="38"/>
        <v>0</v>
      </c>
      <c r="AF148" s="130">
        <f t="shared" si="38"/>
        <v>1</v>
      </c>
      <c r="AG148" s="130">
        <f t="shared" si="38"/>
        <v>1</v>
      </c>
      <c r="AH148" s="130">
        <f t="shared" si="38"/>
        <v>1</v>
      </c>
      <c r="AI148" s="130">
        <f t="shared" si="38"/>
        <v>1</v>
      </c>
      <c r="AJ148" s="49" t="str">
        <f t="shared" si="30"/>
        <v>UNKNOWN</v>
      </c>
      <c r="AK148" s="62"/>
      <c r="AL148" s="62" t="str">
        <f t="shared" si="33"/>
        <v>0F</v>
      </c>
      <c r="AM148" s="64" t="str">
        <f t="shared" si="34"/>
        <v>00</v>
      </c>
      <c r="AN148" s="64" t="str">
        <f t="shared" si="35"/>
        <v>00</v>
      </c>
      <c r="AO148" s="64" t="str">
        <f t="shared" si="36"/>
        <v>00</v>
      </c>
      <c r="AQ148" t="str">
        <f t="shared" si="31"/>
        <v xml:space="preserve">    (U4)0x0000000FU,                                                           /* 12 UNKNOWN                                         */</v>
      </c>
    </row>
    <row r="149" spans="2:43">
      <c r="B149" s="138"/>
      <c r="C149" s="49">
        <f t="shared" si="32"/>
        <v>13</v>
      </c>
      <c r="D149" s="130">
        <f t="shared" si="38"/>
        <v>0</v>
      </c>
      <c r="E149" s="130">
        <f t="shared" si="38"/>
        <v>0</v>
      </c>
      <c r="F149" s="130">
        <f t="shared" si="38"/>
        <v>0</v>
      </c>
      <c r="G149" s="130">
        <f t="shared" si="38"/>
        <v>0</v>
      </c>
      <c r="H149" s="130">
        <f t="shared" si="38"/>
        <v>0</v>
      </c>
      <c r="I149" s="130">
        <f t="shared" si="38"/>
        <v>0</v>
      </c>
      <c r="J149" s="130">
        <f t="shared" si="38"/>
        <v>0</v>
      </c>
      <c r="K149" s="130">
        <f t="shared" si="38"/>
        <v>0</v>
      </c>
      <c r="L149" s="130">
        <f t="shared" si="38"/>
        <v>0</v>
      </c>
      <c r="M149" s="130">
        <f t="shared" si="38"/>
        <v>0</v>
      </c>
      <c r="N149" s="130">
        <f t="shared" si="38"/>
        <v>0</v>
      </c>
      <c r="O149" s="130">
        <f t="shared" si="38"/>
        <v>0</v>
      </c>
      <c r="P149" s="130">
        <f t="shared" si="38"/>
        <v>0</v>
      </c>
      <c r="Q149" s="130">
        <f t="shared" si="38"/>
        <v>0</v>
      </c>
      <c r="R149" s="130">
        <f t="shared" si="38"/>
        <v>0</v>
      </c>
      <c r="S149" s="130">
        <f t="shared" si="38"/>
        <v>0</v>
      </c>
      <c r="T149" s="130">
        <f t="shared" si="38"/>
        <v>0</v>
      </c>
      <c r="U149" s="130">
        <f t="shared" si="38"/>
        <v>0</v>
      </c>
      <c r="V149" s="130">
        <f t="shared" si="38"/>
        <v>0</v>
      </c>
      <c r="W149" s="130">
        <f t="shared" si="38"/>
        <v>0</v>
      </c>
      <c r="X149" s="130">
        <f t="shared" si="38"/>
        <v>0</v>
      </c>
      <c r="Y149" s="130">
        <f t="shared" si="38"/>
        <v>0</v>
      </c>
      <c r="Z149" s="130">
        <f t="shared" si="38"/>
        <v>0</v>
      </c>
      <c r="AA149" s="130">
        <f t="shared" si="38"/>
        <v>0</v>
      </c>
      <c r="AB149" s="130">
        <f t="shared" si="38"/>
        <v>0</v>
      </c>
      <c r="AC149" s="130">
        <f t="shared" si="38"/>
        <v>0</v>
      </c>
      <c r="AD149" s="130">
        <f t="shared" si="38"/>
        <v>0</v>
      </c>
      <c r="AE149" s="130">
        <f t="shared" si="38"/>
        <v>0</v>
      </c>
      <c r="AF149" s="130">
        <f t="shared" si="38"/>
        <v>1</v>
      </c>
      <c r="AG149" s="130">
        <f t="shared" si="38"/>
        <v>1</v>
      </c>
      <c r="AH149" s="130">
        <f t="shared" si="38"/>
        <v>1</v>
      </c>
      <c r="AI149" s="130">
        <f t="shared" si="38"/>
        <v>1</v>
      </c>
      <c r="AJ149" s="49" t="str">
        <f t="shared" si="30"/>
        <v>UNKNOWN</v>
      </c>
      <c r="AK149" s="62"/>
      <c r="AL149" s="62" t="str">
        <f t="shared" si="33"/>
        <v>0F</v>
      </c>
      <c r="AM149" s="64" t="str">
        <f t="shared" si="34"/>
        <v>00</v>
      </c>
      <c r="AN149" s="64" t="str">
        <f t="shared" si="35"/>
        <v>00</v>
      </c>
      <c r="AO149" s="64" t="str">
        <f t="shared" si="36"/>
        <v>00</v>
      </c>
      <c r="AQ149" t="str">
        <f t="shared" si="31"/>
        <v xml:space="preserve">    (U4)0x0000000FU,                                                           /* 13 UNKNOWN                                         */</v>
      </c>
    </row>
    <row r="150" spans="2:43">
      <c r="B150" s="138"/>
      <c r="C150" s="49">
        <f t="shared" si="32"/>
        <v>14</v>
      </c>
      <c r="D150" s="130">
        <f t="shared" si="38"/>
        <v>0</v>
      </c>
      <c r="E150" s="130">
        <f t="shared" si="38"/>
        <v>0</v>
      </c>
      <c r="F150" s="130">
        <f t="shared" si="38"/>
        <v>0</v>
      </c>
      <c r="G150" s="130">
        <f t="shared" si="38"/>
        <v>0</v>
      </c>
      <c r="H150" s="130">
        <f t="shared" si="38"/>
        <v>0</v>
      </c>
      <c r="I150" s="130">
        <f t="shared" si="38"/>
        <v>0</v>
      </c>
      <c r="J150" s="130">
        <f t="shared" si="38"/>
        <v>0</v>
      </c>
      <c r="K150" s="130">
        <f t="shared" si="38"/>
        <v>0</v>
      </c>
      <c r="L150" s="130">
        <f t="shared" si="38"/>
        <v>0</v>
      </c>
      <c r="M150" s="130">
        <f t="shared" si="38"/>
        <v>0</v>
      </c>
      <c r="N150" s="130">
        <f t="shared" si="38"/>
        <v>0</v>
      </c>
      <c r="O150" s="130">
        <f t="shared" si="38"/>
        <v>0</v>
      </c>
      <c r="P150" s="130">
        <f t="shared" si="38"/>
        <v>0</v>
      </c>
      <c r="Q150" s="130">
        <f t="shared" si="38"/>
        <v>0</v>
      </c>
      <c r="R150" s="130">
        <f t="shared" si="38"/>
        <v>0</v>
      </c>
      <c r="S150" s="130">
        <f t="shared" si="38"/>
        <v>0</v>
      </c>
      <c r="T150" s="130">
        <f t="shared" si="38"/>
        <v>0</v>
      </c>
      <c r="U150" s="130">
        <f t="shared" si="38"/>
        <v>0</v>
      </c>
      <c r="V150" s="130">
        <f t="shared" si="38"/>
        <v>0</v>
      </c>
      <c r="W150" s="130">
        <f t="shared" si="38"/>
        <v>0</v>
      </c>
      <c r="X150" s="130">
        <f t="shared" si="38"/>
        <v>0</v>
      </c>
      <c r="Y150" s="130">
        <f t="shared" si="38"/>
        <v>0</v>
      </c>
      <c r="Z150" s="130">
        <f t="shared" si="38"/>
        <v>0</v>
      </c>
      <c r="AA150" s="130">
        <f t="shared" si="38"/>
        <v>0</v>
      </c>
      <c r="AB150" s="130">
        <f t="shared" si="38"/>
        <v>0</v>
      </c>
      <c r="AC150" s="130">
        <f t="shared" si="38"/>
        <v>0</v>
      </c>
      <c r="AD150" s="130">
        <f t="shared" si="38"/>
        <v>0</v>
      </c>
      <c r="AE150" s="130">
        <f t="shared" si="38"/>
        <v>0</v>
      </c>
      <c r="AF150" s="130">
        <f t="shared" si="38"/>
        <v>1</v>
      </c>
      <c r="AG150" s="130">
        <f t="shared" si="38"/>
        <v>1</v>
      </c>
      <c r="AH150" s="130">
        <f t="shared" si="38"/>
        <v>1</v>
      </c>
      <c r="AI150" s="130">
        <f t="shared" si="38"/>
        <v>1</v>
      </c>
      <c r="AJ150" s="49" t="str">
        <f t="shared" si="30"/>
        <v>UNKNOWN</v>
      </c>
      <c r="AK150" s="62"/>
      <c r="AL150" s="62" t="str">
        <f t="shared" si="33"/>
        <v>0F</v>
      </c>
      <c r="AM150" s="64" t="str">
        <f t="shared" si="34"/>
        <v>00</v>
      </c>
      <c r="AN150" s="64" t="str">
        <f t="shared" si="35"/>
        <v>00</v>
      </c>
      <c r="AO150" s="64" t="str">
        <f t="shared" si="36"/>
        <v>00</v>
      </c>
      <c r="AQ150" t="str">
        <f t="shared" si="31"/>
        <v xml:space="preserve">    (U4)0x0000000FU,                                                           /* 14 UNKNOWN                                         */</v>
      </c>
    </row>
    <row r="151" spans="2:43">
      <c r="B151" s="138"/>
      <c r="C151" s="49">
        <f t="shared" si="32"/>
        <v>15</v>
      </c>
      <c r="D151" s="130">
        <f t="shared" si="38"/>
        <v>0</v>
      </c>
      <c r="E151" s="130">
        <f t="shared" si="38"/>
        <v>0</v>
      </c>
      <c r="F151" s="130">
        <f t="shared" si="38"/>
        <v>0</v>
      </c>
      <c r="G151" s="130">
        <f t="shared" si="38"/>
        <v>0</v>
      </c>
      <c r="H151" s="130">
        <f t="shared" si="38"/>
        <v>0</v>
      </c>
      <c r="I151" s="130">
        <f t="shared" si="38"/>
        <v>0</v>
      </c>
      <c r="J151" s="130">
        <f t="shared" si="38"/>
        <v>0</v>
      </c>
      <c r="K151" s="130">
        <f t="shared" si="38"/>
        <v>0</v>
      </c>
      <c r="L151" s="130">
        <f t="shared" si="38"/>
        <v>0</v>
      </c>
      <c r="M151" s="130">
        <f t="shared" si="38"/>
        <v>0</v>
      </c>
      <c r="N151" s="130">
        <f t="shared" si="38"/>
        <v>0</v>
      </c>
      <c r="O151" s="130">
        <f t="shared" si="38"/>
        <v>0</v>
      </c>
      <c r="P151" s="130">
        <f t="shared" si="38"/>
        <v>0</v>
      </c>
      <c r="Q151" s="130">
        <f t="shared" si="38"/>
        <v>0</v>
      </c>
      <c r="R151" s="130">
        <f t="shared" si="38"/>
        <v>0</v>
      </c>
      <c r="S151" s="130">
        <f t="shared" si="38"/>
        <v>0</v>
      </c>
      <c r="T151" s="130">
        <f t="shared" si="38"/>
        <v>0</v>
      </c>
      <c r="U151" s="130">
        <f t="shared" si="38"/>
        <v>0</v>
      </c>
      <c r="V151" s="130">
        <f t="shared" si="38"/>
        <v>0</v>
      </c>
      <c r="W151" s="130">
        <f t="shared" si="38"/>
        <v>0</v>
      </c>
      <c r="X151" s="130">
        <f t="shared" si="38"/>
        <v>0</v>
      </c>
      <c r="Y151" s="130">
        <f t="shared" si="38"/>
        <v>0</v>
      </c>
      <c r="Z151" s="130">
        <f t="shared" si="38"/>
        <v>0</v>
      </c>
      <c r="AA151" s="130">
        <f t="shared" si="38"/>
        <v>0</v>
      </c>
      <c r="AB151" s="130">
        <f t="shared" si="38"/>
        <v>0</v>
      </c>
      <c r="AC151" s="130">
        <f t="shared" si="38"/>
        <v>0</v>
      </c>
      <c r="AD151" s="130">
        <f t="shared" si="38"/>
        <v>0</v>
      </c>
      <c r="AE151" s="130">
        <f t="shared" si="38"/>
        <v>0</v>
      </c>
      <c r="AF151" s="130">
        <f t="shared" si="38"/>
        <v>1</v>
      </c>
      <c r="AG151" s="130">
        <f t="shared" si="38"/>
        <v>1</v>
      </c>
      <c r="AH151" s="130">
        <f t="shared" si="38"/>
        <v>1</v>
      </c>
      <c r="AI151" s="130">
        <f t="shared" ref="AI151" si="39">IF(OR(AI21=0,AI21=1),1,0)</f>
        <v>1</v>
      </c>
      <c r="AJ151" s="49" t="str">
        <f t="shared" si="30"/>
        <v>UNKNOWN</v>
      </c>
      <c r="AK151" s="62"/>
      <c r="AL151" s="62" t="str">
        <f t="shared" si="33"/>
        <v>0F</v>
      </c>
      <c r="AM151" s="64" t="str">
        <f t="shared" si="34"/>
        <v>00</v>
      </c>
      <c r="AN151" s="64" t="str">
        <f t="shared" si="35"/>
        <v>00</v>
      </c>
      <c r="AO151" s="64" t="str">
        <f t="shared" si="36"/>
        <v>00</v>
      </c>
      <c r="AQ151" t="str">
        <f t="shared" si="31"/>
        <v xml:space="preserve">    (U4)0x0000000FU                                                            /* 15 UNKNOWN                                         */</v>
      </c>
    </row>
    <row r="152" spans="2:43">
      <c r="B152" s="138"/>
      <c r="C152" s="49">
        <f t="shared" si="32"/>
        <v>16</v>
      </c>
      <c r="D152" s="130">
        <f t="shared" ref="D152:AI159" si="40">IF(OR(D22=0,D22=1),1,0)</f>
        <v>0</v>
      </c>
      <c r="E152" s="130">
        <f t="shared" si="40"/>
        <v>0</v>
      </c>
      <c r="F152" s="130">
        <f t="shared" si="40"/>
        <v>0</v>
      </c>
      <c r="G152" s="130">
        <f t="shared" si="40"/>
        <v>0</v>
      </c>
      <c r="H152" s="130">
        <f t="shared" si="40"/>
        <v>0</v>
      </c>
      <c r="I152" s="130">
        <f t="shared" si="40"/>
        <v>0</v>
      </c>
      <c r="J152" s="130">
        <f t="shared" si="40"/>
        <v>0</v>
      </c>
      <c r="K152" s="130">
        <f t="shared" si="40"/>
        <v>0</v>
      </c>
      <c r="L152" s="130">
        <f t="shared" si="40"/>
        <v>0</v>
      </c>
      <c r="M152" s="130">
        <f t="shared" si="40"/>
        <v>0</v>
      </c>
      <c r="N152" s="130">
        <f t="shared" si="40"/>
        <v>0</v>
      </c>
      <c r="O152" s="130">
        <f t="shared" si="40"/>
        <v>0</v>
      </c>
      <c r="P152" s="130">
        <f t="shared" si="40"/>
        <v>0</v>
      </c>
      <c r="Q152" s="130">
        <f t="shared" si="40"/>
        <v>0</v>
      </c>
      <c r="R152" s="130">
        <f t="shared" si="40"/>
        <v>0</v>
      </c>
      <c r="S152" s="130">
        <f t="shared" si="40"/>
        <v>0</v>
      </c>
      <c r="T152" s="130">
        <f t="shared" si="40"/>
        <v>0</v>
      </c>
      <c r="U152" s="130">
        <f t="shared" si="40"/>
        <v>0</v>
      </c>
      <c r="V152" s="130">
        <f t="shared" si="40"/>
        <v>0</v>
      </c>
      <c r="W152" s="130">
        <f t="shared" si="40"/>
        <v>0</v>
      </c>
      <c r="X152" s="130">
        <f t="shared" si="40"/>
        <v>0</v>
      </c>
      <c r="Y152" s="130">
        <f t="shared" si="40"/>
        <v>0</v>
      </c>
      <c r="Z152" s="130">
        <f t="shared" si="40"/>
        <v>0</v>
      </c>
      <c r="AA152" s="130">
        <f t="shared" si="40"/>
        <v>0</v>
      </c>
      <c r="AB152" s="130">
        <f t="shared" si="40"/>
        <v>0</v>
      </c>
      <c r="AC152" s="130">
        <f t="shared" si="40"/>
        <v>0</v>
      </c>
      <c r="AD152" s="130">
        <f t="shared" si="40"/>
        <v>0</v>
      </c>
      <c r="AE152" s="130">
        <f t="shared" si="40"/>
        <v>0</v>
      </c>
      <c r="AF152" s="130">
        <f t="shared" si="40"/>
        <v>0</v>
      </c>
      <c r="AG152" s="130">
        <f t="shared" si="40"/>
        <v>0</v>
      </c>
      <c r="AH152" s="130">
        <f t="shared" si="40"/>
        <v>0</v>
      </c>
      <c r="AI152" s="130">
        <f t="shared" si="40"/>
        <v>0</v>
      </c>
      <c r="AJ152" s="49" t="str">
        <f t="shared" si="30"/>
        <v/>
      </c>
      <c r="AK152" s="62"/>
      <c r="AL152" s="62" t="str">
        <f t="shared" si="33"/>
        <v>00</v>
      </c>
      <c r="AM152" s="64" t="str">
        <f t="shared" si="34"/>
        <v>00</v>
      </c>
      <c r="AN152" s="64" t="str">
        <f t="shared" si="35"/>
        <v>00</v>
      </c>
      <c r="AO152" s="64" t="str">
        <f t="shared" si="36"/>
        <v>00</v>
      </c>
      <c r="AQ152" t="str">
        <f t="shared" si="31"/>
        <v/>
      </c>
    </row>
    <row r="153" spans="2:43">
      <c r="B153" s="138"/>
      <c r="C153" s="49">
        <f t="shared" si="32"/>
        <v>17</v>
      </c>
      <c r="D153" s="130">
        <f t="shared" si="40"/>
        <v>0</v>
      </c>
      <c r="E153" s="130">
        <f t="shared" si="40"/>
        <v>0</v>
      </c>
      <c r="F153" s="130">
        <f t="shared" si="40"/>
        <v>0</v>
      </c>
      <c r="G153" s="130">
        <f t="shared" si="40"/>
        <v>0</v>
      </c>
      <c r="H153" s="130">
        <f t="shared" si="40"/>
        <v>0</v>
      </c>
      <c r="I153" s="130">
        <f t="shared" si="40"/>
        <v>0</v>
      </c>
      <c r="J153" s="130">
        <f t="shared" si="40"/>
        <v>0</v>
      </c>
      <c r="K153" s="130">
        <f t="shared" si="40"/>
        <v>0</v>
      </c>
      <c r="L153" s="130">
        <f t="shared" si="40"/>
        <v>0</v>
      </c>
      <c r="M153" s="130">
        <f t="shared" si="40"/>
        <v>0</v>
      </c>
      <c r="N153" s="130">
        <f t="shared" si="40"/>
        <v>0</v>
      </c>
      <c r="O153" s="130">
        <f t="shared" si="40"/>
        <v>0</v>
      </c>
      <c r="P153" s="130">
        <f t="shared" si="40"/>
        <v>0</v>
      </c>
      <c r="Q153" s="130">
        <f t="shared" si="40"/>
        <v>0</v>
      </c>
      <c r="R153" s="130">
        <f t="shared" si="40"/>
        <v>0</v>
      </c>
      <c r="S153" s="130">
        <f t="shared" si="40"/>
        <v>0</v>
      </c>
      <c r="T153" s="130">
        <f t="shared" si="40"/>
        <v>0</v>
      </c>
      <c r="U153" s="130">
        <f t="shared" si="40"/>
        <v>0</v>
      </c>
      <c r="V153" s="130">
        <f t="shared" si="40"/>
        <v>0</v>
      </c>
      <c r="W153" s="130">
        <f t="shared" si="40"/>
        <v>0</v>
      </c>
      <c r="X153" s="130">
        <f t="shared" si="40"/>
        <v>0</v>
      </c>
      <c r="Y153" s="130">
        <f t="shared" si="40"/>
        <v>0</v>
      </c>
      <c r="Z153" s="130">
        <f t="shared" si="40"/>
        <v>0</v>
      </c>
      <c r="AA153" s="130">
        <f t="shared" si="40"/>
        <v>0</v>
      </c>
      <c r="AB153" s="130">
        <f t="shared" si="40"/>
        <v>0</v>
      </c>
      <c r="AC153" s="130">
        <f t="shared" si="40"/>
        <v>0</v>
      </c>
      <c r="AD153" s="130">
        <f t="shared" si="40"/>
        <v>0</v>
      </c>
      <c r="AE153" s="130">
        <f t="shared" si="40"/>
        <v>0</v>
      </c>
      <c r="AF153" s="130">
        <f t="shared" si="40"/>
        <v>0</v>
      </c>
      <c r="AG153" s="130">
        <f t="shared" si="40"/>
        <v>0</v>
      </c>
      <c r="AH153" s="130">
        <f t="shared" si="40"/>
        <v>0</v>
      </c>
      <c r="AI153" s="130">
        <f t="shared" si="40"/>
        <v>0</v>
      </c>
      <c r="AJ153" s="49" t="str">
        <f t="shared" si="30"/>
        <v/>
      </c>
      <c r="AK153" s="62"/>
      <c r="AL153" s="62" t="str">
        <f t="shared" si="33"/>
        <v>00</v>
      </c>
      <c r="AM153" s="64" t="str">
        <f t="shared" si="34"/>
        <v>00</v>
      </c>
      <c r="AN153" s="64" t="str">
        <f t="shared" si="35"/>
        <v>00</v>
      </c>
      <c r="AO153" s="64" t="str">
        <f t="shared" si="36"/>
        <v>00</v>
      </c>
      <c r="AQ153" t="str">
        <f t="shared" si="31"/>
        <v/>
      </c>
    </row>
    <row r="154" spans="2:43">
      <c r="B154" s="138"/>
      <c r="C154" s="49">
        <f t="shared" si="32"/>
        <v>18</v>
      </c>
      <c r="D154" s="130">
        <f t="shared" si="40"/>
        <v>0</v>
      </c>
      <c r="E154" s="130">
        <f t="shared" si="40"/>
        <v>0</v>
      </c>
      <c r="F154" s="130">
        <f t="shared" si="40"/>
        <v>0</v>
      </c>
      <c r="G154" s="130">
        <f t="shared" si="40"/>
        <v>0</v>
      </c>
      <c r="H154" s="130">
        <f t="shared" si="40"/>
        <v>0</v>
      </c>
      <c r="I154" s="130">
        <f t="shared" si="40"/>
        <v>0</v>
      </c>
      <c r="J154" s="130">
        <f t="shared" si="40"/>
        <v>0</v>
      </c>
      <c r="K154" s="130">
        <f t="shared" si="40"/>
        <v>0</v>
      </c>
      <c r="L154" s="130">
        <f t="shared" si="40"/>
        <v>0</v>
      </c>
      <c r="M154" s="130">
        <f t="shared" si="40"/>
        <v>0</v>
      </c>
      <c r="N154" s="130">
        <f t="shared" si="40"/>
        <v>0</v>
      </c>
      <c r="O154" s="130">
        <f t="shared" si="40"/>
        <v>0</v>
      </c>
      <c r="P154" s="130">
        <f t="shared" si="40"/>
        <v>0</v>
      </c>
      <c r="Q154" s="130">
        <f t="shared" si="40"/>
        <v>0</v>
      </c>
      <c r="R154" s="130">
        <f t="shared" si="40"/>
        <v>0</v>
      </c>
      <c r="S154" s="130">
        <f t="shared" si="40"/>
        <v>0</v>
      </c>
      <c r="T154" s="130">
        <f t="shared" si="40"/>
        <v>0</v>
      </c>
      <c r="U154" s="130">
        <f t="shared" si="40"/>
        <v>0</v>
      </c>
      <c r="V154" s="130">
        <f t="shared" si="40"/>
        <v>0</v>
      </c>
      <c r="W154" s="130">
        <f t="shared" si="40"/>
        <v>0</v>
      </c>
      <c r="X154" s="130">
        <f t="shared" si="40"/>
        <v>0</v>
      </c>
      <c r="Y154" s="130">
        <f t="shared" si="40"/>
        <v>0</v>
      </c>
      <c r="Z154" s="130">
        <f t="shared" si="40"/>
        <v>0</v>
      </c>
      <c r="AA154" s="130">
        <f t="shared" si="40"/>
        <v>0</v>
      </c>
      <c r="AB154" s="130">
        <f t="shared" si="40"/>
        <v>0</v>
      </c>
      <c r="AC154" s="130">
        <f t="shared" si="40"/>
        <v>0</v>
      </c>
      <c r="AD154" s="130">
        <f t="shared" si="40"/>
        <v>0</v>
      </c>
      <c r="AE154" s="130">
        <f t="shared" si="40"/>
        <v>0</v>
      </c>
      <c r="AF154" s="130">
        <f t="shared" si="40"/>
        <v>0</v>
      </c>
      <c r="AG154" s="130">
        <f t="shared" si="40"/>
        <v>0</v>
      </c>
      <c r="AH154" s="130">
        <f t="shared" si="40"/>
        <v>0</v>
      </c>
      <c r="AI154" s="130">
        <f t="shared" si="40"/>
        <v>0</v>
      </c>
      <c r="AJ154" s="49" t="str">
        <f t="shared" si="30"/>
        <v/>
      </c>
      <c r="AK154" s="62"/>
      <c r="AL154" s="62" t="str">
        <f t="shared" si="33"/>
        <v>00</v>
      </c>
      <c r="AM154" s="64" t="str">
        <f t="shared" si="34"/>
        <v>00</v>
      </c>
      <c r="AN154" s="64" t="str">
        <f t="shared" si="35"/>
        <v>00</v>
      </c>
      <c r="AO154" s="64" t="str">
        <f t="shared" si="36"/>
        <v>00</v>
      </c>
      <c r="AQ154" t="str">
        <f t="shared" si="31"/>
        <v/>
      </c>
    </row>
    <row r="155" spans="2:43">
      <c r="B155" s="138"/>
      <c r="C155" s="49">
        <f t="shared" si="32"/>
        <v>19</v>
      </c>
      <c r="D155" s="130">
        <f t="shared" si="40"/>
        <v>0</v>
      </c>
      <c r="E155" s="130">
        <f t="shared" si="40"/>
        <v>0</v>
      </c>
      <c r="F155" s="130">
        <f t="shared" si="40"/>
        <v>0</v>
      </c>
      <c r="G155" s="130">
        <f t="shared" si="40"/>
        <v>0</v>
      </c>
      <c r="H155" s="130">
        <f t="shared" si="40"/>
        <v>0</v>
      </c>
      <c r="I155" s="130">
        <f t="shared" si="40"/>
        <v>0</v>
      </c>
      <c r="J155" s="130">
        <f t="shared" si="40"/>
        <v>0</v>
      </c>
      <c r="K155" s="130">
        <f t="shared" si="40"/>
        <v>0</v>
      </c>
      <c r="L155" s="130">
        <f t="shared" si="40"/>
        <v>0</v>
      </c>
      <c r="M155" s="130">
        <f t="shared" si="40"/>
        <v>0</v>
      </c>
      <c r="N155" s="130">
        <f t="shared" si="40"/>
        <v>0</v>
      </c>
      <c r="O155" s="130">
        <f t="shared" si="40"/>
        <v>0</v>
      </c>
      <c r="P155" s="130">
        <f t="shared" si="40"/>
        <v>0</v>
      </c>
      <c r="Q155" s="130">
        <f t="shared" si="40"/>
        <v>0</v>
      </c>
      <c r="R155" s="130">
        <f t="shared" si="40"/>
        <v>0</v>
      </c>
      <c r="S155" s="130">
        <f t="shared" si="40"/>
        <v>0</v>
      </c>
      <c r="T155" s="130">
        <f t="shared" si="40"/>
        <v>0</v>
      </c>
      <c r="U155" s="130">
        <f t="shared" si="40"/>
        <v>0</v>
      </c>
      <c r="V155" s="130">
        <f t="shared" si="40"/>
        <v>0</v>
      </c>
      <c r="W155" s="130">
        <f t="shared" si="40"/>
        <v>0</v>
      </c>
      <c r="X155" s="130">
        <f t="shared" si="40"/>
        <v>0</v>
      </c>
      <c r="Y155" s="130">
        <f t="shared" si="40"/>
        <v>0</v>
      </c>
      <c r="Z155" s="130">
        <f t="shared" si="40"/>
        <v>0</v>
      </c>
      <c r="AA155" s="130">
        <f t="shared" si="40"/>
        <v>0</v>
      </c>
      <c r="AB155" s="130">
        <f t="shared" si="40"/>
        <v>0</v>
      </c>
      <c r="AC155" s="130">
        <f t="shared" si="40"/>
        <v>0</v>
      </c>
      <c r="AD155" s="130">
        <f t="shared" si="40"/>
        <v>0</v>
      </c>
      <c r="AE155" s="130">
        <f t="shared" si="40"/>
        <v>0</v>
      </c>
      <c r="AF155" s="130">
        <f t="shared" si="40"/>
        <v>0</v>
      </c>
      <c r="AG155" s="130">
        <f t="shared" si="40"/>
        <v>0</v>
      </c>
      <c r="AH155" s="130">
        <f t="shared" si="40"/>
        <v>0</v>
      </c>
      <c r="AI155" s="130">
        <f t="shared" si="40"/>
        <v>0</v>
      </c>
      <c r="AJ155" s="49" t="str">
        <f t="shared" si="30"/>
        <v/>
      </c>
      <c r="AK155" s="62"/>
      <c r="AL155" s="62" t="str">
        <f t="shared" si="33"/>
        <v>00</v>
      </c>
      <c r="AM155" s="64" t="str">
        <f t="shared" si="34"/>
        <v>00</v>
      </c>
      <c r="AN155" s="64" t="str">
        <f t="shared" si="35"/>
        <v>00</v>
      </c>
      <c r="AO155" s="64" t="str">
        <f t="shared" si="36"/>
        <v>00</v>
      </c>
      <c r="AQ155" t="str">
        <f t="shared" si="31"/>
        <v/>
      </c>
    </row>
    <row r="156" spans="2:43">
      <c r="B156" s="138"/>
      <c r="C156" s="49">
        <f t="shared" si="32"/>
        <v>20</v>
      </c>
      <c r="D156" s="130">
        <f t="shared" si="40"/>
        <v>0</v>
      </c>
      <c r="E156" s="130">
        <f t="shared" si="40"/>
        <v>0</v>
      </c>
      <c r="F156" s="130">
        <f t="shared" si="40"/>
        <v>0</v>
      </c>
      <c r="G156" s="130">
        <f t="shared" si="40"/>
        <v>0</v>
      </c>
      <c r="H156" s="130">
        <f t="shared" si="40"/>
        <v>0</v>
      </c>
      <c r="I156" s="130">
        <f t="shared" si="40"/>
        <v>0</v>
      </c>
      <c r="J156" s="130">
        <f t="shared" si="40"/>
        <v>0</v>
      </c>
      <c r="K156" s="130">
        <f t="shared" si="40"/>
        <v>0</v>
      </c>
      <c r="L156" s="130">
        <f t="shared" si="40"/>
        <v>0</v>
      </c>
      <c r="M156" s="130">
        <f t="shared" si="40"/>
        <v>0</v>
      </c>
      <c r="N156" s="130">
        <f t="shared" si="40"/>
        <v>0</v>
      </c>
      <c r="O156" s="130">
        <f t="shared" si="40"/>
        <v>0</v>
      </c>
      <c r="P156" s="130">
        <f t="shared" si="40"/>
        <v>0</v>
      </c>
      <c r="Q156" s="130">
        <f t="shared" si="40"/>
        <v>0</v>
      </c>
      <c r="R156" s="130">
        <f t="shared" si="40"/>
        <v>0</v>
      </c>
      <c r="S156" s="130">
        <f t="shared" si="40"/>
        <v>0</v>
      </c>
      <c r="T156" s="130">
        <f t="shared" si="40"/>
        <v>0</v>
      </c>
      <c r="U156" s="130">
        <f t="shared" si="40"/>
        <v>0</v>
      </c>
      <c r="V156" s="130">
        <f t="shared" si="40"/>
        <v>0</v>
      </c>
      <c r="W156" s="130">
        <f t="shared" si="40"/>
        <v>0</v>
      </c>
      <c r="X156" s="130">
        <f t="shared" si="40"/>
        <v>0</v>
      </c>
      <c r="Y156" s="130">
        <f t="shared" si="40"/>
        <v>0</v>
      </c>
      <c r="Z156" s="130">
        <f t="shared" si="40"/>
        <v>0</v>
      </c>
      <c r="AA156" s="130">
        <f t="shared" si="40"/>
        <v>0</v>
      </c>
      <c r="AB156" s="130">
        <f t="shared" si="40"/>
        <v>0</v>
      </c>
      <c r="AC156" s="130">
        <f t="shared" si="40"/>
        <v>0</v>
      </c>
      <c r="AD156" s="130">
        <f t="shared" si="40"/>
        <v>0</v>
      </c>
      <c r="AE156" s="130">
        <f t="shared" si="40"/>
        <v>0</v>
      </c>
      <c r="AF156" s="130">
        <f t="shared" si="40"/>
        <v>0</v>
      </c>
      <c r="AG156" s="130">
        <f t="shared" si="40"/>
        <v>0</v>
      </c>
      <c r="AH156" s="130">
        <f t="shared" si="40"/>
        <v>0</v>
      </c>
      <c r="AI156" s="130">
        <f t="shared" si="40"/>
        <v>0</v>
      </c>
      <c r="AJ156" s="49" t="str">
        <f t="shared" si="30"/>
        <v/>
      </c>
      <c r="AK156" s="62"/>
      <c r="AL156" s="62" t="str">
        <f t="shared" si="33"/>
        <v>00</v>
      </c>
      <c r="AM156" s="64" t="str">
        <f t="shared" si="34"/>
        <v>00</v>
      </c>
      <c r="AN156" s="64" t="str">
        <f t="shared" si="35"/>
        <v>00</v>
      </c>
      <c r="AO156" s="64" t="str">
        <f t="shared" si="36"/>
        <v>00</v>
      </c>
      <c r="AQ156" t="str">
        <f t="shared" si="31"/>
        <v/>
      </c>
    </row>
    <row r="157" spans="2:43">
      <c r="B157" s="138"/>
      <c r="C157" s="49">
        <f t="shared" si="32"/>
        <v>21</v>
      </c>
      <c r="D157" s="130">
        <f t="shared" si="40"/>
        <v>0</v>
      </c>
      <c r="E157" s="130">
        <f t="shared" si="40"/>
        <v>0</v>
      </c>
      <c r="F157" s="130">
        <f t="shared" si="40"/>
        <v>0</v>
      </c>
      <c r="G157" s="130">
        <f t="shared" si="40"/>
        <v>0</v>
      </c>
      <c r="H157" s="130">
        <f t="shared" si="40"/>
        <v>0</v>
      </c>
      <c r="I157" s="130">
        <f t="shared" si="40"/>
        <v>0</v>
      </c>
      <c r="J157" s="130">
        <f t="shared" si="40"/>
        <v>0</v>
      </c>
      <c r="K157" s="130">
        <f t="shared" si="40"/>
        <v>0</v>
      </c>
      <c r="L157" s="130">
        <f t="shared" si="40"/>
        <v>0</v>
      </c>
      <c r="M157" s="130">
        <f t="shared" si="40"/>
        <v>0</v>
      </c>
      <c r="N157" s="130">
        <f t="shared" si="40"/>
        <v>0</v>
      </c>
      <c r="O157" s="130">
        <f t="shared" si="40"/>
        <v>0</v>
      </c>
      <c r="P157" s="130">
        <f t="shared" si="40"/>
        <v>0</v>
      </c>
      <c r="Q157" s="130">
        <f t="shared" si="40"/>
        <v>0</v>
      </c>
      <c r="R157" s="130">
        <f t="shared" si="40"/>
        <v>0</v>
      </c>
      <c r="S157" s="130">
        <f t="shared" si="40"/>
        <v>0</v>
      </c>
      <c r="T157" s="130">
        <f t="shared" si="40"/>
        <v>0</v>
      </c>
      <c r="U157" s="130">
        <f t="shared" si="40"/>
        <v>0</v>
      </c>
      <c r="V157" s="130">
        <f t="shared" si="40"/>
        <v>0</v>
      </c>
      <c r="W157" s="130">
        <f t="shared" si="40"/>
        <v>0</v>
      </c>
      <c r="X157" s="130">
        <f t="shared" si="40"/>
        <v>0</v>
      </c>
      <c r="Y157" s="130">
        <f t="shared" si="40"/>
        <v>0</v>
      </c>
      <c r="Z157" s="130">
        <f t="shared" si="40"/>
        <v>0</v>
      </c>
      <c r="AA157" s="130">
        <f t="shared" si="40"/>
        <v>0</v>
      </c>
      <c r="AB157" s="130">
        <f t="shared" si="40"/>
        <v>0</v>
      </c>
      <c r="AC157" s="130">
        <f t="shared" si="40"/>
        <v>0</v>
      </c>
      <c r="AD157" s="130">
        <f t="shared" si="40"/>
        <v>0</v>
      </c>
      <c r="AE157" s="130">
        <f t="shared" si="40"/>
        <v>0</v>
      </c>
      <c r="AF157" s="130">
        <f t="shared" si="40"/>
        <v>0</v>
      </c>
      <c r="AG157" s="130">
        <f t="shared" si="40"/>
        <v>0</v>
      </c>
      <c r="AH157" s="130">
        <f t="shared" si="40"/>
        <v>0</v>
      </c>
      <c r="AI157" s="130">
        <f t="shared" si="40"/>
        <v>0</v>
      </c>
      <c r="AJ157" s="49" t="str">
        <f t="shared" si="30"/>
        <v/>
      </c>
      <c r="AK157" s="62"/>
      <c r="AL157" s="62" t="str">
        <f t="shared" si="33"/>
        <v>00</v>
      </c>
      <c r="AM157" s="64" t="str">
        <f t="shared" si="34"/>
        <v>00</v>
      </c>
      <c r="AN157" s="64" t="str">
        <f t="shared" si="35"/>
        <v>00</v>
      </c>
      <c r="AO157" s="64" t="str">
        <f t="shared" si="36"/>
        <v>00</v>
      </c>
      <c r="AQ157" t="str">
        <f t="shared" si="31"/>
        <v/>
      </c>
    </row>
    <row r="158" spans="2:43">
      <c r="B158" s="138"/>
      <c r="C158" s="49">
        <f t="shared" si="32"/>
        <v>22</v>
      </c>
      <c r="D158" s="130">
        <f t="shared" si="40"/>
        <v>0</v>
      </c>
      <c r="E158" s="130">
        <f t="shared" si="40"/>
        <v>0</v>
      </c>
      <c r="F158" s="130">
        <f t="shared" si="40"/>
        <v>0</v>
      </c>
      <c r="G158" s="130">
        <f t="shared" si="40"/>
        <v>0</v>
      </c>
      <c r="H158" s="130">
        <f t="shared" si="40"/>
        <v>0</v>
      </c>
      <c r="I158" s="130">
        <f t="shared" si="40"/>
        <v>0</v>
      </c>
      <c r="J158" s="130">
        <f t="shared" si="40"/>
        <v>0</v>
      </c>
      <c r="K158" s="130">
        <f t="shared" si="40"/>
        <v>0</v>
      </c>
      <c r="L158" s="130">
        <f t="shared" si="40"/>
        <v>0</v>
      </c>
      <c r="M158" s="130">
        <f t="shared" si="40"/>
        <v>0</v>
      </c>
      <c r="N158" s="130">
        <f t="shared" si="40"/>
        <v>0</v>
      </c>
      <c r="O158" s="130">
        <f t="shared" si="40"/>
        <v>0</v>
      </c>
      <c r="P158" s="130">
        <f t="shared" si="40"/>
        <v>0</v>
      </c>
      <c r="Q158" s="130">
        <f t="shared" si="40"/>
        <v>0</v>
      </c>
      <c r="R158" s="130">
        <f t="shared" si="40"/>
        <v>0</v>
      </c>
      <c r="S158" s="130">
        <f t="shared" si="40"/>
        <v>0</v>
      </c>
      <c r="T158" s="130">
        <f t="shared" si="40"/>
        <v>0</v>
      </c>
      <c r="U158" s="130">
        <f t="shared" si="40"/>
        <v>0</v>
      </c>
      <c r="V158" s="130">
        <f t="shared" si="40"/>
        <v>0</v>
      </c>
      <c r="W158" s="130">
        <f t="shared" si="40"/>
        <v>0</v>
      </c>
      <c r="X158" s="130">
        <f t="shared" si="40"/>
        <v>0</v>
      </c>
      <c r="Y158" s="130">
        <f t="shared" si="40"/>
        <v>0</v>
      </c>
      <c r="Z158" s="130">
        <f t="shared" si="40"/>
        <v>0</v>
      </c>
      <c r="AA158" s="130">
        <f t="shared" si="40"/>
        <v>0</v>
      </c>
      <c r="AB158" s="130">
        <f t="shared" si="40"/>
        <v>0</v>
      </c>
      <c r="AC158" s="130">
        <f t="shared" si="40"/>
        <v>0</v>
      </c>
      <c r="AD158" s="130">
        <f t="shared" si="40"/>
        <v>0</v>
      </c>
      <c r="AE158" s="130">
        <f t="shared" si="40"/>
        <v>0</v>
      </c>
      <c r="AF158" s="130">
        <f t="shared" si="40"/>
        <v>0</v>
      </c>
      <c r="AG158" s="130">
        <f t="shared" si="40"/>
        <v>0</v>
      </c>
      <c r="AH158" s="130">
        <f t="shared" si="40"/>
        <v>0</v>
      </c>
      <c r="AI158" s="130">
        <f t="shared" si="40"/>
        <v>0</v>
      </c>
      <c r="AJ158" s="49" t="str">
        <f t="shared" si="30"/>
        <v/>
      </c>
      <c r="AK158" s="62"/>
      <c r="AL158" s="62" t="str">
        <f t="shared" si="33"/>
        <v>00</v>
      </c>
      <c r="AM158" s="64" t="str">
        <f t="shared" si="34"/>
        <v>00</v>
      </c>
      <c r="AN158" s="64" t="str">
        <f t="shared" si="35"/>
        <v>00</v>
      </c>
      <c r="AO158" s="64" t="str">
        <f t="shared" si="36"/>
        <v>00</v>
      </c>
      <c r="AQ158" t="str">
        <f t="shared" si="31"/>
        <v/>
      </c>
    </row>
    <row r="159" spans="2:43">
      <c r="B159" s="138"/>
      <c r="C159" s="49">
        <f t="shared" si="32"/>
        <v>23</v>
      </c>
      <c r="D159" s="130">
        <f t="shared" si="40"/>
        <v>0</v>
      </c>
      <c r="E159" s="130">
        <f t="shared" si="40"/>
        <v>0</v>
      </c>
      <c r="F159" s="130">
        <f t="shared" si="40"/>
        <v>0</v>
      </c>
      <c r="G159" s="130">
        <f t="shared" si="40"/>
        <v>0</v>
      </c>
      <c r="H159" s="130">
        <f t="shared" si="40"/>
        <v>0</v>
      </c>
      <c r="I159" s="130">
        <f t="shared" si="40"/>
        <v>0</v>
      </c>
      <c r="J159" s="130">
        <f t="shared" si="40"/>
        <v>0</v>
      </c>
      <c r="K159" s="130">
        <f t="shared" si="40"/>
        <v>0</v>
      </c>
      <c r="L159" s="130">
        <f t="shared" si="40"/>
        <v>0</v>
      </c>
      <c r="M159" s="130">
        <f t="shared" si="40"/>
        <v>0</v>
      </c>
      <c r="N159" s="130">
        <f t="shared" si="40"/>
        <v>0</v>
      </c>
      <c r="O159" s="130">
        <f t="shared" si="40"/>
        <v>0</v>
      </c>
      <c r="P159" s="130">
        <f t="shared" si="40"/>
        <v>0</v>
      </c>
      <c r="Q159" s="130">
        <f t="shared" si="40"/>
        <v>0</v>
      </c>
      <c r="R159" s="130">
        <f t="shared" si="40"/>
        <v>0</v>
      </c>
      <c r="S159" s="130">
        <f t="shared" si="40"/>
        <v>0</v>
      </c>
      <c r="T159" s="130">
        <f t="shared" si="40"/>
        <v>0</v>
      </c>
      <c r="U159" s="130">
        <f t="shared" si="40"/>
        <v>0</v>
      </c>
      <c r="V159" s="130">
        <f t="shared" si="40"/>
        <v>0</v>
      </c>
      <c r="W159" s="130">
        <f t="shared" si="40"/>
        <v>0</v>
      </c>
      <c r="X159" s="130">
        <f t="shared" si="40"/>
        <v>0</v>
      </c>
      <c r="Y159" s="130">
        <f t="shared" si="40"/>
        <v>0</v>
      </c>
      <c r="Z159" s="130">
        <f t="shared" si="40"/>
        <v>0</v>
      </c>
      <c r="AA159" s="130">
        <f t="shared" si="40"/>
        <v>0</v>
      </c>
      <c r="AB159" s="130">
        <f t="shared" si="40"/>
        <v>0</v>
      </c>
      <c r="AC159" s="130">
        <f t="shared" si="40"/>
        <v>0</v>
      </c>
      <c r="AD159" s="130">
        <f t="shared" si="40"/>
        <v>0</v>
      </c>
      <c r="AE159" s="130">
        <f t="shared" si="40"/>
        <v>0</v>
      </c>
      <c r="AF159" s="130">
        <f t="shared" si="40"/>
        <v>0</v>
      </c>
      <c r="AG159" s="130">
        <f t="shared" si="40"/>
        <v>0</v>
      </c>
      <c r="AH159" s="130">
        <f t="shared" si="40"/>
        <v>0</v>
      </c>
      <c r="AI159" s="130">
        <f t="shared" ref="AI159" si="41">IF(OR(AI29=0,AI29=1),1,0)</f>
        <v>0</v>
      </c>
      <c r="AJ159" s="49" t="str">
        <f t="shared" si="30"/>
        <v/>
      </c>
      <c r="AK159" s="62"/>
      <c r="AL159" s="62" t="str">
        <f t="shared" si="33"/>
        <v>00</v>
      </c>
      <c r="AM159" s="64" t="str">
        <f t="shared" si="34"/>
        <v>00</v>
      </c>
      <c r="AN159" s="64" t="str">
        <f t="shared" si="35"/>
        <v>00</v>
      </c>
      <c r="AO159" s="64" t="str">
        <f t="shared" si="36"/>
        <v>00</v>
      </c>
      <c r="AQ159" t="str">
        <f t="shared" si="31"/>
        <v/>
      </c>
    </row>
    <row r="160" spans="2:43">
      <c r="B160" s="138"/>
      <c r="C160" s="49">
        <f t="shared" si="32"/>
        <v>24</v>
      </c>
      <c r="D160" s="130">
        <f t="shared" ref="D160:AI167" si="42">IF(OR(D30=0,D30=1),1,0)</f>
        <v>0</v>
      </c>
      <c r="E160" s="130">
        <f t="shared" si="42"/>
        <v>0</v>
      </c>
      <c r="F160" s="130">
        <f t="shared" si="42"/>
        <v>0</v>
      </c>
      <c r="G160" s="130">
        <f t="shared" si="42"/>
        <v>0</v>
      </c>
      <c r="H160" s="130">
        <f t="shared" si="42"/>
        <v>0</v>
      </c>
      <c r="I160" s="130">
        <f t="shared" si="42"/>
        <v>0</v>
      </c>
      <c r="J160" s="130">
        <f t="shared" si="42"/>
        <v>0</v>
      </c>
      <c r="K160" s="130">
        <f t="shared" si="42"/>
        <v>0</v>
      </c>
      <c r="L160" s="130">
        <f t="shared" si="42"/>
        <v>0</v>
      </c>
      <c r="M160" s="130">
        <f t="shared" si="42"/>
        <v>0</v>
      </c>
      <c r="N160" s="130">
        <f t="shared" si="42"/>
        <v>0</v>
      </c>
      <c r="O160" s="130">
        <f t="shared" si="42"/>
        <v>0</v>
      </c>
      <c r="P160" s="130">
        <f t="shared" si="42"/>
        <v>0</v>
      </c>
      <c r="Q160" s="130">
        <f t="shared" si="42"/>
        <v>0</v>
      </c>
      <c r="R160" s="130">
        <f t="shared" si="42"/>
        <v>0</v>
      </c>
      <c r="S160" s="130">
        <f t="shared" si="42"/>
        <v>0</v>
      </c>
      <c r="T160" s="130">
        <f t="shared" si="42"/>
        <v>0</v>
      </c>
      <c r="U160" s="130">
        <f t="shared" si="42"/>
        <v>0</v>
      </c>
      <c r="V160" s="130">
        <f t="shared" si="42"/>
        <v>0</v>
      </c>
      <c r="W160" s="130">
        <f t="shared" si="42"/>
        <v>0</v>
      </c>
      <c r="X160" s="130">
        <f t="shared" si="42"/>
        <v>0</v>
      </c>
      <c r="Y160" s="130">
        <f t="shared" si="42"/>
        <v>0</v>
      </c>
      <c r="Z160" s="130">
        <f t="shared" si="42"/>
        <v>0</v>
      </c>
      <c r="AA160" s="130">
        <f t="shared" si="42"/>
        <v>0</v>
      </c>
      <c r="AB160" s="130">
        <f t="shared" si="42"/>
        <v>0</v>
      </c>
      <c r="AC160" s="130">
        <f t="shared" si="42"/>
        <v>0</v>
      </c>
      <c r="AD160" s="130">
        <f t="shared" si="42"/>
        <v>0</v>
      </c>
      <c r="AE160" s="130">
        <f t="shared" si="42"/>
        <v>0</v>
      </c>
      <c r="AF160" s="130">
        <f t="shared" si="42"/>
        <v>0</v>
      </c>
      <c r="AG160" s="130">
        <f t="shared" si="42"/>
        <v>0</v>
      </c>
      <c r="AH160" s="130">
        <f t="shared" si="42"/>
        <v>0</v>
      </c>
      <c r="AI160" s="130">
        <f t="shared" si="42"/>
        <v>0</v>
      </c>
      <c r="AJ160" s="49" t="str">
        <f t="shared" si="30"/>
        <v/>
      </c>
      <c r="AK160" s="62"/>
      <c r="AL160" s="62" t="str">
        <f t="shared" si="33"/>
        <v>00</v>
      </c>
      <c r="AM160" s="64" t="str">
        <f t="shared" si="34"/>
        <v>00</v>
      </c>
      <c r="AN160" s="64" t="str">
        <f t="shared" si="35"/>
        <v>00</v>
      </c>
      <c r="AO160" s="64" t="str">
        <f t="shared" si="36"/>
        <v>00</v>
      </c>
      <c r="AQ160" t="str">
        <f t="shared" si="31"/>
        <v/>
      </c>
    </row>
    <row r="161" spans="2:43">
      <c r="B161" s="138"/>
      <c r="C161" s="49">
        <f t="shared" si="32"/>
        <v>25</v>
      </c>
      <c r="D161" s="130">
        <f t="shared" si="42"/>
        <v>0</v>
      </c>
      <c r="E161" s="130">
        <f t="shared" si="42"/>
        <v>0</v>
      </c>
      <c r="F161" s="130">
        <f t="shared" si="42"/>
        <v>0</v>
      </c>
      <c r="G161" s="130">
        <f t="shared" si="42"/>
        <v>0</v>
      </c>
      <c r="H161" s="130">
        <f t="shared" si="42"/>
        <v>0</v>
      </c>
      <c r="I161" s="130">
        <f t="shared" si="42"/>
        <v>0</v>
      </c>
      <c r="J161" s="130">
        <f t="shared" si="42"/>
        <v>0</v>
      </c>
      <c r="K161" s="130">
        <f t="shared" si="42"/>
        <v>0</v>
      </c>
      <c r="L161" s="130">
        <f t="shared" si="42"/>
        <v>0</v>
      </c>
      <c r="M161" s="130">
        <f t="shared" si="42"/>
        <v>0</v>
      </c>
      <c r="N161" s="130">
        <f t="shared" si="42"/>
        <v>0</v>
      </c>
      <c r="O161" s="130">
        <f t="shared" si="42"/>
        <v>0</v>
      </c>
      <c r="P161" s="130">
        <f t="shared" si="42"/>
        <v>0</v>
      </c>
      <c r="Q161" s="130">
        <f t="shared" si="42"/>
        <v>0</v>
      </c>
      <c r="R161" s="130">
        <f t="shared" si="42"/>
        <v>0</v>
      </c>
      <c r="S161" s="130">
        <f t="shared" si="42"/>
        <v>0</v>
      </c>
      <c r="T161" s="130">
        <f t="shared" si="42"/>
        <v>0</v>
      </c>
      <c r="U161" s="130">
        <f t="shared" si="42"/>
        <v>0</v>
      </c>
      <c r="V161" s="130">
        <f t="shared" si="42"/>
        <v>0</v>
      </c>
      <c r="W161" s="130">
        <f t="shared" si="42"/>
        <v>0</v>
      </c>
      <c r="X161" s="130">
        <f t="shared" si="42"/>
        <v>0</v>
      </c>
      <c r="Y161" s="130">
        <f t="shared" si="42"/>
        <v>0</v>
      </c>
      <c r="Z161" s="130">
        <f t="shared" si="42"/>
        <v>0</v>
      </c>
      <c r="AA161" s="130">
        <f t="shared" si="42"/>
        <v>0</v>
      </c>
      <c r="AB161" s="130">
        <f t="shared" si="42"/>
        <v>0</v>
      </c>
      <c r="AC161" s="130">
        <f t="shared" si="42"/>
        <v>0</v>
      </c>
      <c r="AD161" s="130">
        <f t="shared" si="42"/>
        <v>0</v>
      </c>
      <c r="AE161" s="130">
        <f t="shared" si="42"/>
        <v>0</v>
      </c>
      <c r="AF161" s="130">
        <f t="shared" si="42"/>
        <v>0</v>
      </c>
      <c r="AG161" s="130">
        <f t="shared" si="42"/>
        <v>0</v>
      </c>
      <c r="AH161" s="130">
        <f t="shared" si="42"/>
        <v>0</v>
      </c>
      <c r="AI161" s="130">
        <f t="shared" si="42"/>
        <v>0</v>
      </c>
      <c r="AJ161" s="49" t="str">
        <f t="shared" si="30"/>
        <v/>
      </c>
      <c r="AK161" s="62"/>
      <c r="AL161" s="62" t="str">
        <f t="shared" si="33"/>
        <v>00</v>
      </c>
      <c r="AM161" s="64" t="str">
        <f t="shared" si="34"/>
        <v>00</v>
      </c>
      <c r="AN161" s="64" t="str">
        <f t="shared" si="35"/>
        <v>00</v>
      </c>
      <c r="AO161" s="64" t="str">
        <f t="shared" si="36"/>
        <v>00</v>
      </c>
      <c r="AQ161" t="str">
        <f t="shared" si="31"/>
        <v/>
      </c>
    </row>
    <row r="162" spans="2:43">
      <c r="B162" s="138"/>
      <c r="C162" s="49">
        <f t="shared" si="32"/>
        <v>26</v>
      </c>
      <c r="D162" s="130">
        <f t="shared" si="42"/>
        <v>0</v>
      </c>
      <c r="E162" s="130">
        <f t="shared" si="42"/>
        <v>0</v>
      </c>
      <c r="F162" s="130">
        <f t="shared" si="42"/>
        <v>0</v>
      </c>
      <c r="G162" s="130">
        <f t="shared" si="42"/>
        <v>0</v>
      </c>
      <c r="H162" s="130">
        <f t="shared" si="42"/>
        <v>0</v>
      </c>
      <c r="I162" s="130">
        <f t="shared" si="42"/>
        <v>0</v>
      </c>
      <c r="J162" s="130">
        <f t="shared" si="42"/>
        <v>0</v>
      </c>
      <c r="K162" s="130">
        <f t="shared" si="42"/>
        <v>0</v>
      </c>
      <c r="L162" s="130">
        <f t="shared" si="42"/>
        <v>0</v>
      </c>
      <c r="M162" s="130">
        <f t="shared" si="42"/>
        <v>0</v>
      </c>
      <c r="N162" s="130">
        <f t="shared" si="42"/>
        <v>0</v>
      </c>
      <c r="O162" s="130">
        <f t="shared" si="42"/>
        <v>0</v>
      </c>
      <c r="P162" s="130">
        <f t="shared" si="42"/>
        <v>0</v>
      </c>
      <c r="Q162" s="130">
        <f t="shared" si="42"/>
        <v>0</v>
      </c>
      <c r="R162" s="130">
        <f t="shared" si="42"/>
        <v>0</v>
      </c>
      <c r="S162" s="130">
        <f t="shared" si="42"/>
        <v>0</v>
      </c>
      <c r="T162" s="130">
        <f t="shared" si="42"/>
        <v>0</v>
      </c>
      <c r="U162" s="130">
        <f t="shared" si="42"/>
        <v>0</v>
      </c>
      <c r="V162" s="130">
        <f t="shared" si="42"/>
        <v>0</v>
      </c>
      <c r="W162" s="130">
        <f t="shared" si="42"/>
        <v>0</v>
      </c>
      <c r="X162" s="130">
        <f t="shared" si="42"/>
        <v>0</v>
      </c>
      <c r="Y162" s="130">
        <f t="shared" si="42"/>
        <v>0</v>
      </c>
      <c r="Z162" s="130">
        <f t="shared" si="42"/>
        <v>0</v>
      </c>
      <c r="AA162" s="130">
        <f t="shared" si="42"/>
        <v>0</v>
      </c>
      <c r="AB162" s="130">
        <f t="shared" si="42"/>
        <v>0</v>
      </c>
      <c r="AC162" s="130">
        <f t="shared" si="42"/>
        <v>0</v>
      </c>
      <c r="AD162" s="130">
        <f t="shared" si="42"/>
        <v>0</v>
      </c>
      <c r="AE162" s="130">
        <f t="shared" si="42"/>
        <v>0</v>
      </c>
      <c r="AF162" s="130">
        <f t="shared" si="42"/>
        <v>0</v>
      </c>
      <c r="AG162" s="130">
        <f t="shared" si="42"/>
        <v>0</v>
      </c>
      <c r="AH162" s="130">
        <f t="shared" si="42"/>
        <v>0</v>
      </c>
      <c r="AI162" s="130">
        <f t="shared" si="42"/>
        <v>0</v>
      </c>
      <c r="AJ162" s="49" t="str">
        <f t="shared" si="30"/>
        <v/>
      </c>
      <c r="AK162" s="62"/>
      <c r="AL162" s="62" t="str">
        <f t="shared" si="33"/>
        <v>00</v>
      </c>
      <c r="AM162" s="64" t="str">
        <f t="shared" si="34"/>
        <v>00</v>
      </c>
      <c r="AN162" s="64" t="str">
        <f t="shared" si="35"/>
        <v>00</v>
      </c>
      <c r="AO162" s="64" t="str">
        <f t="shared" si="36"/>
        <v>00</v>
      </c>
      <c r="AQ162" t="str">
        <f t="shared" si="31"/>
        <v/>
      </c>
    </row>
    <row r="163" spans="2:43">
      <c r="B163" s="138"/>
      <c r="C163" s="49">
        <f t="shared" si="32"/>
        <v>27</v>
      </c>
      <c r="D163" s="130">
        <f t="shared" si="42"/>
        <v>0</v>
      </c>
      <c r="E163" s="130">
        <f t="shared" si="42"/>
        <v>0</v>
      </c>
      <c r="F163" s="130">
        <f t="shared" si="42"/>
        <v>0</v>
      </c>
      <c r="G163" s="130">
        <f t="shared" si="42"/>
        <v>0</v>
      </c>
      <c r="H163" s="130">
        <f t="shared" si="42"/>
        <v>0</v>
      </c>
      <c r="I163" s="130">
        <f t="shared" si="42"/>
        <v>0</v>
      </c>
      <c r="J163" s="130">
        <f t="shared" si="42"/>
        <v>0</v>
      </c>
      <c r="K163" s="130">
        <f t="shared" si="42"/>
        <v>0</v>
      </c>
      <c r="L163" s="130">
        <f t="shared" si="42"/>
        <v>0</v>
      </c>
      <c r="M163" s="130">
        <f t="shared" si="42"/>
        <v>0</v>
      </c>
      <c r="N163" s="130">
        <f t="shared" si="42"/>
        <v>0</v>
      </c>
      <c r="O163" s="130">
        <f t="shared" si="42"/>
        <v>0</v>
      </c>
      <c r="P163" s="130">
        <f t="shared" si="42"/>
        <v>0</v>
      </c>
      <c r="Q163" s="130">
        <f t="shared" si="42"/>
        <v>0</v>
      </c>
      <c r="R163" s="130">
        <f t="shared" si="42"/>
        <v>0</v>
      </c>
      <c r="S163" s="130">
        <f t="shared" si="42"/>
        <v>0</v>
      </c>
      <c r="T163" s="130">
        <f t="shared" si="42"/>
        <v>0</v>
      </c>
      <c r="U163" s="130">
        <f t="shared" si="42"/>
        <v>0</v>
      </c>
      <c r="V163" s="130">
        <f t="shared" si="42"/>
        <v>0</v>
      </c>
      <c r="W163" s="130">
        <f t="shared" si="42"/>
        <v>0</v>
      </c>
      <c r="X163" s="130">
        <f t="shared" si="42"/>
        <v>0</v>
      </c>
      <c r="Y163" s="130">
        <f t="shared" si="42"/>
        <v>0</v>
      </c>
      <c r="Z163" s="130">
        <f t="shared" si="42"/>
        <v>0</v>
      </c>
      <c r="AA163" s="130">
        <f t="shared" si="42"/>
        <v>0</v>
      </c>
      <c r="AB163" s="130">
        <f t="shared" si="42"/>
        <v>0</v>
      </c>
      <c r="AC163" s="130">
        <f t="shared" si="42"/>
        <v>0</v>
      </c>
      <c r="AD163" s="130">
        <f t="shared" si="42"/>
        <v>0</v>
      </c>
      <c r="AE163" s="130">
        <f t="shared" si="42"/>
        <v>0</v>
      </c>
      <c r="AF163" s="130">
        <f t="shared" si="42"/>
        <v>0</v>
      </c>
      <c r="AG163" s="130">
        <f t="shared" si="42"/>
        <v>0</v>
      </c>
      <c r="AH163" s="130">
        <f t="shared" si="42"/>
        <v>0</v>
      </c>
      <c r="AI163" s="130">
        <f t="shared" si="42"/>
        <v>0</v>
      </c>
      <c r="AJ163" s="49" t="str">
        <f t="shared" si="30"/>
        <v/>
      </c>
      <c r="AK163" s="62"/>
      <c r="AL163" s="62" t="str">
        <f t="shared" si="33"/>
        <v>00</v>
      </c>
      <c r="AM163" s="64" t="str">
        <f t="shared" si="34"/>
        <v>00</v>
      </c>
      <c r="AN163" s="64" t="str">
        <f t="shared" si="35"/>
        <v>00</v>
      </c>
      <c r="AO163" s="64" t="str">
        <f t="shared" si="36"/>
        <v>00</v>
      </c>
      <c r="AQ163" t="str">
        <f t="shared" si="31"/>
        <v/>
      </c>
    </row>
    <row r="164" spans="2:43">
      <c r="B164" s="138"/>
      <c r="C164" s="49">
        <f t="shared" si="32"/>
        <v>28</v>
      </c>
      <c r="D164" s="130">
        <f t="shared" si="42"/>
        <v>0</v>
      </c>
      <c r="E164" s="130">
        <f t="shared" si="42"/>
        <v>0</v>
      </c>
      <c r="F164" s="130">
        <f t="shared" si="42"/>
        <v>0</v>
      </c>
      <c r="G164" s="130">
        <f t="shared" si="42"/>
        <v>0</v>
      </c>
      <c r="H164" s="130">
        <f t="shared" si="42"/>
        <v>0</v>
      </c>
      <c r="I164" s="130">
        <f t="shared" si="42"/>
        <v>0</v>
      </c>
      <c r="J164" s="130">
        <f t="shared" si="42"/>
        <v>0</v>
      </c>
      <c r="K164" s="130">
        <f t="shared" si="42"/>
        <v>0</v>
      </c>
      <c r="L164" s="130">
        <f t="shared" si="42"/>
        <v>0</v>
      </c>
      <c r="M164" s="130">
        <f t="shared" si="42"/>
        <v>0</v>
      </c>
      <c r="N164" s="130">
        <f t="shared" si="42"/>
        <v>0</v>
      </c>
      <c r="O164" s="130">
        <f t="shared" si="42"/>
        <v>0</v>
      </c>
      <c r="P164" s="130">
        <f t="shared" si="42"/>
        <v>0</v>
      </c>
      <c r="Q164" s="130">
        <f t="shared" si="42"/>
        <v>0</v>
      </c>
      <c r="R164" s="130">
        <f t="shared" si="42"/>
        <v>0</v>
      </c>
      <c r="S164" s="130">
        <f t="shared" si="42"/>
        <v>0</v>
      </c>
      <c r="T164" s="130">
        <f t="shared" si="42"/>
        <v>0</v>
      </c>
      <c r="U164" s="130">
        <f t="shared" si="42"/>
        <v>0</v>
      </c>
      <c r="V164" s="130">
        <f t="shared" si="42"/>
        <v>0</v>
      </c>
      <c r="W164" s="130">
        <f t="shared" si="42"/>
        <v>0</v>
      </c>
      <c r="X164" s="130">
        <f t="shared" si="42"/>
        <v>0</v>
      </c>
      <c r="Y164" s="130">
        <f t="shared" si="42"/>
        <v>0</v>
      </c>
      <c r="Z164" s="130">
        <f t="shared" si="42"/>
        <v>0</v>
      </c>
      <c r="AA164" s="130">
        <f t="shared" si="42"/>
        <v>0</v>
      </c>
      <c r="AB164" s="130">
        <f t="shared" si="42"/>
        <v>0</v>
      </c>
      <c r="AC164" s="130">
        <f t="shared" si="42"/>
        <v>0</v>
      </c>
      <c r="AD164" s="130">
        <f t="shared" si="42"/>
        <v>0</v>
      </c>
      <c r="AE164" s="130">
        <f t="shared" si="42"/>
        <v>0</v>
      </c>
      <c r="AF164" s="130">
        <f t="shared" si="42"/>
        <v>0</v>
      </c>
      <c r="AG164" s="130">
        <f t="shared" si="42"/>
        <v>0</v>
      </c>
      <c r="AH164" s="130">
        <f t="shared" si="42"/>
        <v>0</v>
      </c>
      <c r="AI164" s="130">
        <f t="shared" si="42"/>
        <v>0</v>
      </c>
      <c r="AJ164" s="49" t="str">
        <f t="shared" si="30"/>
        <v/>
      </c>
      <c r="AK164" s="62"/>
      <c r="AL164" s="62" t="str">
        <f t="shared" si="33"/>
        <v>00</v>
      </c>
      <c r="AM164" s="64" t="str">
        <f t="shared" si="34"/>
        <v>00</v>
      </c>
      <c r="AN164" s="64" t="str">
        <f t="shared" si="35"/>
        <v>00</v>
      </c>
      <c r="AO164" s="64" t="str">
        <f t="shared" si="36"/>
        <v>00</v>
      </c>
      <c r="AQ164" t="str">
        <f t="shared" si="31"/>
        <v/>
      </c>
    </row>
    <row r="165" spans="2:43">
      <c r="B165" s="138"/>
      <c r="C165" s="49">
        <f t="shared" si="32"/>
        <v>29</v>
      </c>
      <c r="D165" s="130">
        <f t="shared" si="42"/>
        <v>0</v>
      </c>
      <c r="E165" s="130">
        <f t="shared" si="42"/>
        <v>0</v>
      </c>
      <c r="F165" s="130">
        <f t="shared" si="42"/>
        <v>0</v>
      </c>
      <c r="G165" s="130">
        <f t="shared" si="42"/>
        <v>0</v>
      </c>
      <c r="H165" s="130">
        <f t="shared" si="42"/>
        <v>0</v>
      </c>
      <c r="I165" s="130">
        <f t="shared" si="42"/>
        <v>0</v>
      </c>
      <c r="J165" s="130">
        <f t="shared" si="42"/>
        <v>0</v>
      </c>
      <c r="K165" s="130">
        <f t="shared" si="42"/>
        <v>0</v>
      </c>
      <c r="L165" s="130">
        <f t="shared" si="42"/>
        <v>0</v>
      </c>
      <c r="M165" s="130">
        <f t="shared" si="42"/>
        <v>0</v>
      </c>
      <c r="N165" s="130">
        <f t="shared" si="42"/>
        <v>0</v>
      </c>
      <c r="O165" s="130">
        <f t="shared" si="42"/>
        <v>0</v>
      </c>
      <c r="P165" s="130">
        <f t="shared" si="42"/>
        <v>0</v>
      </c>
      <c r="Q165" s="130">
        <f t="shared" si="42"/>
        <v>0</v>
      </c>
      <c r="R165" s="130">
        <f t="shared" si="42"/>
        <v>0</v>
      </c>
      <c r="S165" s="130">
        <f t="shared" si="42"/>
        <v>0</v>
      </c>
      <c r="T165" s="130">
        <f t="shared" si="42"/>
        <v>0</v>
      </c>
      <c r="U165" s="130">
        <f t="shared" si="42"/>
        <v>0</v>
      </c>
      <c r="V165" s="130">
        <f t="shared" si="42"/>
        <v>0</v>
      </c>
      <c r="W165" s="130">
        <f t="shared" si="42"/>
        <v>0</v>
      </c>
      <c r="X165" s="130">
        <f t="shared" si="42"/>
        <v>0</v>
      </c>
      <c r="Y165" s="130">
        <f t="shared" si="42"/>
        <v>0</v>
      </c>
      <c r="Z165" s="130">
        <f t="shared" si="42"/>
        <v>0</v>
      </c>
      <c r="AA165" s="130">
        <f t="shared" si="42"/>
        <v>0</v>
      </c>
      <c r="AB165" s="130">
        <f t="shared" si="42"/>
        <v>0</v>
      </c>
      <c r="AC165" s="130">
        <f t="shared" si="42"/>
        <v>0</v>
      </c>
      <c r="AD165" s="130">
        <f t="shared" si="42"/>
        <v>0</v>
      </c>
      <c r="AE165" s="130">
        <f t="shared" si="42"/>
        <v>0</v>
      </c>
      <c r="AF165" s="130">
        <f t="shared" si="42"/>
        <v>0</v>
      </c>
      <c r="AG165" s="130">
        <f t="shared" si="42"/>
        <v>0</v>
      </c>
      <c r="AH165" s="130">
        <f t="shared" si="42"/>
        <v>0</v>
      </c>
      <c r="AI165" s="130">
        <f t="shared" si="42"/>
        <v>0</v>
      </c>
      <c r="AJ165" s="49" t="str">
        <f t="shared" si="30"/>
        <v/>
      </c>
      <c r="AK165" s="62"/>
      <c r="AL165" s="62" t="str">
        <f t="shared" si="33"/>
        <v>00</v>
      </c>
      <c r="AM165" s="64" t="str">
        <f t="shared" si="34"/>
        <v>00</v>
      </c>
      <c r="AN165" s="64" t="str">
        <f t="shared" si="35"/>
        <v>00</v>
      </c>
      <c r="AO165" s="64" t="str">
        <f t="shared" si="36"/>
        <v>00</v>
      </c>
      <c r="AQ165" t="str">
        <f t="shared" si="31"/>
        <v/>
      </c>
    </row>
    <row r="166" spans="2:43">
      <c r="B166" s="138"/>
      <c r="C166" s="49">
        <f t="shared" si="32"/>
        <v>30</v>
      </c>
      <c r="D166" s="130">
        <f t="shared" si="42"/>
        <v>0</v>
      </c>
      <c r="E166" s="130">
        <f t="shared" si="42"/>
        <v>0</v>
      </c>
      <c r="F166" s="130">
        <f t="shared" si="42"/>
        <v>0</v>
      </c>
      <c r="G166" s="130">
        <f t="shared" si="42"/>
        <v>0</v>
      </c>
      <c r="H166" s="130">
        <f t="shared" si="42"/>
        <v>0</v>
      </c>
      <c r="I166" s="130">
        <f t="shared" si="42"/>
        <v>0</v>
      </c>
      <c r="J166" s="130">
        <f t="shared" si="42"/>
        <v>0</v>
      </c>
      <c r="K166" s="130">
        <f t="shared" si="42"/>
        <v>0</v>
      </c>
      <c r="L166" s="130">
        <f t="shared" si="42"/>
        <v>0</v>
      </c>
      <c r="M166" s="130">
        <f t="shared" si="42"/>
        <v>0</v>
      </c>
      <c r="N166" s="130">
        <f t="shared" si="42"/>
        <v>0</v>
      </c>
      <c r="O166" s="130">
        <f t="shared" si="42"/>
        <v>0</v>
      </c>
      <c r="P166" s="130">
        <f t="shared" si="42"/>
        <v>0</v>
      </c>
      <c r="Q166" s="130">
        <f t="shared" si="42"/>
        <v>0</v>
      </c>
      <c r="R166" s="130">
        <f t="shared" si="42"/>
        <v>0</v>
      </c>
      <c r="S166" s="130">
        <f t="shared" si="42"/>
        <v>0</v>
      </c>
      <c r="T166" s="130">
        <f t="shared" si="42"/>
        <v>0</v>
      </c>
      <c r="U166" s="130">
        <f t="shared" si="42"/>
        <v>0</v>
      </c>
      <c r="V166" s="130">
        <f t="shared" si="42"/>
        <v>0</v>
      </c>
      <c r="W166" s="130">
        <f t="shared" si="42"/>
        <v>0</v>
      </c>
      <c r="X166" s="130">
        <f t="shared" si="42"/>
        <v>0</v>
      </c>
      <c r="Y166" s="130">
        <f t="shared" si="42"/>
        <v>0</v>
      </c>
      <c r="Z166" s="130">
        <f t="shared" si="42"/>
        <v>0</v>
      </c>
      <c r="AA166" s="130">
        <f t="shared" si="42"/>
        <v>0</v>
      </c>
      <c r="AB166" s="130">
        <f t="shared" si="42"/>
        <v>0</v>
      </c>
      <c r="AC166" s="130">
        <f t="shared" si="42"/>
        <v>0</v>
      </c>
      <c r="AD166" s="130">
        <f t="shared" si="42"/>
        <v>0</v>
      </c>
      <c r="AE166" s="130">
        <f t="shared" si="42"/>
        <v>0</v>
      </c>
      <c r="AF166" s="130">
        <f t="shared" si="42"/>
        <v>0</v>
      </c>
      <c r="AG166" s="130">
        <f t="shared" si="42"/>
        <v>0</v>
      </c>
      <c r="AH166" s="130">
        <f t="shared" si="42"/>
        <v>0</v>
      </c>
      <c r="AI166" s="130">
        <f t="shared" si="42"/>
        <v>0</v>
      </c>
      <c r="AJ166" s="49" t="str">
        <f t="shared" si="30"/>
        <v/>
      </c>
      <c r="AK166" s="62"/>
      <c r="AL166" s="62" t="str">
        <f t="shared" si="33"/>
        <v>00</v>
      </c>
      <c r="AM166" s="64" t="str">
        <f t="shared" si="34"/>
        <v>00</v>
      </c>
      <c r="AN166" s="64" t="str">
        <f t="shared" si="35"/>
        <v>00</v>
      </c>
      <c r="AO166" s="64" t="str">
        <f t="shared" si="36"/>
        <v>00</v>
      </c>
      <c r="AQ166" t="str">
        <f t="shared" si="31"/>
        <v/>
      </c>
    </row>
    <row r="167" spans="2:43">
      <c r="B167" s="138"/>
      <c r="C167" s="49">
        <f t="shared" si="32"/>
        <v>31</v>
      </c>
      <c r="D167" s="130">
        <f t="shared" si="42"/>
        <v>0</v>
      </c>
      <c r="E167" s="130">
        <f t="shared" si="42"/>
        <v>0</v>
      </c>
      <c r="F167" s="130">
        <f t="shared" si="42"/>
        <v>0</v>
      </c>
      <c r="G167" s="130">
        <f t="shared" si="42"/>
        <v>0</v>
      </c>
      <c r="H167" s="130">
        <f t="shared" si="42"/>
        <v>0</v>
      </c>
      <c r="I167" s="130">
        <f t="shared" si="42"/>
        <v>0</v>
      </c>
      <c r="J167" s="130">
        <f t="shared" si="42"/>
        <v>0</v>
      </c>
      <c r="K167" s="130">
        <f t="shared" si="42"/>
        <v>0</v>
      </c>
      <c r="L167" s="130">
        <f t="shared" si="42"/>
        <v>0</v>
      </c>
      <c r="M167" s="130">
        <f t="shared" si="42"/>
        <v>0</v>
      </c>
      <c r="N167" s="130">
        <f t="shared" si="42"/>
        <v>0</v>
      </c>
      <c r="O167" s="130">
        <f t="shared" si="42"/>
        <v>0</v>
      </c>
      <c r="P167" s="130">
        <f t="shared" si="42"/>
        <v>0</v>
      </c>
      <c r="Q167" s="130">
        <f t="shared" si="42"/>
        <v>0</v>
      </c>
      <c r="R167" s="130">
        <f t="shared" si="42"/>
        <v>0</v>
      </c>
      <c r="S167" s="130">
        <f t="shared" si="42"/>
        <v>0</v>
      </c>
      <c r="T167" s="130">
        <f t="shared" si="42"/>
        <v>0</v>
      </c>
      <c r="U167" s="130">
        <f t="shared" si="42"/>
        <v>0</v>
      </c>
      <c r="V167" s="130">
        <f t="shared" si="42"/>
        <v>0</v>
      </c>
      <c r="W167" s="130">
        <f t="shared" si="42"/>
        <v>0</v>
      </c>
      <c r="X167" s="130">
        <f t="shared" si="42"/>
        <v>0</v>
      </c>
      <c r="Y167" s="130">
        <f t="shared" si="42"/>
        <v>0</v>
      </c>
      <c r="Z167" s="130">
        <f t="shared" si="42"/>
        <v>0</v>
      </c>
      <c r="AA167" s="130">
        <f t="shared" si="42"/>
        <v>0</v>
      </c>
      <c r="AB167" s="130">
        <f t="shared" si="42"/>
        <v>0</v>
      </c>
      <c r="AC167" s="130">
        <f t="shared" si="42"/>
        <v>0</v>
      </c>
      <c r="AD167" s="130">
        <f t="shared" si="42"/>
        <v>0</v>
      </c>
      <c r="AE167" s="130">
        <f t="shared" si="42"/>
        <v>0</v>
      </c>
      <c r="AF167" s="130">
        <f t="shared" si="42"/>
        <v>0</v>
      </c>
      <c r="AG167" s="130">
        <f t="shared" si="42"/>
        <v>0</v>
      </c>
      <c r="AH167" s="130">
        <f t="shared" si="42"/>
        <v>0</v>
      </c>
      <c r="AI167" s="130">
        <f t="shared" ref="AI167" si="43">IF(OR(AI37=0,AI37=1),1,0)</f>
        <v>0</v>
      </c>
      <c r="AJ167" s="49" t="str">
        <f t="shared" si="30"/>
        <v/>
      </c>
      <c r="AK167" s="62"/>
      <c r="AL167" s="62" t="str">
        <f t="shared" si="33"/>
        <v>00</v>
      </c>
      <c r="AM167" s="64" t="str">
        <f t="shared" si="34"/>
        <v>00</v>
      </c>
      <c r="AN167" s="64" t="str">
        <f t="shared" si="35"/>
        <v>00</v>
      </c>
      <c r="AO167" s="64" t="str">
        <f t="shared" si="36"/>
        <v>00</v>
      </c>
      <c r="AQ167" t="str">
        <f t="shared" si="31"/>
        <v/>
      </c>
    </row>
    <row r="168" spans="2:43">
      <c r="B168" s="138"/>
      <c r="C168" s="49">
        <f t="shared" si="32"/>
        <v>32</v>
      </c>
      <c r="D168" s="130">
        <f t="shared" ref="D168:AI175" si="44">IF(OR(D38=0,D38=1),1,0)</f>
        <v>0</v>
      </c>
      <c r="E168" s="130">
        <f t="shared" si="44"/>
        <v>0</v>
      </c>
      <c r="F168" s="130">
        <f t="shared" si="44"/>
        <v>0</v>
      </c>
      <c r="G168" s="130">
        <f t="shared" si="44"/>
        <v>0</v>
      </c>
      <c r="H168" s="130">
        <f t="shared" si="44"/>
        <v>0</v>
      </c>
      <c r="I168" s="130">
        <f t="shared" si="44"/>
        <v>0</v>
      </c>
      <c r="J168" s="130">
        <f t="shared" si="44"/>
        <v>0</v>
      </c>
      <c r="K168" s="130">
        <f t="shared" si="44"/>
        <v>0</v>
      </c>
      <c r="L168" s="130">
        <f t="shared" si="44"/>
        <v>0</v>
      </c>
      <c r="M168" s="130">
        <f t="shared" si="44"/>
        <v>0</v>
      </c>
      <c r="N168" s="130">
        <f t="shared" si="44"/>
        <v>0</v>
      </c>
      <c r="O168" s="130">
        <f t="shared" si="44"/>
        <v>0</v>
      </c>
      <c r="P168" s="130">
        <f t="shared" si="44"/>
        <v>0</v>
      </c>
      <c r="Q168" s="130">
        <f t="shared" si="44"/>
        <v>0</v>
      </c>
      <c r="R168" s="130">
        <f t="shared" si="44"/>
        <v>0</v>
      </c>
      <c r="S168" s="130">
        <f t="shared" si="44"/>
        <v>0</v>
      </c>
      <c r="T168" s="130">
        <f t="shared" si="44"/>
        <v>0</v>
      </c>
      <c r="U168" s="130">
        <f t="shared" si="44"/>
        <v>0</v>
      </c>
      <c r="V168" s="130">
        <f t="shared" si="44"/>
        <v>0</v>
      </c>
      <c r="W168" s="130">
        <f t="shared" si="44"/>
        <v>0</v>
      </c>
      <c r="X168" s="130">
        <f t="shared" si="44"/>
        <v>0</v>
      </c>
      <c r="Y168" s="130">
        <f t="shared" si="44"/>
        <v>0</v>
      </c>
      <c r="Z168" s="130">
        <f t="shared" si="44"/>
        <v>0</v>
      </c>
      <c r="AA168" s="130">
        <f t="shared" si="44"/>
        <v>0</v>
      </c>
      <c r="AB168" s="130">
        <f t="shared" si="44"/>
        <v>0</v>
      </c>
      <c r="AC168" s="130">
        <f t="shared" si="44"/>
        <v>0</v>
      </c>
      <c r="AD168" s="130">
        <f t="shared" si="44"/>
        <v>0</v>
      </c>
      <c r="AE168" s="130">
        <f t="shared" si="44"/>
        <v>0</v>
      </c>
      <c r="AF168" s="130">
        <f t="shared" si="44"/>
        <v>0</v>
      </c>
      <c r="AG168" s="130">
        <f t="shared" si="44"/>
        <v>0</v>
      </c>
      <c r="AH168" s="130">
        <f t="shared" si="44"/>
        <v>0</v>
      </c>
      <c r="AI168" s="130">
        <f t="shared" si="44"/>
        <v>0</v>
      </c>
      <c r="AJ168" s="49" t="str">
        <f t="shared" si="30"/>
        <v/>
      </c>
      <c r="AK168" s="62"/>
      <c r="AL168" s="62" t="str">
        <f t="shared" si="33"/>
        <v>00</v>
      </c>
      <c r="AM168" s="64" t="str">
        <f t="shared" si="34"/>
        <v>00</v>
      </c>
      <c r="AN168" s="64" t="str">
        <f t="shared" si="35"/>
        <v>00</v>
      </c>
      <c r="AO168" s="64" t="str">
        <f t="shared" si="36"/>
        <v>00</v>
      </c>
      <c r="AQ168" t="str">
        <f t="shared" si="31"/>
        <v/>
      </c>
    </row>
    <row r="169" spans="2:43">
      <c r="B169" s="138"/>
      <c r="C169" s="49">
        <f t="shared" si="32"/>
        <v>33</v>
      </c>
      <c r="D169" s="130">
        <f t="shared" si="44"/>
        <v>0</v>
      </c>
      <c r="E169" s="130">
        <f t="shared" si="44"/>
        <v>0</v>
      </c>
      <c r="F169" s="130">
        <f t="shared" si="44"/>
        <v>0</v>
      </c>
      <c r="G169" s="130">
        <f t="shared" si="44"/>
        <v>0</v>
      </c>
      <c r="H169" s="130">
        <f t="shared" si="44"/>
        <v>0</v>
      </c>
      <c r="I169" s="130">
        <f t="shared" si="44"/>
        <v>0</v>
      </c>
      <c r="J169" s="130">
        <f t="shared" si="44"/>
        <v>0</v>
      </c>
      <c r="K169" s="130">
        <f t="shared" si="44"/>
        <v>0</v>
      </c>
      <c r="L169" s="130">
        <f t="shared" si="44"/>
        <v>0</v>
      </c>
      <c r="M169" s="130">
        <f t="shared" si="44"/>
        <v>0</v>
      </c>
      <c r="N169" s="130">
        <f t="shared" si="44"/>
        <v>0</v>
      </c>
      <c r="O169" s="130">
        <f t="shared" si="44"/>
        <v>0</v>
      </c>
      <c r="P169" s="130">
        <f t="shared" si="44"/>
        <v>0</v>
      </c>
      <c r="Q169" s="130">
        <f t="shared" si="44"/>
        <v>0</v>
      </c>
      <c r="R169" s="130">
        <f t="shared" si="44"/>
        <v>0</v>
      </c>
      <c r="S169" s="130">
        <f t="shared" si="44"/>
        <v>0</v>
      </c>
      <c r="T169" s="130">
        <f t="shared" si="44"/>
        <v>0</v>
      </c>
      <c r="U169" s="130">
        <f t="shared" si="44"/>
        <v>0</v>
      </c>
      <c r="V169" s="130">
        <f t="shared" si="44"/>
        <v>0</v>
      </c>
      <c r="W169" s="130">
        <f t="shared" si="44"/>
        <v>0</v>
      </c>
      <c r="X169" s="130">
        <f t="shared" si="44"/>
        <v>0</v>
      </c>
      <c r="Y169" s="130">
        <f t="shared" si="44"/>
        <v>0</v>
      </c>
      <c r="Z169" s="130">
        <f t="shared" si="44"/>
        <v>0</v>
      </c>
      <c r="AA169" s="130">
        <f t="shared" si="44"/>
        <v>0</v>
      </c>
      <c r="AB169" s="130">
        <f t="shared" si="44"/>
        <v>0</v>
      </c>
      <c r="AC169" s="130">
        <f t="shared" si="44"/>
        <v>0</v>
      </c>
      <c r="AD169" s="130">
        <f t="shared" si="44"/>
        <v>0</v>
      </c>
      <c r="AE169" s="130">
        <f t="shared" si="44"/>
        <v>0</v>
      </c>
      <c r="AF169" s="130">
        <f t="shared" si="44"/>
        <v>0</v>
      </c>
      <c r="AG169" s="130">
        <f t="shared" si="44"/>
        <v>0</v>
      </c>
      <c r="AH169" s="130">
        <f t="shared" si="44"/>
        <v>0</v>
      </c>
      <c r="AI169" s="130">
        <f t="shared" si="44"/>
        <v>0</v>
      </c>
      <c r="AJ169" s="49" t="str">
        <f t="shared" si="30"/>
        <v/>
      </c>
      <c r="AK169" s="62"/>
      <c r="AL169" s="62" t="str">
        <f t="shared" si="33"/>
        <v>00</v>
      </c>
      <c r="AM169" s="64" t="str">
        <f t="shared" si="34"/>
        <v>00</v>
      </c>
      <c r="AN169" s="64" t="str">
        <f t="shared" si="35"/>
        <v>00</v>
      </c>
      <c r="AO169" s="64" t="str">
        <f t="shared" si="36"/>
        <v>00</v>
      </c>
      <c r="AQ169" t="str">
        <f t="shared" si="31"/>
        <v/>
      </c>
    </row>
    <row r="170" spans="2:43">
      <c r="B170" s="138"/>
      <c r="C170" s="49">
        <f t="shared" si="32"/>
        <v>34</v>
      </c>
      <c r="D170" s="130">
        <f t="shared" si="44"/>
        <v>0</v>
      </c>
      <c r="E170" s="130">
        <f t="shared" si="44"/>
        <v>0</v>
      </c>
      <c r="F170" s="130">
        <f t="shared" si="44"/>
        <v>0</v>
      </c>
      <c r="G170" s="130">
        <f t="shared" si="44"/>
        <v>0</v>
      </c>
      <c r="H170" s="130">
        <f t="shared" si="44"/>
        <v>0</v>
      </c>
      <c r="I170" s="130">
        <f t="shared" si="44"/>
        <v>0</v>
      </c>
      <c r="J170" s="130">
        <f t="shared" si="44"/>
        <v>0</v>
      </c>
      <c r="K170" s="130">
        <f t="shared" si="44"/>
        <v>0</v>
      </c>
      <c r="L170" s="130">
        <f t="shared" si="44"/>
        <v>0</v>
      </c>
      <c r="M170" s="130">
        <f t="shared" si="44"/>
        <v>0</v>
      </c>
      <c r="N170" s="130">
        <f t="shared" si="44"/>
        <v>0</v>
      </c>
      <c r="O170" s="130">
        <f t="shared" si="44"/>
        <v>0</v>
      </c>
      <c r="P170" s="130">
        <f t="shared" si="44"/>
        <v>0</v>
      </c>
      <c r="Q170" s="130">
        <f t="shared" si="44"/>
        <v>0</v>
      </c>
      <c r="R170" s="130">
        <f t="shared" si="44"/>
        <v>0</v>
      </c>
      <c r="S170" s="130">
        <f t="shared" si="44"/>
        <v>0</v>
      </c>
      <c r="T170" s="130">
        <f t="shared" si="44"/>
        <v>0</v>
      </c>
      <c r="U170" s="130">
        <f t="shared" si="44"/>
        <v>0</v>
      </c>
      <c r="V170" s="130">
        <f t="shared" si="44"/>
        <v>0</v>
      </c>
      <c r="W170" s="130">
        <f t="shared" si="44"/>
        <v>0</v>
      </c>
      <c r="X170" s="130">
        <f t="shared" si="44"/>
        <v>0</v>
      </c>
      <c r="Y170" s="130">
        <f t="shared" si="44"/>
        <v>0</v>
      </c>
      <c r="Z170" s="130">
        <f t="shared" si="44"/>
        <v>0</v>
      </c>
      <c r="AA170" s="130">
        <f t="shared" si="44"/>
        <v>0</v>
      </c>
      <c r="AB170" s="130">
        <f t="shared" si="44"/>
        <v>0</v>
      </c>
      <c r="AC170" s="130">
        <f t="shared" si="44"/>
        <v>0</v>
      </c>
      <c r="AD170" s="130">
        <f t="shared" si="44"/>
        <v>0</v>
      </c>
      <c r="AE170" s="130">
        <f t="shared" si="44"/>
        <v>0</v>
      </c>
      <c r="AF170" s="130">
        <f t="shared" si="44"/>
        <v>0</v>
      </c>
      <c r="AG170" s="130">
        <f t="shared" si="44"/>
        <v>0</v>
      </c>
      <c r="AH170" s="130">
        <f t="shared" si="44"/>
        <v>0</v>
      </c>
      <c r="AI170" s="130">
        <f t="shared" si="44"/>
        <v>0</v>
      </c>
      <c r="AJ170" s="49" t="str">
        <f t="shared" si="30"/>
        <v/>
      </c>
      <c r="AK170" s="62"/>
      <c r="AL170" s="62" t="str">
        <f t="shared" si="33"/>
        <v>00</v>
      </c>
      <c r="AM170" s="64" t="str">
        <f t="shared" si="34"/>
        <v>00</v>
      </c>
      <c r="AN170" s="64" t="str">
        <f t="shared" si="35"/>
        <v>00</v>
      </c>
      <c r="AO170" s="64" t="str">
        <f t="shared" si="36"/>
        <v>00</v>
      </c>
      <c r="AQ170" t="str">
        <f t="shared" si="31"/>
        <v/>
      </c>
    </row>
    <row r="171" spans="2:43">
      <c r="B171" s="138"/>
      <c r="C171" s="49">
        <f t="shared" si="32"/>
        <v>35</v>
      </c>
      <c r="D171" s="130">
        <f t="shared" si="44"/>
        <v>0</v>
      </c>
      <c r="E171" s="130">
        <f t="shared" si="44"/>
        <v>0</v>
      </c>
      <c r="F171" s="130">
        <f t="shared" si="44"/>
        <v>0</v>
      </c>
      <c r="G171" s="130">
        <f t="shared" si="44"/>
        <v>0</v>
      </c>
      <c r="H171" s="130">
        <f t="shared" si="44"/>
        <v>0</v>
      </c>
      <c r="I171" s="130">
        <f t="shared" si="44"/>
        <v>0</v>
      </c>
      <c r="J171" s="130">
        <f t="shared" si="44"/>
        <v>0</v>
      </c>
      <c r="K171" s="130">
        <f t="shared" si="44"/>
        <v>0</v>
      </c>
      <c r="L171" s="130">
        <f t="shared" si="44"/>
        <v>0</v>
      </c>
      <c r="M171" s="130">
        <f t="shared" si="44"/>
        <v>0</v>
      </c>
      <c r="N171" s="130">
        <f t="shared" si="44"/>
        <v>0</v>
      </c>
      <c r="O171" s="130">
        <f t="shared" si="44"/>
        <v>0</v>
      </c>
      <c r="P171" s="130">
        <f t="shared" si="44"/>
        <v>0</v>
      </c>
      <c r="Q171" s="130">
        <f t="shared" si="44"/>
        <v>0</v>
      </c>
      <c r="R171" s="130">
        <f t="shared" si="44"/>
        <v>0</v>
      </c>
      <c r="S171" s="130">
        <f t="shared" si="44"/>
        <v>0</v>
      </c>
      <c r="T171" s="130">
        <f t="shared" si="44"/>
        <v>0</v>
      </c>
      <c r="U171" s="130">
        <f t="shared" si="44"/>
        <v>0</v>
      </c>
      <c r="V171" s="130">
        <f t="shared" si="44"/>
        <v>0</v>
      </c>
      <c r="W171" s="130">
        <f t="shared" si="44"/>
        <v>0</v>
      </c>
      <c r="X171" s="130">
        <f t="shared" si="44"/>
        <v>0</v>
      </c>
      <c r="Y171" s="130">
        <f t="shared" si="44"/>
        <v>0</v>
      </c>
      <c r="Z171" s="130">
        <f t="shared" si="44"/>
        <v>0</v>
      </c>
      <c r="AA171" s="130">
        <f t="shared" si="44"/>
        <v>0</v>
      </c>
      <c r="AB171" s="130">
        <f t="shared" si="44"/>
        <v>0</v>
      </c>
      <c r="AC171" s="130">
        <f t="shared" si="44"/>
        <v>0</v>
      </c>
      <c r="AD171" s="130">
        <f t="shared" si="44"/>
        <v>0</v>
      </c>
      <c r="AE171" s="130">
        <f t="shared" si="44"/>
        <v>0</v>
      </c>
      <c r="AF171" s="130">
        <f t="shared" si="44"/>
        <v>0</v>
      </c>
      <c r="AG171" s="130">
        <f t="shared" si="44"/>
        <v>0</v>
      </c>
      <c r="AH171" s="130">
        <f t="shared" si="44"/>
        <v>0</v>
      </c>
      <c r="AI171" s="130">
        <f t="shared" si="44"/>
        <v>0</v>
      </c>
      <c r="AJ171" s="49" t="str">
        <f t="shared" si="30"/>
        <v/>
      </c>
      <c r="AK171" s="62"/>
      <c r="AL171" s="62" t="str">
        <f t="shared" si="33"/>
        <v>00</v>
      </c>
      <c r="AM171" s="64" t="str">
        <f t="shared" si="34"/>
        <v>00</v>
      </c>
      <c r="AN171" s="64" t="str">
        <f t="shared" si="35"/>
        <v>00</v>
      </c>
      <c r="AO171" s="64" t="str">
        <f t="shared" si="36"/>
        <v>00</v>
      </c>
      <c r="AQ171" t="str">
        <f t="shared" si="31"/>
        <v/>
      </c>
    </row>
    <row r="172" spans="2:43">
      <c r="B172" s="138"/>
      <c r="C172" s="49">
        <f t="shared" si="32"/>
        <v>36</v>
      </c>
      <c r="D172" s="130">
        <f t="shared" si="44"/>
        <v>0</v>
      </c>
      <c r="E172" s="130">
        <f t="shared" si="44"/>
        <v>0</v>
      </c>
      <c r="F172" s="130">
        <f t="shared" si="44"/>
        <v>0</v>
      </c>
      <c r="G172" s="130">
        <f t="shared" si="44"/>
        <v>0</v>
      </c>
      <c r="H172" s="130">
        <f t="shared" si="44"/>
        <v>0</v>
      </c>
      <c r="I172" s="130">
        <f t="shared" si="44"/>
        <v>0</v>
      </c>
      <c r="J172" s="130">
        <f t="shared" si="44"/>
        <v>0</v>
      </c>
      <c r="K172" s="130">
        <f t="shared" si="44"/>
        <v>0</v>
      </c>
      <c r="L172" s="130">
        <f t="shared" si="44"/>
        <v>0</v>
      </c>
      <c r="M172" s="130">
        <f t="shared" si="44"/>
        <v>0</v>
      </c>
      <c r="N172" s="130">
        <f t="shared" si="44"/>
        <v>0</v>
      </c>
      <c r="O172" s="130">
        <f t="shared" si="44"/>
        <v>0</v>
      </c>
      <c r="P172" s="130">
        <f t="shared" si="44"/>
        <v>0</v>
      </c>
      <c r="Q172" s="130">
        <f t="shared" si="44"/>
        <v>0</v>
      </c>
      <c r="R172" s="130">
        <f t="shared" si="44"/>
        <v>0</v>
      </c>
      <c r="S172" s="130">
        <f t="shared" si="44"/>
        <v>0</v>
      </c>
      <c r="T172" s="130">
        <f t="shared" si="44"/>
        <v>0</v>
      </c>
      <c r="U172" s="130">
        <f t="shared" si="44"/>
        <v>0</v>
      </c>
      <c r="V172" s="130">
        <f t="shared" si="44"/>
        <v>0</v>
      </c>
      <c r="W172" s="130">
        <f t="shared" si="44"/>
        <v>0</v>
      </c>
      <c r="X172" s="130">
        <f t="shared" si="44"/>
        <v>0</v>
      </c>
      <c r="Y172" s="130">
        <f t="shared" si="44"/>
        <v>0</v>
      </c>
      <c r="Z172" s="130">
        <f t="shared" si="44"/>
        <v>0</v>
      </c>
      <c r="AA172" s="130">
        <f t="shared" si="44"/>
        <v>0</v>
      </c>
      <c r="AB172" s="130">
        <f t="shared" si="44"/>
        <v>0</v>
      </c>
      <c r="AC172" s="130">
        <f t="shared" si="44"/>
        <v>0</v>
      </c>
      <c r="AD172" s="130">
        <f t="shared" si="44"/>
        <v>0</v>
      </c>
      <c r="AE172" s="130">
        <f t="shared" si="44"/>
        <v>0</v>
      </c>
      <c r="AF172" s="130">
        <f t="shared" si="44"/>
        <v>0</v>
      </c>
      <c r="AG172" s="130">
        <f t="shared" si="44"/>
        <v>0</v>
      </c>
      <c r="AH172" s="130">
        <f t="shared" si="44"/>
        <v>0</v>
      </c>
      <c r="AI172" s="130">
        <f t="shared" si="44"/>
        <v>0</v>
      </c>
      <c r="AJ172" s="49" t="str">
        <f t="shared" si="30"/>
        <v/>
      </c>
      <c r="AK172" s="62"/>
      <c r="AL172" s="62" t="str">
        <f t="shared" si="33"/>
        <v>00</v>
      </c>
      <c r="AM172" s="64" t="str">
        <f t="shared" si="34"/>
        <v>00</v>
      </c>
      <c r="AN172" s="64" t="str">
        <f t="shared" si="35"/>
        <v>00</v>
      </c>
      <c r="AO172" s="64" t="str">
        <f t="shared" si="36"/>
        <v>00</v>
      </c>
      <c r="AQ172" t="str">
        <f t="shared" si="31"/>
        <v/>
      </c>
    </row>
    <row r="173" spans="2:43">
      <c r="B173" s="138"/>
      <c r="C173" s="49">
        <f t="shared" si="32"/>
        <v>37</v>
      </c>
      <c r="D173" s="130">
        <f t="shared" si="44"/>
        <v>0</v>
      </c>
      <c r="E173" s="130">
        <f t="shared" si="44"/>
        <v>0</v>
      </c>
      <c r="F173" s="130">
        <f t="shared" si="44"/>
        <v>0</v>
      </c>
      <c r="G173" s="130">
        <f t="shared" si="44"/>
        <v>0</v>
      </c>
      <c r="H173" s="130">
        <f t="shared" si="44"/>
        <v>0</v>
      </c>
      <c r="I173" s="130">
        <f t="shared" si="44"/>
        <v>0</v>
      </c>
      <c r="J173" s="130">
        <f t="shared" si="44"/>
        <v>0</v>
      </c>
      <c r="K173" s="130">
        <f t="shared" si="44"/>
        <v>0</v>
      </c>
      <c r="L173" s="130">
        <f t="shared" si="44"/>
        <v>0</v>
      </c>
      <c r="M173" s="130">
        <f t="shared" si="44"/>
        <v>0</v>
      </c>
      <c r="N173" s="130">
        <f t="shared" si="44"/>
        <v>0</v>
      </c>
      <c r="O173" s="130">
        <f t="shared" si="44"/>
        <v>0</v>
      </c>
      <c r="P173" s="130">
        <f t="shared" si="44"/>
        <v>0</v>
      </c>
      <c r="Q173" s="130">
        <f t="shared" si="44"/>
        <v>0</v>
      </c>
      <c r="R173" s="130">
        <f t="shared" si="44"/>
        <v>0</v>
      </c>
      <c r="S173" s="130">
        <f t="shared" si="44"/>
        <v>0</v>
      </c>
      <c r="T173" s="130">
        <f t="shared" si="44"/>
        <v>0</v>
      </c>
      <c r="U173" s="130">
        <f t="shared" si="44"/>
        <v>0</v>
      </c>
      <c r="V173" s="130">
        <f t="shared" si="44"/>
        <v>0</v>
      </c>
      <c r="W173" s="130">
        <f t="shared" si="44"/>
        <v>0</v>
      </c>
      <c r="X173" s="130">
        <f t="shared" si="44"/>
        <v>0</v>
      </c>
      <c r="Y173" s="130">
        <f t="shared" si="44"/>
        <v>0</v>
      </c>
      <c r="Z173" s="130">
        <f t="shared" si="44"/>
        <v>0</v>
      </c>
      <c r="AA173" s="130">
        <f t="shared" si="44"/>
        <v>0</v>
      </c>
      <c r="AB173" s="130">
        <f t="shared" si="44"/>
        <v>0</v>
      </c>
      <c r="AC173" s="130">
        <f t="shared" si="44"/>
        <v>0</v>
      </c>
      <c r="AD173" s="130">
        <f t="shared" si="44"/>
        <v>0</v>
      </c>
      <c r="AE173" s="130">
        <f t="shared" si="44"/>
        <v>0</v>
      </c>
      <c r="AF173" s="130">
        <f t="shared" si="44"/>
        <v>0</v>
      </c>
      <c r="AG173" s="130">
        <f t="shared" si="44"/>
        <v>0</v>
      </c>
      <c r="AH173" s="130">
        <f t="shared" si="44"/>
        <v>0</v>
      </c>
      <c r="AI173" s="130">
        <f t="shared" si="44"/>
        <v>0</v>
      </c>
      <c r="AJ173" s="49" t="str">
        <f t="shared" si="30"/>
        <v/>
      </c>
      <c r="AK173" s="62"/>
      <c r="AL173" s="62" t="str">
        <f t="shared" si="33"/>
        <v>00</v>
      </c>
      <c r="AM173" s="64" t="str">
        <f t="shared" si="34"/>
        <v>00</v>
      </c>
      <c r="AN173" s="64" t="str">
        <f t="shared" si="35"/>
        <v>00</v>
      </c>
      <c r="AO173" s="64" t="str">
        <f t="shared" si="36"/>
        <v>00</v>
      </c>
      <c r="AQ173" t="str">
        <f t="shared" si="31"/>
        <v/>
      </c>
    </row>
    <row r="174" spans="2:43">
      <c r="B174" s="138"/>
      <c r="C174" s="49">
        <f t="shared" si="32"/>
        <v>38</v>
      </c>
      <c r="D174" s="130">
        <f t="shared" si="44"/>
        <v>0</v>
      </c>
      <c r="E174" s="130">
        <f t="shared" si="44"/>
        <v>0</v>
      </c>
      <c r="F174" s="130">
        <f t="shared" si="44"/>
        <v>0</v>
      </c>
      <c r="G174" s="130">
        <f t="shared" si="44"/>
        <v>0</v>
      </c>
      <c r="H174" s="130">
        <f t="shared" si="44"/>
        <v>0</v>
      </c>
      <c r="I174" s="130">
        <f t="shared" si="44"/>
        <v>0</v>
      </c>
      <c r="J174" s="130">
        <f t="shared" si="44"/>
        <v>0</v>
      </c>
      <c r="K174" s="130">
        <f t="shared" si="44"/>
        <v>0</v>
      </c>
      <c r="L174" s="130">
        <f t="shared" si="44"/>
        <v>0</v>
      </c>
      <c r="M174" s="130">
        <f t="shared" si="44"/>
        <v>0</v>
      </c>
      <c r="N174" s="130">
        <f t="shared" si="44"/>
        <v>0</v>
      </c>
      <c r="O174" s="130">
        <f t="shared" si="44"/>
        <v>0</v>
      </c>
      <c r="P174" s="130">
        <f t="shared" si="44"/>
        <v>0</v>
      </c>
      <c r="Q174" s="130">
        <f t="shared" si="44"/>
        <v>0</v>
      </c>
      <c r="R174" s="130">
        <f t="shared" si="44"/>
        <v>0</v>
      </c>
      <c r="S174" s="130">
        <f t="shared" si="44"/>
        <v>0</v>
      </c>
      <c r="T174" s="130">
        <f t="shared" si="44"/>
        <v>0</v>
      </c>
      <c r="U174" s="130">
        <f t="shared" si="44"/>
        <v>0</v>
      </c>
      <c r="V174" s="130">
        <f t="shared" si="44"/>
        <v>0</v>
      </c>
      <c r="W174" s="130">
        <f t="shared" si="44"/>
        <v>0</v>
      </c>
      <c r="X174" s="130">
        <f t="shared" si="44"/>
        <v>0</v>
      </c>
      <c r="Y174" s="130">
        <f t="shared" si="44"/>
        <v>0</v>
      </c>
      <c r="Z174" s="130">
        <f t="shared" si="44"/>
        <v>0</v>
      </c>
      <c r="AA174" s="130">
        <f t="shared" si="44"/>
        <v>0</v>
      </c>
      <c r="AB174" s="130">
        <f t="shared" si="44"/>
        <v>0</v>
      </c>
      <c r="AC174" s="130">
        <f t="shared" si="44"/>
        <v>0</v>
      </c>
      <c r="AD174" s="130">
        <f t="shared" si="44"/>
        <v>0</v>
      </c>
      <c r="AE174" s="130">
        <f t="shared" si="44"/>
        <v>0</v>
      </c>
      <c r="AF174" s="130">
        <f t="shared" si="44"/>
        <v>0</v>
      </c>
      <c r="AG174" s="130">
        <f t="shared" si="44"/>
        <v>0</v>
      </c>
      <c r="AH174" s="130">
        <f t="shared" si="44"/>
        <v>0</v>
      </c>
      <c r="AI174" s="130">
        <f t="shared" si="44"/>
        <v>0</v>
      </c>
      <c r="AJ174" s="49" t="str">
        <f t="shared" si="30"/>
        <v/>
      </c>
      <c r="AK174" s="62"/>
      <c r="AL174" s="62" t="str">
        <f t="shared" si="33"/>
        <v>00</v>
      </c>
      <c r="AM174" s="64" t="str">
        <f t="shared" si="34"/>
        <v>00</v>
      </c>
      <c r="AN174" s="64" t="str">
        <f t="shared" si="35"/>
        <v>00</v>
      </c>
      <c r="AO174" s="64" t="str">
        <f t="shared" si="36"/>
        <v>00</v>
      </c>
      <c r="AQ174" t="str">
        <f t="shared" si="31"/>
        <v/>
      </c>
    </row>
    <row r="175" spans="2:43">
      <c r="B175" s="138"/>
      <c r="C175" s="49">
        <f t="shared" si="32"/>
        <v>39</v>
      </c>
      <c r="D175" s="130">
        <f t="shared" si="44"/>
        <v>0</v>
      </c>
      <c r="E175" s="130">
        <f t="shared" si="44"/>
        <v>0</v>
      </c>
      <c r="F175" s="130">
        <f t="shared" si="44"/>
        <v>0</v>
      </c>
      <c r="G175" s="130">
        <f t="shared" si="44"/>
        <v>0</v>
      </c>
      <c r="H175" s="130">
        <f t="shared" si="44"/>
        <v>0</v>
      </c>
      <c r="I175" s="130">
        <f t="shared" si="44"/>
        <v>0</v>
      </c>
      <c r="J175" s="130">
        <f t="shared" si="44"/>
        <v>0</v>
      </c>
      <c r="K175" s="130">
        <f t="shared" si="44"/>
        <v>0</v>
      </c>
      <c r="L175" s="130">
        <f t="shared" si="44"/>
        <v>0</v>
      </c>
      <c r="M175" s="130">
        <f t="shared" si="44"/>
        <v>0</v>
      </c>
      <c r="N175" s="130">
        <f t="shared" si="44"/>
        <v>0</v>
      </c>
      <c r="O175" s="130">
        <f t="shared" si="44"/>
        <v>0</v>
      </c>
      <c r="P175" s="130">
        <f t="shared" si="44"/>
        <v>0</v>
      </c>
      <c r="Q175" s="130">
        <f t="shared" si="44"/>
        <v>0</v>
      </c>
      <c r="R175" s="130">
        <f t="shared" si="44"/>
        <v>0</v>
      </c>
      <c r="S175" s="130">
        <f t="shared" si="44"/>
        <v>0</v>
      </c>
      <c r="T175" s="130">
        <f t="shared" si="44"/>
        <v>0</v>
      </c>
      <c r="U175" s="130">
        <f t="shared" si="44"/>
        <v>0</v>
      </c>
      <c r="V175" s="130">
        <f t="shared" si="44"/>
        <v>0</v>
      </c>
      <c r="W175" s="130">
        <f t="shared" si="44"/>
        <v>0</v>
      </c>
      <c r="X175" s="130">
        <f t="shared" si="44"/>
        <v>0</v>
      </c>
      <c r="Y175" s="130">
        <f t="shared" si="44"/>
        <v>0</v>
      </c>
      <c r="Z175" s="130">
        <f t="shared" si="44"/>
        <v>0</v>
      </c>
      <c r="AA175" s="130">
        <f t="shared" si="44"/>
        <v>0</v>
      </c>
      <c r="AB175" s="130">
        <f t="shared" si="44"/>
        <v>0</v>
      </c>
      <c r="AC175" s="130">
        <f t="shared" si="44"/>
        <v>0</v>
      </c>
      <c r="AD175" s="130">
        <f t="shared" si="44"/>
        <v>0</v>
      </c>
      <c r="AE175" s="130">
        <f t="shared" si="44"/>
        <v>0</v>
      </c>
      <c r="AF175" s="130">
        <f t="shared" si="44"/>
        <v>0</v>
      </c>
      <c r="AG175" s="130">
        <f t="shared" si="44"/>
        <v>0</v>
      </c>
      <c r="AH175" s="130">
        <f t="shared" si="44"/>
        <v>0</v>
      </c>
      <c r="AI175" s="130">
        <f t="shared" ref="AI175" si="45">IF(OR(AI45=0,AI45=1),1,0)</f>
        <v>0</v>
      </c>
      <c r="AJ175" s="49" t="str">
        <f t="shared" si="30"/>
        <v/>
      </c>
      <c r="AK175" s="62"/>
      <c r="AL175" s="62" t="str">
        <f t="shared" si="33"/>
        <v>00</v>
      </c>
      <c r="AM175" s="64" t="str">
        <f t="shared" si="34"/>
        <v>00</v>
      </c>
      <c r="AN175" s="64" t="str">
        <f t="shared" si="35"/>
        <v>00</v>
      </c>
      <c r="AO175" s="64" t="str">
        <f t="shared" si="36"/>
        <v>00</v>
      </c>
      <c r="AQ175" t="str">
        <f t="shared" si="31"/>
        <v/>
      </c>
    </row>
    <row r="176" spans="2:43">
      <c r="B176" s="138"/>
      <c r="C176" s="49">
        <f t="shared" si="32"/>
        <v>40</v>
      </c>
      <c r="D176" s="130">
        <f t="shared" ref="D176:AI183" si="46">IF(OR(D46=0,D46=1),1,0)</f>
        <v>0</v>
      </c>
      <c r="E176" s="130">
        <f t="shared" si="46"/>
        <v>0</v>
      </c>
      <c r="F176" s="130">
        <f t="shared" si="46"/>
        <v>0</v>
      </c>
      <c r="G176" s="130">
        <f t="shared" si="46"/>
        <v>0</v>
      </c>
      <c r="H176" s="130">
        <f t="shared" si="46"/>
        <v>0</v>
      </c>
      <c r="I176" s="130">
        <f t="shared" si="46"/>
        <v>0</v>
      </c>
      <c r="J176" s="130">
        <f t="shared" si="46"/>
        <v>0</v>
      </c>
      <c r="K176" s="130">
        <f t="shared" si="46"/>
        <v>0</v>
      </c>
      <c r="L176" s="130">
        <f t="shared" si="46"/>
        <v>0</v>
      </c>
      <c r="M176" s="130">
        <f t="shared" si="46"/>
        <v>0</v>
      </c>
      <c r="N176" s="130">
        <f t="shared" si="46"/>
        <v>0</v>
      </c>
      <c r="O176" s="130">
        <f t="shared" si="46"/>
        <v>0</v>
      </c>
      <c r="P176" s="130">
        <f t="shared" si="46"/>
        <v>0</v>
      </c>
      <c r="Q176" s="130">
        <f t="shared" si="46"/>
        <v>0</v>
      </c>
      <c r="R176" s="130">
        <f t="shared" si="46"/>
        <v>0</v>
      </c>
      <c r="S176" s="130">
        <f t="shared" si="46"/>
        <v>0</v>
      </c>
      <c r="T176" s="130">
        <f t="shared" si="46"/>
        <v>0</v>
      </c>
      <c r="U176" s="130">
        <f t="shared" si="46"/>
        <v>0</v>
      </c>
      <c r="V176" s="130">
        <f t="shared" si="46"/>
        <v>0</v>
      </c>
      <c r="W176" s="130">
        <f t="shared" si="46"/>
        <v>0</v>
      </c>
      <c r="X176" s="130">
        <f t="shared" si="46"/>
        <v>0</v>
      </c>
      <c r="Y176" s="130">
        <f t="shared" si="46"/>
        <v>0</v>
      </c>
      <c r="Z176" s="130">
        <f t="shared" si="46"/>
        <v>0</v>
      </c>
      <c r="AA176" s="130">
        <f t="shared" si="46"/>
        <v>0</v>
      </c>
      <c r="AB176" s="130">
        <f t="shared" si="46"/>
        <v>0</v>
      </c>
      <c r="AC176" s="130">
        <f t="shared" si="46"/>
        <v>0</v>
      </c>
      <c r="AD176" s="130">
        <f t="shared" si="46"/>
        <v>0</v>
      </c>
      <c r="AE176" s="130">
        <f t="shared" si="46"/>
        <v>0</v>
      </c>
      <c r="AF176" s="130">
        <f t="shared" si="46"/>
        <v>0</v>
      </c>
      <c r="AG176" s="130">
        <f t="shared" si="46"/>
        <v>0</v>
      </c>
      <c r="AH176" s="130">
        <f t="shared" si="46"/>
        <v>0</v>
      </c>
      <c r="AI176" s="130">
        <f t="shared" si="46"/>
        <v>0</v>
      </c>
      <c r="AJ176" s="49" t="str">
        <f t="shared" si="30"/>
        <v/>
      </c>
      <c r="AK176" s="62"/>
      <c r="AL176" s="62" t="str">
        <f t="shared" si="33"/>
        <v>00</v>
      </c>
      <c r="AM176" s="64" t="str">
        <f t="shared" si="34"/>
        <v>00</v>
      </c>
      <c r="AN176" s="64" t="str">
        <f t="shared" si="35"/>
        <v>00</v>
      </c>
      <c r="AO176" s="64" t="str">
        <f t="shared" si="36"/>
        <v>00</v>
      </c>
      <c r="AQ176" t="str">
        <f t="shared" si="31"/>
        <v/>
      </c>
    </row>
    <row r="177" spans="2:43">
      <c r="B177" s="138"/>
      <c r="C177" s="49">
        <f t="shared" si="32"/>
        <v>41</v>
      </c>
      <c r="D177" s="130">
        <f t="shared" si="46"/>
        <v>0</v>
      </c>
      <c r="E177" s="130">
        <f t="shared" si="46"/>
        <v>0</v>
      </c>
      <c r="F177" s="130">
        <f t="shared" si="46"/>
        <v>0</v>
      </c>
      <c r="G177" s="130">
        <f t="shared" si="46"/>
        <v>0</v>
      </c>
      <c r="H177" s="130">
        <f t="shared" si="46"/>
        <v>0</v>
      </c>
      <c r="I177" s="130">
        <f t="shared" si="46"/>
        <v>0</v>
      </c>
      <c r="J177" s="130">
        <f t="shared" si="46"/>
        <v>0</v>
      </c>
      <c r="K177" s="130">
        <f t="shared" si="46"/>
        <v>0</v>
      </c>
      <c r="L177" s="130">
        <f t="shared" si="46"/>
        <v>0</v>
      </c>
      <c r="M177" s="130">
        <f t="shared" si="46"/>
        <v>0</v>
      </c>
      <c r="N177" s="130">
        <f t="shared" si="46"/>
        <v>0</v>
      </c>
      <c r="O177" s="130">
        <f t="shared" si="46"/>
        <v>0</v>
      </c>
      <c r="P177" s="130">
        <f t="shared" si="46"/>
        <v>0</v>
      </c>
      <c r="Q177" s="130">
        <f t="shared" si="46"/>
        <v>0</v>
      </c>
      <c r="R177" s="130">
        <f t="shared" si="46"/>
        <v>0</v>
      </c>
      <c r="S177" s="130">
        <f t="shared" si="46"/>
        <v>0</v>
      </c>
      <c r="T177" s="130">
        <f t="shared" si="46"/>
        <v>0</v>
      </c>
      <c r="U177" s="130">
        <f t="shared" si="46"/>
        <v>0</v>
      </c>
      <c r="V177" s="130">
        <f t="shared" si="46"/>
        <v>0</v>
      </c>
      <c r="W177" s="130">
        <f t="shared" si="46"/>
        <v>0</v>
      </c>
      <c r="X177" s="130">
        <f t="shared" si="46"/>
        <v>0</v>
      </c>
      <c r="Y177" s="130">
        <f t="shared" si="46"/>
        <v>0</v>
      </c>
      <c r="Z177" s="130">
        <f t="shared" si="46"/>
        <v>0</v>
      </c>
      <c r="AA177" s="130">
        <f t="shared" si="46"/>
        <v>0</v>
      </c>
      <c r="AB177" s="130">
        <f t="shared" si="46"/>
        <v>0</v>
      </c>
      <c r="AC177" s="130">
        <f t="shared" si="46"/>
        <v>0</v>
      </c>
      <c r="AD177" s="130">
        <f t="shared" si="46"/>
        <v>0</v>
      </c>
      <c r="AE177" s="130">
        <f t="shared" si="46"/>
        <v>0</v>
      </c>
      <c r="AF177" s="130">
        <f t="shared" si="46"/>
        <v>0</v>
      </c>
      <c r="AG177" s="130">
        <f t="shared" si="46"/>
        <v>0</v>
      </c>
      <c r="AH177" s="130">
        <f t="shared" si="46"/>
        <v>0</v>
      </c>
      <c r="AI177" s="130">
        <f t="shared" si="46"/>
        <v>0</v>
      </c>
      <c r="AJ177" s="49" t="str">
        <f t="shared" si="30"/>
        <v/>
      </c>
      <c r="AK177" s="62"/>
      <c r="AL177" s="62" t="str">
        <f t="shared" si="33"/>
        <v>00</v>
      </c>
      <c r="AM177" s="64" t="str">
        <f t="shared" si="34"/>
        <v>00</v>
      </c>
      <c r="AN177" s="64" t="str">
        <f t="shared" si="35"/>
        <v>00</v>
      </c>
      <c r="AO177" s="64" t="str">
        <f t="shared" si="36"/>
        <v>00</v>
      </c>
      <c r="AQ177" t="str">
        <f t="shared" si="31"/>
        <v/>
      </c>
    </row>
    <row r="178" spans="2:43">
      <c r="B178" s="138"/>
      <c r="C178" s="49">
        <f t="shared" si="32"/>
        <v>42</v>
      </c>
      <c r="D178" s="130">
        <f t="shared" si="46"/>
        <v>0</v>
      </c>
      <c r="E178" s="130">
        <f t="shared" si="46"/>
        <v>0</v>
      </c>
      <c r="F178" s="130">
        <f t="shared" si="46"/>
        <v>0</v>
      </c>
      <c r="G178" s="130">
        <f t="shared" si="46"/>
        <v>0</v>
      </c>
      <c r="H178" s="130">
        <f t="shared" si="46"/>
        <v>0</v>
      </c>
      <c r="I178" s="130">
        <f t="shared" si="46"/>
        <v>0</v>
      </c>
      <c r="J178" s="130">
        <f t="shared" si="46"/>
        <v>0</v>
      </c>
      <c r="K178" s="130">
        <f t="shared" si="46"/>
        <v>0</v>
      </c>
      <c r="L178" s="130">
        <f t="shared" si="46"/>
        <v>0</v>
      </c>
      <c r="M178" s="130">
        <f t="shared" si="46"/>
        <v>0</v>
      </c>
      <c r="N178" s="130">
        <f t="shared" si="46"/>
        <v>0</v>
      </c>
      <c r="O178" s="130">
        <f t="shared" si="46"/>
        <v>0</v>
      </c>
      <c r="P178" s="130">
        <f t="shared" si="46"/>
        <v>0</v>
      </c>
      <c r="Q178" s="130">
        <f t="shared" si="46"/>
        <v>0</v>
      </c>
      <c r="R178" s="130">
        <f t="shared" si="46"/>
        <v>0</v>
      </c>
      <c r="S178" s="130">
        <f t="shared" si="46"/>
        <v>0</v>
      </c>
      <c r="T178" s="130">
        <f t="shared" si="46"/>
        <v>0</v>
      </c>
      <c r="U178" s="130">
        <f t="shared" si="46"/>
        <v>0</v>
      </c>
      <c r="V178" s="130">
        <f t="shared" si="46"/>
        <v>0</v>
      </c>
      <c r="W178" s="130">
        <f t="shared" si="46"/>
        <v>0</v>
      </c>
      <c r="X178" s="130">
        <f t="shared" si="46"/>
        <v>0</v>
      </c>
      <c r="Y178" s="130">
        <f t="shared" si="46"/>
        <v>0</v>
      </c>
      <c r="Z178" s="130">
        <f t="shared" si="46"/>
        <v>0</v>
      </c>
      <c r="AA178" s="130">
        <f t="shared" si="46"/>
        <v>0</v>
      </c>
      <c r="AB178" s="130">
        <f t="shared" si="46"/>
        <v>0</v>
      </c>
      <c r="AC178" s="130">
        <f t="shared" si="46"/>
        <v>0</v>
      </c>
      <c r="AD178" s="130">
        <f t="shared" si="46"/>
        <v>0</v>
      </c>
      <c r="AE178" s="130">
        <f t="shared" si="46"/>
        <v>0</v>
      </c>
      <c r="AF178" s="130">
        <f t="shared" si="46"/>
        <v>0</v>
      </c>
      <c r="AG178" s="130">
        <f t="shared" si="46"/>
        <v>0</v>
      </c>
      <c r="AH178" s="130">
        <f t="shared" si="46"/>
        <v>0</v>
      </c>
      <c r="AI178" s="130">
        <f t="shared" si="46"/>
        <v>0</v>
      </c>
      <c r="AJ178" s="49" t="str">
        <f t="shared" si="30"/>
        <v/>
      </c>
      <c r="AK178" s="62"/>
      <c r="AL178" s="62" t="str">
        <f t="shared" si="33"/>
        <v>00</v>
      </c>
      <c r="AM178" s="64" t="str">
        <f t="shared" si="34"/>
        <v>00</v>
      </c>
      <c r="AN178" s="64" t="str">
        <f t="shared" si="35"/>
        <v>00</v>
      </c>
      <c r="AO178" s="64" t="str">
        <f t="shared" si="36"/>
        <v>00</v>
      </c>
      <c r="AQ178" t="str">
        <f t="shared" si="31"/>
        <v/>
      </c>
    </row>
    <row r="179" spans="2:43">
      <c r="B179" s="138"/>
      <c r="C179" s="49">
        <f t="shared" si="32"/>
        <v>43</v>
      </c>
      <c r="D179" s="130">
        <f t="shared" si="46"/>
        <v>0</v>
      </c>
      <c r="E179" s="130">
        <f t="shared" si="46"/>
        <v>0</v>
      </c>
      <c r="F179" s="130">
        <f t="shared" si="46"/>
        <v>0</v>
      </c>
      <c r="G179" s="130">
        <f t="shared" si="46"/>
        <v>0</v>
      </c>
      <c r="H179" s="130">
        <f t="shared" si="46"/>
        <v>0</v>
      </c>
      <c r="I179" s="130">
        <f t="shared" si="46"/>
        <v>0</v>
      </c>
      <c r="J179" s="130">
        <f t="shared" si="46"/>
        <v>0</v>
      </c>
      <c r="K179" s="130">
        <f t="shared" si="46"/>
        <v>0</v>
      </c>
      <c r="L179" s="130">
        <f t="shared" si="46"/>
        <v>0</v>
      </c>
      <c r="M179" s="130">
        <f t="shared" si="46"/>
        <v>0</v>
      </c>
      <c r="N179" s="130">
        <f t="shared" si="46"/>
        <v>0</v>
      </c>
      <c r="O179" s="130">
        <f t="shared" si="46"/>
        <v>0</v>
      </c>
      <c r="P179" s="130">
        <f t="shared" si="46"/>
        <v>0</v>
      </c>
      <c r="Q179" s="130">
        <f t="shared" si="46"/>
        <v>0</v>
      </c>
      <c r="R179" s="130">
        <f t="shared" si="46"/>
        <v>0</v>
      </c>
      <c r="S179" s="130">
        <f t="shared" si="46"/>
        <v>0</v>
      </c>
      <c r="T179" s="130">
        <f t="shared" si="46"/>
        <v>0</v>
      </c>
      <c r="U179" s="130">
        <f t="shared" si="46"/>
        <v>0</v>
      </c>
      <c r="V179" s="130">
        <f t="shared" si="46"/>
        <v>0</v>
      </c>
      <c r="W179" s="130">
        <f t="shared" si="46"/>
        <v>0</v>
      </c>
      <c r="X179" s="130">
        <f t="shared" si="46"/>
        <v>0</v>
      </c>
      <c r="Y179" s="130">
        <f t="shared" si="46"/>
        <v>0</v>
      </c>
      <c r="Z179" s="130">
        <f t="shared" si="46"/>
        <v>0</v>
      </c>
      <c r="AA179" s="130">
        <f t="shared" si="46"/>
        <v>0</v>
      </c>
      <c r="AB179" s="130">
        <f t="shared" si="46"/>
        <v>0</v>
      </c>
      <c r="AC179" s="130">
        <f t="shared" si="46"/>
        <v>0</v>
      </c>
      <c r="AD179" s="130">
        <f t="shared" si="46"/>
        <v>0</v>
      </c>
      <c r="AE179" s="130">
        <f t="shared" si="46"/>
        <v>0</v>
      </c>
      <c r="AF179" s="130">
        <f t="shared" si="46"/>
        <v>0</v>
      </c>
      <c r="AG179" s="130">
        <f t="shared" si="46"/>
        <v>0</v>
      </c>
      <c r="AH179" s="130">
        <f t="shared" si="46"/>
        <v>0</v>
      </c>
      <c r="AI179" s="130">
        <f t="shared" si="46"/>
        <v>0</v>
      </c>
      <c r="AJ179" s="49" t="str">
        <f t="shared" si="30"/>
        <v/>
      </c>
      <c r="AK179" s="62"/>
      <c r="AL179" s="62" t="str">
        <f t="shared" si="33"/>
        <v>00</v>
      </c>
      <c r="AM179" s="64" t="str">
        <f t="shared" si="34"/>
        <v>00</v>
      </c>
      <c r="AN179" s="64" t="str">
        <f t="shared" si="35"/>
        <v>00</v>
      </c>
      <c r="AO179" s="64" t="str">
        <f t="shared" si="36"/>
        <v>00</v>
      </c>
      <c r="AQ179" t="str">
        <f t="shared" si="31"/>
        <v/>
      </c>
    </row>
    <row r="180" spans="2:43">
      <c r="B180" s="138"/>
      <c r="C180" s="49">
        <f t="shared" si="32"/>
        <v>44</v>
      </c>
      <c r="D180" s="130">
        <f t="shared" si="46"/>
        <v>0</v>
      </c>
      <c r="E180" s="130">
        <f t="shared" si="46"/>
        <v>0</v>
      </c>
      <c r="F180" s="130">
        <f t="shared" si="46"/>
        <v>0</v>
      </c>
      <c r="G180" s="130">
        <f t="shared" si="46"/>
        <v>0</v>
      </c>
      <c r="H180" s="130">
        <f t="shared" si="46"/>
        <v>0</v>
      </c>
      <c r="I180" s="130">
        <f t="shared" si="46"/>
        <v>0</v>
      </c>
      <c r="J180" s="130">
        <f t="shared" si="46"/>
        <v>0</v>
      </c>
      <c r="K180" s="130">
        <f t="shared" si="46"/>
        <v>0</v>
      </c>
      <c r="L180" s="130">
        <f t="shared" si="46"/>
        <v>0</v>
      </c>
      <c r="M180" s="130">
        <f t="shared" si="46"/>
        <v>0</v>
      </c>
      <c r="N180" s="130">
        <f t="shared" si="46"/>
        <v>0</v>
      </c>
      <c r="O180" s="130">
        <f t="shared" si="46"/>
        <v>0</v>
      </c>
      <c r="P180" s="130">
        <f t="shared" si="46"/>
        <v>0</v>
      </c>
      <c r="Q180" s="130">
        <f t="shared" si="46"/>
        <v>0</v>
      </c>
      <c r="R180" s="130">
        <f t="shared" si="46"/>
        <v>0</v>
      </c>
      <c r="S180" s="130">
        <f t="shared" si="46"/>
        <v>0</v>
      </c>
      <c r="T180" s="130">
        <f t="shared" si="46"/>
        <v>0</v>
      </c>
      <c r="U180" s="130">
        <f t="shared" si="46"/>
        <v>0</v>
      </c>
      <c r="V180" s="130">
        <f t="shared" si="46"/>
        <v>0</v>
      </c>
      <c r="W180" s="130">
        <f t="shared" si="46"/>
        <v>0</v>
      </c>
      <c r="X180" s="130">
        <f t="shared" si="46"/>
        <v>0</v>
      </c>
      <c r="Y180" s="130">
        <f t="shared" si="46"/>
        <v>0</v>
      </c>
      <c r="Z180" s="130">
        <f t="shared" si="46"/>
        <v>0</v>
      </c>
      <c r="AA180" s="130">
        <f t="shared" si="46"/>
        <v>0</v>
      </c>
      <c r="AB180" s="130">
        <f t="shared" si="46"/>
        <v>0</v>
      </c>
      <c r="AC180" s="130">
        <f t="shared" si="46"/>
        <v>0</v>
      </c>
      <c r="AD180" s="130">
        <f t="shared" si="46"/>
        <v>0</v>
      </c>
      <c r="AE180" s="130">
        <f t="shared" si="46"/>
        <v>0</v>
      </c>
      <c r="AF180" s="130">
        <f t="shared" si="46"/>
        <v>0</v>
      </c>
      <c r="AG180" s="130">
        <f t="shared" si="46"/>
        <v>0</v>
      </c>
      <c r="AH180" s="130">
        <f t="shared" si="46"/>
        <v>0</v>
      </c>
      <c r="AI180" s="130">
        <f t="shared" si="46"/>
        <v>0</v>
      </c>
      <c r="AJ180" s="49" t="str">
        <f t="shared" si="30"/>
        <v/>
      </c>
      <c r="AK180" s="62"/>
      <c r="AL180" s="62" t="str">
        <f t="shared" si="33"/>
        <v>00</v>
      </c>
      <c r="AM180" s="64" t="str">
        <f t="shared" si="34"/>
        <v>00</v>
      </c>
      <c r="AN180" s="64" t="str">
        <f t="shared" si="35"/>
        <v>00</v>
      </c>
      <c r="AO180" s="64" t="str">
        <f t="shared" si="36"/>
        <v>00</v>
      </c>
      <c r="AQ180" t="str">
        <f t="shared" si="31"/>
        <v/>
      </c>
    </row>
    <row r="181" spans="2:43">
      <c r="B181" s="138"/>
      <c r="C181" s="49">
        <f t="shared" si="32"/>
        <v>45</v>
      </c>
      <c r="D181" s="130">
        <f t="shared" si="46"/>
        <v>0</v>
      </c>
      <c r="E181" s="130">
        <f t="shared" si="46"/>
        <v>0</v>
      </c>
      <c r="F181" s="130">
        <f t="shared" si="46"/>
        <v>0</v>
      </c>
      <c r="G181" s="130">
        <f t="shared" si="46"/>
        <v>0</v>
      </c>
      <c r="H181" s="130">
        <f t="shared" si="46"/>
        <v>0</v>
      </c>
      <c r="I181" s="130">
        <f t="shared" si="46"/>
        <v>0</v>
      </c>
      <c r="J181" s="130">
        <f t="shared" si="46"/>
        <v>0</v>
      </c>
      <c r="K181" s="130">
        <f t="shared" si="46"/>
        <v>0</v>
      </c>
      <c r="L181" s="130">
        <f t="shared" si="46"/>
        <v>0</v>
      </c>
      <c r="M181" s="130">
        <f t="shared" si="46"/>
        <v>0</v>
      </c>
      <c r="N181" s="130">
        <f t="shared" si="46"/>
        <v>0</v>
      </c>
      <c r="O181" s="130">
        <f t="shared" si="46"/>
        <v>0</v>
      </c>
      <c r="P181" s="130">
        <f t="shared" si="46"/>
        <v>0</v>
      </c>
      <c r="Q181" s="130">
        <f t="shared" si="46"/>
        <v>0</v>
      </c>
      <c r="R181" s="130">
        <f t="shared" si="46"/>
        <v>0</v>
      </c>
      <c r="S181" s="130">
        <f t="shared" si="46"/>
        <v>0</v>
      </c>
      <c r="T181" s="130">
        <f t="shared" si="46"/>
        <v>0</v>
      </c>
      <c r="U181" s="130">
        <f t="shared" si="46"/>
        <v>0</v>
      </c>
      <c r="V181" s="130">
        <f t="shared" si="46"/>
        <v>0</v>
      </c>
      <c r="W181" s="130">
        <f t="shared" si="46"/>
        <v>0</v>
      </c>
      <c r="X181" s="130">
        <f t="shared" si="46"/>
        <v>0</v>
      </c>
      <c r="Y181" s="130">
        <f t="shared" si="46"/>
        <v>0</v>
      </c>
      <c r="Z181" s="130">
        <f t="shared" si="46"/>
        <v>0</v>
      </c>
      <c r="AA181" s="130">
        <f t="shared" si="46"/>
        <v>0</v>
      </c>
      <c r="AB181" s="130">
        <f t="shared" si="46"/>
        <v>0</v>
      </c>
      <c r="AC181" s="130">
        <f t="shared" si="46"/>
        <v>0</v>
      </c>
      <c r="AD181" s="130">
        <f t="shared" si="46"/>
        <v>0</v>
      </c>
      <c r="AE181" s="130">
        <f t="shared" si="46"/>
        <v>0</v>
      </c>
      <c r="AF181" s="130">
        <f t="shared" si="46"/>
        <v>0</v>
      </c>
      <c r="AG181" s="130">
        <f t="shared" si="46"/>
        <v>0</v>
      </c>
      <c r="AH181" s="130">
        <f t="shared" si="46"/>
        <v>0</v>
      </c>
      <c r="AI181" s="130">
        <f t="shared" si="46"/>
        <v>0</v>
      </c>
      <c r="AJ181" s="49" t="str">
        <f t="shared" si="30"/>
        <v/>
      </c>
      <c r="AK181" s="62"/>
      <c r="AL181" s="62" t="str">
        <f t="shared" si="33"/>
        <v>00</v>
      </c>
      <c r="AM181" s="64" t="str">
        <f t="shared" si="34"/>
        <v>00</v>
      </c>
      <c r="AN181" s="64" t="str">
        <f t="shared" si="35"/>
        <v>00</v>
      </c>
      <c r="AO181" s="64" t="str">
        <f t="shared" si="36"/>
        <v>00</v>
      </c>
      <c r="AQ181" t="str">
        <f t="shared" si="31"/>
        <v/>
      </c>
    </row>
    <row r="182" spans="2:43">
      <c r="B182" s="138"/>
      <c r="C182" s="49">
        <f t="shared" si="32"/>
        <v>46</v>
      </c>
      <c r="D182" s="130">
        <f t="shared" si="46"/>
        <v>0</v>
      </c>
      <c r="E182" s="130">
        <f t="shared" si="46"/>
        <v>0</v>
      </c>
      <c r="F182" s="130">
        <f t="shared" si="46"/>
        <v>0</v>
      </c>
      <c r="G182" s="130">
        <f t="shared" si="46"/>
        <v>0</v>
      </c>
      <c r="H182" s="130">
        <f t="shared" si="46"/>
        <v>0</v>
      </c>
      <c r="I182" s="130">
        <f t="shared" si="46"/>
        <v>0</v>
      </c>
      <c r="J182" s="130">
        <f t="shared" si="46"/>
        <v>0</v>
      </c>
      <c r="K182" s="130">
        <f t="shared" si="46"/>
        <v>0</v>
      </c>
      <c r="L182" s="130">
        <f t="shared" si="46"/>
        <v>0</v>
      </c>
      <c r="M182" s="130">
        <f t="shared" si="46"/>
        <v>0</v>
      </c>
      <c r="N182" s="130">
        <f t="shared" si="46"/>
        <v>0</v>
      </c>
      <c r="O182" s="130">
        <f t="shared" si="46"/>
        <v>0</v>
      </c>
      <c r="P182" s="130">
        <f t="shared" si="46"/>
        <v>0</v>
      </c>
      <c r="Q182" s="130">
        <f t="shared" si="46"/>
        <v>0</v>
      </c>
      <c r="R182" s="130">
        <f t="shared" si="46"/>
        <v>0</v>
      </c>
      <c r="S182" s="130">
        <f t="shared" si="46"/>
        <v>0</v>
      </c>
      <c r="T182" s="130">
        <f t="shared" si="46"/>
        <v>0</v>
      </c>
      <c r="U182" s="130">
        <f t="shared" si="46"/>
        <v>0</v>
      </c>
      <c r="V182" s="130">
        <f t="shared" si="46"/>
        <v>0</v>
      </c>
      <c r="W182" s="130">
        <f t="shared" si="46"/>
        <v>0</v>
      </c>
      <c r="X182" s="130">
        <f t="shared" si="46"/>
        <v>0</v>
      </c>
      <c r="Y182" s="130">
        <f t="shared" si="46"/>
        <v>0</v>
      </c>
      <c r="Z182" s="130">
        <f t="shared" si="46"/>
        <v>0</v>
      </c>
      <c r="AA182" s="130">
        <f t="shared" si="46"/>
        <v>0</v>
      </c>
      <c r="AB182" s="130">
        <f t="shared" si="46"/>
        <v>0</v>
      </c>
      <c r="AC182" s="130">
        <f t="shared" si="46"/>
        <v>0</v>
      </c>
      <c r="AD182" s="130">
        <f t="shared" si="46"/>
        <v>0</v>
      </c>
      <c r="AE182" s="130">
        <f t="shared" si="46"/>
        <v>0</v>
      </c>
      <c r="AF182" s="130">
        <f t="shared" si="46"/>
        <v>0</v>
      </c>
      <c r="AG182" s="130">
        <f t="shared" si="46"/>
        <v>0</v>
      </c>
      <c r="AH182" s="130">
        <f t="shared" si="46"/>
        <v>0</v>
      </c>
      <c r="AI182" s="130">
        <f t="shared" si="46"/>
        <v>0</v>
      </c>
      <c r="AJ182" s="49" t="str">
        <f t="shared" si="30"/>
        <v/>
      </c>
      <c r="AK182" s="62"/>
      <c r="AL182" s="62" t="str">
        <f t="shared" si="33"/>
        <v>00</v>
      </c>
      <c r="AM182" s="64" t="str">
        <f t="shared" si="34"/>
        <v>00</v>
      </c>
      <c r="AN182" s="64" t="str">
        <f t="shared" si="35"/>
        <v>00</v>
      </c>
      <c r="AO182" s="64" t="str">
        <f t="shared" si="36"/>
        <v>00</v>
      </c>
      <c r="AQ182" t="str">
        <f t="shared" si="31"/>
        <v/>
      </c>
    </row>
    <row r="183" spans="2:43">
      <c r="B183" s="138"/>
      <c r="C183" s="49">
        <f t="shared" si="32"/>
        <v>47</v>
      </c>
      <c r="D183" s="130">
        <f t="shared" si="46"/>
        <v>0</v>
      </c>
      <c r="E183" s="130">
        <f t="shared" si="46"/>
        <v>0</v>
      </c>
      <c r="F183" s="130">
        <f t="shared" si="46"/>
        <v>0</v>
      </c>
      <c r="G183" s="130">
        <f t="shared" si="46"/>
        <v>0</v>
      </c>
      <c r="H183" s="130">
        <f t="shared" si="46"/>
        <v>0</v>
      </c>
      <c r="I183" s="130">
        <f t="shared" si="46"/>
        <v>0</v>
      </c>
      <c r="J183" s="130">
        <f t="shared" si="46"/>
        <v>0</v>
      </c>
      <c r="K183" s="130">
        <f t="shared" si="46"/>
        <v>0</v>
      </c>
      <c r="L183" s="130">
        <f t="shared" si="46"/>
        <v>0</v>
      </c>
      <c r="M183" s="130">
        <f t="shared" si="46"/>
        <v>0</v>
      </c>
      <c r="N183" s="130">
        <f t="shared" si="46"/>
        <v>0</v>
      </c>
      <c r="O183" s="130">
        <f t="shared" si="46"/>
        <v>0</v>
      </c>
      <c r="P183" s="130">
        <f t="shared" si="46"/>
        <v>0</v>
      </c>
      <c r="Q183" s="130">
        <f t="shared" si="46"/>
        <v>0</v>
      </c>
      <c r="R183" s="130">
        <f t="shared" si="46"/>
        <v>0</v>
      </c>
      <c r="S183" s="130">
        <f t="shared" si="46"/>
        <v>0</v>
      </c>
      <c r="T183" s="130">
        <f t="shared" si="46"/>
        <v>0</v>
      </c>
      <c r="U183" s="130">
        <f t="shared" si="46"/>
        <v>0</v>
      </c>
      <c r="V183" s="130">
        <f t="shared" si="46"/>
        <v>0</v>
      </c>
      <c r="W183" s="130">
        <f t="shared" si="46"/>
        <v>0</v>
      </c>
      <c r="X183" s="130">
        <f t="shared" si="46"/>
        <v>0</v>
      </c>
      <c r="Y183" s="130">
        <f t="shared" si="46"/>
        <v>0</v>
      </c>
      <c r="Z183" s="130">
        <f t="shared" si="46"/>
        <v>0</v>
      </c>
      <c r="AA183" s="130">
        <f t="shared" si="46"/>
        <v>0</v>
      </c>
      <c r="AB183" s="130">
        <f t="shared" si="46"/>
        <v>0</v>
      </c>
      <c r="AC183" s="130">
        <f t="shared" si="46"/>
        <v>0</v>
      </c>
      <c r="AD183" s="130">
        <f t="shared" si="46"/>
        <v>0</v>
      </c>
      <c r="AE183" s="130">
        <f t="shared" si="46"/>
        <v>0</v>
      </c>
      <c r="AF183" s="130">
        <f t="shared" si="46"/>
        <v>0</v>
      </c>
      <c r="AG183" s="130">
        <f t="shared" si="46"/>
        <v>0</v>
      </c>
      <c r="AH183" s="130">
        <f t="shared" si="46"/>
        <v>0</v>
      </c>
      <c r="AI183" s="130">
        <f t="shared" ref="AI183" si="47">IF(OR(AI53=0,AI53=1),1,0)</f>
        <v>0</v>
      </c>
      <c r="AJ183" s="49" t="str">
        <f t="shared" si="30"/>
        <v/>
      </c>
      <c r="AK183" s="62"/>
      <c r="AL183" s="62" t="str">
        <f t="shared" si="33"/>
        <v>00</v>
      </c>
      <c r="AM183" s="64" t="str">
        <f t="shared" si="34"/>
        <v>00</v>
      </c>
      <c r="AN183" s="64" t="str">
        <f t="shared" si="35"/>
        <v>00</v>
      </c>
      <c r="AO183" s="64" t="str">
        <f t="shared" si="36"/>
        <v>00</v>
      </c>
      <c r="AQ183" t="str">
        <f t="shared" si="31"/>
        <v/>
      </c>
    </row>
    <row r="184" spans="2:43">
      <c r="B184" s="138"/>
      <c r="C184" s="49">
        <f t="shared" si="32"/>
        <v>48</v>
      </c>
      <c r="D184" s="130">
        <f t="shared" ref="D184:AI191" si="48">IF(OR(D54=0,D54=1),1,0)</f>
        <v>0</v>
      </c>
      <c r="E184" s="130">
        <f t="shared" si="48"/>
        <v>0</v>
      </c>
      <c r="F184" s="130">
        <f t="shared" si="48"/>
        <v>0</v>
      </c>
      <c r="G184" s="130">
        <f t="shared" si="48"/>
        <v>0</v>
      </c>
      <c r="H184" s="130">
        <f t="shared" si="48"/>
        <v>0</v>
      </c>
      <c r="I184" s="130">
        <f t="shared" si="48"/>
        <v>0</v>
      </c>
      <c r="J184" s="130">
        <f t="shared" si="48"/>
        <v>0</v>
      </c>
      <c r="K184" s="130">
        <f t="shared" si="48"/>
        <v>0</v>
      </c>
      <c r="L184" s="130">
        <f t="shared" si="48"/>
        <v>0</v>
      </c>
      <c r="M184" s="130">
        <f t="shared" si="48"/>
        <v>0</v>
      </c>
      <c r="N184" s="130">
        <f t="shared" si="48"/>
        <v>0</v>
      </c>
      <c r="O184" s="130">
        <f t="shared" si="48"/>
        <v>0</v>
      </c>
      <c r="P184" s="130">
        <f t="shared" si="48"/>
        <v>0</v>
      </c>
      <c r="Q184" s="130">
        <f t="shared" si="48"/>
        <v>0</v>
      </c>
      <c r="R184" s="130">
        <f t="shared" si="48"/>
        <v>0</v>
      </c>
      <c r="S184" s="130">
        <f t="shared" si="48"/>
        <v>0</v>
      </c>
      <c r="T184" s="130">
        <f t="shared" si="48"/>
        <v>0</v>
      </c>
      <c r="U184" s="130">
        <f t="shared" si="48"/>
        <v>0</v>
      </c>
      <c r="V184" s="130">
        <f t="shared" si="48"/>
        <v>0</v>
      </c>
      <c r="W184" s="130">
        <f t="shared" si="48"/>
        <v>0</v>
      </c>
      <c r="X184" s="130">
        <f t="shared" si="48"/>
        <v>0</v>
      </c>
      <c r="Y184" s="130">
        <f t="shared" si="48"/>
        <v>0</v>
      </c>
      <c r="Z184" s="130">
        <f t="shared" si="48"/>
        <v>0</v>
      </c>
      <c r="AA184" s="130">
        <f t="shared" si="48"/>
        <v>0</v>
      </c>
      <c r="AB184" s="130">
        <f t="shared" si="48"/>
        <v>0</v>
      </c>
      <c r="AC184" s="130">
        <f t="shared" si="48"/>
        <v>0</v>
      </c>
      <c r="AD184" s="130">
        <f t="shared" si="48"/>
        <v>0</v>
      </c>
      <c r="AE184" s="130">
        <f t="shared" si="48"/>
        <v>0</v>
      </c>
      <c r="AF184" s="130">
        <f t="shared" si="48"/>
        <v>0</v>
      </c>
      <c r="AG184" s="130">
        <f t="shared" si="48"/>
        <v>0</v>
      </c>
      <c r="AH184" s="130">
        <f t="shared" si="48"/>
        <v>0</v>
      </c>
      <c r="AI184" s="130">
        <f t="shared" si="48"/>
        <v>0</v>
      </c>
      <c r="AJ184" s="49" t="str">
        <f t="shared" si="30"/>
        <v/>
      </c>
      <c r="AK184" s="62"/>
      <c r="AL184" s="62" t="str">
        <f t="shared" si="33"/>
        <v>00</v>
      </c>
      <c r="AM184" s="64" t="str">
        <f t="shared" si="34"/>
        <v>00</v>
      </c>
      <c r="AN184" s="64" t="str">
        <f t="shared" si="35"/>
        <v>00</v>
      </c>
      <c r="AO184" s="64" t="str">
        <f t="shared" si="36"/>
        <v>00</v>
      </c>
      <c r="AQ184" t="str">
        <f t="shared" si="31"/>
        <v/>
      </c>
    </row>
    <row r="185" spans="2:43">
      <c r="B185" s="138"/>
      <c r="C185" s="49">
        <f t="shared" si="32"/>
        <v>49</v>
      </c>
      <c r="D185" s="130">
        <f t="shared" si="48"/>
        <v>0</v>
      </c>
      <c r="E185" s="130">
        <f t="shared" si="48"/>
        <v>0</v>
      </c>
      <c r="F185" s="130">
        <f t="shared" si="48"/>
        <v>0</v>
      </c>
      <c r="G185" s="130">
        <f t="shared" si="48"/>
        <v>0</v>
      </c>
      <c r="H185" s="130">
        <f t="shared" si="48"/>
        <v>0</v>
      </c>
      <c r="I185" s="130">
        <f t="shared" si="48"/>
        <v>0</v>
      </c>
      <c r="J185" s="130">
        <f t="shared" si="48"/>
        <v>0</v>
      </c>
      <c r="K185" s="130">
        <f t="shared" si="48"/>
        <v>0</v>
      </c>
      <c r="L185" s="130">
        <f t="shared" si="48"/>
        <v>0</v>
      </c>
      <c r="M185" s="130">
        <f t="shared" si="48"/>
        <v>0</v>
      </c>
      <c r="N185" s="130">
        <f t="shared" si="48"/>
        <v>0</v>
      </c>
      <c r="O185" s="130">
        <f t="shared" si="48"/>
        <v>0</v>
      </c>
      <c r="P185" s="130">
        <f t="shared" si="48"/>
        <v>0</v>
      </c>
      <c r="Q185" s="130">
        <f t="shared" si="48"/>
        <v>0</v>
      </c>
      <c r="R185" s="130">
        <f t="shared" si="48"/>
        <v>0</v>
      </c>
      <c r="S185" s="130">
        <f t="shared" si="48"/>
        <v>0</v>
      </c>
      <c r="T185" s="130">
        <f t="shared" si="48"/>
        <v>0</v>
      </c>
      <c r="U185" s="130">
        <f t="shared" si="48"/>
        <v>0</v>
      </c>
      <c r="V185" s="130">
        <f t="shared" si="48"/>
        <v>0</v>
      </c>
      <c r="W185" s="130">
        <f t="shared" si="48"/>
        <v>0</v>
      </c>
      <c r="X185" s="130">
        <f t="shared" si="48"/>
        <v>0</v>
      </c>
      <c r="Y185" s="130">
        <f t="shared" si="48"/>
        <v>0</v>
      </c>
      <c r="Z185" s="130">
        <f t="shared" si="48"/>
        <v>0</v>
      </c>
      <c r="AA185" s="130">
        <f t="shared" si="48"/>
        <v>0</v>
      </c>
      <c r="AB185" s="130">
        <f t="shared" si="48"/>
        <v>0</v>
      </c>
      <c r="AC185" s="130">
        <f t="shared" si="48"/>
        <v>0</v>
      </c>
      <c r="AD185" s="130">
        <f t="shared" si="48"/>
        <v>0</v>
      </c>
      <c r="AE185" s="130">
        <f t="shared" si="48"/>
        <v>0</v>
      </c>
      <c r="AF185" s="130">
        <f t="shared" si="48"/>
        <v>0</v>
      </c>
      <c r="AG185" s="130">
        <f t="shared" si="48"/>
        <v>0</v>
      </c>
      <c r="AH185" s="130">
        <f t="shared" si="48"/>
        <v>0</v>
      </c>
      <c r="AI185" s="130">
        <f t="shared" si="48"/>
        <v>0</v>
      </c>
      <c r="AJ185" s="49" t="str">
        <f t="shared" si="30"/>
        <v/>
      </c>
      <c r="AK185" s="62"/>
      <c r="AL185" s="62" t="str">
        <f t="shared" si="33"/>
        <v>00</v>
      </c>
      <c r="AM185" s="64" t="str">
        <f t="shared" si="34"/>
        <v>00</v>
      </c>
      <c r="AN185" s="64" t="str">
        <f t="shared" si="35"/>
        <v>00</v>
      </c>
      <c r="AO185" s="64" t="str">
        <f t="shared" si="36"/>
        <v>00</v>
      </c>
      <c r="AQ185" t="str">
        <f t="shared" si="31"/>
        <v/>
      </c>
    </row>
    <row r="186" spans="2:43">
      <c r="B186" s="138"/>
      <c r="C186" s="49">
        <f t="shared" si="32"/>
        <v>50</v>
      </c>
      <c r="D186" s="130">
        <f t="shared" si="48"/>
        <v>0</v>
      </c>
      <c r="E186" s="130">
        <f t="shared" si="48"/>
        <v>0</v>
      </c>
      <c r="F186" s="130">
        <f t="shared" si="48"/>
        <v>0</v>
      </c>
      <c r="G186" s="130">
        <f t="shared" si="48"/>
        <v>0</v>
      </c>
      <c r="H186" s="130">
        <f t="shared" si="48"/>
        <v>0</v>
      </c>
      <c r="I186" s="130">
        <f t="shared" si="48"/>
        <v>0</v>
      </c>
      <c r="J186" s="130">
        <f t="shared" si="48"/>
        <v>0</v>
      </c>
      <c r="K186" s="130">
        <f t="shared" si="48"/>
        <v>0</v>
      </c>
      <c r="L186" s="130">
        <f t="shared" si="48"/>
        <v>0</v>
      </c>
      <c r="M186" s="130">
        <f t="shared" si="48"/>
        <v>0</v>
      </c>
      <c r="N186" s="130">
        <f t="shared" si="48"/>
        <v>0</v>
      </c>
      <c r="O186" s="130">
        <f t="shared" si="48"/>
        <v>0</v>
      </c>
      <c r="P186" s="130">
        <f t="shared" si="48"/>
        <v>0</v>
      </c>
      <c r="Q186" s="130">
        <f t="shared" si="48"/>
        <v>0</v>
      </c>
      <c r="R186" s="130">
        <f t="shared" si="48"/>
        <v>0</v>
      </c>
      <c r="S186" s="130">
        <f t="shared" si="48"/>
        <v>0</v>
      </c>
      <c r="T186" s="130">
        <f t="shared" si="48"/>
        <v>0</v>
      </c>
      <c r="U186" s="130">
        <f t="shared" si="48"/>
        <v>0</v>
      </c>
      <c r="V186" s="130">
        <f t="shared" si="48"/>
        <v>0</v>
      </c>
      <c r="W186" s="130">
        <f t="shared" si="48"/>
        <v>0</v>
      </c>
      <c r="X186" s="130">
        <f t="shared" si="48"/>
        <v>0</v>
      </c>
      <c r="Y186" s="130">
        <f t="shared" si="48"/>
        <v>0</v>
      </c>
      <c r="Z186" s="130">
        <f t="shared" si="48"/>
        <v>0</v>
      </c>
      <c r="AA186" s="130">
        <f t="shared" si="48"/>
        <v>0</v>
      </c>
      <c r="AB186" s="130">
        <f t="shared" si="48"/>
        <v>0</v>
      </c>
      <c r="AC186" s="130">
        <f t="shared" si="48"/>
        <v>0</v>
      </c>
      <c r="AD186" s="130">
        <f t="shared" si="48"/>
        <v>0</v>
      </c>
      <c r="AE186" s="130">
        <f t="shared" si="48"/>
        <v>0</v>
      </c>
      <c r="AF186" s="130">
        <f t="shared" si="48"/>
        <v>0</v>
      </c>
      <c r="AG186" s="130">
        <f t="shared" si="48"/>
        <v>0</v>
      </c>
      <c r="AH186" s="130">
        <f t="shared" si="48"/>
        <v>0</v>
      </c>
      <c r="AI186" s="130">
        <f t="shared" si="48"/>
        <v>0</v>
      </c>
      <c r="AJ186" s="49" t="str">
        <f t="shared" si="30"/>
        <v/>
      </c>
      <c r="AK186" s="62"/>
      <c r="AL186" s="62" t="str">
        <f t="shared" si="33"/>
        <v>00</v>
      </c>
      <c r="AM186" s="64" t="str">
        <f t="shared" si="34"/>
        <v>00</v>
      </c>
      <c r="AN186" s="64" t="str">
        <f t="shared" si="35"/>
        <v>00</v>
      </c>
      <c r="AO186" s="64" t="str">
        <f t="shared" si="36"/>
        <v>00</v>
      </c>
      <c r="AQ186" t="str">
        <f t="shared" si="31"/>
        <v/>
      </c>
    </row>
    <row r="187" spans="2:43">
      <c r="B187" s="138"/>
      <c r="C187" s="49">
        <f t="shared" si="32"/>
        <v>51</v>
      </c>
      <c r="D187" s="130">
        <f t="shared" si="48"/>
        <v>0</v>
      </c>
      <c r="E187" s="130">
        <f t="shared" si="48"/>
        <v>0</v>
      </c>
      <c r="F187" s="130">
        <f t="shared" si="48"/>
        <v>0</v>
      </c>
      <c r="G187" s="130">
        <f t="shared" si="48"/>
        <v>0</v>
      </c>
      <c r="H187" s="130">
        <f t="shared" si="48"/>
        <v>0</v>
      </c>
      <c r="I187" s="130">
        <f t="shared" si="48"/>
        <v>0</v>
      </c>
      <c r="J187" s="130">
        <f t="shared" si="48"/>
        <v>0</v>
      </c>
      <c r="K187" s="130">
        <f t="shared" si="48"/>
        <v>0</v>
      </c>
      <c r="L187" s="130">
        <f t="shared" si="48"/>
        <v>0</v>
      </c>
      <c r="M187" s="130">
        <f t="shared" si="48"/>
        <v>0</v>
      </c>
      <c r="N187" s="130">
        <f t="shared" si="48"/>
        <v>0</v>
      </c>
      <c r="O187" s="130">
        <f t="shared" si="48"/>
        <v>0</v>
      </c>
      <c r="P187" s="130">
        <f t="shared" si="48"/>
        <v>0</v>
      </c>
      <c r="Q187" s="130">
        <f t="shared" si="48"/>
        <v>0</v>
      </c>
      <c r="R187" s="130">
        <f t="shared" si="48"/>
        <v>0</v>
      </c>
      <c r="S187" s="130">
        <f t="shared" si="48"/>
        <v>0</v>
      </c>
      <c r="T187" s="130">
        <f t="shared" si="48"/>
        <v>0</v>
      </c>
      <c r="U187" s="130">
        <f t="shared" si="48"/>
        <v>0</v>
      </c>
      <c r="V187" s="130">
        <f t="shared" si="48"/>
        <v>0</v>
      </c>
      <c r="W187" s="130">
        <f t="shared" si="48"/>
        <v>0</v>
      </c>
      <c r="X187" s="130">
        <f t="shared" si="48"/>
        <v>0</v>
      </c>
      <c r="Y187" s="130">
        <f t="shared" si="48"/>
        <v>0</v>
      </c>
      <c r="Z187" s="130">
        <f t="shared" si="48"/>
        <v>0</v>
      </c>
      <c r="AA187" s="130">
        <f t="shared" si="48"/>
        <v>0</v>
      </c>
      <c r="AB187" s="130">
        <f t="shared" si="48"/>
        <v>0</v>
      </c>
      <c r="AC187" s="130">
        <f t="shared" si="48"/>
        <v>0</v>
      </c>
      <c r="AD187" s="130">
        <f t="shared" si="48"/>
        <v>0</v>
      </c>
      <c r="AE187" s="130">
        <f t="shared" si="48"/>
        <v>0</v>
      </c>
      <c r="AF187" s="130">
        <f t="shared" si="48"/>
        <v>0</v>
      </c>
      <c r="AG187" s="130">
        <f t="shared" si="48"/>
        <v>0</v>
      </c>
      <c r="AH187" s="130">
        <f t="shared" si="48"/>
        <v>0</v>
      </c>
      <c r="AI187" s="130">
        <f t="shared" si="48"/>
        <v>0</v>
      </c>
      <c r="AJ187" s="49" t="str">
        <f t="shared" si="30"/>
        <v/>
      </c>
      <c r="AK187" s="62"/>
      <c r="AL187" s="62" t="str">
        <f t="shared" si="33"/>
        <v>00</v>
      </c>
      <c r="AM187" s="64" t="str">
        <f t="shared" si="34"/>
        <v>00</v>
      </c>
      <c r="AN187" s="64" t="str">
        <f t="shared" si="35"/>
        <v>00</v>
      </c>
      <c r="AO187" s="64" t="str">
        <f t="shared" si="36"/>
        <v>00</v>
      </c>
      <c r="AQ187" t="str">
        <f t="shared" si="31"/>
        <v/>
      </c>
    </row>
    <row r="188" spans="2:43">
      <c r="B188" s="138"/>
      <c r="C188" s="49">
        <f t="shared" si="32"/>
        <v>52</v>
      </c>
      <c r="D188" s="130">
        <f t="shared" si="48"/>
        <v>0</v>
      </c>
      <c r="E188" s="130">
        <f t="shared" si="48"/>
        <v>0</v>
      </c>
      <c r="F188" s="130">
        <f t="shared" si="48"/>
        <v>0</v>
      </c>
      <c r="G188" s="130">
        <f t="shared" si="48"/>
        <v>0</v>
      </c>
      <c r="H188" s="130">
        <f t="shared" si="48"/>
        <v>0</v>
      </c>
      <c r="I188" s="130">
        <f t="shared" si="48"/>
        <v>0</v>
      </c>
      <c r="J188" s="130">
        <f t="shared" si="48"/>
        <v>0</v>
      </c>
      <c r="K188" s="130">
        <f t="shared" si="48"/>
        <v>0</v>
      </c>
      <c r="L188" s="130">
        <f t="shared" si="48"/>
        <v>0</v>
      </c>
      <c r="M188" s="130">
        <f t="shared" si="48"/>
        <v>0</v>
      </c>
      <c r="N188" s="130">
        <f t="shared" si="48"/>
        <v>0</v>
      </c>
      <c r="O188" s="130">
        <f t="shared" si="48"/>
        <v>0</v>
      </c>
      <c r="P188" s="130">
        <f t="shared" si="48"/>
        <v>0</v>
      </c>
      <c r="Q188" s="130">
        <f t="shared" si="48"/>
        <v>0</v>
      </c>
      <c r="R188" s="130">
        <f t="shared" si="48"/>
        <v>0</v>
      </c>
      <c r="S188" s="130">
        <f t="shared" si="48"/>
        <v>0</v>
      </c>
      <c r="T188" s="130">
        <f t="shared" si="48"/>
        <v>0</v>
      </c>
      <c r="U188" s="130">
        <f t="shared" si="48"/>
        <v>0</v>
      </c>
      <c r="V188" s="130">
        <f t="shared" si="48"/>
        <v>0</v>
      </c>
      <c r="W188" s="130">
        <f t="shared" si="48"/>
        <v>0</v>
      </c>
      <c r="X188" s="130">
        <f t="shared" si="48"/>
        <v>0</v>
      </c>
      <c r="Y188" s="130">
        <f t="shared" si="48"/>
        <v>0</v>
      </c>
      <c r="Z188" s="130">
        <f t="shared" si="48"/>
        <v>0</v>
      </c>
      <c r="AA188" s="130">
        <f t="shared" si="48"/>
        <v>0</v>
      </c>
      <c r="AB188" s="130">
        <f t="shared" si="48"/>
        <v>0</v>
      </c>
      <c r="AC188" s="130">
        <f t="shared" si="48"/>
        <v>0</v>
      </c>
      <c r="AD188" s="130">
        <f t="shared" si="48"/>
        <v>0</v>
      </c>
      <c r="AE188" s="130">
        <f t="shared" si="48"/>
        <v>0</v>
      </c>
      <c r="AF188" s="130">
        <f t="shared" si="48"/>
        <v>0</v>
      </c>
      <c r="AG188" s="130">
        <f t="shared" si="48"/>
        <v>0</v>
      </c>
      <c r="AH188" s="130">
        <f t="shared" si="48"/>
        <v>0</v>
      </c>
      <c r="AI188" s="130">
        <f t="shared" si="48"/>
        <v>0</v>
      </c>
      <c r="AJ188" s="49" t="str">
        <f t="shared" si="30"/>
        <v/>
      </c>
      <c r="AK188" s="62"/>
      <c r="AL188" s="62" t="str">
        <f t="shared" si="33"/>
        <v>00</v>
      </c>
      <c r="AM188" s="64" t="str">
        <f t="shared" si="34"/>
        <v>00</v>
      </c>
      <c r="AN188" s="64" t="str">
        <f t="shared" si="35"/>
        <v>00</v>
      </c>
      <c r="AO188" s="64" t="str">
        <f t="shared" si="36"/>
        <v>00</v>
      </c>
      <c r="AQ188" t="str">
        <f t="shared" si="31"/>
        <v/>
      </c>
    </row>
    <row r="189" spans="2:43">
      <c r="B189" s="138"/>
      <c r="C189" s="49">
        <f t="shared" si="32"/>
        <v>53</v>
      </c>
      <c r="D189" s="130">
        <f t="shared" si="48"/>
        <v>0</v>
      </c>
      <c r="E189" s="130">
        <f t="shared" si="48"/>
        <v>0</v>
      </c>
      <c r="F189" s="130">
        <f t="shared" si="48"/>
        <v>0</v>
      </c>
      <c r="G189" s="130">
        <f t="shared" si="48"/>
        <v>0</v>
      </c>
      <c r="H189" s="130">
        <f t="shared" si="48"/>
        <v>0</v>
      </c>
      <c r="I189" s="130">
        <f t="shared" si="48"/>
        <v>0</v>
      </c>
      <c r="J189" s="130">
        <f t="shared" si="48"/>
        <v>0</v>
      </c>
      <c r="K189" s="130">
        <f t="shared" si="48"/>
        <v>0</v>
      </c>
      <c r="L189" s="130">
        <f t="shared" si="48"/>
        <v>0</v>
      </c>
      <c r="M189" s="130">
        <f t="shared" si="48"/>
        <v>0</v>
      </c>
      <c r="N189" s="130">
        <f t="shared" si="48"/>
        <v>0</v>
      </c>
      <c r="O189" s="130">
        <f t="shared" si="48"/>
        <v>0</v>
      </c>
      <c r="P189" s="130">
        <f t="shared" si="48"/>
        <v>0</v>
      </c>
      <c r="Q189" s="130">
        <f t="shared" si="48"/>
        <v>0</v>
      </c>
      <c r="R189" s="130">
        <f t="shared" si="48"/>
        <v>0</v>
      </c>
      <c r="S189" s="130">
        <f t="shared" si="48"/>
        <v>0</v>
      </c>
      <c r="T189" s="130">
        <f t="shared" si="48"/>
        <v>0</v>
      </c>
      <c r="U189" s="130">
        <f t="shared" si="48"/>
        <v>0</v>
      </c>
      <c r="V189" s="130">
        <f t="shared" si="48"/>
        <v>0</v>
      </c>
      <c r="W189" s="130">
        <f t="shared" si="48"/>
        <v>0</v>
      </c>
      <c r="X189" s="130">
        <f t="shared" si="48"/>
        <v>0</v>
      </c>
      <c r="Y189" s="130">
        <f t="shared" si="48"/>
        <v>0</v>
      </c>
      <c r="Z189" s="130">
        <f t="shared" si="48"/>
        <v>0</v>
      </c>
      <c r="AA189" s="130">
        <f t="shared" si="48"/>
        <v>0</v>
      </c>
      <c r="AB189" s="130">
        <f t="shared" si="48"/>
        <v>0</v>
      </c>
      <c r="AC189" s="130">
        <f t="shared" si="48"/>
        <v>0</v>
      </c>
      <c r="AD189" s="130">
        <f t="shared" si="48"/>
        <v>0</v>
      </c>
      <c r="AE189" s="130">
        <f t="shared" si="48"/>
        <v>0</v>
      </c>
      <c r="AF189" s="130">
        <f t="shared" si="48"/>
        <v>0</v>
      </c>
      <c r="AG189" s="130">
        <f t="shared" si="48"/>
        <v>0</v>
      </c>
      <c r="AH189" s="130">
        <f t="shared" si="48"/>
        <v>0</v>
      </c>
      <c r="AI189" s="130">
        <f t="shared" si="48"/>
        <v>0</v>
      </c>
      <c r="AJ189" s="49" t="str">
        <f t="shared" si="30"/>
        <v/>
      </c>
      <c r="AK189" s="62"/>
      <c r="AL189" s="62" t="str">
        <f t="shared" si="33"/>
        <v>00</v>
      </c>
      <c r="AM189" s="64" t="str">
        <f t="shared" si="34"/>
        <v>00</v>
      </c>
      <c r="AN189" s="64" t="str">
        <f t="shared" si="35"/>
        <v>00</v>
      </c>
      <c r="AO189" s="64" t="str">
        <f t="shared" si="36"/>
        <v>00</v>
      </c>
      <c r="AQ189" t="str">
        <f t="shared" si="31"/>
        <v/>
      </c>
    </row>
    <row r="190" spans="2:43">
      <c r="B190" s="138"/>
      <c r="C190" s="49">
        <f t="shared" si="32"/>
        <v>54</v>
      </c>
      <c r="D190" s="130">
        <f t="shared" si="48"/>
        <v>0</v>
      </c>
      <c r="E190" s="130">
        <f t="shared" si="48"/>
        <v>0</v>
      </c>
      <c r="F190" s="130">
        <f t="shared" si="48"/>
        <v>0</v>
      </c>
      <c r="G190" s="130">
        <f t="shared" si="48"/>
        <v>0</v>
      </c>
      <c r="H190" s="130">
        <f t="shared" si="48"/>
        <v>0</v>
      </c>
      <c r="I190" s="130">
        <f t="shared" si="48"/>
        <v>0</v>
      </c>
      <c r="J190" s="130">
        <f t="shared" si="48"/>
        <v>0</v>
      </c>
      <c r="K190" s="130">
        <f t="shared" si="48"/>
        <v>0</v>
      </c>
      <c r="L190" s="130">
        <f t="shared" si="48"/>
        <v>0</v>
      </c>
      <c r="M190" s="130">
        <f t="shared" si="48"/>
        <v>0</v>
      </c>
      <c r="N190" s="130">
        <f t="shared" si="48"/>
        <v>0</v>
      </c>
      <c r="O190" s="130">
        <f t="shared" si="48"/>
        <v>0</v>
      </c>
      <c r="P190" s="130">
        <f t="shared" si="48"/>
        <v>0</v>
      </c>
      <c r="Q190" s="130">
        <f t="shared" si="48"/>
        <v>0</v>
      </c>
      <c r="R190" s="130">
        <f t="shared" si="48"/>
        <v>0</v>
      </c>
      <c r="S190" s="130">
        <f t="shared" si="48"/>
        <v>0</v>
      </c>
      <c r="T190" s="130">
        <f t="shared" si="48"/>
        <v>0</v>
      </c>
      <c r="U190" s="130">
        <f t="shared" si="48"/>
        <v>0</v>
      </c>
      <c r="V190" s="130">
        <f t="shared" si="48"/>
        <v>0</v>
      </c>
      <c r="W190" s="130">
        <f t="shared" si="48"/>
        <v>0</v>
      </c>
      <c r="X190" s="130">
        <f t="shared" si="48"/>
        <v>0</v>
      </c>
      <c r="Y190" s="130">
        <f t="shared" si="48"/>
        <v>0</v>
      </c>
      <c r="Z190" s="130">
        <f t="shared" si="48"/>
        <v>0</v>
      </c>
      <c r="AA190" s="130">
        <f t="shared" si="48"/>
        <v>0</v>
      </c>
      <c r="AB190" s="130">
        <f t="shared" si="48"/>
        <v>0</v>
      </c>
      <c r="AC190" s="130">
        <f t="shared" si="48"/>
        <v>0</v>
      </c>
      <c r="AD190" s="130">
        <f t="shared" si="48"/>
        <v>0</v>
      </c>
      <c r="AE190" s="130">
        <f t="shared" si="48"/>
        <v>0</v>
      </c>
      <c r="AF190" s="130">
        <f t="shared" si="48"/>
        <v>0</v>
      </c>
      <c r="AG190" s="130">
        <f t="shared" si="48"/>
        <v>0</v>
      </c>
      <c r="AH190" s="130">
        <f t="shared" si="48"/>
        <v>0</v>
      </c>
      <c r="AI190" s="130">
        <f t="shared" si="48"/>
        <v>0</v>
      </c>
      <c r="AJ190" s="49" t="str">
        <f t="shared" si="30"/>
        <v/>
      </c>
      <c r="AK190" s="62"/>
      <c r="AL190" s="62" t="str">
        <f t="shared" si="33"/>
        <v>00</v>
      </c>
      <c r="AM190" s="64" t="str">
        <f t="shared" si="34"/>
        <v>00</v>
      </c>
      <c r="AN190" s="64" t="str">
        <f t="shared" si="35"/>
        <v>00</v>
      </c>
      <c r="AO190" s="64" t="str">
        <f t="shared" si="36"/>
        <v>00</v>
      </c>
      <c r="AQ190" t="str">
        <f t="shared" si="31"/>
        <v/>
      </c>
    </row>
    <row r="191" spans="2:43">
      <c r="B191" s="138"/>
      <c r="C191" s="49">
        <f t="shared" si="32"/>
        <v>55</v>
      </c>
      <c r="D191" s="130">
        <f t="shared" si="48"/>
        <v>0</v>
      </c>
      <c r="E191" s="130">
        <f t="shared" si="48"/>
        <v>0</v>
      </c>
      <c r="F191" s="130">
        <f t="shared" si="48"/>
        <v>0</v>
      </c>
      <c r="G191" s="130">
        <f t="shared" si="48"/>
        <v>0</v>
      </c>
      <c r="H191" s="130">
        <f t="shared" si="48"/>
        <v>0</v>
      </c>
      <c r="I191" s="130">
        <f t="shared" si="48"/>
        <v>0</v>
      </c>
      <c r="J191" s="130">
        <f t="shared" si="48"/>
        <v>0</v>
      </c>
      <c r="K191" s="130">
        <f t="shared" si="48"/>
        <v>0</v>
      </c>
      <c r="L191" s="130">
        <f t="shared" si="48"/>
        <v>0</v>
      </c>
      <c r="M191" s="130">
        <f t="shared" si="48"/>
        <v>0</v>
      </c>
      <c r="N191" s="130">
        <f t="shared" si="48"/>
        <v>0</v>
      </c>
      <c r="O191" s="130">
        <f t="shared" si="48"/>
        <v>0</v>
      </c>
      <c r="P191" s="130">
        <f t="shared" si="48"/>
        <v>0</v>
      </c>
      <c r="Q191" s="130">
        <f t="shared" si="48"/>
        <v>0</v>
      </c>
      <c r="R191" s="130">
        <f t="shared" si="48"/>
        <v>0</v>
      </c>
      <c r="S191" s="130">
        <f t="shared" si="48"/>
        <v>0</v>
      </c>
      <c r="T191" s="130">
        <f t="shared" si="48"/>
        <v>0</v>
      </c>
      <c r="U191" s="130">
        <f t="shared" si="48"/>
        <v>0</v>
      </c>
      <c r="V191" s="130">
        <f t="shared" si="48"/>
        <v>0</v>
      </c>
      <c r="W191" s="130">
        <f t="shared" si="48"/>
        <v>0</v>
      </c>
      <c r="X191" s="130">
        <f t="shared" si="48"/>
        <v>0</v>
      </c>
      <c r="Y191" s="130">
        <f t="shared" si="48"/>
        <v>0</v>
      </c>
      <c r="Z191" s="130">
        <f t="shared" si="48"/>
        <v>0</v>
      </c>
      <c r="AA191" s="130">
        <f t="shared" si="48"/>
        <v>0</v>
      </c>
      <c r="AB191" s="130">
        <f t="shared" si="48"/>
        <v>0</v>
      </c>
      <c r="AC191" s="130">
        <f t="shared" si="48"/>
        <v>0</v>
      </c>
      <c r="AD191" s="130">
        <f t="shared" si="48"/>
        <v>0</v>
      </c>
      <c r="AE191" s="130">
        <f t="shared" si="48"/>
        <v>0</v>
      </c>
      <c r="AF191" s="130">
        <f t="shared" si="48"/>
        <v>0</v>
      </c>
      <c r="AG191" s="130">
        <f t="shared" si="48"/>
        <v>0</v>
      </c>
      <c r="AH191" s="130">
        <f t="shared" si="48"/>
        <v>0</v>
      </c>
      <c r="AI191" s="130">
        <f t="shared" ref="AI191" si="49">IF(OR(AI61=0,AI61=1),1,0)</f>
        <v>0</v>
      </c>
      <c r="AJ191" s="49" t="str">
        <f t="shared" si="30"/>
        <v/>
      </c>
      <c r="AK191" s="62"/>
      <c r="AL191" s="62" t="str">
        <f t="shared" si="33"/>
        <v>00</v>
      </c>
      <c r="AM191" s="64" t="str">
        <f t="shared" si="34"/>
        <v>00</v>
      </c>
      <c r="AN191" s="64" t="str">
        <f t="shared" si="35"/>
        <v>00</v>
      </c>
      <c r="AO191" s="64" t="str">
        <f t="shared" si="36"/>
        <v>00</v>
      </c>
      <c r="AQ191" t="str">
        <f t="shared" si="31"/>
        <v/>
      </c>
    </row>
    <row r="192" spans="2:43">
      <c r="B192" s="138"/>
      <c r="C192" s="49">
        <f t="shared" si="32"/>
        <v>56</v>
      </c>
      <c r="D192" s="130">
        <f t="shared" ref="D192:AI199" si="50">IF(OR(D62=0,D62=1),1,0)</f>
        <v>0</v>
      </c>
      <c r="E192" s="130">
        <f t="shared" si="50"/>
        <v>0</v>
      </c>
      <c r="F192" s="130">
        <f t="shared" si="50"/>
        <v>0</v>
      </c>
      <c r="G192" s="130">
        <f t="shared" si="50"/>
        <v>0</v>
      </c>
      <c r="H192" s="130">
        <f t="shared" si="50"/>
        <v>0</v>
      </c>
      <c r="I192" s="130">
        <f t="shared" si="50"/>
        <v>0</v>
      </c>
      <c r="J192" s="130">
        <f t="shared" si="50"/>
        <v>0</v>
      </c>
      <c r="K192" s="130">
        <f t="shared" si="50"/>
        <v>0</v>
      </c>
      <c r="L192" s="130">
        <f t="shared" si="50"/>
        <v>0</v>
      </c>
      <c r="M192" s="130">
        <f t="shared" si="50"/>
        <v>0</v>
      </c>
      <c r="N192" s="130">
        <f t="shared" si="50"/>
        <v>0</v>
      </c>
      <c r="O192" s="130">
        <f t="shared" si="50"/>
        <v>0</v>
      </c>
      <c r="P192" s="130">
        <f t="shared" si="50"/>
        <v>0</v>
      </c>
      <c r="Q192" s="130">
        <f t="shared" si="50"/>
        <v>0</v>
      </c>
      <c r="R192" s="130">
        <f t="shared" si="50"/>
        <v>0</v>
      </c>
      <c r="S192" s="130">
        <f t="shared" si="50"/>
        <v>0</v>
      </c>
      <c r="T192" s="130">
        <f t="shared" si="50"/>
        <v>0</v>
      </c>
      <c r="U192" s="130">
        <f t="shared" si="50"/>
        <v>0</v>
      </c>
      <c r="V192" s="130">
        <f t="shared" si="50"/>
        <v>0</v>
      </c>
      <c r="W192" s="130">
        <f t="shared" si="50"/>
        <v>0</v>
      </c>
      <c r="X192" s="130">
        <f t="shared" si="50"/>
        <v>0</v>
      </c>
      <c r="Y192" s="130">
        <f t="shared" si="50"/>
        <v>0</v>
      </c>
      <c r="Z192" s="130">
        <f t="shared" si="50"/>
        <v>0</v>
      </c>
      <c r="AA192" s="130">
        <f t="shared" si="50"/>
        <v>0</v>
      </c>
      <c r="AB192" s="130">
        <f t="shared" si="50"/>
        <v>0</v>
      </c>
      <c r="AC192" s="130">
        <f t="shared" si="50"/>
        <v>0</v>
      </c>
      <c r="AD192" s="130">
        <f t="shared" si="50"/>
        <v>0</v>
      </c>
      <c r="AE192" s="130">
        <f t="shared" si="50"/>
        <v>0</v>
      </c>
      <c r="AF192" s="130">
        <f t="shared" si="50"/>
        <v>0</v>
      </c>
      <c r="AG192" s="130">
        <f t="shared" si="50"/>
        <v>0</v>
      </c>
      <c r="AH192" s="130">
        <f t="shared" si="50"/>
        <v>0</v>
      </c>
      <c r="AI192" s="130">
        <f t="shared" si="50"/>
        <v>0</v>
      </c>
      <c r="AJ192" s="49" t="str">
        <f t="shared" si="30"/>
        <v/>
      </c>
      <c r="AK192" s="62"/>
      <c r="AL192" s="62" t="str">
        <f t="shared" si="33"/>
        <v>00</v>
      </c>
      <c r="AM192" s="64" t="str">
        <f t="shared" si="34"/>
        <v>00</v>
      </c>
      <c r="AN192" s="64" t="str">
        <f t="shared" si="35"/>
        <v>00</v>
      </c>
      <c r="AO192" s="64" t="str">
        <f t="shared" si="36"/>
        <v>00</v>
      </c>
      <c r="AQ192" t="str">
        <f t="shared" si="31"/>
        <v/>
      </c>
    </row>
    <row r="193" spans="2:43">
      <c r="B193" s="138"/>
      <c r="C193" s="49">
        <f t="shared" si="32"/>
        <v>57</v>
      </c>
      <c r="D193" s="130">
        <f t="shared" si="50"/>
        <v>0</v>
      </c>
      <c r="E193" s="130">
        <f t="shared" si="50"/>
        <v>0</v>
      </c>
      <c r="F193" s="130">
        <f t="shared" si="50"/>
        <v>0</v>
      </c>
      <c r="G193" s="130">
        <f t="shared" si="50"/>
        <v>0</v>
      </c>
      <c r="H193" s="130">
        <f t="shared" si="50"/>
        <v>0</v>
      </c>
      <c r="I193" s="130">
        <f t="shared" si="50"/>
        <v>0</v>
      </c>
      <c r="J193" s="130">
        <f t="shared" si="50"/>
        <v>0</v>
      </c>
      <c r="K193" s="130">
        <f t="shared" si="50"/>
        <v>0</v>
      </c>
      <c r="L193" s="130">
        <f t="shared" si="50"/>
        <v>0</v>
      </c>
      <c r="M193" s="130">
        <f t="shared" si="50"/>
        <v>0</v>
      </c>
      <c r="N193" s="130">
        <f t="shared" si="50"/>
        <v>0</v>
      </c>
      <c r="O193" s="130">
        <f t="shared" si="50"/>
        <v>0</v>
      </c>
      <c r="P193" s="130">
        <f t="shared" si="50"/>
        <v>0</v>
      </c>
      <c r="Q193" s="130">
        <f t="shared" si="50"/>
        <v>0</v>
      </c>
      <c r="R193" s="130">
        <f t="shared" si="50"/>
        <v>0</v>
      </c>
      <c r="S193" s="130">
        <f t="shared" si="50"/>
        <v>0</v>
      </c>
      <c r="T193" s="130">
        <f t="shared" si="50"/>
        <v>0</v>
      </c>
      <c r="U193" s="130">
        <f t="shared" si="50"/>
        <v>0</v>
      </c>
      <c r="V193" s="130">
        <f t="shared" si="50"/>
        <v>0</v>
      </c>
      <c r="W193" s="130">
        <f t="shared" si="50"/>
        <v>0</v>
      </c>
      <c r="X193" s="130">
        <f t="shared" si="50"/>
        <v>0</v>
      </c>
      <c r="Y193" s="130">
        <f t="shared" si="50"/>
        <v>0</v>
      </c>
      <c r="Z193" s="130">
        <f t="shared" si="50"/>
        <v>0</v>
      </c>
      <c r="AA193" s="130">
        <f t="shared" si="50"/>
        <v>0</v>
      </c>
      <c r="AB193" s="130">
        <f t="shared" si="50"/>
        <v>0</v>
      </c>
      <c r="AC193" s="130">
        <f t="shared" si="50"/>
        <v>0</v>
      </c>
      <c r="AD193" s="130">
        <f t="shared" si="50"/>
        <v>0</v>
      </c>
      <c r="AE193" s="130">
        <f t="shared" si="50"/>
        <v>0</v>
      </c>
      <c r="AF193" s="130">
        <f t="shared" si="50"/>
        <v>0</v>
      </c>
      <c r="AG193" s="130">
        <f t="shared" si="50"/>
        <v>0</v>
      </c>
      <c r="AH193" s="130">
        <f t="shared" si="50"/>
        <v>0</v>
      </c>
      <c r="AI193" s="130">
        <f t="shared" si="50"/>
        <v>0</v>
      </c>
      <c r="AJ193" s="49" t="str">
        <f t="shared" si="30"/>
        <v/>
      </c>
      <c r="AK193" s="62"/>
      <c r="AL193" s="62" t="str">
        <f t="shared" si="33"/>
        <v>00</v>
      </c>
      <c r="AM193" s="64" t="str">
        <f t="shared" si="34"/>
        <v>00</v>
      </c>
      <c r="AN193" s="64" t="str">
        <f t="shared" si="35"/>
        <v>00</v>
      </c>
      <c r="AO193" s="64" t="str">
        <f t="shared" si="36"/>
        <v>00</v>
      </c>
      <c r="AQ193" t="str">
        <f t="shared" si="31"/>
        <v/>
      </c>
    </row>
    <row r="194" spans="2:43">
      <c r="B194" s="138"/>
      <c r="C194" s="49">
        <f t="shared" si="32"/>
        <v>58</v>
      </c>
      <c r="D194" s="130">
        <f t="shared" si="50"/>
        <v>0</v>
      </c>
      <c r="E194" s="130">
        <f t="shared" si="50"/>
        <v>0</v>
      </c>
      <c r="F194" s="130">
        <f t="shared" si="50"/>
        <v>0</v>
      </c>
      <c r="G194" s="130">
        <f t="shared" si="50"/>
        <v>0</v>
      </c>
      <c r="H194" s="130">
        <f t="shared" si="50"/>
        <v>0</v>
      </c>
      <c r="I194" s="130">
        <f t="shared" si="50"/>
        <v>0</v>
      </c>
      <c r="J194" s="130">
        <f t="shared" si="50"/>
        <v>0</v>
      </c>
      <c r="K194" s="130">
        <f t="shared" si="50"/>
        <v>0</v>
      </c>
      <c r="L194" s="130">
        <f t="shared" si="50"/>
        <v>0</v>
      </c>
      <c r="M194" s="130">
        <f t="shared" si="50"/>
        <v>0</v>
      </c>
      <c r="N194" s="130">
        <f t="shared" si="50"/>
        <v>0</v>
      </c>
      <c r="O194" s="130">
        <f t="shared" si="50"/>
        <v>0</v>
      </c>
      <c r="P194" s="130">
        <f t="shared" si="50"/>
        <v>0</v>
      </c>
      <c r="Q194" s="130">
        <f t="shared" si="50"/>
        <v>0</v>
      </c>
      <c r="R194" s="130">
        <f t="shared" si="50"/>
        <v>0</v>
      </c>
      <c r="S194" s="130">
        <f t="shared" si="50"/>
        <v>0</v>
      </c>
      <c r="T194" s="130">
        <f t="shared" si="50"/>
        <v>0</v>
      </c>
      <c r="U194" s="130">
        <f t="shared" si="50"/>
        <v>0</v>
      </c>
      <c r="V194" s="130">
        <f t="shared" si="50"/>
        <v>0</v>
      </c>
      <c r="W194" s="130">
        <f t="shared" si="50"/>
        <v>0</v>
      </c>
      <c r="X194" s="130">
        <f t="shared" si="50"/>
        <v>0</v>
      </c>
      <c r="Y194" s="130">
        <f t="shared" si="50"/>
        <v>0</v>
      </c>
      <c r="Z194" s="130">
        <f t="shared" si="50"/>
        <v>0</v>
      </c>
      <c r="AA194" s="130">
        <f t="shared" si="50"/>
        <v>0</v>
      </c>
      <c r="AB194" s="130">
        <f t="shared" si="50"/>
        <v>0</v>
      </c>
      <c r="AC194" s="130">
        <f t="shared" si="50"/>
        <v>0</v>
      </c>
      <c r="AD194" s="130">
        <f t="shared" si="50"/>
        <v>0</v>
      </c>
      <c r="AE194" s="130">
        <f t="shared" si="50"/>
        <v>0</v>
      </c>
      <c r="AF194" s="130">
        <f t="shared" si="50"/>
        <v>0</v>
      </c>
      <c r="AG194" s="130">
        <f t="shared" si="50"/>
        <v>0</v>
      </c>
      <c r="AH194" s="130">
        <f t="shared" si="50"/>
        <v>0</v>
      </c>
      <c r="AI194" s="130">
        <f t="shared" si="50"/>
        <v>0</v>
      </c>
      <c r="AJ194" s="49" t="str">
        <f t="shared" si="30"/>
        <v/>
      </c>
      <c r="AK194" s="62"/>
      <c r="AL194" s="62" t="str">
        <f t="shared" si="33"/>
        <v>00</v>
      </c>
      <c r="AM194" s="64" t="str">
        <f t="shared" si="34"/>
        <v>00</v>
      </c>
      <c r="AN194" s="64" t="str">
        <f t="shared" si="35"/>
        <v>00</v>
      </c>
      <c r="AO194" s="64" t="str">
        <f t="shared" si="36"/>
        <v>00</v>
      </c>
      <c r="AQ194" t="str">
        <f t="shared" si="31"/>
        <v/>
      </c>
    </row>
    <row r="195" spans="2:43">
      <c r="B195" s="138"/>
      <c r="C195" s="49">
        <f t="shared" si="32"/>
        <v>59</v>
      </c>
      <c r="D195" s="130">
        <f t="shared" si="50"/>
        <v>0</v>
      </c>
      <c r="E195" s="130">
        <f t="shared" si="50"/>
        <v>0</v>
      </c>
      <c r="F195" s="130">
        <f t="shared" si="50"/>
        <v>0</v>
      </c>
      <c r="G195" s="130">
        <f t="shared" si="50"/>
        <v>0</v>
      </c>
      <c r="H195" s="130">
        <f t="shared" si="50"/>
        <v>0</v>
      </c>
      <c r="I195" s="130">
        <f t="shared" si="50"/>
        <v>0</v>
      </c>
      <c r="J195" s="130">
        <f t="shared" si="50"/>
        <v>0</v>
      </c>
      <c r="K195" s="130">
        <f t="shared" si="50"/>
        <v>0</v>
      </c>
      <c r="L195" s="130">
        <f t="shared" si="50"/>
        <v>0</v>
      </c>
      <c r="M195" s="130">
        <f t="shared" si="50"/>
        <v>0</v>
      </c>
      <c r="N195" s="130">
        <f t="shared" si="50"/>
        <v>0</v>
      </c>
      <c r="O195" s="130">
        <f t="shared" si="50"/>
        <v>0</v>
      </c>
      <c r="P195" s="130">
        <f t="shared" si="50"/>
        <v>0</v>
      </c>
      <c r="Q195" s="130">
        <f t="shared" si="50"/>
        <v>0</v>
      </c>
      <c r="R195" s="130">
        <f t="shared" si="50"/>
        <v>0</v>
      </c>
      <c r="S195" s="130">
        <f t="shared" si="50"/>
        <v>0</v>
      </c>
      <c r="T195" s="130">
        <f t="shared" si="50"/>
        <v>0</v>
      </c>
      <c r="U195" s="130">
        <f t="shared" si="50"/>
        <v>0</v>
      </c>
      <c r="V195" s="130">
        <f t="shared" si="50"/>
        <v>0</v>
      </c>
      <c r="W195" s="130">
        <f t="shared" si="50"/>
        <v>0</v>
      </c>
      <c r="X195" s="130">
        <f t="shared" si="50"/>
        <v>0</v>
      </c>
      <c r="Y195" s="130">
        <f t="shared" si="50"/>
        <v>0</v>
      </c>
      <c r="Z195" s="130">
        <f t="shared" si="50"/>
        <v>0</v>
      </c>
      <c r="AA195" s="130">
        <f t="shared" si="50"/>
        <v>0</v>
      </c>
      <c r="AB195" s="130">
        <f t="shared" si="50"/>
        <v>0</v>
      </c>
      <c r="AC195" s="130">
        <f t="shared" si="50"/>
        <v>0</v>
      </c>
      <c r="AD195" s="130">
        <f t="shared" si="50"/>
        <v>0</v>
      </c>
      <c r="AE195" s="130">
        <f t="shared" si="50"/>
        <v>0</v>
      </c>
      <c r="AF195" s="130">
        <f t="shared" si="50"/>
        <v>0</v>
      </c>
      <c r="AG195" s="130">
        <f t="shared" si="50"/>
        <v>0</v>
      </c>
      <c r="AH195" s="130">
        <f t="shared" si="50"/>
        <v>0</v>
      </c>
      <c r="AI195" s="130">
        <f t="shared" si="50"/>
        <v>0</v>
      </c>
      <c r="AJ195" s="49" t="str">
        <f t="shared" si="30"/>
        <v/>
      </c>
      <c r="AK195" s="62"/>
      <c r="AL195" s="62" t="str">
        <f t="shared" si="33"/>
        <v>00</v>
      </c>
      <c r="AM195" s="64" t="str">
        <f t="shared" si="34"/>
        <v>00</v>
      </c>
      <c r="AN195" s="64" t="str">
        <f t="shared" si="35"/>
        <v>00</v>
      </c>
      <c r="AO195" s="64" t="str">
        <f t="shared" si="36"/>
        <v>00</v>
      </c>
      <c r="AQ195" t="str">
        <f t="shared" si="31"/>
        <v/>
      </c>
    </row>
    <row r="196" spans="2:43">
      <c r="B196" s="138"/>
      <c r="C196" s="49">
        <f t="shared" si="32"/>
        <v>60</v>
      </c>
      <c r="D196" s="130">
        <f t="shared" si="50"/>
        <v>0</v>
      </c>
      <c r="E196" s="130">
        <f t="shared" si="50"/>
        <v>0</v>
      </c>
      <c r="F196" s="130">
        <f t="shared" si="50"/>
        <v>0</v>
      </c>
      <c r="G196" s="130">
        <f t="shared" si="50"/>
        <v>0</v>
      </c>
      <c r="H196" s="130">
        <f t="shared" si="50"/>
        <v>0</v>
      </c>
      <c r="I196" s="130">
        <f t="shared" si="50"/>
        <v>0</v>
      </c>
      <c r="J196" s="130">
        <f t="shared" si="50"/>
        <v>0</v>
      </c>
      <c r="K196" s="130">
        <f t="shared" si="50"/>
        <v>0</v>
      </c>
      <c r="L196" s="130">
        <f t="shared" si="50"/>
        <v>0</v>
      </c>
      <c r="M196" s="130">
        <f t="shared" si="50"/>
        <v>0</v>
      </c>
      <c r="N196" s="130">
        <f t="shared" si="50"/>
        <v>0</v>
      </c>
      <c r="O196" s="130">
        <f t="shared" si="50"/>
        <v>0</v>
      </c>
      <c r="P196" s="130">
        <f t="shared" si="50"/>
        <v>0</v>
      </c>
      <c r="Q196" s="130">
        <f t="shared" si="50"/>
        <v>0</v>
      </c>
      <c r="R196" s="130">
        <f t="shared" si="50"/>
        <v>0</v>
      </c>
      <c r="S196" s="130">
        <f t="shared" si="50"/>
        <v>0</v>
      </c>
      <c r="T196" s="130">
        <f t="shared" si="50"/>
        <v>0</v>
      </c>
      <c r="U196" s="130">
        <f t="shared" si="50"/>
        <v>0</v>
      </c>
      <c r="V196" s="130">
        <f t="shared" si="50"/>
        <v>0</v>
      </c>
      <c r="W196" s="130">
        <f t="shared" si="50"/>
        <v>0</v>
      </c>
      <c r="X196" s="130">
        <f t="shared" si="50"/>
        <v>0</v>
      </c>
      <c r="Y196" s="130">
        <f t="shared" si="50"/>
        <v>0</v>
      </c>
      <c r="Z196" s="130">
        <f t="shared" si="50"/>
        <v>0</v>
      </c>
      <c r="AA196" s="130">
        <f t="shared" si="50"/>
        <v>0</v>
      </c>
      <c r="AB196" s="130">
        <f t="shared" si="50"/>
        <v>0</v>
      </c>
      <c r="AC196" s="130">
        <f t="shared" si="50"/>
        <v>0</v>
      </c>
      <c r="AD196" s="130">
        <f t="shared" si="50"/>
        <v>0</v>
      </c>
      <c r="AE196" s="130">
        <f t="shared" si="50"/>
        <v>0</v>
      </c>
      <c r="AF196" s="130">
        <f t="shared" si="50"/>
        <v>0</v>
      </c>
      <c r="AG196" s="130">
        <f t="shared" si="50"/>
        <v>0</v>
      </c>
      <c r="AH196" s="130">
        <f t="shared" si="50"/>
        <v>0</v>
      </c>
      <c r="AI196" s="130">
        <f t="shared" si="50"/>
        <v>0</v>
      </c>
      <c r="AJ196" s="49" t="str">
        <f t="shared" si="30"/>
        <v/>
      </c>
      <c r="AK196" s="62"/>
      <c r="AL196" s="62" t="str">
        <f t="shared" si="33"/>
        <v>00</v>
      </c>
      <c r="AM196" s="64" t="str">
        <f t="shared" si="34"/>
        <v>00</v>
      </c>
      <c r="AN196" s="64" t="str">
        <f t="shared" si="35"/>
        <v>00</v>
      </c>
      <c r="AO196" s="64" t="str">
        <f t="shared" si="36"/>
        <v>00</v>
      </c>
      <c r="AQ196" t="str">
        <f t="shared" si="31"/>
        <v/>
      </c>
    </row>
    <row r="197" spans="2:43">
      <c r="B197" s="138"/>
      <c r="C197" s="49">
        <f t="shared" si="32"/>
        <v>61</v>
      </c>
      <c r="D197" s="130">
        <f t="shared" si="50"/>
        <v>0</v>
      </c>
      <c r="E197" s="130">
        <f t="shared" si="50"/>
        <v>0</v>
      </c>
      <c r="F197" s="130">
        <f t="shared" si="50"/>
        <v>0</v>
      </c>
      <c r="G197" s="130">
        <f t="shared" si="50"/>
        <v>0</v>
      </c>
      <c r="H197" s="130">
        <f t="shared" si="50"/>
        <v>0</v>
      </c>
      <c r="I197" s="130">
        <f t="shared" si="50"/>
        <v>0</v>
      </c>
      <c r="J197" s="130">
        <f t="shared" si="50"/>
        <v>0</v>
      </c>
      <c r="K197" s="130">
        <f t="shared" si="50"/>
        <v>0</v>
      </c>
      <c r="L197" s="130">
        <f t="shared" si="50"/>
        <v>0</v>
      </c>
      <c r="M197" s="130">
        <f t="shared" si="50"/>
        <v>0</v>
      </c>
      <c r="N197" s="130">
        <f t="shared" si="50"/>
        <v>0</v>
      </c>
      <c r="O197" s="130">
        <f t="shared" si="50"/>
        <v>0</v>
      </c>
      <c r="P197" s="130">
        <f t="shared" si="50"/>
        <v>0</v>
      </c>
      <c r="Q197" s="130">
        <f t="shared" si="50"/>
        <v>0</v>
      </c>
      <c r="R197" s="130">
        <f t="shared" si="50"/>
        <v>0</v>
      </c>
      <c r="S197" s="130">
        <f t="shared" si="50"/>
        <v>0</v>
      </c>
      <c r="T197" s="130">
        <f t="shared" si="50"/>
        <v>0</v>
      </c>
      <c r="U197" s="130">
        <f t="shared" si="50"/>
        <v>0</v>
      </c>
      <c r="V197" s="130">
        <f t="shared" si="50"/>
        <v>0</v>
      </c>
      <c r="W197" s="130">
        <f t="shared" si="50"/>
        <v>0</v>
      </c>
      <c r="X197" s="130">
        <f t="shared" si="50"/>
        <v>0</v>
      </c>
      <c r="Y197" s="130">
        <f t="shared" si="50"/>
        <v>0</v>
      </c>
      <c r="Z197" s="130">
        <f t="shared" si="50"/>
        <v>0</v>
      </c>
      <c r="AA197" s="130">
        <f t="shared" si="50"/>
        <v>0</v>
      </c>
      <c r="AB197" s="130">
        <f t="shared" si="50"/>
        <v>0</v>
      </c>
      <c r="AC197" s="130">
        <f t="shared" si="50"/>
        <v>0</v>
      </c>
      <c r="AD197" s="130">
        <f t="shared" si="50"/>
        <v>0</v>
      </c>
      <c r="AE197" s="130">
        <f t="shared" si="50"/>
        <v>0</v>
      </c>
      <c r="AF197" s="130">
        <f t="shared" si="50"/>
        <v>0</v>
      </c>
      <c r="AG197" s="130">
        <f t="shared" si="50"/>
        <v>0</v>
      </c>
      <c r="AH197" s="130">
        <f t="shared" si="50"/>
        <v>0</v>
      </c>
      <c r="AI197" s="130">
        <f t="shared" si="50"/>
        <v>0</v>
      </c>
      <c r="AJ197" s="49" t="str">
        <f t="shared" si="30"/>
        <v/>
      </c>
      <c r="AK197" s="62"/>
      <c r="AL197" s="62" t="str">
        <f t="shared" si="33"/>
        <v>00</v>
      </c>
      <c r="AM197" s="64" t="str">
        <f t="shared" si="34"/>
        <v>00</v>
      </c>
      <c r="AN197" s="64" t="str">
        <f t="shared" si="35"/>
        <v>00</v>
      </c>
      <c r="AO197" s="64" t="str">
        <f t="shared" si="36"/>
        <v>00</v>
      </c>
      <c r="AQ197" t="str">
        <f t="shared" si="31"/>
        <v/>
      </c>
    </row>
    <row r="198" spans="2:43">
      <c r="B198" s="138"/>
      <c r="C198" s="49">
        <f t="shared" si="32"/>
        <v>62</v>
      </c>
      <c r="D198" s="130">
        <f t="shared" si="50"/>
        <v>0</v>
      </c>
      <c r="E198" s="130">
        <f t="shared" si="50"/>
        <v>0</v>
      </c>
      <c r="F198" s="130">
        <f t="shared" si="50"/>
        <v>0</v>
      </c>
      <c r="G198" s="130">
        <f t="shared" si="50"/>
        <v>0</v>
      </c>
      <c r="H198" s="130">
        <f t="shared" si="50"/>
        <v>0</v>
      </c>
      <c r="I198" s="130">
        <f t="shared" si="50"/>
        <v>0</v>
      </c>
      <c r="J198" s="130">
        <f t="shared" si="50"/>
        <v>0</v>
      </c>
      <c r="K198" s="130">
        <f t="shared" si="50"/>
        <v>0</v>
      </c>
      <c r="L198" s="130">
        <f t="shared" si="50"/>
        <v>0</v>
      </c>
      <c r="M198" s="130">
        <f t="shared" si="50"/>
        <v>0</v>
      </c>
      <c r="N198" s="130">
        <f t="shared" si="50"/>
        <v>0</v>
      </c>
      <c r="O198" s="130">
        <f t="shared" si="50"/>
        <v>0</v>
      </c>
      <c r="P198" s="130">
        <f t="shared" si="50"/>
        <v>0</v>
      </c>
      <c r="Q198" s="130">
        <f t="shared" si="50"/>
        <v>0</v>
      </c>
      <c r="R198" s="130">
        <f t="shared" si="50"/>
        <v>0</v>
      </c>
      <c r="S198" s="130">
        <f t="shared" si="50"/>
        <v>0</v>
      </c>
      <c r="T198" s="130">
        <f t="shared" si="50"/>
        <v>0</v>
      </c>
      <c r="U198" s="130">
        <f t="shared" si="50"/>
        <v>0</v>
      </c>
      <c r="V198" s="130">
        <f t="shared" si="50"/>
        <v>0</v>
      </c>
      <c r="W198" s="130">
        <f t="shared" si="50"/>
        <v>0</v>
      </c>
      <c r="X198" s="130">
        <f t="shared" si="50"/>
        <v>0</v>
      </c>
      <c r="Y198" s="130">
        <f t="shared" si="50"/>
        <v>0</v>
      </c>
      <c r="Z198" s="130">
        <f t="shared" si="50"/>
        <v>0</v>
      </c>
      <c r="AA198" s="130">
        <f t="shared" si="50"/>
        <v>0</v>
      </c>
      <c r="AB198" s="130">
        <f t="shared" si="50"/>
        <v>0</v>
      </c>
      <c r="AC198" s="130">
        <f t="shared" si="50"/>
        <v>0</v>
      </c>
      <c r="AD198" s="130">
        <f t="shared" si="50"/>
        <v>0</v>
      </c>
      <c r="AE198" s="130">
        <f t="shared" si="50"/>
        <v>0</v>
      </c>
      <c r="AF198" s="130">
        <f t="shared" si="50"/>
        <v>0</v>
      </c>
      <c r="AG198" s="130">
        <f t="shared" si="50"/>
        <v>0</v>
      </c>
      <c r="AH198" s="130">
        <f t="shared" si="50"/>
        <v>0</v>
      </c>
      <c r="AI198" s="130">
        <f t="shared" si="50"/>
        <v>0</v>
      </c>
      <c r="AJ198" s="49" t="str">
        <f t="shared" si="30"/>
        <v/>
      </c>
      <c r="AK198" s="62"/>
      <c r="AL198" s="62" t="str">
        <f t="shared" si="33"/>
        <v>00</v>
      </c>
      <c r="AM198" s="64" t="str">
        <f t="shared" si="34"/>
        <v>00</v>
      </c>
      <c r="AN198" s="64" t="str">
        <f t="shared" si="35"/>
        <v>00</v>
      </c>
      <c r="AO198" s="64" t="str">
        <f t="shared" si="36"/>
        <v>00</v>
      </c>
      <c r="AQ198" t="str">
        <f t="shared" si="31"/>
        <v/>
      </c>
    </row>
    <row r="199" spans="2:43">
      <c r="B199" s="139"/>
      <c r="C199" s="49">
        <f t="shared" si="32"/>
        <v>63</v>
      </c>
      <c r="D199" s="130">
        <f t="shared" si="50"/>
        <v>0</v>
      </c>
      <c r="E199" s="130">
        <f t="shared" si="50"/>
        <v>0</v>
      </c>
      <c r="F199" s="130">
        <f t="shared" si="50"/>
        <v>0</v>
      </c>
      <c r="G199" s="130">
        <f t="shared" si="50"/>
        <v>0</v>
      </c>
      <c r="H199" s="130">
        <f t="shared" si="50"/>
        <v>0</v>
      </c>
      <c r="I199" s="130">
        <f t="shared" si="50"/>
        <v>0</v>
      </c>
      <c r="J199" s="130">
        <f t="shared" si="50"/>
        <v>0</v>
      </c>
      <c r="K199" s="130">
        <f t="shared" si="50"/>
        <v>0</v>
      </c>
      <c r="L199" s="130">
        <f t="shared" si="50"/>
        <v>0</v>
      </c>
      <c r="M199" s="130">
        <f t="shared" si="50"/>
        <v>0</v>
      </c>
      <c r="N199" s="130">
        <f t="shared" si="50"/>
        <v>0</v>
      </c>
      <c r="O199" s="130">
        <f t="shared" si="50"/>
        <v>0</v>
      </c>
      <c r="P199" s="130">
        <f t="shared" si="50"/>
        <v>0</v>
      </c>
      <c r="Q199" s="130">
        <f t="shared" si="50"/>
        <v>0</v>
      </c>
      <c r="R199" s="130">
        <f t="shared" si="50"/>
        <v>0</v>
      </c>
      <c r="S199" s="130">
        <f t="shared" si="50"/>
        <v>0</v>
      </c>
      <c r="T199" s="130">
        <f t="shared" si="50"/>
        <v>0</v>
      </c>
      <c r="U199" s="130">
        <f t="shared" si="50"/>
        <v>0</v>
      </c>
      <c r="V199" s="130">
        <f t="shared" si="50"/>
        <v>0</v>
      </c>
      <c r="W199" s="130">
        <f t="shared" si="50"/>
        <v>0</v>
      </c>
      <c r="X199" s="130">
        <f t="shared" si="50"/>
        <v>0</v>
      </c>
      <c r="Y199" s="130">
        <f t="shared" si="50"/>
        <v>0</v>
      </c>
      <c r="Z199" s="130">
        <f t="shared" si="50"/>
        <v>0</v>
      </c>
      <c r="AA199" s="130">
        <f t="shared" si="50"/>
        <v>0</v>
      </c>
      <c r="AB199" s="130">
        <f t="shared" si="50"/>
        <v>0</v>
      </c>
      <c r="AC199" s="130">
        <f t="shared" si="50"/>
        <v>0</v>
      </c>
      <c r="AD199" s="130">
        <f t="shared" si="50"/>
        <v>0</v>
      </c>
      <c r="AE199" s="130">
        <f t="shared" si="50"/>
        <v>0</v>
      </c>
      <c r="AF199" s="130">
        <f t="shared" si="50"/>
        <v>0</v>
      </c>
      <c r="AG199" s="130">
        <f t="shared" si="50"/>
        <v>0</v>
      </c>
      <c r="AH199" s="130">
        <f t="shared" si="50"/>
        <v>0</v>
      </c>
      <c r="AI199" s="130">
        <f t="shared" ref="AI199" si="51">IF(OR(AI69=0,AI69=1),1,0)</f>
        <v>0</v>
      </c>
      <c r="AJ199" s="49" t="str">
        <f t="shared" si="30"/>
        <v/>
      </c>
      <c r="AK199" s="62"/>
      <c r="AL199" s="62" t="str">
        <f t="shared" si="33"/>
        <v>00</v>
      </c>
      <c r="AM199" s="64" t="str">
        <f t="shared" si="34"/>
        <v>00</v>
      </c>
      <c r="AN199" s="64" t="str">
        <f t="shared" si="35"/>
        <v>00</v>
      </c>
      <c r="AO199" s="64" t="str">
        <f t="shared" si="36"/>
        <v>00</v>
      </c>
      <c r="AQ199" t="str">
        <f t="shared" si="31"/>
        <v/>
      </c>
    </row>
  </sheetData>
  <protectedRanges>
    <protectedRange sqref="D22:AJ69 L3:AI3 D6:AE21 AJ6:AJ21" name="Table作成編集範囲"/>
    <protectedRange sqref="B3" name="Table作成編集範囲_1"/>
    <protectedRange sqref="AF6:AI21" name="Table作成編集範囲_2"/>
  </protectedRanges>
  <mergeCells count="4">
    <mergeCell ref="C2:C3"/>
    <mergeCell ref="AJ2:AJ3"/>
    <mergeCell ref="A4:B5"/>
    <mergeCell ref="AG3:AI3"/>
  </mergeCells>
  <phoneticPr fontId="2"/>
  <conditionalFormatting sqref="D6:AI69">
    <cfRule type="cellIs" dxfId="2" priority="1" operator="equal">
      <formula>1</formula>
    </cfRule>
    <cfRule type="cellIs" dxfId="1" priority="2" operator="equal">
      <formula>"×"</formula>
    </cfRule>
  </conditionalFormatting>
  <conditionalFormatting sqref="AR5:AS70">
    <cfRule type="expression" dxfId="0" priority="3">
      <formula>$B$3="Index Table"</formula>
    </cfRule>
  </conditionalFormatting>
  <pageMargins left="0.7" right="0.7" top="0.75" bottom="0.75" header="0.3" footer="0.3"/>
  <headerFooter>
    <oddHeader>&amp;C&amp;"Calibri"&amp;10&amp;KFF0000 CONFIDENTIAL&amp;1#_x000D_</oddHeader>
  </headerFooter>
  <drawing r:id="rId1"/>
  <extLst>
    <ext xmlns:x14="http://schemas.microsoft.com/office/spreadsheetml/2009/9/main" uri="{CCE6A557-97BC-4b89-ADB6-D9C93CAAB3DF}">
      <x14:dataValidations xmlns:xm="http://schemas.microsoft.com/office/excel/2006/main" count="1">
        <x14:dataValidation type="list" allowBlank="1" showInputMessage="1" showErrorMessage="1" xr:uid="{E98AC0F4-215A-4C1B-9E4F-28E6D8FCCC8E}">
          <x14:formula1>
            <xm:f>CH_Design!$C$3:$C$103</xm:f>
          </x14:formula1>
          <xm:sqref>AJ6:AJ69</xm:sqref>
        </x14:dataValidation>
      </x14:dataValidations>
    </ext>
  </extLst>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5"/>
  <dimension ref="A44:AS97"/>
  <sheetViews>
    <sheetView tabSelected="1" topLeftCell="AD60" zoomScale="70" zoomScaleNormal="70" workbookViewId="0">
      <selection activeCell="AR129" sqref="AR129"/>
    </sheetView>
  </sheetViews>
  <sheetFormatPr defaultRowHeight="13.5"/>
  <cols>
    <col min="2" max="2" width="58.25" customWidth="1"/>
    <col min="3" max="10" width="3.375" customWidth="1"/>
    <col min="11" max="11" width="17" customWidth="1"/>
    <col min="12" max="12" width="31.375" customWidth="1"/>
    <col min="13" max="13" width="27.5" customWidth="1"/>
    <col min="14" max="14" width="18.75" bestFit="1" customWidth="1"/>
    <col min="15" max="15" width="27.875" customWidth="1"/>
    <col min="16" max="16" width="54.75" customWidth="1"/>
    <col min="17" max="17" width="10.875" customWidth="1"/>
  </cols>
  <sheetData>
    <row r="44" spans="1:45" ht="15" thickBot="1">
      <c r="B44" s="28" t="s">
        <v>224</v>
      </c>
    </row>
    <row r="45" spans="1:45" ht="16.5" thickBot="1">
      <c r="B45" s="99" t="s">
        <v>159</v>
      </c>
      <c r="C45" s="383" t="s">
        <v>209</v>
      </c>
      <c r="D45" s="384"/>
      <c r="E45" s="384"/>
      <c r="F45" s="384"/>
      <c r="G45" s="384"/>
      <c r="H45" s="384"/>
      <c r="I45" s="384"/>
      <c r="J45" s="385"/>
      <c r="K45" s="167"/>
      <c r="L45" s="167"/>
      <c r="M45" s="170"/>
      <c r="N45" s="168"/>
      <c r="O45" s="168"/>
      <c r="P45" s="168"/>
      <c r="Q45" s="169"/>
      <c r="AS45" s="210"/>
    </row>
    <row r="46" spans="1:45">
      <c r="B46" s="72"/>
      <c r="C46" s="35" t="s">
        <v>161</v>
      </c>
      <c r="D46" s="35"/>
      <c r="E46" s="35"/>
      <c r="F46" s="35"/>
      <c r="G46" s="35"/>
      <c r="H46" s="35"/>
      <c r="I46" s="35"/>
      <c r="J46" s="35"/>
      <c r="K46" s="35"/>
      <c r="L46" s="35"/>
      <c r="M46" s="31" t="s">
        <v>151</v>
      </c>
      <c r="N46" s="45" t="s">
        <v>21</v>
      </c>
      <c r="O46" s="46"/>
      <c r="P46" s="46"/>
      <c r="Q46" s="47"/>
    </row>
    <row r="47" spans="1:45">
      <c r="A47" s="294" t="s">
        <v>391</v>
      </c>
      <c r="B47" s="73" t="s">
        <v>22</v>
      </c>
      <c r="C47" s="386" t="s">
        <v>180</v>
      </c>
      <c r="D47" s="387"/>
      <c r="E47" s="387"/>
      <c r="F47" s="387"/>
      <c r="G47" s="387"/>
      <c r="H47" s="387"/>
      <c r="I47" s="387"/>
      <c r="J47" s="388"/>
      <c r="K47" s="36" t="s">
        <v>214</v>
      </c>
      <c r="L47" s="36" t="s">
        <v>214</v>
      </c>
      <c r="M47" s="299" t="s">
        <v>395</v>
      </c>
      <c r="N47" s="201" t="s">
        <v>23</v>
      </c>
      <c r="O47" s="79" t="s">
        <v>24</v>
      </c>
      <c r="P47" s="198" t="s">
        <v>25</v>
      </c>
      <c r="Q47" s="142" t="s">
        <v>26</v>
      </c>
    </row>
    <row r="48" spans="1:45">
      <c r="B48" s="73" t="s">
        <v>33</v>
      </c>
      <c r="C48" s="161" t="s">
        <v>173</v>
      </c>
      <c r="D48" s="161" t="s">
        <v>162</v>
      </c>
      <c r="E48" s="161" t="s">
        <v>173</v>
      </c>
      <c r="F48" s="161" t="s">
        <v>173</v>
      </c>
      <c r="G48" s="161" t="s">
        <v>173</v>
      </c>
      <c r="H48" s="161" t="s">
        <v>173</v>
      </c>
      <c r="I48" s="161" t="s">
        <v>173</v>
      </c>
      <c r="J48" s="161" t="s">
        <v>173</v>
      </c>
      <c r="K48" s="141" t="s">
        <v>215</v>
      </c>
      <c r="L48" s="141" t="s">
        <v>215</v>
      </c>
      <c r="M48" s="32" t="s">
        <v>48</v>
      </c>
      <c r="N48" s="202"/>
      <c r="O48" s="80"/>
      <c r="P48" s="208"/>
      <c r="Q48" s="192"/>
    </row>
    <row r="49" spans="2:17" ht="27">
      <c r="B49" s="74" t="s">
        <v>27</v>
      </c>
      <c r="C49" s="389" t="s">
        <v>163</v>
      </c>
      <c r="D49" s="387"/>
      <c r="E49" s="387"/>
      <c r="F49" s="387"/>
      <c r="G49" s="387"/>
      <c r="H49" s="387"/>
      <c r="I49" s="387"/>
      <c r="J49" s="388"/>
      <c r="K49" s="1" t="s">
        <v>298</v>
      </c>
      <c r="L49" s="1" t="s">
        <v>225</v>
      </c>
      <c r="M49" s="33"/>
      <c r="N49" s="202"/>
      <c r="O49" s="80"/>
      <c r="P49" s="208"/>
      <c r="Q49" s="192"/>
    </row>
    <row r="50" spans="2:17" ht="136.5">
      <c r="B50" s="73" t="s">
        <v>28</v>
      </c>
      <c r="C50" s="162" t="s">
        <v>164</v>
      </c>
      <c r="D50" s="162" t="s">
        <v>62</v>
      </c>
      <c r="E50" s="162" t="s">
        <v>165</v>
      </c>
      <c r="F50" s="162" t="s">
        <v>166</v>
      </c>
      <c r="G50" s="162" t="s">
        <v>167</v>
      </c>
      <c r="H50" s="162" t="s">
        <v>168</v>
      </c>
      <c r="I50" s="162" t="s">
        <v>169</v>
      </c>
      <c r="J50" s="162" t="s">
        <v>170</v>
      </c>
      <c r="K50" s="1" t="s">
        <v>317</v>
      </c>
      <c r="L50" s="1" t="s">
        <v>316</v>
      </c>
      <c r="M50" s="32" t="s">
        <v>29</v>
      </c>
      <c r="N50" s="202"/>
      <c r="O50" s="80"/>
      <c r="P50" s="208"/>
      <c r="Q50" s="142"/>
    </row>
    <row r="51" spans="2:17" ht="216.75" thickBot="1">
      <c r="B51" s="75" t="s">
        <v>30</v>
      </c>
      <c r="C51" s="163" t="s">
        <v>172</v>
      </c>
      <c r="D51" s="163" t="s">
        <v>162</v>
      </c>
      <c r="E51" s="163" t="s">
        <v>172</v>
      </c>
      <c r="F51" s="163" t="s">
        <v>172</v>
      </c>
      <c r="G51" s="163" t="s">
        <v>172</v>
      </c>
      <c r="H51" s="163" t="s">
        <v>172</v>
      </c>
      <c r="I51" s="163" t="s">
        <v>172</v>
      </c>
      <c r="J51" s="163" t="s">
        <v>172</v>
      </c>
      <c r="K51" s="29" t="s">
        <v>216</v>
      </c>
      <c r="L51" s="30" t="s">
        <v>251</v>
      </c>
      <c r="M51" s="34" t="s">
        <v>288</v>
      </c>
      <c r="N51" s="203"/>
      <c r="O51" s="78"/>
      <c r="P51" s="200" t="s">
        <v>272</v>
      </c>
      <c r="Q51" s="193"/>
    </row>
    <row r="52" spans="2:17" ht="14.25" thickTop="1">
      <c r="B52" s="76" t="s">
        <v>230</v>
      </c>
      <c r="C52" s="164" t="s">
        <v>171</v>
      </c>
      <c r="D52" s="164" t="s">
        <v>171</v>
      </c>
      <c r="E52" s="164" t="s">
        <v>171</v>
      </c>
      <c r="F52" s="164" t="s">
        <v>171</v>
      </c>
      <c r="G52" s="164" t="s">
        <v>171</v>
      </c>
      <c r="H52" s="164" t="s">
        <v>171</v>
      </c>
      <c r="I52" s="164" t="s">
        <v>171</v>
      </c>
      <c r="J52" s="164" t="s">
        <v>171</v>
      </c>
      <c r="K52" s="37" t="s">
        <v>218</v>
      </c>
      <c r="L52" s="37" t="s">
        <v>226</v>
      </c>
      <c r="M52" s="38" t="s">
        <v>32</v>
      </c>
      <c r="N52" s="164"/>
      <c r="O52" s="42"/>
      <c r="P52" s="133" t="s">
        <v>127</v>
      </c>
      <c r="Q52" s="194"/>
    </row>
    <row r="53" spans="2:17">
      <c r="B53" s="23" t="s">
        <v>227</v>
      </c>
      <c r="C53" s="165" t="s">
        <v>171</v>
      </c>
      <c r="D53" s="165" t="s">
        <v>171</v>
      </c>
      <c r="E53" s="165" t="s">
        <v>171</v>
      </c>
      <c r="F53" s="165" t="s">
        <v>171</v>
      </c>
      <c r="G53" s="165" t="s">
        <v>171</v>
      </c>
      <c r="H53" s="165" t="s">
        <v>171</v>
      </c>
      <c r="I53" s="165" t="s">
        <v>171</v>
      </c>
      <c r="J53" s="165" t="s">
        <v>171</v>
      </c>
      <c r="K53" s="37" t="s">
        <v>218</v>
      </c>
      <c r="L53" s="188" t="s">
        <v>229</v>
      </c>
      <c r="M53" s="39" t="s">
        <v>289</v>
      </c>
      <c r="N53" s="165"/>
      <c r="O53" s="43"/>
      <c r="P53" s="63" t="s">
        <v>273</v>
      </c>
      <c r="Q53" s="195"/>
    </row>
    <row r="54" spans="2:17">
      <c r="B54" s="23" t="s">
        <v>228</v>
      </c>
      <c r="C54" s="165" t="s">
        <v>171</v>
      </c>
      <c r="D54" s="165" t="s">
        <v>171</v>
      </c>
      <c r="E54" s="165" t="s">
        <v>171</v>
      </c>
      <c r="F54" s="165" t="s">
        <v>171</v>
      </c>
      <c r="G54" s="165" t="s">
        <v>171</v>
      </c>
      <c r="H54" s="165" t="s">
        <v>171</v>
      </c>
      <c r="I54" s="165" t="s">
        <v>171</v>
      </c>
      <c r="J54" s="165" t="s">
        <v>171</v>
      </c>
      <c r="K54" s="37" t="s">
        <v>217</v>
      </c>
      <c r="L54" s="188" t="s">
        <v>231</v>
      </c>
      <c r="M54" s="39" t="s">
        <v>261</v>
      </c>
      <c r="N54" s="165"/>
      <c r="O54" s="43"/>
      <c r="P54" s="63" t="s">
        <v>274</v>
      </c>
      <c r="Q54" s="195"/>
    </row>
    <row r="55" spans="2:17">
      <c r="B55" s="23" t="s">
        <v>246</v>
      </c>
      <c r="C55" s="165" t="s">
        <v>171</v>
      </c>
      <c r="D55" s="165" t="s">
        <v>171</v>
      </c>
      <c r="E55" s="165" t="s">
        <v>171</v>
      </c>
      <c r="F55" s="165" t="s">
        <v>171</v>
      </c>
      <c r="G55" s="165" t="s">
        <v>171</v>
      </c>
      <c r="H55" s="165" t="s">
        <v>171</v>
      </c>
      <c r="I55" s="165" t="s">
        <v>171</v>
      </c>
      <c r="J55" s="165" t="s">
        <v>171</v>
      </c>
      <c r="K55" s="37" t="s">
        <v>217</v>
      </c>
      <c r="L55" s="188" t="s">
        <v>232</v>
      </c>
      <c r="M55" s="39" t="s">
        <v>290</v>
      </c>
      <c r="N55" s="165"/>
      <c r="O55" s="43"/>
      <c r="P55" s="63" t="s">
        <v>275</v>
      </c>
      <c r="Q55" s="195"/>
    </row>
    <row r="56" spans="2:17">
      <c r="B56" s="23" t="s">
        <v>247</v>
      </c>
      <c r="C56" s="165" t="s">
        <v>171</v>
      </c>
      <c r="D56" s="165" t="s">
        <v>171</v>
      </c>
      <c r="E56" s="165" t="s">
        <v>171</v>
      </c>
      <c r="F56" s="165" t="s">
        <v>171</v>
      </c>
      <c r="G56" s="165" t="s">
        <v>171</v>
      </c>
      <c r="H56" s="165" t="s">
        <v>171</v>
      </c>
      <c r="I56" s="165" t="s">
        <v>171</v>
      </c>
      <c r="J56" s="165" t="s">
        <v>171</v>
      </c>
      <c r="K56" s="37" t="s">
        <v>217</v>
      </c>
      <c r="L56" s="188" t="s">
        <v>233</v>
      </c>
      <c r="M56" s="39" t="s">
        <v>291</v>
      </c>
      <c r="N56" s="165"/>
      <c r="O56" s="43"/>
      <c r="P56" s="63" t="s">
        <v>276</v>
      </c>
      <c r="Q56" s="195"/>
    </row>
    <row r="57" spans="2:17">
      <c r="B57" s="23" t="s">
        <v>248</v>
      </c>
      <c r="C57" s="165" t="s">
        <v>171</v>
      </c>
      <c r="D57" s="165" t="s">
        <v>171</v>
      </c>
      <c r="E57" s="165" t="s">
        <v>171</v>
      </c>
      <c r="F57" s="165" t="s">
        <v>171</v>
      </c>
      <c r="G57" s="165" t="s">
        <v>171</v>
      </c>
      <c r="H57" s="165" t="s">
        <v>171</v>
      </c>
      <c r="I57" s="165" t="s">
        <v>171</v>
      </c>
      <c r="J57" s="165" t="s">
        <v>171</v>
      </c>
      <c r="K57" s="37" t="s">
        <v>217</v>
      </c>
      <c r="L57" s="188" t="s">
        <v>234</v>
      </c>
      <c r="M57" s="39" t="s">
        <v>264</v>
      </c>
      <c r="N57" s="165"/>
      <c r="O57" s="43"/>
      <c r="P57" s="63" t="s">
        <v>277</v>
      </c>
      <c r="Q57" s="195"/>
    </row>
    <row r="58" spans="2:17">
      <c r="B58" s="23" t="s">
        <v>249</v>
      </c>
      <c r="C58" s="165" t="s">
        <v>171</v>
      </c>
      <c r="D58" s="165" t="s">
        <v>171</v>
      </c>
      <c r="E58" s="165" t="s">
        <v>171</v>
      </c>
      <c r="F58" s="165" t="s">
        <v>171</v>
      </c>
      <c r="G58" s="165" t="s">
        <v>171</v>
      </c>
      <c r="H58" s="165" t="s">
        <v>171</v>
      </c>
      <c r="I58" s="165" t="s">
        <v>171</v>
      </c>
      <c r="J58" s="165" t="s">
        <v>171</v>
      </c>
      <c r="K58" s="37" t="s">
        <v>217</v>
      </c>
      <c r="L58" s="188" t="s">
        <v>235</v>
      </c>
      <c r="M58" s="39" t="s">
        <v>292</v>
      </c>
      <c r="N58" s="165"/>
      <c r="O58" s="43"/>
      <c r="P58" s="63" t="s">
        <v>278</v>
      </c>
      <c r="Q58" s="195"/>
    </row>
    <row r="59" spans="2:17">
      <c r="B59" s="23" t="s">
        <v>250</v>
      </c>
      <c r="C59" s="165" t="s">
        <v>171</v>
      </c>
      <c r="D59" s="165" t="s">
        <v>171</v>
      </c>
      <c r="E59" s="165" t="s">
        <v>171</v>
      </c>
      <c r="F59" s="165" t="s">
        <v>171</v>
      </c>
      <c r="G59" s="165" t="s">
        <v>171</v>
      </c>
      <c r="H59" s="165" t="s">
        <v>171</v>
      </c>
      <c r="I59" s="165" t="s">
        <v>171</v>
      </c>
      <c r="J59" s="165" t="s">
        <v>171</v>
      </c>
      <c r="K59" s="37" t="s">
        <v>217</v>
      </c>
      <c r="L59" s="188" t="s">
        <v>236</v>
      </c>
      <c r="M59" s="39" t="s">
        <v>293</v>
      </c>
      <c r="N59" s="165"/>
      <c r="O59" s="43"/>
      <c r="P59" s="63" t="s">
        <v>279</v>
      </c>
      <c r="Q59" s="195"/>
    </row>
    <row r="60" spans="2:17">
      <c r="B60" s="23" t="s">
        <v>252</v>
      </c>
      <c r="C60" s="165" t="s">
        <v>171</v>
      </c>
      <c r="D60" s="165" t="s">
        <v>171</v>
      </c>
      <c r="E60" s="165" t="s">
        <v>171</v>
      </c>
      <c r="F60" s="165" t="s">
        <v>171</v>
      </c>
      <c r="G60" s="165" t="s">
        <v>171</v>
      </c>
      <c r="H60" s="165" t="s">
        <v>171</v>
      </c>
      <c r="I60" s="165" t="s">
        <v>171</v>
      </c>
      <c r="J60" s="165" t="s">
        <v>171</v>
      </c>
      <c r="K60" s="37" t="s">
        <v>217</v>
      </c>
      <c r="L60" s="188" t="s">
        <v>237</v>
      </c>
      <c r="M60" s="39" t="s">
        <v>267</v>
      </c>
      <c r="N60" s="165"/>
      <c r="O60" s="43"/>
      <c r="P60" s="63" t="s">
        <v>280</v>
      </c>
      <c r="Q60" s="195"/>
    </row>
    <row r="61" spans="2:17">
      <c r="B61" s="23" t="s">
        <v>253</v>
      </c>
      <c r="C61" s="165" t="s">
        <v>171</v>
      </c>
      <c r="D61" s="165" t="s">
        <v>171</v>
      </c>
      <c r="E61" s="165" t="s">
        <v>171</v>
      </c>
      <c r="F61" s="165" t="s">
        <v>171</v>
      </c>
      <c r="G61" s="165" t="s">
        <v>171</v>
      </c>
      <c r="H61" s="165" t="s">
        <v>171</v>
      </c>
      <c r="I61" s="165" t="s">
        <v>171</v>
      </c>
      <c r="J61" s="165" t="s">
        <v>171</v>
      </c>
      <c r="K61" s="37" t="s">
        <v>217</v>
      </c>
      <c r="L61" s="188" t="s">
        <v>238</v>
      </c>
      <c r="M61" s="39" t="s">
        <v>294</v>
      </c>
      <c r="N61" s="165"/>
      <c r="O61" s="43"/>
      <c r="P61" s="63" t="s">
        <v>281</v>
      </c>
      <c r="Q61" s="195"/>
    </row>
    <row r="62" spans="2:17">
      <c r="B62" s="23" t="s">
        <v>254</v>
      </c>
      <c r="C62" s="165" t="s">
        <v>171</v>
      </c>
      <c r="D62" s="165" t="s">
        <v>171</v>
      </c>
      <c r="E62" s="165" t="s">
        <v>171</v>
      </c>
      <c r="F62" s="165" t="s">
        <v>171</v>
      </c>
      <c r="G62" s="165" t="s">
        <v>171</v>
      </c>
      <c r="H62" s="165" t="s">
        <v>171</v>
      </c>
      <c r="I62" s="165" t="s">
        <v>171</v>
      </c>
      <c r="J62" s="165" t="s">
        <v>171</v>
      </c>
      <c r="K62" s="37" t="s">
        <v>217</v>
      </c>
      <c r="L62" s="188" t="s">
        <v>239</v>
      </c>
      <c r="M62" s="39" t="s">
        <v>269</v>
      </c>
      <c r="N62" s="165"/>
      <c r="O62" s="43"/>
      <c r="P62" s="63" t="s">
        <v>282</v>
      </c>
      <c r="Q62" s="195"/>
    </row>
    <row r="63" spans="2:17">
      <c r="B63" s="23" t="s">
        <v>255</v>
      </c>
      <c r="C63" s="165" t="s">
        <v>171</v>
      </c>
      <c r="D63" s="165" t="s">
        <v>171</v>
      </c>
      <c r="E63" s="165" t="s">
        <v>171</v>
      </c>
      <c r="F63" s="165" t="s">
        <v>171</v>
      </c>
      <c r="G63" s="165" t="s">
        <v>171</v>
      </c>
      <c r="H63" s="165" t="s">
        <v>171</v>
      </c>
      <c r="I63" s="165" t="s">
        <v>171</v>
      </c>
      <c r="J63" s="165" t="s">
        <v>171</v>
      </c>
      <c r="K63" s="37" t="s">
        <v>217</v>
      </c>
      <c r="L63" s="188" t="s">
        <v>240</v>
      </c>
      <c r="M63" s="39" t="s">
        <v>295</v>
      </c>
      <c r="N63" s="165"/>
      <c r="O63" s="43"/>
      <c r="P63" s="63" t="s">
        <v>283</v>
      </c>
      <c r="Q63" s="195"/>
    </row>
    <row r="64" spans="2:17">
      <c r="B64" s="23" t="s">
        <v>256</v>
      </c>
      <c r="C64" s="165" t="s">
        <v>171</v>
      </c>
      <c r="D64" s="165" t="s">
        <v>171</v>
      </c>
      <c r="E64" s="165" t="s">
        <v>171</v>
      </c>
      <c r="F64" s="165" t="s">
        <v>171</v>
      </c>
      <c r="G64" s="165" t="s">
        <v>171</v>
      </c>
      <c r="H64" s="165" t="s">
        <v>171</v>
      </c>
      <c r="I64" s="165" t="s">
        <v>171</v>
      </c>
      <c r="J64" s="165" t="s">
        <v>171</v>
      </c>
      <c r="K64" s="37" t="s">
        <v>217</v>
      </c>
      <c r="L64" s="188" t="s">
        <v>241</v>
      </c>
      <c r="M64" s="39" t="s">
        <v>296</v>
      </c>
      <c r="N64" s="165"/>
      <c r="O64" s="43"/>
      <c r="P64" s="63" t="s">
        <v>284</v>
      </c>
      <c r="Q64" s="195"/>
    </row>
    <row r="65" spans="1:45">
      <c r="B65" s="23" t="s">
        <v>257</v>
      </c>
      <c r="C65" s="165" t="s">
        <v>171</v>
      </c>
      <c r="D65" s="165" t="s">
        <v>171</v>
      </c>
      <c r="E65" s="165" t="s">
        <v>171</v>
      </c>
      <c r="F65" s="165" t="s">
        <v>171</v>
      </c>
      <c r="G65" s="165" t="s">
        <v>171</v>
      </c>
      <c r="H65" s="165" t="s">
        <v>171</v>
      </c>
      <c r="I65" s="165" t="s">
        <v>171</v>
      </c>
      <c r="J65" s="165" t="s">
        <v>171</v>
      </c>
      <c r="K65" s="37" t="s">
        <v>217</v>
      </c>
      <c r="L65" s="188" t="s">
        <v>242</v>
      </c>
      <c r="M65" s="39" t="s">
        <v>297</v>
      </c>
      <c r="N65" s="165"/>
      <c r="O65" s="43"/>
      <c r="P65" s="63" t="s">
        <v>285</v>
      </c>
      <c r="Q65" s="195"/>
    </row>
    <row r="66" spans="1:45">
      <c r="B66" s="23" t="s">
        <v>258</v>
      </c>
      <c r="C66" s="165" t="s">
        <v>171</v>
      </c>
      <c r="D66" s="165" t="s">
        <v>171</v>
      </c>
      <c r="E66" s="165" t="s">
        <v>171</v>
      </c>
      <c r="F66" s="165" t="s">
        <v>171</v>
      </c>
      <c r="G66" s="165" t="s">
        <v>171</v>
      </c>
      <c r="H66" s="165" t="s">
        <v>171</v>
      </c>
      <c r="I66" s="165" t="s">
        <v>171</v>
      </c>
      <c r="J66" s="165" t="s">
        <v>171</v>
      </c>
      <c r="K66" s="37" t="s">
        <v>217</v>
      </c>
      <c r="L66" s="188" t="s">
        <v>243</v>
      </c>
      <c r="M66" s="39" t="s">
        <v>32</v>
      </c>
      <c r="N66" s="165"/>
      <c r="O66" s="43"/>
      <c r="P66" s="63" t="s">
        <v>127</v>
      </c>
      <c r="Q66" s="195"/>
    </row>
    <row r="67" spans="1:45">
      <c r="B67" s="23" t="s">
        <v>258</v>
      </c>
      <c r="C67" s="165" t="s">
        <v>171</v>
      </c>
      <c r="D67" s="165" t="s">
        <v>171</v>
      </c>
      <c r="E67" s="165" t="s">
        <v>171</v>
      </c>
      <c r="F67" s="165" t="s">
        <v>171</v>
      </c>
      <c r="G67" s="165" t="s">
        <v>171</v>
      </c>
      <c r="H67" s="165" t="s">
        <v>171</v>
      </c>
      <c r="I67" s="165" t="s">
        <v>171</v>
      </c>
      <c r="J67" s="165" t="s">
        <v>171</v>
      </c>
      <c r="K67" s="37" t="s">
        <v>217</v>
      </c>
      <c r="L67" s="188" t="s">
        <v>244</v>
      </c>
      <c r="M67" s="39" t="s">
        <v>32</v>
      </c>
      <c r="N67" s="165"/>
      <c r="O67" s="43"/>
      <c r="P67" s="63" t="s">
        <v>127</v>
      </c>
      <c r="Q67" s="195"/>
    </row>
    <row r="68" spans="1:45">
      <c r="B68" s="23" t="s">
        <v>221</v>
      </c>
      <c r="C68" s="165" t="s">
        <v>171</v>
      </c>
      <c r="D68" s="165" t="s">
        <v>171</v>
      </c>
      <c r="E68" s="165" t="s">
        <v>171</v>
      </c>
      <c r="F68" s="165" t="s">
        <v>171</v>
      </c>
      <c r="G68" s="165" t="s">
        <v>171</v>
      </c>
      <c r="H68" s="165" t="s">
        <v>171</v>
      </c>
      <c r="I68" s="165" t="s">
        <v>171</v>
      </c>
      <c r="J68" s="165" t="s">
        <v>171</v>
      </c>
      <c r="K68" s="37" t="s">
        <v>245</v>
      </c>
      <c r="L68" s="188" t="s">
        <v>287</v>
      </c>
      <c r="M68" s="39" t="s">
        <v>32</v>
      </c>
      <c r="N68" s="165"/>
      <c r="O68" s="43"/>
      <c r="P68" s="63" t="s">
        <v>127</v>
      </c>
      <c r="Q68" s="195"/>
    </row>
    <row r="69" spans="1:45" ht="15.75">
      <c r="B69" s="23" t="s">
        <v>222</v>
      </c>
      <c r="C69" s="165" t="s">
        <v>171</v>
      </c>
      <c r="D69" s="165" t="s">
        <v>171</v>
      </c>
      <c r="E69" s="165" t="s">
        <v>171</v>
      </c>
      <c r="F69" s="165" t="s">
        <v>171</v>
      </c>
      <c r="G69" s="165" t="s">
        <v>171</v>
      </c>
      <c r="H69" s="165" t="s">
        <v>171</v>
      </c>
      <c r="I69" s="165" t="s">
        <v>171</v>
      </c>
      <c r="J69" s="165" t="s">
        <v>171</v>
      </c>
      <c r="K69" s="37" t="s">
        <v>312</v>
      </c>
      <c r="L69" s="188" t="s">
        <v>286</v>
      </c>
      <c r="M69" s="39" t="s">
        <v>32</v>
      </c>
      <c r="N69" s="165"/>
      <c r="O69" s="43"/>
      <c r="P69" s="63" t="s">
        <v>127</v>
      </c>
      <c r="Q69" s="195"/>
      <c r="AS69" s="210"/>
    </row>
    <row r="70" spans="1:45">
      <c r="B70" s="23" t="s">
        <v>223</v>
      </c>
      <c r="C70" s="165" t="s">
        <v>171</v>
      </c>
      <c r="D70" s="165" t="s">
        <v>171</v>
      </c>
      <c r="E70" s="165" t="s">
        <v>171</v>
      </c>
      <c r="F70" s="165" t="s">
        <v>171</v>
      </c>
      <c r="G70" s="165" t="s">
        <v>171</v>
      </c>
      <c r="H70" s="165" t="s">
        <v>171</v>
      </c>
      <c r="I70" s="165" t="s">
        <v>171</v>
      </c>
      <c r="J70" s="165" t="s">
        <v>171</v>
      </c>
      <c r="K70" s="37" t="s">
        <v>219</v>
      </c>
      <c r="L70" s="205" t="s">
        <v>286</v>
      </c>
      <c r="M70" s="39" t="s">
        <v>32</v>
      </c>
      <c r="N70" s="165"/>
      <c r="O70" s="43"/>
      <c r="P70" s="63" t="s">
        <v>127</v>
      </c>
      <c r="Q70" s="195"/>
    </row>
    <row r="71" spans="1:45" ht="14.25" thickBot="1">
      <c r="B71" s="24" t="s">
        <v>210</v>
      </c>
      <c r="C71" s="166" t="s">
        <v>171</v>
      </c>
      <c r="D71" s="166" t="s">
        <v>171</v>
      </c>
      <c r="E71" s="166" t="s">
        <v>171</v>
      </c>
      <c r="F71" s="166" t="s">
        <v>171</v>
      </c>
      <c r="G71" s="166" t="s">
        <v>171</v>
      </c>
      <c r="H71" s="166" t="s">
        <v>171</v>
      </c>
      <c r="I71" s="166" t="s">
        <v>171</v>
      </c>
      <c r="J71" s="166" t="s">
        <v>171</v>
      </c>
      <c r="K71" s="40" t="s">
        <v>220</v>
      </c>
      <c r="L71" s="40" t="s">
        <v>286</v>
      </c>
      <c r="M71" s="41" t="s">
        <v>32</v>
      </c>
      <c r="N71" s="166"/>
      <c r="O71" s="44"/>
      <c r="P71" s="199" t="s">
        <v>127</v>
      </c>
      <c r="Q71" s="196"/>
    </row>
    <row r="80" spans="1:45" ht="15" thickBot="1">
      <c r="A80" s="239" t="s">
        <v>393</v>
      </c>
      <c r="B80" s="238" t="s">
        <v>357</v>
      </c>
      <c r="C80" s="239"/>
      <c r="D80" s="239"/>
      <c r="E80" s="239"/>
      <c r="F80" s="239"/>
      <c r="G80" s="239"/>
      <c r="H80" s="239"/>
      <c r="I80" s="239"/>
      <c r="J80" s="239"/>
      <c r="K80" s="239"/>
      <c r="L80" s="239"/>
      <c r="M80" s="239"/>
      <c r="N80" s="239"/>
      <c r="O80" s="239"/>
      <c r="P80" s="239"/>
      <c r="Q80" s="239"/>
    </row>
    <row r="81" spans="1:17" ht="15" thickBot="1">
      <c r="A81" s="239" t="s">
        <v>393</v>
      </c>
      <c r="B81" s="240" t="s">
        <v>123</v>
      </c>
      <c r="C81" s="390" t="s">
        <v>209</v>
      </c>
      <c r="D81" s="391"/>
      <c r="E81" s="391"/>
      <c r="F81" s="391"/>
      <c r="G81" s="391"/>
      <c r="H81" s="391"/>
      <c r="I81" s="391"/>
      <c r="J81" s="392"/>
      <c r="K81" s="241"/>
      <c r="L81" s="241"/>
      <c r="M81" s="242"/>
      <c r="N81" s="243"/>
      <c r="O81" s="243"/>
      <c r="P81" s="243"/>
      <c r="Q81" s="244"/>
    </row>
    <row r="82" spans="1:17">
      <c r="A82" s="239" t="s">
        <v>393</v>
      </c>
      <c r="B82" s="245"/>
      <c r="C82" s="246" t="s">
        <v>161</v>
      </c>
      <c r="D82" s="246"/>
      <c r="E82" s="246"/>
      <c r="F82" s="246"/>
      <c r="G82" s="246"/>
      <c r="H82" s="246"/>
      <c r="I82" s="246"/>
      <c r="J82" s="246"/>
      <c r="K82" s="246"/>
      <c r="L82" s="246"/>
      <c r="M82" s="247" t="s">
        <v>51</v>
      </c>
      <c r="N82" s="248" t="s">
        <v>21</v>
      </c>
      <c r="O82" s="249"/>
      <c r="P82" s="249"/>
      <c r="Q82" s="250"/>
    </row>
    <row r="83" spans="1:17">
      <c r="A83" s="239" t="s">
        <v>393</v>
      </c>
      <c r="B83" s="251" t="s">
        <v>22</v>
      </c>
      <c r="C83" s="393" t="s">
        <v>179</v>
      </c>
      <c r="D83" s="381"/>
      <c r="E83" s="381"/>
      <c r="F83" s="381"/>
      <c r="G83" s="381"/>
      <c r="H83" s="381"/>
      <c r="I83" s="381"/>
      <c r="J83" s="382"/>
      <c r="K83" s="252" t="s">
        <v>214</v>
      </c>
      <c r="L83" s="252" t="s">
        <v>214</v>
      </c>
      <c r="M83" s="253" t="s">
        <v>356</v>
      </c>
      <c r="N83" s="254" t="s">
        <v>23</v>
      </c>
      <c r="O83" s="255" t="s">
        <v>24</v>
      </c>
      <c r="P83" s="233" t="s">
        <v>25</v>
      </c>
      <c r="Q83" s="256" t="s">
        <v>26</v>
      </c>
    </row>
    <row r="84" spans="1:17">
      <c r="A84" s="239" t="s">
        <v>393</v>
      </c>
      <c r="B84" s="251" t="s">
        <v>33</v>
      </c>
      <c r="C84" s="257" t="s">
        <v>127</v>
      </c>
      <c r="D84" s="257" t="s">
        <v>127</v>
      </c>
      <c r="E84" s="257" t="s">
        <v>127</v>
      </c>
      <c r="F84" s="257" t="s">
        <v>127</v>
      </c>
      <c r="G84" s="257" t="s">
        <v>127</v>
      </c>
      <c r="H84" s="257" t="s">
        <v>127</v>
      </c>
      <c r="I84" s="257" t="s">
        <v>127</v>
      </c>
      <c r="J84" s="257" t="s">
        <v>127</v>
      </c>
      <c r="K84" s="258" t="s">
        <v>100</v>
      </c>
      <c r="L84" s="258" t="s">
        <v>100</v>
      </c>
      <c r="M84" s="253" t="s">
        <v>48</v>
      </c>
      <c r="N84" s="259"/>
      <c r="O84" s="260"/>
      <c r="P84" s="261"/>
      <c r="Q84" s="262"/>
    </row>
    <row r="85" spans="1:17" ht="27">
      <c r="A85" s="239" t="s">
        <v>393</v>
      </c>
      <c r="B85" s="263" t="s">
        <v>27</v>
      </c>
      <c r="C85" s="380" t="s">
        <v>35</v>
      </c>
      <c r="D85" s="381"/>
      <c r="E85" s="381"/>
      <c r="F85" s="381"/>
      <c r="G85" s="381"/>
      <c r="H85" s="381"/>
      <c r="I85" s="381"/>
      <c r="J85" s="382"/>
      <c r="K85" s="233" t="s">
        <v>225</v>
      </c>
      <c r="L85" s="233" t="s">
        <v>225</v>
      </c>
      <c r="M85" s="264"/>
      <c r="N85" s="259"/>
      <c r="O85" s="260"/>
      <c r="P85" s="261"/>
      <c r="Q85" s="262"/>
    </row>
    <row r="86" spans="1:17" ht="136.5">
      <c r="A86" s="239" t="s">
        <v>393</v>
      </c>
      <c r="B86" s="251" t="s">
        <v>28</v>
      </c>
      <c r="C86" s="265" t="s">
        <v>164</v>
      </c>
      <c r="D86" s="265" t="s">
        <v>62</v>
      </c>
      <c r="E86" s="265" t="s">
        <v>165</v>
      </c>
      <c r="F86" s="265" t="s">
        <v>166</v>
      </c>
      <c r="G86" s="265" t="s">
        <v>167</v>
      </c>
      <c r="H86" s="265" t="s">
        <v>168</v>
      </c>
      <c r="I86" s="265" t="s">
        <v>169</v>
      </c>
      <c r="J86" s="265" t="s">
        <v>170</v>
      </c>
      <c r="K86" s="233" t="s">
        <v>317</v>
      </c>
      <c r="L86" s="233" t="s">
        <v>358</v>
      </c>
      <c r="M86" s="253" t="s">
        <v>29</v>
      </c>
      <c r="N86" s="259"/>
      <c r="O86" s="260"/>
      <c r="P86" s="261"/>
      <c r="Q86" s="256"/>
    </row>
    <row r="87" spans="1:17" ht="145.5" customHeight="1" thickBot="1">
      <c r="A87" s="239" t="s">
        <v>393</v>
      </c>
      <c r="B87" s="266" t="s">
        <v>30</v>
      </c>
      <c r="C87" s="267" t="s">
        <v>172</v>
      </c>
      <c r="D87" s="267" t="s">
        <v>127</v>
      </c>
      <c r="E87" s="267" t="s">
        <v>172</v>
      </c>
      <c r="F87" s="267" t="s">
        <v>172</v>
      </c>
      <c r="G87" s="267" t="s">
        <v>172</v>
      </c>
      <c r="H87" s="267" t="s">
        <v>172</v>
      </c>
      <c r="I87" s="267" t="s">
        <v>172</v>
      </c>
      <c r="J87" s="267" t="s">
        <v>172</v>
      </c>
      <c r="K87" s="268" t="s">
        <v>359</v>
      </c>
      <c r="L87" s="269" t="s">
        <v>360</v>
      </c>
      <c r="M87" s="270" t="s">
        <v>361</v>
      </c>
      <c r="N87" s="271"/>
      <c r="O87" s="272"/>
      <c r="P87" s="268" t="s">
        <v>419</v>
      </c>
      <c r="Q87" s="273"/>
    </row>
    <row r="88" spans="1:17" ht="14.25" thickTop="1">
      <c r="A88" s="239" t="s">
        <v>393</v>
      </c>
      <c r="B88" s="274" t="s">
        <v>362</v>
      </c>
      <c r="C88" s="275" t="s">
        <v>171</v>
      </c>
      <c r="D88" s="275" t="s">
        <v>171</v>
      </c>
      <c r="E88" s="275" t="s">
        <v>171</v>
      </c>
      <c r="F88" s="275" t="s">
        <v>171</v>
      </c>
      <c r="G88" s="275" t="s">
        <v>171</v>
      </c>
      <c r="H88" s="275" t="s">
        <v>171</v>
      </c>
      <c r="I88" s="275" t="s">
        <v>171</v>
      </c>
      <c r="J88" s="275" t="s">
        <v>171</v>
      </c>
      <c r="K88" s="276" t="s">
        <v>363</v>
      </c>
      <c r="L88" s="276" t="s">
        <v>364</v>
      </c>
      <c r="M88" s="277" t="s">
        <v>365</v>
      </c>
      <c r="N88" s="275"/>
      <c r="O88" s="278"/>
      <c r="P88" s="276" t="s">
        <v>411</v>
      </c>
      <c r="Q88" s="279"/>
    </row>
    <row r="89" spans="1:17">
      <c r="A89" s="239" t="s">
        <v>393</v>
      </c>
      <c r="B89" s="280" t="s">
        <v>366</v>
      </c>
      <c r="C89" s="281" t="s">
        <v>171</v>
      </c>
      <c r="D89" s="281" t="s">
        <v>171</v>
      </c>
      <c r="E89" s="281" t="s">
        <v>171</v>
      </c>
      <c r="F89" s="281" t="s">
        <v>171</v>
      </c>
      <c r="G89" s="281" t="s">
        <v>171</v>
      </c>
      <c r="H89" s="281" t="s">
        <v>171</v>
      </c>
      <c r="I89" s="281" t="s">
        <v>171</v>
      </c>
      <c r="J89" s="281" t="s">
        <v>171</v>
      </c>
      <c r="K89" s="276" t="s">
        <v>367</v>
      </c>
      <c r="L89" s="282" t="s">
        <v>368</v>
      </c>
      <c r="M89" s="283" t="s">
        <v>369</v>
      </c>
      <c r="N89" s="281"/>
      <c r="O89" s="284"/>
      <c r="P89" s="282" t="s">
        <v>412</v>
      </c>
      <c r="Q89" s="285"/>
    </row>
    <row r="90" spans="1:17">
      <c r="A90" s="239" t="s">
        <v>393</v>
      </c>
      <c r="B90" s="280" t="s">
        <v>370</v>
      </c>
      <c r="C90" s="281" t="s">
        <v>171</v>
      </c>
      <c r="D90" s="281" t="s">
        <v>171</v>
      </c>
      <c r="E90" s="281" t="s">
        <v>171</v>
      </c>
      <c r="F90" s="281" t="s">
        <v>171</v>
      </c>
      <c r="G90" s="281" t="s">
        <v>171</v>
      </c>
      <c r="H90" s="281" t="s">
        <v>171</v>
      </c>
      <c r="I90" s="281" t="s">
        <v>171</v>
      </c>
      <c r="J90" s="281" t="s">
        <v>171</v>
      </c>
      <c r="K90" s="276" t="s">
        <v>367</v>
      </c>
      <c r="L90" s="282" t="s">
        <v>371</v>
      </c>
      <c r="M90" s="283" t="s">
        <v>372</v>
      </c>
      <c r="N90" s="281"/>
      <c r="O90" s="284"/>
      <c r="P90" s="282" t="s">
        <v>413</v>
      </c>
      <c r="Q90" s="285"/>
    </row>
    <row r="91" spans="1:17">
      <c r="A91" s="239" t="s">
        <v>393</v>
      </c>
      <c r="B91" s="280" t="s">
        <v>373</v>
      </c>
      <c r="C91" s="281" t="s">
        <v>171</v>
      </c>
      <c r="D91" s="281" t="s">
        <v>171</v>
      </c>
      <c r="E91" s="281" t="s">
        <v>171</v>
      </c>
      <c r="F91" s="281" t="s">
        <v>171</v>
      </c>
      <c r="G91" s="281" t="s">
        <v>171</v>
      </c>
      <c r="H91" s="281" t="s">
        <v>171</v>
      </c>
      <c r="I91" s="281" t="s">
        <v>171</v>
      </c>
      <c r="J91" s="281" t="s">
        <v>171</v>
      </c>
      <c r="K91" s="276" t="s">
        <v>367</v>
      </c>
      <c r="L91" s="282" t="s">
        <v>374</v>
      </c>
      <c r="M91" s="283" t="s">
        <v>375</v>
      </c>
      <c r="N91" s="281"/>
      <c r="O91" s="284"/>
      <c r="P91" s="282" t="s">
        <v>414</v>
      </c>
      <c r="Q91" s="285"/>
    </row>
    <row r="92" spans="1:17">
      <c r="A92" s="239" t="s">
        <v>393</v>
      </c>
      <c r="B92" s="280" t="s">
        <v>376</v>
      </c>
      <c r="C92" s="281" t="s">
        <v>171</v>
      </c>
      <c r="D92" s="281" t="s">
        <v>171</v>
      </c>
      <c r="E92" s="281" t="s">
        <v>171</v>
      </c>
      <c r="F92" s="281" t="s">
        <v>171</v>
      </c>
      <c r="G92" s="281" t="s">
        <v>171</v>
      </c>
      <c r="H92" s="281" t="s">
        <v>171</v>
      </c>
      <c r="I92" s="281" t="s">
        <v>171</v>
      </c>
      <c r="J92" s="281" t="s">
        <v>171</v>
      </c>
      <c r="K92" s="276" t="s">
        <v>367</v>
      </c>
      <c r="L92" s="282" t="s">
        <v>377</v>
      </c>
      <c r="M92" s="283" t="s">
        <v>378</v>
      </c>
      <c r="N92" s="281"/>
      <c r="O92" s="284"/>
      <c r="P92" s="282" t="s">
        <v>415</v>
      </c>
      <c r="Q92" s="285"/>
    </row>
    <row r="93" spans="1:17">
      <c r="A93" s="239" t="s">
        <v>393</v>
      </c>
      <c r="B93" s="280" t="s">
        <v>379</v>
      </c>
      <c r="C93" s="281" t="s">
        <v>171</v>
      </c>
      <c r="D93" s="281" t="s">
        <v>171</v>
      </c>
      <c r="E93" s="281" t="s">
        <v>171</v>
      </c>
      <c r="F93" s="281" t="s">
        <v>171</v>
      </c>
      <c r="G93" s="281" t="s">
        <v>171</v>
      </c>
      <c r="H93" s="281" t="s">
        <v>171</v>
      </c>
      <c r="I93" s="281" t="s">
        <v>171</v>
      </c>
      <c r="J93" s="281" t="s">
        <v>171</v>
      </c>
      <c r="K93" s="276" t="s">
        <v>367</v>
      </c>
      <c r="L93" s="282" t="s">
        <v>380</v>
      </c>
      <c r="M93" s="283" t="s">
        <v>381</v>
      </c>
      <c r="N93" s="281"/>
      <c r="O93" s="284"/>
      <c r="P93" s="282" t="s">
        <v>416</v>
      </c>
      <c r="Q93" s="285"/>
    </row>
    <row r="94" spans="1:17">
      <c r="A94" s="239" t="s">
        <v>393</v>
      </c>
      <c r="B94" s="280" t="s">
        <v>382</v>
      </c>
      <c r="C94" s="281" t="s">
        <v>171</v>
      </c>
      <c r="D94" s="281" t="s">
        <v>171</v>
      </c>
      <c r="E94" s="281" t="s">
        <v>171</v>
      </c>
      <c r="F94" s="281" t="s">
        <v>171</v>
      </c>
      <c r="G94" s="281" t="s">
        <v>171</v>
      </c>
      <c r="H94" s="281" t="s">
        <v>171</v>
      </c>
      <c r="I94" s="281" t="s">
        <v>171</v>
      </c>
      <c r="J94" s="281" t="s">
        <v>171</v>
      </c>
      <c r="K94" s="276" t="s">
        <v>367</v>
      </c>
      <c r="L94" s="282" t="s">
        <v>383</v>
      </c>
      <c r="M94" s="283" t="s">
        <v>384</v>
      </c>
      <c r="N94" s="281"/>
      <c r="O94" s="284"/>
      <c r="P94" s="282" t="s">
        <v>417</v>
      </c>
      <c r="Q94" s="285"/>
    </row>
    <row r="95" spans="1:17">
      <c r="A95" s="239" t="s">
        <v>393</v>
      </c>
      <c r="B95" s="280" t="s">
        <v>385</v>
      </c>
      <c r="C95" s="281" t="s">
        <v>171</v>
      </c>
      <c r="D95" s="281" t="s">
        <v>171</v>
      </c>
      <c r="E95" s="281" t="s">
        <v>171</v>
      </c>
      <c r="F95" s="281" t="s">
        <v>171</v>
      </c>
      <c r="G95" s="281" t="s">
        <v>171</v>
      </c>
      <c r="H95" s="281" t="s">
        <v>171</v>
      </c>
      <c r="I95" s="281" t="s">
        <v>171</v>
      </c>
      <c r="J95" s="281" t="s">
        <v>171</v>
      </c>
      <c r="K95" s="276" t="s">
        <v>367</v>
      </c>
      <c r="L95" s="282" t="s">
        <v>386</v>
      </c>
      <c r="M95" s="283" t="s">
        <v>387</v>
      </c>
      <c r="N95" s="281"/>
      <c r="O95" s="284"/>
      <c r="P95" s="282" t="s">
        <v>418</v>
      </c>
      <c r="Q95" s="285"/>
    </row>
    <row r="96" spans="1:17">
      <c r="A96" s="239" t="s">
        <v>393</v>
      </c>
      <c r="B96" s="280" t="s">
        <v>221</v>
      </c>
      <c r="C96" s="281" t="s">
        <v>171</v>
      </c>
      <c r="D96" s="281" t="s">
        <v>171</v>
      </c>
      <c r="E96" s="281" t="s">
        <v>171</v>
      </c>
      <c r="F96" s="281" t="s">
        <v>171</v>
      </c>
      <c r="G96" s="281" t="s">
        <v>171</v>
      </c>
      <c r="H96" s="281" t="s">
        <v>171</v>
      </c>
      <c r="I96" s="281" t="s">
        <v>171</v>
      </c>
      <c r="J96" s="281" t="s">
        <v>171</v>
      </c>
      <c r="K96" s="276" t="s">
        <v>388</v>
      </c>
      <c r="L96" s="282" t="s">
        <v>389</v>
      </c>
      <c r="M96" s="283" t="s">
        <v>108</v>
      </c>
      <c r="N96" s="281"/>
      <c r="O96" s="284"/>
      <c r="P96" s="282" t="s">
        <v>127</v>
      </c>
      <c r="Q96" s="285"/>
    </row>
    <row r="97" spans="1:17" ht="14.25" thickBot="1">
      <c r="A97" s="239" t="s">
        <v>393</v>
      </c>
      <c r="B97" s="286" t="s">
        <v>101</v>
      </c>
      <c r="C97" s="287" t="s">
        <v>171</v>
      </c>
      <c r="D97" s="287" t="s">
        <v>171</v>
      </c>
      <c r="E97" s="287" t="s">
        <v>171</v>
      </c>
      <c r="F97" s="287" t="s">
        <v>171</v>
      </c>
      <c r="G97" s="287" t="s">
        <v>171</v>
      </c>
      <c r="H97" s="287" t="s">
        <v>171</v>
      </c>
      <c r="I97" s="287" t="s">
        <v>171</v>
      </c>
      <c r="J97" s="287" t="s">
        <v>171</v>
      </c>
      <c r="K97" s="288" t="s">
        <v>390</v>
      </c>
      <c r="L97" s="288" t="s">
        <v>389</v>
      </c>
      <c r="M97" s="289" t="s">
        <v>108</v>
      </c>
      <c r="N97" s="287"/>
      <c r="O97" s="290"/>
      <c r="P97" s="288" t="s">
        <v>127</v>
      </c>
      <c r="Q97" s="291"/>
    </row>
  </sheetData>
  <mergeCells count="6">
    <mergeCell ref="C85:J85"/>
    <mergeCell ref="C45:J45"/>
    <mergeCell ref="C47:J47"/>
    <mergeCell ref="C49:J49"/>
    <mergeCell ref="C81:J81"/>
    <mergeCell ref="C83:J83"/>
  </mergeCells>
  <phoneticPr fontId="2"/>
  <dataValidations disablePrompts="1" count="1">
    <dataValidation type="list" allowBlank="1" showInputMessage="1" showErrorMessage="1" sqref="C45 C81" xr:uid="{00000000-0002-0000-0900-000000000000}">
      <formula1>"Index,Matrix Search"</formula1>
    </dataValidation>
  </dataValidations>
  <pageMargins left="0.7" right="0.7" top="0.75" bottom="0.75" header="0.3" footer="0.3"/>
  <headerFooter>
    <oddHeader>&amp;C&amp;"Calibri"&amp;10&amp;KFF0000 CONFIDENTIAL&amp;1#_x000D_</oddHeader>
  </headerFooter>
  <drawing r:id="rId1"/>
  <legacy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6"/>
  <dimension ref="B2:D27"/>
  <sheetViews>
    <sheetView workbookViewId="0"/>
  </sheetViews>
  <sheetFormatPr defaultRowHeight="13.5"/>
  <cols>
    <col min="2" max="2" width="4.875" bestFit="1" customWidth="1"/>
    <col min="3" max="3" width="12.25" customWidth="1"/>
    <col min="4" max="4" width="86" customWidth="1"/>
  </cols>
  <sheetData>
    <row r="2" spans="2:4" ht="14.25" thickBot="1">
      <c r="B2" s="87" t="s">
        <v>85</v>
      </c>
      <c r="C2" s="88">
        <f>MAX(B4:B28)</f>
        <v>20</v>
      </c>
      <c r="D2" s="88"/>
    </row>
    <row r="3" spans="2:4" ht="14.25" thickBot="1">
      <c r="B3" s="81" t="s">
        <v>85</v>
      </c>
      <c r="C3" s="89" t="s">
        <v>89</v>
      </c>
      <c r="D3" s="82" t="s">
        <v>86</v>
      </c>
    </row>
    <row r="4" spans="2:4" ht="14.25" thickTop="1">
      <c r="B4" s="13">
        <v>0</v>
      </c>
      <c r="C4" s="90" t="s">
        <v>90</v>
      </c>
      <c r="D4" s="15" t="s">
        <v>20</v>
      </c>
    </row>
    <row r="5" spans="2:4" ht="40.5">
      <c r="B5" s="2">
        <v>1</v>
      </c>
      <c r="C5" s="91" t="s">
        <v>90</v>
      </c>
      <c r="D5" s="93" t="s">
        <v>91</v>
      </c>
    </row>
    <row r="6" spans="2:4" ht="27">
      <c r="B6" s="2">
        <v>2</v>
      </c>
      <c r="C6" s="91" t="s">
        <v>93</v>
      </c>
      <c r="D6" s="93" t="s">
        <v>94</v>
      </c>
    </row>
    <row r="7" spans="2:4" ht="54">
      <c r="B7" s="2">
        <v>3</v>
      </c>
      <c r="C7" s="91" t="s">
        <v>90</v>
      </c>
      <c r="D7" s="93" t="s">
        <v>97</v>
      </c>
    </row>
    <row r="8" spans="2:4" ht="81">
      <c r="B8" s="2">
        <v>4</v>
      </c>
      <c r="C8" s="91" t="s">
        <v>105</v>
      </c>
      <c r="D8" s="93" t="s">
        <v>111</v>
      </c>
    </row>
    <row r="9" spans="2:4" ht="41.25" customHeight="1">
      <c r="B9" s="2">
        <v>5</v>
      </c>
      <c r="C9" s="91" t="s">
        <v>106</v>
      </c>
      <c r="D9" s="93" t="s">
        <v>107</v>
      </c>
    </row>
    <row r="10" spans="2:4" ht="27">
      <c r="B10" s="2">
        <v>6</v>
      </c>
      <c r="C10" s="91" t="s">
        <v>90</v>
      </c>
      <c r="D10" s="93" t="s">
        <v>110</v>
      </c>
    </row>
    <row r="11" spans="2:4" ht="27">
      <c r="B11" s="2">
        <v>7</v>
      </c>
      <c r="C11" s="91" t="s">
        <v>105</v>
      </c>
      <c r="D11" s="93" t="s">
        <v>109</v>
      </c>
    </row>
    <row r="12" spans="2:4" ht="27">
      <c r="B12" s="2">
        <v>8</v>
      </c>
      <c r="C12" s="91" t="s">
        <v>90</v>
      </c>
      <c r="D12" s="93" t="s">
        <v>112</v>
      </c>
    </row>
    <row r="13" spans="2:4" ht="27">
      <c r="B13" s="2">
        <v>9</v>
      </c>
      <c r="C13" s="91" t="s">
        <v>90</v>
      </c>
      <c r="D13" s="93" t="s">
        <v>113</v>
      </c>
    </row>
    <row r="14" spans="2:4" ht="27">
      <c r="B14" s="2">
        <v>10</v>
      </c>
      <c r="C14" s="91" t="s">
        <v>114</v>
      </c>
      <c r="D14" s="93" t="s">
        <v>115</v>
      </c>
    </row>
    <row r="15" spans="2:4" ht="135">
      <c r="B15" s="2">
        <v>11</v>
      </c>
      <c r="C15" s="91" t="s">
        <v>90</v>
      </c>
      <c r="D15" s="93" t="s">
        <v>128</v>
      </c>
    </row>
    <row r="16" spans="2:4" ht="191.25" customHeight="1">
      <c r="B16" s="2">
        <v>12</v>
      </c>
      <c r="C16" s="91" t="s">
        <v>157</v>
      </c>
      <c r="D16" s="93" t="s">
        <v>177</v>
      </c>
    </row>
    <row r="17" spans="2:4" ht="27">
      <c r="B17" s="2">
        <v>13</v>
      </c>
      <c r="C17" s="91" t="s">
        <v>93</v>
      </c>
      <c r="D17" s="93" t="s">
        <v>181</v>
      </c>
    </row>
    <row r="18" spans="2:4" ht="67.5">
      <c r="B18" s="2">
        <v>14</v>
      </c>
      <c r="C18" s="91" t="s">
        <v>93</v>
      </c>
      <c r="D18" s="93" t="s">
        <v>183</v>
      </c>
    </row>
    <row r="19" spans="2:4" ht="40.5">
      <c r="B19" s="2">
        <v>15</v>
      </c>
      <c r="C19" s="91" t="s">
        <v>106</v>
      </c>
      <c r="D19" s="93" t="s">
        <v>187</v>
      </c>
    </row>
    <row r="20" spans="2:4" ht="64.5" customHeight="1">
      <c r="B20" s="2">
        <v>16</v>
      </c>
      <c r="C20" s="91" t="s">
        <v>106</v>
      </c>
      <c r="D20" s="93" t="s">
        <v>191</v>
      </c>
    </row>
    <row r="21" spans="2:4" ht="66.75" customHeight="1">
      <c r="B21" s="2">
        <v>17</v>
      </c>
      <c r="C21" s="91" t="s">
        <v>105</v>
      </c>
      <c r="D21" s="93" t="s">
        <v>206</v>
      </c>
    </row>
    <row r="22" spans="2:4" ht="27">
      <c r="B22" s="2">
        <v>18</v>
      </c>
      <c r="C22" s="91" t="s">
        <v>313</v>
      </c>
      <c r="D22" s="93" t="s">
        <v>314</v>
      </c>
    </row>
    <row r="23" spans="2:4" ht="27">
      <c r="B23" s="2">
        <v>19</v>
      </c>
      <c r="C23" s="91" t="s">
        <v>313</v>
      </c>
      <c r="D23" s="93" t="s">
        <v>315</v>
      </c>
    </row>
    <row r="24" spans="2:4" ht="94.5">
      <c r="B24" s="212">
        <v>20</v>
      </c>
      <c r="C24" s="213" t="s">
        <v>321</v>
      </c>
      <c r="D24" s="214" t="s">
        <v>322</v>
      </c>
    </row>
    <row r="25" spans="2:4">
      <c r="B25" s="2"/>
      <c r="C25" s="91"/>
      <c r="D25" s="77"/>
    </row>
    <row r="26" spans="2:4">
      <c r="B26" s="2"/>
      <c r="C26" s="91"/>
      <c r="D26" s="77"/>
    </row>
    <row r="27" spans="2:4" ht="14.25" thickBot="1">
      <c r="B27" s="4"/>
      <c r="C27" s="92"/>
      <c r="D27" s="6"/>
    </row>
  </sheetData>
  <phoneticPr fontId="2"/>
  <pageMargins left="0.7" right="0.7" top="0.75" bottom="0.75" header="0.3" footer="0.3"/>
  <pageSetup paperSize="9" orientation="portrait" r:id="rId1"/>
  <headerFooter>
    <oddHeader>&amp;C&amp;"Calibri"&amp;10&amp;KFF0000 CONFIDENTIAL&amp;1#_x000D_</oddHead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10</vt:i4>
      </vt:variant>
    </vt:vector>
  </HeadingPairs>
  <TitlesOfParts>
    <vt:vector size="10" baseType="lpstr">
      <vt:lpstr>表紙（承認欄）</vt:lpstr>
      <vt:lpstr>表紙</vt:lpstr>
      <vt:lpstr>はじめに</vt:lpstr>
      <vt:lpstr>Matrix</vt:lpstr>
      <vt:lpstr>Config_IF</vt:lpstr>
      <vt:lpstr>CH_Design</vt:lpstr>
      <vt:lpstr>BZ</vt:lpstr>
      <vt:lpstr>VOL</vt:lpstr>
      <vt:lpstr>Reference</vt:lpstr>
      <vt:lpstr>History</vt:lpstr>
    </vt:vector>
  </TitlesOfParts>
  <Company>株式会社デンソー</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YOSHIKI IWATA</dc:creator>
  <cp:lastModifiedBy>Ryou Oohashi (大橋　諒)</cp:lastModifiedBy>
  <dcterms:created xsi:type="dcterms:W3CDTF">2019-02-05T04:25:17Z</dcterms:created>
  <dcterms:modified xsi:type="dcterms:W3CDTF">2026-01-30T04:08:59Z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7ed1414a-99f2-46f9-bbe5-740af8d1b502_Enabled">
    <vt:lpwstr>true</vt:lpwstr>
  </property>
  <property fmtid="{D5CDD505-2E9C-101B-9397-08002B2CF9AE}" pid="3" name="MSIP_Label_7ed1414a-99f2-46f9-bbe5-740af8d1b502_SetDate">
    <vt:lpwstr>2025-07-01T04:32:17Z</vt:lpwstr>
  </property>
  <property fmtid="{D5CDD505-2E9C-101B-9397-08002B2CF9AE}" pid="4" name="MSIP_Label_7ed1414a-99f2-46f9-bbe5-740af8d1b502_Method">
    <vt:lpwstr>Standard</vt:lpwstr>
  </property>
  <property fmtid="{D5CDD505-2E9C-101B-9397-08002B2CF9AE}" pid="5" name="MSIP_Label_7ed1414a-99f2-46f9-bbe5-740af8d1b502_Name">
    <vt:lpwstr>G_MIP_Confidential_Standard</vt:lpwstr>
  </property>
  <property fmtid="{D5CDD505-2E9C-101B-9397-08002B2CF9AE}" pid="6" name="MSIP_Label_7ed1414a-99f2-46f9-bbe5-740af8d1b502_SiteId">
    <vt:lpwstr>69405920-b673-4f7c-8845-e124e9d08af2</vt:lpwstr>
  </property>
  <property fmtid="{D5CDD505-2E9C-101B-9397-08002B2CF9AE}" pid="7" name="MSIP_Label_7ed1414a-99f2-46f9-bbe5-740af8d1b502_ActionId">
    <vt:lpwstr>4f39e420-cca1-4e8e-989f-7275ac8781d7</vt:lpwstr>
  </property>
  <property fmtid="{D5CDD505-2E9C-101B-9397-08002B2CF9AE}" pid="8" name="MSIP_Label_7ed1414a-99f2-46f9-bbe5-740af8d1b502_ContentBits">
    <vt:lpwstr>1</vt:lpwstr>
  </property>
</Properties>
</file>