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0383F708-B89C-4CF4-B33E-7168790FE9D7}" xr6:coauthVersionLast="47" xr6:coauthVersionMax="47" xr10:uidLastSave="{00000000-0000-0000-0000-000000000000}"/>
  <bookViews>
    <workbookView xWindow="-14265" yWindow="-1632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TT_PKB" sheetId="13" r:id="rId7"/>
    <sheet name="WRN_IG" sheetId="14" r:id="rId8"/>
    <sheet name="WRN_BAT" sheetId="15" r:id="rId9"/>
    <sheet name="Reference" sheetId="16" r:id="rId10"/>
    <sheet name="History" sheetId="7" r:id="rId11"/>
  </sheets>
  <externalReferences>
    <externalReference r:id="rId12"/>
    <externalReference r:id="rId13"/>
    <externalReference r:id="rId14"/>
    <externalReference r:id="rId15"/>
    <externalReference r:id="rId16"/>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9" hidden="1">Reference!$B$72:$P$108</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35E1E8D_859C_4113_A3E5_0B83A29207D2_.wvu.Cols" localSheetId="5" hidden="1">CH_Design!$O:$O,CH_Design!$U:$U</definedName>
    <definedName name="Z_835E1E8D_859C_4113_A3E5_0B83A29207D2_.wvu.Cols" localSheetId="3" hidden="1">Matrix!$I:$N</definedName>
    <definedName name="Z_835E1E8D_859C_4113_A3E5_0B83A29207D2_.wvu.Cols" localSheetId="6" hidden="1">TT_PKB!$AL:$AQ</definedName>
    <definedName name="Z_835E1E8D_859C_4113_A3E5_0B83A29207D2_.wvu.Cols" localSheetId="8" hidden="1">WRN_BAT!$AL:$AQ</definedName>
    <definedName name="Z_835E1E8D_859C_4113_A3E5_0B83A29207D2_.wvu.Cols" localSheetId="7" hidden="1">WRN_IG!$AL:$AQ</definedName>
    <definedName name="Z_835E1E8D_859C_4113_A3E5_0B83A29207D2_.wvu.Cols" localSheetId="1" hidden="1">表紙!$B:$B</definedName>
    <definedName name="Z_835E1E8D_859C_4113_A3E5_0B83A29207D2_.wvu.Rows" localSheetId="5" hidden="1">CH_Design!$3:$3</definedName>
    <definedName name="Z_835E1E8D_859C_4113_A3E5_0B83A29207D2_.wvu.Rows" localSheetId="4" hidden="1">Config_IF!$4:$4,Config_IF!$34:$34</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customWorkbookViews>
    <customWorkbookView name="飯塚　翠 - 個人用ビュー" guid="{835E1E8D-859C-4113-A3E5-0B83A29207D2}" mergeInterval="0" personalView="1" xWindow="5" yWindow="43" windowWidth="1920" windowHeight="91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7" l="1"/>
  <c r="D3" i="1"/>
  <c r="AJ199" i="15"/>
  <c r="AQ199" i="15" s="1"/>
  <c r="AI199" i="15"/>
  <c r="AH199" i="15"/>
  <c r="AG199" i="15"/>
  <c r="AF199" i="15"/>
  <c r="AE199" i="15"/>
  <c r="AD199" i="15"/>
  <c r="AC199" i="15"/>
  <c r="AL199" i="15" s="1"/>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AO199" i="15" s="1"/>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AN196" i="15" s="1"/>
  <c r="L196" i="15"/>
  <c r="K196" i="15"/>
  <c r="J196" i="15"/>
  <c r="I196" i="15"/>
  <c r="H196" i="15"/>
  <c r="G196" i="15"/>
  <c r="F196" i="15"/>
  <c r="E196" i="15"/>
  <c r="D196"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AO194" i="15" s="1"/>
  <c r="D194" i="15"/>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L190" i="15" s="1"/>
  <c r="AA190" i="15"/>
  <c r="Z190" i="15"/>
  <c r="Y190" i="15"/>
  <c r="X190" i="15"/>
  <c r="W190" i="15"/>
  <c r="V190" i="15"/>
  <c r="U190" i="15"/>
  <c r="T190" i="15"/>
  <c r="AM190" i="15" s="1"/>
  <c r="S190" i="15"/>
  <c r="R190" i="15"/>
  <c r="Q190" i="15"/>
  <c r="P190" i="15"/>
  <c r="O190" i="15"/>
  <c r="N190" i="15"/>
  <c r="M190" i="15"/>
  <c r="L190" i="15"/>
  <c r="AN190" i="15" s="1"/>
  <c r="K190" i="15"/>
  <c r="J190" i="15"/>
  <c r="I190" i="15"/>
  <c r="H190" i="15"/>
  <c r="G190" i="15"/>
  <c r="F190" i="15"/>
  <c r="E190" i="15"/>
  <c r="D190" i="15"/>
  <c r="AO190" i="15" s="1"/>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S59"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AN188" i="15" s="1"/>
  <c r="K188" i="15"/>
  <c r="J188" i="15"/>
  <c r="I188" i="15"/>
  <c r="H188" i="15"/>
  <c r="G188" i="15"/>
  <c r="F188" i="15"/>
  <c r="E188" i="15"/>
  <c r="D188" i="15"/>
  <c r="AJ187" i="15"/>
  <c r="AQ187" i="15" s="1"/>
  <c r="AS5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S56" i="15" s="1"/>
  <c r="AI186" i="15"/>
  <c r="AH186" i="15"/>
  <c r="AG186" i="15"/>
  <c r="AF186" i="15"/>
  <c r="AE186" i="15"/>
  <c r="AD186" i="15"/>
  <c r="AC186" i="15"/>
  <c r="AB186" i="15"/>
  <c r="AA186" i="15"/>
  <c r="Z186" i="15"/>
  <c r="Y186" i="15"/>
  <c r="X186" i="15"/>
  <c r="W186" i="15"/>
  <c r="V186" i="15"/>
  <c r="U186" i="15"/>
  <c r="T186" i="15"/>
  <c r="AM186" i="15" s="1"/>
  <c r="S186" i="15"/>
  <c r="R186" i="15"/>
  <c r="Q186" i="15"/>
  <c r="P186" i="15"/>
  <c r="O186" i="15"/>
  <c r="N186" i="15"/>
  <c r="M186" i="15"/>
  <c r="L186" i="15"/>
  <c r="AN186" i="15" s="1"/>
  <c r="K186" i="15"/>
  <c r="J186" i="15"/>
  <c r="I186" i="15"/>
  <c r="H186" i="15"/>
  <c r="G186" i="15"/>
  <c r="F186" i="15"/>
  <c r="E186" i="15"/>
  <c r="D186" i="15"/>
  <c r="AO186" i="15" s="1"/>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S52"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S5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Q171" i="15"/>
  <c r="AJ171" i="15"/>
  <c r="AI171" i="15"/>
  <c r="AH171" i="15"/>
  <c r="AG171" i="15"/>
  <c r="AF171" i="15"/>
  <c r="AE171" i="15"/>
  <c r="AD171" i="15"/>
  <c r="AC171" i="15"/>
  <c r="AB171" i="15"/>
  <c r="AA171" i="15"/>
  <c r="Z171" i="15"/>
  <c r="Y171" i="15"/>
  <c r="X171" i="15"/>
  <c r="W171" i="15"/>
  <c r="V171" i="15"/>
  <c r="U171" i="15"/>
  <c r="AM171" i="15" s="1"/>
  <c r="T171" i="15"/>
  <c r="S171" i="15"/>
  <c r="R171" i="15"/>
  <c r="Q171" i="15"/>
  <c r="P171" i="15"/>
  <c r="O171" i="15"/>
  <c r="N171" i="15"/>
  <c r="M171" i="15"/>
  <c r="L171" i="15"/>
  <c r="K171" i="15"/>
  <c r="J171" i="15"/>
  <c r="I171" i="15"/>
  <c r="H171" i="15"/>
  <c r="G171" i="15"/>
  <c r="F171" i="15"/>
  <c r="E171" i="15"/>
  <c r="D171" i="15"/>
  <c r="AQ170"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AO170" i="15" s="1"/>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AN169" i="15" s="1"/>
  <c r="L169" i="15"/>
  <c r="K169" i="15"/>
  <c r="J169" i="15"/>
  <c r="I169" i="15"/>
  <c r="H169" i="15"/>
  <c r="G169" i="15"/>
  <c r="F169" i="15"/>
  <c r="E169" i="15"/>
  <c r="D169" i="15"/>
  <c r="AQ168" i="15"/>
  <c r="AJ168" i="15"/>
  <c r="AI168" i="15"/>
  <c r="AH168" i="15"/>
  <c r="AG168" i="15"/>
  <c r="AF168" i="15"/>
  <c r="AE168" i="15"/>
  <c r="AD168" i="15"/>
  <c r="AC168" i="15"/>
  <c r="AB168" i="15"/>
  <c r="AA168" i="15"/>
  <c r="Z168" i="15"/>
  <c r="Y168" i="15"/>
  <c r="X168" i="15"/>
  <c r="W168" i="15"/>
  <c r="V168" i="15"/>
  <c r="U168" i="15"/>
  <c r="AM168" i="15" s="1"/>
  <c r="T168" i="15"/>
  <c r="S168" i="15"/>
  <c r="R168" i="15"/>
  <c r="Q168" i="15"/>
  <c r="P168" i="15"/>
  <c r="O168" i="15"/>
  <c r="N168" i="15"/>
  <c r="M168" i="15"/>
  <c r="L168" i="15"/>
  <c r="K168" i="15"/>
  <c r="J168" i="15"/>
  <c r="I168" i="15"/>
  <c r="H168" i="15"/>
  <c r="G168" i="15"/>
  <c r="F168" i="15"/>
  <c r="E168" i="15"/>
  <c r="D168" i="15"/>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Q163" i="15"/>
  <c r="AJ163" i="15"/>
  <c r="AI163" i="15"/>
  <c r="AH163" i="15"/>
  <c r="AG163" i="15"/>
  <c r="AF163" i="15"/>
  <c r="AE163" i="15"/>
  <c r="AD163" i="15"/>
  <c r="AC163" i="15"/>
  <c r="AB163" i="15"/>
  <c r="AA163" i="15"/>
  <c r="Z163" i="15"/>
  <c r="Y163" i="15"/>
  <c r="X163" i="15"/>
  <c r="W163" i="15"/>
  <c r="V163" i="15"/>
  <c r="U163" i="15"/>
  <c r="T163" i="15"/>
  <c r="AM163" i="15" s="1"/>
  <c r="S163" i="15"/>
  <c r="R163" i="15"/>
  <c r="Q163" i="15"/>
  <c r="P163" i="15"/>
  <c r="O163" i="15"/>
  <c r="N163" i="15"/>
  <c r="M163" i="15"/>
  <c r="L163" i="15"/>
  <c r="K163" i="15"/>
  <c r="J163" i="15"/>
  <c r="I163" i="15"/>
  <c r="H163" i="15"/>
  <c r="G163" i="15"/>
  <c r="F163" i="15"/>
  <c r="E163" i="15"/>
  <c r="D163" i="15"/>
  <c r="AJ162" i="15"/>
  <c r="AQ16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AO162" i="15" s="1"/>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Q160" i="15" s="1"/>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AN156" i="15" s="1"/>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AM154" i="15" s="1"/>
  <c r="S154" i="15"/>
  <c r="R154" i="15"/>
  <c r="Q154" i="15"/>
  <c r="P154" i="15"/>
  <c r="O154" i="15"/>
  <c r="N154" i="15"/>
  <c r="M154" i="15"/>
  <c r="L154" i="15"/>
  <c r="AN154" i="15" s="1"/>
  <c r="K154" i="15"/>
  <c r="J154" i="15"/>
  <c r="I154" i="15"/>
  <c r="H154" i="15"/>
  <c r="G154" i="15"/>
  <c r="F154" i="15"/>
  <c r="E154" i="15"/>
  <c r="D154" i="15"/>
  <c r="AO154" i="15" s="1"/>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O149" i="15" s="1"/>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AM134" i="15" s="1"/>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AJ133" i="15"/>
  <c r="AQ133" i="15" s="1"/>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AO131" i="15" s="1"/>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Q129" i="15" s="1"/>
  <c r="AR64" i="15" s="1"/>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AO128" i="15" s="1"/>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AN127" i="15" s="1"/>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R59" i="15" s="1"/>
  <c r="AI124" i="15"/>
  <c r="AH124" i="15"/>
  <c r="AG124" i="15"/>
  <c r="AF124" i="15"/>
  <c r="AE124" i="15"/>
  <c r="AD124" i="15"/>
  <c r="AC124" i="15"/>
  <c r="AB124" i="15"/>
  <c r="AL124" i="15" s="1"/>
  <c r="AA124" i="15"/>
  <c r="Z124" i="15"/>
  <c r="Y124" i="15"/>
  <c r="X124" i="15"/>
  <c r="W124" i="15"/>
  <c r="V124" i="15"/>
  <c r="U124" i="15"/>
  <c r="T124" i="15"/>
  <c r="AM124" i="15" s="1"/>
  <c r="S124" i="15"/>
  <c r="R124" i="15"/>
  <c r="Q124" i="15"/>
  <c r="P124" i="15"/>
  <c r="O124" i="15"/>
  <c r="N124" i="15"/>
  <c r="M124" i="15"/>
  <c r="L124" i="15"/>
  <c r="AN124" i="15" s="1"/>
  <c r="K124" i="15"/>
  <c r="J124" i="15"/>
  <c r="I124" i="15"/>
  <c r="H124" i="15"/>
  <c r="G124" i="15"/>
  <c r="F124" i="15"/>
  <c r="E124" i="15"/>
  <c r="D124" i="15"/>
  <c r="AO124" i="15" s="1"/>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Q121" i="15"/>
  <c r="AJ121" i="15"/>
  <c r="AI121" i="15"/>
  <c r="AH121" i="15"/>
  <c r="AG121" i="15"/>
  <c r="AF121" i="15"/>
  <c r="AE121" i="15"/>
  <c r="AD121" i="15"/>
  <c r="AC121" i="15"/>
  <c r="AB121" i="15"/>
  <c r="AA121" i="15"/>
  <c r="Z121" i="15"/>
  <c r="Y121" i="15"/>
  <c r="X121" i="15"/>
  <c r="W121" i="15"/>
  <c r="V121" i="15"/>
  <c r="U121" i="15"/>
  <c r="AM121" i="15" s="1"/>
  <c r="T121" i="15"/>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O120" i="15" s="1"/>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R48"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Q112" i="15" s="1"/>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Q110" i="15"/>
  <c r="AR46" i="15" s="1"/>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AO107" i="15" s="1"/>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AN106" i="15" s="1"/>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Q104" i="15" s="1"/>
  <c r="AR39" i="15" s="1"/>
  <c r="AI104" i="15"/>
  <c r="AH104" i="15"/>
  <c r="AG104" i="15"/>
  <c r="AF104" i="15"/>
  <c r="AE104" i="15"/>
  <c r="AD104" i="15"/>
  <c r="AC104" i="15"/>
  <c r="AB104" i="15"/>
  <c r="AA104" i="15"/>
  <c r="Z104" i="15"/>
  <c r="Y104" i="15"/>
  <c r="X104" i="15"/>
  <c r="W104" i="15"/>
  <c r="V104" i="15"/>
  <c r="U104" i="15"/>
  <c r="T104" i="15"/>
  <c r="AM104" i="15" s="1"/>
  <c r="S104" i="15"/>
  <c r="R104" i="15"/>
  <c r="Q104" i="15"/>
  <c r="P104" i="15"/>
  <c r="O104" i="15"/>
  <c r="N104" i="15"/>
  <c r="M104" i="15"/>
  <c r="L104" i="15"/>
  <c r="AN104" i="15" s="1"/>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Q101" i="15" s="1"/>
  <c r="AR36"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Q99" i="15" s="1"/>
  <c r="AR35" i="15" s="1"/>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Q98"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Q97" i="15" s="1"/>
  <c r="AR32"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Q96"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Q95"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L93" i="15" s="1"/>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O91" i="15" s="1"/>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AN86" i="15" s="1"/>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O82" i="15" s="1"/>
  <c r="AJ81" i="15"/>
  <c r="AI81" i="15"/>
  <c r="AH81" i="15"/>
  <c r="AG81" i="15"/>
  <c r="AF81" i="15"/>
  <c r="AE81" i="15"/>
  <c r="AD81" i="15"/>
  <c r="AC81" i="15"/>
  <c r="AL81" i="15" s="1"/>
  <c r="AB81" i="15"/>
  <c r="AA81" i="15"/>
  <c r="Z81" i="15"/>
  <c r="Y81" i="15"/>
  <c r="X81" i="15"/>
  <c r="W81" i="15"/>
  <c r="V81" i="15"/>
  <c r="U81" i="15"/>
  <c r="AM81" i="15" s="1"/>
  <c r="T81" i="15"/>
  <c r="S81" i="15"/>
  <c r="R81" i="15"/>
  <c r="Q81" i="15"/>
  <c r="P81" i="15"/>
  <c r="O81" i="15"/>
  <c r="N81" i="15"/>
  <c r="M81" i="15"/>
  <c r="AN81" i="15" s="1"/>
  <c r="L81" i="15"/>
  <c r="K81" i="15"/>
  <c r="J81" i="15"/>
  <c r="I81" i="15"/>
  <c r="H81" i="15"/>
  <c r="G81" i="15"/>
  <c r="F81" i="15"/>
  <c r="E81" i="15"/>
  <c r="AO81" i="15" s="1"/>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AO75" i="15" s="1"/>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R70" i="15"/>
  <c r="AT69" i="15"/>
  <c r="AS69" i="15"/>
  <c r="C69" i="15"/>
  <c r="C199" i="15" s="1"/>
  <c r="AT68" i="15"/>
  <c r="C68" i="15"/>
  <c r="AT67" i="15"/>
  <c r="AS67" i="15"/>
  <c r="C67" i="15"/>
  <c r="C132" i="15" s="1"/>
  <c r="AT66" i="15"/>
  <c r="C66" i="15"/>
  <c r="AT65" i="15"/>
  <c r="C65" i="15"/>
  <c r="AT64" i="15"/>
  <c r="AS64" i="15"/>
  <c r="C64" i="15"/>
  <c r="AT63" i="15"/>
  <c r="AR63" i="15"/>
  <c r="C63" i="15"/>
  <c r="AT62" i="15"/>
  <c r="AR62" i="15"/>
  <c r="C62" i="15"/>
  <c r="AT61" i="15"/>
  <c r="AR61" i="15"/>
  <c r="C61" i="15"/>
  <c r="C191" i="15" s="1"/>
  <c r="AT60" i="15"/>
  <c r="C60" i="15"/>
  <c r="AT59" i="15"/>
  <c r="C59" i="15"/>
  <c r="C124" i="15" s="1"/>
  <c r="AT58" i="15"/>
  <c r="AR58" i="15"/>
  <c r="C58" i="15"/>
  <c r="AT57" i="15"/>
  <c r="AR57" i="15"/>
  <c r="C57" i="15"/>
  <c r="AT56" i="15"/>
  <c r="C56" i="15"/>
  <c r="AT55" i="15"/>
  <c r="C55" i="15"/>
  <c r="AT54" i="15"/>
  <c r="C54" i="15"/>
  <c r="AT53" i="15"/>
  <c r="C53" i="15"/>
  <c r="C183" i="15" s="1"/>
  <c r="AT52" i="15"/>
  <c r="C52" i="15"/>
  <c r="AT51" i="15"/>
  <c r="C51" i="15"/>
  <c r="C116" i="15" s="1"/>
  <c r="AT50" i="15"/>
  <c r="AR50" i="15"/>
  <c r="C50" i="15"/>
  <c r="C180" i="15" s="1"/>
  <c r="AT49" i="15"/>
  <c r="AR49" i="15"/>
  <c r="C49" i="15"/>
  <c r="AT48" i="15"/>
  <c r="AS48" i="15"/>
  <c r="C48" i="15"/>
  <c r="AT47" i="15"/>
  <c r="AR47" i="15"/>
  <c r="C47" i="15"/>
  <c r="AT46" i="15"/>
  <c r="C46" i="15"/>
  <c r="AT45" i="15"/>
  <c r="AR45" i="15"/>
  <c r="C45" i="15"/>
  <c r="C175" i="15" s="1"/>
  <c r="AT44" i="15"/>
  <c r="C44" i="15"/>
  <c r="AT43" i="15"/>
  <c r="AS43" i="15"/>
  <c r="C43" i="15"/>
  <c r="C108" i="15" s="1"/>
  <c r="AT42" i="15"/>
  <c r="AR42" i="15"/>
  <c r="C42" i="15"/>
  <c r="C172" i="15" s="1"/>
  <c r="AT41" i="15"/>
  <c r="C41" i="15"/>
  <c r="AT40" i="15"/>
  <c r="AS40" i="15"/>
  <c r="C40" i="15"/>
  <c r="AT39" i="15"/>
  <c r="AS39" i="15"/>
  <c r="C39" i="15"/>
  <c r="AT38" i="15"/>
  <c r="C38" i="15"/>
  <c r="AT37" i="15"/>
  <c r="C37" i="15"/>
  <c r="C167" i="15" s="1"/>
  <c r="AT36" i="15"/>
  <c r="C36" i="15"/>
  <c r="AT35" i="15"/>
  <c r="C35" i="15"/>
  <c r="C100" i="15" s="1"/>
  <c r="AT34" i="15"/>
  <c r="AR34" i="15"/>
  <c r="C34" i="15"/>
  <c r="AT33" i="15"/>
  <c r="AS33" i="15"/>
  <c r="C33" i="15"/>
  <c r="AT32" i="15"/>
  <c r="AS32" i="15"/>
  <c r="C32" i="15"/>
  <c r="AT31" i="15"/>
  <c r="AS31" i="15"/>
  <c r="AR31" i="15"/>
  <c r="C31" i="15"/>
  <c r="AT30" i="15"/>
  <c r="C30" i="15"/>
  <c r="C95" i="15" s="1"/>
  <c r="C29" i="15"/>
  <c r="C159" i="15" s="1"/>
  <c r="C28" i="15"/>
  <c r="C27" i="15"/>
  <c r="C92" i="15" s="1"/>
  <c r="C26" i="15"/>
  <c r="C156" i="15" s="1"/>
  <c r="C25" i="15"/>
  <c r="C24" i="15"/>
  <c r="C23" i="15"/>
  <c r="C22" i="15"/>
  <c r="C21" i="15"/>
  <c r="C20" i="15"/>
  <c r="C150" i="15" s="1"/>
  <c r="C19" i="15"/>
  <c r="C149" i="15" s="1"/>
  <c r="C18" i="15"/>
  <c r="C148" i="15" s="1"/>
  <c r="C17" i="15"/>
  <c r="C16" i="15"/>
  <c r="C146" i="15" s="1"/>
  <c r="C15" i="15"/>
  <c r="C14" i="15"/>
  <c r="C79" i="15" s="1"/>
  <c r="AW13" i="15"/>
  <c r="C13" i="15"/>
  <c r="C12" i="15"/>
  <c r="C142" i="15" s="1"/>
  <c r="C11" i="15"/>
  <c r="C76" i="15" s="1"/>
  <c r="C10" i="15"/>
  <c r="C140" i="15" s="1"/>
  <c r="C9" i="15"/>
  <c r="C8" i="15"/>
  <c r="C138" i="15" s="1"/>
  <c r="C7" i="15"/>
  <c r="AW6" i="15"/>
  <c r="C6" i="15"/>
  <c r="B3" i="15"/>
  <c r="AW7" i="15" s="1"/>
  <c r="AJ199" i="14"/>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S66" i="14" s="1"/>
  <c r="AI195" i="14"/>
  <c r="AH195" i="14"/>
  <c r="AG195" i="14"/>
  <c r="AF195" i="14"/>
  <c r="AE195" i="14"/>
  <c r="AD195" i="14"/>
  <c r="AC195" i="14"/>
  <c r="AB195" i="14"/>
  <c r="AL195" i="14" s="1"/>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Q188" i="14"/>
  <c r="AS59" i="14" s="1"/>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O187" i="14" s="1"/>
  <c r="AJ186" i="14"/>
  <c r="AQ186" i="14" s="1"/>
  <c r="AI186" i="14"/>
  <c r="AH186" i="14"/>
  <c r="AG186" i="14"/>
  <c r="AF186" i="14"/>
  <c r="AE186" i="14"/>
  <c r="AD186" i="14"/>
  <c r="AC186" i="14"/>
  <c r="AB186" i="14"/>
  <c r="AA186" i="14"/>
  <c r="Z186" i="14"/>
  <c r="Y186" i="14"/>
  <c r="X186" i="14"/>
  <c r="W186" i="14"/>
  <c r="V186" i="14"/>
  <c r="U186" i="14"/>
  <c r="T186" i="14"/>
  <c r="AM186" i="14" s="1"/>
  <c r="S186" i="14"/>
  <c r="R186" i="14"/>
  <c r="Q186" i="14"/>
  <c r="P186" i="14"/>
  <c r="O186" i="14"/>
  <c r="N186" i="14"/>
  <c r="M186" i="14"/>
  <c r="L186" i="14"/>
  <c r="AN186" i="14" s="1"/>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Q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Q179" i="14"/>
  <c r="AJ179" i="14"/>
  <c r="AI179" i="14"/>
  <c r="AH179" i="14"/>
  <c r="AG179" i="14"/>
  <c r="AF179" i="14"/>
  <c r="AE179" i="14"/>
  <c r="AD179" i="14"/>
  <c r="AC179" i="14"/>
  <c r="AB179" i="14"/>
  <c r="AA179" i="14"/>
  <c r="Z179" i="14"/>
  <c r="Y179" i="14"/>
  <c r="X179" i="14"/>
  <c r="W179" i="14"/>
  <c r="V179" i="14"/>
  <c r="AM179" i="14" s="1"/>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S46" i="14" s="1"/>
  <c r="AI175" i="14"/>
  <c r="AH175" i="14"/>
  <c r="AG175" i="14"/>
  <c r="AF175" i="14"/>
  <c r="AE175" i="14"/>
  <c r="AD175" i="14"/>
  <c r="AC175" i="14"/>
  <c r="AB175" i="14"/>
  <c r="AL175" i="14" s="1"/>
  <c r="AA175" i="14"/>
  <c r="Z175" i="14"/>
  <c r="Y175" i="14"/>
  <c r="X175" i="14"/>
  <c r="W175" i="14"/>
  <c r="V175" i="14"/>
  <c r="U175" i="14"/>
  <c r="T175" i="14"/>
  <c r="AM175" i="14" s="1"/>
  <c r="S175" i="14"/>
  <c r="R175" i="14"/>
  <c r="Q175" i="14"/>
  <c r="P175" i="14"/>
  <c r="O175" i="14"/>
  <c r="N175" i="14"/>
  <c r="M175" i="14"/>
  <c r="L175" i="14"/>
  <c r="AN175" i="14" s="1"/>
  <c r="K175" i="14"/>
  <c r="J175" i="14"/>
  <c r="I175" i="14"/>
  <c r="H175" i="14"/>
  <c r="G175" i="14"/>
  <c r="F175" i="14"/>
  <c r="E175" i="14"/>
  <c r="D175" i="14"/>
  <c r="AO175" i="14" s="1"/>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L171" i="14" s="1"/>
  <c r="AA171" i="14"/>
  <c r="Z171" i="14"/>
  <c r="Y171" i="14"/>
  <c r="X171" i="14"/>
  <c r="W171" i="14"/>
  <c r="V171" i="14"/>
  <c r="U171" i="14"/>
  <c r="T171" i="14"/>
  <c r="S171" i="14"/>
  <c r="R171" i="14"/>
  <c r="Q171" i="14"/>
  <c r="P171" i="14"/>
  <c r="O171" i="14"/>
  <c r="N171" i="14"/>
  <c r="M171" i="14"/>
  <c r="L171" i="14"/>
  <c r="AN171" i="14" s="1"/>
  <c r="K171" i="14"/>
  <c r="J171" i="14"/>
  <c r="I171" i="14"/>
  <c r="H171" i="14"/>
  <c r="G171" i="14"/>
  <c r="F171" i="14"/>
  <c r="E171" i="14"/>
  <c r="D171" i="14"/>
  <c r="AO171" i="14" s="1"/>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S39"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AO162" i="14" s="1"/>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AM144" i="14" s="1"/>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AM137" i="14" s="1"/>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L132" i="14" s="1"/>
  <c r="AA132" i="14"/>
  <c r="Z132" i="14"/>
  <c r="Y132" i="14"/>
  <c r="X132" i="14"/>
  <c r="W132" i="14"/>
  <c r="V132" i="14"/>
  <c r="U132" i="14"/>
  <c r="T132" i="14"/>
  <c r="AM132" i="14" s="1"/>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T128" i="14"/>
  <c r="S128" i="14"/>
  <c r="R128" i="14"/>
  <c r="Q128" i="14"/>
  <c r="P128" i="14"/>
  <c r="O128" i="14"/>
  <c r="N128" i="14"/>
  <c r="M128" i="14"/>
  <c r="AN128" i="14" s="1"/>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Q126"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R59" i="14" s="1"/>
  <c r="AJ124" i="14"/>
  <c r="AI124" i="14"/>
  <c r="AH124" i="14"/>
  <c r="AG124" i="14"/>
  <c r="AF124" i="14"/>
  <c r="AE124" i="14"/>
  <c r="AD124" i="14"/>
  <c r="AC124" i="14"/>
  <c r="AL124" i="14" s="1"/>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Q122"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7"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Q118"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Q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AN114" i="14" s="1"/>
  <c r="L114" i="14"/>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R47"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J111" i="14"/>
  <c r="AI111" i="14"/>
  <c r="AH111" i="14"/>
  <c r="AG111" i="14"/>
  <c r="AF111" i="14"/>
  <c r="AE111" i="14"/>
  <c r="AD111" i="14"/>
  <c r="AC111" i="14"/>
  <c r="AB111" i="14"/>
  <c r="AA111" i="14"/>
  <c r="Z111" i="14"/>
  <c r="Y111" i="14"/>
  <c r="X111" i="14"/>
  <c r="W111" i="14"/>
  <c r="V111" i="14"/>
  <c r="U111" i="14"/>
  <c r="AM111" i="14" s="1"/>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R42"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O103" i="14" s="1"/>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AM93" i="14" s="1"/>
  <c r="T93" i="14"/>
  <c r="S93" i="14"/>
  <c r="R93" i="14"/>
  <c r="Q93" i="14"/>
  <c r="P93" i="14"/>
  <c r="O93" i="14"/>
  <c r="N93" i="14"/>
  <c r="M93" i="14"/>
  <c r="L93" i="14"/>
  <c r="K93" i="14"/>
  <c r="J93" i="14"/>
  <c r="I93" i="14"/>
  <c r="H93" i="14"/>
  <c r="G93" i="14"/>
  <c r="F93" i="14"/>
  <c r="E93" i="14"/>
  <c r="AO93" i="14" s="1"/>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AN92" i="14" s="1"/>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AO88" i="14" s="1"/>
  <c r="D88" i="14"/>
  <c r="AJ87" i="14"/>
  <c r="AI87" i="14"/>
  <c r="AH87" i="14"/>
  <c r="AG87" i="14"/>
  <c r="AF87" i="14"/>
  <c r="AE87" i="14"/>
  <c r="AD87" i="14"/>
  <c r="AC87" i="14"/>
  <c r="AB87" i="14"/>
  <c r="AA87" i="14"/>
  <c r="Z87" i="14"/>
  <c r="Y87" i="14"/>
  <c r="X87" i="14"/>
  <c r="W87" i="14"/>
  <c r="V87" i="14"/>
  <c r="U87" i="14"/>
  <c r="T87" i="14"/>
  <c r="S87" i="14"/>
  <c r="R87" i="14"/>
  <c r="Q87" i="14"/>
  <c r="P87" i="14"/>
  <c r="O87" i="14"/>
  <c r="N87" i="14"/>
  <c r="AN87" i="14" s="1"/>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O86" i="14" s="1"/>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C83" i="14"/>
  <c r="AJ82" i="14"/>
  <c r="AI82" i="14"/>
  <c r="AH82" i="14"/>
  <c r="AG82" i="14"/>
  <c r="AF82" i="14"/>
  <c r="AE82" i="14"/>
  <c r="AD82" i="14"/>
  <c r="AC82" i="14"/>
  <c r="AB82" i="14"/>
  <c r="AA82" i="14"/>
  <c r="Z82" i="14"/>
  <c r="Y82" i="14"/>
  <c r="X82" i="14"/>
  <c r="W82" i="14"/>
  <c r="V82" i="14"/>
  <c r="U82" i="14"/>
  <c r="AM82" i="14" s="1"/>
  <c r="T82" i="14"/>
  <c r="S82" i="14"/>
  <c r="R82" i="14"/>
  <c r="Q82" i="14"/>
  <c r="P82" i="14"/>
  <c r="O82" i="14"/>
  <c r="N82" i="14"/>
  <c r="AN82" i="14" s="1"/>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AN81" i="14" s="1"/>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AO78" i="14" s="1"/>
  <c r="J78" i="14"/>
  <c r="I78" i="14"/>
  <c r="H78" i="14"/>
  <c r="G78" i="14"/>
  <c r="F78" i="14"/>
  <c r="E78" i="14"/>
  <c r="D78" i="14"/>
  <c r="C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AM76" i="14" s="1"/>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AM72" i="14" s="1"/>
  <c r="S72" i="14"/>
  <c r="R72" i="14"/>
  <c r="Q72" i="14"/>
  <c r="P72" i="14"/>
  <c r="O72" i="14"/>
  <c r="N72" i="14"/>
  <c r="M72" i="14"/>
  <c r="L72" i="14"/>
  <c r="K72" i="14"/>
  <c r="J72" i="14"/>
  <c r="I72" i="14"/>
  <c r="H72" i="14"/>
  <c r="G72" i="14"/>
  <c r="F72" i="14"/>
  <c r="E72" i="14"/>
  <c r="D72" i="14"/>
  <c r="AO72" i="14" s="1"/>
  <c r="AJ71" i="14"/>
  <c r="AI71" i="14"/>
  <c r="AH71" i="14"/>
  <c r="AG71" i="14"/>
  <c r="AF71" i="14"/>
  <c r="AE71" i="14"/>
  <c r="AD71" i="14"/>
  <c r="AC71" i="14"/>
  <c r="AB71" i="14"/>
  <c r="AA71" i="14"/>
  <c r="Z71" i="14"/>
  <c r="Y71" i="14"/>
  <c r="X71" i="14"/>
  <c r="W71" i="14"/>
  <c r="V71" i="14"/>
  <c r="U71" i="14"/>
  <c r="AM71" i="14" s="1"/>
  <c r="T71" i="14"/>
  <c r="S71" i="14"/>
  <c r="R71" i="14"/>
  <c r="Q71" i="14"/>
  <c r="P71" i="14"/>
  <c r="O71" i="14"/>
  <c r="N71" i="14"/>
  <c r="M71" i="14"/>
  <c r="AN71" i="14" s="1"/>
  <c r="L71" i="14"/>
  <c r="K71" i="14"/>
  <c r="J71" i="14"/>
  <c r="I71" i="14"/>
  <c r="H71" i="14"/>
  <c r="G71" i="14"/>
  <c r="F71" i="14"/>
  <c r="E71" i="14"/>
  <c r="AO71" i="14" s="1"/>
  <c r="D71" i="14"/>
  <c r="AT70" i="14"/>
  <c r="AS70" i="14"/>
  <c r="AR70" i="14"/>
  <c r="AT69" i="14"/>
  <c r="AS69" i="14"/>
  <c r="AR69" i="14"/>
  <c r="C69" i="14"/>
  <c r="AT68" i="14"/>
  <c r="AS68" i="14"/>
  <c r="C68" i="14"/>
  <c r="AT67" i="14"/>
  <c r="AS67" i="14"/>
  <c r="C67" i="14"/>
  <c r="AT66" i="14"/>
  <c r="C66" i="14"/>
  <c r="AT65" i="14"/>
  <c r="C65" i="14"/>
  <c r="AT64" i="14"/>
  <c r="AS64" i="14"/>
  <c r="AR64" i="14"/>
  <c r="C64" i="14"/>
  <c r="AT63" i="14"/>
  <c r="AS63" i="14"/>
  <c r="AR63" i="14"/>
  <c r="C63" i="14"/>
  <c r="AT62" i="14"/>
  <c r="AS62" i="14"/>
  <c r="AR62" i="14"/>
  <c r="C62" i="14"/>
  <c r="AT61" i="14"/>
  <c r="AS61" i="14"/>
  <c r="AR61" i="14"/>
  <c r="C61" i="14"/>
  <c r="AT60" i="14"/>
  <c r="AS60" i="14"/>
  <c r="C60" i="14"/>
  <c r="AT59" i="14"/>
  <c r="C59" i="14"/>
  <c r="AT58" i="14"/>
  <c r="AS58" i="14"/>
  <c r="AR58" i="14"/>
  <c r="C58" i="14"/>
  <c r="C188" i="14" s="1"/>
  <c r="AT57" i="14"/>
  <c r="AS57" i="14"/>
  <c r="C57" i="14"/>
  <c r="C187" i="14" s="1"/>
  <c r="AT56" i="14"/>
  <c r="AS56" i="14"/>
  <c r="C56" i="14"/>
  <c r="AT55" i="14"/>
  <c r="AS55" i="14"/>
  <c r="AR55" i="14"/>
  <c r="C55" i="14"/>
  <c r="AT54" i="14"/>
  <c r="AS54" i="14"/>
  <c r="AR54" i="14"/>
  <c r="C54" i="14"/>
  <c r="AT53" i="14"/>
  <c r="AS53" i="14"/>
  <c r="AR53" i="14"/>
  <c r="C53" i="14"/>
  <c r="C183" i="14" s="1"/>
  <c r="AT52" i="14"/>
  <c r="AS52" i="14"/>
  <c r="C52" i="14"/>
  <c r="AT51" i="14"/>
  <c r="AS51" i="14"/>
  <c r="C51" i="14"/>
  <c r="C181" i="14" s="1"/>
  <c r="AT50" i="14"/>
  <c r="AS50" i="14"/>
  <c r="AR50" i="14"/>
  <c r="C50" i="14"/>
  <c r="AT49" i="14"/>
  <c r="AS49" i="14"/>
  <c r="C49" i="14"/>
  <c r="C179" i="14" s="1"/>
  <c r="AT48" i="14"/>
  <c r="AS48" i="14"/>
  <c r="C48" i="14"/>
  <c r="C178" i="14" s="1"/>
  <c r="AT47" i="14"/>
  <c r="AS47" i="14"/>
  <c r="C47" i="14"/>
  <c r="AT46" i="14"/>
  <c r="C46" i="14"/>
  <c r="AT45" i="14"/>
  <c r="C45" i="14"/>
  <c r="C175" i="14" s="1"/>
  <c r="AT44" i="14"/>
  <c r="AS44" i="14"/>
  <c r="C44" i="14"/>
  <c r="AT43" i="14"/>
  <c r="AS43" i="14"/>
  <c r="C43" i="14"/>
  <c r="C173" i="14" s="1"/>
  <c r="AT42" i="14"/>
  <c r="AS42" i="14"/>
  <c r="C42" i="14"/>
  <c r="C172" i="14" s="1"/>
  <c r="AT41" i="14"/>
  <c r="AS41" i="14"/>
  <c r="C41" i="14"/>
  <c r="C171" i="14" s="1"/>
  <c r="AT40" i="14"/>
  <c r="AS40" i="14"/>
  <c r="C40" i="14"/>
  <c r="AT39" i="14"/>
  <c r="C39" i="14"/>
  <c r="AT38" i="14"/>
  <c r="C38" i="14"/>
  <c r="AT37" i="14"/>
  <c r="C37" i="14"/>
  <c r="C36" i="14"/>
  <c r="C35" i="14"/>
  <c r="C165" i="14" s="1"/>
  <c r="C34" i="14"/>
  <c r="C164" i="14" s="1"/>
  <c r="C33" i="14"/>
  <c r="C163" i="14" s="1"/>
  <c r="C32" i="14"/>
  <c r="AT31" i="14"/>
  <c r="C31" i="14"/>
  <c r="C161" i="14" s="1"/>
  <c r="C30" i="14"/>
  <c r="C29" i="14"/>
  <c r="C28" i="14"/>
  <c r="C93" i="14" s="1"/>
  <c r="C27" i="14"/>
  <c r="C157" i="14" s="1"/>
  <c r="C26" i="14"/>
  <c r="C25" i="14"/>
  <c r="C155" i="14" s="1"/>
  <c r="C24" i="14"/>
  <c r="C154" i="14" s="1"/>
  <c r="C23" i="14"/>
  <c r="C22" i="14"/>
  <c r="C21" i="14"/>
  <c r="C151" i="14" s="1"/>
  <c r="C20" i="14"/>
  <c r="C150" i="14" s="1"/>
  <c r="C19" i="14"/>
  <c r="C149" i="14" s="1"/>
  <c r="C18" i="14"/>
  <c r="C148" i="14" s="1"/>
  <c r="C17" i="14"/>
  <c r="C16" i="14"/>
  <c r="C146" i="14" s="1"/>
  <c r="C15" i="14"/>
  <c r="C14" i="14"/>
  <c r="C144" i="14" s="1"/>
  <c r="AW13" i="14"/>
  <c r="C13" i="14"/>
  <c r="C143" i="14" s="1"/>
  <c r="C12" i="14"/>
  <c r="C77" i="14" s="1"/>
  <c r="C11" i="14"/>
  <c r="C141" i="14" s="1"/>
  <c r="C10" i="14"/>
  <c r="C140" i="14" s="1"/>
  <c r="C9" i="14"/>
  <c r="C139" i="14" s="1"/>
  <c r="C8" i="14"/>
  <c r="C138" i="14" s="1"/>
  <c r="C7" i="14"/>
  <c r="AW6" i="14"/>
  <c r="C6" i="14"/>
  <c r="C71" i="14" s="1"/>
  <c r="B3" i="14"/>
  <c r="AW7" i="14" s="1"/>
  <c r="AR40" i="14" l="1"/>
  <c r="AR49" i="14"/>
  <c r="AR48" i="14"/>
  <c r="AR67" i="14"/>
  <c r="AR68" i="14"/>
  <c r="C191" i="14"/>
  <c r="C126" i="14"/>
  <c r="AO82" i="14"/>
  <c r="AO87" i="14"/>
  <c r="AM87" i="14"/>
  <c r="AQ87" i="14" s="1"/>
  <c r="C107" i="14"/>
  <c r="AN111" i="14"/>
  <c r="AR46" i="14"/>
  <c r="AM113" i="14"/>
  <c r="AM125" i="14"/>
  <c r="AO141" i="14"/>
  <c r="AO149" i="14"/>
  <c r="AM153" i="14"/>
  <c r="AM161" i="14"/>
  <c r="AN189" i="14"/>
  <c r="AM189" i="14"/>
  <c r="AL189" i="14"/>
  <c r="AR38" i="15"/>
  <c r="AR37" i="15"/>
  <c r="AR44" i="15"/>
  <c r="AR51" i="15"/>
  <c r="AR52" i="15"/>
  <c r="AN153" i="15"/>
  <c r="AS45" i="14"/>
  <c r="C189" i="14"/>
  <c r="C124" i="14"/>
  <c r="AR65" i="14"/>
  <c r="AN73" i="14"/>
  <c r="AM73" i="14"/>
  <c r="AO74" i="14"/>
  <c r="AM78" i="14"/>
  <c r="AN79" i="14"/>
  <c r="AN83" i="14"/>
  <c r="AN88" i="14"/>
  <c r="AN93" i="14"/>
  <c r="AO94" i="14"/>
  <c r="AN94" i="14"/>
  <c r="AM94" i="14"/>
  <c r="AM101" i="14"/>
  <c r="AN103" i="14"/>
  <c r="AM103" i="14"/>
  <c r="AL103" i="14"/>
  <c r="AO123" i="14"/>
  <c r="AO154" i="14"/>
  <c r="AO96" i="15"/>
  <c r="AM110" i="15"/>
  <c r="AO123" i="15"/>
  <c r="AM179" i="15"/>
  <c r="C199" i="14"/>
  <c r="C134" i="14"/>
  <c r="AS38" i="15"/>
  <c r="AS37" i="15"/>
  <c r="AS65" i="14"/>
  <c r="AN72" i="14"/>
  <c r="AO80" i="14"/>
  <c r="AN80" i="14"/>
  <c r="AO85" i="14"/>
  <c r="AN85" i="14"/>
  <c r="AM85" i="14"/>
  <c r="AO96" i="14"/>
  <c r="AN96" i="14"/>
  <c r="AO102" i="14"/>
  <c r="AN102" i="14"/>
  <c r="AM102" i="14"/>
  <c r="AO107" i="14"/>
  <c r="AL107" i="14"/>
  <c r="AL108" i="14"/>
  <c r="AN112" i="14"/>
  <c r="AL112" i="14"/>
  <c r="C116" i="14"/>
  <c r="AM119" i="14"/>
  <c r="AO163" i="14"/>
  <c r="AN169" i="14"/>
  <c r="AM169" i="14"/>
  <c r="AN178" i="14"/>
  <c r="AN130" i="15"/>
  <c r="AO173" i="15"/>
  <c r="AS44" i="15"/>
  <c r="AS45" i="15"/>
  <c r="AS65" i="15"/>
  <c r="AS66" i="15"/>
  <c r="AR41" i="14"/>
  <c r="AN74" i="14"/>
  <c r="AN75" i="14"/>
  <c r="AL75" i="14"/>
  <c r="C76" i="14"/>
  <c r="AM79" i="14"/>
  <c r="AM80" i="14"/>
  <c r="AL80" i="14"/>
  <c r="C81" i="14"/>
  <c r="AO83" i="14"/>
  <c r="AO84" i="14"/>
  <c r="AM86" i="14"/>
  <c r="AL86" i="14"/>
  <c r="AM91" i="14"/>
  <c r="AM110" i="14"/>
  <c r="AO116" i="14"/>
  <c r="AN116" i="14"/>
  <c r="AM116" i="14"/>
  <c r="AL116" i="14"/>
  <c r="AN148" i="14"/>
  <c r="AR40" i="15"/>
  <c r="AR53" i="15"/>
  <c r="AR54" i="15"/>
  <c r="AR67" i="15"/>
  <c r="AR68" i="15"/>
  <c r="AO73" i="14"/>
  <c r="AL96" i="14"/>
  <c r="AO97" i="14"/>
  <c r="AN104" i="14"/>
  <c r="AL104" i="14"/>
  <c r="AL109" i="14"/>
  <c r="AO112" i="14"/>
  <c r="AM117" i="14"/>
  <c r="AM127" i="14"/>
  <c r="AN162" i="14"/>
  <c r="AM163" i="14"/>
  <c r="AO83" i="15"/>
  <c r="AS35" i="15"/>
  <c r="AS34" i="15"/>
  <c r="AS60" i="15"/>
  <c r="AS61" i="15"/>
  <c r="AS42" i="15"/>
  <c r="AS41" i="15"/>
  <c r="AS62" i="15"/>
  <c r="AS63" i="15"/>
  <c r="AR60" i="14"/>
  <c r="AO75" i="14"/>
  <c r="AO81" i="14"/>
  <c r="AM81" i="14"/>
  <c r="AO89" i="14"/>
  <c r="AO91" i="14"/>
  <c r="AN95" i="14"/>
  <c r="AN98" i="14"/>
  <c r="AN109" i="14"/>
  <c r="AM109" i="14"/>
  <c r="C114" i="14"/>
  <c r="C136" i="15"/>
  <c r="C71" i="15"/>
  <c r="C143" i="15"/>
  <c r="C78" i="15"/>
  <c r="AM113" i="15"/>
  <c r="AR55" i="15"/>
  <c r="AR56" i="15"/>
  <c r="AS46" i="15"/>
  <c r="AS47" i="15"/>
  <c r="AS53" i="15"/>
  <c r="AM74" i="14"/>
  <c r="AO76" i="14"/>
  <c r="AO77" i="14"/>
  <c r="AN77" i="14"/>
  <c r="AM77" i="14"/>
  <c r="AM84" i="14"/>
  <c r="AO99" i="14"/>
  <c r="AO104" i="14"/>
  <c r="AO110" i="14"/>
  <c r="AM129" i="14"/>
  <c r="AO155" i="14"/>
  <c r="AN193" i="14"/>
  <c r="AM193" i="14"/>
  <c r="AO165" i="15"/>
  <c r="AS55" i="15"/>
  <c r="AS54" i="15"/>
  <c r="AN130" i="14"/>
  <c r="AO133" i="14"/>
  <c r="AN133" i="14"/>
  <c r="AM133" i="14"/>
  <c r="AL133" i="14"/>
  <c r="AO138" i="14"/>
  <c r="AN138" i="14"/>
  <c r="AN145" i="14"/>
  <c r="AM145" i="14"/>
  <c r="AO146" i="14"/>
  <c r="AN146" i="14"/>
  <c r="AM152" i="14"/>
  <c r="AO166" i="14"/>
  <c r="AN166" i="14"/>
  <c r="AM166" i="14"/>
  <c r="AO170" i="14"/>
  <c r="AN170" i="14"/>
  <c r="AO176" i="14"/>
  <c r="AN176" i="14"/>
  <c r="AM176" i="14"/>
  <c r="AL176" i="14"/>
  <c r="AN185" i="14"/>
  <c r="AM185" i="14"/>
  <c r="AL186" i="14"/>
  <c r="AN188" i="14"/>
  <c r="AO194" i="14"/>
  <c r="AN194" i="14"/>
  <c r="AM76" i="15"/>
  <c r="AO80" i="15"/>
  <c r="AO95" i="15"/>
  <c r="AN95" i="15"/>
  <c r="AM95" i="15"/>
  <c r="AL95" i="15"/>
  <c r="AO100" i="15"/>
  <c r="AN100" i="15"/>
  <c r="AM100" i="15"/>
  <c r="AL100" i="15"/>
  <c r="AO104" i="15"/>
  <c r="AL104" i="15"/>
  <c r="AL120" i="15"/>
  <c r="AO146" i="15"/>
  <c r="AN149" i="15"/>
  <c r="AM149" i="15"/>
  <c r="C160" i="15"/>
  <c r="AN176" i="15"/>
  <c r="AM176" i="15"/>
  <c r="AO177" i="15"/>
  <c r="AN177" i="15"/>
  <c r="AM177" i="15"/>
  <c r="AL177" i="15"/>
  <c r="AL186" i="15"/>
  <c r="AN193" i="15"/>
  <c r="AO197" i="15"/>
  <c r="AO120" i="14"/>
  <c r="AL125" i="14"/>
  <c r="AO128" i="14"/>
  <c r="AO131" i="14"/>
  <c r="AO148" i="14"/>
  <c r="AM148" i="14"/>
  <c r="AN153" i="14"/>
  <c r="AM154" i="14"/>
  <c r="AO160" i="14"/>
  <c r="AN160" i="14"/>
  <c r="AM160" i="14"/>
  <c r="AO167" i="14"/>
  <c r="AN167" i="14"/>
  <c r="AM167" i="14"/>
  <c r="AM171" i="14"/>
  <c r="AO179" i="14"/>
  <c r="AN181" i="14"/>
  <c r="AM181" i="14"/>
  <c r="AL181" i="14"/>
  <c r="AO191" i="14"/>
  <c r="AN191" i="14"/>
  <c r="AM191" i="14"/>
  <c r="AL191" i="14"/>
  <c r="AO76" i="15"/>
  <c r="AN77" i="15"/>
  <c r="AN82" i="15"/>
  <c r="AN87" i="15"/>
  <c r="AN94" i="15"/>
  <c r="AM94" i="15"/>
  <c r="AN96" i="15"/>
  <c r="AM96" i="15"/>
  <c r="AN98" i="15"/>
  <c r="AN103" i="15"/>
  <c r="AO121" i="15"/>
  <c r="AN121" i="15"/>
  <c r="AM129" i="15"/>
  <c r="AO130" i="15"/>
  <c r="AL130" i="15"/>
  <c r="AO138" i="15"/>
  <c r="C144" i="15"/>
  <c r="AM165" i="15"/>
  <c r="AL165" i="15"/>
  <c r="AN173" i="15"/>
  <c r="AM173" i="15"/>
  <c r="AL173" i="15"/>
  <c r="AM195" i="15"/>
  <c r="AO121" i="14"/>
  <c r="AM121" i="14"/>
  <c r="AO129" i="14"/>
  <c r="AM139" i="14"/>
  <c r="AN154" i="14"/>
  <c r="AO172" i="14"/>
  <c r="AM172" i="14"/>
  <c r="AL172" i="14"/>
  <c r="AM178" i="14"/>
  <c r="AN180" i="14"/>
  <c r="AO182" i="14"/>
  <c r="AN182" i="14"/>
  <c r="AM182" i="14"/>
  <c r="AL182" i="14"/>
  <c r="AO186" i="14"/>
  <c r="AO72" i="15"/>
  <c r="AL72" i="15"/>
  <c r="AO78" i="15"/>
  <c r="AM78" i="15"/>
  <c r="AL96" i="15"/>
  <c r="AL112" i="15"/>
  <c r="AN117" i="15"/>
  <c r="AM117" i="15"/>
  <c r="AL117" i="15"/>
  <c r="AL121" i="15"/>
  <c r="AL125" i="15"/>
  <c r="AO137" i="15"/>
  <c r="AN137" i="15"/>
  <c r="AM137" i="15"/>
  <c r="AL137" i="15"/>
  <c r="AN148" i="15"/>
  <c r="AO150" i="15"/>
  <c r="AN150" i="15"/>
  <c r="AM150" i="15"/>
  <c r="AO156" i="15"/>
  <c r="AO161" i="15"/>
  <c r="AN161" i="15"/>
  <c r="AM161" i="15"/>
  <c r="AL161" i="15"/>
  <c r="AO178" i="15"/>
  <c r="AL178" i="15"/>
  <c r="AO189" i="15"/>
  <c r="AO191" i="15"/>
  <c r="AN191" i="15"/>
  <c r="AM191" i="15"/>
  <c r="AL191" i="15"/>
  <c r="AL196" i="15"/>
  <c r="AM118" i="14"/>
  <c r="AL118" i="14"/>
  <c r="AO126" i="14"/>
  <c r="AN126" i="14"/>
  <c r="AM126" i="14"/>
  <c r="AL126" i="14"/>
  <c r="AO134" i="14"/>
  <c r="AN134" i="14"/>
  <c r="AM134" i="14"/>
  <c r="AL134" i="14"/>
  <c r="AN161" i="14"/>
  <c r="AO165" i="14"/>
  <c r="AO168" i="14"/>
  <c r="AN168" i="14"/>
  <c r="AM168" i="14"/>
  <c r="AL168" i="14"/>
  <c r="AN177" i="14"/>
  <c r="AM177" i="14"/>
  <c r="AL178" i="14"/>
  <c r="AO183" i="14"/>
  <c r="AN183" i="14"/>
  <c r="AM183" i="14"/>
  <c r="AL183" i="14"/>
  <c r="AO189" i="14"/>
  <c r="AO192" i="14"/>
  <c r="AN192" i="14"/>
  <c r="AM192" i="14"/>
  <c r="AL192" i="14"/>
  <c r="AO195" i="14"/>
  <c r="AN197" i="14"/>
  <c r="AM197" i="14"/>
  <c r="AL197" i="14"/>
  <c r="AM84" i="15"/>
  <c r="AO99" i="15"/>
  <c r="AO101" i="15"/>
  <c r="AN101" i="15"/>
  <c r="AM101" i="15"/>
  <c r="AL101" i="15"/>
  <c r="AO106" i="15"/>
  <c r="AM106" i="15"/>
  <c r="AL106" i="15"/>
  <c r="AR41" i="15"/>
  <c r="AN109" i="15"/>
  <c r="AM109" i="15"/>
  <c r="AL109" i="15"/>
  <c r="AN111" i="15"/>
  <c r="AL113" i="15"/>
  <c r="C118" i="15"/>
  <c r="AM118" i="15"/>
  <c r="AO145" i="15"/>
  <c r="AN145" i="15"/>
  <c r="AM145" i="15"/>
  <c r="AO166" i="15"/>
  <c r="AN166" i="15"/>
  <c r="AM166" i="15"/>
  <c r="AL166" i="15"/>
  <c r="AS36" i="15"/>
  <c r="AO174" i="15"/>
  <c r="AN174" i="15"/>
  <c r="AM174" i="15"/>
  <c r="AL174" i="15"/>
  <c r="AO181" i="15"/>
  <c r="AO183" i="15"/>
  <c r="AN183" i="15"/>
  <c r="AM183" i="15"/>
  <c r="AL183" i="15"/>
  <c r="AM184" i="15"/>
  <c r="AO192" i="15"/>
  <c r="AN192" i="15"/>
  <c r="AL192" i="15"/>
  <c r="C197" i="15"/>
  <c r="AN127" i="14"/>
  <c r="AN140" i="14"/>
  <c r="AO156" i="14"/>
  <c r="AM156" i="14"/>
  <c r="AN163" i="14"/>
  <c r="AO169" i="14"/>
  <c r="AL169" i="14"/>
  <c r="AO198" i="14"/>
  <c r="AN198" i="14"/>
  <c r="AM198" i="14"/>
  <c r="AL198" i="14"/>
  <c r="AN83" i="15"/>
  <c r="AO97" i="15"/>
  <c r="AL102" i="15"/>
  <c r="C110" i="15"/>
  <c r="AO127" i="15"/>
  <c r="AM127" i="15"/>
  <c r="AL127" i="15"/>
  <c r="AO132" i="15"/>
  <c r="AN132" i="15"/>
  <c r="AM132" i="15"/>
  <c r="AL132" i="15"/>
  <c r="AM156" i="15"/>
  <c r="C157" i="15"/>
  <c r="AO157" i="15"/>
  <c r="AN163" i="15"/>
  <c r="AN180" i="15"/>
  <c r="AM187" i="15"/>
  <c r="AO188" i="15"/>
  <c r="AM188" i="15"/>
  <c r="AN118" i="14"/>
  <c r="AN122" i="14"/>
  <c r="AO136" i="14"/>
  <c r="AN136" i="14"/>
  <c r="AM136" i="14"/>
  <c r="AN137" i="14"/>
  <c r="AO139" i="14"/>
  <c r="AO151" i="14"/>
  <c r="AN151" i="14"/>
  <c r="AM151" i="14"/>
  <c r="AO174" i="14"/>
  <c r="AN174" i="14"/>
  <c r="AM174" i="14"/>
  <c r="AL174" i="14"/>
  <c r="AO178" i="14"/>
  <c r="AO181" i="14"/>
  <c r="AO184" i="14"/>
  <c r="AN184" i="14"/>
  <c r="AM184" i="14"/>
  <c r="AL184" i="14"/>
  <c r="AO188" i="14"/>
  <c r="AM188" i="14"/>
  <c r="AL188" i="14"/>
  <c r="AO199" i="14"/>
  <c r="AN199" i="14"/>
  <c r="AM199" i="14"/>
  <c r="AL199" i="14"/>
  <c r="C75" i="15"/>
  <c r="AN79" i="15"/>
  <c r="AM79" i="15"/>
  <c r="C81" i="15"/>
  <c r="AO84" i="15"/>
  <c r="AN85" i="15"/>
  <c r="AM86" i="15"/>
  <c r="AN90" i="15"/>
  <c r="AO92" i="15"/>
  <c r="AN92" i="15"/>
  <c r="AM92" i="15"/>
  <c r="C107" i="15"/>
  <c r="AO112" i="15"/>
  <c r="AO115" i="15"/>
  <c r="AN123" i="15"/>
  <c r="AM123" i="15"/>
  <c r="AL123" i="15"/>
  <c r="AO126" i="15"/>
  <c r="AN126" i="15"/>
  <c r="AM126" i="15"/>
  <c r="AO140" i="15"/>
  <c r="AO141" i="15"/>
  <c r="AO147" i="15"/>
  <c r="AN147" i="15"/>
  <c r="AO153" i="15"/>
  <c r="AM153" i="15"/>
  <c r="AO163" i="15"/>
  <c r="AL163" i="15"/>
  <c r="AL167" i="15"/>
  <c r="AO171" i="15"/>
  <c r="AN171" i="15"/>
  <c r="AL171" i="15"/>
  <c r="AL188" i="15"/>
  <c r="AM192" i="15"/>
  <c r="AN80" i="15"/>
  <c r="AM80" i="15"/>
  <c r="AM89" i="15"/>
  <c r="AM97" i="15"/>
  <c r="AO102" i="15"/>
  <c r="AN102" i="15"/>
  <c r="AM102" i="15"/>
  <c r="AO119" i="15"/>
  <c r="AN119" i="15"/>
  <c r="AM119" i="15"/>
  <c r="AL119" i="15"/>
  <c r="AR69" i="15"/>
  <c r="AN140" i="15"/>
  <c r="AM152" i="15"/>
  <c r="AO168" i="15"/>
  <c r="AN168" i="15"/>
  <c r="AL168" i="15"/>
  <c r="AL175" i="15"/>
  <c r="AS50" i="15"/>
  <c r="AO185" i="15"/>
  <c r="AN185" i="15"/>
  <c r="AM185" i="15"/>
  <c r="AL185" i="15"/>
  <c r="AL88" i="15"/>
  <c r="AL149" i="15"/>
  <c r="AL154" i="15"/>
  <c r="AL159" i="15"/>
  <c r="AL77" i="15"/>
  <c r="AL143" i="15"/>
  <c r="AL78" i="15"/>
  <c r="AQ78" i="15" s="1"/>
  <c r="AL83" i="15"/>
  <c r="AL150" i="15"/>
  <c r="AQ150" i="15" s="1"/>
  <c r="AL156" i="15"/>
  <c r="AL145" i="15"/>
  <c r="AL79" i="15"/>
  <c r="AL80" i="15"/>
  <c r="AQ81" i="15"/>
  <c r="AL85" i="15"/>
  <c r="AL92" i="15"/>
  <c r="AQ92" i="15" s="1"/>
  <c r="AL153" i="15"/>
  <c r="AL147" i="15"/>
  <c r="AL73" i="15"/>
  <c r="AM74" i="15"/>
  <c r="AN136" i="15"/>
  <c r="AM136" i="15"/>
  <c r="AM73" i="15"/>
  <c r="AN138" i="15"/>
  <c r="AM138" i="15"/>
  <c r="AO73" i="15"/>
  <c r="AN73" i="15"/>
  <c r="AO74" i="15"/>
  <c r="AN74" i="15"/>
  <c r="AL138" i="15"/>
  <c r="AN75" i="15"/>
  <c r="AL75" i="15"/>
  <c r="AN71" i="15"/>
  <c r="AM71" i="15"/>
  <c r="AL71" i="15"/>
  <c r="AM140" i="15"/>
  <c r="AL140" i="15"/>
  <c r="AQ140" i="15" s="1"/>
  <c r="AS10" i="15" s="1"/>
  <c r="AN72" i="15"/>
  <c r="AM139" i="15"/>
  <c r="AM72" i="15"/>
  <c r="C139" i="15"/>
  <c r="C74" i="15"/>
  <c r="C111" i="15"/>
  <c r="C176" i="15"/>
  <c r="AN144" i="15"/>
  <c r="C178" i="15"/>
  <c r="C113" i="15"/>
  <c r="AR60" i="15"/>
  <c r="AN89" i="15"/>
  <c r="AO180" i="15"/>
  <c r="AM180" i="15"/>
  <c r="C145" i="15"/>
  <c r="AQ145" i="15" s="1"/>
  <c r="C80" i="15"/>
  <c r="C154" i="15"/>
  <c r="C89" i="15"/>
  <c r="C137" i="15"/>
  <c r="C72" i="15"/>
  <c r="AS58" i="15"/>
  <c r="AO71" i="15"/>
  <c r="C84" i="15"/>
  <c r="AO89" i="15"/>
  <c r="AR65" i="15"/>
  <c r="B6" i="15"/>
  <c r="C162" i="15"/>
  <c r="C97" i="15"/>
  <c r="C164" i="15"/>
  <c r="C99" i="15"/>
  <c r="C194" i="15"/>
  <c r="C129" i="15"/>
  <c r="C196" i="15"/>
  <c r="C131" i="15"/>
  <c r="AL74" i="15"/>
  <c r="C77" i="15"/>
  <c r="AQ80" i="15"/>
  <c r="AN84" i="15"/>
  <c r="AL84" i="15"/>
  <c r="AO86" i="15"/>
  <c r="AL86" i="15"/>
  <c r="AQ86" i="15" s="1"/>
  <c r="AL89" i="15"/>
  <c r="AM93" i="15"/>
  <c r="C115" i="15"/>
  <c r="C141" i="15"/>
  <c r="AM144" i="15"/>
  <c r="AQ156" i="15"/>
  <c r="AO160" i="15"/>
  <c r="AN160" i="15"/>
  <c r="AL160" i="15"/>
  <c r="C169" i="15"/>
  <c r="C104" i="15"/>
  <c r="C171" i="15"/>
  <c r="C106" i="15"/>
  <c r="C127" i="15"/>
  <c r="C192" i="15"/>
  <c r="C153" i="15"/>
  <c r="C88" i="15"/>
  <c r="C166" i="15"/>
  <c r="C101" i="15"/>
  <c r="C182" i="15"/>
  <c r="C117" i="15"/>
  <c r="C73" i="15"/>
  <c r="AO77" i="15"/>
  <c r="AM77" i="15"/>
  <c r="C83" i="15"/>
  <c r="AO90" i="15"/>
  <c r="AM90" i="15"/>
  <c r="AL90" i="15"/>
  <c r="AO94" i="15"/>
  <c r="AL94" i="15"/>
  <c r="AO98" i="15"/>
  <c r="AM98" i="15"/>
  <c r="AL98" i="15"/>
  <c r="AR33" i="15"/>
  <c r="AN112" i="15"/>
  <c r="AM112" i="15"/>
  <c r="AN115" i="15"/>
  <c r="AM115" i="15"/>
  <c r="AL115" i="15"/>
  <c r="AL118" i="15"/>
  <c r="AL126" i="15"/>
  <c r="AL146" i="15"/>
  <c r="AM155" i="15"/>
  <c r="C147" i="15"/>
  <c r="AQ147" i="15" s="1"/>
  <c r="C82" i="15"/>
  <c r="C103" i="15"/>
  <c r="C168" i="15"/>
  <c r="C177" i="15"/>
  <c r="C112" i="15"/>
  <c r="C119" i="15"/>
  <c r="C184" i="15"/>
  <c r="AR66" i="15"/>
  <c r="C198" i="15"/>
  <c r="C133" i="15"/>
  <c r="AM83" i="15"/>
  <c r="C91" i="15"/>
  <c r="AM105" i="15"/>
  <c r="AN114" i="15"/>
  <c r="AL151" i="15"/>
  <c r="AM160" i="15"/>
  <c r="AN164" i="15"/>
  <c r="AN197" i="15"/>
  <c r="AL197" i="15"/>
  <c r="C190" i="15"/>
  <c r="C125" i="15"/>
  <c r="C185" i="15"/>
  <c r="C120" i="15"/>
  <c r="AM75" i="15"/>
  <c r="AO144" i="15"/>
  <c r="AL144" i="15"/>
  <c r="C151" i="15"/>
  <c r="C86" i="15"/>
  <c r="C158" i="15"/>
  <c r="C93" i="15"/>
  <c r="C187" i="15"/>
  <c r="C122" i="15"/>
  <c r="C155" i="15"/>
  <c r="C90" i="15"/>
  <c r="AQ90" i="15" s="1"/>
  <c r="C161" i="15"/>
  <c r="C96" i="15"/>
  <c r="C170" i="15"/>
  <c r="C105" i="15"/>
  <c r="C179" i="15"/>
  <c r="C114" i="15"/>
  <c r="C186" i="15"/>
  <c r="C121" i="15"/>
  <c r="C193" i="15"/>
  <c r="C128" i="15"/>
  <c r="AO79" i="15"/>
  <c r="AQ79" i="15" s="1"/>
  <c r="AR14" i="15" s="1"/>
  <c r="C85" i="15"/>
  <c r="AO87" i="15"/>
  <c r="AN99" i="15"/>
  <c r="AM99" i="15"/>
  <c r="AL99" i="15"/>
  <c r="AQ153" i="15"/>
  <c r="AL162" i="15"/>
  <c r="AN172" i="15"/>
  <c r="AN194" i="15"/>
  <c r="AM194" i="15"/>
  <c r="AS68" i="15"/>
  <c r="C174" i="15"/>
  <c r="C109" i="15"/>
  <c r="AQ154" i="15"/>
  <c r="AS24" i="15" s="1"/>
  <c r="AN78" i="15"/>
  <c r="C87" i="15"/>
  <c r="C152" i="15"/>
  <c r="C163" i="15"/>
  <c r="C98" i="15"/>
  <c r="C188" i="15"/>
  <c r="C123" i="15"/>
  <c r="C195" i="15"/>
  <c r="C130" i="15"/>
  <c r="AN76" i="15"/>
  <c r="AL76" i="15"/>
  <c r="AL82" i="15"/>
  <c r="AQ82" i="15" s="1"/>
  <c r="AO85" i="15"/>
  <c r="AM85" i="15"/>
  <c r="AN122" i="15"/>
  <c r="AO133" i="15"/>
  <c r="AN133" i="15"/>
  <c r="AM133" i="15"/>
  <c r="AL170" i="15"/>
  <c r="AM87" i="15"/>
  <c r="AL87" i="15"/>
  <c r="AO93" i="15"/>
  <c r="AN93" i="15"/>
  <c r="C102" i="15"/>
  <c r="AN107" i="15"/>
  <c r="AM107" i="15"/>
  <c r="AL107" i="15"/>
  <c r="AL110" i="15"/>
  <c r="AO113" i="15"/>
  <c r="AN113" i="15"/>
  <c r="AO116" i="15"/>
  <c r="AN116" i="15"/>
  <c r="AM116" i="15"/>
  <c r="AL116" i="15"/>
  <c r="AO118" i="15"/>
  <c r="AN118" i="15"/>
  <c r="AO125" i="15"/>
  <c r="AN128" i="15"/>
  <c r="AM128" i="15"/>
  <c r="AM130" i="15"/>
  <c r="AO134" i="15"/>
  <c r="AN134" i="15"/>
  <c r="AL134" i="15"/>
  <c r="AN141" i="15"/>
  <c r="AM141" i="15"/>
  <c r="AL141" i="15"/>
  <c r="AO151" i="15"/>
  <c r="AN151" i="15"/>
  <c r="AM151" i="15"/>
  <c r="AM157" i="15"/>
  <c r="AL157" i="15"/>
  <c r="AN165" i="15"/>
  <c r="AO169" i="15"/>
  <c r="AM169" i="15"/>
  <c r="AL169" i="15"/>
  <c r="AN175" i="15"/>
  <c r="AN178" i="15"/>
  <c r="AM178" i="15"/>
  <c r="AL180" i="15"/>
  <c r="C189" i="15"/>
  <c r="AO122" i="15"/>
  <c r="AL122" i="15"/>
  <c r="AN125" i="15"/>
  <c r="AM125" i="15"/>
  <c r="AM131" i="15"/>
  <c r="AL131" i="15"/>
  <c r="AO148" i="15"/>
  <c r="AM148" i="15"/>
  <c r="AL148" i="15"/>
  <c r="AQ148" i="15"/>
  <c r="AS18" i="15" s="1"/>
  <c r="AO164" i="15"/>
  <c r="AL164" i="15"/>
  <c r="AO167" i="15"/>
  <c r="AN167" i="15"/>
  <c r="AM167" i="15"/>
  <c r="AO172" i="15"/>
  <c r="AM172" i="15"/>
  <c r="AO175" i="15"/>
  <c r="AM175" i="15"/>
  <c r="C181" i="15"/>
  <c r="AN189" i="15"/>
  <c r="AL189" i="15"/>
  <c r="AO195" i="15"/>
  <c r="AN195" i="15"/>
  <c r="AL195" i="15"/>
  <c r="AM197" i="15"/>
  <c r="AO198" i="15"/>
  <c r="AN198" i="15"/>
  <c r="AM198" i="15"/>
  <c r="AL198" i="15"/>
  <c r="C94" i="15"/>
  <c r="AO105" i="15"/>
  <c r="AN105" i="15"/>
  <c r="AO108" i="15"/>
  <c r="AN108" i="15"/>
  <c r="AM108" i="15"/>
  <c r="AL108" i="15"/>
  <c r="AO110" i="15"/>
  <c r="AN110" i="15"/>
  <c r="AO117" i="15"/>
  <c r="AO139" i="15"/>
  <c r="AN139" i="15"/>
  <c r="AL139" i="15"/>
  <c r="AO142" i="15"/>
  <c r="AQ142" i="15" s="1"/>
  <c r="AN142" i="15"/>
  <c r="AM142" i="15"/>
  <c r="AL142" i="15"/>
  <c r="AO155" i="15"/>
  <c r="AN155" i="15"/>
  <c r="AO158" i="15"/>
  <c r="AN158" i="15"/>
  <c r="AM158" i="15"/>
  <c r="AL158" i="15"/>
  <c r="AN170" i="15"/>
  <c r="AM170" i="15"/>
  <c r="AL172" i="15"/>
  <c r="AN181" i="15"/>
  <c r="AL181" i="15"/>
  <c r="AL184" i="15"/>
  <c r="AN97" i="15"/>
  <c r="AL105" i="15"/>
  <c r="AO111" i="15"/>
  <c r="AM111" i="15"/>
  <c r="AL111" i="15"/>
  <c r="AO114" i="15"/>
  <c r="AM114" i="15"/>
  <c r="AL114" i="15"/>
  <c r="AN120" i="15"/>
  <c r="AM120" i="15"/>
  <c r="AM122" i="15"/>
  <c r="C126" i="15"/>
  <c r="AO129" i="15"/>
  <c r="AN129" i="15"/>
  <c r="AO136" i="15"/>
  <c r="AQ136" i="15" s="1"/>
  <c r="AS6" i="15" s="1"/>
  <c r="AL136" i="15"/>
  <c r="AN146" i="15"/>
  <c r="AQ146" i="15" s="1"/>
  <c r="AM146" i="15"/>
  <c r="AO152" i="15"/>
  <c r="AN152" i="15"/>
  <c r="AL152" i="15"/>
  <c r="AQ152" i="15"/>
  <c r="AL155" i="15"/>
  <c r="AN157" i="15"/>
  <c r="AQ157" i="15" s="1"/>
  <c r="AN162" i="15"/>
  <c r="AM162" i="15"/>
  <c r="AM164" i="15"/>
  <c r="C173" i="15"/>
  <c r="AO176" i="15"/>
  <c r="AL176" i="15"/>
  <c r="AO187" i="15"/>
  <c r="AN187" i="15"/>
  <c r="AL187" i="15"/>
  <c r="AM189" i="15"/>
  <c r="AN199" i="15"/>
  <c r="AM199" i="15"/>
  <c r="AN91" i="15"/>
  <c r="AM91" i="15"/>
  <c r="AL91" i="15"/>
  <c r="AQ91" i="15" s="1"/>
  <c r="AR26" i="15" s="1"/>
  <c r="AL97" i="15"/>
  <c r="AO103" i="15"/>
  <c r="AM103" i="15"/>
  <c r="AL103" i="15"/>
  <c r="AO109" i="15"/>
  <c r="AL129" i="15"/>
  <c r="AN131" i="15"/>
  <c r="AO143" i="15"/>
  <c r="AQ143" i="15" s="1"/>
  <c r="AS13" i="15" s="1"/>
  <c r="AN143" i="15"/>
  <c r="AM143" i="15"/>
  <c r="AQ149" i="15"/>
  <c r="AO159" i="15"/>
  <c r="AN159" i="15"/>
  <c r="AM159" i="15"/>
  <c r="C165" i="15"/>
  <c r="AO179" i="15"/>
  <c r="AN179" i="15"/>
  <c r="AL179" i="15"/>
  <c r="AM181" i="15"/>
  <c r="AO182" i="15"/>
  <c r="AN182" i="15"/>
  <c r="AM182" i="15"/>
  <c r="AL182" i="15"/>
  <c r="AO184" i="15"/>
  <c r="AN184" i="15"/>
  <c r="AO193" i="15"/>
  <c r="AM193" i="15"/>
  <c r="AL193" i="15"/>
  <c r="AO196" i="15"/>
  <c r="AM196" i="15"/>
  <c r="AL166" i="14"/>
  <c r="AL160" i="14"/>
  <c r="AL167" i="14"/>
  <c r="AL99" i="14"/>
  <c r="AL100" i="14"/>
  <c r="AL101" i="14"/>
  <c r="AL163" i="14"/>
  <c r="AL92" i="14"/>
  <c r="AL152" i="14"/>
  <c r="AL81" i="14"/>
  <c r="AQ81" i="14" s="1"/>
  <c r="AR16" i="14" s="1"/>
  <c r="AL138" i="14"/>
  <c r="AL146" i="14"/>
  <c r="AL159" i="14"/>
  <c r="AL77" i="14"/>
  <c r="AQ77" i="14" s="1"/>
  <c r="AR12" i="14" s="1"/>
  <c r="AL148" i="14"/>
  <c r="AL71" i="14"/>
  <c r="AQ71" i="14" s="1"/>
  <c r="AR6" i="14" s="1"/>
  <c r="AL72" i="14"/>
  <c r="AL93" i="14"/>
  <c r="AQ93" i="14" s="1"/>
  <c r="AL73" i="14"/>
  <c r="AL78" i="14"/>
  <c r="AL79" i="14"/>
  <c r="AL83" i="14"/>
  <c r="AL90" i="14"/>
  <c r="AL156" i="14"/>
  <c r="AL85" i="14"/>
  <c r="AL136" i="14"/>
  <c r="AQ136" i="14" s="1"/>
  <c r="AS6" i="14" s="1"/>
  <c r="AL143" i="14"/>
  <c r="AL151" i="14"/>
  <c r="AR43" i="14"/>
  <c r="AR44" i="14"/>
  <c r="AR51" i="14"/>
  <c r="AR52" i="14"/>
  <c r="C196" i="14"/>
  <c r="C131" i="14"/>
  <c r="AQ160" i="14"/>
  <c r="C87" i="14"/>
  <c r="C152" i="14"/>
  <c r="C95" i="14"/>
  <c r="C160" i="14"/>
  <c r="C103" i="14"/>
  <c r="C168" i="14"/>
  <c r="C111" i="14"/>
  <c r="C176" i="14"/>
  <c r="C186" i="14"/>
  <c r="C121" i="14"/>
  <c r="C198" i="14"/>
  <c r="C133" i="14"/>
  <c r="AM75" i="14"/>
  <c r="AQ75" i="14" s="1"/>
  <c r="AR10" i="14" s="1"/>
  <c r="AN78" i="14"/>
  <c r="AL87" i="14"/>
  <c r="AO111" i="14"/>
  <c r="AL111" i="14"/>
  <c r="AM120" i="14"/>
  <c r="C122" i="14"/>
  <c r="AO124" i="14"/>
  <c r="AN124" i="14"/>
  <c r="AM124" i="14"/>
  <c r="C142" i="14"/>
  <c r="AM146" i="14"/>
  <c r="C145" i="14"/>
  <c r="C80" i="14"/>
  <c r="AR56" i="14"/>
  <c r="C193" i="14"/>
  <c r="C128" i="14"/>
  <c r="C74" i="14"/>
  <c r="C84" i="14"/>
  <c r="C89" i="14"/>
  <c r="AN91" i="14"/>
  <c r="AL91" i="14"/>
  <c r="C99" i="14"/>
  <c r="AO101" i="14"/>
  <c r="AQ101" i="14"/>
  <c r="AN105" i="14"/>
  <c r="AL105" i="14"/>
  <c r="C113" i="14"/>
  <c r="AO115" i="14"/>
  <c r="AN115" i="14"/>
  <c r="AM115" i="14"/>
  <c r="AL115" i="14"/>
  <c r="AO118" i="14"/>
  <c r="AO122" i="14"/>
  <c r="AM122" i="14"/>
  <c r="AL122" i="14"/>
  <c r="C136" i="14"/>
  <c r="C162" i="14"/>
  <c r="C97" i="14"/>
  <c r="C170" i="14"/>
  <c r="C105" i="14"/>
  <c r="C125" i="14"/>
  <c r="C190" i="14"/>
  <c r="C195" i="14"/>
  <c r="C130" i="14"/>
  <c r="C73" i="14"/>
  <c r="AL74" i="14"/>
  <c r="AQ80" i="14"/>
  <c r="AN84" i="14"/>
  <c r="AL84" i="14"/>
  <c r="AN89" i="14"/>
  <c r="AM89" i="14"/>
  <c r="AL89" i="14"/>
  <c r="AO95" i="14"/>
  <c r="AM95" i="14"/>
  <c r="AL95" i="14"/>
  <c r="AN97" i="14"/>
  <c r="AQ97" i="14" s="1"/>
  <c r="AL97" i="14"/>
  <c r="AN99" i="14"/>
  <c r="AQ99" i="14" s="1"/>
  <c r="AM99" i="14"/>
  <c r="AN147" i="14"/>
  <c r="AL147" i="14"/>
  <c r="C137" i="14"/>
  <c r="C72" i="14"/>
  <c r="C159" i="14"/>
  <c r="C94" i="14"/>
  <c r="C167" i="14"/>
  <c r="AQ167" i="14" s="1"/>
  <c r="C102" i="14"/>
  <c r="AM105" i="14"/>
  <c r="C108" i="14"/>
  <c r="C110" i="14"/>
  <c r="AQ148" i="14"/>
  <c r="C158" i="14"/>
  <c r="C75" i="14"/>
  <c r="C86" i="14"/>
  <c r="B6" i="14"/>
  <c r="C117" i="14"/>
  <c r="C182" i="14"/>
  <c r="C127" i="14"/>
  <c r="C192" i="14"/>
  <c r="C197" i="14"/>
  <c r="C132" i="14"/>
  <c r="C79" i="14"/>
  <c r="AM83" i="14"/>
  <c r="AN86" i="14"/>
  <c r="C90" i="14"/>
  <c r="C92" i="14"/>
  <c r="AM104" i="14"/>
  <c r="C106" i="14"/>
  <c r="AO108" i="14"/>
  <c r="AN108" i="14"/>
  <c r="AM108" i="14"/>
  <c r="AO113" i="14"/>
  <c r="C123" i="14"/>
  <c r="AM128" i="14"/>
  <c r="AO130" i="14"/>
  <c r="AM130" i="14"/>
  <c r="AL130" i="14"/>
  <c r="AO147" i="14"/>
  <c r="AM147" i="14"/>
  <c r="AT33" i="14"/>
  <c r="C180" i="14"/>
  <c r="C115" i="14"/>
  <c r="C185" i="14"/>
  <c r="C120" i="14"/>
  <c r="C156" i="14"/>
  <c r="C91" i="14"/>
  <c r="C153" i="14"/>
  <c r="C88" i="14"/>
  <c r="C169" i="14"/>
  <c r="C104" i="14"/>
  <c r="C177" i="14"/>
  <c r="C112" i="14"/>
  <c r="AO79" i="14"/>
  <c r="AM88" i="14"/>
  <c r="AO90" i="14"/>
  <c r="AM90" i="14"/>
  <c r="AO92" i="14"/>
  <c r="AM92" i="14"/>
  <c r="C96" i="14"/>
  <c r="C100" i="14"/>
  <c r="AO106" i="14"/>
  <c r="AM106" i="14"/>
  <c r="AL106" i="14"/>
  <c r="AN110" i="14"/>
  <c r="AL110" i="14"/>
  <c r="AN119" i="14"/>
  <c r="AN121" i="14"/>
  <c r="AL121" i="14"/>
  <c r="AN149" i="14"/>
  <c r="AM149" i="14"/>
  <c r="AL149" i="14"/>
  <c r="C147" i="14"/>
  <c r="C82" i="14"/>
  <c r="C101" i="14"/>
  <c r="C166" i="14"/>
  <c r="AQ166" i="14" s="1"/>
  <c r="C109" i="14"/>
  <c r="C174" i="14"/>
  <c r="C119" i="14"/>
  <c r="C184" i="14"/>
  <c r="C194" i="14"/>
  <c r="C129" i="14"/>
  <c r="AN76" i="14"/>
  <c r="AL76" i="14"/>
  <c r="AL82" i="14"/>
  <c r="AQ82" i="14" s="1"/>
  <c r="C85" i="14"/>
  <c r="AL88" i="14"/>
  <c r="AL94" i="14"/>
  <c r="AQ94" i="14" s="1"/>
  <c r="AR29" i="14" s="1"/>
  <c r="AM96" i="14"/>
  <c r="AQ96" i="14" s="1"/>
  <c r="C98" i="14"/>
  <c r="AM100" i="14"/>
  <c r="AL102" i="14"/>
  <c r="AQ102" i="14" s="1"/>
  <c r="AO114" i="14"/>
  <c r="AM114" i="14"/>
  <c r="AL114" i="14"/>
  <c r="AO117" i="14"/>
  <c r="AN117" i="14"/>
  <c r="AL117" i="14"/>
  <c r="AL144" i="14"/>
  <c r="AN107" i="14"/>
  <c r="AM107" i="14"/>
  <c r="AO109" i="14"/>
  <c r="AM112" i="14"/>
  <c r="C118" i="14"/>
  <c r="AN123" i="14"/>
  <c r="AM123" i="14"/>
  <c r="AL123" i="14"/>
  <c r="AO142" i="14"/>
  <c r="AN142" i="14"/>
  <c r="AM142" i="14"/>
  <c r="AL142" i="14"/>
  <c r="AO145" i="14"/>
  <c r="AL145" i="14"/>
  <c r="AO152" i="14"/>
  <c r="AN152" i="14"/>
  <c r="AN155" i="14"/>
  <c r="AL155" i="14"/>
  <c r="AO158" i="14"/>
  <c r="AN158" i="14"/>
  <c r="AM158" i="14"/>
  <c r="AL158" i="14"/>
  <c r="AN165" i="14"/>
  <c r="AQ165" i="14" s="1"/>
  <c r="AM165" i="14"/>
  <c r="AL165" i="14"/>
  <c r="AO177" i="14"/>
  <c r="AL177" i="14"/>
  <c r="AO180" i="14"/>
  <c r="AM180" i="14"/>
  <c r="AL180" i="14"/>
  <c r="AM187" i="14"/>
  <c r="AO197" i="14"/>
  <c r="AM138" i="14"/>
  <c r="AO140" i="14"/>
  <c r="AM140" i="14"/>
  <c r="AL140" i="14"/>
  <c r="AO159" i="14"/>
  <c r="AN159" i="14"/>
  <c r="AM159" i="14"/>
  <c r="AM162" i="14"/>
  <c r="AQ162" i="14" s="1"/>
  <c r="AN164" i="14"/>
  <c r="AM170" i="14"/>
  <c r="AN173" i="14"/>
  <c r="AM173" i="14"/>
  <c r="AL173" i="14"/>
  <c r="AO185" i="14"/>
  <c r="AL185" i="14"/>
  <c r="AM195" i="14"/>
  <c r="AO143" i="14"/>
  <c r="AN143" i="14"/>
  <c r="AM143" i="14"/>
  <c r="AO150" i="14"/>
  <c r="AN150" i="14"/>
  <c r="AM150" i="14"/>
  <c r="AL150" i="14"/>
  <c r="AO153" i="14"/>
  <c r="AL153" i="14"/>
  <c r="AM155" i="14"/>
  <c r="AO157" i="14"/>
  <c r="AL162" i="14"/>
  <c r="AL170" i="14"/>
  <c r="AN172" i="14"/>
  <c r="AO193" i="14"/>
  <c r="AL193" i="14"/>
  <c r="AO196" i="14"/>
  <c r="AM196" i="14"/>
  <c r="AL196" i="14"/>
  <c r="AM194" i="14"/>
  <c r="AN139" i="14"/>
  <c r="AL139" i="14"/>
  <c r="AN141" i="14"/>
  <c r="AM141" i="14"/>
  <c r="AL141" i="14"/>
  <c r="AQ163" i="14"/>
  <c r="AO173" i="14"/>
  <c r="AN179" i="14"/>
  <c r="AL179" i="14"/>
  <c r="AO190" i="14"/>
  <c r="AN190" i="14"/>
  <c r="AM190" i="14"/>
  <c r="AL190" i="14"/>
  <c r="AL194" i="14"/>
  <c r="AN196" i="14"/>
  <c r="AO98" i="14"/>
  <c r="AQ98" i="14" s="1"/>
  <c r="AM98" i="14"/>
  <c r="AL98" i="14"/>
  <c r="AO100" i="14"/>
  <c r="AN100" i="14"/>
  <c r="AN113" i="14"/>
  <c r="AL113" i="14"/>
  <c r="AL119" i="14"/>
  <c r="AO125" i="14"/>
  <c r="AN125" i="14"/>
  <c r="AO127" i="14"/>
  <c r="AL127" i="14"/>
  <c r="AN129" i="14"/>
  <c r="AL129" i="14"/>
  <c r="AN131" i="14"/>
  <c r="AM131" i="14"/>
  <c r="AL131" i="14"/>
  <c r="AO137" i="14"/>
  <c r="AL137" i="14"/>
  <c r="AO144" i="14"/>
  <c r="AN144" i="14"/>
  <c r="AL154" i="14"/>
  <c r="AN156" i="14"/>
  <c r="AN157" i="14"/>
  <c r="AM157" i="14"/>
  <c r="AL157" i="14"/>
  <c r="AO161" i="14"/>
  <c r="AQ161" i="14" s="1"/>
  <c r="AS31" i="14" s="1"/>
  <c r="AL161" i="14"/>
  <c r="AO164" i="14"/>
  <c r="AM164" i="14"/>
  <c r="AL164" i="14"/>
  <c r="AN187" i="14"/>
  <c r="AL187" i="14"/>
  <c r="AQ137" i="15" l="1"/>
  <c r="AS7" i="15" s="1"/>
  <c r="AQ138" i="15"/>
  <c r="AS8" i="15" s="1"/>
  <c r="AQ143" i="14"/>
  <c r="AS13" i="14" s="1"/>
  <c r="AR17" i="14"/>
  <c r="AR22" i="14"/>
  <c r="AQ146" i="14"/>
  <c r="AS16" i="14" s="1"/>
  <c r="AQ156" i="14"/>
  <c r="AS26" i="14" s="1"/>
  <c r="AQ138" i="14"/>
  <c r="AS8" i="14" s="1"/>
  <c r="AQ78" i="14"/>
  <c r="AR13" i="14" s="1"/>
  <c r="AQ92" i="14"/>
  <c r="AR27" i="14" s="1"/>
  <c r="AQ74" i="14"/>
  <c r="AR9" i="14" s="1"/>
  <c r="AR17" i="15"/>
  <c r="AS17" i="15"/>
  <c r="AQ71" i="15"/>
  <c r="AR6" i="15" s="1"/>
  <c r="AQ73" i="14"/>
  <c r="AR8" i="14" s="1"/>
  <c r="AR15" i="15"/>
  <c r="AQ154" i="14"/>
  <c r="AQ159" i="14"/>
  <c r="AQ90" i="14"/>
  <c r="AQ83" i="14"/>
  <c r="AR18" i="14" s="1"/>
  <c r="AQ89" i="14"/>
  <c r="AR24" i="14" s="1"/>
  <c r="AQ142" i="14"/>
  <c r="AS12" i="14" s="1"/>
  <c r="AR33" i="14"/>
  <c r="AQ150" i="14"/>
  <c r="AS20" i="14" s="1"/>
  <c r="AQ91" i="14"/>
  <c r="AQ86" i="14"/>
  <c r="AQ151" i="14"/>
  <c r="AQ75" i="15"/>
  <c r="AR10" i="15" s="1"/>
  <c r="AQ85" i="14"/>
  <c r="AS19" i="15"/>
  <c r="AR27" i="15"/>
  <c r="AS16" i="15"/>
  <c r="AS23" i="15"/>
  <c r="AR13" i="15"/>
  <c r="AS27" i="15"/>
  <c r="AR16" i="15"/>
  <c r="AS20" i="15"/>
  <c r="AQ85" i="15"/>
  <c r="AQ87" i="15"/>
  <c r="AR22" i="15" s="1"/>
  <c r="AQ94" i="15"/>
  <c r="AQ84" i="15"/>
  <c r="AQ88" i="15"/>
  <c r="AQ83" i="15"/>
  <c r="AR18" i="15" s="1"/>
  <c r="AQ73" i="15"/>
  <c r="AR8" i="15" s="1"/>
  <c r="AQ141" i="15"/>
  <c r="AS11" i="15" s="1"/>
  <c r="AQ72" i="15"/>
  <c r="AR7" i="15" s="1"/>
  <c r="AQ74" i="15"/>
  <c r="AR9" i="15" s="1"/>
  <c r="AQ76" i="15"/>
  <c r="AR11" i="15" s="1"/>
  <c r="AR30" i="15"/>
  <c r="AQ158" i="15"/>
  <c r="AS28" i="15" s="1"/>
  <c r="AQ93" i="15"/>
  <c r="AR28" i="15" s="1"/>
  <c r="AQ77" i="15"/>
  <c r="AQ89" i="15"/>
  <c r="AQ144" i="15"/>
  <c r="AS14" i="15" s="1"/>
  <c r="AQ159" i="15"/>
  <c r="AQ155" i="15"/>
  <c r="AS25" i="15" s="1"/>
  <c r="AQ151" i="15"/>
  <c r="AS21" i="15" s="1"/>
  <c r="B136" i="15"/>
  <c r="B71" i="15"/>
  <c r="AQ139" i="15"/>
  <c r="AS9" i="15" s="1"/>
  <c r="AS32" i="14"/>
  <c r="AR34" i="14"/>
  <c r="AS33" i="14"/>
  <c r="AR32" i="14"/>
  <c r="AS36" i="14"/>
  <c r="AQ88" i="14"/>
  <c r="AR23" i="14" s="1"/>
  <c r="AQ147" i="14"/>
  <c r="AS18" i="14" s="1"/>
  <c r="AQ145" i="14"/>
  <c r="AQ157" i="14"/>
  <c r="AS27" i="14" s="1"/>
  <c r="AQ149" i="14"/>
  <c r="AS19" i="14" s="1"/>
  <c r="AQ158" i="14"/>
  <c r="AS28" i="14" s="1"/>
  <c r="AQ137" i="14"/>
  <c r="AS7" i="14" s="1"/>
  <c r="AQ155" i="14"/>
  <c r="AS25" i="14" s="1"/>
  <c r="AQ139" i="14"/>
  <c r="AS9" i="14" s="1"/>
  <c r="AQ141" i="14"/>
  <c r="AS11" i="14" s="1"/>
  <c r="AQ153" i="14"/>
  <c r="AQ84" i="14"/>
  <c r="AR19" i="14" s="1"/>
  <c r="AQ76" i="14"/>
  <c r="AR11" i="14" s="1"/>
  <c r="AQ144" i="14"/>
  <c r="AS14" i="14" s="1"/>
  <c r="AQ72" i="14"/>
  <c r="AR7" i="14" s="1"/>
  <c r="AS37" i="14"/>
  <c r="AS38" i="14"/>
  <c r="AR37" i="14"/>
  <c r="AR38" i="14"/>
  <c r="AQ164" i="14"/>
  <c r="AS34" i="14" s="1"/>
  <c r="AQ95" i="14"/>
  <c r="AR30" i="14" s="1"/>
  <c r="AQ152" i="14"/>
  <c r="AS22" i="14" s="1"/>
  <c r="AQ100" i="14"/>
  <c r="AR35" i="14" s="1"/>
  <c r="AQ79" i="14"/>
  <c r="AQ140" i="14"/>
  <c r="AS10" i="14" s="1"/>
  <c r="B136" i="14"/>
  <c r="B71" i="14"/>
  <c r="AS12" i="15" l="1"/>
  <c r="AR14" i="14"/>
  <c r="AS23" i="14"/>
  <c r="AR15" i="14"/>
  <c r="AR20" i="14"/>
  <c r="AS21" i="14"/>
  <c r="AR25" i="14"/>
  <c r="AS15" i="14"/>
  <c r="AS17" i="14"/>
  <c r="AR21" i="14"/>
  <c r="AS29" i="14"/>
  <c r="AR26" i="14"/>
  <c r="AS24" i="14"/>
  <c r="AR28" i="14"/>
  <c r="AR24" i="15"/>
  <c r="AR20" i="15"/>
  <c r="AR29" i="15"/>
  <c r="AS30" i="14"/>
  <c r="AR12" i="15"/>
  <c r="AS22" i="15"/>
  <c r="AS26" i="15"/>
  <c r="AR23" i="15"/>
  <c r="AR19" i="15"/>
  <c r="AR21" i="15"/>
  <c r="AR25" i="15"/>
  <c r="AS15" i="15"/>
  <c r="AS29" i="15"/>
  <c r="AS30" i="15"/>
  <c r="AR36" i="14"/>
  <c r="AR31" i="14"/>
  <c r="AS35" i="14"/>
  <c r="B14" i="1" l="1"/>
  <c r="B13" i="1"/>
  <c r="B12" i="1"/>
  <c r="B11" i="1"/>
  <c r="B10" i="1"/>
  <c r="C2" i="7" l="1"/>
  <c r="B3" i="13"/>
  <c r="AJ199" i="13" l="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AO193" i="13" s="1"/>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O18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O175"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AN169" i="13" s="1"/>
  <c r="K169" i="13"/>
  <c r="J169" i="13"/>
  <c r="I169" i="13"/>
  <c r="H169" i="13"/>
  <c r="G169" i="13"/>
  <c r="F169" i="13"/>
  <c r="E169" i="13"/>
  <c r="D169" i="13"/>
  <c r="AO169" i="13" s="1"/>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AO161" i="13" s="1"/>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AO139" i="13" s="1"/>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AN109" i="13" s="1"/>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AN91" i="13" s="1"/>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C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O71" i="13" s="1"/>
  <c r="AT70" i="13"/>
  <c r="C69" i="13"/>
  <c r="C68" i="13"/>
  <c r="AT67" i="13"/>
  <c r="C67" i="13"/>
  <c r="C66" i="13"/>
  <c r="C65" i="13"/>
  <c r="AT64" i="13"/>
  <c r="C64" i="13"/>
  <c r="C63" i="13"/>
  <c r="C62" i="13"/>
  <c r="AT61" i="13"/>
  <c r="C61" i="13"/>
  <c r="C191" i="13" s="1"/>
  <c r="AT60" i="13"/>
  <c r="C60" i="13"/>
  <c r="C190" i="13" s="1"/>
  <c r="C59" i="13"/>
  <c r="C189" i="13" s="1"/>
  <c r="C58" i="13"/>
  <c r="AT57" i="13"/>
  <c r="C57" i="13"/>
  <c r="C187" i="13" s="1"/>
  <c r="C56" i="13"/>
  <c r="C186" i="13" s="1"/>
  <c r="C55" i="13"/>
  <c r="C185" i="13" s="1"/>
  <c r="C54" i="13"/>
  <c r="C53" i="13"/>
  <c r="C183" i="13" s="1"/>
  <c r="AT52" i="13"/>
  <c r="C52" i="13"/>
  <c r="C182" i="13" s="1"/>
  <c r="C51" i="13"/>
  <c r="C50" i="13"/>
  <c r="C115" i="13" s="1"/>
  <c r="AT49" i="13"/>
  <c r="C49" i="13"/>
  <c r="C179" i="13" s="1"/>
  <c r="AT48" i="13"/>
  <c r="C48" i="13"/>
  <c r="C47" i="13"/>
  <c r="C177" i="13" s="1"/>
  <c r="C46" i="13"/>
  <c r="AT45" i="13"/>
  <c r="C45" i="13"/>
  <c r="C44" i="13"/>
  <c r="C174" i="13" s="1"/>
  <c r="C43" i="13"/>
  <c r="C173" i="13" s="1"/>
  <c r="C42" i="13"/>
  <c r="C41" i="13"/>
  <c r="C171" i="13" s="1"/>
  <c r="AT40" i="13"/>
  <c r="C40" i="13"/>
  <c r="C39" i="13"/>
  <c r="C38" i="13"/>
  <c r="C37" i="13"/>
  <c r="C167" i="13" s="1"/>
  <c r="C36" i="13"/>
  <c r="C166" i="13" s="1"/>
  <c r="C35" i="13"/>
  <c r="C165" i="13" s="1"/>
  <c r="C34" i="13"/>
  <c r="C33" i="13"/>
  <c r="C163" i="13" s="1"/>
  <c r="C32" i="13"/>
  <c r="C162" i="13" s="1"/>
  <c r="C31" i="13"/>
  <c r="C161" i="13" s="1"/>
  <c r="C30" i="13"/>
  <c r="C29" i="13"/>
  <c r="C159" i="13" s="1"/>
  <c r="C28" i="13"/>
  <c r="C27" i="13"/>
  <c r="C157" i="13" s="1"/>
  <c r="C26" i="13"/>
  <c r="C25" i="13"/>
  <c r="C155" i="13" s="1"/>
  <c r="C24" i="13"/>
  <c r="C154" i="13" s="1"/>
  <c r="C23" i="13"/>
  <c r="C153" i="13" s="1"/>
  <c r="C22" i="13"/>
  <c r="AL21" i="13"/>
  <c r="AT21" i="13" s="1"/>
  <c r="C21" i="13"/>
  <c r="C151" i="13" s="1"/>
  <c r="AL20" i="13"/>
  <c r="C20" i="13"/>
  <c r="C150" i="13" s="1"/>
  <c r="AL19" i="13"/>
  <c r="AT19" i="13" s="1"/>
  <c r="C19" i="13"/>
  <c r="C149" i="13" s="1"/>
  <c r="AL18" i="13"/>
  <c r="C18" i="13"/>
  <c r="C148" i="13" s="1"/>
  <c r="AL17" i="13"/>
  <c r="C17" i="13"/>
  <c r="C16" i="13"/>
  <c r="C146" i="13" s="1"/>
  <c r="C15" i="13"/>
  <c r="C145" i="13" s="1"/>
  <c r="C14" i="13"/>
  <c r="C144" i="13" s="1"/>
  <c r="AW13" i="13"/>
  <c r="C13" i="13"/>
  <c r="C143" i="13" s="1"/>
  <c r="C12" i="13"/>
  <c r="C142" i="13" s="1"/>
  <c r="C11" i="13"/>
  <c r="C141" i="13" s="1"/>
  <c r="C10" i="13"/>
  <c r="C140" i="13" s="1"/>
  <c r="C9" i="13"/>
  <c r="C139" i="13" s="1"/>
  <c r="C8" i="13"/>
  <c r="C138" i="13" s="1"/>
  <c r="AW7" i="13"/>
  <c r="C7" i="13"/>
  <c r="C137" i="13" s="1"/>
  <c r="AW6" i="13"/>
  <c r="B6" i="13" s="1"/>
  <c r="B71" i="13" s="1"/>
  <c r="C6" i="13"/>
  <c r="C136" i="13" s="1"/>
  <c r="AN87" i="13" l="1"/>
  <c r="AM100" i="13"/>
  <c r="AM126" i="13"/>
  <c r="AL146" i="13"/>
  <c r="AO149" i="13"/>
  <c r="AM163" i="13"/>
  <c r="AM178" i="13"/>
  <c r="AM186" i="13"/>
  <c r="AO194" i="13"/>
  <c r="AM198" i="13"/>
  <c r="AO185" i="13"/>
  <c r="AO191" i="13"/>
  <c r="C81" i="13"/>
  <c r="AN103" i="13"/>
  <c r="AN142" i="13"/>
  <c r="AM150" i="13"/>
  <c r="AO163" i="13"/>
  <c r="AM172" i="13"/>
  <c r="AN194" i="13"/>
  <c r="AO195" i="13"/>
  <c r="AO197" i="13"/>
  <c r="C71" i="13"/>
  <c r="AN81" i="13"/>
  <c r="AM95" i="13"/>
  <c r="AN119" i="13"/>
  <c r="AO151" i="13"/>
  <c r="AN151" i="13"/>
  <c r="AM156" i="13"/>
  <c r="AO173" i="13"/>
  <c r="AN125" i="13"/>
  <c r="AN71" i="13"/>
  <c r="AN75" i="13"/>
  <c r="AO78" i="13"/>
  <c r="AM82" i="13"/>
  <c r="AM89" i="13"/>
  <c r="AM90" i="13"/>
  <c r="AM112" i="13"/>
  <c r="AO137" i="13"/>
  <c r="AN137" i="13"/>
  <c r="AM144" i="13"/>
  <c r="AO166" i="13"/>
  <c r="AO179" i="13"/>
  <c r="AO181" i="13"/>
  <c r="AM181" i="13"/>
  <c r="AL181" i="13"/>
  <c r="AO187" i="13"/>
  <c r="AO189" i="13"/>
  <c r="AN100" i="13"/>
  <c r="AM138" i="13"/>
  <c r="AU11" i="13"/>
  <c r="AU10" i="13"/>
  <c r="AN77" i="13"/>
  <c r="AN83" i="13"/>
  <c r="AO89" i="13"/>
  <c r="AM99" i="13"/>
  <c r="AN106" i="13"/>
  <c r="AM145" i="13"/>
  <c r="AL150" i="13"/>
  <c r="AN160" i="13"/>
  <c r="AO167" i="13"/>
  <c r="AN175" i="13"/>
  <c r="AO148" i="13"/>
  <c r="C72" i="13"/>
  <c r="AO84" i="13"/>
  <c r="AN129" i="13"/>
  <c r="AM131" i="13"/>
  <c r="AO145" i="13"/>
  <c r="AM154" i="13"/>
  <c r="AM174" i="13"/>
  <c r="AL196" i="13"/>
  <c r="AO199" i="13"/>
  <c r="AL93" i="13"/>
  <c r="AL139" i="13"/>
  <c r="AL98" i="13"/>
  <c r="AL164" i="13"/>
  <c r="AL157" i="13"/>
  <c r="AL167" i="13"/>
  <c r="C73" i="13"/>
  <c r="AN73" i="13"/>
  <c r="AM76" i="13"/>
  <c r="AO103" i="13"/>
  <c r="AM103" i="13"/>
  <c r="C106" i="13"/>
  <c r="AO111" i="13"/>
  <c r="AM117" i="13"/>
  <c r="C120" i="13"/>
  <c r="AN120" i="13"/>
  <c r="AN133" i="13"/>
  <c r="AO134" i="13"/>
  <c r="AM146" i="13"/>
  <c r="AO158" i="13"/>
  <c r="AN184" i="13"/>
  <c r="AM187" i="13"/>
  <c r="AO190" i="13"/>
  <c r="AN193" i="13"/>
  <c r="AM196" i="13"/>
  <c r="AN72" i="13"/>
  <c r="AM75" i="13"/>
  <c r="AO76" i="13"/>
  <c r="AN80" i="13"/>
  <c r="C92" i="13"/>
  <c r="AO97" i="13"/>
  <c r="AN105" i="13"/>
  <c r="AO107" i="13"/>
  <c r="AN114" i="13"/>
  <c r="AN124" i="13"/>
  <c r="AN132" i="13"/>
  <c r="AM136" i="13"/>
  <c r="AL154" i="13"/>
  <c r="AM159" i="13"/>
  <c r="AM168" i="13"/>
  <c r="AO176" i="13"/>
  <c r="AM182" i="13"/>
  <c r="AL102" i="13"/>
  <c r="C79" i="13"/>
  <c r="AN79" i="13"/>
  <c r="AL81" i="13"/>
  <c r="AO82" i="13"/>
  <c r="AL87" i="13"/>
  <c r="AM88" i="13"/>
  <c r="AM94" i="13"/>
  <c r="AN104" i="13"/>
  <c r="AM113" i="13"/>
  <c r="AN123" i="13"/>
  <c r="AL140" i="13"/>
  <c r="AO143" i="13"/>
  <c r="AL144" i="13"/>
  <c r="AL158" i="13"/>
  <c r="AN188" i="13"/>
  <c r="AO74" i="13"/>
  <c r="C78" i="13"/>
  <c r="AN78" i="13"/>
  <c r="AM81" i="13"/>
  <c r="C85" i="13"/>
  <c r="AN85" i="13"/>
  <c r="AM87" i="13"/>
  <c r="AO88" i="13"/>
  <c r="AL92" i="13"/>
  <c r="AO101" i="13"/>
  <c r="AN118" i="13"/>
  <c r="AO128" i="13"/>
  <c r="AM134" i="13"/>
  <c r="AM140" i="13"/>
  <c r="AM158" i="13"/>
  <c r="AO170" i="13"/>
  <c r="AN178" i="13"/>
  <c r="AN187" i="13"/>
  <c r="AM190" i="13"/>
  <c r="C86" i="13"/>
  <c r="AM73" i="13"/>
  <c r="C77" i="13"/>
  <c r="C84" i="13"/>
  <c r="AN84" i="13"/>
  <c r="AM93" i="13"/>
  <c r="AN98" i="13"/>
  <c r="AM106" i="13"/>
  <c r="AO114" i="13"/>
  <c r="AL114" i="13"/>
  <c r="AM120" i="13"/>
  <c r="AN127" i="13"/>
  <c r="AN131" i="13"/>
  <c r="AN136" i="13"/>
  <c r="AL148" i="13"/>
  <c r="AM162" i="13"/>
  <c r="AL166" i="13"/>
  <c r="AM176" i="13"/>
  <c r="AL194" i="13"/>
  <c r="AN196" i="13"/>
  <c r="AM199" i="13"/>
  <c r="AN86" i="13"/>
  <c r="AM72" i="13"/>
  <c r="AM111" i="13"/>
  <c r="AN117" i="13"/>
  <c r="AM119" i="13"/>
  <c r="AM129" i="13"/>
  <c r="AM139" i="13"/>
  <c r="AO142" i="13"/>
  <c r="AN145" i="13"/>
  <c r="AM148" i="13"/>
  <c r="AN154" i="13"/>
  <c r="AM157" i="13"/>
  <c r="AO160" i="13"/>
  <c r="AN163" i="13"/>
  <c r="AM166" i="13"/>
  <c r="AN172" i="13"/>
  <c r="AM180" i="13"/>
  <c r="AN182" i="13"/>
  <c r="AO183" i="13"/>
  <c r="AO188" i="13"/>
  <c r="AM194" i="13"/>
  <c r="C76" i="13"/>
  <c r="AN76" i="13"/>
  <c r="AO80" i="13"/>
  <c r="AO90" i="13"/>
  <c r="AO95" i="13"/>
  <c r="AN107" i="13"/>
  <c r="AM107" i="13"/>
  <c r="AN112" i="13"/>
  <c r="AN122" i="13"/>
  <c r="AL138" i="13"/>
  <c r="AL152" i="13"/>
  <c r="AO155" i="13"/>
  <c r="AL156" i="13"/>
  <c r="AM175" i="13"/>
  <c r="AO178" i="13"/>
  <c r="AN181" i="13"/>
  <c r="AM184" i="13"/>
  <c r="C75" i="13"/>
  <c r="AM79" i="13"/>
  <c r="AO86" i="13"/>
  <c r="C89" i="13"/>
  <c r="AO91" i="13"/>
  <c r="AN102" i="13"/>
  <c r="AM128" i="13"/>
  <c r="AM152" i="13"/>
  <c r="AM170" i="13"/>
  <c r="AM193" i="13"/>
  <c r="AO196" i="13"/>
  <c r="AL77" i="13"/>
  <c r="AM78" i="13"/>
  <c r="AN82" i="13"/>
  <c r="AM85" i="13"/>
  <c r="AO109" i="13"/>
  <c r="AO113" i="13"/>
  <c r="AN121" i="13"/>
  <c r="AM123" i="13"/>
  <c r="C126" i="13"/>
  <c r="AN126" i="13"/>
  <c r="AO136" i="13"/>
  <c r="AL142" i="13"/>
  <c r="AO159" i="13"/>
  <c r="AL160" i="13"/>
  <c r="AM165" i="13"/>
  <c r="AO182" i="13"/>
  <c r="AN190" i="13"/>
  <c r="AN199" i="13"/>
  <c r="C74" i="13"/>
  <c r="AN74" i="13"/>
  <c r="AM84" i="13"/>
  <c r="C88" i="13"/>
  <c r="AN88" i="13"/>
  <c r="AN92" i="13"/>
  <c r="AN97" i="13"/>
  <c r="AM101" i="13"/>
  <c r="AM105" i="13"/>
  <c r="AN116" i="13"/>
  <c r="C121" i="13"/>
  <c r="AN139" i="13"/>
  <c r="AQ139" i="13" s="1"/>
  <c r="AS9" i="13" s="1"/>
  <c r="AM142" i="13"/>
  <c r="AL145" i="13"/>
  <c r="AN148" i="13"/>
  <c r="AM151" i="13"/>
  <c r="AO154" i="13"/>
  <c r="AN157" i="13"/>
  <c r="AM160" i="13"/>
  <c r="AL163" i="13"/>
  <c r="AN166" i="13"/>
  <c r="AM169" i="13"/>
  <c r="AO172" i="13"/>
  <c r="AN176" i="13"/>
  <c r="AO177" i="13"/>
  <c r="AM188" i="13"/>
  <c r="AL170" i="13"/>
  <c r="AL172" i="13"/>
  <c r="AL174" i="13"/>
  <c r="AL187" i="13"/>
  <c r="AL197" i="13"/>
  <c r="AL104" i="13"/>
  <c r="AL108" i="13"/>
  <c r="AL188" i="13"/>
  <c r="AL190" i="13"/>
  <c r="AL128" i="13"/>
  <c r="AL179" i="13"/>
  <c r="AL193" i="13"/>
  <c r="AQ193" i="13" s="1"/>
  <c r="AL75" i="13"/>
  <c r="AL110" i="13"/>
  <c r="AL111" i="13"/>
  <c r="AL134" i="13"/>
  <c r="AL136" i="13"/>
  <c r="AL151" i="13"/>
  <c r="AQ151" i="13" s="1"/>
  <c r="AS21" i="13" s="1"/>
  <c r="AL169" i="13"/>
  <c r="AL182" i="13"/>
  <c r="AL184" i="13"/>
  <c r="AL185" i="13"/>
  <c r="AL198" i="13"/>
  <c r="AL173" i="13"/>
  <c r="AL186" i="13"/>
  <c r="AL199" i="13"/>
  <c r="AL90" i="13"/>
  <c r="AL161" i="13"/>
  <c r="AL175" i="13"/>
  <c r="AQ175" i="13" s="1"/>
  <c r="AL191" i="13"/>
  <c r="AL83" i="13"/>
  <c r="AL96" i="13"/>
  <c r="AL112" i="13"/>
  <c r="AL176" i="13"/>
  <c r="AQ176" i="13" s="1"/>
  <c r="AL178" i="13"/>
  <c r="AQ178" i="13" s="1"/>
  <c r="C192" i="13"/>
  <c r="AT62" i="13"/>
  <c r="C127" i="13"/>
  <c r="C172" i="13"/>
  <c r="C107" i="13"/>
  <c r="C176" i="13"/>
  <c r="C111" i="13"/>
  <c r="AT46" i="13"/>
  <c r="C180" i="13"/>
  <c r="AT50" i="13"/>
  <c r="C193" i="13"/>
  <c r="C128" i="13"/>
  <c r="AM77" i="13"/>
  <c r="AM83" i="13"/>
  <c r="AN94" i="13"/>
  <c r="AO115" i="13"/>
  <c r="C152" i="13"/>
  <c r="C156" i="13"/>
  <c r="C169" i="13"/>
  <c r="C104" i="13"/>
  <c r="C188" i="13"/>
  <c r="C123" i="13"/>
  <c r="AT58" i="13"/>
  <c r="AT39" i="13"/>
  <c r="AT54" i="13"/>
  <c r="C83" i="13"/>
  <c r="AN101" i="13"/>
  <c r="AT18" i="13"/>
  <c r="AT69" i="13"/>
  <c r="C147" i="13"/>
  <c r="AT17" i="13"/>
  <c r="C160" i="13"/>
  <c r="C95" i="13"/>
  <c r="C164" i="13"/>
  <c r="C99" i="13"/>
  <c r="C168" i="13"/>
  <c r="AT38" i="13"/>
  <c r="C103" i="13"/>
  <c r="C181" i="13"/>
  <c r="C116" i="13"/>
  <c r="C196" i="13"/>
  <c r="C131" i="13"/>
  <c r="AL71" i="13"/>
  <c r="C82" i="13"/>
  <c r="C184" i="13"/>
  <c r="C119" i="13"/>
  <c r="C199" i="13"/>
  <c r="C134" i="13"/>
  <c r="AT51" i="13"/>
  <c r="AT66" i="13"/>
  <c r="AL73" i="13"/>
  <c r="AM74" i="13"/>
  <c r="AL79" i="13"/>
  <c r="AM80" i="13"/>
  <c r="AL85" i="13"/>
  <c r="AM86" i="13"/>
  <c r="C87" i="13"/>
  <c r="C91" i="13"/>
  <c r="AT20" i="13"/>
  <c r="AT44" i="13"/>
  <c r="AT56" i="13"/>
  <c r="C195" i="13"/>
  <c r="C130" i="13"/>
  <c r="C198" i="13"/>
  <c r="AT68" i="13"/>
  <c r="C133" i="13"/>
  <c r="AL72" i="13"/>
  <c r="AO73" i="13"/>
  <c r="AL74" i="13"/>
  <c r="AO75" i="13"/>
  <c r="AL76" i="13"/>
  <c r="AO77" i="13"/>
  <c r="AQ77" i="13" s="1"/>
  <c r="AR12" i="13" s="1"/>
  <c r="AL78" i="13"/>
  <c r="AQ78" i="13" s="1"/>
  <c r="AR13" i="13" s="1"/>
  <c r="AO79" i="13"/>
  <c r="AL80" i="13"/>
  <c r="AO81" i="13"/>
  <c r="AL82" i="13"/>
  <c r="AO83" i="13"/>
  <c r="AL84" i="13"/>
  <c r="AO85" i="13"/>
  <c r="AL86" i="13"/>
  <c r="AO87" i="13"/>
  <c r="AL88" i="13"/>
  <c r="AN95" i="13"/>
  <c r="AN96" i="13"/>
  <c r="AN99" i="13"/>
  <c r="AO105" i="13"/>
  <c r="AL105" i="13"/>
  <c r="AN108" i="13"/>
  <c r="AM109" i="13"/>
  <c r="AM118" i="13"/>
  <c r="AM124" i="13"/>
  <c r="C125" i="13"/>
  <c r="AO171" i="13"/>
  <c r="AM110" i="13"/>
  <c r="AN113" i="13"/>
  <c r="C175" i="13"/>
  <c r="C110" i="13"/>
  <c r="C178" i="13"/>
  <c r="C113" i="13"/>
  <c r="AM96" i="13"/>
  <c r="AM97" i="13"/>
  <c r="AM98" i="13"/>
  <c r="C100" i="13"/>
  <c r="C101" i="13"/>
  <c r="AO102" i="13"/>
  <c r="AL106" i="13"/>
  <c r="AM108" i="13"/>
  <c r="C109" i="13"/>
  <c r="AN115" i="13"/>
  <c r="C118" i="13"/>
  <c r="C124" i="13"/>
  <c r="AL94" i="13"/>
  <c r="AL115" i="13"/>
  <c r="AM125" i="13"/>
  <c r="C158" i="13"/>
  <c r="C93" i="13"/>
  <c r="C170" i="13"/>
  <c r="C105" i="13"/>
  <c r="C194" i="13"/>
  <c r="C129" i="13"/>
  <c r="AN89" i="13"/>
  <c r="AN90" i="13"/>
  <c r="AN93" i="13"/>
  <c r="C97" i="13"/>
  <c r="C98" i="13"/>
  <c r="AO99" i="13"/>
  <c r="AL99" i="13"/>
  <c r="AM116" i="13"/>
  <c r="C117" i="13"/>
  <c r="AM122" i="13"/>
  <c r="B136" i="13"/>
  <c r="AM102" i="13"/>
  <c r="AM104" i="13"/>
  <c r="AM71" i="13"/>
  <c r="AM91" i="13"/>
  <c r="AM92" i="13"/>
  <c r="C94" i="13"/>
  <c r="AO96" i="13"/>
  <c r="AL100" i="13"/>
  <c r="AO108" i="13"/>
  <c r="AN110" i="13"/>
  <c r="AN111" i="13"/>
  <c r="C112" i="13"/>
  <c r="AM121" i="13"/>
  <c r="C122" i="13"/>
  <c r="AM127" i="13"/>
  <c r="C197" i="13"/>
  <c r="C132" i="13"/>
  <c r="AL91" i="13"/>
  <c r="AO94" i="13"/>
  <c r="AL97" i="13"/>
  <c r="AO100" i="13"/>
  <c r="AL103" i="13"/>
  <c r="AQ103" i="13" s="1"/>
  <c r="AO106" i="13"/>
  <c r="AQ106" i="13" s="1"/>
  <c r="AL109" i="13"/>
  <c r="AO112" i="13"/>
  <c r="AQ112" i="13" s="1"/>
  <c r="AO116" i="13"/>
  <c r="AL116" i="13"/>
  <c r="AO117" i="13"/>
  <c r="AL117" i="13"/>
  <c r="AO118" i="13"/>
  <c r="AL118" i="13"/>
  <c r="AO119" i="13"/>
  <c r="AO120" i="13"/>
  <c r="AL120" i="13"/>
  <c r="AO121" i="13"/>
  <c r="AO122" i="13"/>
  <c r="AL122" i="13"/>
  <c r="AO123" i="13"/>
  <c r="AO124" i="13"/>
  <c r="AL124" i="13"/>
  <c r="AO125" i="13"/>
  <c r="AO126" i="13"/>
  <c r="AL126" i="13"/>
  <c r="AO127" i="13"/>
  <c r="AL127" i="13"/>
  <c r="AO130" i="13"/>
  <c r="AL130" i="13"/>
  <c r="AM141" i="13"/>
  <c r="AQ142" i="13"/>
  <c r="AS12" i="13" s="1"/>
  <c r="AM147" i="13"/>
  <c r="AM153" i="13"/>
  <c r="AQ154" i="13"/>
  <c r="AM164" i="13"/>
  <c r="AO165" i="13"/>
  <c r="AQ169" i="13"/>
  <c r="AQ181" i="13"/>
  <c r="AQ190" i="13"/>
  <c r="AM132" i="13"/>
  <c r="AL89" i="13"/>
  <c r="AQ89" i="13" s="1"/>
  <c r="AO92" i="13"/>
  <c r="AL95" i="13"/>
  <c r="AO98" i="13"/>
  <c r="AL101" i="13"/>
  <c r="AO104" i="13"/>
  <c r="AQ104" i="13" s="1"/>
  <c r="AL107" i="13"/>
  <c r="AQ107" i="13" s="1"/>
  <c r="AO110" i="13"/>
  <c r="AQ110" i="13" s="1"/>
  <c r="AL113" i="13"/>
  <c r="AM114" i="13"/>
  <c r="AQ114" i="13" s="1"/>
  <c r="AN130" i="13"/>
  <c r="AO133" i="13"/>
  <c r="AL133" i="13"/>
  <c r="AQ133" i="13" s="1"/>
  <c r="AL137" i="13"/>
  <c r="AN138" i="13"/>
  <c r="AO141" i="13"/>
  <c r="AQ145" i="13"/>
  <c r="AS15" i="13" s="1"/>
  <c r="AO147" i="13"/>
  <c r="AO153" i="13"/>
  <c r="AQ157" i="13"/>
  <c r="AO164" i="13"/>
  <c r="AL168" i="13"/>
  <c r="AL180" i="13"/>
  <c r="AL192" i="13"/>
  <c r="C90" i="13"/>
  <c r="C96" i="13"/>
  <c r="C102" i="13"/>
  <c r="C108" i="13"/>
  <c r="C114" i="13"/>
  <c r="AM115" i="13"/>
  <c r="AO129" i="13"/>
  <c r="AL129" i="13"/>
  <c r="AO140" i="13"/>
  <c r="AL143" i="13"/>
  <c r="AN144" i="13"/>
  <c r="AO146" i="13"/>
  <c r="AL149" i="13"/>
  <c r="AN150" i="13"/>
  <c r="AO152" i="13"/>
  <c r="AL155" i="13"/>
  <c r="AN156" i="13"/>
  <c r="AL162" i="13"/>
  <c r="AQ184" i="13"/>
  <c r="AQ187" i="13"/>
  <c r="AQ196" i="13"/>
  <c r="AQ199" i="13"/>
  <c r="AN128" i="13"/>
  <c r="AQ128" i="13" s="1"/>
  <c r="AM130" i="13"/>
  <c r="AO132" i="13"/>
  <c r="AL132" i="13"/>
  <c r="AN134" i="13"/>
  <c r="AQ134" i="13" s="1"/>
  <c r="AM137" i="13"/>
  <c r="AN141" i="13"/>
  <c r="AM143" i="13"/>
  <c r="AN147" i="13"/>
  <c r="AM149" i="13"/>
  <c r="AN153" i="13"/>
  <c r="AM155" i="13"/>
  <c r="AN159" i="13"/>
  <c r="AM161" i="13"/>
  <c r="AN165" i="13"/>
  <c r="AM167" i="13"/>
  <c r="AN171" i="13"/>
  <c r="AM173" i="13"/>
  <c r="AN177" i="13"/>
  <c r="AM179" i="13"/>
  <c r="AN183" i="13"/>
  <c r="AM185" i="13"/>
  <c r="AN189" i="13"/>
  <c r="AM191" i="13"/>
  <c r="AN195" i="13"/>
  <c r="AM197" i="13"/>
  <c r="AQ117" i="13"/>
  <c r="AL119" i="13"/>
  <c r="AQ119" i="13" s="1"/>
  <c r="AL121" i="13"/>
  <c r="AQ121" i="13" s="1"/>
  <c r="AL123" i="13"/>
  <c r="AQ123" i="13"/>
  <c r="AL125" i="13"/>
  <c r="AQ125" i="13" s="1"/>
  <c r="AQ127" i="13"/>
  <c r="AO131" i="13"/>
  <c r="AL131" i="13"/>
  <c r="AO138" i="13"/>
  <c r="AN140" i="13"/>
  <c r="AO144" i="13"/>
  <c r="AN146" i="13"/>
  <c r="AO150" i="13"/>
  <c r="AN152" i="13"/>
  <c r="AO156" i="13"/>
  <c r="AN158" i="13"/>
  <c r="AO162" i="13"/>
  <c r="AN164" i="13"/>
  <c r="AO168" i="13"/>
  <c r="AN170" i="13"/>
  <c r="AQ170" i="13" s="1"/>
  <c r="AO174" i="13"/>
  <c r="AO180" i="13"/>
  <c r="AQ182" i="13"/>
  <c r="AO186" i="13"/>
  <c r="AQ186" i="13" s="1"/>
  <c r="AQ188" i="13"/>
  <c r="AO192" i="13"/>
  <c r="AQ194" i="13"/>
  <c r="AO198" i="13"/>
  <c r="AM171" i="13"/>
  <c r="AM177" i="13"/>
  <c r="AM183" i="13"/>
  <c r="AM189" i="13"/>
  <c r="AM195" i="13"/>
  <c r="AN162" i="13"/>
  <c r="AN168" i="13"/>
  <c r="AQ172" i="13"/>
  <c r="AQ174" i="13"/>
  <c r="AQ192" i="13"/>
  <c r="AS62" i="13" s="1"/>
  <c r="AL141" i="13"/>
  <c r="AN143" i="13"/>
  <c r="AL147" i="13"/>
  <c r="AN149" i="13"/>
  <c r="AL153" i="13"/>
  <c r="AN155" i="13"/>
  <c r="AL159" i="13"/>
  <c r="AN161" i="13"/>
  <c r="AL165" i="13"/>
  <c r="AN167" i="13"/>
  <c r="AQ167" i="13" s="1"/>
  <c r="AL171" i="13"/>
  <c r="AN173" i="13"/>
  <c r="AN174" i="13"/>
  <c r="AL177" i="13"/>
  <c r="AN179" i="13"/>
  <c r="AQ179" i="13" s="1"/>
  <c r="AN180" i="13"/>
  <c r="AQ180" i="13" s="1"/>
  <c r="AL183" i="13"/>
  <c r="AN185" i="13"/>
  <c r="AQ185" i="13" s="1"/>
  <c r="AN186" i="13"/>
  <c r="AL189" i="13"/>
  <c r="AN191" i="13"/>
  <c r="AQ191" i="13" s="1"/>
  <c r="AN192" i="13"/>
  <c r="AL195" i="13"/>
  <c r="AN197" i="13"/>
  <c r="AQ197" i="13" s="1"/>
  <c r="AN198" i="13"/>
  <c r="AQ198" i="13" s="1"/>
  <c r="AQ150" i="13" l="1"/>
  <c r="AS20" i="13" s="1"/>
  <c r="AQ93" i="13"/>
  <c r="AQ81" i="13"/>
  <c r="AR16" i="13" s="1"/>
  <c r="AQ166" i="13"/>
  <c r="AQ87" i="13"/>
  <c r="AS56" i="13"/>
  <c r="AQ158" i="13"/>
  <c r="AS28" i="13" s="1"/>
  <c r="AQ160" i="13"/>
  <c r="AS37" i="13"/>
  <c r="AQ143" i="13"/>
  <c r="AS13" i="13" s="1"/>
  <c r="AQ85" i="13"/>
  <c r="AR20" i="13" s="1"/>
  <c r="AQ136" i="13"/>
  <c r="AS6" i="13" s="1"/>
  <c r="AQ161" i="13"/>
  <c r="AS31" i="13" s="1"/>
  <c r="AQ88" i="13"/>
  <c r="AR23" i="13" s="1"/>
  <c r="AQ138" i="13"/>
  <c r="AS8" i="13" s="1"/>
  <c r="AQ83" i="13"/>
  <c r="AR18" i="13" s="1"/>
  <c r="AQ76" i="13"/>
  <c r="AR11" i="13" s="1"/>
  <c r="AQ82" i="13"/>
  <c r="AR17" i="13" s="1"/>
  <c r="AQ75" i="13"/>
  <c r="AR10" i="13" s="1"/>
  <c r="AQ148" i="13"/>
  <c r="AS18" i="13" s="1"/>
  <c r="AQ79" i="13"/>
  <c r="AR14" i="13" s="1"/>
  <c r="AQ73" i="13"/>
  <c r="AR8" i="13" s="1"/>
  <c r="AQ163" i="13"/>
  <c r="AQ144" i="13"/>
  <c r="AS14" i="13" s="1"/>
  <c r="AQ137" i="13"/>
  <c r="AS7" i="13" s="1"/>
  <c r="AS68" i="13"/>
  <c r="AQ94" i="13"/>
  <c r="AR29" i="13" s="1"/>
  <c r="AQ156" i="13"/>
  <c r="AS26" i="13" s="1"/>
  <c r="AQ91" i="13"/>
  <c r="AR26" i="13" s="1"/>
  <c r="AS58" i="13"/>
  <c r="AQ71" i="13"/>
  <c r="AR6" i="13" s="1"/>
  <c r="AQ90" i="13"/>
  <c r="AR25" i="13" s="1"/>
  <c r="AQ92" i="13"/>
  <c r="AS45" i="13"/>
  <c r="AS52" i="13"/>
  <c r="AQ98" i="13"/>
  <c r="AQ80" i="13"/>
  <c r="AR15" i="13" s="1"/>
  <c r="AQ155" i="13"/>
  <c r="AS25" i="13" s="1"/>
  <c r="AS50" i="13"/>
  <c r="AQ149" i="13"/>
  <c r="AS19" i="13" s="1"/>
  <c r="AQ86" i="13"/>
  <c r="AR21" i="13" s="1"/>
  <c r="AQ74" i="13"/>
  <c r="AR9" i="13" s="1"/>
  <c r="AQ97" i="13"/>
  <c r="AQ84" i="13"/>
  <c r="AR19" i="13" s="1"/>
  <c r="AQ72" i="13"/>
  <c r="AR7" i="13" s="1"/>
  <c r="AS63" i="13"/>
  <c r="AR42" i="13"/>
  <c r="AS46" i="13"/>
  <c r="AS67" i="13"/>
  <c r="AS55" i="13"/>
  <c r="AR63" i="13"/>
  <c r="AR39" i="13"/>
  <c r="AR41" i="13"/>
  <c r="AS64" i="13"/>
  <c r="AS40" i="13"/>
  <c r="AS61" i="13"/>
  <c r="AS49" i="13"/>
  <c r="AS57" i="13"/>
  <c r="AS51" i="13"/>
  <c r="AQ131" i="13"/>
  <c r="AQ111" i="13"/>
  <c r="AR46" i="13" s="1"/>
  <c r="AQ129" i="13"/>
  <c r="AR64" i="13" s="1"/>
  <c r="AQ115" i="13"/>
  <c r="AR50" i="13" s="1"/>
  <c r="AQ183" i="13"/>
  <c r="AS53" i="13" s="1"/>
  <c r="AQ132" i="13"/>
  <c r="AR67" i="13" s="1"/>
  <c r="AQ113" i="13"/>
  <c r="AR48" i="13" s="1"/>
  <c r="AQ109" i="13"/>
  <c r="AR45" i="13" s="1"/>
  <c r="AQ95" i="13"/>
  <c r="AQ101" i="13"/>
  <c r="AQ195" i="13"/>
  <c r="AS65" i="13" s="1"/>
  <c r="AQ177" i="13"/>
  <c r="AS47" i="13" s="1"/>
  <c r="AQ100" i="13"/>
  <c r="AR35" i="13" s="1"/>
  <c r="AQ173" i="13"/>
  <c r="AS43" i="13" s="1"/>
  <c r="AQ189" i="13"/>
  <c r="AS59" i="13" s="1"/>
  <c r="AQ116" i="13"/>
  <c r="AR70" i="13"/>
  <c r="AR69" i="13"/>
  <c r="AQ152" i="13"/>
  <c r="AS22" i="13" s="1"/>
  <c r="AQ140" i="13"/>
  <c r="AS10" i="13" s="1"/>
  <c r="AQ171" i="13"/>
  <c r="AS41" i="13" s="1"/>
  <c r="AQ168" i="13"/>
  <c r="AS38" i="13" s="1"/>
  <c r="AQ164" i="13"/>
  <c r="AS34" i="13" s="1"/>
  <c r="AQ141" i="13"/>
  <c r="AS11" i="13" s="1"/>
  <c r="AQ130" i="13"/>
  <c r="AQ159" i="13"/>
  <c r="AS29" i="13" s="1"/>
  <c r="AQ124" i="13"/>
  <c r="AR59" i="13" s="1"/>
  <c r="AQ120" i="13"/>
  <c r="AR55" i="13" s="1"/>
  <c r="AQ102" i="13"/>
  <c r="AR37" i="13" s="1"/>
  <c r="AQ162" i="13"/>
  <c r="AS32" i="13" s="1"/>
  <c r="AS70" i="13"/>
  <c r="AS69" i="13"/>
  <c r="AQ146" i="13"/>
  <c r="AS16" i="13" s="1"/>
  <c r="AQ153" i="13"/>
  <c r="AS24" i="13" s="1"/>
  <c r="AQ165" i="13"/>
  <c r="AQ96" i="13"/>
  <c r="AQ105" i="13"/>
  <c r="AR40" i="13" s="1"/>
  <c r="AQ147" i="13"/>
  <c r="AS17" i="13" s="1"/>
  <c r="AQ126" i="13"/>
  <c r="AR61" i="13" s="1"/>
  <c r="AQ122" i="13"/>
  <c r="AR57" i="13" s="1"/>
  <c r="AQ118" i="13"/>
  <c r="AR53" i="13" s="1"/>
  <c r="AQ108" i="13"/>
  <c r="AR43" i="13" s="1"/>
  <c r="AQ99" i="13"/>
  <c r="AR65" i="13" l="1"/>
  <c r="AS44" i="13"/>
  <c r="AR51" i="13"/>
  <c r="AR33" i="13"/>
  <c r="AS33" i="13"/>
  <c r="AR32" i="13"/>
  <c r="AR31" i="13"/>
  <c r="AR22" i="13"/>
  <c r="AR27" i="13"/>
  <c r="AS35" i="13"/>
  <c r="AS30" i="13"/>
  <c r="AS27" i="13"/>
  <c r="AR34" i="13"/>
  <c r="AS36" i="13"/>
  <c r="AS23" i="13"/>
  <c r="AR36" i="13"/>
  <c r="AR30" i="13"/>
  <c r="AR28" i="13"/>
  <c r="AR24" i="13"/>
  <c r="AS48" i="13"/>
  <c r="AS60" i="13"/>
  <c r="AR47" i="13"/>
  <c r="AR54" i="13"/>
  <c r="AS39" i="13"/>
  <c r="AR44" i="13"/>
  <c r="AS66" i="13"/>
  <c r="AS54" i="13"/>
  <c r="AR38" i="13"/>
  <c r="AR66" i="13"/>
  <c r="AR49" i="13"/>
  <c r="AR56" i="13"/>
  <c r="AR58" i="13"/>
  <c r="AR68" i="13"/>
  <c r="AR52" i="13"/>
  <c r="AS42" i="13"/>
  <c r="AR60" i="13"/>
  <c r="AR6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4" l="1"/>
  <c r="AL35" i="14" s="1"/>
  <c r="AT35" i="14" s="1"/>
  <c r="AW17" i="15"/>
  <c r="AW17" i="13"/>
  <c r="AL6" i="13" s="1"/>
  <c r="AT6"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5" l="1"/>
  <c r="AU5" i="15" s="1"/>
  <c r="AW10" i="14"/>
  <c r="AU14" i="14" s="1"/>
  <c r="AL38" i="14"/>
  <c r="AL68" i="14"/>
  <c r="AL54" i="14"/>
  <c r="AL39" i="14"/>
  <c r="AL59" i="14"/>
  <c r="AL6" i="14"/>
  <c r="AT6" i="14" s="1"/>
  <c r="AL16" i="14"/>
  <c r="AT16" i="14" s="1"/>
  <c r="AW11" i="14"/>
  <c r="AU13" i="14" s="1"/>
  <c r="AL63" i="14"/>
  <c r="AL26" i="14"/>
  <c r="AT26" i="14" s="1"/>
  <c r="AL15" i="14"/>
  <c r="AT15" i="14" s="1"/>
  <c r="AW9" i="14"/>
  <c r="AU10" i="14" s="1"/>
  <c r="AL19" i="14"/>
  <c r="AT19" i="14" s="1"/>
  <c r="AL44" i="14"/>
  <c r="AL60" i="14"/>
  <c r="AL67" i="14"/>
  <c r="AL9" i="14"/>
  <c r="AT9" i="14" s="1"/>
  <c r="AL24" i="14"/>
  <c r="AT24" i="14" s="1"/>
  <c r="AL42" i="14"/>
  <c r="AL66" i="14"/>
  <c r="AL49" i="14"/>
  <c r="AL23" i="14"/>
  <c r="AT23" i="14" s="1"/>
  <c r="AL29" i="14"/>
  <c r="AT29" i="14" s="1"/>
  <c r="AL46" i="14"/>
  <c r="AL50" i="14"/>
  <c r="AL47" i="14"/>
  <c r="AL17" i="14"/>
  <c r="AT17" i="14" s="1"/>
  <c r="AW16" i="14"/>
  <c r="AU15" i="14" s="1"/>
  <c r="AL51" i="14"/>
  <c r="AL55" i="14"/>
  <c r="AL69" i="14"/>
  <c r="AL21" i="14"/>
  <c r="AT21" i="14" s="1"/>
  <c r="AL25" i="14"/>
  <c r="AT25" i="14" s="1"/>
  <c r="AL43" i="14"/>
  <c r="AL40" i="14"/>
  <c r="AL52" i="14"/>
  <c r="AL48" i="14"/>
  <c r="AL13" i="14"/>
  <c r="AT13" i="14" s="1"/>
  <c r="AL41" i="14"/>
  <c r="AL53" i="14"/>
  <c r="AL65" i="14"/>
  <c r="AL57" i="14"/>
  <c r="AL56" i="14"/>
  <c r="AL20" i="14"/>
  <c r="AT20" i="14" s="1"/>
  <c r="AW8" i="14"/>
  <c r="AU11" i="14" s="1"/>
  <c r="AL61" i="14"/>
  <c r="AL58" i="14"/>
  <c r="AL45" i="14"/>
  <c r="AL62" i="14"/>
  <c r="AL64" i="14"/>
  <c r="AL8" i="14"/>
  <c r="AT8" i="14" s="1"/>
  <c r="AL22" i="14"/>
  <c r="AT22" i="14" s="1"/>
  <c r="AL11" i="14"/>
  <c r="AT11" i="14" s="1"/>
  <c r="AL32" i="14"/>
  <c r="AT32" i="14" s="1"/>
  <c r="AL12" i="14"/>
  <c r="AT12" i="14" s="1"/>
  <c r="AL36" i="14"/>
  <c r="AT36" i="14" s="1"/>
  <c r="AL28" i="14"/>
  <c r="AT28" i="14" s="1"/>
  <c r="AL33" i="14"/>
  <c r="AL37" i="14"/>
  <c r="AL27" i="14"/>
  <c r="AT27" i="14" s="1"/>
  <c r="AL30" i="14"/>
  <c r="AT30" i="14" s="1"/>
  <c r="AL14" i="14"/>
  <c r="AT14" i="14" s="1"/>
  <c r="AL34" i="14"/>
  <c r="AT34" i="14" s="1"/>
  <c r="AL10" i="14"/>
  <c r="AT10" i="14" s="1"/>
  <c r="AL18" i="14"/>
  <c r="AT18" i="14" s="1"/>
  <c r="AL31" i="14"/>
  <c r="AL7" i="14"/>
  <c r="AT7" i="14" s="1"/>
  <c r="AL64" i="15"/>
  <c r="AL56" i="15"/>
  <c r="AL48" i="15"/>
  <c r="AL40" i="15"/>
  <c r="AL32" i="15"/>
  <c r="AL62" i="15"/>
  <c r="AL54" i="15"/>
  <c r="AL46" i="15"/>
  <c r="AL38" i="15"/>
  <c r="AL30" i="15"/>
  <c r="AL63" i="15"/>
  <c r="AL49" i="15"/>
  <c r="AL42" i="15"/>
  <c r="AL31" i="15"/>
  <c r="AL29" i="15"/>
  <c r="AT29" i="15" s="1"/>
  <c r="AL27" i="15"/>
  <c r="AT27" i="15" s="1"/>
  <c r="AL25" i="15"/>
  <c r="AT25" i="15" s="1"/>
  <c r="AL10" i="15"/>
  <c r="AT10" i="15" s="1"/>
  <c r="AL51" i="15"/>
  <c r="AL9" i="15"/>
  <c r="AT9" i="15" s="1"/>
  <c r="AL22" i="15"/>
  <c r="AT22" i="15" s="1"/>
  <c r="AL68" i="15"/>
  <c r="AL61" i="15"/>
  <c r="AL47" i="15"/>
  <c r="AL20" i="15"/>
  <c r="AT20" i="15" s="1"/>
  <c r="AL17" i="15"/>
  <c r="AT17" i="15" s="1"/>
  <c r="AL11" i="15"/>
  <c r="AT11" i="15" s="1"/>
  <c r="AL39" i="15"/>
  <c r="AL37" i="15"/>
  <c r="AL59" i="15"/>
  <c r="AL52" i="15"/>
  <c r="AL45" i="15"/>
  <c r="AL36" i="15"/>
  <c r="AL23" i="15"/>
  <c r="AT23" i="15" s="1"/>
  <c r="AL12" i="15"/>
  <c r="AT12" i="15" s="1"/>
  <c r="AL6" i="15"/>
  <c r="AT6" i="15" s="1"/>
  <c r="AL66" i="15"/>
  <c r="AL50" i="15"/>
  <c r="AL43" i="15"/>
  <c r="AL34" i="15"/>
  <c r="AL18" i="15"/>
  <c r="AT18" i="15" s="1"/>
  <c r="AL69" i="15"/>
  <c r="AL55" i="15"/>
  <c r="AL14" i="15"/>
  <c r="AT14" i="15" s="1"/>
  <c r="AL44" i="15"/>
  <c r="AL57" i="15"/>
  <c r="AL41" i="15"/>
  <c r="AL28" i="15"/>
  <c r="AT28" i="15" s="1"/>
  <c r="AL21" i="15"/>
  <c r="AT21" i="15" s="1"/>
  <c r="AL13" i="15"/>
  <c r="AT13" i="15" s="1"/>
  <c r="AL7" i="15"/>
  <c r="AT7" i="15" s="1"/>
  <c r="AL26" i="15"/>
  <c r="AT26" i="15" s="1"/>
  <c r="AL67" i="15"/>
  <c r="AL35" i="15"/>
  <c r="AL15" i="15"/>
  <c r="AT15" i="15" s="1"/>
  <c r="AL33" i="15"/>
  <c r="AL24" i="15"/>
  <c r="AT24" i="15" s="1"/>
  <c r="AL8" i="15"/>
  <c r="AT8" i="15" s="1"/>
  <c r="AL60" i="15"/>
  <c r="AL53" i="15"/>
  <c r="AL19" i="15"/>
  <c r="AT19" i="15" s="1"/>
  <c r="AL65" i="15"/>
  <c r="AL58" i="15"/>
  <c r="AL16" i="15"/>
  <c r="AT16" i="15" s="1"/>
  <c r="AW11" i="15"/>
  <c r="AU13" i="15" s="1"/>
  <c r="AW10" i="15"/>
  <c r="AU14" i="15" s="1"/>
  <c r="AW16" i="15"/>
  <c r="AU15" i="15" s="1"/>
  <c r="AW9" i="15"/>
  <c r="AU10" i="15" s="1"/>
  <c r="AW8" i="15"/>
  <c r="AU11" i="15" s="1"/>
  <c r="AW12" i="13"/>
  <c r="AU5" i="13" s="1"/>
  <c r="AW12" i="14"/>
  <c r="AU5" i="14" s="1"/>
  <c r="AL25" i="13"/>
  <c r="AT25" i="13" s="1"/>
  <c r="AL36" i="13"/>
  <c r="AT36" i="13" s="1"/>
  <c r="AL32" i="13"/>
  <c r="AT32" i="13" s="1"/>
  <c r="AL28" i="13"/>
  <c r="AT28" i="13" s="1"/>
  <c r="AL23" i="13"/>
  <c r="AT23" i="13" s="1"/>
  <c r="AL34" i="13"/>
  <c r="AT34" i="13" s="1"/>
  <c r="AL35" i="13"/>
  <c r="AT35" i="13" s="1"/>
  <c r="AL31" i="13"/>
  <c r="AT31" i="13" s="1"/>
  <c r="AL27" i="13"/>
  <c r="AT27" i="13" s="1"/>
  <c r="AL24" i="13"/>
  <c r="AT24" i="13" s="1"/>
  <c r="AL26" i="13"/>
  <c r="AT26" i="13" s="1"/>
  <c r="AL37" i="13"/>
  <c r="AT37" i="13" s="1"/>
  <c r="AL33" i="13"/>
  <c r="AT33" i="13" s="1"/>
  <c r="AL29" i="13"/>
  <c r="AT29" i="13" s="1"/>
  <c r="AL22" i="13"/>
  <c r="AT22" i="13" s="1"/>
  <c r="AL30" i="13"/>
  <c r="AT30" i="13" s="1"/>
  <c r="AL7" i="13"/>
  <c r="AT7" i="13" s="1"/>
  <c r="AL8" i="13"/>
  <c r="AT8" i="13" s="1"/>
  <c r="AL68" i="13"/>
  <c r="AL63" i="13"/>
  <c r="AT63" i="13" s="1"/>
  <c r="AL58" i="13"/>
  <c r="AL50" i="13"/>
  <c r="AL48" i="13"/>
  <c r="AL40" i="13"/>
  <c r="AL69" i="13"/>
  <c r="AL61" i="13"/>
  <c r="AL65" i="13"/>
  <c r="AT65" i="13" s="1"/>
  <c r="AL55" i="13"/>
  <c r="AT55" i="13" s="1"/>
  <c r="AL45" i="13"/>
  <c r="AL42" i="13"/>
  <c r="AT42" i="13" s="1"/>
  <c r="AL64" i="13"/>
  <c r="AL51" i="13"/>
  <c r="AL38" i="13"/>
  <c r="AL56" i="13"/>
  <c r="AL62" i="13"/>
  <c r="AL60" i="13"/>
  <c r="AL52" i="13"/>
  <c r="AL47" i="13"/>
  <c r="AT47" i="13" s="1"/>
  <c r="AL39" i="13"/>
  <c r="AL53" i="13"/>
  <c r="AT53" i="13" s="1"/>
  <c r="AL67" i="13"/>
  <c r="AL57" i="13"/>
  <c r="AL54" i="13"/>
  <c r="AL49" i="13"/>
  <c r="AL44" i="13"/>
  <c r="AL41" i="13"/>
  <c r="AT41" i="13" s="1"/>
  <c r="AL59" i="13"/>
  <c r="AT59" i="13" s="1"/>
  <c r="AL46" i="13"/>
  <c r="AL66" i="13"/>
  <c r="AL43" i="13"/>
  <c r="AT43" i="13" s="1"/>
  <c r="AL14" i="13"/>
  <c r="AT14" i="13" s="1"/>
  <c r="AL9" i="13"/>
  <c r="AT9" i="13" s="1"/>
  <c r="AL12" i="13"/>
  <c r="AT12" i="13" s="1"/>
  <c r="AL11" i="13"/>
  <c r="AT11" i="13" s="1"/>
  <c r="AL10" i="13"/>
  <c r="AT10" i="13" s="1"/>
  <c r="AL16" i="13"/>
  <c r="AT16" i="13" s="1"/>
  <c r="AL15" i="13"/>
  <c r="AT15" i="13" s="1"/>
  <c r="AL13" i="13"/>
  <c r="AT13" i="13" s="1"/>
  <c r="AW8" i="13"/>
  <c r="AW11" i="13"/>
  <c r="AU13" i="13" s="1"/>
  <c r="AW16" i="13"/>
  <c r="AU15" i="13" s="1"/>
  <c r="AW9" i="13"/>
  <c r="AW10" i="13"/>
  <c r="AU14" i="13" s="1"/>
  <c r="L14" i="4"/>
  <c r="AV5" i="14" l="1"/>
  <c r="AT5" i="14"/>
  <c r="AS5" i="14"/>
  <c r="AR5" i="14"/>
  <c r="AR5" i="15"/>
  <c r="AS5" i="15"/>
  <c r="AV5" i="15"/>
  <c r="AT5" i="15"/>
  <c r="AS5" i="13"/>
  <c r="AT5" i="13"/>
  <c r="AV5" i="13"/>
  <c r="AR5" i="13"/>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AW14" i="15" s="1"/>
  <c r="AU7" i="15"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4" s="1"/>
  <c r="AU8" i="14" s="1"/>
  <c r="F16" i="4"/>
  <c r="G15" i="4"/>
  <c r="AW15" i="15" s="1"/>
  <c r="AU8" i="15" s="1"/>
  <c r="G13" i="4" l="1"/>
  <c r="AW15" i="13" s="1"/>
  <c r="AU8" i="13" s="1"/>
  <c r="F13" i="4"/>
  <c r="AW14" i="13" s="1"/>
  <c r="AU7"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パーキングブレーキ表示灯</t>
        </r>
      </text>
    </comment>
    <comment ref="F5" authorId="2" shapeId="0" xr:uid="{00000000-0006-0000-0400-00000B000000}">
      <text>
        <r>
          <rPr>
            <b/>
            <sz val="9"/>
            <color indexed="81"/>
            <rFont val="MS P ゴシック"/>
            <family val="3"/>
            <charset val="128"/>
          </rPr>
          <t>パーキングブレーキ表示灯</t>
        </r>
      </text>
    </comment>
    <comment ref="F6" authorId="2" shapeId="0" xr:uid="{00000000-0006-0000-0400-00000C000000}">
      <text>
        <r>
          <rPr>
            <b/>
            <sz val="9"/>
            <color indexed="81"/>
            <rFont val="MS P ゴシック"/>
            <family val="3"/>
            <charset val="128"/>
          </rPr>
          <t>パーキングブレーキ表示灯</t>
        </r>
      </text>
    </comment>
    <comment ref="F7" authorId="2" shapeId="0" xr:uid="{00000000-0006-0000-0400-00000D000000}">
      <text>
        <r>
          <rPr>
            <b/>
            <sz val="9"/>
            <color indexed="81"/>
            <rFont val="MS P ゴシック"/>
            <family val="3"/>
            <charset val="128"/>
          </rPr>
          <t>パーキングブレーキ表示灯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B69"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2" authorId="1" shapeId="0" xr:uid="{00000000-0006-0000-0800-000012000000}">
      <text>
        <r>
          <rPr>
            <b/>
            <sz val="9"/>
            <color indexed="81"/>
            <rFont val="MS P ゴシック"/>
            <family val="3"/>
            <charset val="128"/>
          </rPr>
          <t xml:space="preserve">リモート送信条件成立：IG ON 且つ PTS ONが15[s]以上
</t>
        </r>
      </text>
    </comment>
    <comment ref="E72" authorId="1" shapeId="0" xr:uid="{00000000-0006-0000-0800-000013000000}">
      <text>
        <r>
          <rPr>
            <b/>
            <sz val="9"/>
            <color indexed="81"/>
            <rFont val="MS P ゴシック"/>
            <family val="3"/>
            <charset val="128"/>
          </rPr>
          <t xml:space="preserve">IG ON 且つ ST OFF
</t>
        </r>
      </text>
    </comment>
    <comment ref="F72" authorId="1" shapeId="0" xr:uid="{00000000-0006-0000-0800-000014000000}">
      <text>
        <r>
          <rPr>
            <b/>
            <sz val="9"/>
            <color indexed="81"/>
            <rFont val="MS P ゴシック"/>
            <family val="3"/>
            <charset val="128"/>
          </rPr>
          <t>IG ON</t>
        </r>
      </text>
    </comment>
    <comment ref="G72" authorId="1" shapeId="0" xr:uid="{00000000-0006-0000-0800-000015000000}">
      <text>
        <r>
          <rPr>
            <b/>
            <sz val="9"/>
            <color indexed="81"/>
            <rFont val="MS P ゴシック"/>
            <family val="3"/>
            <charset val="128"/>
          </rPr>
          <t xml:space="preserve">IG OFF 且つ IG OFF後25[m]未満
</t>
        </r>
      </text>
    </comment>
    <comment ref="H72" authorId="1" shapeId="0" xr:uid="{00000000-0006-0000-0800-000016000000}">
      <text>
        <r>
          <rPr>
            <b/>
            <sz val="9"/>
            <color indexed="81"/>
            <rFont val="MS P ゴシック"/>
            <family val="3"/>
            <charset val="128"/>
          </rPr>
          <t xml:space="preserve">IG OFF
</t>
        </r>
      </text>
    </comment>
    <comment ref="I72" authorId="1" shapeId="0" xr:uid="{00000000-0006-0000-0800-000017000000}">
      <text>
        <r>
          <rPr>
            <b/>
            <sz val="9"/>
            <color indexed="81"/>
            <rFont val="MS P ゴシック"/>
            <family val="3"/>
            <charset val="128"/>
          </rPr>
          <t xml:space="preserve">IG ON 又は IG OFF後25[m]未満
</t>
        </r>
      </text>
    </comment>
    <comment ref="J72" authorId="1" shapeId="0" xr:uid="{00000000-0006-0000-0800-000018000000}">
      <text>
        <r>
          <rPr>
            <b/>
            <sz val="9"/>
            <color indexed="81"/>
            <rFont val="MS P ゴシック"/>
            <family val="3"/>
            <charset val="128"/>
          </rPr>
          <t>+B ON 又は ACC ON</t>
        </r>
      </text>
    </comment>
    <comment ref="B121" authorId="0" shapeId="0" xr:uid="{00000000-0006-0000-08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4" authorId="1" shapeId="0" xr:uid="{00000000-0006-0000-0800-00001A000000}">
      <text>
        <r>
          <rPr>
            <b/>
            <sz val="9"/>
            <color indexed="81"/>
            <rFont val="MS P ゴシック"/>
            <family val="3"/>
            <charset val="128"/>
          </rPr>
          <t xml:space="preserve">リモート送信条件成立：IG ON 且つ PTS ONが15[s]以上
</t>
        </r>
      </text>
    </comment>
    <comment ref="E124" authorId="1" shapeId="0" xr:uid="{00000000-0006-0000-0800-00001B000000}">
      <text>
        <r>
          <rPr>
            <b/>
            <sz val="9"/>
            <color indexed="81"/>
            <rFont val="MS P ゴシック"/>
            <family val="3"/>
            <charset val="128"/>
          </rPr>
          <t xml:space="preserve">IG ON 且つ ST OFF
</t>
        </r>
      </text>
    </comment>
    <comment ref="F124" authorId="1" shapeId="0" xr:uid="{00000000-0006-0000-0800-00001C000000}">
      <text>
        <r>
          <rPr>
            <b/>
            <sz val="9"/>
            <color indexed="81"/>
            <rFont val="MS P ゴシック"/>
            <family val="3"/>
            <charset val="128"/>
          </rPr>
          <t>IG ON</t>
        </r>
      </text>
    </comment>
    <comment ref="G124" authorId="1" shapeId="0" xr:uid="{00000000-0006-0000-0800-00001D000000}">
      <text>
        <r>
          <rPr>
            <b/>
            <sz val="9"/>
            <color indexed="81"/>
            <rFont val="MS P ゴシック"/>
            <family val="3"/>
            <charset val="128"/>
          </rPr>
          <t xml:space="preserve">IG OFF 且つ IG OFF後25[m]未満
</t>
        </r>
      </text>
    </comment>
    <comment ref="H124" authorId="1" shapeId="0" xr:uid="{00000000-0006-0000-0800-00001E000000}">
      <text>
        <r>
          <rPr>
            <b/>
            <sz val="9"/>
            <color indexed="81"/>
            <rFont val="MS P ゴシック"/>
            <family val="3"/>
            <charset val="128"/>
          </rPr>
          <t xml:space="preserve">IG OFF
</t>
        </r>
      </text>
    </comment>
    <comment ref="I124" authorId="1" shapeId="0" xr:uid="{00000000-0006-0000-0800-00001F000000}">
      <text>
        <r>
          <rPr>
            <b/>
            <sz val="9"/>
            <color indexed="81"/>
            <rFont val="MS P ゴシック"/>
            <family val="3"/>
            <charset val="128"/>
          </rPr>
          <t xml:space="preserve">IG ON 又は IG OFF後25[m]未満
</t>
        </r>
      </text>
    </comment>
    <comment ref="J124" authorId="1" shapeId="0" xr:uid="{00000000-0006-0000-08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<sst xmlns="http://schemas.openxmlformats.org/spreadsheetml/2006/main" count="7886" uniqueCount="483">
  <si>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</si>
  <si>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</si>
  <si>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</si>
  <si>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</si>
  <si>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</si>
  <si>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</si>
  <si>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</si>
  <si>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</si>
  <si>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</si>
  <si>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</si>
  <si>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</si>
  <si>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</si>
  <si>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</si>
  <si>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</si>
  <si>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</si>
  <si>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</si>
  <si>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</si>
  <si>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</si>
  <si>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</si>
  <si>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</si>
  <si>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</si>
  <si>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</si>
  <si>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</si>
  <si>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</si>
  <si>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</si>
  <si>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</si>
  <si>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</si>
  <si>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</si>
  <si>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</si>
  <si>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</si>
  <si>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</si>
  <si>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00b</t>
  </si>
  <si>
    <t>UNKNOWN</t>
  </si>
  <si>
    <t>01b</t>
  </si>
  <si>
    <t>10b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</si>
  <si>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</si>
  <si>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</si>
  <si>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</si>
  <si>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</si>
  <si>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</si>
  <si>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</si>
  <si>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</si>
  <si>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</si>
  <si>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</si>
  <si>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</si>
  <si>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</si>
  <si>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</si>
  <si>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</si>
  <si>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</si>
  <si>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</si>
  <si>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</si>
  <si>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</si>
  <si>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</si>
  <si>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</si>
  <si>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</si>
  <si>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</si>
  <si>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</si>
  <si>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</si>
  <si>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</si>
  <si>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</si>
  <si>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</si>
  <si>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</si>
  <si>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</si>
  <si>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</si>
  <si>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</si>
  <si>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</si>
  <si>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</si>
  <si>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</si>
  <si>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</si>
  <si>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</si>
  <si>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</si>
  <si>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</si>
  <si>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</si>
  <si>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</si>
  <si>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</si>
  <si>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</si>
  <si>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</si>
  <si>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</si>
  <si>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</si>
  <si>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</si>
  <si>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</si>
  <si>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</si>
  <si>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</si>
  <si>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</si>
  <si>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</si>
  <si>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</si>
  <si>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</si>
  <si>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</si>
  <si>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</si>
  <si>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</si>
  <si>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</si>
  <si>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</si>
  <si>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</si>
  <si>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</si>
  <si>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</si>
  <si>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</si>
  <si>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</si>
  <si>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</si>
  <si>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</si>
  <si>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</si>
  <si>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</si>
  <si>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</si>
  <si>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</si>
  <si>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</si>
  <si>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</si>
  <si>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</si>
  <si>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</si>
  <si>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</si>
  <si>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</si>
  <si>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</si>
  <si>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</si>
  <si>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</si>
  <si>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</si>
  <si>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</si>
  <si>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</si>
  <si>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</si>
  <si>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</si>
  <si>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</si>
  <si>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</si>
  <si>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</si>
  <si>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</si>
  <si>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</si>
  <si>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</si>
  <si>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</si>
  <si>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</si>
  <si>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</si>
  <si>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</si>
  <si>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</si>
  <si>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</si>
  <si>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</si>
  <si>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</si>
  <si>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</si>
  <si>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</si>
  <si>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</si>
  <si>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</si>
  <si>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</si>
  <si>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</si>
  <si>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</si>
  <si>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</si>
  <si>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</si>
  <si>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</si>
  <si>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</si>
  <si>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</si>
  <si>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</si>
  <si>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</si>
  <si>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</si>
  <si>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</si>
  <si>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</si>
  <si>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</si>
  <si>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</si>
  <si>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</si>
  <si>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</si>
  <si>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</si>
  <si>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</si>
  <si>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</si>
  <si>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</si>
  <si>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</si>
  <si>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</si>
  <si>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</si>
  <si>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</si>
  <si>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</si>
  <si>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</si>
  <si>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</si>
  <si>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</si>
  <si>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</si>
  <si>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</si>
  <si>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</si>
  <si>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</si>
  <si>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</si>
  <si>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</si>
  <si>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</si>
  <si>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</si>
  <si>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</si>
  <si>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</si>
  <si>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</si>
  <si>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</si>
  <si>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</si>
  <si>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</si>
  <si>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</si>
  <si>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</si>
  <si>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</si>
  <si>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</si>
  <si>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</si>
  <si>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</si>
  <si>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</si>
  <si>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</si>
  <si>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</si>
  <si>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</si>
  <si>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</si>
  <si>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</si>
  <si>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</si>
  <si>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</si>
  <si>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</si>
  <si>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</si>
  <si>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</si>
  <si>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</si>
  <si>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</si>
  <si>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</si>
  <si>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</si>
  <si>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</si>
  <si>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</si>
  <si>
    <t>BAT_WT</t>
    <phoneticPr fontId="2"/>
  </si>
  <si>
    <t>0b</t>
    <phoneticPr fontId="2"/>
  </si>
  <si>
    <t>1b</t>
    <phoneticPr fontId="2"/>
  </si>
  <si>
    <t>*b</t>
    <phoneticPr fontId="2"/>
  </si>
  <si>
    <t>****b</t>
    <phoneticPr fontId="2"/>
  </si>
  <si>
    <t>REQ03</t>
  </si>
  <si>
    <t>***b</t>
    <phoneticPr fontId="2"/>
  </si>
  <si>
    <t>ACTIVE</t>
  </si>
  <si>
    <t>REQ12</t>
  </si>
  <si>
    <t>1.0.0</t>
  </si>
  <si>
    <t>5.5.0</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</si>
  <si>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</si>
  <si>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</si>
  <si>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</si>
  <si>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11b</t>
    <phoneticPr fontId="2"/>
  </si>
  <si>
    <t>伊藤</t>
    <rPh sb="0" eb="2">
      <t>イトウ</t>
    </rPh>
    <phoneticPr fontId="2"/>
  </si>
  <si>
    <t>新規作成(流用元：alert_C_EPB-CSTD-0-02-A-C0.xlsx)
050D CV　対応変更分
全体
・Rev19に更新
[Matrix]シート
・ロケーション変更
[CH_Design]シート
・ALERT_REQ_C_EPB_WRN_IG_UNRELABLE、ALERT_REQ_C_EPB_WRN_IG_EPBDEF7、ALERT_REQ_C_EPB_WRN_IG_EPBDEFRW7の要求追加
[WRN_IG]シート
・ALERT_REQ_C_EPB_WRN_IG_UNRELABLE、ALERT_REQ_C_EPB_WRN_IG_EPBDEF7、ALERT_REQ_C_EPB_WRN_IG_EPBDEFRW7の要求追加
[Reference]シート
・PDの要求NO.14が追加
TT/BC/PD判定 (電源状態：IG)
・B_EPBMID=1101bのREQ、振る舞いを修正
[History]シート
・Rev19の内容に更新</t>
    <rPh sb="0" eb="2">
      <t>シンキ</t>
    </rPh>
    <rPh sb="2" eb="4">
      <t>サクセイ</t>
    </rPh>
    <rPh sb="5" eb="7">
      <t>リュウヨウ</t>
    </rPh>
    <rPh sb="7" eb="8">
      <t>モト</t>
    </rPh>
    <rPh sb="51" eb="53">
      <t>タイオウ</t>
    </rPh>
    <rPh sb="53" eb="55">
      <t>ヘンコウ</t>
    </rPh>
    <rPh sb="55" eb="56">
      <t>ブン</t>
    </rPh>
    <rPh sb="57" eb="59">
      <t>ゼンタイ</t>
    </rPh>
    <rPh sb="67" eb="69">
      <t>コウシン</t>
    </rPh>
    <rPh sb="89" eb="91">
      <t>ヘンコウ</t>
    </rPh>
    <rPh sb="205" eb="207">
      <t>ヨウキュウ</t>
    </rPh>
    <rPh sb="207" eb="209">
      <t>ツイカ</t>
    </rPh>
    <rPh sb="344" eb="346">
      <t>ヨウキュウ</t>
    </rPh>
    <rPh sb="352" eb="354">
      <t>ツイカ</t>
    </rPh>
    <rPh sb="396" eb="397">
      <t>フ</t>
    </rPh>
    <rPh sb="398" eb="399">
      <t>マ</t>
    </rPh>
    <rPh sb="401" eb="403">
      <t>シュウセイ</t>
    </rPh>
    <rPh sb="424" eb="426">
      <t>ナイヨウ</t>
    </rPh>
    <rPh sb="427" eb="429">
      <t>コウシン</t>
    </rPh>
    <phoneticPr fontId="2"/>
  </si>
  <si>
    <t>vd_g_AlertC_epbInit</t>
  </si>
  <si>
    <t>TT_PKB</t>
  </si>
  <si>
    <t>WRN_IG</t>
  </si>
  <si>
    <t>WRN_BAT</t>
  </si>
  <si>
    <t>EPB</t>
  </si>
  <si>
    <t>ALERT_CH_C_EPB_TT_PKB</t>
  </si>
  <si>
    <t>TT_ON</t>
  </si>
  <si>
    <t>FLASH_1HZ</t>
  </si>
  <si>
    <t>FLASH_2HZ</t>
  </si>
  <si>
    <t>FLASH_4HZ</t>
  </si>
  <si>
    <t>ALERT_CH_C_EPB_WRN_IG</t>
  </si>
  <si>
    <t>EPBW</t>
  </si>
  <si>
    <t>LOCK</t>
  </si>
  <si>
    <t>ADVICE1</t>
  </si>
  <si>
    <t>DEACTIVE</t>
  </si>
  <si>
    <t>ADVICE2</t>
  </si>
  <si>
    <t>MALFUNC</t>
  </si>
  <si>
    <t>UNRELABLE</t>
  </si>
  <si>
    <t>ALERT_CH_C_EPB_WRN_BAT</t>
  </si>
  <si>
    <t>AUTOLOCK</t>
  </si>
  <si>
    <t>NOTUSE1</t>
  </si>
  <si>
    <t>NOTUSE2</t>
  </si>
  <si>
    <t>STOPPED</t>
  </si>
  <si>
    <t>EPB1F01_STS</t>
    <phoneticPr fontId="2"/>
  </si>
  <si>
    <t>B_PKBLP_SIG</t>
    <phoneticPr fontId="2"/>
  </si>
  <si>
    <t>B_EPBMID_SIG</t>
    <phoneticPr fontId="2"/>
  </si>
  <si>
    <t>×</t>
  </si>
  <si>
    <t>パーキングブレーキ表示灯判定</t>
    <rPh sb="9" eb="11">
      <t>ヒョウジ</t>
    </rPh>
    <rPh sb="11" eb="12">
      <t>トウ</t>
    </rPh>
    <phoneticPr fontId="2"/>
  </si>
  <si>
    <t>IG-ON + Special</t>
  </si>
  <si>
    <t>判定結果</t>
  </si>
  <si>
    <t>通常(0b)/
未受信(1b)</t>
    <phoneticPr fontId="2"/>
  </si>
  <si>
    <t xml:space="preserve">正常(000b)/
EPB状態表示(001b)/
EPB初期化状態(010b)/
EPB不作動警告(011b)/
EPBテストモード(100b)/
未定義(101b～111b)
</t>
    <rPh sb="74" eb="77">
      <t>ミテイギ</t>
    </rPh>
    <phoneticPr fontId="2"/>
  </si>
  <si>
    <t>TT_ON/
FLASH_1HZ/
FLASH_2HZ/
FLASH_4HZ/
UNKNOWN</t>
    <phoneticPr fontId="2"/>
  </si>
  <si>
    <t>点灯/
点滅(1000ms)/
点滅(500ms)/
点滅(250ms)/
-</t>
    <rPh sb="4" eb="6">
      <t>テンメツ</t>
    </rPh>
    <rPh sb="16" eb="18">
      <t>テンメツ</t>
    </rPh>
    <rPh sb="27" eb="29">
      <t>テンメツ</t>
    </rPh>
    <phoneticPr fontId="2"/>
  </si>
  <si>
    <t>BAT_WT-OFF</t>
    <phoneticPr fontId="2"/>
  </si>
  <si>
    <t>BAT_WT-ON + 通常 + 正常</t>
    <rPh sb="12" eb="14">
      <t>ツウジョウ</t>
    </rPh>
    <rPh sb="17" eb="19">
      <t>セイジョウ</t>
    </rPh>
    <phoneticPr fontId="2"/>
  </si>
  <si>
    <t>000b</t>
  </si>
  <si>
    <t>BAT_WT-ON + 通常 + EPB状態表示</t>
    <rPh sb="12" eb="14">
      <t>ツウジョウ</t>
    </rPh>
    <rPh sb="20" eb="22">
      <t>ジョウタイ</t>
    </rPh>
    <rPh sb="22" eb="24">
      <t>ヒョウジ</t>
    </rPh>
    <phoneticPr fontId="2"/>
  </si>
  <si>
    <t>001b</t>
  </si>
  <si>
    <t>点灯</t>
  </si>
  <si>
    <t>BAT_WT-ON + 通常 + EPB初期化状態</t>
    <rPh sb="12" eb="14">
      <t>ツウジョウ</t>
    </rPh>
    <rPh sb="20" eb="23">
      <t>ショキカ</t>
    </rPh>
    <rPh sb="23" eb="25">
      <t>ジョウタイ</t>
    </rPh>
    <phoneticPr fontId="2"/>
  </si>
  <si>
    <t>010b</t>
  </si>
  <si>
    <t>点滅(1000ms)</t>
    <rPh sb="0" eb="2">
      <t>テンメツ</t>
    </rPh>
    <phoneticPr fontId="14"/>
  </si>
  <si>
    <t>BAT_WT-ON + 通常 + EPB不作動警告</t>
    <rPh sb="12" eb="14">
      <t>ツウジョウ</t>
    </rPh>
    <rPh sb="20" eb="21">
      <t>フ</t>
    </rPh>
    <rPh sb="21" eb="23">
      <t>サドウ</t>
    </rPh>
    <rPh sb="23" eb="25">
      <t>ケイコク</t>
    </rPh>
    <phoneticPr fontId="2"/>
  </si>
  <si>
    <t>011b</t>
  </si>
  <si>
    <t>点滅(500ms)</t>
    <rPh sb="0" eb="2">
      <t>テンメツ</t>
    </rPh>
    <phoneticPr fontId="14"/>
  </si>
  <si>
    <t>BAT_WT-ON + 通常 + EPBテストモード</t>
    <rPh sb="12" eb="14">
      <t>ツウジョウ</t>
    </rPh>
    <phoneticPr fontId="2"/>
  </si>
  <si>
    <t>100b</t>
  </si>
  <si>
    <t>点滅(250ms)</t>
    <rPh sb="0" eb="2">
      <t>テンメツ</t>
    </rPh>
    <phoneticPr fontId="14"/>
  </si>
  <si>
    <t>BAT_WT-ON + 通常 + 未定義</t>
    <rPh sb="12" eb="14">
      <t>ツウジョウ</t>
    </rPh>
    <rPh sb="17" eb="20">
      <t>ミテイギ</t>
    </rPh>
    <phoneticPr fontId="2"/>
  </si>
  <si>
    <t>101b</t>
  </si>
  <si>
    <t>110b</t>
  </si>
  <si>
    <t>111b</t>
  </si>
  <si>
    <t>BAT_WT-ON + 未受信</t>
    <rPh sb="12" eb="13">
      <t>ミ</t>
    </rPh>
    <rPh sb="13" eb="15">
      <t>ジュシン</t>
    </rPh>
    <phoneticPr fontId="2"/>
  </si>
  <si>
    <t>IG-ON + Special</t>
    <phoneticPr fontId="2"/>
  </si>
  <si>
    <t>*</t>
    <phoneticPr fontId="2"/>
  </si>
  <si>
    <t>BAT_WT-ON + 通信途絶</t>
    <rPh sb="12" eb="14">
      <t>ツウシン</t>
    </rPh>
    <rPh sb="14" eb="16">
      <t>トゼツ</t>
    </rPh>
    <phoneticPr fontId="2"/>
  </si>
  <si>
    <t>BAT_WT-ON + 未受信通信途絶</t>
    <rPh sb="12" eb="19">
      <t>ミジュシンツウシントゼツ</t>
    </rPh>
    <phoneticPr fontId="2"/>
  </si>
  <si>
    <t>TT/BC/PD判定 (電源状態：IG)</t>
    <rPh sb="8" eb="10">
      <t>ハンテイ</t>
    </rPh>
    <rPh sb="12" eb="14">
      <t>デンゲン</t>
    </rPh>
    <rPh sb="14" eb="16">
      <t>ジョウタイ</t>
    </rPh>
    <phoneticPr fontId="2"/>
  </si>
  <si>
    <t>Matrix Search</t>
  </si>
  <si>
    <t>ALERT_CH_C_EPB_WRN_IG</t>
    <phoneticPr fontId="2"/>
  </si>
  <si>
    <t>RWT_EN
機能有無：EPB</t>
    <rPh sb="7" eb="9">
      <t>キノウ</t>
    </rPh>
    <rPh sb="9" eb="11">
      <t>ウム</t>
    </rPh>
    <phoneticPr fontId="2"/>
  </si>
  <si>
    <t>MET1S35</t>
  </si>
  <si>
    <t>EPBW</t>
    <phoneticPr fontId="2"/>
  </si>
  <si>
    <t xml:space="preserve">通常(00b)/
未受信(01b)/
通信途絶(10b)/
未受信通信途絶(11b)
</t>
    <rPh sb="0" eb="2">
      <t>ツウジョウ</t>
    </rPh>
    <rPh sb="9" eb="10">
      <t>ミ</t>
    </rPh>
    <rPh sb="10" eb="12">
      <t>ジュシン</t>
    </rPh>
    <rPh sb="19" eb="21">
      <t>ツウシン</t>
    </rPh>
    <rPh sb="21" eb="23">
      <t>トゼツ</t>
    </rPh>
    <rPh sb="30" eb="31">
      <t>ミ</t>
    </rPh>
    <rPh sb="31" eb="37">
      <t>ジュシンツウシントゼツ</t>
    </rPh>
    <phoneticPr fontId="2"/>
  </si>
  <si>
    <t>断続吹鳴/
-</t>
    <rPh sb="0" eb="2">
      <t>ダンゾク</t>
    </rPh>
    <rPh sb="2" eb="4">
      <t>スイメイ</t>
    </rPh>
    <phoneticPr fontId="2"/>
  </si>
  <si>
    <t>-/
要求有り</t>
    <rPh sb="4" eb="6">
      <t>ヨウキュウ</t>
    </rPh>
    <rPh sb="6" eb="7">
      <t>ア</t>
    </rPh>
    <phoneticPr fontId="2"/>
  </si>
  <si>
    <t>断続吹鳴</t>
    <rPh sb="2" eb="4">
      <t>スイメイ</t>
    </rPh>
    <phoneticPr fontId="2"/>
  </si>
  <si>
    <t>ADVICE2</t>
    <phoneticPr fontId="2"/>
  </si>
  <si>
    <t>要求有り</t>
    <rPh sb="0" eb="2">
      <t>ヨウキュウ</t>
    </rPh>
    <rPh sb="2" eb="3">
      <t>ア</t>
    </rPh>
    <phoneticPr fontId="2"/>
  </si>
  <si>
    <t>REQ14</t>
    <phoneticPr fontId="2"/>
  </si>
  <si>
    <t>IG-ON + 未受信</t>
    <rPh sb="8" eb="9">
      <t>ミ</t>
    </rPh>
    <rPh sb="9" eb="11">
      <t>ジュシン</t>
    </rPh>
    <phoneticPr fontId="2"/>
  </si>
  <si>
    <t>IG-ON + 通信途絶</t>
    <rPh sb="8" eb="10">
      <t>ツウシン</t>
    </rPh>
    <rPh sb="10" eb="12">
      <t>トゼツ</t>
    </rPh>
    <phoneticPr fontId="2"/>
  </si>
  <si>
    <t>IG-ON + 未受信通信途絶</t>
    <rPh sb="8" eb="15">
      <t>ミジュシンツウシントゼツ</t>
    </rPh>
    <phoneticPr fontId="2"/>
  </si>
  <si>
    <t>BC/PD判定 (電源状態：+B)</t>
    <rPh sb="5" eb="7">
      <t>ハンテイ</t>
    </rPh>
    <rPh sb="9" eb="11">
      <t>デンゲン</t>
    </rPh>
    <rPh sb="11" eb="13">
      <t>ジョウタイ</t>
    </rPh>
    <phoneticPr fontId="2"/>
  </si>
  <si>
    <t>ALERT_CH_C_EPB_WRN_BAT</t>
    <phoneticPr fontId="2"/>
  </si>
  <si>
    <t>通常(00b)/
未受信(01b)/
通信途絶(10b)/
未受信通信途絶(11b)</t>
    <rPh sb="0" eb="2">
      <t>ツウジョウ</t>
    </rPh>
    <rPh sb="9" eb="10">
      <t>ミ</t>
    </rPh>
    <rPh sb="10" eb="12">
      <t>ジュシン</t>
    </rPh>
    <rPh sb="19" eb="21">
      <t>ツウシン</t>
    </rPh>
    <rPh sb="21" eb="23">
      <t>トゼツ</t>
    </rPh>
    <rPh sb="30" eb="37">
      <t>ミジュシンツウシントゼツ</t>
    </rPh>
    <phoneticPr fontId="2"/>
  </si>
  <si>
    <t>ADVICE1/
AUTOLOCK/
ADVICE2/
NOTUSE1/
NOTUSE2/
STOPPED/
UNKNOWN</t>
    <phoneticPr fontId="2"/>
  </si>
  <si>
    <t>BAT_WT-OFF</t>
  </si>
  <si>
    <t>ON(赤)</t>
    <rPh sb="3" eb="4">
      <t>アカ</t>
    </rPh>
    <phoneticPr fontId="2"/>
  </si>
  <si>
    <t>FLASH_1000_D50_ON(赤)</t>
    <rPh sb="18" eb="19">
      <t>アカ</t>
    </rPh>
    <phoneticPr fontId="2"/>
  </si>
  <si>
    <t>FLASH_500_D50_ON(赤)</t>
    <rPh sb="17" eb="18">
      <t>アカ</t>
    </rPh>
    <phoneticPr fontId="2"/>
  </si>
  <si>
    <t>FLASH_250_D50_ON(赤)</t>
    <rPh sb="17" eb="18">
      <t>アカ</t>
    </rPh>
    <phoneticPr fontId="2"/>
  </si>
  <si>
    <t>高橋勝</t>
    <rPh sb="0" eb="2">
      <t>タカハシ</t>
    </rPh>
    <rPh sb="2" eb="3">
      <t>カツ</t>
    </rPh>
    <phoneticPr fontId="2"/>
  </si>
  <si>
    <t>1.1.0</t>
    <phoneticPr fontId="2"/>
  </si>
  <si>
    <t>(流用元：alert_C_EPB-CSTD-0-03-A-C0.xlsx)
面企画#2 CV対応
[Matrix]シート
・対象仕様書変更
・ロケーション変更
[Reference]シート
・キャプチャを差し替え
・吹き出しコメント修正</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</si>
  <si>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</si>
  <si>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</si>
  <si>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</si>
  <si>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</si>
  <si>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</si>
  <si>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</si>
  <si>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1.2.0</t>
    <phoneticPr fontId="2"/>
  </si>
  <si>
    <t>5.5.0</t>
    <phoneticPr fontId="2"/>
  </si>
  <si>
    <t>川原</t>
    <rPh sb="0" eb="2">
      <t>カワハラ</t>
    </rPh>
    <phoneticPr fontId="2"/>
  </si>
  <si>
    <t>REQ015</t>
    <phoneticPr fontId="2"/>
  </si>
  <si>
    <t>REQ016</t>
    <phoneticPr fontId="2"/>
  </si>
  <si>
    <t>面企画#2 1A対応(流用元：alert_C_EPB-CSTD-0-03-B-C0.xlsx)
[Matrix]シート
・対象仕様書変更
・ロケーション変更
・CH Name　：　TT_ATOFF追加
[CH_Design]シート
・REQに対する要求Noを変更
・ALERT CH　：　ALERT_CH_C_EPB_TT_ATOFF追加
[TT_ATOFF]シート
・シート追加
[Reference]シート
・キャプチャ更新
・BC/PD判定 (電源状態：+B)の真理値表変更
・EPBオートオフ状態表示灯判定に関する真理値表を追加</t>
    <rPh sb="122" eb="123">
      <t>タイ</t>
    </rPh>
    <rPh sb="125" eb="127">
      <t>ヨウキュウ</t>
    </rPh>
    <rPh sb="130" eb="132">
      <t>ヘンコウ</t>
    </rPh>
    <rPh sb="235" eb="239">
      <t>シンリチヒョウ</t>
    </rPh>
    <rPh sb="239" eb="241">
      <t>ヘンコウ</t>
    </rPh>
    <phoneticPr fontId="2"/>
  </si>
  <si>
    <t>振る舞い</t>
    <phoneticPr fontId="2"/>
  </si>
  <si>
    <t>REQ017</t>
    <phoneticPr fontId="2"/>
  </si>
  <si>
    <t>REQ18</t>
    <phoneticPr fontId="2"/>
  </si>
  <si>
    <t>REQ23</t>
    <phoneticPr fontId="2"/>
  </si>
  <si>
    <t>REQ24</t>
    <phoneticPr fontId="2"/>
  </si>
  <si>
    <t>REQ19</t>
    <phoneticPr fontId="2"/>
  </si>
  <si>
    <t>REQ22</t>
    <phoneticPr fontId="2"/>
  </si>
  <si>
    <r>
      <t xml:space="preserve">00000b：表示要求無/
00001b：表示要求無/
00010b：表示要求無/
00011b：REQ17表示要求/
00100b：REQ18表示要求/
00101b：REQ23表示要求/
00110b：REQ24表示要求/
00111b：REQ19表示要求/
01000b～01010b：表示要求無/
01011b：REQ22表示要求/
01100b：表示要求無/
</t>
    </r>
    <r>
      <rPr>
        <sz val="11"/>
        <rFont val="ＭＳ Ｐゴシック"/>
        <family val="3"/>
        <charset val="128"/>
        <scheme val="minor"/>
      </rPr>
      <t>01101b：REQ14表示要求/
01110b～11111b：表示要求無</t>
    </r>
    <rPh sb="7" eb="9">
      <t>ヒョウジ</t>
    </rPh>
    <rPh sb="9" eb="11">
      <t>ヨウキュウ</t>
    </rPh>
    <rPh sb="11" eb="12">
      <t>ナ</t>
    </rPh>
    <rPh sb="21" eb="23">
      <t>ヒョウジ</t>
    </rPh>
    <rPh sb="23" eb="25">
      <t>ヨウキュウ</t>
    </rPh>
    <rPh sb="25" eb="26">
      <t>ナ</t>
    </rPh>
    <rPh sb="35" eb="37">
      <t>ヒョウジ</t>
    </rPh>
    <rPh sb="37" eb="39">
      <t>ヨウキュウ</t>
    </rPh>
    <rPh sb="39" eb="40">
      <t>ナ</t>
    </rPh>
    <rPh sb="54" eb="56">
      <t>ヒョウジ</t>
    </rPh>
    <rPh sb="56" eb="58">
      <t>ヨウキュウ</t>
    </rPh>
    <rPh sb="72" eb="74">
      <t>ヒョウジ</t>
    </rPh>
    <rPh sb="74" eb="76">
      <t>ヨウキュウ</t>
    </rPh>
    <rPh sb="90" eb="92">
      <t>ヒョウジ</t>
    </rPh>
    <rPh sb="92" eb="94">
      <t>ヨウキュウ</t>
    </rPh>
    <rPh sb="108" eb="110">
      <t>ヒョウジ</t>
    </rPh>
    <rPh sb="110" eb="112">
      <t>ヨウキュウ</t>
    </rPh>
    <rPh sb="126" eb="128">
      <t>ヒョウジ</t>
    </rPh>
    <rPh sb="128" eb="130">
      <t>ヨウキュウ</t>
    </rPh>
    <rPh sb="146" eb="148">
      <t>ヒョウジ</t>
    </rPh>
    <rPh sb="148" eb="150">
      <t>ヨウキュウ</t>
    </rPh>
    <rPh sb="150" eb="151">
      <t>ナ</t>
    </rPh>
    <rPh sb="165" eb="167">
      <t>ヒョウジ</t>
    </rPh>
    <rPh sb="167" eb="169">
      <t>ヨウキュウ</t>
    </rPh>
    <rPh sb="197" eb="199">
      <t>ヒョウジ</t>
    </rPh>
    <rPh sb="199" eb="201">
      <t>ヨウキュウ</t>
    </rPh>
    <rPh sb="217" eb="219">
      <t>ヒョウジ</t>
    </rPh>
    <rPh sb="219" eb="221">
      <t>ヨウキュウ</t>
    </rPh>
    <rPh sb="221" eb="222">
      <t>ナ</t>
    </rPh>
    <phoneticPr fontId="2"/>
  </si>
  <si>
    <t>00000b</t>
    <phoneticPr fontId="2"/>
  </si>
  <si>
    <t>00001b</t>
    <phoneticPr fontId="2"/>
  </si>
  <si>
    <t>00010b</t>
    <phoneticPr fontId="2"/>
  </si>
  <si>
    <t>00011b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</si>
  <si>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</si>
  <si>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</si>
  <si>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</si>
  <si>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</si>
  <si>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</si>
  <si>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</si>
  <si>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</si>
  <si>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</si>
  <si>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01100b</t>
    <phoneticPr fontId="2"/>
  </si>
  <si>
    <t>01101b</t>
    <phoneticPr fontId="2"/>
  </si>
  <si>
    <t>01110b</t>
    <phoneticPr fontId="2"/>
  </si>
  <si>
    <t>01111b</t>
    <phoneticPr fontId="2"/>
  </si>
  <si>
    <t>10000b</t>
    <phoneticPr fontId="2"/>
  </si>
  <si>
    <t>10001b</t>
    <phoneticPr fontId="2"/>
  </si>
  <si>
    <t>10010b</t>
    <phoneticPr fontId="2"/>
  </si>
  <si>
    <t>10011b</t>
    <phoneticPr fontId="2"/>
  </si>
  <si>
    <t>10100b</t>
    <phoneticPr fontId="2"/>
  </si>
  <si>
    <t>10101b</t>
    <phoneticPr fontId="2"/>
  </si>
  <si>
    <t>10110b</t>
    <phoneticPr fontId="2"/>
  </si>
  <si>
    <t>10111b</t>
    <phoneticPr fontId="2"/>
  </si>
  <si>
    <t>11000b</t>
    <phoneticPr fontId="2"/>
  </si>
  <si>
    <t>11001b</t>
    <phoneticPr fontId="2"/>
  </si>
  <si>
    <t>11010b</t>
    <phoneticPr fontId="2"/>
  </si>
  <si>
    <t>11011b</t>
    <phoneticPr fontId="2"/>
  </si>
  <si>
    <t>11100b</t>
    <phoneticPr fontId="2"/>
  </si>
  <si>
    <t>11101b</t>
    <phoneticPr fontId="2"/>
  </si>
  <si>
    <t>11110b</t>
    <phoneticPr fontId="2"/>
  </si>
  <si>
    <t>11111b</t>
    <phoneticPr fontId="2"/>
  </si>
  <si>
    <t>IG-ON + 通常 + 正常(00b) + B_EPBMID = 00000b</t>
    <rPh sb="13" eb="15">
      <t>セイジョウ</t>
    </rPh>
    <phoneticPr fontId="2"/>
  </si>
  <si>
    <t>IG-ON + 通常 + 正常(00b) + B_EPBMID = 00001b</t>
    <phoneticPr fontId="2"/>
  </si>
  <si>
    <t>IG-ON + 通常 + 正常(00b) + B_EPBMID = 00010b</t>
    <phoneticPr fontId="2"/>
  </si>
  <si>
    <t>IG-ON + 通常 + 正常(00b) + B_EPBMID = 00011b</t>
    <phoneticPr fontId="2"/>
  </si>
  <si>
    <t>IG-ON + 通常 + 正常(00b) + B_EPBMID = 00100b</t>
    <phoneticPr fontId="2"/>
  </si>
  <si>
    <t>IG-ON + 通常 + 正常(00b) + B_EPBMID = 00101b</t>
    <phoneticPr fontId="2"/>
  </si>
  <si>
    <t>IG-ON + 通常 + 正常(00b) + B_EPBMID = 00110b</t>
    <phoneticPr fontId="2"/>
  </si>
  <si>
    <t>IG-ON + 通常 + 正常(00b) + B_EPBMID = 00111b</t>
    <phoneticPr fontId="2"/>
  </si>
  <si>
    <t>IG-ON + 通常 + 正常(00b) + B_EPBMID = 01000b</t>
    <phoneticPr fontId="2"/>
  </si>
  <si>
    <t>IG-ON + 通常 + 正常(00b) + B_EPBMID = 01001b</t>
    <phoneticPr fontId="2"/>
  </si>
  <si>
    <t>IG-ON + 通常 + 正常(00b) + B_EPBMID = 01010b</t>
    <phoneticPr fontId="2"/>
  </si>
  <si>
    <t>IG-ON + 通常 + 正常(00b) + B_EPBMID = 01011b</t>
    <phoneticPr fontId="2"/>
  </si>
  <si>
    <t>IG-ON + 通常 + 正常(00b) + B_EPBMID = 01100b</t>
    <phoneticPr fontId="2"/>
  </si>
  <si>
    <t>IG-ON + 通常 + 正常(00b) + B_EPBMID = 01101b</t>
    <phoneticPr fontId="2"/>
  </si>
  <si>
    <t>IG-ON + 通常 + 正常(00b) + B_EPBMID = 01110b</t>
    <phoneticPr fontId="2"/>
  </si>
  <si>
    <t>IG-ON + 通常 + 正常(00b) + B_EPBMID = 10000b</t>
    <rPh sb="13" eb="15">
      <t>セイジョウ</t>
    </rPh>
    <phoneticPr fontId="2"/>
  </si>
  <si>
    <t>IG-ON + 通常 + 正常(00b) + B_EPBMID = 10001b</t>
    <phoneticPr fontId="2"/>
  </si>
  <si>
    <t>IG-ON + 通常 + 正常(00b) + B_EPBMID = 10010b</t>
    <phoneticPr fontId="2"/>
  </si>
  <si>
    <t>IG-ON + 通常 + 正常(00b) + B_EPBMID = 10011b</t>
    <phoneticPr fontId="2"/>
  </si>
  <si>
    <t>IG-ON + 通常 + 正常(00b) + B_EPBMID = 10100b</t>
    <phoneticPr fontId="2"/>
  </si>
  <si>
    <t>IG-ON + 通常 + 正常(00b) + B_EPBMID = 10101b</t>
    <phoneticPr fontId="2"/>
  </si>
  <si>
    <t>IG-ON + 通常 + 正常(00b) + B_EPBMID = 10110b</t>
    <phoneticPr fontId="2"/>
  </si>
  <si>
    <t>IG-ON + 通常 + 正常(00b) + B_EPBMID = 10111b</t>
    <phoneticPr fontId="2"/>
  </si>
  <si>
    <t>IG-ON + 通常 + 正常(00b) + B_EPBMID = 11000b</t>
    <phoneticPr fontId="2"/>
  </si>
  <si>
    <t>IG-ON + 通常 + 正常(00b) + B_EPBMID = 11001b</t>
    <phoneticPr fontId="2"/>
  </si>
  <si>
    <t>IG-ON + 通常 + 正常(00b) + B_EPBMID = 11010b</t>
    <phoneticPr fontId="2"/>
  </si>
  <si>
    <t>IG-ON + 通常 + 正常(00b) + B_EPBMID = 11011b</t>
    <phoneticPr fontId="2"/>
  </si>
  <si>
    <t>IG-ON + 通常 + 正常(00b) + B_EPBMID = 11100b</t>
    <phoneticPr fontId="2"/>
  </si>
  <si>
    <t>IG-ON + 通常 + 正常(00b) + B_EPBMID = 11101b</t>
    <phoneticPr fontId="2"/>
  </si>
  <si>
    <t>IG-ON + 通常 + 正常(00b) + B_EPBMID = 11110b</t>
    <phoneticPr fontId="2"/>
  </si>
  <si>
    <t>IG-ON + 通常 + 正常(00b) + B_EPBMID = 11111b</t>
    <phoneticPr fontId="2"/>
  </si>
  <si>
    <t>IG-ON + 通常 + 正常(00b) + B_EPBMID = 01111b</t>
    <rPh sb="13" eb="15">
      <t>セイジョウ</t>
    </rPh>
    <phoneticPr fontId="2"/>
  </si>
  <si>
    <t>MALFUNC</t>
    <phoneticPr fontId="2"/>
  </si>
  <si>
    <t>UNRELABLE</t>
    <phoneticPr fontId="2"/>
  </si>
  <si>
    <r>
      <t>LOCK/
ADVICE1/
ACTIVE/
DEACTIVE/
ADVICE2/
MALFUNC/
UNRELABLE/</t>
    </r>
    <r>
      <rPr>
        <sz val="11"/>
        <rFont val="ＭＳ Ｐゴシック"/>
        <family val="3"/>
        <charset val="128"/>
        <scheme val="minor"/>
      </rPr>
      <t xml:space="preserve">
UNKNOWN</t>
    </r>
    <phoneticPr fontId="2"/>
  </si>
  <si>
    <t>DDM1S17</t>
    <phoneticPr fontId="2"/>
  </si>
  <si>
    <t>DDM1S17_STS</t>
    <phoneticPr fontId="2"/>
  </si>
  <si>
    <t>DDM1S17_STS</t>
    <phoneticPr fontId="2"/>
  </si>
  <si>
    <t>LOCK</t>
    <phoneticPr fontId="2"/>
  </si>
  <si>
    <t>ADVICE1</t>
    <phoneticPr fontId="2"/>
  </si>
  <si>
    <t>ACTIVE</t>
    <phoneticPr fontId="2"/>
  </si>
  <si>
    <t>DEACTIVE</t>
    <phoneticPr fontId="2"/>
  </si>
  <si>
    <t>ADVICE2</t>
    <phoneticPr fontId="2"/>
  </si>
  <si>
    <t>DEACTIVE</t>
    <phoneticPr fontId="2"/>
  </si>
  <si>
    <t>ACTIVE</t>
    <phoneticPr fontId="2"/>
  </si>
  <si>
    <t>ADVICE1</t>
    <phoneticPr fontId="2"/>
  </si>
  <si>
    <t>LOCK</t>
    <phoneticPr fontId="2"/>
  </si>
  <si>
    <t>MALFUNC</t>
    <phoneticPr fontId="2"/>
  </si>
  <si>
    <t>UNRELABLE</t>
    <phoneticPr fontId="2"/>
  </si>
  <si>
    <t>REQ20</t>
    <phoneticPr fontId="2"/>
  </si>
  <si>
    <t>REQ21</t>
    <phoneticPr fontId="2"/>
  </si>
  <si>
    <r>
      <t>C_EPB-CSTD-1-MEF01-REQ,03,12,</t>
    </r>
    <r>
      <rPr>
        <sz val="11"/>
        <color rgb="FFFF0000"/>
        <rFont val="ＭＳ Ｐゴシック"/>
        <family val="3"/>
        <charset val="128"/>
        <scheme val="minor"/>
      </rPr>
      <t>15,16,20,21</t>
    </r>
    <r>
      <rPr>
        <sz val="11"/>
        <color theme="1"/>
        <rFont val="ＭＳ Ｐゴシック"/>
        <family val="2"/>
        <charset val="128"/>
        <scheme val="minor"/>
      </rPr>
      <t>/
-</t>
    </r>
    <phoneticPr fontId="2"/>
  </si>
  <si>
    <r>
      <t>C_EPB-CSTD-1-MEF01-REQ</t>
    </r>
    <r>
      <rPr>
        <sz val="11"/>
        <color rgb="FFFF0000"/>
        <rFont val="ＭＳ Ｐゴシック"/>
        <family val="3"/>
        <charset val="128"/>
        <scheme val="minor"/>
      </rPr>
      <t>14, 17～19, 22～24</t>
    </r>
    <r>
      <rPr>
        <sz val="11"/>
        <rFont val="ＭＳ Ｐゴシック"/>
        <family val="3"/>
        <charset val="128"/>
        <scheme val="minor"/>
      </rPr>
      <t>/
-</t>
    </r>
    <phoneticPr fontId="2"/>
  </si>
  <si>
    <r>
      <t xml:space="preserve">0000b：表示要求無/
0001b：REQ15表示要求/
0010b：REQ03表示要求/
0011b～0111b：表示要求無/
1000b～1010b：表示要求無/
1000b：REQ16表示要求/
1001b：REQ20表示要求/
1010b：REQ21表示要求/
1011b：表示要求無/
1100b：REQ12表示要求/
</t>
    </r>
    <r>
      <rPr>
        <sz val="11"/>
        <rFont val="ＭＳ Ｐゴシック"/>
        <family val="3"/>
        <charset val="128"/>
        <scheme val="minor"/>
      </rPr>
      <t>1101b：表示要求無/</t>
    </r>
    <r>
      <rPr>
        <sz val="11"/>
        <color theme="1"/>
        <rFont val="ＭＳ Ｐゴシック"/>
        <family val="2"/>
        <charset val="128"/>
        <scheme val="minor"/>
      </rPr>
      <t xml:space="preserve">
1110b,1111b：表示要求無</t>
    </r>
    <rPh sb="6" eb="8">
      <t>ヒョウジ</t>
    </rPh>
    <rPh sb="8" eb="10">
      <t>ヨウキュウ</t>
    </rPh>
    <rPh sb="10" eb="11">
      <t>ナ</t>
    </rPh>
    <rPh sb="78" eb="80">
      <t>ヒョウジ</t>
    </rPh>
    <rPh sb="80" eb="82">
      <t>ヨウキュウ</t>
    </rPh>
    <rPh sb="82" eb="83">
      <t>ナ</t>
    </rPh>
    <rPh sb="191" eb="193">
      <t>ヒョウジ</t>
    </rPh>
    <rPh sb="193" eb="195">
      <t>ヨウキュウ</t>
    </rPh>
    <rPh sb="195" eb="196">
      <t>ナ</t>
    </rPh>
    <phoneticPr fontId="2"/>
  </si>
  <si>
    <t>BAT_WT-ON + 通常 + B_EPBMID = 00000b</t>
    <phoneticPr fontId="2"/>
  </si>
  <si>
    <t>BAT_WT-ON + 通常 + B_EPBMID = 00001b</t>
    <phoneticPr fontId="2"/>
  </si>
  <si>
    <t>BAT_WT-ON + 通常 + B_EPBMID = 00010b</t>
    <phoneticPr fontId="2"/>
  </si>
  <si>
    <t>BAT_WT-ON + 通常 + B_EPBMID = 00011b</t>
    <phoneticPr fontId="2"/>
  </si>
  <si>
    <t>BAT_WT-ON + 通常 + B_EPBMID = 00100b</t>
    <phoneticPr fontId="2"/>
  </si>
  <si>
    <t>BAT_WT-ON + 通常 + B_EPBMID = 00101b</t>
    <phoneticPr fontId="2"/>
  </si>
  <si>
    <t>BAT_WT-ON + 通常 + B_EPBMID = 00110b</t>
    <phoneticPr fontId="2"/>
  </si>
  <si>
    <t>BAT_WT-ON + 通常 + B_EPBMID = 00111b</t>
    <phoneticPr fontId="2"/>
  </si>
  <si>
    <t>BAT_WT-ON + 通常 + B_EPBMID = 01000b</t>
    <phoneticPr fontId="2"/>
  </si>
  <si>
    <t>BAT_WT-ON + 通常 + B_EPBMID = 01001b</t>
    <phoneticPr fontId="2"/>
  </si>
  <si>
    <t>BAT_WT-ON + 通常 + B_EPBMID = 01010b</t>
    <phoneticPr fontId="2"/>
  </si>
  <si>
    <t>BAT_WT-ON + 通常 + B_EPBMID = 01011b</t>
    <phoneticPr fontId="2"/>
  </si>
  <si>
    <t>BAT_WT-ON + 通常 + B_EPBMID = 01100b</t>
    <phoneticPr fontId="2"/>
  </si>
  <si>
    <t>BAT_WT-ON + 通常 + B_EPBMID = 01101b</t>
    <phoneticPr fontId="2"/>
  </si>
  <si>
    <t>BAT_WT-ON + 通常 + B_EPBMID = 01110b</t>
    <phoneticPr fontId="2"/>
  </si>
  <si>
    <t>BAT_WT-ON + 通常 + B_EPBMID = 01111b</t>
    <phoneticPr fontId="2"/>
  </si>
  <si>
    <t>BAT_WT-ON + 通常 + B_EPBMID = 10000b</t>
    <phoneticPr fontId="2"/>
  </si>
  <si>
    <t>BAT_WT-ON + 通常 + B_EPBMID = 10001b</t>
    <phoneticPr fontId="2"/>
  </si>
  <si>
    <t>BAT_WT-ON + 通常 + B_EPBMID = 10010b</t>
    <phoneticPr fontId="2"/>
  </si>
  <si>
    <t>BAT_WT-ON + 通常 + B_EPBMID = 10011b</t>
    <phoneticPr fontId="2"/>
  </si>
  <si>
    <t>BAT_WT-ON + 通常 + B_EPBMID = 10100b</t>
    <phoneticPr fontId="2"/>
  </si>
  <si>
    <t>BAT_WT-ON + 通常 + B_EPBMID = 10101b</t>
    <phoneticPr fontId="2"/>
  </si>
  <si>
    <t>BAT_WT-ON + 通常 + B_EPBMID = 10110b</t>
    <phoneticPr fontId="2"/>
  </si>
  <si>
    <t>BAT_WT-ON + 通常 + B_EPBMID = 10111b</t>
    <phoneticPr fontId="2"/>
  </si>
  <si>
    <t>BAT_WT-ON + 通常 + B_EPBMID = 11000b</t>
    <phoneticPr fontId="2"/>
  </si>
  <si>
    <t>BAT_WT-ON + 通常 + B_EPBMID = 11001b</t>
    <phoneticPr fontId="2"/>
  </si>
  <si>
    <t>BAT_WT-ON + 通常 + B_EPBMID = 11010b</t>
    <phoneticPr fontId="2"/>
  </si>
  <si>
    <t>BAT_WT-ON + 通常 + B_EPBMID = 11011b</t>
    <phoneticPr fontId="2"/>
  </si>
  <si>
    <t>BAT_WT-ON + 通常 + B_EPBMID = 11100b</t>
    <phoneticPr fontId="2"/>
  </si>
  <si>
    <t>BAT_WT-ON + 通常 + B_EPBMID = 11101b</t>
    <phoneticPr fontId="2"/>
  </si>
  <si>
    <t>BAT_WT-ON + 通常 + B_EPBMID = 11110b</t>
    <phoneticPr fontId="2"/>
  </si>
  <si>
    <t>BAT_WT-ON + 通常 + B_EPBMID = 11111b</t>
    <phoneticPr fontId="2"/>
  </si>
  <si>
    <t>0b</t>
  </si>
  <si>
    <t>1b</t>
  </si>
  <si>
    <t>C_EPB-CSTD-1-BZR01-REQ02</t>
    <phoneticPr fontId="2"/>
  </si>
  <si>
    <t>C_EPB-CSTD-1-MEF01-REQ17</t>
    <phoneticPr fontId="2"/>
  </si>
  <si>
    <t>C_EPB-CSTD-1-MEF01-REQ18</t>
    <phoneticPr fontId="2"/>
  </si>
  <si>
    <t>C_EPB-CSTD-1-MEF01-REQ23</t>
    <phoneticPr fontId="2"/>
  </si>
  <si>
    <t>C_EPB-CSTD-1-MEF01-REQ24</t>
    <phoneticPr fontId="2"/>
  </si>
  <si>
    <t>C_EPB-CSTD-1-MEF01-REQ19</t>
    <phoneticPr fontId="2"/>
  </si>
  <si>
    <t>C_EPB-CSTD-1-MEF01-REQ22</t>
    <phoneticPr fontId="2"/>
  </si>
  <si>
    <t>C_EPB-CSTD-1-MEF01-REQ14</t>
    <phoneticPr fontId="2"/>
  </si>
  <si>
    <t>C_EPB-CSTD-1-MEF01-REQ15</t>
    <phoneticPr fontId="2"/>
  </si>
  <si>
    <t>C_EPB-CSTD-1-MEF01-REQ03</t>
    <phoneticPr fontId="2"/>
  </si>
  <si>
    <t>C_EPB-CSTD-1-MEF01-REQ16</t>
    <phoneticPr fontId="2"/>
  </si>
  <si>
    <t>C_EPB-CSTD-1-MEF01-REQ20</t>
    <phoneticPr fontId="2"/>
  </si>
  <si>
    <t>C_EPB-CSTD-1-MEF01-REQ21</t>
    <phoneticPr fontId="2"/>
  </si>
  <si>
    <t>C_EPB-CSTD-1-MEF01-REQ12</t>
    <phoneticPr fontId="2"/>
  </si>
  <si>
    <t>BEVリベース(シス検追従)対応
[Matrix]シート
・RWの削除</t>
    <rPh sb="33" eb="35">
      <t>サクジョ</t>
    </rPh>
    <phoneticPr fontId="2"/>
  </si>
  <si>
    <t>1.3.0</t>
    <phoneticPr fontId="2"/>
  </si>
  <si>
    <t>承認欄 [DT]</t>
    <phoneticPr fontId="2"/>
  </si>
  <si>
    <t>承認者</t>
    <phoneticPr fontId="2"/>
  </si>
  <si>
    <t>DT廣瀬冴</t>
    <rPh sb="0" eb="5">
      <t>dtヒロセサエ</t>
    </rPh>
    <phoneticPr fontId="2"/>
  </si>
  <si>
    <t>1.3.1</t>
    <phoneticPr fontId="2"/>
  </si>
  <si>
    <t>DTPH Kiko</t>
  </si>
  <si>
    <t>BEVシス検ADAS
課題対応（BEV3CDCMET-2941）
ファイル名変更
・流用元：alert_C_EPB-CSTD-1-00-A-C0.xlsx
[Matrix]シート
・対象仕様書の記載を変更
・ロケーションの記載を変更</t>
    <rPh sb="11" eb="13">
      <t>カダイ</t>
    </rPh>
    <rPh sb="13" eb="15">
      <t>タイオウ</t>
    </rPh>
    <rPh sb="38" eb="41">
      <t>メイヘンコウ</t>
    </rPh>
    <rPh sb="43" eb="46">
      <t>リュウヨウモト</t>
    </rPh>
    <phoneticPr fontId="2"/>
  </si>
  <si>
    <t>MET-C_EPB-CSTD-1-00-C-C0.xlsm</t>
    <phoneticPr fontId="2"/>
  </si>
  <si>
    <t>https://svn.geniie.net/bevs3/bevs3cdc/仕様書/MET/#1/tags/00.Product/v1.19/制御仕様/</t>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</si>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</sst>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5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15" borderId="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30" xfId="0" applyBorder="1" applyAlignment="1">
      <alignment horizontal="center" vertical="center"/>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16" fillId="7" borderId="62" xfId="0" applyFont="1" applyFill="1" applyBorder="1" applyAlignment="1">
      <alignment vertical="center"/>
    </xf>
    <xf numFmtId="0" fontId="0" fillId="0" borderId="14" xfId="0" applyBorder="1"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0" xfId="0" applyFill="1">
      <alignment vertical="center"/>
    </xf>
    <xf numFmtId="0" fontId="0" fillId="0" borderId="0" xfId="0" applyFill="1" applyBorder="1" applyAlignment="1">
      <alignment vertical="center"/>
    </xf>
    <xf numFmtId="0" fontId="0" fillId="0" borderId="27" xfId="0" quotePrefix="1" applyBorder="1">
      <alignment vertical="center"/>
    </xf>
    <xf numFmtId="0" fontId="0" fillId="0" borderId="16" xfId="0" applyBorder="1" applyAlignment="1">
      <alignment vertical="center" wrapText="1"/>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0" borderId="0" xfId="0"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9" xfId="0" applyFill="1" applyBorder="1" applyAlignment="1">
      <alignment horizontal="center" vertical="center"/>
    </xf>
    <xf numFmtId="0" fontId="0" fillId="0" borderId="2" xfId="0" applyFill="1" applyBorder="1">
      <alignment vertical="center"/>
    </xf>
    <xf numFmtId="0" fontId="0" fillId="0" borderId="7" xfId="0" applyFill="1" applyBorder="1" applyAlignment="1">
      <alignment vertical="center" wrapText="1"/>
    </xf>
    <xf numFmtId="0" fontId="0" fillId="0" borderId="16" xfId="0" applyFill="1" applyBorder="1" applyAlignment="1">
      <alignment vertical="center" wrapText="1"/>
    </xf>
    <xf numFmtId="0" fontId="0" fillId="0" borderId="17" xfId="0" applyFill="1" applyBorder="1" applyAlignment="1">
      <alignment vertical="center" wrapText="1"/>
    </xf>
    <xf numFmtId="0" fontId="0" fillId="0" borderId="35" xfId="0" applyFill="1" applyBorder="1" applyAlignment="1">
      <alignment horizontal="center" vertical="center"/>
    </xf>
    <xf numFmtId="0" fontId="0" fillId="0"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77" xfId="0" applyBorder="1">
      <alignment vertical="center"/>
    </xf>
    <xf numFmtId="0" fontId="0" fillId="15" borderId="78" xfId="0" applyFill="1" applyBorder="1" applyAlignment="1">
      <alignment horizontal="center" vertical="center"/>
    </xf>
    <xf numFmtId="0" fontId="0" fillId="23"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0" fontId="0" fillId="0" borderId="79" xfId="0" applyFill="1" applyBorder="1" applyAlignment="1">
      <alignment horizontal="center" vertical="center"/>
    </xf>
    <xf numFmtId="0" fontId="0" fillId="15" borderId="79" xfId="0" applyFill="1" applyBorder="1" applyAlignment="1">
      <alignment horizontal="center" vertical="center"/>
    </xf>
    <xf numFmtId="0" fontId="0" fillId="15" borderId="82" xfId="0" applyFill="1" applyBorder="1" applyAlignment="1">
      <alignment horizontal="center" vertical="center"/>
    </xf>
    <xf numFmtId="0" fontId="0" fillId="23" borderId="31" xfId="0" applyFill="1" applyBorder="1" applyAlignment="1">
      <alignment horizontal="center" vertical="center"/>
    </xf>
    <xf numFmtId="0" fontId="0" fillId="15" borderId="6" xfId="0" applyFill="1" applyBorder="1" applyAlignment="1">
      <alignment horizontal="center" vertical="center"/>
    </xf>
    <xf numFmtId="0" fontId="0" fillId="23" borderId="26" xfId="0" applyFill="1" applyBorder="1" applyAlignment="1">
      <alignment horizontal="center" vertical="center"/>
    </xf>
    <xf numFmtId="0" fontId="0" fillId="15" borderId="8" xfId="0" applyFill="1" applyBorder="1" applyAlignment="1">
      <alignment horizontal="center" vertical="center"/>
    </xf>
    <xf numFmtId="0" fontId="15" fillId="0" borderId="2" xfId="0" applyFont="1" applyBorder="1" applyAlignment="1">
      <alignment vertical="center" wrapText="1"/>
    </xf>
    <xf numFmtId="0" fontId="16" fillId="0" borderId="16" xfId="0" applyFont="1" applyBorder="1" applyAlignment="1">
      <alignment vertical="center" wrapText="1"/>
    </xf>
    <xf numFmtId="0" fontId="16" fillId="0" borderId="34" xfId="0" applyFont="1" applyBorder="1" applyAlignment="1">
      <alignment vertical="center" wrapText="1"/>
    </xf>
    <xf numFmtId="0" fontId="16" fillId="0" borderId="16" xfId="0" applyFont="1" applyFill="1" applyBorder="1" applyAlignment="1">
      <alignment vertical="center" wrapText="1"/>
    </xf>
    <xf numFmtId="0" fontId="16" fillId="0" borderId="33" xfId="0" applyFont="1" applyBorder="1" applyAlignment="1">
      <alignment horizontal="center" vertical="center"/>
    </xf>
    <xf numFmtId="0" fontId="19" fillId="0" borderId="2" xfId="0" applyFont="1" applyFill="1" applyBorder="1" applyAlignment="1">
      <alignment horizontal="center" vertical="center"/>
    </xf>
    <xf numFmtId="0" fontId="19" fillId="0" borderId="7" xfId="0" applyFont="1" applyFill="1" applyBorder="1" applyAlignment="1">
      <alignment horizontal="center" vertical="center"/>
    </xf>
    <xf numFmtId="0" fontId="19" fillId="0" borderId="33"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14" xfId="0" applyFont="1" applyFill="1" applyBorder="1" applyAlignment="1">
      <alignment horizontal="center" vertical="center"/>
    </xf>
    <xf numFmtId="0" fontId="19" fillId="0" borderId="15" xfId="0" applyFont="1" applyFill="1" applyBorder="1" applyAlignment="1">
      <alignment horizontal="center" vertical="center"/>
    </xf>
    <xf numFmtId="0" fontId="18" fillId="0" borderId="2" xfId="0" applyFont="1" applyFill="1" applyBorder="1" applyAlignment="1">
      <alignment horizontal="center" vertical="center"/>
    </xf>
    <xf numFmtId="0" fontId="0" fillId="0" borderId="2" xfId="0" applyBorder="1" applyAlignment="1">
      <alignment horizontal="center" vertical="center"/>
    </xf>
    <xf numFmtId="0" fontId="11" fillId="0" borderId="2" xfId="0" applyFont="1" applyFill="1" applyBorder="1" applyAlignment="1">
      <alignment horizontal="center" vertical="center"/>
    </xf>
    <xf numFmtId="0" fontId="0" fillId="4" borderId="17" xfId="0" applyFill="1" applyBorder="1">
      <alignment vertical="center"/>
    </xf>
    <xf numFmtId="0" fontId="0" fillId="0" borderId="82" xfId="0" applyBorder="1">
      <alignment vertical="center"/>
    </xf>
    <xf numFmtId="0" fontId="0" fillId="10" borderId="28" xfId="0" applyFill="1" applyBorder="1">
      <alignment vertical="center"/>
    </xf>
    <xf numFmtId="14" fontId="0" fillId="0" borderId="29" xfId="0" applyNumberFormat="1" applyBorder="1">
      <alignment vertical="center"/>
    </xf>
    <xf numFmtId="14" fontId="0" fillId="0" borderId="27" xfId="0" applyNumberFormat="1" applyBorder="1">
      <alignment vertical="center"/>
    </xf>
    <xf numFmtId="0" fontId="0" fillId="0" borderId="30" xfId="0" applyBorder="1">
      <alignment vertical="center"/>
    </xf>
    <xf numFmtId="0" fontId="11" fillId="0" borderId="83"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0" fontId="18" fillId="0" borderId="63" xfId="0" applyFont="1" applyBorder="1">
      <alignment vertical="center"/>
    </xf>
    <xf numFmtId="14" fontId="18" fillId="0" borderId="84" xfId="0" applyNumberFormat="1" applyFont="1" applyBorder="1">
      <alignment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5" xfId="2" applyFont="1" applyBorder="1">
      <alignment vertical="center"/>
    </xf>
    <xf numFmtId="0" fontId="21" fillId="0" borderId="86" xfId="2" applyFont="1" applyBorder="1">
      <alignment vertical="center"/>
    </xf>
    <xf numFmtId="0" fontId="21" fillId="0" borderId="86" xfId="2" applyFont="1" applyBorder="1" applyAlignment="1">
      <alignment horizontal="center" vertical="center"/>
    </xf>
    <xf numFmtId="0" fontId="21" fillId="0" borderId="85"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cellXfs>
  <cellStyles count="3">
    <cellStyle name="ハイパーリンク" xfId="1" builtinId="8"/>
    <cellStyle name="標準" xfId="0" builtinId="0"/>
    <cellStyle name="標準 3 3 4 3" xfId="2" xr:uid="{00332CBA-B4AA-405E-A36B-24B714758898}"/>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4.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hyperlink" Target="https://aip01.dndev.net/jira/browse/METHUD800B-6402" TargetMode="External"/><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5.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C141BB3D-7224-47E7-984D-6DF84284C69E}"/>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47F32F66-50ED-423F-BF02-52E81DC24E69}"/>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06C22300-A01B-4E1D-9550-15F27A17B8F9}"/>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D95A63BD-F3B2-4E00-93E5-AF8945AD1E6A}"/>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27213</xdr:colOff>
      <xdr:row>144</xdr:row>
      <xdr:rowOff>27215</xdr:rowOff>
    </xdr:from>
    <xdr:to>
      <xdr:col>44</xdr:col>
      <xdr:colOff>639534</xdr:colOff>
      <xdr:row>183</xdr:row>
      <xdr:rowOff>158061</xdr:rowOff>
    </xdr:to>
    <xdr:pic>
      <xdr:nvPicPr>
        <xdr:cNvPr id="75" name="図 74">
          <a:extLst>
            <a:ext uri="{FF2B5EF4-FFF2-40B4-BE49-F238E27FC236}">
              <a16:creationId xmlns:a16="http://schemas.microsoft.com/office/drawing/2014/main" id="{B28EEF14-3A19-2F95-DF01-B480F4495C90}"/>
            </a:ext>
          </a:extLst>
        </xdr:cNvPr>
        <xdr:cNvPicPr>
          <a:picLocks noChangeAspect="1"/>
        </xdr:cNvPicPr>
      </xdr:nvPicPr>
      <xdr:blipFill>
        <a:blip xmlns:r="http://schemas.openxmlformats.org/officeDocument/2006/relationships" r:embed="rId1"/>
        <a:stretch>
          <a:fillRect/>
        </a:stretch>
      </xdr:blipFill>
      <xdr:spPr>
        <a:xfrm>
          <a:off x="22751142" y="36058929"/>
          <a:ext cx="15580178" cy="7029668"/>
        </a:xfrm>
        <a:prstGeom prst="rect">
          <a:avLst/>
        </a:prstGeom>
      </xdr:spPr>
    </xdr:pic>
    <xdr:clientData/>
  </xdr:twoCellAnchor>
  <xdr:twoCellAnchor editAs="oneCell">
    <xdr:from>
      <xdr:col>19</xdr:col>
      <xdr:colOff>557892</xdr:colOff>
      <xdr:row>63</xdr:row>
      <xdr:rowOff>81642</xdr:rowOff>
    </xdr:from>
    <xdr:to>
      <xdr:col>37</xdr:col>
      <xdr:colOff>355150</xdr:colOff>
      <xdr:row>68</xdr:row>
      <xdr:rowOff>380998</xdr:rowOff>
    </xdr:to>
    <xdr:pic>
      <xdr:nvPicPr>
        <xdr:cNvPr id="5" name="図 4">
          <a:extLst>
            <a:ext uri="{FF2B5EF4-FFF2-40B4-BE49-F238E27FC236}">
              <a16:creationId xmlns:a16="http://schemas.microsoft.com/office/drawing/2014/main" id="{4F839492-34EC-D1B8-7232-EF9EF25F5604}"/>
            </a:ext>
          </a:extLst>
        </xdr:cNvPr>
        <xdr:cNvPicPr>
          <a:picLocks noChangeAspect="1"/>
        </xdr:cNvPicPr>
      </xdr:nvPicPr>
      <xdr:blipFill>
        <a:blip xmlns:r="http://schemas.openxmlformats.org/officeDocument/2006/relationships" r:embed="rId2"/>
        <a:stretch>
          <a:fillRect/>
        </a:stretch>
      </xdr:blipFill>
      <xdr:spPr>
        <a:xfrm>
          <a:off x="21240749" y="14001749"/>
          <a:ext cx="12043687" cy="1211035"/>
        </a:xfrm>
        <a:prstGeom prst="rect">
          <a:avLst/>
        </a:prstGeom>
      </xdr:spPr>
    </xdr:pic>
    <xdr:clientData/>
  </xdr:twoCellAnchor>
  <xdr:twoCellAnchor editAs="oneCell">
    <xdr:from>
      <xdr:col>19</xdr:col>
      <xdr:colOff>563857</xdr:colOff>
      <xdr:row>26</xdr:row>
      <xdr:rowOff>0</xdr:rowOff>
    </xdr:from>
    <xdr:to>
      <xdr:col>37</xdr:col>
      <xdr:colOff>204107</xdr:colOff>
      <xdr:row>63</xdr:row>
      <xdr:rowOff>123629</xdr:rowOff>
    </xdr:to>
    <xdr:pic>
      <xdr:nvPicPr>
        <xdr:cNvPr id="4" name="図 3">
          <a:extLst>
            <a:ext uri="{FF2B5EF4-FFF2-40B4-BE49-F238E27FC236}">
              <a16:creationId xmlns:a16="http://schemas.microsoft.com/office/drawing/2014/main" id="{61C455E5-8D48-C9B1-78AC-74C9F7EB9089}"/>
            </a:ext>
          </a:extLst>
        </xdr:cNvPr>
        <xdr:cNvPicPr>
          <a:picLocks noChangeAspect="1"/>
        </xdr:cNvPicPr>
      </xdr:nvPicPr>
      <xdr:blipFill>
        <a:blip xmlns:r="http://schemas.openxmlformats.org/officeDocument/2006/relationships" r:embed="rId3"/>
        <a:stretch>
          <a:fillRect/>
        </a:stretch>
      </xdr:blipFill>
      <xdr:spPr>
        <a:xfrm>
          <a:off x="21246714" y="7375071"/>
          <a:ext cx="11886679" cy="6668665"/>
        </a:xfrm>
        <a:prstGeom prst="rect">
          <a:avLst/>
        </a:prstGeom>
      </xdr:spPr>
    </xdr:pic>
    <xdr:clientData/>
  </xdr:twoCellAnchor>
  <xdr:twoCellAnchor editAs="oneCell">
    <xdr:from>
      <xdr:col>20</xdr:col>
      <xdr:colOff>1</xdr:colOff>
      <xdr:row>2</xdr:row>
      <xdr:rowOff>44786</xdr:rowOff>
    </xdr:from>
    <xdr:to>
      <xdr:col>38</xdr:col>
      <xdr:colOff>13608</xdr:colOff>
      <xdr:row>22</xdr:row>
      <xdr:rowOff>164097</xdr:rowOff>
    </xdr:to>
    <xdr:pic>
      <xdr:nvPicPr>
        <xdr:cNvPr id="3" name="図 2">
          <a:extLst>
            <a:ext uri="{FF2B5EF4-FFF2-40B4-BE49-F238E27FC236}">
              <a16:creationId xmlns:a16="http://schemas.microsoft.com/office/drawing/2014/main" id="{ABE86ED5-1E48-0C90-A692-09B95AB98CE2}"/>
            </a:ext>
          </a:extLst>
        </xdr:cNvPr>
        <xdr:cNvPicPr>
          <a:picLocks noChangeAspect="1"/>
        </xdr:cNvPicPr>
      </xdr:nvPicPr>
      <xdr:blipFill>
        <a:blip xmlns:r="http://schemas.openxmlformats.org/officeDocument/2006/relationships" r:embed="rId4"/>
        <a:stretch>
          <a:fillRect/>
        </a:stretch>
      </xdr:blipFill>
      <xdr:spPr>
        <a:xfrm>
          <a:off x="21363215" y="412179"/>
          <a:ext cx="12260036" cy="6419418"/>
        </a:xfrm>
        <a:prstGeom prst="rect">
          <a:avLst/>
        </a:prstGeom>
      </xdr:spPr>
    </xdr:pic>
    <xdr:clientData/>
  </xdr:twoCellAnchor>
  <xdr:twoCellAnchor editAs="oneCell">
    <xdr:from>
      <xdr:col>44</xdr:col>
      <xdr:colOff>102430</xdr:colOff>
      <xdr:row>5</xdr:row>
      <xdr:rowOff>10886</xdr:rowOff>
    </xdr:from>
    <xdr:to>
      <xdr:col>78</xdr:col>
      <xdr:colOff>15012</xdr:colOff>
      <xdr:row>17</xdr:row>
      <xdr:rowOff>10885</xdr:rowOff>
    </xdr:to>
    <xdr:pic>
      <xdr:nvPicPr>
        <xdr:cNvPr id="11" name="図 10">
          <a:extLst>
            <a:ext uri="{FF2B5EF4-FFF2-40B4-BE49-F238E27FC236}">
              <a16:creationId xmlns:a16="http://schemas.microsoft.com/office/drawing/2014/main" id="{B8C1A872-987C-5EED-1BB8-5BA3FAC242CB}"/>
            </a:ext>
          </a:extLst>
        </xdr:cNvPr>
        <xdr:cNvPicPr>
          <a:picLocks noChangeAspect="1"/>
        </xdr:cNvPicPr>
      </xdr:nvPicPr>
      <xdr:blipFill>
        <a:blip xmlns:r="http://schemas.openxmlformats.org/officeDocument/2006/relationships" r:embed="rId5"/>
        <a:stretch>
          <a:fillRect/>
        </a:stretch>
      </xdr:blipFill>
      <xdr:spPr>
        <a:xfrm>
          <a:off x="33924344" y="892629"/>
          <a:ext cx="20638982" cy="4691742"/>
        </a:xfrm>
        <a:prstGeom prst="rect">
          <a:avLst/>
        </a:prstGeom>
      </xdr:spPr>
    </xdr:pic>
    <xdr:clientData/>
  </xdr:twoCellAnchor>
  <xdr:twoCellAnchor>
    <xdr:from>
      <xdr:col>42</xdr:col>
      <xdr:colOff>545930</xdr:colOff>
      <xdr:row>8</xdr:row>
      <xdr:rowOff>36452</xdr:rowOff>
    </xdr:from>
    <xdr:to>
      <xdr:col>50</xdr:col>
      <xdr:colOff>261858</xdr:colOff>
      <xdr:row>13</xdr:row>
      <xdr:rowOff>31689</xdr:rowOff>
    </xdr:to>
    <xdr:cxnSp macro="">
      <xdr:nvCxnSpPr>
        <xdr:cNvPr id="2" name="直線コネクタ 1">
          <a:extLst>
            <a:ext uri="{FF2B5EF4-FFF2-40B4-BE49-F238E27FC236}">
              <a16:creationId xmlns:a16="http://schemas.microsoft.com/office/drawing/2014/main" id="{00000000-0008-0000-0800-000002000000}"/>
            </a:ext>
          </a:extLst>
        </xdr:cNvPr>
        <xdr:cNvCxnSpPr>
          <a:stCxn id="8" idx="1"/>
          <a:endCxn id="18" idx="0"/>
        </xdr:cNvCxnSpPr>
      </xdr:nvCxnSpPr>
      <xdr:spPr>
        <a:xfrm flipH="1" flipV="1">
          <a:off x="33140480" y="3132077"/>
          <a:ext cx="4592728" cy="1862137"/>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205469</xdr:colOff>
      <xdr:row>32</xdr:row>
      <xdr:rowOff>57151</xdr:rowOff>
    </xdr:from>
    <xdr:to>
      <xdr:col>37</xdr:col>
      <xdr:colOff>176893</xdr:colOff>
      <xdr:row>38</xdr:row>
      <xdr:rowOff>85725</xdr:rowOff>
    </xdr:to>
    <xdr:sp macro="" textlink="">
      <xdr:nvSpPr>
        <xdr:cNvPr id="23" name="正方形/長方形 22">
          <a:extLst>
            <a:ext uri="{FF2B5EF4-FFF2-40B4-BE49-F238E27FC236}">
              <a16:creationId xmlns:a16="http://schemas.microsoft.com/office/drawing/2014/main" id="{00000000-0008-0000-0800-000017000000}"/>
            </a:ext>
          </a:extLst>
        </xdr:cNvPr>
        <xdr:cNvSpPr/>
      </xdr:nvSpPr>
      <xdr:spPr>
        <a:xfrm>
          <a:off x="30413326" y="8493580"/>
          <a:ext cx="2692853" cy="108993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284957</xdr:colOff>
      <xdr:row>24</xdr:row>
      <xdr:rowOff>164244</xdr:rowOff>
    </xdr:from>
    <xdr:to>
      <xdr:col>41</xdr:col>
      <xdr:colOff>295744</xdr:colOff>
      <xdr:row>29</xdr:row>
      <xdr:rowOff>117153</xdr:rowOff>
    </xdr:to>
    <xdr:sp macro="" textlink="">
      <xdr:nvSpPr>
        <xdr:cNvPr id="24" name="線吹き出し 1 (枠付き) 23">
          <a:extLst>
            <a:ext uri="{FF2B5EF4-FFF2-40B4-BE49-F238E27FC236}">
              <a16:creationId xmlns:a16="http://schemas.microsoft.com/office/drawing/2014/main" id="{00000000-0008-0000-0800-000018000000}"/>
            </a:ext>
          </a:extLst>
        </xdr:cNvPr>
        <xdr:cNvSpPr/>
      </xdr:nvSpPr>
      <xdr:spPr>
        <a:xfrm>
          <a:off x="33894600" y="7185530"/>
          <a:ext cx="2051858" cy="837373"/>
        </a:xfrm>
        <a:prstGeom prst="borderCallout1">
          <a:avLst>
            <a:gd name="adj1" fmla="val 52423"/>
            <a:gd name="adj2" fmla="val 83"/>
            <a:gd name="adj3" fmla="val 180849"/>
            <a:gd name="adj4" fmla="val -406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表示シンボルの切り替えは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25</xdr:col>
      <xdr:colOff>559253</xdr:colOff>
      <xdr:row>41</xdr:row>
      <xdr:rowOff>76451</xdr:rowOff>
    </xdr:from>
    <xdr:to>
      <xdr:col>27</xdr:col>
      <xdr:colOff>136072</xdr:colOff>
      <xdr:row>63</xdr:row>
      <xdr:rowOff>0</xdr:rowOff>
    </xdr:to>
    <xdr:sp macro="" textlink="">
      <xdr:nvSpPr>
        <xdr:cNvPr id="25" name="正方形/長方形 24">
          <a:extLst>
            <a:ext uri="{FF2B5EF4-FFF2-40B4-BE49-F238E27FC236}">
              <a16:creationId xmlns:a16="http://schemas.microsoft.com/office/drawing/2014/main" id="{00000000-0008-0000-0800-000019000000}"/>
            </a:ext>
          </a:extLst>
        </xdr:cNvPr>
        <xdr:cNvSpPr/>
      </xdr:nvSpPr>
      <xdr:spPr>
        <a:xfrm>
          <a:off x="25324253" y="10104915"/>
          <a:ext cx="937533" cy="381519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18746</xdr:colOff>
      <xdr:row>37</xdr:row>
      <xdr:rowOff>82403</xdr:rowOff>
    </xdr:from>
    <xdr:to>
      <xdr:col>30</xdr:col>
      <xdr:colOff>384544</xdr:colOff>
      <xdr:row>40</xdr:row>
      <xdr:rowOff>164465</xdr:rowOff>
    </xdr:to>
    <xdr:sp macro="" textlink="">
      <xdr:nvSpPr>
        <xdr:cNvPr id="26" name="線吹き出し 1 (枠付き) 25">
          <a:extLst>
            <a:ext uri="{FF2B5EF4-FFF2-40B4-BE49-F238E27FC236}">
              <a16:creationId xmlns:a16="http://schemas.microsoft.com/office/drawing/2014/main" id="{00000000-0008-0000-0800-00001A000000}"/>
            </a:ext>
          </a:extLst>
        </xdr:cNvPr>
        <xdr:cNvSpPr/>
      </xdr:nvSpPr>
      <xdr:spPr>
        <a:xfrm>
          <a:off x="26824817" y="9403296"/>
          <a:ext cx="1726513" cy="612740"/>
        </a:xfrm>
        <a:prstGeom prst="borderCallout1">
          <a:avLst>
            <a:gd name="adj1" fmla="val 52423"/>
            <a:gd name="adj2" fmla="val 83"/>
            <a:gd name="adj3" fmla="val 155175"/>
            <a:gd name="adj4" fmla="val -36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29</xdr:col>
      <xdr:colOff>455841</xdr:colOff>
      <xdr:row>64</xdr:row>
      <xdr:rowOff>149678</xdr:rowOff>
    </xdr:from>
    <xdr:to>
      <xdr:col>31</xdr:col>
      <xdr:colOff>353787</xdr:colOff>
      <xdr:row>68</xdr:row>
      <xdr:rowOff>244928</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a:off x="27942270" y="14246678"/>
          <a:ext cx="1258660" cy="8300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397328</xdr:colOff>
      <xdr:row>40</xdr:row>
      <xdr:rowOff>25528</xdr:rowOff>
    </xdr:from>
    <xdr:to>
      <xdr:col>31</xdr:col>
      <xdr:colOff>81643</xdr:colOff>
      <xdr:row>62</xdr:row>
      <xdr:rowOff>149679</xdr:rowOff>
    </xdr:to>
    <xdr:sp macro="" textlink="">
      <xdr:nvSpPr>
        <xdr:cNvPr id="64" name="正方形/長方形 63">
          <a:extLst>
            <a:ext uri="{FF2B5EF4-FFF2-40B4-BE49-F238E27FC236}">
              <a16:creationId xmlns:a16="http://schemas.microsoft.com/office/drawing/2014/main" id="{00000000-0008-0000-0800-000040000000}"/>
            </a:ext>
          </a:extLst>
        </xdr:cNvPr>
        <xdr:cNvSpPr/>
      </xdr:nvSpPr>
      <xdr:spPr>
        <a:xfrm>
          <a:off x="27883757" y="9877099"/>
          <a:ext cx="1045029" cy="401579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547914</xdr:colOff>
      <xdr:row>37</xdr:row>
      <xdr:rowOff>161270</xdr:rowOff>
    </xdr:from>
    <xdr:to>
      <xdr:col>34</xdr:col>
      <xdr:colOff>233356</xdr:colOff>
      <xdr:row>41</xdr:row>
      <xdr:rowOff>66438</xdr:rowOff>
    </xdr:to>
    <xdr:sp macro="" textlink="">
      <xdr:nvSpPr>
        <xdr:cNvPr id="65" name="線吹き出し 1 (枠付き) 64">
          <a:extLst>
            <a:ext uri="{FF2B5EF4-FFF2-40B4-BE49-F238E27FC236}">
              <a16:creationId xmlns:a16="http://schemas.microsoft.com/office/drawing/2014/main" id="{00000000-0008-0000-0800-000041000000}"/>
            </a:ext>
          </a:extLst>
        </xdr:cNvPr>
        <xdr:cNvSpPr/>
      </xdr:nvSpPr>
      <xdr:spPr>
        <a:xfrm>
          <a:off x="29395057" y="9482163"/>
          <a:ext cx="1726513" cy="612739"/>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477612</xdr:colOff>
      <xdr:row>65</xdr:row>
      <xdr:rowOff>66674</xdr:rowOff>
    </xdr:from>
    <xdr:to>
      <xdr:col>33</xdr:col>
      <xdr:colOff>503464</xdr:colOff>
      <xdr:row>68</xdr:row>
      <xdr:rowOff>190500</xdr:rowOff>
    </xdr:to>
    <xdr:sp macro="" textlink="">
      <xdr:nvSpPr>
        <xdr:cNvPr id="85" name="正方形/長方形 84">
          <a:extLst>
            <a:ext uri="{FF2B5EF4-FFF2-40B4-BE49-F238E27FC236}">
              <a16:creationId xmlns:a16="http://schemas.microsoft.com/office/drawing/2014/main" id="{00000000-0008-0000-0800-000055000000}"/>
            </a:ext>
          </a:extLst>
        </xdr:cNvPr>
        <xdr:cNvSpPr/>
      </xdr:nvSpPr>
      <xdr:spPr>
        <a:xfrm>
          <a:off x="21160469" y="14354174"/>
          <a:ext cx="9550852" cy="66811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528993</xdr:colOff>
      <xdr:row>68</xdr:row>
      <xdr:rowOff>135085</xdr:rowOff>
    </xdr:from>
    <xdr:to>
      <xdr:col>40</xdr:col>
      <xdr:colOff>156353</xdr:colOff>
      <xdr:row>70</xdr:row>
      <xdr:rowOff>898071</xdr:rowOff>
    </xdr:to>
    <xdr:sp macro="" textlink="">
      <xdr:nvSpPr>
        <xdr:cNvPr id="86" name="線吹き出し 1 (枠付き) 85">
          <a:extLst>
            <a:ext uri="{FF2B5EF4-FFF2-40B4-BE49-F238E27FC236}">
              <a16:creationId xmlns:a16="http://schemas.microsoft.com/office/drawing/2014/main" id="{00000000-0008-0000-0800-000056000000}"/>
            </a:ext>
          </a:extLst>
        </xdr:cNvPr>
        <xdr:cNvSpPr/>
      </xdr:nvSpPr>
      <xdr:spPr>
        <a:xfrm>
          <a:off x="30056493" y="14966871"/>
          <a:ext cx="5070217" cy="1620236"/>
        </a:xfrm>
        <a:prstGeom prst="borderCallout1">
          <a:avLst>
            <a:gd name="adj1" fmla="val 52423"/>
            <a:gd name="adj2" fmla="val 83"/>
            <a:gd name="adj3" fmla="val -9952"/>
            <a:gd name="adj4" fmla="val -18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中は前回値保持</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中は途絶状態を意識せず、</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通信ソフトから取得したデータをそのまま使用して判定する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65</xdr:col>
      <xdr:colOff>367073</xdr:colOff>
      <xdr:row>7</xdr:row>
      <xdr:rowOff>1170693</xdr:rowOff>
    </xdr:from>
    <xdr:to>
      <xdr:col>72</xdr:col>
      <xdr:colOff>485196</xdr:colOff>
      <xdr:row>8</xdr:row>
      <xdr:rowOff>1040433</xdr:rowOff>
    </xdr:to>
    <xdr:sp macro="" textlink="">
      <xdr:nvSpPr>
        <xdr:cNvPr id="13" name="線吹き出し 1 (枠付き) 12">
          <a:extLst>
            <a:ext uri="{FF2B5EF4-FFF2-40B4-BE49-F238E27FC236}">
              <a16:creationId xmlns:a16="http://schemas.microsoft.com/office/drawing/2014/main" id="{00000000-0008-0000-0800-00000D000000}"/>
            </a:ext>
          </a:extLst>
        </xdr:cNvPr>
        <xdr:cNvSpPr/>
      </xdr:nvSpPr>
      <xdr:spPr>
        <a:xfrm>
          <a:off x="46982423" y="2570868"/>
          <a:ext cx="4385323" cy="1565190"/>
        </a:xfrm>
        <a:prstGeom prst="borderCallout1">
          <a:avLst>
            <a:gd name="adj1" fmla="val 52423"/>
            <a:gd name="adj2" fmla="val 83"/>
            <a:gd name="adj3" fmla="val 144132"/>
            <a:gd name="adj4" fmla="val -816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のブレーキ警告灯判定と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表示判定は、ともに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信号送信条件となる信号で判定するため、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ただし、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表示は電源状態により表示可能なメッセージが異なるため、機能動作電源状態によって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651970</xdr:colOff>
      <xdr:row>9</xdr:row>
      <xdr:rowOff>168350</xdr:rowOff>
    </xdr:from>
    <xdr:to>
      <xdr:col>59</xdr:col>
      <xdr:colOff>232769</xdr:colOff>
      <xdr:row>13</xdr:row>
      <xdr:rowOff>121741</xdr:rowOff>
    </xdr:to>
    <xdr:sp macro="" textlink="">
      <xdr:nvSpPr>
        <xdr:cNvPr id="14" name="正方形/長方形 13">
          <a:extLst>
            <a:ext uri="{FF2B5EF4-FFF2-40B4-BE49-F238E27FC236}">
              <a16:creationId xmlns:a16="http://schemas.microsoft.com/office/drawing/2014/main" id="{00000000-0008-0000-0800-00000E000000}"/>
            </a:ext>
          </a:extLst>
        </xdr:cNvPr>
        <xdr:cNvSpPr/>
      </xdr:nvSpPr>
      <xdr:spPr>
        <a:xfrm>
          <a:off x="45827684" y="4536243"/>
          <a:ext cx="2302228" cy="66096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647832</xdr:colOff>
      <xdr:row>13</xdr:row>
      <xdr:rowOff>94914</xdr:rowOff>
    </xdr:from>
    <xdr:to>
      <xdr:col>59</xdr:col>
      <xdr:colOff>249103</xdr:colOff>
      <xdr:row>17</xdr:row>
      <xdr:rowOff>21998</xdr:rowOff>
    </xdr:to>
    <xdr:sp macro="" textlink="">
      <xdr:nvSpPr>
        <xdr:cNvPr id="15" name="正方形/長方形 14">
          <a:extLst>
            <a:ext uri="{FF2B5EF4-FFF2-40B4-BE49-F238E27FC236}">
              <a16:creationId xmlns:a16="http://schemas.microsoft.com/office/drawing/2014/main" id="{00000000-0008-0000-0800-00000F000000}"/>
            </a:ext>
          </a:extLst>
        </xdr:cNvPr>
        <xdr:cNvSpPr/>
      </xdr:nvSpPr>
      <xdr:spPr>
        <a:xfrm>
          <a:off x="45823546" y="5170378"/>
          <a:ext cx="2322700" cy="63465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384681</xdr:colOff>
      <xdr:row>18</xdr:row>
      <xdr:rowOff>159527</xdr:rowOff>
    </xdr:from>
    <xdr:to>
      <xdr:col>71</xdr:col>
      <xdr:colOff>346444</xdr:colOff>
      <xdr:row>25</xdr:row>
      <xdr:rowOff>76912</xdr:rowOff>
    </xdr:to>
    <xdr:sp macro="" textlink="">
      <xdr:nvSpPr>
        <xdr:cNvPr id="16" name="線吹き出し 1 (枠付き) 15">
          <a:extLst>
            <a:ext uri="{FF2B5EF4-FFF2-40B4-BE49-F238E27FC236}">
              <a16:creationId xmlns:a16="http://schemas.microsoft.com/office/drawing/2014/main" id="{00000000-0008-0000-0800-000010000000}"/>
            </a:ext>
          </a:extLst>
        </xdr:cNvPr>
        <xdr:cNvSpPr/>
      </xdr:nvSpPr>
      <xdr:spPr>
        <a:xfrm>
          <a:off x="47000031" y="5979302"/>
          <a:ext cx="3619363" cy="1117535"/>
        </a:xfrm>
        <a:prstGeom prst="borderCallout1">
          <a:avLst>
            <a:gd name="adj1" fmla="val 52423"/>
            <a:gd name="adj2" fmla="val 83"/>
            <a:gd name="adj3" fmla="val -46977"/>
            <a:gd name="adj4" fmla="val -989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回答から、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はシリアル通信実装対象外とし、個別モジュールとして設計する。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チケット：</a:t>
          </a:r>
        </a:p>
      </xdr:txBody>
    </xdr:sp>
    <xdr:clientData/>
  </xdr:twoCellAnchor>
  <xdr:twoCellAnchor>
    <xdr:from>
      <xdr:col>67</xdr:col>
      <xdr:colOff>76273</xdr:colOff>
      <xdr:row>22</xdr:row>
      <xdr:rowOff>101503</xdr:rowOff>
    </xdr:from>
    <xdr:to>
      <xdr:col>69</xdr:col>
      <xdr:colOff>306859</xdr:colOff>
      <xdr:row>24</xdr:row>
      <xdr:rowOff>99629</xdr:rowOff>
    </xdr:to>
    <xdr:sp macro="" textlink="">
      <xdr:nvSpPr>
        <xdr:cNvPr id="17" name="正方形/長方形 16">
          <a:hlinkClick xmlns:r="http://schemas.openxmlformats.org/officeDocument/2006/relationships" r:id="rId6"/>
          <a:extLst>
            <a:ext uri="{FF2B5EF4-FFF2-40B4-BE49-F238E27FC236}">
              <a16:creationId xmlns:a16="http://schemas.microsoft.com/office/drawing/2014/main" id="{00000000-0008-0000-0800-000011000000}"/>
            </a:ext>
          </a:extLst>
        </xdr:cNvPr>
        <xdr:cNvSpPr/>
      </xdr:nvSpPr>
      <xdr:spPr>
        <a:xfrm>
          <a:off x="47910823" y="6607078"/>
          <a:ext cx="1449786" cy="341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METHUD800B-6402</a:t>
          </a:r>
          <a:endParaRPr kumimoji="1" lang="ja-JP" altLang="en-US" sz="1100"/>
        </a:p>
      </xdr:txBody>
    </xdr:sp>
    <xdr:clientData/>
  </xdr:twoCellAnchor>
  <xdr:twoCellAnchor>
    <xdr:from>
      <xdr:col>37</xdr:col>
      <xdr:colOff>46497</xdr:colOff>
      <xdr:row>7</xdr:row>
      <xdr:rowOff>1294304</xdr:rowOff>
    </xdr:from>
    <xdr:to>
      <xdr:col>42</xdr:col>
      <xdr:colOff>545930</xdr:colOff>
      <xdr:row>8</xdr:row>
      <xdr:rowOff>474049</xdr:rowOff>
    </xdr:to>
    <xdr:sp macro="" textlink="">
      <xdr:nvSpPr>
        <xdr:cNvPr id="18" name="線吹き出し 1 (枠付き) 17">
          <a:extLst>
            <a:ext uri="{FF2B5EF4-FFF2-40B4-BE49-F238E27FC236}">
              <a16:creationId xmlns:a16="http://schemas.microsoft.com/office/drawing/2014/main" id="{00000000-0008-0000-0800-000012000000}"/>
            </a:ext>
          </a:extLst>
        </xdr:cNvPr>
        <xdr:cNvSpPr/>
      </xdr:nvSpPr>
      <xdr:spPr>
        <a:xfrm>
          <a:off x="29593047" y="2694479"/>
          <a:ext cx="3547433" cy="875195"/>
        </a:xfrm>
        <a:prstGeom prst="borderCallout1">
          <a:avLst>
            <a:gd name="adj1" fmla="val 151566"/>
            <a:gd name="adj2" fmla="val -30243"/>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有</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581025</xdr:colOff>
      <xdr:row>8</xdr:row>
      <xdr:rowOff>711654</xdr:rowOff>
    </xdr:from>
    <xdr:to>
      <xdr:col>38</xdr:col>
      <xdr:colOff>43542</xdr:colOff>
      <xdr:row>8</xdr:row>
      <xdr:rowOff>1027340</xdr:rowOff>
    </xdr:to>
    <xdr:sp macro="" textlink="">
      <xdr:nvSpPr>
        <xdr:cNvPr id="10" name="正方形/長方形 9">
          <a:extLst>
            <a:ext uri="{FF2B5EF4-FFF2-40B4-BE49-F238E27FC236}">
              <a16:creationId xmlns:a16="http://schemas.microsoft.com/office/drawing/2014/main" id="{00000000-0008-0000-0800-00000A000000}"/>
            </a:ext>
          </a:extLst>
        </xdr:cNvPr>
        <xdr:cNvSpPr/>
      </xdr:nvSpPr>
      <xdr:spPr>
        <a:xfrm>
          <a:off x="21263882" y="3868511"/>
          <a:ext cx="12389303" cy="31568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261858</xdr:colOff>
      <xdr:row>9</xdr:row>
      <xdr:rowOff>63378</xdr:rowOff>
    </xdr:from>
    <xdr:to>
      <xdr:col>51</xdr:col>
      <xdr:colOff>484413</xdr:colOff>
      <xdr:row>17</xdr:row>
      <xdr:rowOff>0</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37741372" y="4319692"/>
          <a:ext cx="832155" cy="125379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402771</xdr:colOff>
      <xdr:row>21</xdr:row>
      <xdr:rowOff>108857</xdr:rowOff>
    </xdr:from>
    <xdr:to>
      <xdr:col>13</xdr:col>
      <xdr:colOff>751113</xdr:colOff>
      <xdr:row>28</xdr:row>
      <xdr:rowOff>65314</xdr:rowOff>
    </xdr:to>
    <xdr:sp macro="" textlink="">
      <xdr:nvSpPr>
        <xdr:cNvPr id="117" name="線吹き出し 1 (枠付き) 116">
          <a:extLst>
            <a:ext uri="{FF2B5EF4-FFF2-40B4-BE49-F238E27FC236}">
              <a16:creationId xmlns:a16="http://schemas.microsoft.com/office/drawing/2014/main" id="{00000000-0008-0000-0800-000075000000}"/>
            </a:ext>
          </a:extLst>
        </xdr:cNvPr>
        <xdr:cNvSpPr/>
      </xdr:nvSpPr>
      <xdr:spPr>
        <a:xfrm>
          <a:off x="9318171" y="6346371"/>
          <a:ext cx="4441371" cy="1099457"/>
        </a:xfrm>
        <a:prstGeom prst="borderCallout1">
          <a:avLst>
            <a:gd name="adj1" fmla="val 52423"/>
            <a:gd name="adj2" fmla="val 83"/>
            <a:gd name="adj3" fmla="val -218353"/>
            <a:gd name="adj4" fmla="val -22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p>
      </xdr:txBody>
    </xdr:sp>
    <xdr:clientData/>
  </xdr:twoCellAnchor>
  <xdr:twoCellAnchor>
    <xdr:from>
      <xdr:col>7</xdr:col>
      <xdr:colOff>185056</xdr:colOff>
      <xdr:row>109</xdr:row>
      <xdr:rowOff>65314</xdr:rowOff>
    </xdr:from>
    <xdr:to>
      <xdr:col>11</xdr:col>
      <xdr:colOff>1142999</xdr:colOff>
      <xdr:row>113</xdr:row>
      <xdr:rowOff>119742</xdr:rowOff>
    </xdr:to>
    <xdr:sp macro="" textlink="">
      <xdr:nvSpPr>
        <xdr:cNvPr id="118" name="線吹き出し 1 (枠付き) 117">
          <a:extLst>
            <a:ext uri="{FF2B5EF4-FFF2-40B4-BE49-F238E27FC236}">
              <a16:creationId xmlns:a16="http://schemas.microsoft.com/office/drawing/2014/main" id="{00000000-0008-0000-0800-000076000000}"/>
            </a:ext>
          </a:extLst>
        </xdr:cNvPr>
        <xdr:cNvSpPr/>
      </xdr:nvSpPr>
      <xdr:spPr>
        <a:xfrm>
          <a:off x="7032170" y="36630428"/>
          <a:ext cx="3026229" cy="707571"/>
        </a:xfrm>
        <a:prstGeom prst="borderCallout1">
          <a:avLst>
            <a:gd name="adj1" fmla="val 52423"/>
            <a:gd name="adj2" fmla="val 83"/>
            <a:gd name="adj3" fmla="val -34382"/>
            <a:gd name="adj4" fmla="val -16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oneCell">
    <xdr:from>
      <xdr:col>42</xdr:col>
      <xdr:colOff>14968</xdr:colOff>
      <xdr:row>25</xdr:row>
      <xdr:rowOff>53067</xdr:rowOff>
    </xdr:from>
    <xdr:to>
      <xdr:col>64</xdr:col>
      <xdr:colOff>352425</xdr:colOff>
      <xdr:row>50</xdr:row>
      <xdr:rowOff>41521</xdr:rowOff>
    </xdr:to>
    <xdr:pic>
      <xdr:nvPicPr>
        <xdr:cNvPr id="22" name="図 21">
          <a:extLst>
            <a:ext uri="{FF2B5EF4-FFF2-40B4-BE49-F238E27FC236}">
              <a16:creationId xmlns:a16="http://schemas.microsoft.com/office/drawing/2014/main" id="{40802CB5-8A01-311B-EC9E-A7ECDD50EBDD}"/>
            </a:ext>
          </a:extLst>
        </xdr:cNvPr>
        <xdr:cNvPicPr>
          <a:picLocks noChangeAspect="1"/>
        </xdr:cNvPicPr>
      </xdr:nvPicPr>
      <xdr:blipFill>
        <a:blip xmlns:r="http://schemas.openxmlformats.org/officeDocument/2006/relationships" r:embed="rId7"/>
        <a:stretch>
          <a:fillRect/>
        </a:stretch>
      </xdr:blipFill>
      <xdr:spPr>
        <a:xfrm>
          <a:off x="32609518" y="7072992"/>
          <a:ext cx="13748657" cy="4285590"/>
        </a:xfrm>
        <a:prstGeom prst="rect">
          <a:avLst/>
        </a:prstGeom>
      </xdr:spPr>
    </xdr:pic>
    <xdr:clientData/>
  </xdr:twoCellAnchor>
  <xdr:twoCellAnchor editAs="oneCell">
    <xdr:from>
      <xdr:col>42</xdr:col>
      <xdr:colOff>25256</xdr:colOff>
      <xdr:row>49</xdr:row>
      <xdr:rowOff>161926</xdr:rowOff>
    </xdr:from>
    <xdr:to>
      <xdr:col>64</xdr:col>
      <xdr:colOff>361951</xdr:colOff>
      <xdr:row>65</xdr:row>
      <xdr:rowOff>31297</xdr:rowOff>
    </xdr:to>
    <xdr:pic>
      <xdr:nvPicPr>
        <xdr:cNvPr id="32" name="図 31">
          <a:extLst>
            <a:ext uri="{FF2B5EF4-FFF2-40B4-BE49-F238E27FC236}">
              <a16:creationId xmlns:a16="http://schemas.microsoft.com/office/drawing/2014/main" id="{7956C149-7601-9E79-4231-D34804C97B6A}"/>
            </a:ext>
          </a:extLst>
        </xdr:cNvPr>
        <xdr:cNvPicPr>
          <a:picLocks noChangeAspect="1"/>
        </xdr:cNvPicPr>
      </xdr:nvPicPr>
      <xdr:blipFill>
        <a:blip xmlns:r="http://schemas.openxmlformats.org/officeDocument/2006/relationships" r:embed="rId8"/>
        <a:stretch>
          <a:fillRect/>
        </a:stretch>
      </xdr:blipFill>
      <xdr:spPr>
        <a:xfrm>
          <a:off x="32619806" y="11334751"/>
          <a:ext cx="13747895" cy="2657474"/>
        </a:xfrm>
        <a:prstGeom prst="rect">
          <a:avLst/>
        </a:prstGeom>
      </xdr:spPr>
    </xdr:pic>
    <xdr:clientData/>
  </xdr:twoCellAnchor>
  <xdr:twoCellAnchor>
    <xdr:from>
      <xdr:col>22</xdr:col>
      <xdr:colOff>48986</xdr:colOff>
      <xdr:row>160</xdr:row>
      <xdr:rowOff>70756</xdr:rowOff>
    </xdr:from>
    <xdr:to>
      <xdr:col>44</xdr:col>
      <xdr:colOff>476250</xdr:colOff>
      <xdr:row>183</xdr:row>
      <xdr:rowOff>149677</xdr:rowOff>
    </xdr:to>
    <xdr:sp macro="" textlink="">
      <xdr:nvSpPr>
        <xdr:cNvPr id="221" name="正方形/長方形 220">
          <a:extLst>
            <a:ext uri="{FF2B5EF4-FFF2-40B4-BE49-F238E27FC236}">
              <a16:creationId xmlns:a16="http://schemas.microsoft.com/office/drawing/2014/main" id="{B1131AD1-F444-498A-B8DB-809743303E79}"/>
            </a:ext>
          </a:extLst>
        </xdr:cNvPr>
        <xdr:cNvSpPr/>
      </xdr:nvSpPr>
      <xdr:spPr>
        <a:xfrm>
          <a:off x="22772915" y="38932756"/>
          <a:ext cx="15395121" cy="414745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488497</xdr:colOff>
      <xdr:row>117</xdr:row>
      <xdr:rowOff>176894</xdr:rowOff>
    </xdr:from>
    <xdr:to>
      <xdr:col>21</xdr:col>
      <xdr:colOff>476250</xdr:colOff>
      <xdr:row>121</xdr:row>
      <xdr:rowOff>39564</xdr:rowOff>
    </xdr:to>
    <xdr:sp macro="" textlink="">
      <xdr:nvSpPr>
        <xdr:cNvPr id="225" name="線吹き出し 1 (枠付き) 95">
          <a:extLst>
            <a:ext uri="{FF2B5EF4-FFF2-40B4-BE49-F238E27FC236}">
              <a16:creationId xmlns:a16="http://schemas.microsoft.com/office/drawing/2014/main" id="{CD8EEDBC-94C6-4658-9B13-059A27D0D9BF}"/>
            </a:ext>
          </a:extLst>
        </xdr:cNvPr>
        <xdr:cNvSpPr/>
      </xdr:nvSpPr>
      <xdr:spPr>
        <a:xfrm>
          <a:off x="21171354" y="27813001"/>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No.4,5</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326571</xdr:colOff>
      <xdr:row>1</xdr:row>
      <xdr:rowOff>108857</xdr:rowOff>
    </xdr:from>
    <xdr:to>
      <xdr:col>43</xdr:col>
      <xdr:colOff>260237</xdr:colOff>
      <xdr:row>7</xdr:row>
      <xdr:rowOff>1003344</xdr:rowOff>
    </xdr:to>
    <xdr:sp macro="" textlink="">
      <xdr:nvSpPr>
        <xdr:cNvPr id="9" name="線吹き出し 1 (枠付き) 17">
          <a:extLst>
            <a:ext uri="{FF2B5EF4-FFF2-40B4-BE49-F238E27FC236}">
              <a16:creationId xmlns:a16="http://schemas.microsoft.com/office/drawing/2014/main" id="{0094B4DA-BADB-492D-AA7C-5BD14BB3DF06}"/>
            </a:ext>
          </a:extLst>
        </xdr:cNvPr>
        <xdr:cNvSpPr/>
      </xdr:nvSpPr>
      <xdr:spPr>
        <a:xfrm>
          <a:off x="34616571" y="285750"/>
          <a:ext cx="2655095" cy="2146344"/>
        </a:xfrm>
        <a:prstGeom prst="borderCallout1">
          <a:avLst>
            <a:gd name="adj1" fmla="val 50805"/>
            <a:gd name="adj2" fmla="val 99186"/>
            <a:gd name="adj3" fmla="val 79607"/>
            <a:gd name="adj4" fmla="val 123422"/>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は変更しない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oneCell">
    <xdr:from>
      <xdr:col>17</xdr:col>
      <xdr:colOff>639536</xdr:colOff>
      <xdr:row>70</xdr:row>
      <xdr:rowOff>1088571</xdr:rowOff>
    </xdr:from>
    <xdr:to>
      <xdr:col>37</xdr:col>
      <xdr:colOff>234560</xdr:colOff>
      <xdr:row>80</xdr:row>
      <xdr:rowOff>72728</xdr:rowOff>
    </xdr:to>
    <xdr:pic>
      <xdr:nvPicPr>
        <xdr:cNvPr id="12" name="図 11">
          <a:extLst>
            <a:ext uri="{FF2B5EF4-FFF2-40B4-BE49-F238E27FC236}">
              <a16:creationId xmlns:a16="http://schemas.microsoft.com/office/drawing/2014/main" id="{73649C28-C934-A7AB-924A-8E00109A2FE6}"/>
            </a:ext>
          </a:extLst>
        </xdr:cNvPr>
        <xdr:cNvPicPr>
          <a:picLocks noChangeAspect="1"/>
        </xdr:cNvPicPr>
      </xdr:nvPicPr>
      <xdr:blipFill>
        <a:blip xmlns:r="http://schemas.openxmlformats.org/officeDocument/2006/relationships" r:embed="rId9"/>
        <a:stretch>
          <a:fillRect/>
        </a:stretch>
      </xdr:blipFill>
      <xdr:spPr>
        <a:xfrm>
          <a:off x="19703143" y="16777607"/>
          <a:ext cx="13460703" cy="4372585"/>
        </a:xfrm>
        <a:prstGeom prst="rect">
          <a:avLst/>
        </a:prstGeom>
      </xdr:spPr>
    </xdr:pic>
    <xdr:clientData/>
  </xdr:twoCellAnchor>
  <xdr:twoCellAnchor>
    <xdr:from>
      <xdr:col>26</xdr:col>
      <xdr:colOff>272144</xdr:colOff>
      <xdr:row>71</xdr:row>
      <xdr:rowOff>258536</xdr:rowOff>
    </xdr:from>
    <xdr:to>
      <xdr:col>27</xdr:col>
      <xdr:colOff>581199</xdr:colOff>
      <xdr:row>73</xdr:row>
      <xdr:rowOff>31476</xdr:rowOff>
    </xdr:to>
    <xdr:sp macro="" textlink="">
      <xdr:nvSpPr>
        <xdr:cNvPr id="31" name="正方形/長方形 30">
          <a:extLst>
            <a:ext uri="{FF2B5EF4-FFF2-40B4-BE49-F238E27FC236}">
              <a16:creationId xmlns:a16="http://schemas.microsoft.com/office/drawing/2014/main" id="{CBB8240C-348C-43CE-BFD7-F9B57AC48726}"/>
            </a:ext>
          </a:extLst>
        </xdr:cNvPr>
        <xdr:cNvSpPr/>
      </xdr:nvSpPr>
      <xdr:spPr>
        <a:xfrm>
          <a:off x="25717501" y="17675679"/>
          <a:ext cx="989412" cy="219501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260300</xdr:colOff>
      <xdr:row>70</xdr:row>
      <xdr:rowOff>1360714</xdr:rowOff>
    </xdr:from>
    <xdr:to>
      <xdr:col>30</xdr:col>
      <xdr:colOff>555341</xdr:colOff>
      <xdr:row>71</xdr:row>
      <xdr:rowOff>238861</xdr:rowOff>
    </xdr:to>
    <xdr:sp macro="" textlink="">
      <xdr:nvSpPr>
        <xdr:cNvPr id="34" name="線吹き出し 1 (枠付き) 52">
          <a:extLst>
            <a:ext uri="{FF2B5EF4-FFF2-40B4-BE49-F238E27FC236}">
              <a16:creationId xmlns:a16="http://schemas.microsoft.com/office/drawing/2014/main" id="{3E786C5D-97C2-457F-A6B7-E7C775207CFC}"/>
            </a:ext>
          </a:extLst>
        </xdr:cNvPr>
        <xdr:cNvSpPr/>
      </xdr:nvSpPr>
      <xdr:spPr>
        <a:xfrm>
          <a:off x="27066371" y="17049750"/>
          <a:ext cx="1655756" cy="606254"/>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30</xdr:col>
      <xdr:colOff>141687</xdr:colOff>
      <xdr:row>75</xdr:row>
      <xdr:rowOff>44871</xdr:rowOff>
    </xdr:from>
    <xdr:to>
      <xdr:col>32</xdr:col>
      <xdr:colOff>285750</xdr:colOff>
      <xdr:row>80</xdr:row>
      <xdr:rowOff>0</xdr:rowOff>
    </xdr:to>
    <xdr:sp macro="" textlink="">
      <xdr:nvSpPr>
        <xdr:cNvPr id="48" name="正方形/長方形 47">
          <a:extLst>
            <a:ext uri="{FF2B5EF4-FFF2-40B4-BE49-F238E27FC236}">
              <a16:creationId xmlns:a16="http://schemas.microsoft.com/office/drawing/2014/main" id="{031FD0FD-6F6A-4B56-8259-7745C73D6E4F}"/>
            </a:ext>
          </a:extLst>
        </xdr:cNvPr>
        <xdr:cNvSpPr/>
      </xdr:nvSpPr>
      <xdr:spPr>
        <a:xfrm>
          <a:off x="28308473" y="20237871"/>
          <a:ext cx="1504777" cy="83959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143047</xdr:colOff>
      <xdr:row>71</xdr:row>
      <xdr:rowOff>312964</xdr:rowOff>
    </xdr:from>
    <xdr:to>
      <xdr:col>32</xdr:col>
      <xdr:colOff>299357</xdr:colOff>
      <xdr:row>73</xdr:row>
      <xdr:rowOff>564</xdr:rowOff>
    </xdr:to>
    <xdr:sp macro="" textlink="">
      <xdr:nvSpPr>
        <xdr:cNvPr id="49" name="正方形/長方形 48">
          <a:extLst>
            <a:ext uri="{FF2B5EF4-FFF2-40B4-BE49-F238E27FC236}">
              <a16:creationId xmlns:a16="http://schemas.microsoft.com/office/drawing/2014/main" id="{724EBDF7-81BA-4B8E-8BE2-EF47719E298F}"/>
            </a:ext>
          </a:extLst>
        </xdr:cNvPr>
        <xdr:cNvSpPr/>
      </xdr:nvSpPr>
      <xdr:spPr>
        <a:xfrm>
          <a:off x="28309833" y="17730107"/>
          <a:ext cx="1517024" cy="210967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366847</xdr:colOff>
      <xdr:row>70</xdr:row>
      <xdr:rowOff>1375233</xdr:rowOff>
    </xdr:from>
    <xdr:to>
      <xdr:col>34</xdr:col>
      <xdr:colOff>661888</xdr:colOff>
      <xdr:row>71</xdr:row>
      <xdr:rowOff>265308</xdr:rowOff>
    </xdr:to>
    <xdr:sp macro="" textlink="">
      <xdr:nvSpPr>
        <xdr:cNvPr id="50" name="線吹き出し 1 (枠付き) 58">
          <a:extLst>
            <a:ext uri="{FF2B5EF4-FFF2-40B4-BE49-F238E27FC236}">
              <a16:creationId xmlns:a16="http://schemas.microsoft.com/office/drawing/2014/main" id="{575C5EDC-24A1-47C8-8A55-280645E7DCCF}"/>
            </a:ext>
          </a:extLst>
        </xdr:cNvPr>
        <xdr:cNvSpPr/>
      </xdr:nvSpPr>
      <xdr:spPr>
        <a:xfrm>
          <a:off x="29894347" y="17064269"/>
          <a:ext cx="1655755" cy="618182"/>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21081</xdr:colOff>
      <xdr:row>80</xdr:row>
      <xdr:rowOff>27601</xdr:rowOff>
    </xdr:from>
    <xdr:to>
      <xdr:col>40</xdr:col>
      <xdr:colOff>426733</xdr:colOff>
      <xdr:row>88</xdr:row>
      <xdr:rowOff>72112</xdr:rowOff>
    </xdr:to>
    <xdr:sp macro="" textlink="">
      <xdr:nvSpPr>
        <xdr:cNvPr id="51" name="線吹き出し 1 (枠付き) 91">
          <a:extLst>
            <a:ext uri="{FF2B5EF4-FFF2-40B4-BE49-F238E27FC236}">
              <a16:creationId xmlns:a16="http://schemas.microsoft.com/office/drawing/2014/main" id="{A2009BD2-AEB1-4DB8-9700-5C0F6BC29457}"/>
            </a:ext>
          </a:extLst>
        </xdr:cNvPr>
        <xdr:cNvSpPr/>
      </xdr:nvSpPr>
      <xdr:spPr>
        <a:xfrm>
          <a:off x="30228938" y="21105065"/>
          <a:ext cx="5168152" cy="1459654"/>
        </a:xfrm>
        <a:prstGeom prst="borderCallout1">
          <a:avLst>
            <a:gd name="adj1" fmla="val 52423"/>
            <a:gd name="adj2" fmla="val 83"/>
            <a:gd name="adj3" fmla="val 149"/>
            <a:gd name="adj4" fmla="val -8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中は前固定値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関わらず、途絶時は非吹鳴とする。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41</xdr:col>
      <xdr:colOff>176893</xdr:colOff>
      <xdr:row>69</xdr:row>
      <xdr:rowOff>312963</xdr:rowOff>
    </xdr:from>
    <xdr:to>
      <xdr:col>63</xdr:col>
      <xdr:colOff>584741</xdr:colOff>
      <xdr:row>80</xdr:row>
      <xdr:rowOff>27913</xdr:rowOff>
    </xdr:to>
    <xdr:pic>
      <xdr:nvPicPr>
        <xdr:cNvPr id="57" name="図 56">
          <a:extLst>
            <a:ext uri="{FF2B5EF4-FFF2-40B4-BE49-F238E27FC236}">
              <a16:creationId xmlns:a16="http://schemas.microsoft.com/office/drawing/2014/main" id="{5C6979C8-786C-47E5-B945-911289796721}"/>
            </a:ext>
          </a:extLst>
        </xdr:cNvPr>
        <xdr:cNvPicPr>
          <a:picLocks noChangeAspect="1"/>
        </xdr:cNvPicPr>
      </xdr:nvPicPr>
      <xdr:blipFill>
        <a:blip xmlns:r="http://schemas.openxmlformats.org/officeDocument/2006/relationships" r:embed="rId10"/>
        <a:stretch>
          <a:fillRect/>
        </a:stretch>
      </xdr:blipFill>
      <xdr:spPr>
        <a:xfrm>
          <a:off x="35827607" y="15661820"/>
          <a:ext cx="15375705" cy="5443557"/>
        </a:xfrm>
        <a:prstGeom prst="rect">
          <a:avLst/>
        </a:prstGeom>
      </xdr:spPr>
    </xdr:pic>
    <xdr:clientData/>
  </xdr:twoCellAnchor>
  <xdr:twoCellAnchor editAs="oneCell">
    <xdr:from>
      <xdr:col>22</xdr:col>
      <xdr:colOff>-1</xdr:colOff>
      <xdr:row>92</xdr:row>
      <xdr:rowOff>0</xdr:rowOff>
    </xdr:from>
    <xdr:to>
      <xdr:col>45</xdr:col>
      <xdr:colOff>1125</xdr:colOff>
      <xdr:row>122</xdr:row>
      <xdr:rowOff>1183822</xdr:rowOff>
    </xdr:to>
    <xdr:pic>
      <xdr:nvPicPr>
        <xdr:cNvPr id="66" name="図 65">
          <a:extLst>
            <a:ext uri="{FF2B5EF4-FFF2-40B4-BE49-F238E27FC236}">
              <a16:creationId xmlns:a16="http://schemas.microsoft.com/office/drawing/2014/main" id="{63855DF8-E6A1-CEB8-6540-722447D74CCB}"/>
            </a:ext>
          </a:extLst>
        </xdr:cNvPr>
        <xdr:cNvPicPr>
          <a:picLocks noChangeAspect="1"/>
        </xdr:cNvPicPr>
      </xdr:nvPicPr>
      <xdr:blipFill>
        <a:blip xmlns:r="http://schemas.openxmlformats.org/officeDocument/2006/relationships" r:embed="rId11"/>
        <a:stretch>
          <a:fillRect/>
        </a:stretch>
      </xdr:blipFill>
      <xdr:spPr>
        <a:xfrm>
          <a:off x="22723928" y="23200179"/>
          <a:ext cx="15649340" cy="6681107"/>
        </a:xfrm>
        <a:prstGeom prst="rect">
          <a:avLst/>
        </a:prstGeom>
      </xdr:spPr>
    </xdr:pic>
    <xdr:clientData/>
  </xdr:twoCellAnchor>
  <xdr:twoCellAnchor editAs="oneCell">
    <xdr:from>
      <xdr:col>22</xdr:col>
      <xdr:colOff>27213</xdr:colOff>
      <xdr:row>122</xdr:row>
      <xdr:rowOff>1197428</xdr:rowOff>
    </xdr:from>
    <xdr:to>
      <xdr:col>45</xdr:col>
      <xdr:colOff>20646</xdr:colOff>
      <xdr:row>144</xdr:row>
      <xdr:rowOff>54429</xdr:rowOff>
    </xdr:to>
    <xdr:pic>
      <xdr:nvPicPr>
        <xdr:cNvPr id="73" name="図 72">
          <a:extLst>
            <a:ext uri="{FF2B5EF4-FFF2-40B4-BE49-F238E27FC236}">
              <a16:creationId xmlns:a16="http://schemas.microsoft.com/office/drawing/2014/main" id="{ADC815C7-B944-B0D9-47D0-0C322885B805}"/>
            </a:ext>
          </a:extLst>
        </xdr:cNvPr>
        <xdr:cNvPicPr>
          <a:picLocks noChangeAspect="1"/>
        </xdr:cNvPicPr>
      </xdr:nvPicPr>
      <xdr:blipFill>
        <a:blip xmlns:r="http://schemas.openxmlformats.org/officeDocument/2006/relationships" r:embed="rId12"/>
        <a:stretch>
          <a:fillRect/>
        </a:stretch>
      </xdr:blipFill>
      <xdr:spPr>
        <a:xfrm>
          <a:off x="22751142" y="29894892"/>
          <a:ext cx="15641647" cy="6191251"/>
        </a:xfrm>
        <a:prstGeom prst="rect">
          <a:avLst/>
        </a:prstGeom>
      </xdr:spPr>
    </xdr:pic>
    <xdr:clientData/>
  </xdr:twoCellAnchor>
  <xdr:twoCellAnchor>
    <xdr:from>
      <xdr:col>21</xdr:col>
      <xdr:colOff>653143</xdr:colOff>
      <xdr:row>118</xdr:row>
      <xdr:rowOff>95250</xdr:rowOff>
    </xdr:from>
    <xdr:to>
      <xdr:col>44</xdr:col>
      <xdr:colOff>381000</xdr:colOff>
      <xdr:row>122</xdr:row>
      <xdr:rowOff>489857</xdr:rowOff>
    </xdr:to>
    <xdr:sp macro="" textlink="">
      <xdr:nvSpPr>
        <xdr:cNvPr id="78" name="正方形/長方形 77">
          <a:extLst>
            <a:ext uri="{FF2B5EF4-FFF2-40B4-BE49-F238E27FC236}">
              <a16:creationId xmlns:a16="http://schemas.microsoft.com/office/drawing/2014/main" id="{58D99E2E-EB54-43E8-828F-D8645663AA54}"/>
            </a:ext>
          </a:extLst>
        </xdr:cNvPr>
        <xdr:cNvSpPr/>
      </xdr:nvSpPr>
      <xdr:spPr>
        <a:xfrm>
          <a:off x="22696714" y="27921857"/>
          <a:ext cx="15376072" cy="126546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40821</xdr:colOff>
      <xdr:row>123</xdr:row>
      <xdr:rowOff>217714</xdr:rowOff>
    </xdr:from>
    <xdr:to>
      <xdr:col>44</xdr:col>
      <xdr:colOff>517071</xdr:colOff>
      <xdr:row>123</xdr:row>
      <xdr:rowOff>944336</xdr:rowOff>
    </xdr:to>
    <xdr:sp macro="" textlink="">
      <xdr:nvSpPr>
        <xdr:cNvPr id="81" name="正方形/長方形 80">
          <a:extLst>
            <a:ext uri="{FF2B5EF4-FFF2-40B4-BE49-F238E27FC236}">
              <a16:creationId xmlns:a16="http://schemas.microsoft.com/office/drawing/2014/main" id="{5009FEB5-DF4C-4BD8-9056-39D726B7AA57}"/>
            </a:ext>
          </a:extLst>
        </xdr:cNvPr>
        <xdr:cNvSpPr/>
      </xdr:nvSpPr>
      <xdr:spPr>
        <a:xfrm>
          <a:off x="22764750" y="30643285"/>
          <a:ext cx="15444107" cy="7266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13607</xdr:colOff>
      <xdr:row>123</xdr:row>
      <xdr:rowOff>1741713</xdr:rowOff>
    </xdr:from>
    <xdr:to>
      <xdr:col>44</xdr:col>
      <xdr:colOff>489857</xdr:colOff>
      <xdr:row>132</xdr:row>
      <xdr:rowOff>68036</xdr:rowOff>
    </xdr:to>
    <xdr:sp macro="" textlink="">
      <xdr:nvSpPr>
        <xdr:cNvPr id="82" name="正方形/長方形 81">
          <a:extLst>
            <a:ext uri="{FF2B5EF4-FFF2-40B4-BE49-F238E27FC236}">
              <a16:creationId xmlns:a16="http://schemas.microsoft.com/office/drawing/2014/main" id="{563E5710-8D4B-4D31-BEA7-18E0D5226889}"/>
            </a:ext>
          </a:extLst>
        </xdr:cNvPr>
        <xdr:cNvSpPr/>
      </xdr:nvSpPr>
      <xdr:spPr>
        <a:xfrm>
          <a:off x="22737536" y="32167284"/>
          <a:ext cx="15444107" cy="180975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639536</xdr:colOff>
      <xdr:row>136</xdr:row>
      <xdr:rowOff>40822</xdr:rowOff>
    </xdr:from>
    <xdr:to>
      <xdr:col>44</xdr:col>
      <xdr:colOff>476250</xdr:colOff>
      <xdr:row>140</xdr:row>
      <xdr:rowOff>59872</xdr:rowOff>
    </xdr:to>
    <xdr:sp macro="" textlink="">
      <xdr:nvSpPr>
        <xdr:cNvPr id="89" name="正方形/長方形 88">
          <a:extLst>
            <a:ext uri="{FF2B5EF4-FFF2-40B4-BE49-F238E27FC236}">
              <a16:creationId xmlns:a16="http://schemas.microsoft.com/office/drawing/2014/main" id="{1F0AE7EE-63E1-4D2A-9251-8F421F68D1AC}"/>
            </a:ext>
          </a:extLst>
        </xdr:cNvPr>
        <xdr:cNvSpPr/>
      </xdr:nvSpPr>
      <xdr:spPr>
        <a:xfrm>
          <a:off x="22683107" y="34657393"/>
          <a:ext cx="15484929" cy="7266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544285</xdr:colOff>
      <xdr:row>122</xdr:row>
      <xdr:rowOff>1673678</xdr:rowOff>
    </xdr:from>
    <xdr:to>
      <xdr:col>21</xdr:col>
      <xdr:colOff>532038</xdr:colOff>
      <xdr:row>123</xdr:row>
      <xdr:rowOff>529420</xdr:rowOff>
    </xdr:to>
    <xdr:sp macro="" textlink="">
      <xdr:nvSpPr>
        <xdr:cNvPr id="95" name="線吹き出し 1 (枠付き) 95">
          <a:extLst>
            <a:ext uri="{FF2B5EF4-FFF2-40B4-BE49-F238E27FC236}">
              <a16:creationId xmlns:a16="http://schemas.microsoft.com/office/drawing/2014/main" id="{BA983588-FB7C-4A1E-82FB-D4A10D041751}"/>
            </a:ext>
          </a:extLst>
        </xdr:cNvPr>
        <xdr:cNvSpPr/>
      </xdr:nvSpPr>
      <xdr:spPr>
        <a:xfrm>
          <a:off x="21227142" y="30371142"/>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No.8</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612321</xdr:colOff>
      <xdr:row>123</xdr:row>
      <xdr:rowOff>2027465</xdr:rowOff>
    </xdr:from>
    <xdr:to>
      <xdr:col>21</xdr:col>
      <xdr:colOff>600074</xdr:colOff>
      <xdr:row>127</xdr:row>
      <xdr:rowOff>12349</xdr:rowOff>
    </xdr:to>
    <xdr:sp macro="" textlink="">
      <xdr:nvSpPr>
        <xdr:cNvPr id="97" name="線吹き出し 1 (枠付き) 95">
          <a:extLst>
            <a:ext uri="{FF2B5EF4-FFF2-40B4-BE49-F238E27FC236}">
              <a16:creationId xmlns:a16="http://schemas.microsoft.com/office/drawing/2014/main" id="{9D3E9428-816B-4789-9C11-8E227AFEFF50}"/>
            </a:ext>
          </a:extLst>
        </xdr:cNvPr>
        <xdr:cNvSpPr/>
      </xdr:nvSpPr>
      <xdr:spPr>
        <a:xfrm>
          <a:off x="21295178" y="32453036"/>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No.10,11</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503464</xdr:colOff>
      <xdr:row>134</xdr:row>
      <xdr:rowOff>40821</xdr:rowOff>
    </xdr:from>
    <xdr:to>
      <xdr:col>21</xdr:col>
      <xdr:colOff>491217</xdr:colOff>
      <xdr:row>137</xdr:row>
      <xdr:rowOff>93992</xdr:rowOff>
    </xdr:to>
    <xdr:sp macro="" textlink="">
      <xdr:nvSpPr>
        <xdr:cNvPr id="98" name="線吹き出し 1 (枠付き) 95">
          <a:extLst>
            <a:ext uri="{FF2B5EF4-FFF2-40B4-BE49-F238E27FC236}">
              <a16:creationId xmlns:a16="http://schemas.microsoft.com/office/drawing/2014/main" id="{88AF341B-E81A-4E94-AFB3-5B84AE56F3B9}"/>
            </a:ext>
          </a:extLst>
        </xdr:cNvPr>
        <xdr:cNvSpPr/>
      </xdr:nvSpPr>
      <xdr:spPr>
        <a:xfrm>
          <a:off x="21186321" y="34303607"/>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No.13</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598714</xdr:colOff>
      <xdr:row>163</xdr:row>
      <xdr:rowOff>54428</xdr:rowOff>
    </xdr:from>
    <xdr:to>
      <xdr:col>21</xdr:col>
      <xdr:colOff>586467</xdr:colOff>
      <xdr:row>166</xdr:row>
      <xdr:rowOff>107599</xdr:rowOff>
    </xdr:to>
    <xdr:sp macro="" textlink="">
      <xdr:nvSpPr>
        <xdr:cNvPr id="99" name="線吹き出し 1 (枠付き) 95">
          <a:extLst>
            <a:ext uri="{FF2B5EF4-FFF2-40B4-BE49-F238E27FC236}">
              <a16:creationId xmlns:a16="http://schemas.microsoft.com/office/drawing/2014/main" id="{16949886-D9F7-497A-AA26-43E9D3423860}"/>
            </a:ext>
          </a:extLst>
        </xdr:cNvPr>
        <xdr:cNvSpPr/>
      </xdr:nvSpPr>
      <xdr:spPr>
        <a:xfrm>
          <a:off x="21281571" y="39447107"/>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p>
      </xdr:txBody>
    </xdr:sp>
    <xdr:clientData/>
  </xdr:twoCellAnchor>
  <xdr:twoCellAnchor>
    <xdr:from>
      <xdr:col>12</xdr:col>
      <xdr:colOff>476251</xdr:colOff>
      <xdr:row>181</xdr:row>
      <xdr:rowOff>13256</xdr:rowOff>
    </xdr:from>
    <xdr:to>
      <xdr:col>17</xdr:col>
      <xdr:colOff>272700</xdr:colOff>
      <xdr:row>186</xdr:row>
      <xdr:rowOff>74483</xdr:rowOff>
    </xdr:to>
    <xdr:sp macro="" textlink="">
      <xdr:nvSpPr>
        <xdr:cNvPr id="100" name="正方形/長方形 99">
          <a:extLst>
            <a:ext uri="{FF2B5EF4-FFF2-40B4-BE49-F238E27FC236}">
              <a16:creationId xmlns:a16="http://schemas.microsoft.com/office/drawing/2014/main" id="{424CA204-BBFC-4778-A3BB-5FE22E9A8D68}"/>
            </a:ext>
          </a:extLst>
        </xdr:cNvPr>
        <xdr:cNvSpPr/>
      </xdr:nvSpPr>
      <xdr:spPr>
        <a:xfrm>
          <a:off x="12763501" y="42590006"/>
          <a:ext cx="6572806" cy="9456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615501</xdr:colOff>
      <xdr:row>178</xdr:row>
      <xdr:rowOff>163286</xdr:rowOff>
    </xdr:from>
    <xdr:to>
      <xdr:col>20</xdr:col>
      <xdr:colOff>421579</xdr:colOff>
      <xdr:row>181</xdr:row>
      <xdr:rowOff>144479</xdr:rowOff>
    </xdr:to>
    <xdr:sp macro="" textlink="">
      <xdr:nvSpPr>
        <xdr:cNvPr id="101" name="線吹き出し 1 (枠付き) 83">
          <a:extLst>
            <a:ext uri="{FF2B5EF4-FFF2-40B4-BE49-F238E27FC236}">
              <a16:creationId xmlns:a16="http://schemas.microsoft.com/office/drawing/2014/main" id="{52104427-A619-4C51-9943-F072A25887BE}"/>
            </a:ext>
          </a:extLst>
        </xdr:cNvPr>
        <xdr:cNvSpPr/>
      </xdr:nvSpPr>
      <xdr:spPr>
        <a:xfrm>
          <a:off x="19679108" y="42209357"/>
          <a:ext cx="2105685" cy="511872"/>
        </a:xfrm>
        <a:prstGeom prst="borderCallout1">
          <a:avLst>
            <a:gd name="adj1" fmla="val 52423"/>
            <a:gd name="adj2" fmla="val 83"/>
            <a:gd name="adj3" fmla="val 119871"/>
            <a:gd name="adj4" fmla="val -199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571503</xdr:colOff>
      <xdr:row>181</xdr:row>
      <xdr:rowOff>63604</xdr:rowOff>
    </xdr:from>
    <xdr:to>
      <xdr:col>13</xdr:col>
      <xdr:colOff>1251585</xdr:colOff>
      <xdr:row>186</xdr:row>
      <xdr:rowOff>35029</xdr:rowOff>
    </xdr:to>
    <xdr:pic>
      <xdr:nvPicPr>
        <xdr:cNvPr id="102" name="図 101">
          <a:extLst>
            <a:ext uri="{FF2B5EF4-FFF2-40B4-BE49-F238E27FC236}">
              <a16:creationId xmlns:a16="http://schemas.microsoft.com/office/drawing/2014/main" id="{7D6E9006-CE79-4FB5-9747-3750A153387D}"/>
            </a:ext>
          </a:extLst>
        </xdr:cNvPr>
        <xdr:cNvPicPr>
          <a:picLocks noChangeAspect="1"/>
        </xdr:cNvPicPr>
      </xdr:nvPicPr>
      <xdr:blipFill>
        <a:blip xmlns:r="http://schemas.openxmlformats.org/officeDocument/2006/relationships" r:embed="rId13"/>
        <a:stretch>
          <a:fillRect/>
        </a:stretch>
      </xdr:blipFill>
      <xdr:spPr>
        <a:xfrm>
          <a:off x="12858753" y="42640354"/>
          <a:ext cx="2884439" cy="855889"/>
        </a:xfrm>
        <a:prstGeom prst="rect">
          <a:avLst/>
        </a:prstGeom>
      </xdr:spPr>
    </xdr:pic>
    <xdr:clientData/>
  </xdr:twoCellAnchor>
  <xdr:twoCellAnchor editAs="oneCell">
    <xdr:from>
      <xdr:col>14</xdr:col>
      <xdr:colOff>24496</xdr:colOff>
      <xdr:row>181</xdr:row>
      <xdr:rowOff>82654</xdr:rowOff>
    </xdr:from>
    <xdr:to>
      <xdr:col>17</xdr:col>
      <xdr:colOff>156104</xdr:colOff>
      <xdr:row>185</xdr:row>
      <xdr:rowOff>173726</xdr:rowOff>
    </xdr:to>
    <xdr:pic>
      <xdr:nvPicPr>
        <xdr:cNvPr id="103" name="図 102">
          <a:extLst>
            <a:ext uri="{FF2B5EF4-FFF2-40B4-BE49-F238E27FC236}">
              <a16:creationId xmlns:a16="http://schemas.microsoft.com/office/drawing/2014/main" id="{7FD16704-D7DE-42D8-B9F8-ED658E9CE2EC}"/>
            </a:ext>
          </a:extLst>
        </xdr:cNvPr>
        <xdr:cNvPicPr>
          <a:picLocks noChangeAspect="1"/>
        </xdr:cNvPicPr>
      </xdr:nvPicPr>
      <xdr:blipFill>
        <a:blip xmlns:r="http://schemas.openxmlformats.org/officeDocument/2006/relationships" r:embed="rId14"/>
        <a:stretch>
          <a:fillRect/>
        </a:stretch>
      </xdr:blipFill>
      <xdr:spPr>
        <a:xfrm>
          <a:off x="15808782" y="42659404"/>
          <a:ext cx="3410929" cy="798643"/>
        </a:xfrm>
        <a:prstGeom prst="rect">
          <a:avLst/>
        </a:prstGeom>
      </xdr:spPr>
    </xdr:pic>
    <xdr:clientData/>
  </xdr:twoCellAnchor>
  <xdr:twoCellAnchor>
    <xdr:from>
      <xdr:col>43</xdr:col>
      <xdr:colOff>489856</xdr:colOff>
      <xdr:row>143</xdr:row>
      <xdr:rowOff>122465</xdr:rowOff>
    </xdr:from>
    <xdr:to>
      <xdr:col>46</xdr:col>
      <xdr:colOff>367392</xdr:colOff>
      <xdr:row>148</xdr:row>
      <xdr:rowOff>95249</xdr:rowOff>
    </xdr:to>
    <xdr:sp macro="" textlink="">
      <xdr:nvSpPr>
        <xdr:cNvPr id="104" name="線吹き出し 1 (枠付き) 95">
          <a:extLst>
            <a:ext uri="{FF2B5EF4-FFF2-40B4-BE49-F238E27FC236}">
              <a16:creationId xmlns:a16="http://schemas.microsoft.com/office/drawing/2014/main" id="{86A48907-8DD3-49E0-8444-C46F951168DA}"/>
            </a:ext>
          </a:extLst>
        </xdr:cNvPr>
        <xdr:cNvSpPr/>
      </xdr:nvSpPr>
      <xdr:spPr>
        <a:xfrm>
          <a:off x="37501285" y="35977286"/>
          <a:ext cx="1918607" cy="857249"/>
        </a:xfrm>
        <a:prstGeom prst="borderCallout1">
          <a:avLst>
            <a:gd name="adj1" fmla="val 46777"/>
            <a:gd name="adj2" fmla="val -471"/>
            <a:gd name="adj3" fmla="val -81352"/>
            <a:gd name="adj4" fmla="val -1426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仕様書誤記</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シス検時点では、修正中</a:t>
          </a:r>
        </a:p>
      </xdr:txBody>
    </xdr:sp>
    <xdr:clientData/>
  </xdr:twoCellAnchor>
  <xdr:twoCellAnchor editAs="oneCell">
    <xdr:from>
      <xdr:col>22</xdr:col>
      <xdr:colOff>68035</xdr:colOff>
      <xdr:row>189</xdr:row>
      <xdr:rowOff>13607</xdr:rowOff>
    </xdr:from>
    <xdr:to>
      <xdr:col>40</xdr:col>
      <xdr:colOff>279029</xdr:colOff>
      <xdr:row>196</xdr:row>
      <xdr:rowOff>95250</xdr:rowOff>
    </xdr:to>
    <xdr:pic>
      <xdr:nvPicPr>
        <xdr:cNvPr id="106" name="図 105">
          <a:extLst>
            <a:ext uri="{FF2B5EF4-FFF2-40B4-BE49-F238E27FC236}">
              <a16:creationId xmlns:a16="http://schemas.microsoft.com/office/drawing/2014/main" id="{DFE92555-F0F7-0A9E-2ED3-EFB896EACDF9}"/>
            </a:ext>
          </a:extLst>
        </xdr:cNvPr>
        <xdr:cNvPicPr>
          <a:picLocks noChangeAspect="1"/>
        </xdr:cNvPicPr>
      </xdr:nvPicPr>
      <xdr:blipFill>
        <a:blip xmlns:r="http://schemas.openxmlformats.org/officeDocument/2006/relationships" r:embed="rId15"/>
        <a:stretch>
          <a:fillRect/>
        </a:stretch>
      </xdr:blipFill>
      <xdr:spPr>
        <a:xfrm>
          <a:off x="22791964" y="44005500"/>
          <a:ext cx="12457422" cy="1319893"/>
        </a:xfrm>
        <a:prstGeom prst="rect">
          <a:avLst/>
        </a:prstGeom>
      </xdr:spPr>
    </xdr:pic>
    <xdr:clientData/>
  </xdr:twoCellAnchor>
  <xdr:twoCellAnchor>
    <xdr:from>
      <xdr:col>35</xdr:col>
      <xdr:colOff>204107</xdr:colOff>
      <xdr:row>200</xdr:row>
      <xdr:rowOff>1</xdr:rowOff>
    </xdr:from>
    <xdr:to>
      <xdr:col>42</xdr:col>
      <xdr:colOff>572205</xdr:colOff>
      <xdr:row>203</xdr:row>
      <xdr:rowOff>29247</xdr:rowOff>
    </xdr:to>
    <xdr:sp macro="" textlink="">
      <xdr:nvSpPr>
        <xdr:cNvPr id="124" name="線吹き出し 1 (枠付き) 69">
          <a:extLst>
            <a:ext uri="{FF2B5EF4-FFF2-40B4-BE49-F238E27FC236}">
              <a16:creationId xmlns:a16="http://schemas.microsoft.com/office/drawing/2014/main" id="{1B075ACC-D8FE-4D1E-A796-DFEA900CB44B}"/>
            </a:ext>
          </a:extLst>
        </xdr:cNvPr>
        <xdr:cNvSpPr/>
      </xdr:nvSpPr>
      <xdr:spPr>
        <a:xfrm>
          <a:off x="31772678" y="45937715"/>
          <a:ext cx="5130598" cy="559925"/>
        </a:xfrm>
        <a:prstGeom prst="borderCallout1">
          <a:avLst>
            <a:gd name="adj1" fmla="val -10570"/>
            <a:gd name="adj2" fmla="val 5808"/>
            <a:gd name="adj3" fmla="val -150559"/>
            <a:gd name="adj4" fmla="val -18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REQ22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中は非表示として動作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40820</xdr:colOff>
      <xdr:row>190</xdr:row>
      <xdr:rowOff>108858</xdr:rowOff>
    </xdr:from>
    <xdr:to>
      <xdr:col>38</xdr:col>
      <xdr:colOff>176892</xdr:colOff>
      <xdr:row>196</xdr:row>
      <xdr:rowOff>13607</xdr:rowOff>
    </xdr:to>
    <xdr:sp macro="" textlink="">
      <xdr:nvSpPr>
        <xdr:cNvPr id="125" name="正方形/長方形 124">
          <a:extLst>
            <a:ext uri="{FF2B5EF4-FFF2-40B4-BE49-F238E27FC236}">
              <a16:creationId xmlns:a16="http://schemas.microsoft.com/office/drawing/2014/main" id="{45A53D45-ACF5-4033-AA36-70A85445812C}"/>
            </a:ext>
          </a:extLst>
        </xdr:cNvPr>
        <xdr:cNvSpPr/>
      </xdr:nvSpPr>
      <xdr:spPr>
        <a:xfrm>
          <a:off x="30929034" y="44277644"/>
          <a:ext cx="2857501" cy="9661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bitbucket/scm/aip_tp/tmcapp_ict1_alert.git" TargetMode="Externa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aip01.dndev.net/svn/aip/tmcapp/sd/evidence/trunk/02_Design/01_Vom/Alert/03_Component/alert_design.pptx" TargetMode="Externa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FB55-57CC-41D9-8116-D92868B665E6}">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337" customWidth="1"/>
    <col min="53" max="16384" width="8.81640625" style="33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38"/>
    </row>
    <row r="11" spans="6:20" ht="13.15" customHeight="1"/>
    <row r="12" spans="6:20" ht="13.15" customHeight="1"/>
    <row r="13" spans="6:20" ht="13.15" customHeight="1">
      <c r="T13" s="339" t="str">
        <f ca="1">MID(CELL("filename",A1),FIND("[",CELL("filename",A1))+1,FIND("]",CELL("filename",A1))-FIND("[",CELL("filename",A1))-1)</f>
        <v>alert_C_EPB-CSTD-1-00-C-C0.xlsx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40"/>
      <c r="V32" s="340"/>
    </row>
    <row r="33" spans="3:39" ht="13.15" customHeight="1">
      <c r="M33" s="341"/>
      <c r="N33" s="341"/>
      <c r="O33" s="341"/>
      <c r="P33" s="341"/>
      <c r="Q33" s="341"/>
      <c r="AF33" s="341"/>
      <c r="AG33" s="341"/>
      <c r="AH33" s="341"/>
      <c r="AI33" s="341"/>
      <c r="AJ33" s="341"/>
    </row>
    <row r="34" spans="3:39" ht="13.15" customHeight="1">
      <c r="Y34" s="159" t="s">
        <v>468</v>
      </c>
    </row>
    <row r="35" spans="3:39" ht="13.15" customHeight="1">
      <c r="Y35" s="342" t="s">
        <v>469</v>
      </c>
      <c r="Z35" s="343"/>
      <c r="AA35" s="343"/>
      <c r="AB35" s="343"/>
      <c r="AC35" s="344"/>
      <c r="AD35" s="342" t="s">
        <v>470</v>
      </c>
      <c r="AE35" s="343"/>
      <c r="AF35" s="343"/>
      <c r="AG35" s="343"/>
      <c r="AH35" s="344"/>
      <c r="AI35" s="342" t="s">
        <v>471</v>
      </c>
      <c r="AJ35" s="343"/>
      <c r="AK35" s="343"/>
      <c r="AL35" s="343"/>
      <c r="AM35" s="344"/>
    </row>
    <row r="36" spans="3:39" ht="13.15" customHeight="1">
      <c r="D36" s="341"/>
      <c r="E36" s="345"/>
      <c r="F36" s="341"/>
      <c r="G36" s="341"/>
      <c r="I36" s="341"/>
      <c r="J36" s="345"/>
      <c r="K36" s="341"/>
      <c r="L36" s="341"/>
      <c r="M36" s="341"/>
      <c r="N36" s="341"/>
      <c r="O36" s="345"/>
      <c r="P36" s="341"/>
      <c r="Q36" s="341"/>
      <c r="W36" s="341"/>
      <c r="X36" s="345"/>
      <c r="Y36" s="346"/>
      <c r="Z36" s="347"/>
      <c r="AA36" s="347"/>
      <c r="AB36" s="347"/>
      <c r="AC36" s="348"/>
      <c r="AD36" s="346"/>
      <c r="AE36" s="347"/>
      <c r="AF36" s="347"/>
      <c r="AG36" s="347"/>
      <c r="AH36" s="348"/>
      <c r="AI36" s="346"/>
      <c r="AJ36" s="347"/>
      <c r="AK36" s="347"/>
      <c r="AL36" s="347"/>
      <c r="AM36" s="348"/>
    </row>
    <row r="37" spans="3:39" ht="13.15" customHeight="1">
      <c r="Y37" s="349"/>
      <c r="AC37" s="350"/>
      <c r="AD37" s="349"/>
      <c r="AH37" s="350"/>
      <c r="AI37" s="349"/>
      <c r="AM37" s="350"/>
    </row>
    <row r="38" spans="3:39" ht="13.15" customHeight="1">
      <c r="Y38" s="349"/>
      <c r="Z38" s="341"/>
      <c r="AA38" s="345" t="s">
        <v>472</v>
      </c>
      <c r="AB38" s="341"/>
      <c r="AC38" s="351"/>
      <c r="AD38" s="349"/>
      <c r="AE38" s="341"/>
      <c r="AF38" s="345" t="s">
        <v>473</v>
      </c>
      <c r="AG38" s="341"/>
      <c r="AH38" s="351"/>
      <c r="AI38" s="352"/>
      <c r="AJ38" s="341"/>
      <c r="AK38" s="345" t="s">
        <v>474</v>
      </c>
      <c r="AL38" s="341"/>
      <c r="AM38" s="351"/>
    </row>
    <row r="39" spans="3:39" ht="13.15" customHeight="1">
      <c r="Y39" s="349"/>
      <c r="AC39" s="350"/>
      <c r="AD39" s="349"/>
      <c r="AH39" s="350"/>
      <c r="AI39" s="349"/>
      <c r="AM39" s="350"/>
    </row>
    <row r="40" spans="3:39" ht="13.15" customHeight="1">
      <c r="C40" s="340"/>
      <c r="V40" s="340"/>
      <c r="Y40" s="353"/>
      <c r="Z40" s="354"/>
      <c r="AA40" s="354"/>
      <c r="AB40" s="354"/>
      <c r="AC40" s="355"/>
      <c r="AD40" s="353"/>
      <c r="AE40" s="354"/>
      <c r="AF40" s="354"/>
      <c r="AG40" s="354"/>
      <c r="AH40" s="355"/>
      <c r="AI40" s="353"/>
      <c r="AJ40" s="354"/>
      <c r="AK40" s="354"/>
      <c r="AL40" s="354"/>
      <c r="AM40" s="355"/>
    </row>
    <row r="41" spans="3:39" ht="13.15" customHeight="1"/>
    <row r="42" spans="3:39" ht="13.15" customHeight="1">
      <c r="Y42" s="340" t="s">
        <v>475</v>
      </c>
    </row>
    <row r="43" spans="3:39" ht="13.15" customHeight="1">
      <c r="Y43" s="342" t="s">
        <v>469</v>
      </c>
      <c r="Z43" s="343"/>
      <c r="AA43" s="343"/>
      <c r="AB43" s="343"/>
      <c r="AC43" s="344"/>
      <c r="AD43" s="342" t="s">
        <v>470</v>
      </c>
      <c r="AE43" s="343"/>
      <c r="AF43" s="343"/>
      <c r="AG43" s="343"/>
      <c r="AH43" s="344"/>
      <c r="AI43" s="342" t="s">
        <v>471</v>
      </c>
      <c r="AJ43" s="343"/>
      <c r="AK43" s="343"/>
      <c r="AL43" s="343"/>
      <c r="AM43" s="344"/>
    </row>
    <row r="44" spans="3:39" ht="13.15" customHeight="1">
      <c r="D44" s="341"/>
      <c r="E44" s="345"/>
      <c r="F44" s="341"/>
      <c r="G44" s="341"/>
      <c r="H44" s="341"/>
      <c r="I44" s="341"/>
      <c r="J44" s="345"/>
      <c r="K44" s="341"/>
      <c r="L44" s="341"/>
      <c r="M44" s="341"/>
      <c r="N44" s="341"/>
      <c r="O44" s="345"/>
      <c r="P44" s="341"/>
      <c r="Q44" s="341"/>
      <c r="W44" s="341"/>
      <c r="X44" s="345"/>
      <c r="Y44" s="346"/>
      <c r="Z44" s="347"/>
      <c r="AA44" s="347"/>
      <c r="AB44" s="347"/>
      <c r="AC44" s="348"/>
      <c r="AD44" s="347"/>
      <c r="AE44" s="347"/>
      <c r="AF44" s="347"/>
      <c r="AG44" s="347"/>
      <c r="AH44" s="348"/>
      <c r="AI44" s="346"/>
      <c r="AJ44" s="347"/>
      <c r="AK44" s="347"/>
      <c r="AL44" s="347"/>
      <c r="AM44" s="348"/>
    </row>
    <row r="45" spans="3:39" ht="13.15" customHeight="1">
      <c r="Y45" s="349"/>
      <c r="AC45" s="350"/>
      <c r="AH45" s="350"/>
      <c r="AI45" s="349"/>
      <c r="AM45" s="350"/>
    </row>
    <row r="46" spans="3:39" ht="13.15" customHeight="1">
      <c r="Y46" s="349"/>
      <c r="Z46" s="341"/>
      <c r="AA46" s="345" t="s">
        <v>476</v>
      </c>
      <c r="AB46" s="341"/>
      <c r="AC46" s="351"/>
      <c r="AD46" s="341"/>
      <c r="AE46" s="341"/>
      <c r="AF46" s="345" t="s">
        <v>477</v>
      </c>
      <c r="AG46" s="341"/>
      <c r="AH46" s="351"/>
      <c r="AI46" s="352"/>
      <c r="AJ46" s="341"/>
      <c r="AK46" s="345" t="s">
        <v>478</v>
      </c>
      <c r="AL46" s="341"/>
      <c r="AM46" s="351"/>
    </row>
    <row r="47" spans="3:39" ht="13.15" customHeight="1">
      <c r="Y47" s="349"/>
      <c r="AC47" s="350"/>
      <c r="AH47" s="350"/>
      <c r="AI47" s="349"/>
      <c r="AM47" s="350"/>
    </row>
    <row r="48" spans="3:39" ht="13.15" customHeight="1">
      <c r="C48" s="340"/>
      <c r="V48" s="340"/>
      <c r="Y48" s="353"/>
      <c r="Z48" s="354"/>
      <c r="AA48" s="354"/>
      <c r="AB48" s="354"/>
      <c r="AC48" s="355"/>
      <c r="AD48" s="354"/>
      <c r="AE48" s="354"/>
      <c r="AF48" s="354"/>
      <c r="AG48" s="354"/>
      <c r="AH48" s="355"/>
      <c r="AI48" s="353"/>
      <c r="AJ48" s="354"/>
      <c r="AK48" s="354"/>
      <c r="AL48" s="354"/>
      <c r="AM48" s="355"/>
    </row>
    <row r="49" spans="4:39" ht="13.15" customHeight="1"/>
    <row r="50" spans="4:39" ht="13.15" customHeight="1">
      <c r="Y50" s="340" t="s">
        <v>479</v>
      </c>
    </row>
    <row r="51" spans="4:39" ht="13.15" customHeight="1">
      <c r="Y51" s="342" t="s">
        <v>469</v>
      </c>
      <c r="Z51" s="343"/>
      <c r="AA51" s="343"/>
      <c r="AB51" s="343"/>
      <c r="AC51" s="344"/>
      <c r="AD51" s="342" t="s">
        <v>470</v>
      </c>
      <c r="AE51" s="343"/>
      <c r="AF51" s="343"/>
      <c r="AG51" s="343"/>
      <c r="AH51" s="344"/>
      <c r="AI51" s="342" t="s">
        <v>471</v>
      </c>
      <c r="AJ51" s="343"/>
      <c r="AK51" s="343"/>
      <c r="AL51" s="343"/>
      <c r="AM51" s="344"/>
    </row>
    <row r="52" spans="4:39" ht="13.15" customHeight="1">
      <c r="D52" s="341"/>
      <c r="E52" s="345"/>
      <c r="F52" s="341"/>
      <c r="G52" s="341"/>
      <c r="H52" s="341"/>
      <c r="I52" s="341"/>
      <c r="J52" s="345"/>
      <c r="K52" s="341"/>
      <c r="L52" s="341"/>
      <c r="M52" s="341"/>
      <c r="N52" s="341"/>
      <c r="O52" s="345"/>
      <c r="P52" s="341"/>
      <c r="Q52" s="341"/>
      <c r="W52" s="341"/>
      <c r="X52" s="345"/>
      <c r="Y52" s="346"/>
      <c r="Z52" s="347"/>
      <c r="AA52" s="347"/>
      <c r="AB52" s="347"/>
      <c r="AC52" s="348"/>
      <c r="AD52" s="347"/>
      <c r="AE52" s="347"/>
      <c r="AF52" s="347"/>
      <c r="AG52" s="347"/>
      <c r="AH52" s="348"/>
      <c r="AI52" s="346"/>
      <c r="AJ52" s="347"/>
      <c r="AK52" s="347"/>
      <c r="AL52" s="347"/>
      <c r="AM52" s="348"/>
    </row>
    <row r="53" spans="4:39" ht="13.15" customHeight="1">
      <c r="Y53" s="349"/>
      <c r="AC53" s="350"/>
      <c r="AH53" s="350"/>
      <c r="AI53" s="349"/>
      <c r="AM53" s="350"/>
    </row>
    <row r="54" spans="4:39" ht="13.15" customHeight="1">
      <c r="Y54" s="349"/>
      <c r="Z54" s="341"/>
      <c r="AA54" s="345" t="s">
        <v>480</v>
      </c>
      <c r="AB54" s="341"/>
      <c r="AC54" s="351"/>
      <c r="AD54" s="341"/>
      <c r="AE54" s="341"/>
      <c r="AF54" s="345" t="s">
        <v>481</v>
      </c>
      <c r="AG54" s="341"/>
      <c r="AH54" s="351"/>
      <c r="AI54" s="352"/>
      <c r="AJ54" s="341"/>
      <c r="AK54" s="345" t="s">
        <v>474</v>
      </c>
      <c r="AL54" s="341"/>
      <c r="AM54" s="351"/>
    </row>
    <row r="55" spans="4:39" ht="13.15" customHeight="1">
      <c r="Y55" s="349"/>
      <c r="AC55" s="350"/>
      <c r="AH55" s="350"/>
      <c r="AI55" s="349"/>
      <c r="AM55" s="350"/>
    </row>
    <row r="56" spans="4:39" ht="13.15" customHeight="1">
      <c r="Y56" s="353"/>
      <c r="Z56" s="354"/>
      <c r="AA56" s="354"/>
      <c r="AB56" s="354"/>
      <c r="AC56" s="355"/>
      <c r="AD56" s="354"/>
      <c r="AE56" s="354"/>
      <c r="AF56" s="354"/>
      <c r="AG56" s="354"/>
      <c r="AH56" s="355"/>
      <c r="AI56" s="353"/>
      <c r="AJ56" s="354"/>
      <c r="AK56" s="354"/>
      <c r="AL56" s="354"/>
      <c r="AM56" s="355"/>
    </row>
    <row r="57" spans="4:39" ht="13.15" customHeight="1">
      <c r="AK57" s="337" t="s">
        <v>482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22" width="13.08984375" hidden="1" customWidth="1"/>
    <col min="23" max="24" width="13.08984375" customWidth="1"/>
  </cols>
  <sheetData>
    <row r="2" spans="2:24" ht="25.5" customHeight="1">
      <c r="C2" s="6"/>
      <c r="D2" s="6"/>
      <c r="E2" s="6"/>
      <c r="F2" s="6"/>
      <c r="H2" s="7" t="s">
        <v>13</v>
      </c>
      <c r="I2" s="277" t="s">
        <v>14</v>
      </c>
      <c r="J2" s="277"/>
      <c r="K2" s="277"/>
      <c r="L2" s="277"/>
      <c r="M2" s="277"/>
      <c r="N2" s="277"/>
      <c r="O2" s="277"/>
      <c r="P2" s="277"/>
      <c r="Q2" s="277"/>
      <c r="R2" s="277"/>
    </row>
    <row r="3" spans="2:24" ht="25.5" customHeight="1">
      <c r="C3" s="6"/>
      <c r="D3" s="10" t="str">
        <f ca="1">REPLACE(LEFT(CELL("filename",$B$1),FIND(".xls",CELL("filename",$B$1))-1),1,FIND("[",CELL("filename",$B$1)),)</f>
        <v>alert_C_EPB-CSTD-1-00-C-C0</v>
      </c>
      <c r="E3" s="6"/>
      <c r="F3" s="6"/>
      <c r="H3" s="8" t="s">
        <v>177</v>
      </c>
      <c r="I3" s="278" t="s">
        <v>176</v>
      </c>
      <c r="J3" s="279"/>
      <c r="K3" s="279"/>
      <c r="L3" s="279"/>
      <c r="M3" s="279"/>
      <c r="N3" s="279"/>
      <c r="O3" s="279"/>
      <c r="P3" s="279"/>
      <c r="Q3" s="279"/>
      <c r="R3" s="279"/>
    </row>
    <row r="4" spans="2:24" ht="25.5" customHeight="1">
      <c r="C4" s="6"/>
      <c r="D4" s="6"/>
      <c r="E4" s="23" t="str">
        <f>DGET(B8:C15,"Ver.",H4:H5)</f>
        <v>1.3.1</v>
      </c>
      <c r="F4" s="6"/>
      <c r="H4" s="9" t="s">
        <v>15</v>
      </c>
    </row>
    <row r="5" spans="2:24" ht="25.5" customHeight="1">
      <c r="C5" s="6"/>
      <c r="D5" s="6"/>
      <c r="E5" s="6"/>
      <c r="F5" s="6"/>
      <c r="H5" s="11">
        <f>MAX(B9:B15)</f>
        <v>5</v>
      </c>
    </row>
    <row r="6" spans="2:24" ht="13.5" thickBot="1"/>
    <row r="7" spans="2:24">
      <c r="C7" s="282" t="s">
        <v>0</v>
      </c>
      <c r="D7" s="283"/>
      <c r="E7" s="284" t="s">
        <v>2</v>
      </c>
      <c r="F7" s="284"/>
      <c r="G7" s="285" t="s">
        <v>5</v>
      </c>
      <c r="H7" s="285"/>
      <c r="I7" s="285"/>
      <c r="J7" s="285"/>
      <c r="K7" s="285"/>
      <c r="L7" s="285"/>
      <c r="M7" s="286" t="s">
        <v>12</v>
      </c>
      <c r="N7" s="286"/>
      <c r="O7" s="286"/>
      <c r="P7" s="286"/>
      <c r="Q7" s="286"/>
      <c r="R7" s="287"/>
      <c r="S7" s="280" t="s">
        <v>460</v>
      </c>
      <c r="T7" s="280"/>
      <c r="U7" s="280"/>
      <c r="V7" s="280"/>
      <c r="W7" s="280"/>
      <c r="X7" s="281"/>
    </row>
    <row r="8" spans="2:24" ht="26.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68" t="s">
        <v>11</v>
      </c>
      <c r="S8" s="16" t="s">
        <v>461</v>
      </c>
      <c r="T8" s="16" t="s">
        <v>7</v>
      </c>
      <c r="U8" s="16" t="s">
        <v>8</v>
      </c>
      <c r="V8" s="16" t="s">
        <v>9</v>
      </c>
      <c r="W8" s="16" t="s">
        <v>10</v>
      </c>
      <c r="X8" s="266" t="s">
        <v>11</v>
      </c>
    </row>
    <row r="9" spans="2:24" ht="273.5" thickTop="1">
      <c r="B9" s="9">
        <f>IF(C9=0,0,ROW()-ROW($B$8))</f>
        <v>1</v>
      </c>
      <c r="C9" s="12" t="s">
        <v>210</v>
      </c>
      <c r="D9" s="214" t="s">
        <v>217</v>
      </c>
      <c r="E9" s="13" t="s">
        <v>30</v>
      </c>
      <c r="F9" s="13" t="s">
        <v>211</v>
      </c>
      <c r="G9" s="13" t="s">
        <v>30</v>
      </c>
      <c r="H9" s="13" t="s">
        <v>30</v>
      </c>
      <c r="I9" s="13" t="s">
        <v>30</v>
      </c>
      <c r="J9" s="13" t="s">
        <v>30</v>
      </c>
      <c r="K9" s="13" t="s">
        <v>30</v>
      </c>
      <c r="L9" s="13" t="s">
        <v>30</v>
      </c>
      <c r="M9" s="13"/>
      <c r="N9" s="209"/>
      <c r="O9" s="13"/>
      <c r="P9" s="209"/>
      <c r="Q9" s="13" t="s">
        <v>216</v>
      </c>
      <c r="R9" s="269">
        <v>44364</v>
      </c>
      <c r="S9" s="1" t="s">
        <v>30</v>
      </c>
      <c r="T9" s="1" t="s">
        <v>30</v>
      </c>
      <c r="U9" s="1" t="s">
        <v>30</v>
      </c>
      <c r="V9" s="1" t="s">
        <v>30</v>
      </c>
      <c r="W9" s="1" t="s">
        <v>30</v>
      </c>
      <c r="X9" s="267" t="s">
        <v>30</v>
      </c>
    </row>
    <row r="10" spans="2:24" ht="117">
      <c r="B10" s="9">
        <f t="shared" ref="B10:B14" si="0">IF(C10=0,0,ROW()-ROW($B$8))</f>
        <v>2</v>
      </c>
      <c r="C10" s="2" t="s">
        <v>302</v>
      </c>
      <c r="D10" s="252" t="s">
        <v>303</v>
      </c>
      <c r="E10" s="13" t="s">
        <v>30</v>
      </c>
      <c r="F10" s="13" t="s">
        <v>211</v>
      </c>
      <c r="G10" s="13" t="s">
        <v>30</v>
      </c>
      <c r="H10" s="13" t="s">
        <v>30</v>
      </c>
      <c r="I10" s="13" t="s">
        <v>30</v>
      </c>
      <c r="J10" s="13" t="s">
        <v>30</v>
      </c>
      <c r="K10" s="13" t="s">
        <v>30</v>
      </c>
      <c r="L10" s="13" t="s">
        <v>30</v>
      </c>
      <c r="M10" s="1"/>
      <c r="N10" s="212"/>
      <c r="O10" s="1"/>
      <c r="P10" s="212"/>
      <c r="Q10" s="1" t="s">
        <v>301</v>
      </c>
      <c r="R10" s="270">
        <v>44575</v>
      </c>
      <c r="S10" s="1" t="s">
        <v>30</v>
      </c>
      <c r="T10" s="1" t="s">
        <v>30</v>
      </c>
      <c r="U10" s="1" t="s">
        <v>30</v>
      </c>
      <c r="V10" s="1" t="s">
        <v>30</v>
      </c>
      <c r="W10" s="1" t="s">
        <v>30</v>
      </c>
      <c r="X10" s="85" t="s">
        <v>30</v>
      </c>
    </row>
    <row r="11" spans="2:24" ht="195">
      <c r="B11" s="9">
        <f t="shared" si="0"/>
        <v>3</v>
      </c>
      <c r="C11" s="2" t="s">
        <v>310</v>
      </c>
      <c r="D11" s="211" t="s">
        <v>315</v>
      </c>
      <c r="E11" s="13" t="s">
        <v>30</v>
      </c>
      <c r="F11" s="13" t="s">
        <v>311</v>
      </c>
      <c r="G11" s="13" t="s">
        <v>30</v>
      </c>
      <c r="H11" s="13" t="s">
        <v>30</v>
      </c>
      <c r="I11" s="13" t="s">
        <v>30</v>
      </c>
      <c r="J11" s="13" t="s">
        <v>30</v>
      </c>
      <c r="K11" s="13" t="s">
        <v>30</v>
      </c>
      <c r="L11" s="13" t="s">
        <v>30</v>
      </c>
      <c r="M11" s="1"/>
      <c r="N11" s="1"/>
      <c r="O11" s="1"/>
      <c r="P11" s="1"/>
      <c r="Q11" s="1" t="s">
        <v>312</v>
      </c>
      <c r="R11" s="270">
        <v>44707</v>
      </c>
      <c r="S11" s="1" t="s">
        <v>30</v>
      </c>
      <c r="T11" s="1" t="s">
        <v>30</v>
      </c>
      <c r="U11" s="1" t="s">
        <v>30</v>
      </c>
      <c r="V11" s="1" t="s">
        <v>30</v>
      </c>
      <c r="W11" s="1" t="s">
        <v>30</v>
      </c>
      <c r="X11" s="85" t="s">
        <v>30</v>
      </c>
    </row>
    <row r="12" spans="2:24" ht="39">
      <c r="B12" s="9">
        <f t="shared" si="0"/>
        <v>4</v>
      </c>
      <c r="C12" s="2" t="s">
        <v>459</v>
      </c>
      <c r="D12" s="211" t="s">
        <v>458</v>
      </c>
      <c r="E12" s="1" t="s">
        <v>30</v>
      </c>
      <c r="F12" s="1" t="s">
        <v>311</v>
      </c>
      <c r="G12" s="1" t="s">
        <v>30</v>
      </c>
      <c r="H12" s="1" t="s">
        <v>30</v>
      </c>
      <c r="I12" s="1" t="s">
        <v>30</v>
      </c>
      <c r="J12" s="1" t="s">
        <v>30</v>
      </c>
      <c r="K12" s="1" t="s">
        <v>30</v>
      </c>
      <c r="L12" s="1" t="s">
        <v>30</v>
      </c>
      <c r="M12" s="1" t="s">
        <v>30</v>
      </c>
      <c r="N12" s="1" t="s">
        <v>30</v>
      </c>
      <c r="O12" s="1" t="s">
        <v>30</v>
      </c>
      <c r="P12" s="1" t="s">
        <v>30</v>
      </c>
      <c r="Q12" s="1" t="s">
        <v>30</v>
      </c>
      <c r="R12" s="27" t="s">
        <v>30</v>
      </c>
      <c r="S12" s="1" t="s">
        <v>30</v>
      </c>
      <c r="T12" s="1" t="s">
        <v>30</v>
      </c>
      <c r="U12" s="1" t="s">
        <v>30</v>
      </c>
      <c r="V12" s="1" t="s">
        <v>30</v>
      </c>
      <c r="W12" s="1" t="s">
        <v>462</v>
      </c>
      <c r="X12" s="210">
        <v>45975</v>
      </c>
    </row>
    <row r="13" spans="2:24" ht="117">
      <c r="B13" s="9">
        <f t="shared" si="0"/>
        <v>5</v>
      </c>
      <c r="C13" s="272" t="s">
        <v>463</v>
      </c>
      <c r="D13" s="273" t="s">
        <v>465</v>
      </c>
      <c r="E13" s="274" t="s">
        <v>30</v>
      </c>
      <c r="F13" s="274" t="s">
        <v>30</v>
      </c>
      <c r="G13" s="1"/>
      <c r="H13" s="1"/>
      <c r="I13" s="1"/>
      <c r="J13" s="1"/>
      <c r="K13" s="1"/>
      <c r="L13" s="1"/>
      <c r="M13" s="1"/>
      <c r="N13" s="1"/>
      <c r="O13" s="1"/>
      <c r="P13" s="1"/>
      <c r="Q13" s="1"/>
      <c r="R13" s="27"/>
      <c r="S13" s="1"/>
      <c r="T13" s="1"/>
      <c r="U13" s="1"/>
      <c r="V13" s="1"/>
      <c r="W13" s="275" t="s">
        <v>464</v>
      </c>
      <c r="X13" s="276">
        <v>46008</v>
      </c>
    </row>
    <row r="14" spans="2:24" ht="13.5" thickBot="1">
      <c r="B14" s="9">
        <f t="shared" si="0"/>
        <v>0</v>
      </c>
      <c r="C14" s="3"/>
      <c r="D14" s="4"/>
      <c r="E14" s="4"/>
      <c r="F14" s="4"/>
      <c r="G14" s="4"/>
      <c r="H14" s="4"/>
      <c r="I14" s="4"/>
      <c r="J14" s="4"/>
      <c r="K14" s="4"/>
      <c r="L14" s="4"/>
      <c r="M14" s="4"/>
      <c r="N14" s="4"/>
      <c r="O14" s="4"/>
      <c r="P14" s="4"/>
      <c r="Q14" s="4"/>
      <c r="R14" s="271"/>
      <c r="S14" s="4"/>
      <c r="T14" s="4"/>
      <c r="U14" s="4"/>
      <c r="V14" s="4"/>
      <c r="W14" s="4"/>
      <c r="X14" s="5"/>
    </row>
  </sheetData>
  <customSheetViews>
    <customSheetView guid="{835E1E8D-859C-4113-A3E5-0B83A29207D2}" scale="85" showGridLines="0" hiddenColumns="1">
      <pageMargins left="0.7" right="0.7" top="0.75" bottom="0.75" header="0.3" footer="0.3"/>
      <pageSetup paperSize="9" orientation="portrait" r:id="rId1"/>
    </customSheetView>
  </customSheetViews>
  <mergeCells count="7">
    <mergeCell ref="I2:R2"/>
    <mergeCell ref="I3:R3"/>
    <mergeCell ref="S7:X7"/>
    <mergeCell ref="C7:D7"/>
    <mergeCell ref="E7:F7"/>
    <mergeCell ref="G7:L7"/>
    <mergeCell ref="M7:R7"/>
  </mergeCells>
  <phoneticPr fontId="2"/>
  <hyperlinks>
    <hyperlink ref="I3" r:id="rId2" xr:uid="{00000000-0004-0000-0000-000000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59" t="s">
        <v>129</v>
      </c>
    </row>
    <row r="3" spans="2:5">
      <c r="C3" t="s">
        <v>139</v>
      </c>
    </row>
    <row r="6" spans="2:5" ht="13.5" thickBot="1">
      <c r="B6" s="159" t="s">
        <v>130</v>
      </c>
      <c r="C6" s="159"/>
    </row>
    <row r="7" spans="2:5" ht="13.5" thickBot="1">
      <c r="C7" s="89" t="s">
        <v>132</v>
      </c>
      <c r="D7" s="97"/>
      <c r="E7" s="90" t="s">
        <v>140</v>
      </c>
    </row>
    <row r="8" spans="2:5" ht="20.25" customHeight="1" thickTop="1">
      <c r="C8" s="163">
        <v>0</v>
      </c>
      <c r="D8" s="98" t="s">
        <v>141</v>
      </c>
      <c r="E8" s="162" t="s">
        <v>306</v>
      </c>
    </row>
    <row r="9" spans="2:5">
      <c r="C9" s="169"/>
      <c r="D9" s="171"/>
      <c r="E9" s="170"/>
    </row>
    <row r="10" spans="2:5" ht="13.5" thickBot="1">
      <c r="C10" s="167"/>
      <c r="D10" s="100"/>
      <c r="E10" s="5"/>
    </row>
    <row r="11" spans="2:5">
      <c r="C11" s="165"/>
    </row>
    <row r="12" spans="2:5" ht="13.5" thickBot="1">
      <c r="B12" s="160" t="s">
        <v>131</v>
      </c>
      <c r="C12" s="96"/>
      <c r="D12" s="96"/>
    </row>
    <row r="13" spans="2:5" ht="13.5" thickBot="1">
      <c r="B13" s="161"/>
      <c r="C13" s="166" t="s">
        <v>132</v>
      </c>
      <c r="D13" s="97" t="s">
        <v>133</v>
      </c>
      <c r="E13" s="90" t="s">
        <v>134</v>
      </c>
    </row>
    <row r="14" spans="2:5" ht="13.5" thickTop="1">
      <c r="C14" s="163">
        <v>0</v>
      </c>
      <c r="D14" s="98" t="s">
        <v>146</v>
      </c>
      <c r="E14" s="168" t="s">
        <v>147</v>
      </c>
    </row>
    <row r="15" spans="2:5">
      <c r="C15" s="164">
        <v>1</v>
      </c>
      <c r="D15" s="99" t="s">
        <v>23</v>
      </c>
      <c r="E15" s="85" t="s">
        <v>135</v>
      </c>
    </row>
    <row r="16" spans="2:5">
      <c r="C16" s="164">
        <v>2</v>
      </c>
      <c r="D16" s="99" t="s">
        <v>24</v>
      </c>
      <c r="E16" s="85" t="s">
        <v>136</v>
      </c>
    </row>
    <row r="17" spans="2:5">
      <c r="C17" s="164">
        <v>3</v>
      </c>
      <c r="D17" s="99" t="s">
        <v>25</v>
      </c>
      <c r="E17" s="85" t="s">
        <v>137</v>
      </c>
    </row>
    <row r="18" spans="2:5">
      <c r="C18" s="164">
        <v>4</v>
      </c>
      <c r="D18" s="99" t="s">
        <v>26</v>
      </c>
      <c r="E18" s="85" t="s">
        <v>138</v>
      </c>
    </row>
    <row r="19" spans="2:5">
      <c r="C19" s="164">
        <v>5</v>
      </c>
      <c r="D19" s="99" t="s">
        <v>148</v>
      </c>
      <c r="E19" s="85" t="s">
        <v>150</v>
      </c>
    </row>
    <row r="20" spans="2:5">
      <c r="C20" s="164">
        <v>6</v>
      </c>
      <c r="D20" s="99" t="s">
        <v>154</v>
      </c>
      <c r="E20" s="85" t="s">
        <v>171</v>
      </c>
    </row>
    <row r="21" spans="2:5" ht="13.5" thickBot="1">
      <c r="C21" s="167"/>
      <c r="D21" s="100"/>
      <c r="E21" s="5"/>
    </row>
    <row r="24" spans="2:5" ht="13.5" thickBot="1">
      <c r="B24" s="159" t="s">
        <v>142</v>
      </c>
    </row>
    <row r="25" spans="2:5" ht="13.5" thickBot="1">
      <c r="C25" s="166" t="s">
        <v>132</v>
      </c>
      <c r="D25" s="97" t="s">
        <v>133</v>
      </c>
      <c r="E25" s="90" t="s">
        <v>134</v>
      </c>
    </row>
    <row r="26" spans="2:5" ht="30.75" customHeight="1" thickTop="1">
      <c r="C26" s="163">
        <v>0</v>
      </c>
      <c r="D26" s="98" t="s">
        <v>143</v>
      </c>
      <c r="E26" s="168" t="s">
        <v>151</v>
      </c>
    </row>
    <row r="27" spans="2:5" ht="120" customHeight="1">
      <c r="C27" s="164">
        <v>1</v>
      </c>
      <c r="D27" s="99" t="s">
        <v>173</v>
      </c>
      <c r="E27" s="101" t="s">
        <v>175</v>
      </c>
    </row>
    <row r="28" spans="2:5" ht="81" customHeight="1">
      <c r="C28" s="164">
        <v>2</v>
      </c>
      <c r="D28" s="99" t="s">
        <v>170</v>
      </c>
      <c r="E28" s="101" t="s">
        <v>181</v>
      </c>
    </row>
    <row r="29" spans="2:5" ht="45" customHeight="1">
      <c r="C29" s="164">
        <v>3</v>
      </c>
      <c r="D29" s="99" t="s">
        <v>149</v>
      </c>
      <c r="E29" s="101" t="s">
        <v>152</v>
      </c>
    </row>
    <row r="30" spans="2:5" ht="16.5" customHeight="1">
      <c r="C30" s="164">
        <v>4</v>
      </c>
      <c r="D30" s="99" t="s">
        <v>144</v>
      </c>
      <c r="E30" s="85" t="s">
        <v>156</v>
      </c>
    </row>
    <row r="31" spans="2:5" ht="16.5" customHeight="1">
      <c r="C31" s="164">
        <v>5</v>
      </c>
      <c r="D31" s="99" t="s">
        <v>145</v>
      </c>
      <c r="E31" s="85" t="s">
        <v>153</v>
      </c>
    </row>
    <row r="32" spans="2:5">
      <c r="C32" s="164"/>
      <c r="D32" s="99"/>
      <c r="E32" s="85"/>
    </row>
    <row r="33" spans="2:5">
      <c r="C33" s="164"/>
      <c r="D33" s="99"/>
      <c r="E33" s="85"/>
    </row>
    <row r="34" spans="2:5" ht="13.5" thickBot="1">
      <c r="C34" s="167"/>
      <c r="D34" s="100"/>
      <c r="E34" s="5"/>
    </row>
    <row r="37" spans="2:5" ht="13.5" thickBot="1">
      <c r="B37" s="159" t="s">
        <v>167</v>
      </c>
    </row>
    <row r="38" spans="2:5">
      <c r="C38" s="288"/>
      <c r="D38" s="289"/>
      <c r="E38" s="124" t="s">
        <v>118</v>
      </c>
    </row>
    <row r="39" spans="2:5" ht="13.5" thickBot="1">
      <c r="C39" s="290"/>
      <c r="D39" s="291"/>
      <c r="E39" s="5" t="s">
        <v>119</v>
      </c>
    </row>
  </sheetData>
  <customSheetViews>
    <customSheetView guid="{835E1E8D-859C-4113-A3E5-0B83A29207D2}" scale="85">
      <pageMargins left="0.7" right="0.7" top="0.75" bottom="0.75" header="0.3" footer="0.3"/>
      <pageSetup paperSize="9" orientation="portrait" r:id="rId1"/>
    </customSheetView>
  </customSheetViews>
  <mergeCells count="2">
    <mergeCell ref="C38:D38"/>
    <mergeCell ref="C39:D39"/>
  </mergeCells>
  <phoneticPr fontId="2"/>
  <hyperlinks>
    <hyperlink ref="E8" r:id="rId2" xr:uid="{00000000-0004-0000-0100-000000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92" t="s">
        <v>18</v>
      </c>
      <c r="C2" s="293"/>
      <c r="D2" s="298" t="s">
        <v>466</v>
      </c>
      <c r="E2" s="299"/>
      <c r="F2" s="299"/>
      <c r="G2" s="299"/>
      <c r="H2" s="300"/>
    </row>
    <row r="3" spans="2:14">
      <c r="B3" s="294" t="s">
        <v>116</v>
      </c>
      <c r="C3" s="295"/>
      <c r="D3" s="301" t="s">
        <v>467</v>
      </c>
      <c r="E3" s="302"/>
      <c r="F3" s="302"/>
      <c r="G3" s="302"/>
      <c r="H3" s="303"/>
    </row>
    <row r="4" spans="2:14" ht="13.5" thickBot="1">
      <c r="B4" s="296" t="s">
        <v>17</v>
      </c>
      <c r="C4" s="297"/>
      <c r="D4" s="304" t="str">
        <f ca="1">表紙!D3&amp;".c"</f>
        <v>alert_C_EPB-CSTD-1-00-C-C0.c</v>
      </c>
      <c r="E4" s="305"/>
      <c r="F4" s="305"/>
      <c r="G4" s="305"/>
      <c r="H4" s="306"/>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92" t="s">
        <v>39</v>
      </c>
      <c r="C6" s="293"/>
      <c r="D6" s="307" t="str">
        <f ca="1">MID(D4, LEN("alert_") + 1, FIND("-",D4,1) - LEN("alert_") - 1)</f>
        <v>C_EPB</v>
      </c>
      <c r="E6" s="308"/>
      <c r="F6" s="308"/>
      <c r="G6" s="308"/>
      <c r="H6" s="309"/>
    </row>
    <row r="7" spans="2:14">
      <c r="B7" s="294" t="s">
        <v>40</v>
      </c>
      <c r="C7" s="295"/>
      <c r="D7" s="310">
        <f>COUNTA($D$13:$D$37)</f>
        <v>3</v>
      </c>
      <c r="E7" s="311"/>
      <c r="F7" s="311"/>
      <c r="G7" s="311"/>
      <c r="H7" s="312"/>
    </row>
    <row r="8" spans="2:14">
      <c r="B8" s="294" t="s">
        <v>95</v>
      </c>
      <c r="C8" s="295"/>
      <c r="D8" s="310" t="str">
        <f ca="1">"st_gp_ALERT_"&amp;UPPER(D6)&amp;"_MTRX"</f>
        <v>st_gp_ALERT_C_EPB_MTRX</v>
      </c>
      <c r="E8" s="311"/>
      <c r="F8" s="311"/>
      <c r="G8" s="311"/>
      <c r="H8" s="312"/>
    </row>
    <row r="9" spans="2:14">
      <c r="B9" s="294" t="s">
        <v>41</v>
      </c>
      <c r="C9" s="295"/>
      <c r="D9" s="313" t="s">
        <v>218</v>
      </c>
      <c r="E9" s="314"/>
      <c r="F9" s="314"/>
      <c r="G9" s="314"/>
      <c r="H9" s="315"/>
    </row>
    <row r="10" spans="2:14" ht="13.5" thickBot="1">
      <c r="B10" s="296" t="s">
        <v>47</v>
      </c>
      <c r="C10" s="297"/>
      <c r="D10" s="316"/>
      <c r="E10" s="317"/>
      <c r="F10" s="317"/>
      <c r="G10" s="317"/>
      <c r="H10" s="318"/>
    </row>
    <row r="11" spans="2:14" ht="13.5" thickBot="1"/>
    <row r="12" spans="2:14" ht="13.5" thickBot="1">
      <c r="B12" s="150" t="s">
        <v>37</v>
      </c>
      <c r="C12" s="115" t="s">
        <v>46</v>
      </c>
      <c r="D12" s="116" t="s">
        <v>38</v>
      </c>
      <c r="E12" s="116" t="s">
        <v>42</v>
      </c>
      <c r="F12" s="116" t="s">
        <v>43</v>
      </c>
      <c r="G12" s="116" t="s">
        <v>44</v>
      </c>
      <c r="H12" s="117" t="s">
        <v>45</v>
      </c>
      <c r="I12" s="155" t="s">
        <v>54</v>
      </c>
      <c r="K12" s="55" t="s">
        <v>48</v>
      </c>
      <c r="L12" s="55" t="s">
        <v>41</v>
      </c>
      <c r="M12" t="s">
        <v>87</v>
      </c>
    </row>
    <row r="13" spans="2:14" ht="13.5" thickTop="1">
      <c r="B13" s="118">
        <v>1</v>
      </c>
      <c r="C13" s="122" t="s">
        <v>219</v>
      </c>
      <c r="D13" s="197" t="s">
        <v>50</v>
      </c>
      <c r="E13" s="123" t="s">
        <v>200</v>
      </c>
      <c r="F13" s="61" t="str">
        <f t="shared" ref="F13:F37" ca="1" si="0">IF($D13&lt;&gt;"","u4_s_Alert"&amp;UPPER(LEFT($D$6,1))&amp;LOWER(MID($D$6,2,100))&amp;IF($D$7=1,"",N13)&amp;"Srcchk","")</f>
        <v>u4_s_AlertC_epbTtPkbSrcchk</v>
      </c>
      <c r="G13" s="61" t="str">
        <f t="shared" ref="G13:G37" si="1">IF($D13&lt;&gt;"",IF($E13="○","vd_s_Alert"&amp;UPPER(LEFT($D$6,1))&amp;LOWER(MID($D$6,2,100))&amp;IF($D$7=1,"",N13)&amp;"RwTx","NULL"),"")</f>
        <v>NULL</v>
      </c>
      <c r="H13" s="121" t="str">
        <f ca="1">IF($D13&lt;&gt;"","ALERT_CH_"&amp;UPPER($D$6)&amp;IF($D$7=1,"","_"&amp;UPPER($C13)),"")</f>
        <v>ALERT_CH_C_EPB_TT_PKB</v>
      </c>
      <c r="I13" s="156" t="str">
        <f ca="1">IF($D13&lt;&gt;"","ALERT_REQ_"&amp;UPPER($D$6)&amp;IF($D$7=1,"","_"&amp;UPPER($C13)),"")</f>
        <v>ALERT_REQ_C_EPB_TT_PKB</v>
      </c>
      <c r="K13" t="s">
        <v>49</v>
      </c>
      <c r="L13" t="s">
        <v>53</v>
      </c>
      <c r="M13">
        <f t="shared" ref="M13:M37" si="2">FIND("_",C13,1)</f>
        <v>3</v>
      </c>
      <c r="N13" t="str">
        <f t="shared" ref="N13:N37" si="3">IF(IFERROR(M13,0),UPPER(LEFT(C13,1))&amp;LOWER(MID(C13,2,M13-2))&amp;UPPER(MID(C13,M13+1,1))&amp;LOWER(MID(C13,M13+2,100)),UPPER(LEFT(C13,1))&amp;LOWER(MID(C13,2,100)))</f>
        <v>TtPkb</v>
      </c>
    </row>
    <row r="14" spans="2:14">
      <c r="B14" s="108">
        <v>2</v>
      </c>
      <c r="C14" s="198" t="s">
        <v>220</v>
      </c>
      <c r="D14" s="197" t="s">
        <v>51</v>
      </c>
      <c r="E14" s="203" t="s">
        <v>200</v>
      </c>
      <c r="F14" s="56" t="str">
        <f t="shared" ca="1" si="0"/>
        <v>u4_s_AlertC_epbWrnIgSrcchk</v>
      </c>
      <c r="G14" s="56" t="str">
        <f t="shared" si="1"/>
        <v>NULL</v>
      </c>
      <c r="H14" s="77" t="str">
        <f t="shared" ref="H14:H37" ca="1" si="4">IF($D14&lt;&gt;"","ALERT_CH_"&amp;UPPER($D$6)&amp;IF($D$7=1,"","_"&amp;UPPER($C14)),"")</f>
        <v>ALERT_CH_C_EPB_WRN_IG</v>
      </c>
      <c r="I14" s="157" t="str">
        <f t="shared" ref="I14:I37" ca="1" si="5">IF($D14&lt;&gt;"","ALERT_REQ_"&amp;UPPER($D$6)&amp;IF($D$7=1,"","_"&amp;UPPER($C14)),"")</f>
        <v>ALERT_REQ_C_EPB_WRN_IG</v>
      </c>
      <c r="K14" t="s">
        <v>50</v>
      </c>
      <c r="L14" t="str">
        <f ca="1">"vd_g_Alert"&amp;UPPER(LEFT(D6,1))&amp;LOWER(MID(D6,2,100))&amp;"Init"</f>
        <v>vd_g_AlertC_epbInit</v>
      </c>
      <c r="M14">
        <f t="shared" si="2"/>
        <v>4</v>
      </c>
      <c r="N14" t="str">
        <f t="shared" si="3"/>
        <v>WrnIg</v>
      </c>
    </row>
    <row r="15" spans="2:14">
      <c r="B15" s="108">
        <v>3</v>
      </c>
      <c r="C15" s="153" t="s">
        <v>221</v>
      </c>
      <c r="D15" s="197" t="s">
        <v>50</v>
      </c>
      <c r="E15" s="203" t="s">
        <v>200</v>
      </c>
      <c r="F15" s="56" t="str">
        <f t="shared" ca="1" si="0"/>
        <v>u4_s_AlertC_epbWrnBatSrcchk</v>
      </c>
      <c r="G15" s="56" t="str">
        <f t="shared" si="1"/>
        <v>NULL</v>
      </c>
      <c r="H15" s="77" t="str">
        <f t="shared" ca="1" si="4"/>
        <v>ALERT_CH_C_EPB_WRN_BAT</v>
      </c>
      <c r="I15" s="157" t="str">
        <f t="shared" ca="1" si="5"/>
        <v>ALERT_REQ_C_EPB_WRN_BAT</v>
      </c>
      <c r="K15" t="s">
        <v>120</v>
      </c>
      <c r="M15">
        <f t="shared" si="2"/>
        <v>4</v>
      </c>
      <c r="N15" t="str">
        <f t="shared" si="3"/>
        <v>WrnBat</v>
      </c>
    </row>
    <row r="16" spans="2:14">
      <c r="B16" s="108">
        <v>4</v>
      </c>
      <c r="C16" s="153"/>
      <c r="D16" s="154"/>
      <c r="E16" s="154"/>
      <c r="F16" s="56" t="str">
        <f t="shared" si="0"/>
        <v/>
      </c>
      <c r="G16" s="56" t="str">
        <f t="shared" si="1"/>
        <v/>
      </c>
      <c r="H16" s="77" t="str">
        <f t="shared" si="4"/>
        <v/>
      </c>
      <c r="I16" s="157" t="str">
        <f t="shared" si="5"/>
        <v/>
      </c>
      <c r="K16" t="s">
        <v>121</v>
      </c>
      <c r="M16" t="e">
        <f t="shared" si="2"/>
        <v>#VALUE!</v>
      </c>
      <c r="N16" t="str">
        <f t="shared" si="3"/>
        <v/>
      </c>
    </row>
    <row r="17" spans="2:14">
      <c r="B17" s="108">
        <v>5</v>
      </c>
      <c r="C17" s="153"/>
      <c r="D17" s="154"/>
      <c r="E17" s="154"/>
      <c r="F17" s="56" t="str">
        <f t="shared" si="0"/>
        <v/>
      </c>
      <c r="G17" s="56" t="str">
        <f t="shared" si="1"/>
        <v/>
      </c>
      <c r="H17" s="77" t="str">
        <f t="shared" si="4"/>
        <v/>
      </c>
      <c r="I17" s="157" t="str">
        <f t="shared" si="5"/>
        <v/>
      </c>
      <c r="K17" t="s">
        <v>51</v>
      </c>
      <c r="M17" t="e">
        <f t="shared" si="2"/>
        <v>#VALUE!</v>
      </c>
      <c r="N17" t="str">
        <f t="shared" si="3"/>
        <v/>
      </c>
    </row>
    <row r="18" spans="2:14">
      <c r="B18" s="108">
        <v>6</v>
      </c>
      <c r="C18" s="153"/>
      <c r="D18" s="154"/>
      <c r="E18" s="154"/>
      <c r="F18" s="56" t="str">
        <f t="shared" si="0"/>
        <v/>
      </c>
      <c r="G18" s="56" t="str">
        <f t="shared" si="1"/>
        <v/>
      </c>
      <c r="H18" s="77" t="str">
        <f t="shared" si="4"/>
        <v/>
      </c>
      <c r="I18" s="157" t="str">
        <f t="shared" si="5"/>
        <v/>
      </c>
      <c r="K18" t="s">
        <v>52</v>
      </c>
      <c r="M18" t="e">
        <f t="shared" si="2"/>
        <v>#VALUE!</v>
      </c>
      <c r="N18" t="str">
        <f t="shared" si="3"/>
        <v/>
      </c>
    </row>
    <row r="19" spans="2:14">
      <c r="B19" s="108">
        <v>7</v>
      </c>
      <c r="C19" s="153"/>
      <c r="D19" s="154"/>
      <c r="E19" s="154"/>
      <c r="F19" s="56" t="str">
        <f t="shared" si="0"/>
        <v/>
      </c>
      <c r="G19" s="56" t="str">
        <f t="shared" si="1"/>
        <v/>
      </c>
      <c r="H19" s="77" t="str">
        <f t="shared" si="4"/>
        <v/>
      </c>
      <c r="I19" s="157" t="str">
        <f t="shared" si="5"/>
        <v/>
      </c>
      <c r="K19" t="s">
        <v>52</v>
      </c>
      <c r="M19" t="e">
        <f t="shared" si="2"/>
        <v>#VALUE!</v>
      </c>
      <c r="N19" t="str">
        <f t="shared" si="3"/>
        <v/>
      </c>
    </row>
    <row r="20" spans="2:14">
      <c r="B20" s="108">
        <v>8</v>
      </c>
      <c r="C20" s="153"/>
      <c r="D20" s="154"/>
      <c r="E20" s="154"/>
      <c r="F20" s="56" t="str">
        <f t="shared" si="0"/>
        <v/>
      </c>
      <c r="G20" s="56" t="str">
        <f t="shared" si="1"/>
        <v/>
      </c>
      <c r="H20" s="77" t="str">
        <f t="shared" si="4"/>
        <v/>
      </c>
      <c r="I20" s="157" t="str">
        <f t="shared" si="5"/>
        <v/>
      </c>
      <c r="K20" t="s">
        <v>52</v>
      </c>
      <c r="M20" t="e">
        <f t="shared" si="2"/>
        <v>#VALUE!</v>
      </c>
      <c r="N20" t="str">
        <f t="shared" si="3"/>
        <v/>
      </c>
    </row>
    <row r="21" spans="2:14">
      <c r="B21" s="108">
        <v>9</v>
      </c>
      <c r="C21" s="153"/>
      <c r="D21" s="154"/>
      <c r="E21" s="154"/>
      <c r="F21" s="56" t="str">
        <f t="shared" si="0"/>
        <v/>
      </c>
      <c r="G21" s="56" t="str">
        <f t="shared" si="1"/>
        <v/>
      </c>
      <c r="H21" s="77" t="str">
        <f t="shared" si="4"/>
        <v/>
      </c>
      <c r="I21" s="157" t="str">
        <f t="shared" si="5"/>
        <v/>
      </c>
      <c r="K21" t="s">
        <v>52</v>
      </c>
      <c r="M21" t="e">
        <f t="shared" si="2"/>
        <v>#VALUE!</v>
      </c>
      <c r="N21" t="str">
        <f t="shared" si="3"/>
        <v/>
      </c>
    </row>
    <row r="22" spans="2:14">
      <c r="B22" s="108">
        <v>10</v>
      </c>
      <c r="C22" s="153"/>
      <c r="D22" s="154"/>
      <c r="E22" s="154"/>
      <c r="F22" s="56" t="str">
        <f t="shared" si="0"/>
        <v/>
      </c>
      <c r="G22" s="56" t="str">
        <f t="shared" si="1"/>
        <v/>
      </c>
      <c r="H22" s="77" t="str">
        <f t="shared" si="4"/>
        <v/>
      </c>
      <c r="I22" s="157" t="str">
        <f t="shared" si="5"/>
        <v/>
      </c>
      <c r="K22" t="s">
        <v>52</v>
      </c>
      <c r="M22" t="e">
        <f t="shared" si="2"/>
        <v>#VALUE!</v>
      </c>
      <c r="N22" t="str">
        <f t="shared" si="3"/>
        <v/>
      </c>
    </row>
    <row r="23" spans="2:14">
      <c r="B23" s="108">
        <v>11</v>
      </c>
      <c r="C23" s="153"/>
      <c r="D23" s="154"/>
      <c r="E23" s="154"/>
      <c r="F23" s="56" t="str">
        <f t="shared" si="0"/>
        <v/>
      </c>
      <c r="G23" s="56" t="str">
        <f t="shared" si="1"/>
        <v/>
      </c>
      <c r="H23" s="77" t="str">
        <f t="shared" si="4"/>
        <v/>
      </c>
      <c r="I23" s="157" t="str">
        <f t="shared" si="5"/>
        <v/>
      </c>
      <c r="K23" t="s">
        <v>52</v>
      </c>
      <c r="M23" t="e">
        <f t="shared" si="2"/>
        <v>#VALUE!</v>
      </c>
      <c r="N23" t="str">
        <f t="shared" si="3"/>
        <v/>
      </c>
    </row>
    <row r="24" spans="2:14">
      <c r="B24" s="108">
        <v>12</v>
      </c>
      <c r="C24" s="153"/>
      <c r="D24" s="154"/>
      <c r="E24" s="154"/>
      <c r="F24" s="56" t="str">
        <f t="shared" si="0"/>
        <v/>
      </c>
      <c r="G24" s="56" t="str">
        <f t="shared" si="1"/>
        <v/>
      </c>
      <c r="H24" s="77" t="str">
        <f t="shared" si="4"/>
        <v/>
      </c>
      <c r="I24" s="157" t="str">
        <f t="shared" si="5"/>
        <v/>
      </c>
      <c r="K24" t="s">
        <v>52</v>
      </c>
      <c r="M24" t="e">
        <f t="shared" si="2"/>
        <v>#VALUE!</v>
      </c>
      <c r="N24" t="str">
        <f t="shared" si="3"/>
        <v/>
      </c>
    </row>
    <row r="25" spans="2:14">
      <c r="B25" s="108">
        <v>13</v>
      </c>
      <c r="C25" s="153"/>
      <c r="D25" s="154"/>
      <c r="E25" s="154"/>
      <c r="F25" s="56" t="str">
        <f t="shared" si="0"/>
        <v/>
      </c>
      <c r="G25" s="56" t="str">
        <f t="shared" si="1"/>
        <v/>
      </c>
      <c r="H25" s="77" t="str">
        <f t="shared" si="4"/>
        <v/>
      </c>
      <c r="I25" s="157" t="str">
        <f t="shared" si="5"/>
        <v/>
      </c>
      <c r="K25" t="s">
        <v>52</v>
      </c>
      <c r="M25" t="e">
        <f t="shared" si="2"/>
        <v>#VALUE!</v>
      </c>
      <c r="N25" t="str">
        <f t="shared" si="3"/>
        <v/>
      </c>
    </row>
    <row r="26" spans="2:14">
      <c r="B26" s="108">
        <v>14</v>
      </c>
      <c r="C26" s="153"/>
      <c r="D26" s="154"/>
      <c r="E26" s="154"/>
      <c r="F26" s="56" t="str">
        <f t="shared" si="0"/>
        <v/>
      </c>
      <c r="G26" s="56" t="str">
        <f t="shared" si="1"/>
        <v/>
      </c>
      <c r="H26" s="77" t="str">
        <f t="shared" si="4"/>
        <v/>
      </c>
      <c r="I26" s="157" t="str">
        <f t="shared" si="5"/>
        <v/>
      </c>
      <c r="K26" t="s">
        <v>52</v>
      </c>
      <c r="M26" t="e">
        <f t="shared" si="2"/>
        <v>#VALUE!</v>
      </c>
      <c r="N26" t="str">
        <f t="shared" si="3"/>
        <v/>
      </c>
    </row>
    <row r="27" spans="2:14">
      <c r="B27" s="108">
        <v>15</v>
      </c>
      <c r="C27" s="153"/>
      <c r="D27" s="154"/>
      <c r="E27" s="154"/>
      <c r="F27" s="56" t="str">
        <f t="shared" si="0"/>
        <v/>
      </c>
      <c r="G27" s="56" t="str">
        <f t="shared" si="1"/>
        <v/>
      </c>
      <c r="H27" s="77" t="str">
        <f t="shared" si="4"/>
        <v/>
      </c>
      <c r="I27" s="157" t="str">
        <f t="shared" si="5"/>
        <v/>
      </c>
      <c r="K27" t="s">
        <v>52</v>
      </c>
      <c r="M27" t="e">
        <f t="shared" si="2"/>
        <v>#VALUE!</v>
      </c>
      <c r="N27" t="str">
        <f t="shared" si="3"/>
        <v/>
      </c>
    </row>
    <row r="28" spans="2:14">
      <c r="B28" s="108">
        <v>16</v>
      </c>
      <c r="C28" s="153"/>
      <c r="D28" s="154"/>
      <c r="E28" s="154"/>
      <c r="F28" s="56" t="str">
        <f t="shared" si="0"/>
        <v/>
      </c>
      <c r="G28" s="56" t="str">
        <f t="shared" si="1"/>
        <v/>
      </c>
      <c r="H28" s="77" t="str">
        <f t="shared" si="4"/>
        <v/>
      </c>
      <c r="I28" s="157" t="str">
        <f t="shared" si="5"/>
        <v/>
      </c>
      <c r="K28" t="s">
        <v>52</v>
      </c>
      <c r="M28" t="e">
        <f t="shared" si="2"/>
        <v>#VALUE!</v>
      </c>
      <c r="N28" t="str">
        <f t="shared" si="3"/>
        <v/>
      </c>
    </row>
    <row r="29" spans="2:14">
      <c r="B29" s="108">
        <v>17</v>
      </c>
      <c r="C29" s="153"/>
      <c r="D29" s="154"/>
      <c r="E29" s="154"/>
      <c r="F29" s="56" t="str">
        <f t="shared" si="0"/>
        <v/>
      </c>
      <c r="G29" s="56" t="str">
        <f t="shared" si="1"/>
        <v/>
      </c>
      <c r="H29" s="77" t="str">
        <f t="shared" si="4"/>
        <v/>
      </c>
      <c r="I29" s="157" t="str">
        <f t="shared" si="5"/>
        <v/>
      </c>
      <c r="K29" t="s">
        <v>52</v>
      </c>
      <c r="M29" t="e">
        <f t="shared" si="2"/>
        <v>#VALUE!</v>
      </c>
      <c r="N29" t="str">
        <f t="shared" si="3"/>
        <v/>
      </c>
    </row>
    <row r="30" spans="2:14">
      <c r="B30" s="108">
        <v>18</v>
      </c>
      <c r="C30" s="153"/>
      <c r="D30" s="154"/>
      <c r="E30" s="154"/>
      <c r="F30" s="56" t="str">
        <f t="shared" si="0"/>
        <v/>
      </c>
      <c r="G30" s="56" t="str">
        <f t="shared" si="1"/>
        <v/>
      </c>
      <c r="H30" s="77" t="str">
        <f t="shared" si="4"/>
        <v/>
      </c>
      <c r="I30" s="157" t="str">
        <f t="shared" si="5"/>
        <v/>
      </c>
      <c r="K30" t="s">
        <v>52</v>
      </c>
      <c r="M30" t="e">
        <f t="shared" si="2"/>
        <v>#VALUE!</v>
      </c>
      <c r="N30" t="str">
        <f t="shared" si="3"/>
        <v/>
      </c>
    </row>
    <row r="31" spans="2:14">
      <c r="B31" s="108">
        <v>19</v>
      </c>
      <c r="C31" s="153"/>
      <c r="D31" s="154"/>
      <c r="E31" s="154"/>
      <c r="F31" s="56" t="str">
        <f t="shared" si="0"/>
        <v/>
      </c>
      <c r="G31" s="56" t="str">
        <f t="shared" si="1"/>
        <v/>
      </c>
      <c r="H31" s="77" t="str">
        <f t="shared" si="4"/>
        <v/>
      </c>
      <c r="I31" s="157" t="str">
        <f t="shared" si="5"/>
        <v/>
      </c>
      <c r="K31" t="s">
        <v>52</v>
      </c>
      <c r="M31" t="e">
        <f t="shared" si="2"/>
        <v>#VALUE!</v>
      </c>
      <c r="N31" t="str">
        <f t="shared" si="3"/>
        <v/>
      </c>
    </row>
    <row r="32" spans="2:14">
      <c r="B32" s="108">
        <v>20</v>
      </c>
      <c r="C32" s="153"/>
      <c r="D32" s="154"/>
      <c r="E32" s="154"/>
      <c r="F32" s="56" t="str">
        <f t="shared" si="0"/>
        <v/>
      </c>
      <c r="G32" s="56" t="str">
        <f t="shared" si="1"/>
        <v/>
      </c>
      <c r="H32" s="77" t="str">
        <f t="shared" si="4"/>
        <v/>
      </c>
      <c r="I32" s="157" t="str">
        <f t="shared" si="5"/>
        <v/>
      </c>
      <c r="K32" t="s">
        <v>52</v>
      </c>
      <c r="M32" t="e">
        <f t="shared" si="2"/>
        <v>#VALUE!</v>
      </c>
      <c r="N32" t="str">
        <f t="shared" si="3"/>
        <v/>
      </c>
    </row>
    <row r="33" spans="2:14">
      <c r="B33" s="108">
        <v>21</v>
      </c>
      <c r="C33" s="153"/>
      <c r="D33" s="154"/>
      <c r="E33" s="154"/>
      <c r="F33" s="56" t="str">
        <f t="shared" si="0"/>
        <v/>
      </c>
      <c r="G33" s="56" t="str">
        <f t="shared" si="1"/>
        <v/>
      </c>
      <c r="H33" s="77" t="str">
        <f t="shared" si="4"/>
        <v/>
      </c>
      <c r="I33" s="157" t="str">
        <f t="shared" si="5"/>
        <v/>
      </c>
      <c r="K33" t="s">
        <v>52</v>
      </c>
      <c r="M33" t="e">
        <f t="shared" si="2"/>
        <v>#VALUE!</v>
      </c>
      <c r="N33" t="str">
        <f t="shared" si="3"/>
        <v/>
      </c>
    </row>
    <row r="34" spans="2:14">
      <c r="B34" s="108">
        <v>22</v>
      </c>
      <c r="C34" s="153"/>
      <c r="D34" s="154"/>
      <c r="E34" s="154"/>
      <c r="F34" s="56" t="str">
        <f t="shared" si="0"/>
        <v/>
      </c>
      <c r="G34" s="56" t="str">
        <f t="shared" si="1"/>
        <v/>
      </c>
      <c r="H34" s="77" t="str">
        <f t="shared" si="4"/>
        <v/>
      </c>
      <c r="I34" s="157" t="str">
        <f t="shared" si="5"/>
        <v/>
      </c>
      <c r="K34" t="s">
        <v>52</v>
      </c>
      <c r="M34" t="e">
        <f t="shared" si="2"/>
        <v>#VALUE!</v>
      </c>
      <c r="N34" t="str">
        <f t="shared" si="3"/>
        <v/>
      </c>
    </row>
    <row r="35" spans="2:14">
      <c r="B35" s="108">
        <v>23</v>
      </c>
      <c r="C35" s="153"/>
      <c r="D35" s="154"/>
      <c r="E35" s="154"/>
      <c r="F35" s="56" t="str">
        <f t="shared" si="0"/>
        <v/>
      </c>
      <c r="G35" s="56" t="str">
        <f t="shared" si="1"/>
        <v/>
      </c>
      <c r="H35" s="77" t="str">
        <f t="shared" si="4"/>
        <v/>
      </c>
      <c r="I35" s="157" t="str">
        <f t="shared" si="5"/>
        <v/>
      </c>
      <c r="K35" t="s">
        <v>52</v>
      </c>
      <c r="M35" t="e">
        <f t="shared" si="2"/>
        <v>#VALUE!</v>
      </c>
      <c r="N35" t="str">
        <f t="shared" si="3"/>
        <v/>
      </c>
    </row>
    <row r="36" spans="2:14">
      <c r="B36" s="108">
        <v>24</v>
      </c>
      <c r="C36" s="153"/>
      <c r="D36" s="154"/>
      <c r="E36" s="154"/>
      <c r="F36" s="56" t="str">
        <f t="shared" si="0"/>
        <v/>
      </c>
      <c r="G36" s="56" t="str">
        <f t="shared" si="1"/>
        <v/>
      </c>
      <c r="H36" s="77" t="str">
        <f t="shared" si="4"/>
        <v/>
      </c>
      <c r="I36" s="157" t="str">
        <f t="shared" si="5"/>
        <v/>
      </c>
      <c r="K36" t="s">
        <v>52</v>
      </c>
      <c r="M36" t="e">
        <f t="shared" si="2"/>
        <v>#VALUE!</v>
      </c>
      <c r="N36" t="str">
        <f t="shared" si="3"/>
        <v/>
      </c>
    </row>
    <row r="37" spans="2:14" ht="13.5" thickBot="1">
      <c r="B37" s="109">
        <v>25</v>
      </c>
      <c r="C37" s="151"/>
      <c r="D37" s="152"/>
      <c r="E37" s="152"/>
      <c r="F37" s="64" t="str">
        <f t="shared" si="0"/>
        <v/>
      </c>
      <c r="G37" s="64" t="str">
        <f t="shared" si="1"/>
        <v/>
      </c>
      <c r="H37" s="78" t="str">
        <f t="shared" si="4"/>
        <v/>
      </c>
      <c r="I37" s="158" t="str">
        <f t="shared" si="5"/>
        <v/>
      </c>
      <c r="K37" t="s">
        <v>52</v>
      </c>
      <c r="M37" t="e">
        <f t="shared" si="2"/>
        <v>#VALUE!</v>
      </c>
      <c r="N37" t="str">
        <f t="shared" si="3"/>
        <v/>
      </c>
    </row>
  </sheetData>
  <sheetProtection sheet="1" objects="1" scenarios="1"/>
  <protectedRanges>
    <protectedRange sqref="D2:H3 D9:H10 C13:E37" name="編集許可"/>
  </protectedRanges>
  <customSheetViews>
    <customSheetView guid="{835E1E8D-859C-4113-A3E5-0B83A29207D2}" hiddenColumns="1">
      <pageMargins left="0.7" right="0.7" top="0.75" bottom="0.75" header="0.3" footer="0.3"/>
    </customSheetView>
  </customSheetView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193</v>
      </c>
      <c r="O2" t="s">
        <v>195</v>
      </c>
    </row>
    <row r="3" spans="2:18" ht="13.5" thickBot="1">
      <c r="B3" s="150" t="s">
        <v>37</v>
      </c>
      <c r="C3" s="116" t="s">
        <v>183</v>
      </c>
      <c r="D3" s="116" t="s">
        <v>189</v>
      </c>
      <c r="E3" s="117" t="s">
        <v>190</v>
      </c>
      <c r="F3" s="194" t="s">
        <v>185</v>
      </c>
      <c r="G3" s="191" t="s">
        <v>198</v>
      </c>
      <c r="H3" s="55"/>
      <c r="I3" s="55"/>
      <c r="J3" s="55"/>
      <c r="K3" s="55"/>
      <c r="L3" s="55"/>
      <c r="M3" s="55"/>
      <c r="O3" s="150" t="s">
        <v>37</v>
      </c>
      <c r="P3" s="190" t="s">
        <v>179</v>
      </c>
      <c r="Q3" s="190" t="s">
        <v>192</v>
      </c>
      <c r="R3" s="191" t="s">
        <v>185</v>
      </c>
    </row>
    <row r="4" spans="2:18" ht="13.5" hidden="1" thickTop="1">
      <c r="B4" s="182">
        <v>0</v>
      </c>
      <c r="C4" s="183" t="s">
        <v>168</v>
      </c>
      <c r="D4" s="183"/>
      <c r="E4" s="184"/>
      <c r="F4" s="195"/>
      <c r="G4" s="196"/>
      <c r="H4" s="55"/>
      <c r="I4" s="55"/>
      <c r="J4" s="55"/>
      <c r="K4" s="55"/>
      <c r="L4" s="55"/>
      <c r="M4" s="55"/>
      <c r="O4" s="192">
        <v>0</v>
      </c>
      <c r="P4" s="189" t="s">
        <v>168</v>
      </c>
      <c r="Q4" s="189" t="s">
        <v>168</v>
      </c>
      <c r="R4" s="149"/>
    </row>
    <row r="5" spans="2:18" ht="13.5" thickTop="1">
      <c r="B5" s="185">
        <v>1</v>
      </c>
      <c r="C5" s="154"/>
      <c r="D5" s="24"/>
      <c r="E5" s="77" t="str">
        <f>IF($C5&lt;&gt;"","ALERT_" &amp; D5 &amp; "_ID_"&amp;UPPER(Matrix!$D$6) &amp; "_" &amp; $C5,"")</f>
        <v/>
      </c>
      <c r="F5" s="126"/>
      <c r="G5" s="77" t="str">
        <f>IF(E5&lt;&gt;"",LEN(E5),"")</f>
        <v/>
      </c>
      <c r="O5" s="185">
        <v>1</v>
      </c>
      <c r="P5" s="154"/>
      <c r="Q5" s="154"/>
      <c r="R5" s="127"/>
    </row>
    <row r="6" spans="2:18">
      <c r="B6" s="185">
        <v>2</v>
      </c>
      <c r="C6" s="154"/>
      <c r="D6" s="24"/>
      <c r="E6" s="77" t="str">
        <f>IF($C6&lt;&gt;"","ALERT_" &amp; D6 &amp; "_ID_"&amp;UPPER(Matrix!$D$6) &amp; "_" &amp; $C6,"")</f>
        <v/>
      </c>
      <c r="F6" s="126"/>
      <c r="G6" s="77" t="str">
        <f t="shared" ref="G6:G29" si="0">IF(E6&lt;&gt;"",LEN(E6),"")</f>
        <v/>
      </c>
      <c r="O6" s="185">
        <v>2</v>
      </c>
      <c r="P6" s="154"/>
      <c r="Q6" s="154"/>
      <c r="R6" s="127"/>
    </row>
    <row r="7" spans="2:18">
      <c r="B7" s="185">
        <v>3</v>
      </c>
      <c r="C7" s="154"/>
      <c r="D7" s="24"/>
      <c r="E7" s="77" t="str">
        <f>IF($C7&lt;&gt;"","ALERT_" &amp; D7 &amp; "_ID_"&amp;UPPER(Matrix!$D$6) &amp; "_" &amp; $C7,"")</f>
        <v/>
      </c>
      <c r="F7" s="126"/>
      <c r="G7" s="77" t="str">
        <f t="shared" si="0"/>
        <v/>
      </c>
      <c r="O7" s="185">
        <v>3</v>
      </c>
      <c r="P7" s="154"/>
      <c r="Q7" s="154"/>
      <c r="R7" s="127"/>
    </row>
    <row r="8" spans="2:18">
      <c r="B8" s="185">
        <v>4</v>
      </c>
      <c r="C8" s="154"/>
      <c r="D8" s="24"/>
      <c r="E8" s="77" t="str">
        <f>IF($C8&lt;&gt;"","ALERT_" &amp; D8 &amp; "_ID_"&amp;UPPER(Matrix!$D$6) &amp; "_" &amp; $C8,"")</f>
        <v/>
      </c>
      <c r="F8" s="126"/>
      <c r="G8" s="77" t="str">
        <f t="shared" si="0"/>
        <v/>
      </c>
      <c r="O8" s="185">
        <v>4</v>
      </c>
      <c r="P8" s="154"/>
      <c r="Q8" s="154"/>
      <c r="R8" s="127"/>
    </row>
    <row r="9" spans="2:18">
      <c r="B9" s="185">
        <v>5</v>
      </c>
      <c r="C9" s="154"/>
      <c r="D9" s="24"/>
      <c r="E9" s="77" t="str">
        <f>IF($C9&lt;&gt;"","ALERT_" &amp; D9 &amp; "_ID_"&amp;UPPER(Matrix!$D$6) &amp; "_" &amp; $C9,"")</f>
        <v/>
      </c>
      <c r="F9" s="126"/>
      <c r="G9" s="77" t="str">
        <f t="shared" si="0"/>
        <v/>
      </c>
      <c r="O9" s="185">
        <v>5</v>
      </c>
      <c r="P9" s="154"/>
      <c r="Q9" s="154"/>
      <c r="R9" s="127"/>
    </row>
    <row r="10" spans="2:18">
      <c r="B10" s="185">
        <v>6</v>
      </c>
      <c r="C10" s="154"/>
      <c r="D10" s="24"/>
      <c r="E10" s="77" t="str">
        <f>IF($C10&lt;&gt;"","ALERT_" &amp; D10 &amp; "_ID_"&amp;UPPER(Matrix!$D$6) &amp; "_" &amp; $C10,"")</f>
        <v/>
      </c>
      <c r="F10" s="126"/>
      <c r="G10" s="77" t="str">
        <f t="shared" si="0"/>
        <v/>
      </c>
      <c r="O10" s="185">
        <v>6</v>
      </c>
      <c r="P10" s="154"/>
      <c r="Q10" s="154"/>
      <c r="R10" s="127"/>
    </row>
    <row r="11" spans="2:18">
      <c r="B11" s="185">
        <v>7</v>
      </c>
      <c r="C11" s="154"/>
      <c r="D11" s="24"/>
      <c r="E11" s="77" t="str">
        <f>IF($C11&lt;&gt;"","ALERT_" &amp; D11 &amp; "_ID_"&amp;UPPER(Matrix!$D$6) &amp; "_" &amp; $C11,"")</f>
        <v/>
      </c>
      <c r="F11" s="126"/>
      <c r="G11" s="77" t="str">
        <f t="shared" si="0"/>
        <v/>
      </c>
      <c r="O11" s="185">
        <v>7</v>
      </c>
      <c r="P11" s="154"/>
      <c r="Q11" s="154"/>
      <c r="R11" s="127"/>
    </row>
    <row r="12" spans="2:18">
      <c r="B12" s="185">
        <v>8</v>
      </c>
      <c r="C12" s="154"/>
      <c r="D12" s="24"/>
      <c r="E12" s="77" t="str">
        <f>IF($C12&lt;&gt;"","ALERT_" &amp; D12 &amp; "_ID_"&amp;UPPER(Matrix!$D$6) &amp; "_" &amp; $C12,"")</f>
        <v/>
      </c>
      <c r="F12" s="126"/>
      <c r="G12" s="77" t="str">
        <f t="shared" si="0"/>
        <v/>
      </c>
      <c r="O12" s="185">
        <v>8</v>
      </c>
      <c r="P12" s="154"/>
      <c r="Q12" s="154"/>
      <c r="R12" s="127"/>
    </row>
    <row r="13" spans="2:18">
      <c r="B13" s="185">
        <v>9</v>
      </c>
      <c r="C13" s="154"/>
      <c r="D13" s="24"/>
      <c r="E13" s="77" t="str">
        <f>IF($C13&lt;&gt;"","ALERT_" &amp; D13 &amp; "_ID_"&amp;UPPER(Matrix!$D$6) &amp; "_" &amp; $C13,"")</f>
        <v/>
      </c>
      <c r="F13" s="126"/>
      <c r="G13" s="77" t="str">
        <f t="shared" si="0"/>
        <v/>
      </c>
      <c r="O13" s="185">
        <v>9</v>
      </c>
      <c r="P13" s="154"/>
      <c r="Q13" s="154"/>
      <c r="R13" s="127"/>
    </row>
    <row r="14" spans="2:18">
      <c r="B14" s="185">
        <v>10</v>
      </c>
      <c r="C14" s="154"/>
      <c r="D14" s="24"/>
      <c r="E14" s="77" t="str">
        <f>IF($C14&lt;&gt;"","ALERT_" &amp; D14 &amp; "_ID_"&amp;UPPER(Matrix!$D$6) &amp; "_" &amp; $C14,"")</f>
        <v/>
      </c>
      <c r="F14" s="126"/>
      <c r="G14" s="77" t="str">
        <f t="shared" si="0"/>
        <v/>
      </c>
      <c r="O14" s="185">
        <v>10</v>
      </c>
      <c r="P14" s="154"/>
      <c r="Q14" s="154"/>
      <c r="R14" s="127"/>
    </row>
    <row r="15" spans="2:18">
      <c r="B15" s="185">
        <v>11</v>
      </c>
      <c r="C15" s="154"/>
      <c r="D15" s="24"/>
      <c r="E15" s="77" t="str">
        <f>IF($C15&lt;&gt;"","ALERT_" &amp; D15 &amp; "_ID_"&amp;UPPER(Matrix!$D$6) &amp; "_" &amp; $C15,"")</f>
        <v/>
      </c>
      <c r="F15" s="126"/>
      <c r="G15" s="77" t="str">
        <f t="shared" si="0"/>
        <v/>
      </c>
      <c r="O15" s="185">
        <v>11</v>
      </c>
      <c r="P15" s="154"/>
      <c r="Q15" s="154"/>
      <c r="R15" s="127"/>
    </row>
    <row r="16" spans="2:18">
      <c r="B16" s="185">
        <v>12</v>
      </c>
      <c r="C16" s="154"/>
      <c r="D16" s="24"/>
      <c r="E16" s="77" t="str">
        <f>IF($C16&lt;&gt;"","ALERT_" &amp; D16 &amp; "_ID_"&amp;UPPER(Matrix!$D$6) &amp; "_" &amp; $C16,"")</f>
        <v/>
      </c>
      <c r="F16" s="126"/>
      <c r="G16" s="77" t="str">
        <f t="shared" si="0"/>
        <v/>
      </c>
      <c r="O16" s="185">
        <v>12</v>
      </c>
      <c r="P16" s="154"/>
      <c r="Q16" s="154"/>
      <c r="R16" s="127"/>
    </row>
    <row r="17" spans="2:18">
      <c r="B17" s="185">
        <v>13</v>
      </c>
      <c r="C17" s="154"/>
      <c r="D17" s="24"/>
      <c r="E17" s="77" t="str">
        <f>IF($C17&lt;&gt;"","ALERT_" &amp; D17 &amp; "_ID_"&amp;UPPER(Matrix!$D$6) &amp; "_" &amp; $C17,"")</f>
        <v/>
      </c>
      <c r="F17" s="126"/>
      <c r="G17" s="77" t="str">
        <f t="shared" si="0"/>
        <v/>
      </c>
      <c r="O17" s="185">
        <v>13</v>
      </c>
      <c r="P17" s="154"/>
      <c r="Q17" s="154"/>
      <c r="R17" s="127"/>
    </row>
    <row r="18" spans="2:18">
      <c r="B18" s="185">
        <v>14</v>
      </c>
      <c r="C18" s="154"/>
      <c r="D18" s="24"/>
      <c r="E18" s="77" t="str">
        <f>IF($C18&lt;&gt;"","ALERT_" &amp; D18 &amp; "_ID_"&amp;UPPER(Matrix!$D$6) &amp; "_" &amp; $C18,"")</f>
        <v/>
      </c>
      <c r="F18" s="126"/>
      <c r="G18" s="77" t="str">
        <f t="shared" si="0"/>
        <v/>
      </c>
      <c r="O18" s="185">
        <v>14</v>
      </c>
      <c r="P18" s="154"/>
      <c r="Q18" s="154"/>
      <c r="R18" s="127"/>
    </row>
    <row r="19" spans="2:18">
      <c r="B19" s="185">
        <v>15</v>
      </c>
      <c r="C19" s="154"/>
      <c r="D19" s="24"/>
      <c r="E19" s="77" t="str">
        <f>IF($C19&lt;&gt;"","ALERT_" &amp; D19 &amp; "_ID_"&amp;UPPER(Matrix!$D$6) &amp; "_" &amp; $C19,"")</f>
        <v/>
      </c>
      <c r="F19" s="126"/>
      <c r="G19" s="77" t="str">
        <f t="shared" si="0"/>
        <v/>
      </c>
      <c r="O19" s="185">
        <v>15</v>
      </c>
      <c r="P19" s="154"/>
      <c r="Q19" s="154"/>
      <c r="R19" s="127"/>
    </row>
    <row r="20" spans="2:18">
      <c r="B20" s="185">
        <v>16</v>
      </c>
      <c r="C20" s="154"/>
      <c r="D20" s="24"/>
      <c r="E20" s="77" t="str">
        <f>IF($C20&lt;&gt;"","ALERT_" &amp; D20 &amp; "_ID_"&amp;UPPER(Matrix!$D$6) &amp; "_" &amp; $C20,"")</f>
        <v/>
      </c>
      <c r="F20" s="126"/>
      <c r="G20" s="77" t="str">
        <f t="shared" si="0"/>
        <v/>
      </c>
      <c r="O20" s="185">
        <v>16</v>
      </c>
      <c r="P20" s="154"/>
      <c r="Q20" s="154"/>
      <c r="R20" s="127"/>
    </row>
    <row r="21" spans="2:18">
      <c r="B21" s="185">
        <v>17</v>
      </c>
      <c r="C21" s="154"/>
      <c r="D21" s="24"/>
      <c r="E21" s="77" t="str">
        <f>IF($C21&lt;&gt;"","ALERT_" &amp; D21 &amp; "_ID_"&amp;UPPER(Matrix!$D$6) &amp; "_" &amp; $C21,"")</f>
        <v/>
      </c>
      <c r="F21" s="126"/>
      <c r="G21" s="77" t="str">
        <f t="shared" si="0"/>
        <v/>
      </c>
      <c r="O21" s="185">
        <v>17</v>
      </c>
      <c r="P21" s="154"/>
      <c r="Q21" s="154"/>
      <c r="R21" s="127"/>
    </row>
    <row r="22" spans="2:18">
      <c r="B22" s="185">
        <v>18</v>
      </c>
      <c r="C22" s="154"/>
      <c r="D22" s="24"/>
      <c r="E22" s="77" t="str">
        <f>IF($C22&lt;&gt;"","ALERT_" &amp; D22 &amp; "_ID_"&amp;UPPER(Matrix!$D$6) &amp; "_" &amp; $C22,"")</f>
        <v/>
      </c>
      <c r="F22" s="126"/>
      <c r="G22" s="77" t="str">
        <f t="shared" si="0"/>
        <v/>
      </c>
      <c r="O22" s="185">
        <v>18</v>
      </c>
      <c r="P22" s="154"/>
      <c r="Q22" s="154"/>
      <c r="R22" s="127"/>
    </row>
    <row r="23" spans="2:18">
      <c r="B23" s="185">
        <v>19</v>
      </c>
      <c r="C23" s="154"/>
      <c r="D23" s="24"/>
      <c r="E23" s="77" t="str">
        <f>IF($C23&lt;&gt;"","ALERT_" &amp; D23 &amp; "_ID_"&amp;UPPER(Matrix!$D$6) &amp; "_" &amp; $C23,"")</f>
        <v/>
      </c>
      <c r="F23" s="126"/>
      <c r="G23" s="77" t="str">
        <f t="shared" si="0"/>
        <v/>
      </c>
      <c r="O23" s="185">
        <v>19</v>
      </c>
      <c r="P23" s="154"/>
      <c r="Q23" s="154"/>
      <c r="R23" s="127"/>
    </row>
    <row r="24" spans="2:18">
      <c r="B24" s="185">
        <v>20</v>
      </c>
      <c r="C24" s="154"/>
      <c r="D24" s="24"/>
      <c r="E24" s="77" t="str">
        <f>IF($C24&lt;&gt;"","ALERT_" &amp; D24 &amp; "_ID_"&amp;UPPER(Matrix!$D$6) &amp; "_" &amp; $C24,"")</f>
        <v/>
      </c>
      <c r="F24" s="126"/>
      <c r="G24" s="77" t="str">
        <f t="shared" si="0"/>
        <v/>
      </c>
      <c r="O24" s="185">
        <v>20</v>
      </c>
      <c r="P24" s="154"/>
      <c r="Q24" s="154"/>
      <c r="R24" s="127"/>
    </row>
    <row r="25" spans="2:18">
      <c r="B25" s="185">
        <v>21</v>
      </c>
      <c r="C25" s="154"/>
      <c r="D25" s="24"/>
      <c r="E25" s="77" t="str">
        <f>IF($C25&lt;&gt;"","ALERT_" &amp; D25 &amp; "_ID_"&amp;UPPER(Matrix!$D$6) &amp; "_" &amp; $C25,"")</f>
        <v/>
      </c>
      <c r="F25" s="126"/>
      <c r="G25" s="77" t="str">
        <f t="shared" si="0"/>
        <v/>
      </c>
      <c r="O25" s="185">
        <v>21</v>
      </c>
      <c r="P25" s="154"/>
      <c r="Q25" s="154"/>
      <c r="R25" s="127"/>
    </row>
    <row r="26" spans="2:18">
      <c r="B26" s="185">
        <v>22</v>
      </c>
      <c r="C26" s="154"/>
      <c r="D26" s="24"/>
      <c r="E26" s="77" t="str">
        <f>IF($C26&lt;&gt;"","ALERT_" &amp; D26 &amp; "_ID_"&amp;UPPER(Matrix!$D$6) &amp; "_" &amp; $C26,"")</f>
        <v/>
      </c>
      <c r="F26" s="126"/>
      <c r="G26" s="77" t="str">
        <f t="shared" si="0"/>
        <v/>
      </c>
      <c r="O26" s="185">
        <v>22</v>
      </c>
      <c r="P26" s="154"/>
      <c r="Q26" s="154"/>
      <c r="R26" s="127"/>
    </row>
    <row r="27" spans="2:18">
      <c r="B27" s="185">
        <v>23</v>
      </c>
      <c r="C27" s="154"/>
      <c r="D27" s="24"/>
      <c r="E27" s="77" t="str">
        <f>IF($C27&lt;&gt;"","ALERT_" &amp; D27 &amp; "_ID_"&amp;UPPER(Matrix!$D$6) &amp; "_" &amp; $C27,"")</f>
        <v/>
      </c>
      <c r="F27" s="126"/>
      <c r="G27" s="77" t="str">
        <f t="shared" si="0"/>
        <v/>
      </c>
      <c r="O27" s="185">
        <v>23</v>
      </c>
      <c r="P27" s="154"/>
      <c r="Q27" s="154"/>
      <c r="R27" s="127"/>
    </row>
    <row r="28" spans="2:18">
      <c r="B28" s="185">
        <v>24</v>
      </c>
      <c r="C28" s="154"/>
      <c r="D28" s="24"/>
      <c r="E28" s="77" t="str">
        <f>IF($C28&lt;&gt;"","ALERT_" &amp; D28 &amp; "_ID_"&amp;UPPER(Matrix!$D$6) &amp; "_" &amp; $C28,"")</f>
        <v/>
      </c>
      <c r="F28" s="126"/>
      <c r="G28" s="77" t="str">
        <f t="shared" si="0"/>
        <v/>
      </c>
      <c r="O28" s="185">
        <v>24</v>
      </c>
      <c r="P28" s="154"/>
      <c r="Q28" s="154"/>
      <c r="R28" s="127"/>
    </row>
    <row r="29" spans="2:18" ht="13.5" thickBot="1">
      <c r="B29" s="186">
        <v>25</v>
      </c>
      <c r="C29" s="152"/>
      <c r="D29" s="63"/>
      <c r="E29" s="78" t="str">
        <f>IF($C29&lt;&gt;"","ALERT_" &amp; D29 &amp; "_ID_"&amp;UPPER(Matrix!$D$6) &amp; "_" &amp; $C29,"")</f>
        <v/>
      </c>
      <c r="F29" s="128"/>
      <c r="G29" s="78" t="str">
        <f t="shared" si="0"/>
        <v/>
      </c>
      <c r="O29" s="186">
        <v>25</v>
      </c>
      <c r="P29" s="152"/>
      <c r="Q29" s="152"/>
      <c r="R29" s="129"/>
    </row>
    <row r="32" spans="2:18" ht="13.5" thickBot="1">
      <c r="B32" t="s">
        <v>194</v>
      </c>
      <c r="O32" t="s">
        <v>191</v>
      </c>
    </row>
    <row r="33" spans="2:18" ht="13.5" thickBot="1">
      <c r="B33" s="150" t="s">
        <v>37</v>
      </c>
      <c r="C33" s="116" t="s">
        <v>183</v>
      </c>
      <c r="D33" s="116" t="s">
        <v>188</v>
      </c>
      <c r="E33" s="117" t="s">
        <v>186</v>
      </c>
      <c r="F33" s="191" t="s">
        <v>187</v>
      </c>
      <c r="G33" s="191" t="s">
        <v>198</v>
      </c>
      <c r="O33" s="150" t="s">
        <v>37</v>
      </c>
      <c r="P33" s="190" t="s">
        <v>180</v>
      </c>
      <c r="Q33" s="190" t="s">
        <v>196</v>
      </c>
      <c r="R33" s="191" t="s">
        <v>184</v>
      </c>
    </row>
    <row r="34" spans="2:18" ht="13.5" hidden="1" thickTop="1">
      <c r="B34" s="182">
        <v>0</v>
      </c>
      <c r="C34" s="183" t="s">
        <v>168</v>
      </c>
      <c r="D34" s="183"/>
      <c r="E34" s="184"/>
      <c r="F34" s="193" t="s">
        <v>168</v>
      </c>
      <c r="G34" s="196"/>
      <c r="O34" s="192">
        <v>0</v>
      </c>
      <c r="P34" s="189" t="s">
        <v>168</v>
      </c>
      <c r="Q34" s="189" t="s">
        <v>168</v>
      </c>
      <c r="R34" s="193" t="s">
        <v>168</v>
      </c>
    </row>
    <row r="35" spans="2:18" ht="13.5" thickTop="1">
      <c r="B35" s="185">
        <v>1</v>
      </c>
      <c r="C35" s="154"/>
      <c r="D35" s="24"/>
      <c r="E35" s="77" t="str">
        <f>IF($C35&lt;&gt;"","ALERT_" &amp; UPPER(Matrix!$D$6) &amp; "_" &amp; $C35,"")</f>
        <v/>
      </c>
      <c r="F35" s="187"/>
      <c r="G35" s="77" t="str">
        <f>IF(E35&lt;&gt;"",LEN(E35),"")</f>
        <v/>
      </c>
      <c r="O35" s="185">
        <v>1</v>
      </c>
      <c r="P35" s="154"/>
      <c r="Q35" s="154"/>
      <c r="R35" s="187"/>
    </row>
    <row r="36" spans="2:18">
      <c r="B36" s="185">
        <v>2</v>
      </c>
      <c r="C36" s="154"/>
      <c r="D36" s="24"/>
      <c r="E36" s="77" t="str">
        <f>IF($C36&lt;&gt;"","ALERT_" &amp; UPPER(Matrix!$D$6) &amp; "_" &amp; $C36,"")</f>
        <v/>
      </c>
      <c r="F36" s="187"/>
      <c r="G36" s="77" t="str">
        <f>IF(E36&lt;&gt;"",LEN(E36),"")</f>
        <v/>
      </c>
      <c r="O36" s="185">
        <v>2</v>
      </c>
      <c r="P36" s="154"/>
      <c r="Q36" s="154"/>
      <c r="R36" s="187"/>
    </row>
    <row r="37" spans="2:18">
      <c r="B37" s="185">
        <v>3</v>
      </c>
      <c r="C37" s="154"/>
      <c r="D37" s="24"/>
      <c r="E37" s="77" t="str">
        <f>IF($C37&lt;&gt;"","ALERT_" &amp; UPPER(Matrix!$D$6) &amp; "_" &amp; $C37,"")</f>
        <v/>
      </c>
      <c r="F37" s="187"/>
      <c r="G37" s="77" t="str">
        <f>IF(E37&lt;&gt;"",LEN(E37),"")</f>
        <v/>
      </c>
      <c r="O37" s="185">
        <v>3</v>
      </c>
      <c r="P37" s="154"/>
      <c r="Q37" s="154"/>
      <c r="R37" s="187"/>
    </row>
    <row r="38" spans="2:18">
      <c r="B38" s="185">
        <v>4</v>
      </c>
      <c r="C38" s="154"/>
      <c r="D38" s="24"/>
      <c r="E38" s="77" t="str">
        <f>IF($C38&lt;&gt;"","ALERT_" &amp; UPPER(Matrix!$D$6) &amp; "_" &amp; $C38,"")</f>
        <v/>
      </c>
      <c r="F38" s="187"/>
      <c r="G38" s="77" t="str">
        <f t="shared" ref="G38:G59" si="1">IF(E38&lt;&gt;"",LEN(E38),"")</f>
        <v/>
      </c>
      <c r="O38" s="185">
        <v>4</v>
      </c>
      <c r="P38" s="154"/>
      <c r="Q38" s="154"/>
      <c r="R38" s="187"/>
    </row>
    <row r="39" spans="2:18">
      <c r="B39" s="185">
        <v>5</v>
      </c>
      <c r="C39" s="154"/>
      <c r="D39" s="24"/>
      <c r="E39" s="77" t="str">
        <f>IF($C39&lt;&gt;"","ALERT_" &amp; UPPER(Matrix!$D$6) &amp; "_" &amp; $C39,"")</f>
        <v/>
      </c>
      <c r="F39" s="187"/>
      <c r="G39" s="77" t="str">
        <f t="shared" si="1"/>
        <v/>
      </c>
      <c r="O39" s="185">
        <v>5</v>
      </c>
      <c r="P39" s="154"/>
      <c r="Q39" s="154"/>
      <c r="R39" s="187"/>
    </row>
    <row r="40" spans="2:18">
      <c r="B40" s="185">
        <v>6</v>
      </c>
      <c r="C40" s="154"/>
      <c r="D40" s="24"/>
      <c r="E40" s="77" t="str">
        <f>IF($C40&lt;&gt;"","ALERT_" &amp; UPPER(Matrix!$D$6) &amp; "_" &amp; $C40,"")</f>
        <v/>
      </c>
      <c r="F40" s="187"/>
      <c r="G40" s="77" t="str">
        <f t="shared" si="1"/>
        <v/>
      </c>
      <c r="O40" s="185">
        <v>6</v>
      </c>
      <c r="P40" s="154"/>
      <c r="Q40" s="154"/>
      <c r="R40" s="187"/>
    </row>
    <row r="41" spans="2:18">
      <c r="B41" s="185">
        <v>7</v>
      </c>
      <c r="C41" s="154"/>
      <c r="D41" s="24"/>
      <c r="E41" s="77" t="str">
        <f>IF($C41&lt;&gt;"","ALERT_" &amp; UPPER(Matrix!$D$6) &amp; "_" &amp; $C41,"")</f>
        <v/>
      </c>
      <c r="F41" s="187"/>
      <c r="G41" s="77" t="str">
        <f t="shared" si="1"/>
        <v/>
      </c>
      <c r="O41" s="185">
        <v>7</v>
      </c>
      <c r="P41" s="154"/>
      <c r="Q41" s="154"/>
      <c r="R41" s="187"/>
    </row>
    <row r="42" spans="2:18">
      <c r="B42" s="185">
        <v>8</v>
      </c>
      <c r="C42" s="154"/>
      <c r="D42" s="24"/>
      <c r="E42" s="77" t="str">
        <f>IF($C42&lt;&gt;"","ALERT_" &amp; UPPER(Matrix!$D$6) &amp; "_" &amp; $C42,"")</f>
        <v/>
      </c>
      <c r="F42" s="187"/>
      <c r="G42" s="77" t="str">
        <f t="shared" si="1"/>
        <v/>
      </c>
      <c r="O42" s="185">
        <v>8</v>
      </c>
      <c r="P42" s="154"/>
      <c r="Q42" s="154"/>
      <c r="R42" s="187"/>
    </row>
    <row r="43" spans="2:18">
      <c r="B43" s="185">
        <v>9</v>
      </c>
      <c r="C43" s="154"/>
      <c r="D43" s="24"/>
      <c r="E43" s="77" t="str">
        <f>IF($C43&lt;&gt;"","ALERT_" &amp; UPPER(Matrix!$D$6) &amp; "_" &amp; $C43,"")</f>
        <v/>
      </c>
      <c r="F43" s="187"/>
      <c r="G43" s="77" t="str">
        <f t="shared" si="1"/>
        <v/>
      </c>
      <c r="O43" s="185">
        <v>9</v>
      </c>
      <c r="P43" s="154"/>
      <c r="Q43" s="154"/>
      <c r="R43" s="187"/>
    </row>
    <row r="44" spans="2:18">
      <c r="B44" s="185">
        <v>10</v>
      </c>
      <c r="C44" s="154"/>
      <c r="D44" s="24"/>
      <c r="E44" s="77" t="str">
        <f>IF($C44&lt;&gt;"","ALERT_" &amp; UPPER(Matrix!$D$6) &amp; "_" &amp; $C44,"")</f>
        <v/>
      </c>
      <c r="F44" s="187"/>
      <c r="G44" s="77" t="str">
        <f t="shared" si="1"/>
        <v/>
      </c>
      <c r="O44" s="185">
        <v>10</v>
      </c>
      <c r="P44" s="154"/>
      <c r="Q44" s="154"/>
      <c r="R44" s="187"/>
    </row>
    <row r="45" spans="2:18">
      <c r="B45" s="185">
        <v>11</v>
      </c>
      <c r="C45" s="154"/>
      <c r="D45" s="24"/>
      <c r="E45" s="77" t="str">
        <f>IF($C45&lt;&gt;"","ALERT_" &amp; UPPER(Matrix!$D$6) &amp; "_" &amp; $C45,"")</f>
        <v/>
      </c>
      <c r="F45" s="187"/>
      <c r="G45" s="77" t="str">
        <f t="shared" si="1"/>
        <v/>
      </c>
      <c r="O45" s="185">
        <v>11</v>
      </c>
      <c r="P45" s="154"/>
      <c r="Q45" s="154"/>
      <c r="R45" s="187"/>
    </row>
    <row r="46" spans="2:18">
      <c r="B46" s="185">
        <v>12</v>
      </c>
      <c r="C46" s="154"/>
      <c r="D46" s="24"/>
      <c r="E46" s="77" t="str">
        <f>IF($C46&lt;&gt;"","ALERT_" &amp; UPPER(Matrix!$D$6) &amp; "_" &amp; $C46,"")</f>
        <v/>
      </c>
      <c r="F46" s="187"/>
      <c r="G46" s="77" t="str">
        <f t="shared" si="1"/>
        <v/>
      </c>
      <c r="O46" s="185">
        <v>12</v>
      </c>
      <c r="P46" s="154"/>
      <c r="Q46" s="154"/>
      <c r="R46" s="187"/>
    </row>
    <row r="47" spans="2:18">
      <c r="B47" s="185">
        <v>13</v>
      </c>
      <c r="C47" s="154"/>
      <c r="D47" s="24"/>
      <c r="E47" s="77" t="str">
        <f>IF($C47&lt;&gt;"","ALERT_" &amp; UPPER(Matrix!$D$6) &amp; "_" &amp; $C47,"")</f>
        <v/>
      </c>
      <c r="F47" s="187"/>
      <c r="G47" s="77" t="str">
        <f t="shared" si="1"/>
        <v/>
      </c>
      <c r="O47" s="185">
        <v>13</v>
      </c>
      <c r="P47" s="154"/>
      <c r="Q47" s="154"/>
      <c r="R47" s="187"/>
    </row>
    <row r="48" spans="2:18">
      <c r="B48" s="185">
        <v>14</v>
      </c>
      <c r="C48" s="154"/>
      <c r="D48" s="24"/>
      <c r="E48" s="77" t="str">
        <f>IF($C48&lt;&gt;"","ALERT_" &amp; UPPER(Matrix!$D$6) &amp; "_" &amp; $C48,"")</f>
        <v/>
      </c>
      <c r="F48" s="187"/>
      <c r="G48" s="77" t="str">
        <f t="shared" si="1"/>
        <v/>
      </c>
      <c r="O48" s="185">
        <v>14</v>
      </c>
      <c r="P48" s="154"/>
      <c r="Q48" s="154"/>
      <c r="R48" s="187"/>
    </row>
    <row r="49" spans="2:18">
      <c r="B49" s="185">
        <v>15</v>
      </c>
      <c r="C49" s="154"/>
      <c r="D49" s="24"/>
      <c r="E49" s="77" t="str">
        <f>IF($C49&lt;&gt;"","ALERT_" &amp; UPPER(Matrix!$D$6) &amp; "_" &amp; $C49,"")</f>
        <v/>
      </c>
      <c r="F49" s="187"/>
      <c r="G49" s="77" t="str">
        <f t="shared" si="1"/>
        <v/>
      </c>
      <c r="O49" s="185">
        <v>15</v>
      </c>
      <c r="P49" s="154"/>
      <c r="Q49" s="154"/>
      <c r="R49" s="187"/>
    </row>
    <row r="50" spans="2:18">
      <c r="B50" s="185">
        <v>16</v>
      </c>
      <c r="C50" s="154"/>
      <c r="D50" s="24"/>
      <c r="E50" s="77" t="str">
        <f>IF($C50&lt;&gt;"","ALERT_" &amp; UPPER(Matrix!$D$6) &amp; "_" &amp; $C50,"")</f>
        <v/>
      </c>
      <c r="F50" s="187"/>
      <c r="G50" s="77" t="str">
        <f t="shared" si="1"/>
        <v/>
      </c>
      <c r="O50" s="185">
        <v>16</v>
      </c>
      <c r="P50" s="154"/>
      <c r="Q50" s="154"/>
      <c r="R50" s="187"/>
    </row>
    <row r="51" spans="2:18">
      <c r="B51" s="185">
        <v>17</v>
      </c>
      <c r="C51" s="154"/>
      <c r="D51" s="24"/>
      <c r="E51" s="77" t="str">
        <f>IF($C51&lt;&gt;"","ALERT_" &amp; UPPER(Matrix!$D$6) &amp; "_" &amp; $C51,"")</f>
        <v/>
      </c>
      <c r="F51" s="187"/>
      <c r="G51" s="77" t="str">
        <f t="shared" si="1"/>
        <v/>
      </c>
      <c r="O51" s="185">
        <v>17</v>
      </c>
      <c r="P51" s="154"/>
      <c r="Q51" s="154"/>
      <c r="R51" s="187"/>
    </row>
    <row r="52" spans="2:18">
      <c r="B52" s="185">
        <v>18</v>
      </c>
      <c r="C52" s="154"/>
      <c r="D52" s="24"/>
      <c r="E52" s="77" t="str">
        <f>IF($C52&lt;&gt;"","ALERT_" &amp; UPPER(Matrix!$D$6) &amp; "_" &amp; $C52,"")</f>
        <v/>
      </c>
      <c r="F52" s="187"/>
      <c r="G52" s="77" t="str">
        <f t="shared" si="1"/>
        <v/>
      </c>
      <c r="O52" s="185">
        <v>18</v>
      </c>
      <c r="P52" s="154"/>
      <c r="Q52" s="154"/>
      <c r="R52" s="187"/>
    </row>
    <row r="53" spans="2:18">
      <c r="B53" s="185">
        <v>19</v>
      </c>
      <c r="C53" s="154"/>
      <c r="D53" s="24"/>
      <c r="E53" s="77" t="str">
        <f>IF($C53&lt;&gt;"","ALERT_" &amp; UPPER(Matrix!$D$6) &amp; "_" &amp; $C53,"")</f>
        <v/>
      </c>
      <c r="F53" s="187"/>
      <c r="G53" s="77" t="str">
        <f t="shared" si="1"/>
        <v/>
      </c>
      <c r="O53" s="185">
        <v>19</v>
      </c>
      <c r="P53" s="154"/>
      <c r="Q53" s="154"/>
      <c r="R53" s="187"/>
    </row>
    <row r="54" spans="2:18">
      <c r="B54" s="185">
        <v>20</v>
      </c>
      <c r="C54" s="154"/>
      <c r="D54" s="24"/>
      <c r="E54" s="77" t="str">
        <f>IF($C54&lt;&gt;"","ALERT_" &amp; UPPER(Matrix!$D$6) &amp; "_" &amp; $C54,"")</f>
        <v/>
      </c>
      <c r="F54" s="187"/>
      <c r="G54" s="77" t="str">
        <f t="shared" si="1"/>
        <v/>
      </c>
      <c r="O54" s="185">
        <v>20</v>
      </c>
      <c r="P54" s="154"/>
      <c r="Q54" s="154"/>
      <c r="R54" s="187"/>
    </row>
    <row r="55" spans="2:18">
      <c r="B55" s="185">
        <v>21</v>
      </c>
      <c r="C55" s="154"/>
      <c r="D55" s="24"/>
      <c r="E55" s="77" t="str">
        <f>IF($C55&lt;&gt;"","ALERT_" &amp; UPPER(Matrix!$D$6) &amp; "_" &amp; $C55,"")</f>
        <v/>
      </c>
      <c r="F55" s="187"/>
      <c r="G55" s="77" t="str">
        <f t="shared" si="1"/>
        <v/>
      </c>
      <c r="O55" s="185">
        <v>21</v>
      </c>
      <c r="P55" s="154"/>
      <c r="Q55" s="154"/>
      <c r="R55" s="187"/>
    </row>
    <row r="56" spans="2:18">
      <c r="B56" s="185">
        <v>22</v>
      </c>
      <c r="C56" s="154"/>
      <c r="D56" s="24"/>
      <c r="E56" s="77" t="str">
        <f>IF($C56&lt;&gt;"","ALERT_" &amp; UPPER(Matrix!$D$6) &amp; "_" &amp; $C56,"")</f>
        <v/>
      </c>
      <c r="F56" s="187"/>
      <c r="G56" s="77" t="str">
        <f t="shared" si="1"/>
        <v/>
      </c>
      <c r="O56" s="185">
        <v>22</v>
      </c>
      <c r="P56" s="154"/>
      <c r="Q56" s="154"/>
      <c r="R56" s="187"/>
    </row>
    <row r="57" spans="2:18">
      <c r="B57" s="185">
        <v>23</v>
      </c>
      <c r="C57" s="154"/>
      <c r="D57" s="24"/>
      <c r="E57" s="77" t="str">
        <f>IF($C57&lt;&gt;"","ALERT_" &amp; UPPER(Matrix!$D$6) &amp; "_" &amp; $C57,"")</f>
        <v/>
      </c>
      <c r="F57" s="187"/>
      <c r="G57" s="77" t="str">
        <f t="shared" si="1"/>
        <v/>
      </c>
      <c r="O57" s="185">
        <v>23</v>
      </c>
      <c r="P57" s="154"/>
      <c r="Q57" s="154"/>
      <c r="R57" s="187"/>
    </row>
    <row r="58" spans="2:18">
      <c r="B58" s="185">
        <v>24</v>
      </c>
      <c r="C58" s="154"/>
      <c r="D58" s="24"/>
      <c r="E58" s="77" t="str">
        <f>IF($C58&lt;&gt;"","ALERT_" &amp; UPPER(Matrix!$D$6) &amp; "_" &amp; $C58,"")</f>
        <v/>
      </c>
      <c r="F58" s="187"/>
      <c r="G58" s="77" t="str">
        <f t="shared" si="1"/>
        <v/>
      </c>
      <c r="O58" s="185">
        <v>24</v>
      </c>
      <c r="P58" s="154"/>
      <c r="Q58" s="154"/>
      <c r="R58" s="187"/>
    </row>
    <row r="59" spans="2:18" ht="13.5" thickBot="1">
      <c r="B59" s="186">
        <v>25</v>
      </c>
      <c r="C59" s="152"/>
      <c r="D59" s="63"/>
      <c r="E59" s="78" t="str">
        <f>IF($C59&lt;&gt;"","ALERT_" &amp; UPPER(Matrix!$D$6) &amp; "_" &amp; $C59,"")</f>
        <v/>
      </c>
      <c r="F59" s="188"/>
      <c r="G59" s="78" t="str">
        <f t="shared" si="1"/>
        <v/>
      </c>
      <c r="O59" s="186">
        <v>25</v>
      </c>
      <c r="P59" s="152"/>
      <c r="Q59" s="152"/>
      <c r="R59" s="188"/>
    </row>
  </sheetData>
  <sheetProtection sheet="1" objects="1" scenarios="1"/>
  <protectedRanges>
    <protectedRange sqref="C5:D29 P5:R29 F5:F29 C35:D59 F35:F59 P35:R59" name="編集許可"/>
  </protectedRanges>
  <customSheetViews>
    <customSheetView guid="{835E1E8D-859C-4113-A3E5-0B83A29207D2}" hiddenRows="1">
      <pageMargins left="0.7" right="0.7" top="0.75" bottom="0.75" header="0.3" footer="0.3"/>
      <pageSetup paperSize="9" orientation="portrait" r:id="rId1"/>
    </customSheetView>
  </customSheetView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25.1796875" bestFit="1" customWidth="1"/>
    <col min="7" max="7" width="12.36328125" customWidth="1"/>
    <col min="8" max="8" width="31.90625" bestFit="1" customWidth="1"/>
    <col min="9" max="9" width="12.36328125" customWidth="1"/>
    <col min="10" max="10" width="31.90625"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102" t="s">
        <v>104</v>
      </c>
    </row>
    <row r="2" spans="2:21" ht="13.5" thickBot="1">
      <c r="B2" s="110" t="s">
        <v>61</v>
      </c>
      <c r="C2" s="111" t="s">
        <v>122</v>
      </c>
      <c r="D2" s="112" t="s">
        <v>55</v>
      </c>
      <c r="E2" s="113" t="s">
        <v>56</v>
      </c>
      <c r="F2" s="114" t="s">
        <v>23</v>
      </c>
      <c r="G2" s="113" t="s">
        <v>57</v>
      </c>
      <c r="H2" s="114" t="s">
        <v>25</v>
      </c>
      <c r="I2" s="113" t="s">
        <v>58</v>
      </c>
      <c r="J2" s="114" t="s">
        <v>166</v>
      </c>
      <c r="K2" s="113" t="s">
        <v>59</v>
      </c>
      <c r="L2" s="114" t="s">
        <v>26</v>
      </c>
      <c r="M2" s="111" t="s">
        <v>60</v>
      </c>
      <c r="N2" s="114" t="s">
        <v>117</v>
      </c>
      <c r="O2" s="132" t="s">
        <v>83</v>
      </c>
    </row>
    <row r="3" spans="2:21" ht="14" hidden="1" thickTop="1" thickBot="1">
      <c r="B3" s="25"/>
      <c r="C3" s="60" t="s">
        <v>108</v>
      </c>
      <c r="D3" s="125"/>
      <c r="E3" s="12"/>
      <c r="F3" s="14"/>
      <c r="G3" s="12"/>
      <c r="H3" s="14"/>
      <c r="I3" s="12"/>
      <c r="J3" s="14"/>
      <c r="K3" s="12"/>
      <c r="L3" s="14"/>
      <c r="M3" s="61"/>
      <c r="N3" s="121"/>
      <c r="O3" s="133"/>
      <c r="U3" s="106" t="s">
        <v>98</v>
      </c>
    </row>
    <row r="4" spans="2:21" ht="13.5" thickTop="1">
      <c r="B4" s="120" t="s">
        <v>223</v>
      </c>
      <c r="C4" s="119" t="s">
        <v>224</v>
      </c>
      <c r="D4" s="130">
        <v>0</v>
      </c>
      <c r="E4" s="120" t="s">
        <v>126</v>
      </c>
      <c r="F4" s="200" t="s">
        <v>297</v>
      </c>
      <c r="G4" s="120" t="s">
        <v>126</v>
      </c>
      <c r="H4" s="199" t="s">
        <v>30</v>
      </c>
      <c r="I4" s="120" t="s">
        <v>126</v>
      </c>
      <c r="J4" s="199" t="s">
        <v>30</v>
      </c>
      <c r="K4" s="120" t="s">
        <v>126</v>
      </c>
      <c r="L4" s="199" t="s">
        <v>30</v>
      </c>
      <c r="M4" s="61">
        <f ca="1">LEN(N4)</f>
        <v>28</v>
      </c>
      <c r="N4" s="121" t="str">
        <f ca="1">VLOOKUP($B4,Matrix!$H$13:$I$37,2,FALSE)&amp;"_"&amp;C4</f>
        <v>ALERT_REQ_C_EPB_TT_PKB_TT_ON</v>
      </c>
      <c r="O4" s="133" t="str">
        <f t="shared" ref="O4:O35" ca="1" si="0">"#define "&amp;N4&amp;REPT(" ",48-M4)&amp;"("&amp;D4&amp;"U)"</f>
        <v>#define ALERT_REQ_C_EPB_TT_PKB_TT_ON                    (0U)</v>
      </c>
      <c r="U4" s="106" t="s">
        <v>98</v>
      </c>
    </row>
    <row r="5" spans="2:21">
      <c r="B5" s="120" t="s">
        <v>223</v>
      </c>
      <c r="C5" s="119" t="s">
        <v>225</v>
      </c>
      <c r="D5" s="131">
        <v>1</v>
      </c>
      <c r="E5" s="120" t="s">
        <v>126</v>
      </c>
      <c r="F5" s="200" t="s">
        <v>298</v>
      </c>
      <c r="G5" s="120" t="s">
        <v>126</v>
      </c>
      <c r="H5" s="199" t="s">
        <v>30</v>
      </c>
      <c r="I5" s="120" t="s">
        <v>126</v>
      </c>
      <c r="J5" s="199" t="s">
        <v>30</v>
      </c>
      <c r="K5" s="120" t="s">
        <v>126</v>
      </c>
      <c r="L5" s="199" t="s">
        <v>30</v>
      </c>
      <c r="M5" s="56">
        <f t="shared" ref="M5:M68" ca="1" si="1">LEN(N5)</f>
        <v>32</v>
      </c>
      <c r="N5" s="121" t="str">
        <f ca="1">VLOOKUP($B5,Matrix!$H$13:$I$37,2,FALSE)&amp;"_"&amp;C5</f>
        <v>ALERT_REQ_C_EPB_TT_PKB_FLASH_1HZ</v>
      </c>
      <c r="O5" s="134" t="str">
        <f t="shared" ca="1" si="0"/>
        <v>#define ALERT_REQ_C_EPB_TT_PKB_FLASH_1HZ                (1U)</v>
      </c>
      <c r="U5" s="104" t="s">
        <v>99</v>
      </c>
    </row>
    <row r="6" spans="2:21">
      <c r="B6" s="120" t="s">
        <v>223</v>
      </c>
      <c r="C6" s="119" t="s">
        <v>226</v>
      </c>
      <c r="D6" s="131">
        <v>2</v>
      </c>
      <c r="E6" s="120" t="s">
        <v>126</v>
      </c>
      <c r="F6" s="200" t="s">
        <v>299</v>
      </c>
      <c r="G6" s="120" t="s">
        <v>126</v>
      </c>
      <c r="H6" s="199" t="s">
        <v>30</v>
      </c>
      <c r="I6" s="120" t="s">
        <v>126</v>
      </c>
      <c r="J6" s="199" t="s">
        <v>30</v>
      </c>
      <c r="K6" s="120" t="s">
        <v>126</v>
      </c>
      <c r="L6" s="199" t="s">
        <v>30</v>
      </c>
      <c r="M6" s="56">
        <f t="shared" ca="1" si="1"/>
        <v>32</v>
      </c>
      <c r="N6" s="121" t="str">
        <f ca="1">VLOOKUP($B6,Matrix!$H$13:$I$37,2,FALSE)&amp;"_"&amp;C6</f>
        <v>ALERT_REQ_C_EPB_TT_PKB_FLASH_2HZ</v>
      </c>
      <c r="O6" s="134" t="str">
        <f t="shared" ca="1" si="0"/>
        <v>#define ALERT_REQ_C_EPB_TT_PKB_FLASH_2HZ                (2U)</v>
      </c>
      <c r="U6" s="32" t="s">
        <v>100</v>
      </c>
    </row>
    <row r="7" spans="2:21">
      <c r="B7" s="120" t="s">
        <v>223</v>
      </c>
      <c r="C7" s="119" t="s">
        <v>227</v>
      </c>
      <c r="D7" s="130">
        <v>3</v>
      </c>
      <c r="E7" s="120" t="s">
        <v>126</v>
      </c>
      <c r="F7" s="199" t="s">
        <v>300</v>
      </c>
      <c r="G7" s="120" t="s">
        <v>126</v>
      </c>
      <c r="H7" s="199" t="s">
        <v>30</v>
      </c>
      <c r="I7" s="120" t="s">
        <v>126</v>
      </c>
      <c r="J7" s="199" t="s">
        <v>30</v>
      </c>
      <c r="K7" s="120" t="s">
        <v>126</v>
      </c>
      <c r="L7" s="199" t="s">
        <v>30</v>
      </c>
      <c r="M7" s="56">
        <f t="shared" ca="1" si="1"/>
        <v>32</v>
      </c>
      <c r="N7" s="121" t="str">
        <f ca="1">VLOOKUP($B7,Matrix!$H$13:$I$37,2,FALSE)&amp;"_"&amp;C7</f>
        <v>ALERT_REQ_C_EPB_TT_PKB_FLASH_4HZ</v>
      </c>
      <c r="O7" s="134" t="str">
        <f t="shared" ca="1" si="0"/>
        <v>#define ALERT_REQ_C_EPB_TT_PKB_FLASH_4HZ                (3U)</v>
      </c>
      <c r="U7" s="32" t="s">
        <v>101</v>
      </c>
    </row>
    <row r="8" spans="2:21">
      <c r="B8" s="120" t="s">
        <v>228</v>
      </c>
      <c r="C8" s="119" t="s">
        <v>230</v>
      </c>
      <c r="D8" s="130">
        <v>0</v>
      </c>
      <c r="E8" s="120" t="s">
        <v>126</v>
      </c>
      <c r="F8" s="199" t="s">
        <v>30</v>
      </c>
      <c r="G8" s="120" t="s">
        <v>126</v>
      </c>
      <c r="H8" s="199" t="s">
        <v>444</v>
      </c>
      <c r="I8" s="120" t="s">
        <v>126</v>
      </c>
      <c r="J8" s="199" t="s">
        <v>445</v>
      </c>
      <c r="K8" s="120" t="s">
        <v>126</v>
      </c>
      <c r="L8" s="199" t="s">
        <v>30</v>
      </c>
      <c r="M8" s="56">
        <f t="shared" ca="1" si="1"/>
        <v>27</v>
      </c>
      <c r="N8" s="121" t="str">
        <f ca="1">VLOOKUP($B8,Matrix!$H$13:$I$37,2,FALSE)&amp;"_"&amp;C8</f>
        <v>ALERT_REQ_C_EPB_WRN_IG_LOCK</v>
      </c>
      <c r="O8" s="134" t="str">
        <f t="shared" ca="1" si="0"/>
        <v>#define ALERT_REQ_C_EPB_WRN_IG_LOCK                     (0U)</v>
      </c>
      <c r="U8" s="32" t="s">
        <v>102</v>
      </c>
    </row>
    <row r="9" spans="2:21">
      <c r="B9" s="120" t="s">
        <v>228</v>
      </c>
      <c r="C9" s="119" t="s">
        <v>231</v>
      </c>
      <c r="D9" s="130">
        <v>1</v>
      </c>
      <c r="E9" s="120" t="s">
        <v>126</v>
      </c>
      <c r="F9" s="199" t="s">
        <v>30</v>
      </c>
      <c r="G9" s="120" t="s">
        <v>126</v>
      </c>
      <c r="H9" s="199" t="s">
        <v>30</v>
      </c>
      <c r="I9" s="120" t="s">
        <v>126</v>
      </c>
      <c r="J9" s="199" t="s">
        <v>446</v>
      </c>
      <c r="K9" s="120" t="s">
        <v>126</v>
      </c>
      <c r="L9" s="199" t="s">
        <v>30</v>
      </c>
      <c r="M9" s="56">
        <f t="shared" ca="1" si="1"/>
        <v>30</v>
      </c>
      <c r="N9" s="121" t="str">
        <f ca="1">VLOOKUP($B9,Matrix!$H$13:$I$37,2,FALSE)&amp;"_"&amp;C9</f>
        <v>ALERT_REQ_C_EPB_WRN_IG_ADVICE1</v>
      </c>
      <c r="O9" s="134" t="str">
        <f t="shared" ca="1" si="0"/>
        <v>#define ALERT_REQ_C_EPB_WRN_IG_ADVICE1                  (1U)</v>
      </c>
      <c r="U9" s="32" t="s">
        <v>103</v>
      </c>
    </row>
    <row r="10" spans="2:21">
      <c r="B10" s="120" t="s">
        <v>228</v>
      </c>
      <c r="C10" s="119" t="s">
        <v>208</v>
      </c>
      <c r="D10" s="130">
        <v>2</v>
      </c>
      <c r="E10" s="120" t="s">
        <v>126</v>
      </c>
      <c r="F10" s="199" t="s">
        <v>30</v>
      </c>
      <c r="G10" s="120" t="s">
        <v>126</v>
      </c>
      <c r="H10" s="199" t="s">
        <v>30</v>
      </c>
      <c r="I10" s="120" t="s">
        <v>126</v>
      </c>
      <c r="J10" s="199" t="s">
        <v>447</v>
      </c>
      <c r="K10" s="120" t="s">
        <v>126</v>
      </c>
      <c r="L10" s="199" t="s">
        <v>30</v>
      </c>
      <c r="M10" s="56">
        <f t="shared" ca="1" si="1"/>
        <v>29</v>
      </c>
      <c r="N10" s="121" t="str">
        <f ca="1">VLOOKUP($B10,Matrix!$H$13:$I$37,2,FALSE)&amp;"_"&amp;C10</f>
        <v>ALERT_REQ_C_EPB_WRN_IG_ACTIVE</v>
      </c>
      <c r="O10" s="134" t="str">
        <f t="shared" ca="1" si="0"/>
        <v>#define ALERT_REQ_C_EPB_WRN_IG_ACTIVE                   (2U)</v>
      </c>
      <c r="U10" s="32"/>
    </row>
    <row r="11" spans="2:21">
      <c r="B11" s="120" t="s">
        <v>228</v>
      </c>
      <c r="C11" s="24" t="s">
        <v>232</v>
      </c>
      <c r="D11" s="130">
        <v>3</v>
      </c>
      <c r="E11" s="120" t="s">
        <v>126</v>
      </c>
      <c r="F11" s="199" t="s">
        <v>30</v>
      </c>
      <c r="G11" s="120" t="s">
        <v>126</v>
      </c>
      <c r="H11" s="199" t="s">
        <v>30</v>
      </c>
      <c r="I11" s="120" t="s">
        <v>126</v>
      </c>
      <c r="J11" s="199" t="s">
        <v>448</v>
      </c>
      <c r="K11" s="120" t="s">
        <v>126</v>
      </c>
      <c r="L11" s="199" t="s">
        <v>30</v>
      </c>
      <c r="M11" s="56">
        <f t="shared" ca="1" si="1"/>
        <v>31</v>
      </c>
      <c r="N11" s="121" t="str">
        <f ca="1">VLOOKUP($B11,Matrix!$H$13:$I$37,2,FALSE)&amp;"_"&amp;C11</f>
        <v>ALERT_REQ_C_EPB_WRN_IG_DEACTIVE</v>
      </c>
      <c r="O11" s="134" t="str">
        <f t="shared" ca="1" si="0"/>
        <v>#define ALERT_REQ_C_EPB_WRN_IG_DEACTIVE                 (3U)</v>
      </c>
      <c r="U11" s="32"/>
    </row>
    <row r="12" spans="2:21">
      <c r="B12" s="120" t="s">
        <v>228</v>
      </c>
      <c r="C12" s="24" t="s">
        <v>233</v>
      </c>
      <c r="D12" s="130">
        <v>4</v>
      </c>
      <c r="E12" s="120" t="s">
        <v>126</v>
      </c>
      <c r="F12" s="199" t="s">
        <v>30</v>
      </c>
      <c r="G12" s="120" t="s">
        <v>126</v>
      </c>
      <c r="H12" s="199" t="s">
        <v>30</v>
      </c>
      <c r="I12" s="120" t="s">
        <v>126</v>
      </c>
      <c r="J12" s="199" t="s">
        <v>449</v>
      </c>
      <c r="K12" s="120" t="s">
        <v>126</v>
      </c>
      <c r="L12" s="199" t="s">
        <v>30</v>
      </c>
      <c r="M12" s="56">
        <f t="shared" ca="1" si="1"/>
        <v>30</v>
      </c>
      <c r="N12" s="121" t="str">
        <f ca="1">VLOOKUP($B12,Matrix!$H$13:$I$37,2,FALSE)&amp;"_"&amp;C12</f>
        <v>ALERT_REQ_C_EPB_WRN_IG_ADVICE2</v>
      </c>
      <c r="O12" s="134" t="str">
        <f t="shared" ca="1" si="0"/>
        <v>#define ALERT_REQ_C_EPB_WRN_IG_ADVICE2                  (4U)</v>
      </c>
      <c r="U12" s="32"/>
    </row>
    <row r="13" spans="2:21" ht="13.5" thickBot="1">
      <c r="B13" s="120" t="s">
        <v>228</v>
      </c>
      <c r="C13" s="119" t="s">
        <v>234</v>
      </c>
      <c r="D13" s="130">
        <v>5</v>
      </c>
      <c r="E13" s="120" t="s">
        <v>126</v>
      </c>
      <c r="F13" s="199" t="s">
        <v>30</v>
      </c>
      <c r="G13" s="120" t="s">
        <v>126</v>
      </c>
      <c r="H13" s="199" t="s">
        <v>30</v>
      </c>
      <c r="I13" s="120" t="s">
        <v>222</v>
      </c>
      <c r="J13" s="199" t="s">
        <v>450</v>
      </c>
      <c r="K13" s="120" t="s">
        <v>222</v>
      </c>
      <c r="L13" s="199" t="s">
        <v>229</v>
      </c>
      <c r="M13" s="56">
        <f t="shared" ca="1" si="1"/>
        <v>30</v>
      </c>
      <c r="N13" s="121" t="str">
        <f ca="1">VLOOKUP($B13,Matrix!$H$13:$I$37,2,FALSE)&amp;"_"&amp;C13</f>
        <v>ALERT_REQ_C_EPB_WRN_IG_MALFUNC</v>
      </c>
      <c r="O13" s="134" t="str">
        <f t="shared" ca="1" si="0"/>
        <v>#define ALERT_REQ_C_EPB_WRN_IG_MALFUNC                  (5U)</v>
      </c>
      <c r="U13" s="105"/>
    </row>
    <row r="14" spans="2:21">
      <c r="B14" s="120" t="s">
        <v>228</v>
      </c>
      <c r="C14" s="119" t="s">
        <v>235</v>
      </c>
      <c r="D14" s="130">
        <v>6</v>
      </c>
      <c r="E14" s="120" t="s">
        <v>126</v>
      </c>
      <c r="F14" s="199" t="s">
        <v>30</v>
      </c>
      <c r="G14" s="120" t="s">
        <v>126</v>
      </c>
      <c r="H14" s="199" t="s">
        <v>30</v>
      </c>
      <c r="I14" s="120" t="s">
        <v>126</v>
      </c>
      <c r="J14" s="199" t="s">
        <v>451</v>
      </c>
      <c r="K14" s="120" t="s">
        <v>126</v>
      </c>
      <c r="L14" s="199" t="s">
        <v>30</v>
      </c>
      <c r="M14" s="56">
        <f t="shared" ca="1" si="1"/>
        <v>32</v>
      </c>
      <c r="N14" s="121" t="str">
        <f ca="1">VLOOKUP($B14,Matrix!$H$13:$I$37,2,FALSE)&amp;"_"&amp;C14</f>
        <v>ALERT_REQ_C_EPB_WRN_IG_UNRELABLE</v>
      </c>
      <c r="O14" s="134" t="str">
        <f t="shared" ca="1" si="0"/>
        <v>#define ALERT_REQ_C_EPB_WRN_IG_UNRELABLE                (6U)</v>
      </c>
    </row>
    <row r="15" spans="2:21">
      <c r="B15" s="25" t="s">
        <v>236</v>
      </c>
      <c r="C15" s="24" t="s">
        <v>231</v>
      </c>
      <c r="D15" s="130">
        <v>0</v>
      </c>
      <c r="E15" s="120" t="s">
        <v>126</v>
      </c>
      <c r="F15" s="199" t="s">
        <v>30</v>
      </c>
      <c r="G15" s="120" t="s">
        <v>126</v>
      </c>
      <c r="H15" s="127" t="s">
        <v>30</v>
      </c>
      <c r="I15" s="120" t="s">
        <v>126</v>
      </c>
      <c r="J15" s="199" t="s">
        <v>452</v>
      </c>
      <c r="K15" s="120" t="s">
        <v>126</v>
      </c>
      <c r="L15" s="199" t="s">
        <v>30</v>
      </c>
      <c r="M15" s="56">
        <f t="shared" ca="1" si="1"/>
        <v>31</v>
      </c>
      <c r="N15" s="121" t="str">
        <f ca="1">VLOOKUP($B15,Matrix!$H$13:$I$37,2,FALSE)&amp;"_"&amp;C15</f>
        <v>ALERT_REQ_C_EPB_WRN_BAT_ADVICE1</v>
      </c>
      <c r="O15" s="134" t="str">
        <f t="shared" ca="1" si="0"/>
        <v>#define ALERT_REQ_C_EPB_WRN_BAT_ADVICE1                 (0U)</v>
      </c>
    </row>
    <row r="16" spans="2:21">
      <c r="B16" s="120" t="s">
        <v>236</v>
      </c>
      <c r="C16" s="119" t="s">
        <v>237</v>
      </c>
      <c r="D16" s="130">
        <v>1</v>
      </c>
      <c r="E16" s="120" t="s">
        <v>126</v>
      </c>
      <c r="F16" s="199" t="s">
        <v>30</v>
      </c>
      <c r="G16" s="120" t="s">
        <v>126</v>
      </c>
      <c r="H16" s="199" t="s">
        <v>30</v>
      </c>
      <c r="I16" s="120" t="s">
        <v>126</v>
      </c>
      <c r="J16" s="199" t="s">
        <v>453</v>
      </c>
      <c r="K16" s="120" t="s">
        <v>126</v>
      </c>
      <c r="L16" s="199" t="s">
        <v>30</v>
      </c>
      <c r="M16" s="56">
        <f t="shared" ca="1" si="1"/>
        <v>32</v>
      </c>
      <c r="N16" s="121" t="str">
        <f ca="1">VLOOKUP($B16,Matrix!$H$13:$I$37,2,FALSE)&amp;"_"&amp;C16</f>
        <v>ALERT_REQ_C_EPB_WRN_BAT_AUTOLOCK</v>
      </c>
      <c r="O16" s="134" t="str">
        <f t="shared" ca="1" si="0"/>
        <v>#define ALERT_REQ_C_EPB_WRN_BAT_AUTOLOCK                (1U)</v>
      </c>
    </row>
    <row r="17" spans="2:15">
      <c r="B17" s="120" t="s">
        <v>236</v>
      </c>
      <c r="C17" s="24" t="s">
        <v>233</v>
      </c>
      <c r="D17" s="130">
        <v>2</v>
      </c>
      <c r="E17" s="120" t="s">
        <v>126</v>
      </c>
      <c r="F17" s="199" t="s">
        <v>30</v>
      </c>
      <c r="G17" s="120" t="s">
        <v>126</v>
      </c>
      <c r="H17" s="127" t="s">
        <v>30</v>
      </c>
      <c r="I17" s="120" t="s">
        <v>126</v>
      </c>
      <c r="J17" s="199" t="s">
        <v>454</v>
      </c>
      <c r="K17" s="120" t="s">
        <v>126</v>
      </c>
      <c r="L17" s="199" t="s">
        <v>30</v>
      </c>
      <c r="M17" s="56">
        <f t="shared" ca="1" si="1"/>
        <v>31</v>
      </c>
      <c r="N17" s="121" t="str">
        <f ca="1">VLOOKUP($B17,Matrix!$H$13:$I$37,2,FALSE)&amp;"_"&amp;C17</f>
        <v>ALERT_REQ_C_EPB_WRN_BAT_ADVICE2</v>
      </c>
      <c r="O17" s="134" t="str">
        <f t="shared" ca="1" si="0"/>
        <v>#define ALERT_REQ_C_EPB_WRN_BAT_ADVICE2                 (2U)</v>
      </c>
    </row>
    <row r="18" spans="2:15">
      <c r="B18" s="120" t="s">
        <v>236</v>
      </c>
      <c r="C18" s="24" t="s">
        <v>238</v>
      </c>
      <c r="D18" s="130">
        <v>3</v>
      </c>
      <c r="E18" s="120" t="s">
        <v>126</v>
      </c>
      <c r="F18" s="199" t="s">
        <v>30</v>
      </c>
      <c r="G18" s="120" t="s">
        <v>126</v>
      </c>
      <c r="H18" s="199" t="s">
        <v>30</v>
      </c>
      <c r="I18" s="120" t="s">
        <v>126</v>
      </c>
      <c r="J18" s="199" t="s">
        <v>455</v>
      </c>
      <c r="K18" s="120" t="s">
        <v>126</v>
      </c>
      <c r="L18" s="199" t="s">
        <v>30</v>
      </c>
      <c r="M18" s="56">
        <f t="shared" ca="1" si="1"/>
        <v>31</v>
      </c>
      <c r="N18" s="121" t="str">
        <f ca="1">VLOOKUP($B18,Matrix!$H$13:$I$37,2,FALSE)&amp;"_"&amp;C18</f>
        <v>ALERT_REQ_C_EPB_WRN_BAT_NOTUSE1</v>
      </c>
      <c r="O18" s="134" t="str">
        <f t="shared" ca="1" si="0"/>
        <v>#define ALERT_REQ_C_EPB_WRN_BAT_NOTUSE1                 (3U)</v>
      </c>
    </row>
    <row r="19" spans="2:15">
      <c r="B19" s="25" t="s">
        <v>236</v>
      </c>
      <c r="C19" s="24" t="s">
        <v>239</v>
      </c>
      <c r="D19" s="126">
        <v>4</v>
      </c>
      <c r="E19" s="25" t="s">
        <v>126</v>
      </c>
      <c r="F19" s="199" t="s">
        <v>30</v>
      </c>
      <c r="G19" s="25" t="s">
        <v>126</v>
      </c>
      <c r="H19" s="127" t="s">
        <v>30</v>
      </c>
      <c r="I19" s="25" t="s">
        <v>126</v>
      </c>
      <c r="J19" s="127" t="s">
        <v>456</v>
      </c>
      <c r="K19" s="25" t="s">
        <v>126</v>
      </c>
      <c r="L19" s="127" t="s">
        <v>30</v>
      </c>
      <c r="M19" s="56">
        <f t="shared" ca="1" si="1"/>
        <v>31</v>
      </c>
      <c r="N19" s="121" t="str">
        <f ca="1">VLOOKUP($B19,Matrix!$H$13:$I$37,2,FALSE)&amp;"_"&amp;C19</f>
        <v>ALERT_REQ_C_EPB_WRN_BAT_NOTUSE2</v>
      </c>
      <c r="O19" s="134" t="str">
        <f t="shared" ca="1" si="0"/>
        <v>#define ALERT_REQ_C_EPB_WRN_BAT_NOTUSE2                 (4U)</v>
      </c>
    </row>
    <row r="20" spans="2:15">
      <c r="B20" s="25" t="s">
        <v>236</v>
      </c>
      <c r="C20" s="24" t="s">
        <v>240</v>
      </c>
      <c r="D20" s="126">
        <v>5</v>
      </c>
      <c r="E20" s="25" t="s">
        <v>126</v>
      </c>
      <c r="F20" s="199" t="s">
        <v>30</v>
      </c>
      <c r="G20" s="25" t="s">
        <v>126</v>
      </c>
      <c r="H20" s="127" t="s">
        <v>30</v>
      </c>
      <c r="I20" s="25" t="s">
        <v>126</v>
      </c>
      <c r="J20" s="127" t="s">
        <v>457</v>
      </c>
      <c r="K20" s="25" t="s">
        <v>126</v>
      </c>
      <c r="L20" s="127" t="s">
        <v>30</v>
      </c>
      <c r="M20" s="56">
        <f t="shared" ca="1" si="1"/>
        <v>31</v>
      </c>
      <c r="N20" s="121" t="str">
        <f ca="1">VLOOKUP($B20,Matrix!$H$13:$I$37,2,FALSE)&amp;"_"&amp;C20</f>
        <v>ALERT_REQ_C_EPB_WRN_BAT_STOPPED</v>
      </c>
      <c r="O20" s="134" t="str">
        <f t="shared" ca="1" si="0"/>
        <v>#define ALERT_REQ_C_EPB_WRN_BAT_STOPPED                 (5U)</v>
      </c>
    </row>
    <row r="21" spans="2:15">
      <c r="B21" s="25"/>
      <c r="C21" s="24"/>
      <c r="D21" s="126"/>
      <c r="E21" s="25"/>
      <c r="F21" s="127"/>
      <c r="G21" s="25"/>
      <c r="H21" s="127"/>
      <c r="I21" s="25"/>
      <c r="J21" s="127"/>
      <c r="K21" s="25"/>
      <c r="L21" s="127"/>
      <c r="M21" s="56" t="e">
        <f t="shared" ca="1" si="1"/>
        <v>#N/A</v>
      </c>
      <c r="N21" s="121" t="e">
        <f ca="1">VLOOKUP($B21,Matrix!$H$13:$I$37,2,FALSE)&amp;"_"&amp;C21</f>
        <v>#N/A</v>
      </c>
      <c r="O21" s="134" t="e">
        <f t="shared" ca="1" si="0"/>
        <v>#N/A</v>
      </c>
    </row>
    <row r="22" spans="2:15">
      <c r="B22" s="25"/>
      <c r="C22" s="24"/>
      <c r="D22" s="126"/>
      <c r="E22" s="25"/>
      <c r="F22" s="127"/>
      <c r="G22" s="25"/>
      <c r="H22" s="127"/>
      <c r="I22" s="25"/>
      <c r="J22" s="127"/>
      <c r="K22" s="25"/>
      <c r="L22" s="127"/>
      <c r="M22" s="56" t="e">
        <f t="shared" ca="1" si="1"/>
        <v>#N/A</v>
      </c>
      <c r="N22" s="121" t="e">
        <f ca="1">VLOOKUP($B22,Matrix!$H$13:$I$37,2,FALSE)&amp;"_"&amp;C22</f>
        <v>#N/A</v>
      </c>
      <c r="O22" s="134" t="e">
        <f t="shared" ca="1" si="0"/>
        <v>#N/A</v>
      </c>
    </row>
    <row r="23" spans="2:15">
      <c r="B23" s="25"/>
      <c r="C23" s="24"/>
      <c r="D23" s="126"/>
      <c r="E23" s="25"/>
      <c r="F23" s="127"/>
      <c r="G23" s="25"/>
      <c r="H23" s="127"/>
      <c r="I23" s="25"/>
      <c r="J23" s="127"/>
      <c r="K23" s="25"/>
      <c r="L23" s="127"/>
      <c r="M23" s="56" t="e">
        <f t="shared" ca="1" si="1"/>
        <v>#N/A</v>
      </c>
      <c r="N23" s="121" t="e">
        <f ca="1">VLOOKUP($B23,Matrix!$H$13:$I$37,2,FALSE)&amp;"_"&amp;C23</f>
        <v>#N/A</v>
      </c>
      <c r="O23" s="134" t="e">
        <f t="shared" ca="1" si="0"/>
        <v>#N/A</v>
      </c>
    </row>
    <row r="24" spans="2:15">
      <c r="B24" s="25"/>
      <c r="C24" s="24"/>
      <c r="D24" s="126"/>
      <c r="E24" s="25"/>
      <c r="F24" s="127"/>
      <c r="G24" s="25"/>
      <c r="H24" s="127"/>
      <c r="I24" s="25"/>
      <c r="J24" s="127"/>
      <c r="K24" s="25"/>
      <c r="L24" s="127"/>
      <c r="M24" s="56" t="e">
        <f t="shared" ca="1" si="1"/>
        <v>#N/A</v>
      </c>
      <c r="N24" s="121" t="e">
        <f ca="1">VLOOKUP($B24,Matrix!$H$13:$I$37,2,FALSE)&amp;"_"&amp;C24</f>
        <v>#N/A</v>
      </c>
      <c r="O24" s="134" t="e">
        <f t="shared" ca="1" si="0"/>
        <v>#N/A</v>
      </c>
    </row>
    <row r="25" spans="2:15">
      <c r="B25" s="25"/>
      <c r="C25" s="24"/>
      <c r="D25" s="126"/>
      <c r="E25" s="25"/>
      <c r="F25" s="127"/>
      <c r="G25" s="25"/>
      <c r="H25" s="127"/>
      <c r="I25" s="25"/>
      <c r="J25" s="127"/>
      <c r="K25" s="25"/>
      <c r="L25" s="127"/>
      <c r="M25" s="56" t="e">
        <f t="shared" ca="1" si="1"/>
        <v>#N/A</v>
      </c>
      <c r="N25" s="121" t="e">
        <f ca="1">VLOOKUP($B25,Matrix!$H$13:$I$37,2,FALSE)&amp;"_"&amp;C25</f>
        <v>#N/A</v>
      </c>
      <c r="O25" s="134" t="e">
        <f t="shared" ca="1" si="0"/>
        <v>#N/A</v>
      </c>
    </row>
    <row r="26" spans="2:15">
      <c r="B26" s="25"/>
      <c r="C26" s="24"/>
      <c r="D26" s="126"/>
      <c r="E26" s="25"/>
      <c r="F26" s="127"/>
      <c r="G26" s="25"/>
      <c r="H26" s="127"/>
      <c r="I26" s="25"/>
      <c r="J26" s="127"/>
      <c r="K26" s="25"/>
      <c r="L26" s="127"/>
      <c r="M26" s="56" t="e">
        <f t="shared" ca="1" si="1"/>
        <v>#N/A</v>
      </c>
      <c r="N26" s="121" t="e">
        <f ca="1">VLOOKUP($B26,Matrix!$H$13:$I$37,2,FALSE)&amp;"_"&amp;C26</f>
        <v>#N/A</v>
      </c>
      <c r="O26" s="134" t="e">
        <f t="shared" ca="1" si="0"/>
        <v>#N/A</v>
      </c>
    </row>
    <row r="27" spans="2:15">
      <c r="B27" s="25"/>
      <c r="C27" s="24"/>
      <c r="D27" s="126"/>
      <c r="E27" s="25"/>
      <c r="F27" s="127"/>
      <c r="G27" s="25"/>
      <c r="H27" s="127"/>
      <c r="I27" s="25"/>
      <c r="J27" s="127"/>
      <c r="K27" s="25"/>
      <c r="L27" s="127"/>
      <c r="M27" s="56" t="e">
        <f t="shared" ca="1" si="1"/>
        <v>#N/A</v>
      </c>
      <c r="N27" s="121" t="e">
        <f ca="1">VLOOKUP($B27,Matrix!$H$13:$I$37,2,FALSE)&amp;"_"&amp;C27</f>
        <v>#N/A</v>
      </c>
      <c r="O27" s="134" t="e">
        <f t="shared" ca="1" si="0"/>
        <v>#N/A</v>
      </c>
    </row>
    <row r="28" spans="2:15">
      <c r="B28" s="25"/>
      <c r="C28" s="24"/>
      <c r="D28" s="126"/>
      <c r="E28" s="25"/>
      <c r="F28" s="127"/>
      <c r="G28" s="25"/>
      <c r="H28" s="127"/>
      <c r="I28" s="25"/>
      <c r="J28" s="127"/>
      <c r="K28" s="25"/>
      <c r="L28" s="127"/>
      <c r="M28" s="56" t="e">
        <f t="shared" ca="1" si="1"/>
        <v>#N/A</v>
      </c>
      <c r="N28" s="121" t="e">
        <f ca="1">VLOOKUP($B28,Matrix!$H$13:$I$37,2,FALSE)&amp;"_"&amp;C28</f>
        <v>#N/A</v>
      </c>
      <c r="O28" s="134" t="e">
        <f t="shared" ca="1" si="0"/>
        <v>#N/A</v>
      </c>
    </row>
    <row r="29" spans="2:15">
      <c r="B29" s="25"/>
      <c r="C29" s="24"/>
      <c r="D29" s="126"/>
      <c r="E29" s="25"/>
      <c r="F29" s="127"/>
      <c r="G29" s="25"/>
      <c r="H29" s="127"/>
      <c r="I29" s="25"/>
      <c r="J29" s="127"/>
      <c r="K29" s="25"/>
      <c r="L29" s="127"/>
      <c r="M29" s="56" t="e">
        <f t="shared" ca="1" si="1"/>
        <v>#N/A</v>
      </c>
      <c r="N29" s="121" t="e">
        <f ca="1">VLOOKUP($B29,Matrix!$H$13:$I$37,2,FALSE)&amp;"_"&amp;C29</f>
        <v>#N/A</v>
      </c>
      <c r="O29" s="134" t="e">
        <f t="shared" ca="1" si="0"/>
        <v>#N/A</v>
      </c>
    </row>
    <row r="30" spans="2:15">
      <c r="B30" s="25"/>
      <c r="C30" s="24"/>
      <c r="D30" s="126"/>
      <c r="E30" s="25"/>
      <c r="F30" s="127"/>
      <c r="G30" s="25"/>
      <c r="H30" s="127"/>
      <c r="I30" s="25"/>
      <c r="J30" s="127"/>
      <c r="K30" s="25"/>
      <c r="L30" s="127"/>
      <c r="M30" s="56" t="e">
        <f t="shared" ca="1" si="1"/>
        <v>#N/A</v>
      </c>
      <c r="N30" s="121" t="e">
        <f ca="1">VLOOKUP($B30,Matrix!$H$13:$I$37,2,FALSE)&amp;"_"&amp;C30</f>
        <v>#N/A</v>
      </c>
      <c r="O30" s="134" t="e">
        <f t="shared" ca="1" si="0"/>
        <v>#N/A</v>
      </c>
    </row>
    <row r="31" spans="2:15">
      <c r="B31" s="25"/>
      <c r="C31" s="24"/>
      <c r="D31" s="126"/>
      <c r="E31" s="25"/>
      <c r="F31" s="127"/>
      <c r="G31" s="25"/>
      <c r="H31" s="127"/>
      <c r="I31" s="25"/>
      <c r="J31" s="127"/>
      <c r="K31" s="25"/>
      <c r="L31" s="127"/>
      <c r="M31" s="56" t="e">
        <f t="shared" ca="1" si="1"/>
        <v>#N/A</v>
      </c>
      <c r="N31" s="121" t="e">
        <f ca="1">VLOOKUP($B31,Matrix!$H$13:$I$37,2,FALSE)&amp;"_"&amp;C31</f>
        <v>#N/A</v>
      </c>
      <c r="O31" s="134" t="e">
        <f t="shared" ca="1" si="0"/>
        <v>#N/A</v>
      </c>
    </row>
    <row r="32" spans="2:15">
      <c r="B32" s="25"/>
      <c r="C32" s="24"/>
      <c r="D32" s="126"/>
      <c r="E32" s="25"/>
      <c r="F32" s="127"/>
      <c r="G32" s="25"/>
      <c r="H32" s="127"/>
      <c r="I32" s="25"/>
      <c r="J32" s="127"/>
      <c r="K32" s="25"/>
      <c r="L32" s="127"/>
      <c r="M32" s="56" t="e">
        <f t="shared" ca="1" si="1"/>
        <v>#N/A</v>
      </c>
      <c r="N32" s="121" t="e">
        <f ca="1">VLOOKUP($B32,Matrix!$H$13:$I$37,2,FALSE)&amp;"_"&amp;C32</f>
        <v>#N/A</v>
      </c>
      <c r="O32" s="134" t="e">
        <f t="shared" ca="1" si="0"/>
        <v>#N/A</v>
      </c>
    </row>
    <row r="33" spans="2:15">
      <c r="B33" s="25"/>
      <c r="C33" s="24"/>
      <c r="D33" s="126"/>
      <c r="E33" s="25"/>
      <c r="F33" s="127"/>
      <c r="G33" s="25"/>
      <c r="H33" s="127"/>
      <c r="I33" s="25"/>
      <c r="J33" s="127"/>
      <c r="K33" s="25"/>
      <c r="L33" s="127"/>
      <c r="M33" s="56" t="e">
        <f t="shared" ca="1" si="1"/>
        <v>#N/A</v>
      </c>
      <c r="N33" s="121" t="e">
        <f ca="1">VLOOKUP($B33,Matrix!$H$13:$I$37,2,FALSE)&amp;"_"&amp;C33</f>
        <v>#N/A</v>
      </c>
      <c r="O33" s="134" t="e">
        <f t="shared" ca="1" si="0"/>
        <v>#N/A</v>
      </c>
    </row>
    <row r="34" spans="2:15">
      <c r="B34" s="25"/>
      <c r="C34" s="24"/>
      <c r="D34" s="126"/>
      <c r="E34" s="25"/>
      <c r="F34" s="127"/>
      <c r="G34" s="25"/>
      <c r="H34" s="127"/>
      <c r="I34" s="25"/>
      <c r="J34" s="127"/>
      <c r="K34" s="25"/>
      <c r="L34" s="127"/>
      <c r="M34" s="56" t="e">
        <f t="shared" ca="1" si="1"/>
        <v>#N/A</v>
      </c>
      <c r="N34" s="121" t="e">
        <f ca="1">VLOOKUP($B34,Matrix!$H$13:$I$37,2,FALSE)&amp;"_"&amp;C34</f>
        <v>#N/A</v>
      </c>
      <c r="O34" s="134" t="e">
        <f t="shared" ca="1" si="0"/>
        <v>#N/A</v>
      </c>
    </row>
    <row r="35" spans="2:15">
      <c r="B35" s="25"/>
      <c r="C35" s="24"/>
      <c r="D35" s="126"/>
      <c r="E35" s="25"/>
      <c r="F35" s="127"/>
      <c r="G35" s="25"/>
      <c r="H35" s="127"/>
      <c r="I35" s="25"/>
      <c r="J35" s="127"/>
      <c r="K35" s="25"/>
      <c r="L35" s="127"/>
      <c r="M35" s="56" t="e">
        <f t="shared" ca="1" si="1"/>
        <v>#N/A</v>
      </c>
      <c r="N35" s="121" t="e">
        <f ca="1">VLOOKUP($B35,Matrix!$H$13:$I$37,2,FALSE)&amp;"_"&amp;C35</f>
        <v>#N/A</v>
      </c>
      <c r="O35" s="134" t="e">
        <f t="shared" ca="1" si="0"/>
        <v>#N/A</v>
      </c>
    </row>
    <row r="36" spans="2:15">
      <c r="B36" s="25"/>
      <c r="C36" s="24"/>
      <c r="D36" s="126"/>
      <c r="E36" s="25"/>
      <c r="F36" s="127"/>
      <c r="G36" s="25"/>
      <c r="H36" s="127"/>
      <c r="I36" s="25"/>
      <c r="J36" s="127"/>
      <c r="K36" s="25"/>
      <c r="L36" s="127"/>
      <c r="M36" s="56" t="e">
        <f t="shared" ca="1" si="1"/>
        <v>#N/A</v>
      </c>
      <c r="N36" s="121" t="e">
        <f ca="1">VLOOKUP($B36,Matrix!$H$13:$I$37,2,FALSE)&amp;"_"&amp;C36</f>
        <v>#N/A</v>
      </c>
      <c r="O36" s="134" t="e">
        <f t="shared" ref="O36:O67" ca="1" si="2">"#define "&amp;N36&amp;REPT(" ",48-M36)&amp;"("&amp;D36&amp;"U)"</f>
        <v>#N/A</v>
      </c>
    </row>
    <row r="37" spans="2:15">
      <c r="B37" s="25"/>
      <c r="C37" s="24"/>
      <c r="D37" s="126"/>
      <c r="E37" s="25"/>
      <c r="F37" s="127"/>
      <c r="G37" s="25"/>
      <c r="H37" s="127"/>
      <c r="I37" s="25"/>
      <c r="J37" s="127"/>
      <c r="K37" s="25"/>
      <c r="L37" s="127"/>
      <c r="M37" s="56" t="e">
        <f t="shared" ca="1" si="1"/>
        <v>#N/A</v>
      </c>
      <c r="N37" s="121" t="e">
        <f ca="1">VLOOKUP($B37,Matrix!$H$13:$I$37,2,FALSE)&amp;"_"&amp;C37</f>
        <v>#N/A</v>
      </c>
      <c r="O37" s="134" t="e">
        <f t="shared" ca="1" si="2"/>
        <v>#N/A</v>
      </c>
    </row>
    <row r="38" spans="2:15">
      <c r="B38" s="25"/>
      <c r="C38" s="24"/>
      <c r="D38" s="126"/>
      <c r="E38" s="25"/>
      <c r="F38" s="127"/>
      <c r="G38" s="25"/>
      <c r="H38" s="127"/>
      <c r="I38" s="25"/>
      <c r="J38" s="127"/>
      <c r="K38" s="25"/>
      <c r="L38" s="127"/>
      <c r="M38" s="56" t="e">
        <f t="shared" ca="1" si="1"/>
        <v>#N/A</v>
      </c>
      <c r="N38" s="121" t="e">
        <f ca="1">VLOOKUP($B38,Matrix!$H$13:$I$37,2,FALSE)&amp;"_"&amp;C38</f>
        <v>#N/A</v>
      </c>
      <c r="O38" s="134" t="e">
        <f t="shared" ca="1" si="2"/>
        <v>#N/A</v>
      </c>
    </row>
    <row r="39" spans="2:15">
      <c r="B39" s="25"/>
      <c r="C39" s="24"/>
      <c r="D39" s="126"/>
      <c r="E39" s="25"/>
      <c r="F39" s="127"/>
      <c r="G39" s="25"/>
      <c r="H39" s="127"/>
      <c r="I39" s="25"/>
      <c r="J39" s="127"/>
      <c r="K39" s="25"/>
      <c r="L39" s="127"/>
      <c r="M39" s="56" t="e">
        <f t="shared" ca="1" si="1"/>
        <v>#N/A</v>
      </c>
      <c r="N39" s="121" t="e">
        <f ca="1">VLOOKUP($B39,Matrix!$H$13:$I$37,2,FALSE)&amp;"_"&amp;C39</f>
        <v>#N/A</v>
      </c>
      <c r="O39" s="134" t="e">
        <f t="shared" ca="1" si="2"/>
        <v>#N/A</v>
      </c>
    </row>
    <row r="40" spans="2:15">
      <c r="B40" s="25"/>
      <c r="C40" s="24"/>
      <c r="D40" s="126"/>
      <c r="E40" s="25"/>
      <c r="F40" s="127"/>
      <c r="G40" s="25"/>
      <c r="H40" s="127"/>
      <c r="I40" s="25"/>
      <c r="J40" s="127"/>
      <c r="K40" s="25"/>
      <c r="L40" s="127"/>
      <c r="M40" s="56" t="e">
        <f t="shared" ca="1" si="1"/>
        <v>#N/A</v>
      </c>
      <c r="N40" s="121" t="e">
        <f ca="1">VLOOKUP($B40,Matrix!$H$13:$I$37,2,FALSE)&amp;"_"&amp;C40</f>
        <v>#N/A</v>
      </c>
      <c r="O40" s="134" t="e">
        <f t="shared" ca="1" si="2"/>
        <v>#N/A</v>
      </c>
    </row>
    <row r="41" spans="2:15">
      <c r="B41" s="25"/>
      <c r="C41" s="24"/>
      <c r="D41" s="126"/>
      <c r="E41" s="25"/>
      <c r="F41" s="127"/>
      <c r="G41" s="25"/>
      <c r="H41" s="127"/>
      <c r="I41" s="25"/>
      <c r="J41" s="127"/>
      <c r="K41" s="25"/>
      <c r="L41" s="127"/>
      <c r="M41" s="56" t="e">
        <f t="shared" ca="1" si="1"/>
        <v>#N/A</v>
      </c>
      <c r="N41" s="121" t="e">
        <f ca="1">VLOOKUP($B41,Matrix!$H$13:$I$37,2,FALSE)&amp;"_"&amp;C41</f>
        <v>#N/A</v>
      </c>
      <c r="O41" s="134" t="e">
        <f t="shared" ca="1" si="2"/>
        <v>#N/A</v>
      </c>
    </row>
    <row r="42" spans="2:15">
      <c r="B42" s="25"/>
      <c r="C42" s="24"/>
      <c r="D42" s="126"/>
      <c r="E42" s="25"/>
      <c r="F42" s="127"/>
      <c r="G42" s="25"/>
      <c r="H42" s="127"/>
      <c r="I42" s="25"/>
      <c r="J42" s="127"/>
      <c r="K42" s="25"/>
      <c r="L42" s="127"/>
      <c r="M42" s="56" t="e">
        <f t="shared" ca="1" si="1"/>
        <v>#N/A</v>
      </c>
      <c r="N42" s="121" t="e">
        <f ca="1">VLOOKUP($B42,Matrix!$H$13:$I$37,2,FALSE)&amp;"_"&amp;C42</f>
        <v>#N/A</v>
      </c>
      <c r="O42" s="134" t="e">
        <f t="shared" ca="1" si="2"/>
        <v>#N/A</v>
      </c>
    </row>
    <row r="43" spans="2:15">
      <c r="B43" s="25"/>
      <c r="C43" s="24"/>
      <c r="D43" s="126"/>
      <c r="E43" s="25"/>
      <c r="F43" s="127"/>
      <c r="G43" s="25"/>
      <c r="H43" s="127"/>
      <c r="I43" s="25"/>
      <c r="J43" s="127"/>
      <c r="K43" s="25"/>
      <c r="L43" s="127"/>
      <c r="M43" s="56" t="e">
        <f t="shared" ca="1" si="1"/>
        <v>#N/A</v>
      </c>
      <c r="N43" s="121" t="e">
        <f ca="1">VLOOKUP($B43,Matrix!$H$13:$I$37,2,FALSE)&amp;"_"&amp;C43</f>
        <v>#N/A</v>
      </c>
      <c r="O43" s="134" t="e">
        <f t="shared" ca="1" si="2"/>
        <v>#N/A</v>
      </c>
    </row>
    <row r="44" spans="2:15">
      <c r="B44" s="25"/>
      <c r="C44" s="24"/>
      <c r="D44" s="126"/>
      <c r="E44" s="25"/>
      <c r="F44" s="127"/>
      <c r="G44" s="25"/>
      <c r="H44" s="127"/>
      <c r="I44" s="25"/>
      <c r="J44" s="127"/>
      <c r="K44" s="25"/>
      <c r="L44" s="127"/>
      <c r="M44" s="56" t="e">
        <f t="shared" ca="1" si="1"/>
        <v>#N/A</v>
      </c>
      <c r="N44" s="121" t="e">
        <f ca="1">VLOOKUP($B44,Matrix!$H$13:$I$37,2,FALSE)&amp;"_"&amp;C44</f>
        <v>#N/A</v>
      </c>
      <c r="O44" s="134" t="e">
        <f t="shared" ca="1" si="2"/>
        <v>#N/A</v>
      </c>
    </row>
    <row r="45" spans="2:15">
      <c r="B45" s="25"/>
      <c r="C45" s="24"/>
      <c r="D45" s="126"/>
      <c r="E45" s="25"/>
      <c r="F45" s="127"/>
      <c r="G45" s="25"/>
      <c r="H45" s="127"/>
      <c r="I45" s="25"/>
      <c r="J45" s="127"/>
      <c r="K45" s="25"/>
      <c r="L45" s="127"/>
      <c r="M45" s="56" t="e">
        <f t="shared" ca="1" si="1"/>
        <v>#N/A</v>
      </c>
      <c r="N45" s="121" t="e">
        <f ca="1">VLOOKUP($B45,Matrix!$H$13:$I$37,2,FALSE)&amp;"_"&amp;C45</f>
        <v>#N/A</v>
      </c>
      <c r="O45" s="134" t="e">
        <f t="shared" ca="1" si="2"/>
        <v>#N/A</v>
      </c>
    </row>
    <row r="46" spans="2:15">
      <c r="B46" s="25"/>
      <c r="C46" s="24"/>
      <c r="D46" s="126"/>
      <c r="E46" s="25"/>
      <c r="F46" s="127"/>
      <c r="G46" s="25"/>
      <c r="H46" s="127"/>
      <c r="I46" s="25"/>
      <c r="J46" s="127"/>
      <c r="K46" s="25"/>
      <c r="L46" s="127"/>
      <c r="M46" s="56" t="e">
        <f t="shared" ca="1" si="1"/>
        <v>#N/A</v>
      </c>
      <c r="N46" s="121" t="e">
        <f ca="1">VLOOKUP($B46,Matrix!$H$13:$I$37,2,FALSE)&amp;"_"&amp;C46</f>
        <v>#N/A</v>
      </c>
      <c r="O46" s="134" t="e">
        <f t="shared" ca="1" si="2"/>
        <v>#N/A</v>
      </c>
    </row>
    <row r="47" spans="2:15">
      <c r="B47" s="25"/>
      <c r="C47" s="24"/>
      <c r="D47" s="126"/>
      <c r="E47" s="25"/>
      <c r="F47" s="127"/>
      <c r="G47" s="25"/>
      <c r="H47" s="127"/>
      <c r="I47" s="25"/>
      <c r="J47" s="127"/>
      <c r="K47" s="25"/>
      <c r="L47" s="127"/>
      <c r="M47" s="56" t="e">
        <f t="shared" ca="1" si="1"/>
        <v>#N/A</v>
      </c>
      <c r="N47" s="121" t="e">
        <f ca="1">VLOOKUP($B47,Matrix!$H$13:$I$37,2,FALSE)&amp;"_"&amp;C47</f>
        <v>#N/A</v>
      </c>
      <c r="O47" s="134" t="e">
        <f t="shared" ca="1" si="2"/>
        <v>#N/A</v>
      </c>
    </row>
    <row r="48" spans="2:15">
      <c r="B48" s="25"/>
      <c r="C48" s="24"/>
      <c r="D48" s="126"/>
      <c r="E48" s="25"/>
      <c r="F48" s="127"/>
      <c r="G48" s="25"/>
      <c r="H48" s="127"/>
      <c r="I48" s="25"/>
      <c r="J48" s="127"/>
      <c r="K48" s="25"/>
      <c r="L48" s="127"/>
      <c r="M48" s="56" t="e">
        <f t="shared" ca="1" si="1"/>
        <v>#N/A</v>
      </c>
      <c r="N48" s="121" t="e">
        <f ca="1">VLOOKUP($B48,Matrix!$H$13:$I$37,2,FALSE)&amp;"_"&amp;C48</f>
        <v>#N/A</v>
      </c>
      <c r="O48" s="134" t="e">
        <f t="shared" ca="1" si="2"/>
        <v>#N/A</v>
      </c>
    </row>
    <row r="49" spans="2:15">
      <c r="B49" s="25"/>
      <c r="C49" s="24"/>
      <c r="D49" s="126"/>
      <c r="E49" s="25"/>
      <c r="F49" s="127"/>
      <c r="G49" s="25"/>
      <c r="H49" s="127"/>
      <c r="I49" s="25"/>
      <c r="J49" s="127"/>
      <c r="K49" s="25"/>
      <c r="L49" s="127"/>
      <c r="M49" s="56" t="e">
        <f t="shared" ca="1" si="1"/>
        <v>#N/A</v>
      </c>
      <c r="N49" s="121" t="e">
        <f ca="1">VLOOKUP($B49,Matrix!$H$13:$I$37,2,FALSE)&amp;"_"&amp;C49</f>
        <v>#N/A</v>
      </c>
      <c r="O49" s="134" t="e">
        <f t="shared" ca="1" si="2"/>
        <v>#N/A</v>
      </c>
    </row>
    <row r="50" spans="2:15">
      <c r="B50" s="25"/>
      <c r="C50" s="24"/>
      <c r="D50" s="126"/>
      <c r="E50" s="25"/>
      <c r="F50" s="127"/>
      <c r="G50" s="25"/>
      <c r="H50" s="127"/>
      <c r="I50" s="25"/>
      <c r="J50" s="127"/>
      <c r="K50" s="25"/>
      <c r="L50" s="127"/>
      <c r="M50" s="56" t="e">
        <f t="shared" ca="1" si="1"/>
        <v>#N/A</v>
      </c>
      <c r="N50" s="121" t="e">
        <f ca="1">VLOOKUP($B50,Matrix!$H$13:$I$37,2,FALSE)&amp;"_"&amp;C50</f>
        <v>#N/A</v>
      </c>
      <c r="O50" s="134" t="e">
        <f t="shared" ca="1" si="2"/>
        <v>#N/A</v>
      </c>
    </row>
    <row r="51" spans="2:15">
      <c r="B51" s="25"/>
      <c r="C51" s="24"/>
      <c r="D51" s="126"/>
      <c r="E51" s="25"/>
      <c r="F51" s="127"/>
      <c r="G51" s="25"/>
      <c r="H51" s="127"/>
      <c r="I51" s="25"/>
      <c r="J51" s="127"/>
      <c r="K51" s="25"/>
      <c r="L51" s="127"/>
      <c r="M51" s="56" t="e">
        <f t="shared" ca="1" si="1"/>
        <v>#N/A</v>
      </c>
      <c r="N51" s="121" t="e">
        <f ca="1">VLOOKUP($B51,Matrix!$H$13:$I$37,2,FALSE)&amp;"_"&amp;C51</f>
        <v>#N/A</v>
      </c>
      <c r="O51" s="134" t="e">
        <f t="shared" ca="1" si="2"/>
        <v>#N/A</v>
      </c>
    </row>
    <row r="52" spans="2:15">
      <c r="B52" s="25"/>
      <c r="C52" s="24"/>
      <c r="D52" s="126"/>
      <c r="E52" s="25"/>
      <c r="F52" s="127"/>
      <c r="G52" s="25"/>
      <c r="H52" s="127"/>
      <c r="I52" s="25"/>
      <c r="J52" s="127"/>
      <c r="K52" s="25"/>
      <c r="L52" s="127"/>
      <c r="M52" s="56" t="e">
        <f t="shared" ca="1" si="1"/>
        <v>#N/A</v>
      </c>
      <c r="N52" s="121" t="e">
        <f ca="1">VLOOKUP($B52,Matrix!$H$13:$I$37,2,FALSE)&amp;"_"&amp;C52</f>
        <v>#N/A</v>
      </c>
      <c r="O52" s="134" t="e">
        <f t="shared" ca="1" si="2"/>
        <v>#N/A</v>
      </c>
    </row>
    <row r="53" spans="2:15">
      <c r="B53" s="25"/>
      <c r="C53" s="24"/>
      <c r="D53" s="126"/>
      <c r="E53" s="25"/>
      <c r="F53" s="127"/>
      <c r="G53" s="25"/>
      <c r="H53" s="127"/>
      <c r="I53" s="25"/>
      <c r="J53" s="127"/>
      <c r="K53" s="25"/>
      <c r="L53" s="127"/>
      <c r="M53" s="56" t="e">
        <f t="shared" ca="1" si="1"/>
        <v>#N/A</v>
      </c>
      <c r="N53" s="121" t="e">
        <f ca="1">VLOOKUP($B53,Matrix!$H$13:$I$37,2,FALSE)&amp;"_"&amp;C53</f>
        <v>#N/A</v>
      </c>
      <c r="O53" s="134" t="e">
        <f t="shared" ca="1" si="2"/>
        <v>#N/A</v>
      </c>
    </row>
    <row r="54" spans="2:15">
      <c r="B54" s="25"/>
      <c r="C54" s="24"/>
      <c r="D54" s="126"/>
      <c r="E54" s="25"/>
      <c r="F54" s="127"/>
      <c r="G54" s="25"/>
      <c r="H54" s="127"/>
      <c r="I54" s="25"/>
      <c r="J54" s="127"/>
      <c r="K54" s="25"/>
      <c r="L54" s="127"/>
      <c r="M54" s="56" t="e">
        <f t="shared" ca="1" si="1"/>
        <v>#N/A</v>
      </c>
      <c r="N54" s="121" t="e">
        <f ca="1">VLOOKUP($B54,Matrix!$H$13:$I$37,2,FALSE)&amp;"_"&amp;C54</f>
        <v>#N/A</v>
      </c>
      <c r="O54" s="134" t="e">
        <f t="shared" ca="1" si="2"/>
        <v>#N/A</v>
      </c>
    </row>
    <row r="55" spans="2:15">
      <c r="B55" s="25"/>
      <c r="C55" s="24"/>
      <c r="D55" s="126"/>
      <c r="E55" s="25"/>
      <c r="F55" s="127"/>
      <c r="G55" s="25"/>
      <c r="H55" s="127"/>
      <c r="I55" s="25"/>
      <c r="J55" s="127"/>
      <c r="K55" s="25"/>
      <c r="L55" s="127"/>
      <c r="M55" s="56" t="e">
        <f t="shared" ca="1" si="1"/>
        <v>#N/A</v>
      </c>
      <c r="N55" s="121" t="e">
        <f ca="1">VLOOKUP($B55,Matrix!$H$13:$I$37,2,FALSE)&amp;"_"&amp;C55</f>
        <v>#N/A</v>
      </c>
      <c r="O55" s="134" t="e">
        <f t="shared" ca="1" si="2"/>
        <v>#N/A</v>
      </c>
    </row>
    <row r="56" spans="2:15">
      <c r="B56" s="25"/>
      <c r="C56" s="24"/>
      <c r="D56" s="126"/>
      <c r="E56" s="25"/>
      <c r="F56" s="127"/>
      <c r="G56" s="25"/>
      <c r="H56" s="127"/>
      <c r="I56" s="25"/>
      <c r="J56" s="127"/>
      <c r="K56" s="25"/>
      <c r="L56" s="127"/>
      <c r="M56" s="56" t="e">
        <f t="shared" ca="1" si="1"/>
        <v>#N/A</v>
      </c>
      <c r="N56" s="121" t="e">
        <f ca="1">VLOOKUP($B56,Matrix!$H$13:$I$37,2,FALSE)&amp;"_"&amp;C56</f>
        <v>#N/A</v>
      </c>
      <c r="O56" s="134" t="e">
        <f t="shared" ca="1" si="2"/>
        <v>#N/A</v>
      </c>
    </row>
    <row r="57" spans="2:15">
      <c r="B57" s="25"/>
      <c r="C57" s="24"/>
      <c r="D57" s="126"/>
      <c r="E57" s="25"/>
      <c r="F57" s="127"/>
      <c r="G57" s="25"/>
      <c r="H57" s="127"/>
      <c r="I57" s="25"/>
      <c r="J57" s="127"/>
      <c r="K57" s="25"/>
      <c r="L57" s="127"/>
      <c r="M57" s="56" t="e">
        <f t="shared" ca="1" si="1"/>
        <v>#N/A</v>
      </c>
      <c r="N57" s="121" t="e">
        <f ca="1">VLOOKUP($B57,Matrix!$H$13:$I$37,2,FALSE)&amp;"_"&amp;C57</f>
        <v>#N/A</v>
      </c>
      <c r="O57" s="134" t="e">
        <f t="shared" ca="1" si="2"/>
        <v>#N/A</v>
      </c>
    </row>
    <row r="58" spans="2:15">
      <c r="B58" s="25"/>
      <c r="C58" s="24"/>
      <c r="D58" s="126"/>
      <c r="E58" s="25"/>
      <c r="F58" s="127"/>
      <c r="G58" s="25"/>
      <c r="H58" s="127"/>
      <c r="I58" s="25"/>
      <c r="J58" s="127"/>
      <c r="K58" s="25"/>
      <c r="L58" s="127"/>
      <c r="M58" s="56" t="e">
        <f t="shared" ca="1" si="1"/>
        <v>#N/A</v>
      </c>
      <c r="N58" s="121" t="e">
        <f ca="1">VLOOKUP($B58,Matrix!$H$13:$I$37,2,FALSE)&amp;"_"&amp;C58</f>
        <v>#N/A</v>
      </c>
      <c r="O58" s="134" t="e">
        <f t="shared" ca="1" si="2"/>
        <v>#N/A</v>
      </c>
    </row>
    <row r="59" spans="2:15">
      <c r="B59" s="25"/>
      <c r="C59" s="24"/>
      <c r="D59" s="126"/>
      <c r="E59" s="25"/>
      <c r="F59" s="127"/>
      <c r="G59" s="25"/>
      <c r="H59" s="127"/>
      <c r="I59" s="25"/>
      <c r="J59" s="127"/>
      <c r="K59" s="25"/>
      <c r="L59" s="127"/>
      <c r="M59" s="56" t="e">
        <f t="shared" ca="1" si="1"/>
        <v>#N/A</v>
      </c>
      <c r="N59" s="121" t="e">
        <f ca="1">VLOOKUP($B59,Matrix!$H$13:$I$37,2,FALSE)&amp;"_"&amp;C59</f>
        <v>#N/A</v>
      </c>
      <c r="O59" s="134" t="e">
        <f t="shared" ca="1" si="2"/>
        <v>#N/A</v>
      </c>
    </row>
    <row r="60" spans="2:15">
      <c r="B60" s="25"/>
      <c r="C60" s="24"/>
      <c r="D60" s="126"/>
      <c r="E60" s="25"/>
      <c r="F60" s="127"/>
      <c r="G60" s="25"/>
      <c r="H60" s="127"/>
      <c r="I60" s="25"/>
      <c r="J60" s="127"/>
      <c r="K60" s="25"/>
      <c r="L60" s="127"/>
      <c r="M60" s="56" t="e">
        <f t="shared" ca="1" si="1"/>
        <v>#N/A</v>
      </c>
      <c r="N60" s="121" t="e">
        <f ca="1">VLOOKUP($B60,Matrix!$H$13:$I$37,2,FALSE)&amp;"_"&amp;C60</f>
        <v>#N/A</v>
      </c>
      <c r="O60" s="134" t="e">
        <f t="shared" ca="1" si="2"/>
        <v>#N/A</v>
      </c>
    </row>
    <row r="61" spans="2:15">
      <c r="B61" s="25"/>
      <c r="C61" s="24"/>
      <c r="D61" s="126"/>
      <c r="E61" s="25"/>
      <c r="F61" s="127"/>
      <c r="G61" s="25"/>
      <c r="H61" s="127"/>
      <c r="I61" s="25"/>
      <c r="J61" s="127"/>
      <c r="K61" s="25"/>
      <c r="L61" s="127"/>
      <c r="M61" s="56" t="e">
        <f t="shared" ca="1" si="1"/>
        <v>#N/A</v>
      </c>
      <c r="N61" s="121" t="e">
        <f ca="1">VLOOKUP($B61,Matrix!$H$13:$I$37,2,FALSE)&amp;"_"&amp;C61</f>
        <v>#N/A</v>
      </c>
      <c r="O61" s="134" t="e">
        <f t="shared" ca="1" si="2"/>
        <v>#N/A</v>
      </c>
    </row>
    <row r="62" spans="2:15">
      <c r="B62" s="25"/>
      <c r="C62" s="24"/>
      <c r="D62" s="126"/>
      <c r="E62" s="25"/>
      <c r="F62" s="127"/>
      <c r="G62" s="25"/>
      <c r="H62" s="127"/>
      <c r="I62" s="25"/>
      <c r="J62" s="127"/>
      <c r="K62" s="25"/>
      <c r="L62" s="127"/>
      <c r="M62" s="56" t="e">
        <f t="shared" ca="1" si="1"/>
        <v>#N/A</v>
      </c>
      <c r="N62" s="121" t="e">
        <f ca="1">VLOOKUP($B62,Matrix!$H$13:$I$37,2,FALSE)&amp;"_"&amp;C62</f>
        <v>#N/A</v>
      </c>
      <c r="O62" s="134" t="e">
        <f t="shared" ca="1" si="2"/>
        <v>#N/A</v>
      </c>
    </row>
    <row r="63" spans="2:15">
      <c r="B63" s="25"/>
      <c r="C63" s="24"/>
      <c r="D63" s="126"/>
      <c r="E63" s="25"/>
      <c r="F63" s="127"/>
      <c r="G63" s="25"/>
      <c r="H63" s="127"/>
      <c r="I63" s="25"/>
      <c r="J63" s="127"/>
      <c r="K63" s="25"/>
      <c r="L63" s="127"/>
      <c r="M63" s="56" t="e">
        <f t="shared" ca="1" si="1"/>
        <v>#N/A</v>
      </c>
      <c r="N63" s="121" t="e">
        <f ca="1">VLOOKUP($B63,Matrix!$H$13:$I$37,2,FALSE)&amp;"_"&amp;C63</f>
        <v>#N/A</v>
      </c>
      <c r="O63" s="134" t="e">
        <f t="shared" ca="1" si="2"/>
        <v>#N/A</v>
      </c>
    </row>
    <row r="64" spans="2:15">
      <c r="B64" s="25"/>
      <c r="C64" s="24"/>
      <c r="D64" s="126"/>
      <c r="E64" s="25"/>
      <c r="F64" s="127"/>
      <c r="G64" s="25"/>
      <c r="H64" s="127"/>
      <c r="I64" s="25"/>
      <c r="J64" s="127"/>
      <c r="K64" s="25"/>
      <c r="L64" s="127"/>
      <c r="M64" s="56" t="e">
        <f t="shared" ca="1" si="1"/>
        <v>#N/A</v>
      </c>
      <c r="N64" s="121" t="e">
        <f ca="1">VLOOKUP($B64,Matrix!$H$13:$I$37,2,FALSE)&amp;"_"&amp;C64</f>
        <v>#N/A</v>
      </c>
      <c r="O64" s="134" t="e">
        <f t="shared" ca="1" si="2"/>
        <v>#N/A</v>
      </c>
    </row>
    <row r="65" spans="2:15">
      <c r="B65" s="25"/>
      <c r="C65" s="24"/>
      <c r="D65" s="126"/>
      <c r="E65" s="25"/>
      <c r="F65" s="127"/>
      <c r="G65" s="25"/>
      <c r="H65" s="127"/>
      <c r="I65" s="25"/>
      <c r="J65" s="127"/>
      <c r="K65" s="25"/>
      <c r="L65" s="127"/>
      <c r="M65" s="56" t="e">
        <f t="shared" ca="1" si="1"/>
        <v>#N/A</v>
      </c>
      <c r="N65" s="121" t="e">
        <f ca="1">VLOOKUP($B65,Matrix!$H$13:$I$37,2,FALSE)&amp;"_"&amp;C65</f>
        <v>#N/A</v>
      </c>
      <c r="O65" s="134" t="e">
        <f t="shared" ca="1" si="2"/>
        <v>#N/A</v>
      </c>
    </row>
    <row r="66" spans="2:15">
      <c r="B66" s="25"/>
      <c r="C66" s="24"/>
      <c r="D66" s="126"/>
      <c r="E66" s="25"/>
      <c r="F66" s="127"/>
      <c r="G66" s="25"/>
      <c r="H66" s="127"/>
      <c r="I66" s="25"/>
      <c r="J66" s="127"/>
      <c r="K66" s="25"/>
      <c r="L66" s="127"/>
      <c r="M66" s="56" t="e">
        <f t="shared" ca="1" si="1"/>
        <v>#N/A</v>
      </c>
      <c r="N66" s="121" t="e">
        <f ca="1">VLOOKUP($B66,Matrix!$H$13:$I$37,2,FALSE)&amp;"_"&amp;C66</f>
        <v>#N/A</v>
      </c>
      <c r="O66" s="134" t="e">
        <f t="shared" ca="1" si="2"/>
        <v>#N/A</v>
      </c>
    </row>
    <row r="67" spans="2:15">
      <c r="B67" s="25"/>
      <c r="C67" s="24"/>
      <c r="D67" s="126"/>
      <c r="E67" s="25"/>
      <c r="F67" s="127"/>
      <c r="G67" s="25"/>
      <c r="H67" s="127"/>
      <c r="I67" s="25"/>
      <c r="J67" s="127"/>
      <c r="K67" s="25"/>
      <c r="L67" s="127"/>
      <c r="M67" s="56" t="e">
        <f t="shared" ca="1" si="1"/>
        <v>#N/A</v>
      </c>
      <c r="N67" s="121" t="e">
        <f ca="1">VLOOKUP($B67,Matrix!$H$13:$I$37,2,FALSE)&amp;"_"&amp;C67</f>
        <v>#N/A</v>
      </c>
      <c r="O67" s="134" t="e">
        <f t="shared" ca="1" si="2"/>
        <v>#N/A</v>
      </c>
    </row>
    <row r="68" spans="2:15">
      <c r="B68" s="25"/>
      <c r="C68" s="24"/>
      <c r="D68" s="126"/>
      <c r="E68" s="25"/>
      <c r="F68" s="127"/>
      <c r="G68" s="25"/>
      <c r="H68" s="127"/>
      <c r="I68" s="25"/>
      <c r="J68" s="127"/>
      <c r="K68" s="25"/>
      <c r="L68" s="127"/>
      <c r="M68" s="56" t="e">
        <f t="shared" ca="1" si="1"/>
        <v>#N/A</v>
      </c>
      <c r="N68" s="121"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6" t="e">
        <f t="shared" ref="M69:M103" ca="1" si="4">LEN(N69)</f>
        <v>#N/A</v>
      </c>
      <c r="N69" s="121" t="e">
        <f ca="1">VLOOKUP($B69,Matrix!$H$13:$I$37,2,FALSE)&amp;"_"&amp;C69</f>
        <v>#N/A</v>
      </c>
      <c r="O69" s="134" t="e">
        <f t="shared" ca="1" si="3"/>
        <v>#N/A</v>
      </c>
    </row>
    <row r="70" spans="2:15">
      <c r="B70" s="25"/>
      <c r="C70" s="24"/>
      <c r="D70" s="126"/>
      <c r="E70" s="25"/>
      <c r="F70" s="127"/>
      <c r="G70" s="25"/>
      <c r="H70" s="127"/>
      <c r="I70" s="25"/>
      <c r="J70" s="127"/>
      <c r="K70" s="25"/>
      <c r="L70" s="127"/>
      <c r="M70" s="56" t="e">
        <f t="shared" ca="1" si="4"/>
        <v>#N/A</v>
      </c>
      <c r="N70" s="121" t="e">
        <f ca="1">VLOOKUP($B70,Matrix!$H$13:$I$37,2,FALSE)&amp;"_"&amp;C70</f>
        <v>#N/A</v>
      </c>
      <c r="O70" s="134" t="e">
        <f t="shared" ca="1" si="3"/>
        <v>#N/A</v>
      </c>
    </row>
    <row r="71" spans="2:15">
      <c r="B71" s="25"/>
      <c r="C71" s="24"/>
      <c r="D71" s="126"/>
      <c r="E71" s="25"/>
      <c r="F71" s="127"/>
      <c r="G71" s="25"/>
      <c r="H71" s="127"/>
      <c r="I71" s="25"/>
      <c r="J71" s="127"/>
      <c r="K71" s="25"/>
      <c r="L71" s="127"/>
      <c r="M71" s="56" t="e">
        <f t="shared" ca="1" si="4"/>
        <v>#N/A</v>
      </c>
      <c r="N71" s="121" t="e">
        <f ca="1">VLOOKUP($B71,Matrix!$H$13:$I$37,2,FALSE)&amp;"_"&amp;C71</f>
        <v>#N/A</v>
      </c>
      <c r="O71" s="134" t="e">
        <f t="shared" ca="1" si="3"/>
        <v>#N/A</v>
      </c>
    </row>
    <row r="72" spans="2:15">
      <c r="B72" s="25"/>
      <c r="C72" s="24"/>
      <c r="D72" s="126"/>
      <c r="E72" s="25"/>
      <c r="F72" s="127"/>
      <c r="G72" s="25"/>
      <c r="H72" s="127"/>
      <c r="I72" s="25"/>
      <c r="J72" s="127"/>
      <c r="K72" s="25"/>
      <c r="L72" s="127"/>
      <c r="M72" s="56" t="e">
        <f t="shared" ca="1" si="4"/>
        <v>#N/A</v>
      </c>
      <c r="N72" s="121" t="e">
        <f ca="1">VLOOKUP($B72,Matrix!$H$13:$I$37,2,FALSE)&amp;"_"&amp;C72</f>
        <v>#N/A</v>
      </c>
      <c r="O72" s="134" t="e">
        <f t="shared" ca="1" si="3"/>
        <v>#N/A</v>
      </c>
    </row>
    <row r="73" spans="2:15">
      <c r="B73" s="25"/>
      <c r="C73" s="24"/>
      <c r="D73" s="126"/>
      <c r="E73" s="25"/>
      <c r="F73" s="127"/>
      <c r="G73" s="25"/>
      <c r="H73" s="127"/>
      <c r="I73" s="25"/>
      <c r="J73" s="127"/>
      <c r="K73" s="25"/>
      <c r="L73" s="127"/>
      <c r="M73" s="56" t="e">
        <f t="shared" ca="1" si="4"/>
        <v>#N/A</v>
      </c>
      <c r="N73" s="121" t="e">
        <f ca="1">VLOOKUP($B73,Matrix!$H$13:$I$37,2,FALSE)&amp;"_"&amp;C73</f>
        <v>#N/A</v>
      </c>
      <c r="O73" s="134" t="e">
        <f t="shared" ca="1" si="3"/>
        <v>#N/A</v>
      </c>
    </row>
    <row r="74" spans="2:15">
      <c r="B74" s="25"/>
      <c r="C74" s="24"/>
      <c r="D74" s="126"/>
      <c r="E74" s="25"/>
      <c r="F74" s="127"/>
      <c r="G74" s="25"/>
      <c r="H74" s="127"/>
      <c r="I74" s="25"/>
      <c r="J74" s="127"/>
      <c r="K74" s="25"/>
      <c r="L74" s="127"/>
      <c r="M74" s="56" t="e">
        <f t="shared" ca="1" si="4"/>
        <v>#N/A</v>
      </c>
      <c r="N74" s="121" t="e">
        <f ca="1">VLOOKUP($B74,Matrix!$H$13:$I$37,2,FALSE)&amp;"_"&amp;C74</f>
        <v>#N/A</v>
      </c>
      <c r="O74" s="134" t="e">
        <f t="shared" ca="1" si="3"/>
        <v>#N/A</v>
      </c>
    </row>
    <row r="75" spans="2:15">
      <c r="B75" s="25"/>
      <c r="C75" s="24"/>
      <c r="D75" s="126"/>
      <c r="E75" s="25"/>
      <c r="F75" s="127"/>
      <c r="G75" s="25"/>
      <c r="H75" s="127"/>
      <c r="I75" s="25"/>
      <c r="J75" s="127"/>
      <c r="K75" s="25"/>
      <c r="L75" s="127"/>
      <c r="M75" s="56" t="e">
        <f t="shared" ca="1" si="4"/>
        <v>#N/A</v>
      </c>
      <c r="N75" s="121" t="e">
        <f ca="1">VLOOKUP($B75,Matrix!$H$13:$I$37,2,FALSE)&amp;"_"&amp;C75</f>
        <v>#N/A</v>
      </c>
      <c r="O75" s="134" t="e">
        <f t="shared" ca="1" si="3"/>
        <v>#N/A</v>
      </c>
    </row>
    <row r="76" spans="2:15">
      <c r="B76" s="25"/>
      <c r="C76" s="24"/>
      <c r="D76" s="126"/>
      <c r="E76" s="25"/>
      <c r="F76" s="127"/>
      <c r="G76" s="25"/>
      <c r="H76" s="127"/>
      <c r="I76" s="25"/>
      <c r="J76" s="127"/>
      <c r="K76" s="25"/>
      <c r="L76" s="127"/>
      <c r="M76" s="56" t="e">
        <f t="shared" ca="1" si="4"/>
        <v>#N/A</v>
      </c>
      <c r="N76" s="121" t="e">
        <f ca="1">VLOOKUP($B76,Matrix!$H$13:$I$37,2,FALSE)&amp;"_"&amp;C76</f>
        <v>#N/A</v>
      </c>
      <c r="O76" s="134" t="e">
        <f t="shared" ca="1" si="3"/>
        <v>#N/A</v>
      </c>
    </row>
    <row r="77" spans="2:15">
      <c r="B77" s="25"/>
      <c r="C77" s="24"/>
      <c r="D77" s="126"/>
      <c r="E77" s="25"/>
      <c r="F77" s="127"/>
      <c r="G77" s="25"/>
      <c r="H77" s="127"/>
      <c r="I77" s="25"/>
      <c r="J77" s="127"/>
      <c r="K77" s="25"/>
      <c r="L77" s="127"/>
      <c r="M77" s="56" t="e">
        <f t="shared" ca="1" si="4"/>
        <v>#N/A</v>
      </c>
      <c r="N77" s="121" t="e">
        <f ca="1">VLOOKUP($B77,Matrix!$H$13:$I$37,2,FALSE)&amp;"_"&amp;C77</f>
        <v>#N/A</v>
      </c>
      <c r="O77" s="134" t="e">
        <f t="shared" ca="1" si="3"/>
        <v>#N/A</v>
      </c>
    </row>
    <row r="78" spans="2:15">
      <c r="B78" s="25"/>
      <c r="C78" s="24"/>
      <c r="D78" s="126"/>
      <c r="E78" s="25"/>
      <c r="F78" s="127"/>
      <c r="G78" s="25"/>
      <c r="H78" s="127"/>
      <c r="I78" s="25"/>
      <c r="J78" s="127"/>
      <c r="K78" s="25"/>
      <c r="L78" s="127"/>
      <c r="M78" s="56" t="e">
        <f t="shared" ca="1" si="4"/>
        <v>#N/A</v>
      </c>
      <c r="N78" s="121" t="e">
        <f ca="1">VLOOKUP($B78,Matrix!$H$13:$I$37,2,FALSE)&amp;"_"&amp;C78</f>
        <v>#N/A</v>
      </c>
      <c r="O78" s="134" t="e">
        <f t="shared" ca="1" si="3"/>
        <v>#N/A</v>
      </c>
    </row>
    <row r="79" spans="2:15">
      <c r="B79" s="25"/>
      <c r="C79" s="24"/>
      <c r="D79" s="126"/>
      <c r="E79" s="25"/>
      <c r="F79" s="127"/>
      <c r="G79" s="25"/>
      <c r="H79" s="127"/>
      <c r="I79" s="25"/>
      <c r="J79" s="127"/>
      <c r="K79" s="25"/>
      <c r="L79" s="127"/>
      <c r="M79" s="56" t="e">
        <f t="shared" ca="1" si="4"/>
        <v>#N/A</v>
      </c>
      <c r="N79" s="121" t="e">
        <f ca="1">VLOOKUP($B79,Matrix!$H$13:$I$37,2,FALSE)&amp;"_"&amp;C79</f>
        <v>#N/A</v>
      </c>
      <c r="O79" s="134" t="e">
        <f t="shared" ca="1" si="3"/>
        <v>#N/A</v>
      </c>
    </row>
    <row r="80" spans="2:15">
      <c r="B80" s="25"/>
      <c r="C80" s="24"/>
      <c r="D80" s="126"/>
      <c r="E80" s="25"/>
      <c r="F80" s="127"/>
      <c r="G80" s="25"/>
      <c r="H80" s="127"/>
      <c r="I80" s="25"/>
      <c r="J80" s="127"/>
      <c r="K80" s="25"/>
      <c r="L80" s="127"/>
      <c r="M80" s="56" t="e">
        <f t="shared" ca="1" si="4"/>
        <v>#N/A</v>
      </c>
      <c r="N80" s="121" t="e">
        <f ca="1">VLOOKUP($B80,Matrix!$H$13:$I$37,2,FALSE)&amp;"_"&amp;C80</f>
        <v>#N/A</v>
      </c>
      <c r="O80" s="134" t="e">
        <f t="shared" ca="1" si="3"/>
        <v>#N/A</v>
      </c>
    </row>
    <row r="81" spans="2:15">
      <c r="B81" s="25"/>
      <c r="C81" s="24"/>
      <c r="D81" s="126"/>
      <c r="E81" s="25"/>
      <c r="F81" s="127"/>
      <c r="G81" s="25"/>
      <c r="H81" s="127"/>
      <c r="I81" s="25"/>
      <c r="J81" s="127"/>
      <c r="K81" s="25"/>
      <c r="L81" s="127"/>
      <c r="M81" s="56" t="e">
        <f t="shared" ca="1" si="4"/>
        <v>#N/A</v>
      </c>
      <c r="N81" s="121" t="e">
        <f ca="1">VLOOKUP($B81,Matrix!$H$13:$I$37,2,FALSE)&amp;"_"&amp;C81</f>
        <v>#N/A</v>
      </c>
      <c r="O81" s="134" t="e">
        <f t="shared" ca="1" si="3"/>
        <v>#N/A</v>
      </c>
    </row>
    <row r="82" spans="2:15">
      <c r="B82" s="25"/>
      <c r="C82" s="24"/>
      <c r="D82" s="126"/>
      <c r="E82" s="25"/>
      <c r="F82" s="127"/>
      <c r="G82" s="25"/>
      <c r="H82" s="127"/>
      <c r="I82" s="25"/>
      <c r="J82" s="127"/>
      <c r="K82" s="25"/>
      <c r="L82" s="127"/>
      <c r="M82" s="56" t="e">
        <f t="shared" ca="1" si="4"/>
        <v>#N/A</v>
      </c>
      <c r="N82" s="121" t="e">
        <f ca="1">VLOOKUP($B82,Matrix!$H$13:$I$37,2,FALSE)&amp;"_"&amp;C82</f>
        <v>#N/A</v>
      </c>
      <c r="O82" s="134" t="e">
        <f t="shared" ca="1" si="3"/>
        <v>#N/A</v>
      </c>
    </row>
    <row r="83" spans="2:15">
      <c r="B83" s="25"/>
      <c r="C83" s="24"/>
      <c r="D83" s="126"/>
      <c r="E83" s="25"/>
      <c r="F83" s="127"/>
      <c r="G83" s="25"/>
      <c r="H83" s="127"/>
      <c r="I83" s="25"/>
      <c r="J83" s="127"/>
      <c r="K83" s="25"/>
      <c r="L83" s="127"/>
      <c r="M83" s="56" t="e">
        <f t="shared" ca="1" si="4"/>
        <v>#N/A</v>
      </c>
      <c r="N83" s="121" t="e">
        <f ca="1">VLOOKUP($B83,Matrix!$H$13:$I$37,2,FALSE)&amp;"_"&amp;C83</f>
        <v>#N/A</v>
      </c>
      <c r="O83" s="134" t="e">
        <f t="shared" ca="1" si="3"/>
        <v>#N/A</v>
      </c>
    </row>
    <row r="84" spans="2:15">
      <c r="B84" s="25"/>
      <c r="C84" s="24"/>
      <c r="D84" s="126"/>
      <c r="E84" s="25"/>
      <c r="F84" s="127"/>
      <c r="G84" s="25"/>
      <c r="H84" s="127"/>
      <c r="I84" s="25"/>
      <c r="J84" s="127"/>
      <c r="K84" s="25"/>
      <c r="L84" s="127"/>
      <c r="M84" s="56" t="e">
        <f t="shared" ca="1" si="4"/>
        <v>#N/A</v>
      </c>
      <c r="N84" s="121" t="e">
        <f ca="1">VLOOKUP($B84,Matrix!$H$13:$I$37,2,FALSE)&amp;"_"&amp;C84</f>
        <v>#N/A</v>
      </c>
      <c r="O84" s="134" t="e">
        <f t="shared" ca="1" si="3"/>
        <v>#N/A</v>
      </c>
    </row>
    <row r="85" spans="2:15">
      <c r="B85" s="25"/>
      <c r="C85" s="24"/>
      <c r="D85" s="126"/>
      <c r="E85" s="25"/>
      <c r="F85" s="127"/>
      <c r="G85" s="25"/>
      <c r="H85" s="127"/>
      <c r="I85" s="25"/>
      <c r="J85" s="127"/>
      <c r="K85" s="25"/>
      <c r="L85" s="127"/>
      <c r="M85" s="56" t="e">
        <f t="shared" ca="1" si="4"/>
        <v>#N/A</v>
      </c>
      <c r="N85" s="121" t="e">
        <f ca="1">VLOOKUP($B85,Matrix!$H$13:$I$37,2,FALSE)&amp;"_"&amp;C85</f>
        <v>#N/A</v>
      </c>
      <c r="O85" s="134" t="e">
        <f t="shared" ca="1" si="3"/>
        <v>#N/A</v>
      </c>
    </row>
    <row r="86" spans="2:15">
      <c r="B86" s="25"/>
      <c r="C86" s="24"/>
      <c r="D86" s="126"/>
      <c r="E86" s="25"/>
      <c r="F86" s="127"/>
      <c r="G86" s="25"/>
      <c r="H86" s="127"/>
      <c r="I86" s="25"/>
      <c r="J86" s="127"/>
      <c r="K86" s="25"/>
      <c r="L86" s="127"/>
      <c r="M86" s="56" t="e">
        <f t="shared" ca="1" si="4"/>
        <v>#N/A</v>
      </c>
      <c r="N86" s="121" t="e">
        <f ca="1">VLOOKUP($B86,Matrix!$H$13:$I$37,2,FALSE)&amp;"_"&amp;C86</f>
        <v>#N/A</v>
      </c>
      <c r="O86" s="134" t="e">
        <f t="shared" ca="1" si="3"/>
        <v>#N/A</v>
      </c>
    </row>
    <row r="87" spans="2:15">
      <c r="B87" s="25"/>
      <c r="C87" s="24"/>
      <c r="D87" s="126"/>
      <c r="E87" s="25"/>
      <c r="F87" s="127"/>
      <c r="G87" s="25"/>
      <c r="H87" s="127"/>
      <c r="I87" s="25"/>
      <c r="J87" s="127"/>
      <c r="K87" s="25"/>
      <c r="L87" s="127"/>
      <c r="M87" s="56" t="e">
        <f t="shared" ca="1" si="4"/>
        <v>#N/A</v>
      </c>
      <c r="N87" s="77" t="e">
        <f ca="1">VLOOKUP($B87,Matrix!$H$13:$I$37,2,FALSE)&amp;"_"&amp;C87</f>
        <v>#N/A</v>
      </c>
      <c r="O87" s="134" t="e">
        <f t="shared" ca="1" si="3"/>
        <v>#N/A</v>
      </c>
    </row>
    <row r="88" spans="2:15">
      <c r="B88" s="25"/>
      <c r="C88" s="24"/>
      <c r="D88" s="126"/>
      <c r="E88" s="25"/>
      <c r="F88" s="127"/>
      <c r="G88" s="25"/>
      <c r="H88" s="127"/>
      <c r="I88" s="25"/>
      <c r="J88" s="127"/>
      <c r="K88" s="25"/>
      <c r="L88" s="127"/>
      <c r="M88" s="56" t="e">
        <f t="shared" ca="1" si="4"/>
        <v>#N/A</v>
      </c>
      <c r="N88" s="77" t="e">
        <f ca="1">VLOOKUP($B88,Matrix!$H$13:$I$37,2,FALSE)&amp;"_"&amp;C88</f>
        <v>#N/A</v>
      </c>
      <c r="O88" s="134" t="e">
        <f t="shared" ca="1" si="3"/>
        <v>#N/A</v>
      </c>
    </row>
    <row r="89" spans="2:15">
      <c r="B89" s="25"/>
      <c r="C89" s="24"/>
      <c r="D89" s="126"/>
      <c r="E89" s="25"/>
      <c r="F89" s="127"/>
      <c r="G89" s="25"/>
      <c r="H89" s="127"/>
      <c r="I89" s="25"/>
      <c r="J89" s="127"/>
      <c r="K89" s="25"/>
      <c r="L89" s="127"/>
      <c r="M89" s="56" t="e">
        <f t="shared" ca="1" si="4"/>
        <v>#N/A</v>
      </c>
      <c r="N89" s="77" t="e">
        <f ca="1">VLOOKUP($B89,Matrix!$H$13:$I$37,2,FALSE)&amp;"_"&amp;C89</f>
        <v>#N/A</v>
      </c>
      <c r="O89" s="134" t="e">
        <f t="shared" ca="1" si="3"/>
        <v>#N/A</v>
      </c>
    </row>
    <row r="90" spans="2:15">
      <c r="B90" s="25"/>
      <c r="C90" s="24"/>
      <c r="D90" s="126"/>
      <c r="E90" s="25"/>
      <c r="F90" s="127"/>
      <c r="G90" s="25"/>
      <c r="H90" s="127"/>
      <c r="I90" s="25"/>
      <c r="J90" s="127"/>
      <c r="K90" s="25"/>
      <c r="L90" s="127"/>
      <c r="M90" s="56" t="e">
        <f t="shared" ca="1" si="4"/>
        <v>#N/A</v>
      </c>
      <c r="N90" s="77" t="e">
        <f ca="1">VLOOKUP($B90,Matrix!$H$13:$I$37,2,FALSE)&amp;"_"&amp;C90</f>
        <v>#N/A</v>
      </c>
      <c r="O90" s="134" t="e">
        <f t="shared" ca="1" si="3"/>
        <v>#N/A</v>
      </c>
    </row>
    <row r="91" spans="2:15">
      <c r="B91" s="25"/>
      <c r="C91" s="24"/>
      <c r="D91" s="126"/>
      <c r="E91" s="25"/>
      <c r="F91" s="127"/>
      <c r="G91" s="25"/>
      <c r="H91" s="127"/>
      <c r="I91" s="25"/>
      <c r="J91" s="127"/>
      <c r="K91" s="25"/>
      <c r="L91" s="127"/>
      <c r="M91" s="56" t="e">
        <f t="shared" ca="1" si="4"/>
        <v>#N/A</v>
      </c>
      <c r="N91" s="77" t="e">
        <f ca="1">VLOOKUP($B91,Matrix!$H$13:$I$37,2,FALSE)&amp;"_"&amp;C91</f>
        <v>#N/A</v>
      </c>
      <c r="O91" s="134" t="e">
        <f t="shared" ca="1" si="3"/>
        <v>#N/A</v>
      </c>
    </row>
    <row r="92" spans="2:15">
      <c r="B92" s="25"/>
      <c r="C92" s="24"/>
      <c r="D92" s="126"/>
      <c r="E92" s="25"/>
      <c r="F92" s="127"/>
      <c r="G92" s="25"/>
      <c r="H92" s="127"/>
      <c r="I92" s="25"/>
      <c r="J92" s="127"/>
      <c r="K92" s="25"/>
      <c r="L92" s="127"/>
      <c r="M92" s="56" t="e">
        <f t="shared" ca="1" si="4"/>
        <v>#N/A</v>
      </c>
      <c r="N92" s="77" t="e">
        <f ca="1">VLOOKUP($B92,Matrix!$H$13:$I$37,2,FALSE)&amp;"_"&amp;C92</f>
        <v>#N/A</v>
      </c>
      <c r="O92" s="134" t="e">
        <f t="shared" ca="1" si="3"/>
        <v>#N/A</v>
      </c>
    </row>
    <row r="93" spans="2:15">
      <c r="B93" s="25"/>
      <c r="C93" s="24"/>
      <c r="D93" s="126"/>
      <c r="E93" s="25"/>
      <c r="F93" s="127"/>
      <c r="G93" s="25"/>
      <c r="H93" s="127"/>
      <c r="I93" s="25"/>
      <c r="J93" s="127"/>
      <c r="K93" s="25"/>
      <c r="L93" s="127"/>
      <c r="M93" s="56" t="e">
        <f t="shared" ca="1" si="4"/>
        <v>#N/A</v>
      </c>
      <c r="N93" s="77" t="e">
        <f ca="1">VLOOKUP($B93,Matrix!$H$13:$I$37,2,FALSE)&amp;"_"&amp;C93</f>
        <v>#N/A</v>
      </c>
      <c r="O93" s="134" t="e">
        <f t="shared" ca="1" si="3"/>
        <v>#N/A</v>
      </c>
    </row>
    <row r="94" spans="2:15">
      <c r="B94" s="25"/>
      <c r="C94" s="24"/>
      <c r="D94" s="126"/>
      <c r="E94" s="25"/>
      <c r="F94" s="127"/>
      <c r="G94" s="25"/>
      <c r="H94" s="127"/>
      <c r="I94" s="25"/>
      <c r="J94" s="127"/>
      <c r="K94" s="25"/>
      <c r="L94" s="127"/>
      <c r="M94" s="56" t="e">
        <f t="shared" ca="1" si="4"/>
        <v>#N/A</v>
      </c>
      <c r="N94" s="77" t="e">
        <f ca="1">VLOOKUP($B94,Matrix!$H$13:$I$37,2,FALSE)&amp;"_"&amp;C94</f>
        <v>#N/A</v>
      </c>
      <c r="O94" s="134" t="e">
        <f t="shared" ca="1" si="3"/>
        <v>#N/A</v>
      </c>
    </row>
    <row r="95" spans="2:15">
      <c r="B95" s="25"/>
      <c r="C95" s="24"/>
      <c r="D95" s="126"/>
      <c r="E95" s="25"/>
      <c r="F95" s="127"/>
      <c r="G95" s="25"/>
      <c r="H95" s="127"/>
      <c r="I95" s="25"/>
      <c r="J95" s="127"/>
      <c r="K95" s="25"/>
      <c r="L95" s="127"/>
      <c r="M95" s="56" t="e">
        <f t="shared" ca="1" si="4"/>
        <v>#N/A</v>
      </c>
      <c r="N95" s="77" t="e">
        <f ca="1">VLOOKUP($B95,Matrix!$H$13:$I$37,2,FALSE)&amp;"_"&amp;C95</f>
        <v>#N/A</v>
      </c>
      <c r="O95" s="134" t="e">
        <f t="shared" ca="1" si="3"/>
        <v>#N/A</v>
      </c>
    </row>
    <row r="96" spans="2:15">
      <c r="B96" s="25"/>
      <c r="C96" s="24"/>
      <c r="D96" s="126"/>
      <c r="E96" s="25"/>
      <c r="F96" s="127"/>
      <c r="G96" s="25"/>
      <c r="H96" s="127"/>
      <c r="I96" s="25"/>
      <c r="J96" s="127"/>
      <c r="K96" s="25"/>
      <c r="L96" s="127"/>
      <c r="M96" s="56" t="e">
        <f t="shared" ca="1" si="4"/>
        <v>#N/A</v>
      </c>
      <c r="N96" s="77" t="e">
        <f ca="1">VLOOKUP($B96,Matrix!$H$13:$I$37,2,FALSE)&amp;"_"&amp;C96</f>
        <v>#N/A</v>
      </c>
      <c r="O96" s="134" t="e">
        <f t="shared" ca="1" si="3"/>
        <v>#N/A</v>
      </c>
    </row>
    <row r="97" spans="2:15">
      <c r="B97" s="25"/>
      <c r="C97" s="24"/>
      <c r="D97" s="126"/>
      <c r="E97" s="25"/>
      <c r="F97" s="127"/>
      <c r="G97" s="25"/>
      <c r="H97" s="127"/>
      <c r="I97" s="25"/>
      <c r="J97" s="127"/>
      <c r="K97" s="25"/>
      <c r="L97" s="127"/>
      <c r="M97" s="56" t="e">
        <f t="shared" ca="1" si="4"/>
        <v>#N/A</v>
      </c>
      <c r="N97" s="77" t="e">
        <f ca="1">VLOOKUP($B97,Matrix!$H$13:$I$37,2,FALSE)&amp;"_"&amp;C97</f>
        <v>#N/A</v>
      </c>
      <c r="O97" s="134" t="e">
        <f t="shared" ca="1" si="3"/>
        <v>#N/A</v>
      </c>
    </row>
    <row r="98" spans="2:15">
      <c r="B98" s="25"/>
      <c r="C98" s="24"/>
      <c r="D98" s="126"/>
      <c r="E98" s="25"/>
      <c r="F98" s="127"/>
      <c r="G98" s="25"/>
      <c r="H98" s="127"/>
      <c r="I98" s="25"/>
      <c r="J98" s="127"/>
      <c r="K98" s="25"/>
      <c r="L98" s="127"/>
      <c r="M98" s="56" t="e">
        <f t="shared" ca="1" si="4"/>
        <v>#N/A</v>
      </c>
      <c r="N98" s="77" t="e">
        <f ca="1">VLOOKUP($B98,Matrix!$H$13:$I$37,2,FALSE)&amp;"_"&amp;C98</f>
        <v>#N/A</v>
      </c>
      <c r="O98" s="134" t="e">
        <f t="shared" ca="1" si="3"/>
        <v>#N/A</v>
      </c>
    </row>
    <row r="99" spans="2:15">
      <c r="B99" s="25"/>
      <c r="C99" s="24"/>
      <c r="D99" s="126"/>
      <c r="E99" s="25"/>
      <c r="F99" s="127"/>
      <c r="G99" s="25"/>
      <c r="H99" s="127"/>
      <c r="I99" s="25"/>
      <c r="J99" s="127"/>
      <c r="K99" s="25"/>
      <c r="L99" s="127"/>
      <c r="M99" s="56" t="e">
        <f t="shared" ca="1" si="4"/>
        <v>#N/A</v>
      </c>
      <c r="N99" s="77" t="e">
        <f ca="1">VLOOKUP($B99,Matrix!$H$13:$I$37,2,FALSE)&amp;"_"&amp;C99</f>
        <v>#N/A</v>
      </c>
      <c r="O99" s="134" t="e">
        <f t="shared" ca="1" si="3"/>
        <v>#N/A</v>
      </c>
    </row>
    <row r="100" spans="2:15">
      <c r="B100" s="25"/>
      <c r="C100" s="24"/>
      <c r="D100" s="126"/>
      <c r="E100" s="25"/>
      <c r="F100" s="127"/>
      <c r="G100" s="25"/>
      <c r="H100" s="127"/>
      <c r="I100" s="25"/>
      <c r="J100" s="127"/>
      <c r="K100" s="25"/>
      <c r="L100" s="127"/>
      <c r="M100" s="56" t="e">
        <f t="shared" ca="1" si="4"/>
        <v>#N/A</v>
      </c>
      <c r="N100" s="77" t="e">
        <f ca="1">VLOOKUP($B100,Matrix!$H$13:$I$37,2,FALSE)&amp;"_"&amp;C100</f>
        <v>#N/A</v>
      </c>
      <c r="O100" s="134" t="e">
        <f t="shared" ref="O100:O103" ca="1" si="5">"#define "&amp;N100&amp;REPT(" ",48-M100)&amp;"("&amp;D100&amp;"U)"</f>
        <v>#N/A</v>
      </c>
    </row>
    <row r="101" spans="2:15">
      <c r="B101" s="25"/>
      <c r="C101" s="24"/>
      <c r="D101" s="126"/>
      <c r="E101" s="25"/>
      <c r="F101" s="127"/>
      <c r="G101" s="25"/>
      <c r="H101" s="127"/>
      <c r="I101" s="25"/>
      <c r="J101" s="127"/>
      <c r="K101" s="25"/>
      <c r="L101" s="127"/>
      <c r="M101" s="56" t="e">
        <f t="shared" ca="1" si="4"/>
        <v>#N/A</v>
      </c>
      <c r="N101" s="77" t="e">
        <f ca="1">VLOOKUP($B101,Matrix!$H$13:$I$37,2,FALSE)&amp;"_"&amp;C101</f>
        <v>#N/A</v>
      </c>
      <c r="O101" s="134" t="e">
        <f t="shared" ca="1" si="5"/>
        <v>#N/A</v>
      </c>
    </row>
    <row r="102" spans="2:15">
      <c r="B102" s="25"/>
      <c r="C102" s="24"/>
      <c r="D102" s="126"/>
      <c r="E102" s="25"/>
      <c r="F102" s="127"/>
      <c r="G102" s="25"/>
      <c r="H102" s="127"/>
      <c r="I102" s="25"/>
      <c r="J102" s="127"/>
      <c r="K102" s="25"/>
      <c r="L102" s="127"/>
      <c r="M102" s="56" t="e">
        <f t="shared" ca="1" si="4"/>
        <v>#N/A</v>
      </c>
      <c r="N102" s="77" t="e">
        <f ca="1">VLOOKUP($B102,Matrix!$H$13:$I$37,2,FALSE)&amp;"_"&amp;C102</f>
        <v>#N/A</v>
      </c>
      <c r="O102" s="134" t="e">
        <f t="shared" ca="1" si="5"/>
        <v>#N/A</v>
      </c>
    </row>
    <row r="103" spans="2:15" ht="13.5" thickBot="1">
      <c r="B103" s="62"/>
      <c r="C103" s="63"/>
      <c r="D103" s="128"/>
      <c r="E103" s="62"/>
      <c r="F103" s="129"/>
      <c r="G103" s="62"/>
      <c r="H103" s="129"/>
      <c r="I103" s="62"/>
      <c r="J103" s="129"/>
      <c r="K103" s="62"/>
      <c r="L103" s="129"/>
      <c r="M103" s="64" t="e">
        <f t="shared" ca="1" si="4"/>
        <v>#N/A</v>
      </c>
      <c r="N103" s="78" t="e">
        <f ca="1">VLOOKUP($B103,Matrix!$H$13:$I$37,2,FALSE)&amp;"_"&amp;C103</f>
        <v>#N/A</v>
      </c>
      <c r="O103" s="135" t="e">
        <f t="shared" ca="1" si="5"/>
        <v>#N/A</v>
      </c>
    </row>
  </sheetData>
  <sheetProtection sheet="1" objects="1" scenarios="1"/>
  <protectedRanges>
    <protectedRange sqref="B4:L103" name="範囲1"/>
  </protectedRanges>
  <customSheetViews>
    <customSheetView guid="{835E1E8D-859C-4113-A3E5-0B83A29207D2}" hiddenRows="1" hiddenColumns="1">
      <pane ySplit="2" topLeftCell="A3" activePane="bottomLeft" state="frozen"/>
      <selection pane="bottomLeft" activeCell="A4" sqref="A4"/>
      <pageMargins left="0.7" right="0.7" top="0.75" bottom="0.75" header="0.3" footer="0.3"/>
    </customSheetView>
  </customSheetViews>
  <phoneticPr fontId="2"/>
  <conditionalFormatting sqref="M3:M103">
    <cfRule type="cellIs" dxfId="9"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62</v>
      </c>
      <c r="AI1" t="s">
        <v>63</v>
      </c>
    </row>
    <row r="2" spans="1:49">
      <c r="B2" s="136" t="s">
        <v>123</v>
      </c>
      <c r="C2" s="319" t="s">
        <v>84</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21" t="s">
        <v>54</v>
      </c>
    </row>
    <row r="3" spans="1:49" ht="213" customHeight="1" thickBot="1">
      <c r="B3" s="213" t="str">
        <f>IF(OR(IF(COUNTIF(D6:AC69,"0")&lt;&gt;0,TRUE,FALSE),IF(COUNTIF(D6:AC69,"1")&lt;&gt;0,TRUE,FALSE)),"Search Table","Index Table")</f>
        <v>Index Table</v>
      </c>
      <c r="C3" s="320"/>
      <c r="D3" s="138" t="s">
        <v>64</v>
      </c>
      <c r="E3" s="138" t="s">
        <v>69</v>
      </c>
      <c r="F3" s="138" t="s">
        <v>52</v>
      </c>
      <c r="G3" s="138" t="s">
        <v>51</v>
      </c>
      <c r="H3" s="138" t="s">
        <v>121</v>
      </c>
      <c r="I3" s="138" t="s">
        <v>120</v>
      </c>
      <c r="J3" s="138" t="s">
        <v>125</v>
      </c>
      <c r="K3" s="138" t="s">
        <v>124</v>
      </c>
      <c r="L3" s="139" t="s">
        <v>69</v>
      </c>
      <c r="M3" s="139" t="s">
        <v>65</v>
      </c>
      <c r="N3" s="139" t="s">
        <v>65</v>
      </c>
      <c r="O3" s="139" t="s">
        <v>65</v>
      </c>
      <c r="P3" s="139" t="s">
        <v>65</v>
      </c>
      <c r="Q3" s="139" t="s">
        <v>65</v>
      </c>
      <c r="R3" s="139" t="s">
        <v>65</v>
      </c>
      <c r="S3" s="139" t="s">
        <v>65</v>
      </c>
      <c r="T3" s="139" t="s">
        <v>65</v>
      </c>
      <c r="U3" s="139" t="s">
        <v>65</v>
      </c>
      <c r="V3" s="139" t="s">
        <v>65</v>
      </c>
      <c r="W3" s="139" t="s">
        <v>65</v>
      </c>
      <c r="X3" s="139" t="s">
        <v>65</v>
      </c>
      <c r="Y3" s="139" t="s">
        <v>65</v>
      </c>
      <c r="Z3" s="139" t="s">
        <v>65</v>
      </c>
      <c r="AA3" s="139" t="s">
        <v>65</v>
      </c>
      <c r="AB3" s="139" t="s">
        <v>69</v>
      </c>
      <c r="AC3" s="139" t="s">
        <v>65</v>
      </c>
      <c r="AD3" s="139" t="s">
        <v>65</v>
      </c>
      <c r="AE3" s="138" t="s">
        <v>125</v>
      </c>
      <c r="AF3" s="218" t="s">
        <v>241</v>
      </c>
      <c r="AG3" s="327" t="s">
        <v>242</v>
      </c>
      <c r="AH3" s="328"/>
      <c r="AI3" s="329"/>
      <c r="AJ3" s="322"/>
      <c r="AR3" s="103" t="s">
        <v>96</v>
      </c>
    </row>
    <row r="4" spans="1:49" ht="13.5" thickBot="1">
      <c r="A4" s="323" t="s">
        <v>66</v>
      </c>
      <c r="B4" s="324"/>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141"/>
      <c r="AR4" s="91" t="s">
        <v>82</v>
      </c>
      <c r="AS4" s="92"/>
      <c r="AT4" s="92"/>
      <c r="AU4" s="92"/>
      <c r="AV4" s="92"/>
      <c r="AW4" s="93"/>
    </row>
    <row r="5" spans="1:49" ht="13.5" thickBot="1">
      <c r="A5" s="325"/>
      <c r="B5" s="326"/>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142"/>
      <c r="AR5" s="94" t="str">
        <f ca="1">"static const U4  "&amp;AW8&amp;"["&amp;AW10&amp;"]"&amp;" = {"</f>
        <v>static const U4  u4_sp_ALERT_C_EPB_TT_PKB_CRIT[ALERT_C_EPB_TT_PKB_NUM_DST] = {</v>
      </c>
      <c r="AS5" s="94" t="str">
        <f ca="1">"static const U4  "&amp;$AW$9&amp;"["&amp;$AW$10&amp;"] = {"</f>
        <v>static const U4  u4_sp_ALERT_C_EPB_TT_PKB_MASK[ALERT_C_EPB_TT_PKB_NUM_DST] = {</v>
      </c>
      <c r="AT5" s="94" t="str">
        <f ca="1">"static const U1  "&amp;$AW$11&amp;"["&amp;$AW$10&amp;"] = {"</f>
        <v>static const U1  u1_sp_ALERT_C_EPB_TT_PKB_DST[ALERT_C_EPB_TT_PKB_NUM_DST] = {</v>
      </c>
      <c r="AU5" s="94" t="str">
        <f ca="1">"const ST_ALERT_MTRX "&amp;$AW$12&amp;" = {"</f>
        <v>const ST_ALERT_MTRX st_gp_ALERT_C_EPB_MTRX[3] = {</v>
      </c>
      <c r="AV5" s="74" t="str">
        <f ca="1">"#define "&amp;AW10&amp;REPT(" ",41-LEN(AW10))&amp;"("&amp;AW13&amp;"U)"</f>
        <v>#define ALERT_C_EPB_TT_PKB_NUM_DST               (32U)</v>
      </c>
      <c r="AW5" s="75"/>
    </row>
    <row r="6" spans="1:49">
      <c r="B6" s="145" t="str">
        <f ca="1">"Table "&amp;$AW$6</f>
        <v>Table TT_PKB</v>
      </c>
      <c r="C6" s="61">
        <f>ROW()-ROW($C$6)</f>
        <v>0</v>
      </c>
      <c r="D6" s="140" t="s">
        <v>70</v>
      </c>
      <c r="E6" s="140" t="s">
        <v>70</v>
      </c>
      <c r="F6" s="140" t="s">
        <v>70</v>
      </c>
      <c r="G6" s="140" t="s">
        <v>70</v>
      </c>
      <c r="H6" s="140" t="s">
        <v>70</v>
      </c>
      <c r="I6" s="140" t="s">
        <v>70</v>
      </c>
      <c r="J6" s="140" t="s">
        <v>70</v>
      </c>
      <c r="K6" s="140" t="s">
        <v>70</v>
      </c>
      <c r="L6" s="140" t="s">
        <v>70</v>
      </c>
      <c r="M6" s="140" t="s">
        <v>70</v>
      </c>
      <c r="N6" s="140" t="s">
        <v>70</v>
      </c>
      <c r="O6" s="140" t="s">
        <v>70</v>
      </c>
      <c r="P6" s="140" t="s">
        <v>70</v>
      </c>
      <c r="Q6" s="140" t="s">
        <v>70</v>
      </c>
      <c r="R6" s="140" t="s">
        <v>70</v>
      </c>
      <c r="S6" s="140" t="s">
        <v>70</v>
      </c>
      <c r="T6" s="140" t="s">
        <v>70</v>
      </c>
      <c r="U6" s="140" t="s">
        <v>70</v>
      </c>
      <c r="V6" s="140" t="s">
        <v>70</v>
      </c>
      <c r="W6" s="140" t="s">
        <v>70</v>
      </c>
      <c r="X6" s="140" t="s">
        <v>70</v>
      </c>
      <c r="Y6" s="140" t="s">
        <v>70</v>
      </c>
      <c r="Z6" s="140" t="s">
        <v>70</v>
      </c>
      <c r="AA6" s="140" t="s">
        <v>70</v>
      </c>
      <c r="AB6" s="140" t="s">
        <v>70</v>
      </c>
      <c r="AC6" s="140" t="s">
        <v>70</v>
      </c>
      <c r="AD6" s="140" t="s">
        <v>70</v>
      </c>
      <c r="AE6" s="143">
        <v>0</v>
      </c>
      <c r="AF6" s="143">
        <v>0</v>
      </c>
      <c r="AG6" s="143">
        <v>0</v>
      </c>
      <c r="AH6" s="143">
        <v>0</v>
      </c>
      <c r="AI6" s="143">
        <v>0</v>
      </c>
      <c r="AJ6" s="60" t="s">
        <v>32</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(U4)0x0000001FU,                                                           /* 00 UNKNOWN                                         */</v>
      </c>
      <c r="AT6" s="72" t="str">
        <f t="shared" ref="AT6:AT69" si="1">IF(AJ6&lt;&gt;"",AL6&amp;IF(AJ7&lt;&gt;"",","," ")&amp;REPT(" ",78-LEN(AL6))&amp;"/* "&amp;IF(C6&lt;10,"0"&amp;C6,C6)&amp;" "&amp;AJ6&amp;REPT(" ",48-LEN(AJ6))&amp;"*/",IF(AJ5&lt;&gt;"","};",""))</f>
        <v xml:space="preserve">    (U1)ALERT_REQ_UNKNOWN,                                                     /* 00 UNKNOWN                                         */</v>
      </c>
      <c r="AU6" s="72" t="s">
        <v>307</v>
      </c>
      <c r="AV6" s="57" t="s">
        <v>71</v>
      </c>
      <c r="AW6" s="76" t="str">
        <f ca="1">UPPER(RIGHT(CELL("filename",A1),LEN(CELL("filename",A1))-FIND("]",CELL("filename",A1))))</f>
        <v>TT_PKB</v>
      </c>
    </row>
    <row r="7" spans="1:49">
      <c r="B7" s="145"/>
      <c r="C7" s="56">
        <f t="shared" ref="C7:C69" si="2">ROW()-ROW($C$6)</f>
        <v>1</v>
      </c>
      <c r="D7" s="70" t="s">
        <v>70</v>
      </c>
      <c r="E7" s="70" t="s">
        <v>70</v>
      </c>
      <c r="F7" s="70" t="s">
        <v>70</v>
      </c>
      <c r="G7" s="70" t="s">
        <v>70</v>
      </c>
      <c r="H7" s="70" t="s">
        <v>70</v>
      </c>
      <c r="I7" s="70" t="s">
        <v>70</v>
      </c>
      <c r="J7" s="70" t="s">
        <v>70</v>
      </c>
      <c r="K7" s="140" t="s">
        <v>70</v>
      </c>
      <c r="L7" s="70" t="s">
        <v>70</v>
      </c>
      <c r="M7" s="70" t="s">
        <v>70</v>
      </c>
      <c r="N7" s="70" t="s">
        <v>70</v>
      </c>
      <c r="O7" s="70" t="s">
        <v>70</v>
      </c>
      <c r="P7" s="70" t="s">
        <v>70</v>
      </c>
      <c r="Q7" s="70" t="s">
        <v>70</v>
      </c>
      <c r="R7" s="70" t="s">
        <v>70</v>
      </c>
      <c r="S7" s="70" t="s">
        <v>70</v>
      </c>
      <c r="T7" s="70" t="s">
        <v>70</v>
      </c>
      <c r="U7" s="70" t="s">
        <v>70</v>
      </c>
      <c r="V7" s="70" t="s">
        <v>70</v>
      </c>
      <c r="W7" s="70" t="s">
        <v>70</v>
      </c>
      <c r="X7" s="70" t="s">
        <v>70</v>
      </c>
      <c r="Y7" s="70" t="s">
        <v>70</v>
      </c>
      <c r="Z7" s="70" t="s">
        <v>70</v>
      </c>
      <c r="AA7" s="70" t="s">
        <v>70</v>
      </c>
      <c r="AB7" s="70" t="s">
        <v>70</v>
      </c>
      <c r="AC7" s="70" t="s">
        <v>70</v>
      </c>
      <c r="AD7" s="70" t="s">
        <v>70</v>
      </c>
      <c r="AE7" s="143">
        <v>0</v>
      </c>
      <c r="AF7" s="143">
        <v>0</v>
      </c>
      <c r="AG7" s="143">
        <v>0</v>
      </c>
      <c r="AH7" s="143">
        <v>0</v>
      </c>
      <c r="AI7" s="143">
        <v>1</v>
      </c>
      <c r="AJ7" s="60" t="s">
        <v>32</v>
      </c>
      <c r="AL7" t="str">
        <f t="shared" si="0"/>
        <v xml:space="preserve">    (U1)ALERT_REQ_UNKNOWN</v>
      </c>
      <c r="AR7" s="72" t="str">
        <f t="shared" ref="AR7:AR70" si="3">IF(AQ72&lt;&gt;"",AQ72,IF(AQ71&lt;&gt;"","};",""))</f>
        <v xml:space="preserve">    (U4)0x00000001U,                                                           /* 01 UNKNOWN                                         */</v>
      </c>
      <c r="AS7" s="72" t="str">
        <f t="shared" ref="AS7:AS70" si="4">IF(AQ137&lt;&gt;"",AQ137,IF(AQ136&lt;&gt;"","};",""))</f>
        <v xml:space="preserve">    (U4)0x0000001FU,                                                           /* 01 UNKNOWN                                         */</v>
      </c>
      <c r="AT7" s="72" t="str">
        <f t="shared" si="1"/>
        <v xml:space="preserve">    (U1)ALERT_REQ_UNKNOWN,                                                     /* 01 UNKNOWN                                         */</v>
      </c>
      <c r="AU7" s="72" t="str">
        <f ca="1">"        &amp;"&amp;$AW$14&amp;","&amp;REPT(" ",69-LEN($AW$14))&amp;"/* fp_u4_SRC_CHK                                      */"</f>
        <v xml:space="preserve">        &amp;u4_s_AlertC_epbTtPkbSrcchk,                                           /* fp_u4_SRC_CHK                                      */</v>
      </c>
      <c r="AV7" s="58" t="s">
        <v>72</v>
      </c>
      <c r="AW7" s="144">
        <f>IF(B3="Search Table",1,0)</f>
        <v>0</v>
      </c>
    </row>
    <row r="8" spans="1:49">
      <c r="B8" s="145"/>
      <c r="C8" s="56">
        <f t="shared" si="2"/>
        <v>2</v>
      </c>
      <c r="D8" s="70" t="s">
        <v>70</v>
      </c>
      <c r="E8" s="70" t="s">
        <v>70</v>
      </c>
      <c r="F8" s="70" t="s">
        <v>70</v>
      </c>
      <c r="G8" s="70" t="s">
        <v>70</v>
      </c>
      <c r="H8" s="70" t="s">
        <v>70</v>
      </c>
      <c r="I8" s="70" t="s">
        <v>70</v>
      </c>
      <c r="J8" s="70" t="s">
        <v>70</v>
      </c>
      <c r="K8" s="70" t="s">
        <v>70</v>
      </c>
      <c r="L8" s="70" t="s">
        <v>70</v>
      </c>
      <c r="M8" s="70" t="s">
        <v>70</v>
      </c>
      <c r="N8" s="70" t="s">
        <v>70</v>
      </c>
      <c r="O8" s="70" t="s">
        <v>70</v>
      </c>
      <c r="P8" s="70" t="s">
        <v>70</v>
      </c>
      <c r="Q8" s="70" t="s">
        <v>70</v>
      </c>
      <c r="R8" s="70" t="s">
        <v>70</v>
      </c>
      <c r="S8" s="70" t="s">
        <v>70</v>
      </c>
      <c r="T8" s="70" t="s">
        <v>70</v>
      </c>
      <c r="U8" s="70" t="s">
        <v>70</v>
      </c>
      <c r="V8" s="70" t="s">
        <v>70</v>
      </c>
      <c r="W8" s="70" t="s">
        <v>70</v>
      </c>
      <c r="X8" s="70" t="s">
        <v>70</v>
      </c>
      <c r="Y8" s="70" t="s">
        <v>70</v>
      </c>
      <c r="Z8" s="70" t="s">
        <v>70</v>
      </c>
      <c r="AA8" s="70" t="s">
        <v>70</v>
      </c>
      <c r="AB8" s="70" t="s">
        <v>70</v>
      </c>
      <c r="AC8" s="70" t="s">
        <v>70</v>
      </c>
      <c r="AD8" s="70" t="s">
        <v>70</v>
      </c>
      <c r="AE8" s="143">
        <v>0</v>
      </c>
      <c r="AF8" s="143">
        <v>0</v>
      </c>
      <c r="AG8" s="143">
        <v>0</v>
      </c>
      <c r="AH8" s="143">
        <v>1</v>
      </c>
      <c r="AI8" s="143">
        <v>0</v>
      </c>
      <c r="AJ8" s="24" t="s">
        <v>32</v>
      </c>
      <c r="AL8" t="str">
        <f t="shared" si="0"/>
        <v xml:space="preserve">    (U1)ALERT_REQ_UNKNOWN</v>
      </c>
      <c r="AR8" s="72" t="str">
        <f t="shared" si="3"/>
        <v xml:space="preserve">    (U4)0x00000002U,                                                           /* 02 UNKNOWN                                         */</v>
      </c>
      <c r="AS8" s="72" t="str">
        <f t="shared" si="4"/>
        <v xml:space="preserve">    (U4)0x0000001FU,                                                           /* 02 UNKNOWN                                         */</v>
      </c>
      <c r="AT8" s="72" t="str">
        <f>IF(AJ8&lt;&gt;"",AL8&amp;IF(AJ9&lt;&gt;"",","," ")&amp;REPT(" ",78-LEN(AL8))&amp;"/* "&amp;IF(C8&lt;10,"0"&amp;C8,C8)&amp;" "&amp;AJ8&amp;REPT(" ",48-LEN(AJ8))&amp;"*/",IF(AJ7&lt;&gt;"","};",""))</f>
        <v xml:space="preserve">    (U1)ALERT_REQ_UNKNOWN,                                                     /* 02 UNKNOWN                                         */</v>
      </c>
      <c r="AU8" s="72" t="str">
        <f ca="1">IF($AW$15&lt;&gt;"NULL","        &amp;"&amp;$AW$15&amp;","&amp;REPT(" ",69-LEN($AW$15))&amp;"/* fp_vd_XDST                                         */","        vdp_PTR_NA,                                                            /* fp_vd_XDST                                         */")</f>
        <v xml:space="preserve">        vdp_PTR_NA,                                                            /* fp_vd_XDST                                         */</v>
      </c>
      <c r="AV8" s="58" t="s">
        <v>73</v>
      </c>
      <c r="AW8" s="77" t="str">
        <f ca="1">"u4_sp_ALERT_"&amp;IF(AW6&lt;&gt;AW17,$AW$17&amp;"_"&amp;$AW$6,AW17)&amp;"_CRIT"</f>
        <v>u4_sp_ALERT_C_EPB_TT_PKB_CRIT</v>
      </c>
    </row>
    <row r="9" spans="1:49">
      <c r="B9" s="145"/>
      <c r="C9" s="56">
        <f t="shared" si="2"/>
        <v>3</v>
      </c>
      <c r="D9" s="70" t="s">
        <v>70</v>
      </c>
      <c r="E9" s="70" t="s">
        <v>70</v>
      </c>
      <c r="F9" s="70" t="s">
        <v>70</v>
      </c>
      <c r="G9" s="70" t="s">
        <v>70</v>
      </c>
      <c r="H9" s="70" t="s">
        <v>70</v>
      </c>
      <c r="I9" s="70" t="s">
        <v>70</v>
      </c>
      <c r="J9" s="70" t="s">
        <v>70</v>
      </c>
      <c r="K9" s="70" t="s">
        <v>70</v>
      </c>
      <c r="L9" s="70" t="s">
        <v>70</v>
      </c>
      <c r="M9" s="70" t="s">
        <v>70</v>
      </c>
      <c r="N9" s="70" t="s">
        <v>70</v>
      </c>
      <c r="O9" s="70" t="s">
        <v>70</v>
      </c>
      <c r="P9" s="70" t="s">
        <v>70</v>
      </c>
      <c r="Q9" s="70" t="s">
        <v>70</v>
      </c>
      <c r="R9" s="70" t="s">
        <v>70</v>
      </c>
      <c r="S9" s="70" t="s">
        <v>70</v>
      </c>
      <c r="T9" s="70" t="s">
        <v>70</v>
      </c>
      <c r="U9" s="70" t="s">
        <v>70</v>
      </c>
      <c r="V9" s="70" t="s">
        <v>70</v>
      </c>
      <c r="W9" s="70" t="s">
        <v>70</v>
      </c>
      <c r="X9" s="70" t="s">
        <v>70</v>
      </c>
      <c r="Y9" s="70" t="s">
        <v>70</v>
      </c>
      <c r="Z9" s="70" t="s">
        <v>70</v>
      </c>
      <c r="AA9" s="70" t="s">
        <v>70</v>
      </c>
      <c r="AB9" s="70" t="s">
        <v>70</v>
      </c>
      <c r="AC9" s="70" t="s">
        <v>70</v>
      </c>
      <c r="AD9" s="70" t="s">
        <v>70</v>
      </c>
      <c r="AE9" s="143">
        <v>0</v>
      </c>
      <c r="AF9" s="143">
        <v>0</v>
      </c>
      <c r="AG9" s="143">
        <v>0</v>
      </c>
      <c r="AH9" s="143">
        <v>1</v>
      </c>
      <c r="AI9" s="143">
        <v>1</v>
      </c>
      <c r="AJ9" s="24" t="s">
        <v>32</v>
      </c>
      <c r="AL9" t="str">
        <f t="shared" si="0"/>
        <v xml:space="preserve">    (U1)ALERT_REQ_UNKNOWN</v>
      </c>
      <c r="AR9" s="72" t="str">
        <f t="shared" si="3"/>
        <v xml:space="preserve">    (U4)0x00000003U,                                                           /* 03 UNKNOWN                                         */</v>
      </c>
      <c r="AS9" s="72" t="str">
        <f t="shared" si="4"/>
        <v xml:space="preserve">    (U4)0x0000001FU,                                                           /* 03 UNKNOWN                                         */</v>
      </c>
      <c r="AT9" s="72" t="str">
        <f t="shared" si="1"/>
        <v xml:space="preserve">    (U1)ALERT_REQ_UNKNOWN,                                                     /* 03 UNKNOWN                                         */</v>
      </c>
      <c r="AU9" s="72"/>
      <c r="AV9" s="58" t="s">
        <v>74</v>
      </c>
      <c r="AW9" s="77" t="str">
        <f ca="1">"u4_sp_ALERT_"&amp;IF(AW6&lt;&gt;AW17,$AW$17&amp;"_"&amp;$AW$6,AW17)&amp;"_MASK"</f>
        <v>u4_sp_ALERT_C_EPB_TT_PKB_MASK</v>
      </c>
    </row>
    <row r="10" spans="1:49">
      <c r="B10" s="145"/>
      <c r="C10" s="56">
        <f t="shared" si="2"/>
        <v>4</v>
      </c>
      <c r="D10" s="70" t="s">
        <v>70</v>
      </c>
      <c r="E10" s="70" t="s">
        <v>70</v>
      </c>
      <c r="F10" s="70" t="s">
        <v>70</v>
      </c>
      <c r="G10" s="70" t="s">
        <v>70</v>
      </c>
      <c r="H10" s="70" t="s">
        <v>70</v>
      </c>
      <c r="I10" s="70" t="s">
        <v>70</v>
      </c>
      <c r="J10" s="70" t="s">
        <v>70</v>
      </c>
      <c r="K10" s="70" t="s">
        <v>70</v>
      </c>
      <c r="L10" s="70" t="s">
        <v>70</v>
      </c>
      <c r="M10" s="70" t="s">
        <v>70</v>
      </c>
      <c r="N10" s="70" t="s">
        <v>70</v>
      </c>
      <c r="O10" s="70" t="s">
        <v>70</v>
      </c>
      <c r="P10" s="70" t="s">
        <v>70</v>
      </c>
      <c r="Q10" s="70" t="s">
        <v>70</v>
      </c>
      <c r="R10" s="70" t="s">
        <v>70</v>
      </c>
      <c r="S10" s="70" t="s">
        <v>70</v>
      </c>
      <c r="T10" s="70" t="s">
        <v>70</v>
      </c>
      <c r="U10" s="70" t="s">
        <v>70</v>
      </c>
      <c r="V10" s="70" t="s">
        <v>70</v>
      </c>
      <c r="W10" s="70" t="s">
        <v>70</v>
      </c>
      <c r="X10" s="70" t="s">
        <v>70</v>
      </c>
      <c r="Y10" s="70" t="s">
        <v>70</v>
      </c>
      <c r="Z10" s="70" t="s">
        <v>70</v>
      </c>
      <c r="AA10" s="70" t="s">
        <v>70</v>
      </c>
      <c r="AB10" s="70" t="s">
        <v>70</v>
      </c>
      <c r="AC10" s="70" t="s">
        <v>70</v>
      </c>
      <c r="AD10" s="70" t="s">
        <v>70</v>
      </c>
      <c r="AE10" s="143">
        <v>0</v>
      </c>
      <c r="AF10" s="143">
        <v>0</v>
      </c>
      <c r="AG10" s="143">
        <v>1</v>
      </c>
      <c r="AH10" s="143">
        <v>0</v>
      </c>
      <c r="AI10" s="143">
        <v>0</v>
      </c>
      <c r="AJ10" s="60" t="s">
        <v>32</v>
      </c>
      <c r="AL10" t="str">
        <f t="shared" si="0"/>
        <v xml:space="preserve">    (U1)ALERT_REQ_UNKNOWN</v>
      </c>
      <c r="AR10" s="72" t="str">
        <f t="shared" si="3"/>
        <v xml:space="preserve">    (U4)0x00000004U,                                                           /* 04 UNKNOWN                                         */</v>
      </c>
      <c r="AS10" s="72" t="str">
        <f t="shared" si="4"/>
        <v xml:space="preserve">    (U4)0x0000001FU,                                                           /* 04 UNKNOWN                                         */</v>
      </c>
      <c r="AT10" s="72" t="str">
        <f t="shared" si="1"/>
        <v xml:space="preserve">    (U1)ALERT_REQ_UNKNOWN,                                                     /* 04 UNKNOWN                                         */</v>
      </c>
      <c r="AU10" s="72" t="str">
        <f>IF($AW$7=1,"        &amp;"&amp;$AW$9&amp;"[0],"&amp;REPT(" ",66-LEN($AW$9))&amp;"/* u4p_MASK                                           */","        (const U4 *)vdp_PTR_NA,                                                /* u4p_MASK                                           */")</f>
        <v xml:space="preserve">        (const U4 *)vdp_PTR_NA,                                                /* u4p_MASK                                           */</v>
      </c>
      <c r="AV10" s="58" t="s">
        <v>75</v>
      </c>
      <c r="AW10" s="77" t="str">
        <f ca="1">"ALERT_"&amp;IF(AW6&lt;&gt;AW17,$AW$17&amp;"_"&amp;$AW$6,AW17)&amp;"_NUM_DST"</f>
        <v>ALERT_C_EPB_TT_PKB_NUM_DST</v>
      </c>
    </row>
    <row r="11" spans="1:49">
      <c r="B11" s="145"/>
      <c r="C11" s="56">
        <f t="shared" si="2"/>
        <v>5</v>
      </c>
      <c r="D11" s="70" t="s">
        <v>70</v>
      </c>
      <c r="E11" s="70" t="s">
        <v>70</v>
      </c>
      <c r="F11" s="70" t="s">
        <v>70</v>
      </c>
      <c r="G11" s="70" t="s">
        <v>70</v>
      </c>
      <c r="H11" s="70" t="s">
        <v>70</v>
      </c>
      <c r="I11" s="70" t="s">
        <v>70</v>
      </c>
      <c r="J11" s="70" t="s">
        <v>70</v>
      </c>
      <c r="K11" s="70" t="s">
        <v>70</v>
      </c>
      <c r="L11" s="70" t="s">
        <v>70</v>
      </c>
      <c r="M11" s="70" t="s">
        <v>70</v>
      </c>
      <c r="N11" s="70" t="s">
        <v>70</v>
      </c>
      <c r="O11" s="70" t="s">
        <v>70</v>
      </c>
      <c r="P11" s="70" t="s">
        <v>70</v>
      </c>
      <c r="Q11" s="70" t="s">
        <v>70</v>
      </c>
      <c r="R11" s="70" t="s">
        <v>70</v>
      </c>
      <c r="S11" s="70" t="s">
        <v>70</v>
      </c>
      <c r="T11" s="70" t="s">
        <v>70</v>
      </c>
      <c r="U11" s="70" t="s">
        <v>70</v>
      </c>
      <c r="V11" s="70" t="s">
        <v>70</v>
      </c>
      <c r="W11" s="70" t="s">
        <v>70</v>
      </c>
      <c r="X11" s="70" t="s">
        <v>70</v>
      </c>
      <c r="Y11" s="70" t="s">
        <v>70</v>
      </c>
      <c r="Z11" s="70" t="s">
        <v>70</v>
      </c>
      <c r="AA11" s="70" t="s">
        <v>70</v>
      </c>
      <c r="AB11" s="70" t="s">
        <v>70</v>
      </c>
      <c r="AC11" s="70" t="s">
        <v>70</v>
      </c>
      <c r="AD11" s="70" t="s">
        <v>70</v>
      </c>
      <c r="AE11" s="143">
        <v>0</v>
      </c>
      <c r="AF11" s="143">
        <v>0</v>
      </c>
      <c r="AG11" s="143">
        <v>1</v>
      </c>
      <c r="AH11" s="143">
        <v>0</v>
      </c>
      <c r="AI11" s="143">
        <v>1</v>
      </c>
      <c r="AJ11" s="60" t="s">
        <v>32</v>
      </c>
      <c r="AL11" t="str">
        <f t="shared" si="0"/>
        <v xml:space="preserve">    (U1)ALERT_REQ_UNKNOWN</v>
      </c>
      <c r="AR11" s="72" t="str">
        <f t="shared" si="3"/>
        <v xml:space="preserve">    (U4)0x00000005U,                                                           /* 05 UNKNOWN                                         */</v>
      </c>
      <c r="AS11" s="72" t="str">
        <f t="shared" si="4"/>
        <v xml:space="preserve">    (U4)0x0000001FU,                                                           /* 05 UNKNOWN                                         */</v>
      </c>
      <c r="AT11" s="72" t="str">
        <f t="shared" si="1"/>
        <v xml:space="preserve">    (U1)ALERT_REQ_UNKNOWN,                                                     /* 05 UNKNOWN                                         */</v>
      </c>
      <c r="AU11" s="72" t="str">
        <f>IF($AW$7=1,"        &amp;"&amp;$AW$8&amp;"[0],"&amp;REPT(" ",66-LEN($AW$8))&amp;"/* u4p_CRIT                                           */","        (const U4 *)vdp_PTR_NA,                                                /* u4p_CRIT                                           */")</f>
        <v xml:space="preserve">        (const U4 *)vdp_PTR_NA,                                                /* u4p_CRIT                                           */</v>
      </c>
      <c r="AV11" s="58" t="s">
        <v>76</v>
      </c>
      <c r="AW11" s="77" t="str">
        <f ca="1">"u1_sp_ALERT_"&amp;IF(AW6&lt;&gt;AW17,$AW$17&amp;"_"&amp;$AW$6,AW17)&amp;"_DST"</f>
        <v>u1_sp_ALERT_C_EPB_TT_PKB_DST</v>
      </c>
    </row>
    <row r="12" spans="1:49">
      <c r="B12" s="145"/>
      <c r="C12" s="56">
        <f t="shared" si="2"/>
        <v>6</v>
      </c>
      <c r="D12" s="70" t="s">
        <v>70</v>
      </c>
      <c r="E12" s="70" t="s">
        <v>70</v>
      </c>
      <c r="F12" s="70" t="s">
        <v>70</v>
      </c>
      <c r="G12" s="70" t="s">
        <v>70</v>
      </c>
      <c r="H12" s="70" t="s">
        <v>70</v>
      </c>
      <c r="I12" s="70" t="s">
        <v>70</v>
      </c>
      <c r="J12" s="70" t="s">
        <v>70</v>
      </c>
      <c r="K12" s="70" t="s">
        <v>70</v>
      </c>
      <c r="L12" s="70" t="s">
        <v>70</v>
      </c>
      <c r="M12" s="70" t="s">
        <v>70</v>
      </c>
      <c r="N12" s="70" t="s">
        <v>70</v>
      </c>
      <c r="O12" s="70" t="s">
        <v>70</v>
      </c>
      <c r="P12" s="70" t="s">
        <v>70</v>
      </c>
      <c r="Q12" s="70" t="s">
        <v>70</v>
      </c>
      <c r="R12" s="70" t="s">
        <v>70</v>
      </c>
      <c r="S12" s="70" t="s">
        <v>70</v>
      </c>
      <c r="T12" s="70" t="s">
        <v>70</v>
      </c>
      <c r="U12" s="70" t="s">
        <v>70</v>
      </c>
      <c r="V12" s="70" t="s">
        <v>70</v>
      </c>
      <c r="W12" s="70" t="s">
        <v>70</v>
      </c>
      <c r="X12" s="70" t="s">
        <v>70</v>
      </c>
      <c r="Y12" s="70" t="s">
        <v>70</v>
      </c>
      <c r="Z12" s="70" t="s">
        <v>70</v>
      </c>
      <c r="AA12" s="70" t="s">
        <v>70</v>
      </c>
      <c r="AB12" s="70" t="s">
        <v>70</v>
      </c>
      <c r="AC12" s="70" t="s">
        <v>70</v>
      </c>
      <c r="AD12" s="70" t="s">
        <v>70</v>
      </c>
      <c r="AE12" s="143">
        <v>0</v>
      </c>
      <c r="AF12" s="143">
        <v>0</v>
      </c>
      <c r="AG12" s="143">
        <v>1</v>
      </c>
      <c r="AH12" s="143">
        <v>1</v>
      </c>
      <c r="AI12" s="143">
        <v>0</v>
      </c>
      <c r="AJ12" s="60" t="s">
        <v>32</v>
      </c>
      <c r="AL12" t="str">
        <f t="shared" si="0"/>
        <v xml:space="preserve">    (U1)ALERT_REQ_UNKNOWN</v>
      </c>
      <c r="AR12" s="72" t="str">
        <f t="shared" si="3"/>
        <v xml:space="preserve">    (U4)0x00000006U,                                                           /* 06 UNKNOWN                                         */</v>
      </c>
      <c r="AS12" s="72" t="str">
        <f t="shared" si="4"/>
        <v xml:space="preserve">    (U4)0x0000001FU,                                                           /* 06 UNKNOWN                                         */</v>
      </c>
      <c r="AT12" s="72" t="str">
        <f t="shared" si="1"/>
        <v xml:space="preserve">    (U1)ALERT_REQ_UNKNOWN,                                                     /* 06 UNKNOWN                                         */</v>
      </c>
      <c r="AU12" s="72"/>
      <c r="AV12" s="58" t="s">
        <v>88</v>
      </c>
      <c r="AW12" s="77" t="str">
        <f ca="1">Matrix!D8&amp;"["&amp;Matrix!D7&amp;"]"</f>
        <v>st_gp_ALERT_C_EPB_MTRX[3]</v>
      </c>
    </row>
    <row r="13" spans="1:49">
      <c r="B13" s="145"/>
      <c r="C13" s="56">
        <f t="shared" si="2"/>
        <v>7</v>
      </c>
      <c r="D13" s="70" t="s">
        <v>70</v>
      </c>
      <c r="E13" s="70" t="s">
        <v>70</v>
      </c>
      <c r="F13" s="70" t="s">
        <v>70</v>
      </c>
      <c r="G13" s="70" t="s">
        <v>70</v>
      </c>
      <c r="H13" s="70" t="s">
        <v>70</v>
      </c>
      <c r="I13" s="70" t="s">
        <v>70</v>
      </c>
      <c r="J13" s="70" t="s">
        <v>70</v>
      </c>
      <c r="K13" s="70" t="s">
        <v>70</v>
      </c>
      <c r="L13" s="70" t="s">
        <v>70</v>
      </c>
      <c r="M13" s="70" t="s">
        <v>70</v>
      </c>
      <c r="N13" s="70" t="s">
        <v>70</v>
      </c>
      <c r="O13" s="70" t="s">
        <v>70</v>
      </c>
      <c r="P13" s="70" t="s">
        <v>70</v>
      </c>
      <c r="Q13" s="70" t="s">
        <v>70</v>
      </c>
      <c r="R13" s="70" t="s">
        <v>70</v>
      </c>
      <c r="S13" s="70" t="s">
        <v>70</v>
      </c>
      <c r="T13" s="70" t="s">
        <v>70</v>
      </c>
      <c r="U13" s="70" t="s">
        <v>70</v>
      </c>
      <c r="V13" s="70" t="s">
        <v>70</v>
      </c>
      <c r="W13" s="70" t="s">
        <v>70</v>
      </c>
      <c r="X13" s="70" t="s">
        <v>70</v>
      </c>
      <c r="Y13" s="70" t="s">
        <v>70</v>
      </c>
      <c r="Z13" s="70" t="s">
        <v>70</v>
      </c>
      <c r="AA13" s="70" t="s">
        <v>70</v>
      </c>
      <c r="AB13" s="70" t="s">
        <v>70</v>
      </c>
      <c r="AC13" s="70" t="s">
        <v>70</v>
      </c>
      <c r="AD13" s="70" t="s">
        <v>70</v>
      </c>
      <c r="AE13" s="143">
        <v>0</v>
      </c>
      <c r="AF13" s="143">
        <v>0</v>
      </c>
      <c r="AG13" s="143">
        <v>1</v>
      </c>
      <c r="AH13" s="143">
        <v>1</v>
      </c>
      <c r="AI13" s="143">
        <v>1</v>
      </c>
      <c r="AJ13" s="60" t="s">
        <v>32</v>
      </c>
      <c r="AL13" t="str">
        <f t="shared" si="0"/>
        <v xml:space="preserve">    (U1)ALERT_REQ_UNKNOWN</v>
      </c>
      <c r="AR13" s="72" t="str">
        <f t="shared" si="3"/>
        <v xml:space="preserve">    (U4)0x00000007U,                                                           /* 07 UNKNOWN                                         */</v>
      </c>
      <c r="AS13" s="72" t="str">
        <f t="shared" si="4"/>
        <v xml:space="preserve">    (U4)0x0000001FU,                                                           /* 07 UNKNOWN                                         */</v>
      </c>
      <c r="AT13" s="72" t="str">
        <f t="shared" si="1"/>
        <v xml:space="preserve">    (U1)ALERT_REQ_UNKNOWN,                                                     /* 07 UNKNOWN                                         */</v>
      </c>
      <c r="AU13" s="72" t="str">
        <f ca="1">"        &amp;"&amp;$AW$11&amp;"[0],"&amp;REPT(" ",66-LEN($AW$11))&amp;"/* u1p_DST                                            */"</f>
        <v xml:space="preserve">        &amp;u1_sp_ALERT_C_EPB_TT_PKB_DST[0],                                      /* u1p_DST                                            */</v>
      </c>
      <c r="AV13" s="58" t="s">
        <v>77</v>
      </c>
      <c r="AW13" s="144">
        <f>COUNTA($AJ$6:$AJ$69)</f>
        <v>32</v>
      </c>
    </row>
    <row r="14" spans="1:49">
      <c r="B14" s="145"/>
      <c r="C14" s="56">
        <f t="shared" si="2"/>
        <v>8</v>
      </c>
      <c r="D14" s="70" t="s">
        <v>70</v>
      </c>
      <c r="E14" s="70" t="s">
        <v>70</v>
      </c>
      <c r="F14" s="70" t="s">
        <v>70</v>
      </c>
      <c r="G14" s="70" t="s">
        <v>70</v>
      </c>
      <c r="H14" s="70" t="s">
        <v>70</v>
      </c>
      <c r="I14" s="70" t="s">
        <v>70</v>
      </c>
      <c r="J14" s="70" t="s">
        <v>70</v>
      </c>
      <c r="K14" s="70" t="s">
        <v>70</v>
      </c>
      <c r="L14" s="70" t="s">
        <v>70</v>
      </c>
      <c r="M14" s="70" t="s">
        <v>70</v>
      </c>
      <c r="N14" s="70" t="s">
        <v>70</v>
      </c>
      <c r="O14" s="70" t="s">
        <v>70</v>
      </c>
      <c r="P14" s="70" t="s">
        <v>70</v>
      </c>
      <c r="Q14" s="70" t="s">
        <v>70</v>
      </c>
      <c r="R14" s="70" t="s">
        <v>70</v>
      </c>
      <c r="S14" s="70" t="s">
        <v>70</v>
      </c>
      <c r="T14" s="70" t="s">
        <v>70</v>
      </c>
      <c r="U14" s="70" t="s">
        <v>70</v>
      </c>
      <c r="V14" s="70" t="s">
        <v>70</v>
      </c>
      <c r="W14" s="70" t="s">
        <v>70</v>
      </c>
      <c r="X14" s="70" t="s">
        <v>70</v>
      </c>
      <c r="Y14" s="70" t="s">
        <v>70</v>
      </c>
      <c r="Z14" s="70" t="s">
        <v>70</v>
      </c>
      <c r="AA14" s="70" t="s">
        <v>70</v>
      </c>
      <c r="AB14" s="70" t="s">
        <v>70</v>
      </c>
      <c r="AC14" s="70" t="s">
        <v>70</v>
      </c>
      <c r="AD14" s="70" t="s">
        <v>70</v>
      </c>
      <c r="AE14" s="143">
        <v>0</v>
      </c>
      <c r="AF14" s="143">
        <v>1</v>
      </c>
      <c r="AG14" s="143">
        <v>0</v>
      </c>
      <c r="AH14" s="143">
        <v>0</v>
      </c>
      <c r="AI14" s="143">
        <v>0</v>
      </c>
      <c r="AJ14" s="60" t="s">
        <v>32</v>
      </c>
      <c r="AL14" t="str">
        <f t="shared" si="0"/>
        <v xml:space="preserve">    (U1)ALERT_REQ_UNKNOWN</v>
      </c>
      <c r="AR14" s="72" t="str">
        <f t="shared" si="3"/>
        <v xml:space="preserve">    (U4)0x00000008U,                                                           /* 08 UNKNOWN                                         */</v>
      </c>
      <c r="AS14" s="72" t="str">
        <f t="shared" si="4"/>
        <v xml:space="preserve">    (U4)0x0000001FU,                                                           /* 08 UNKNOWN                                         */</v>
      </c>
      <c r="AT14" s="72" t="str">
        <f t="shared" si="1"/>
        <v xml:space="preserve">    (U1)ALERT_REQ_UNKNOWN,                                                     /* 08 UNKNOWN                                         */</v>
      </c>
      <c r="AU14" s="72" t="str">
        <f ca="1">"        (U2)"&amp;$AW$10&amp;","&amp;REPT(" ",66-LEN($AW$10))&amp;"/* u2_num_srch                                        */"</f>
        <v xml:space="preserve">        (U2)ALERT_C_EPB_TT_PKB_NUM_DST,                                        /* u2_num_srch                                        */</v>
      </c>
      <c r="AV14" s="58" t="s">
        <v>78</v>
      </c>
      <c r="AW14" s="77" t="str">
        <f ca="1">IF(AW6&lt;&gt;AW17,VLOOKUP(AW6,Matrix!$C$13:$G$37,4,FALSE),Matrix!F13)</f>
        <v>u4_s_AlertC_epbTtPkbSrcchk</v>
      </c>
    </row>
    <row r="15" spans="1:49">
      <c r="B15" s="145"/>
      <c r="C15" s="56">
        <f t="shared" si="2"/>
        <v>9</v>
      </c>
      <c r="D15" s="70" t="s">
        <v>70</v>
      </c>
      <c r="E15" s="70" t="s">
        <v>70</v>
      </c>
      <c r="F15" s="70" t="s">
        <v>70</v>
      </c>
      <c r="G15" s="70" t="s">
        <v>70</v>
      </c>
      <c r="H15" s="70" t="s">
        <v>70</v>
      </c>
      <c r="I15" s="70" t="s">
        <v>70</v>
      </c>
      <c r="J15" s="70" t="s">
        <v>70</v>
      </c>
      <c r="K15" s="70" t="s">
        <v>70</v>
      </c>
      <c r="L15" s="70" t="s">
        <v>70</v>
      </c>
      <c r="M15" s="70" t="s">
        <v>70</v>
      </c>
      <c r="N15" s="70" t="s">
        <v>70</v>
      </c>
      <c r="O15" s="70" t="s">
        <v>70</v>
      </c>
      <c r="P15" s="70" t="s">
        <v>70</v>
      </c>
      <c r="Q15" s="70" t="s">
        <v>70</v>
      </c>
      <c r="R15" s="70" t="s">
        <v>70</v>
      </c>
      <c r="S15" s="70" t="s">
        <v>70</v>
      </c>
      <c r="T15" s="70" t="s">
        <v>70</v>
      </c>
      <c r="U15" s="70" t="s">
        <v>70</v>
      </c>
      <c r="V15" s="70" t="s">
        <v>70</v>
      </c>
      <c r="W15" s="70" t="s">
        <v>70</v>
      </c>
      <c r="X15" s="70" t="s">
        <v>70</v>
      </c>
      <c r="Y15" s="70" t="s">
        <v>70</v>
      </c>
      <c r="Z15" s="70" t="s">
        <v>70</v>
      </c>
      <c r="AA15" s="70" t="s">
        <v>70</v>
      </c>
      <c r="AB15" s="70" t="s">
        <v>70</v>
      </c>
      <c r="AC15" s="70" t="s">
        <v>70</v>
      </c>
      <c r="AD15" s="70" t="s">
        <v>70</v>
      </c>
      <c r="AE15" s="143">
        <v>0</v>
      </c>
      <c r="AF15" s="143">
        <v>1</v>
      </c>
      <c r="AG15" s="143">
        <v>0</v>
      </c>
      <c r="AH15" s="143">
        <v>0</v>
      </c>
      <c r="AI15" s="143">
        <v>1</v>
      </c>
      <c r="AJ15" s="60" t="s">
        <v>32</v>
      </c>
      <c r="AL15" t="str">
        <f t="shared" si="0"/>
        <v xml:space="preserve">    (U1)ALERT_REQ_UNKNOWN</v>
      </c>
      <c r="AR15" s="72" t="str">
        <f t="shared" si="3"/>
        <v xml:space="preserve">    (U4)0x00000009U,                                                           /* 09 UNKNOWN                                         */</v>
      </c>
      <c r="AS15" s="72" t="str">
        <f t="shared" si="4"/>
        <v xml:space="preserve">    (U4)0x0000001FU,                                                           /* 09 UNKNOWN                                         */</v>
      </c>
      <c r="AT15" s="72" t="str">
        <f t="shared" si="1"/>
        <v xml:space="preserve">    (U1)ALERT_REQ_UNKNOWN,                                                     /* 09 UNKNOWN                                         */</v>
      </c>
      <c r="AU15" s="72" t="str">
        <f ca="1">"        (U1)"&amp;$AW$16&amp;REPT(" ",67-LEN($AW$16))&amp;"/* u1_vom_act                                         */"</f>
        <v xml:space="preserve">        (U1)ALERT_VOM_BAT_WT                                                   /* u1_vom_act                                         */</v>
      </c>
      <c r="AV15" s="58" t="s">
        <v>81</v>
      </c>
      <c r="AW15" s="77" t="str">
        <f ca="1">IF(AW6&lt;&gt;AW17,VLOOKUP(AW6,Matrix!$C$13:$G$37,5,FALSE),Matrix!G13)</f>
        <v>NULL</v>
      </c>
    </row>
    <row r="16" spans="1:49">
      <c r="B16" s="145"/>
      <c r="C16" s="56">
        <f t="shared" si="2"/>
        <v>10</v>
      </c>
      <c r="D16" s="70" t="s">
        <v>70</v>
      </c>
      <c r="E16" s="70" t="s">
        <v>70</v>
      </c>
      <c r="F16" s="70" t="s">
        <v>70</v>
      </c>
      <c r="G16" s="70" t="s">
        <v>70</v>
      </c>
      <c r="H16" s="70" t="s">
        <v>70</v>
      </c>
      <c r="I16" s="70" t="s">
        <v>70</v>
      </c>
      <c r="J16" s="70" t="s">
        <v>70</v>
      </c>
      <c r="K16" s="70" t="s">
        <v>70</v>
      </c>
      <c r="L16" s="70" t="s">
        <v>70</v>
      </c>
      <c r="M16" s="70" t="s">
        <v>70</v>
      </c>
      <c r="N16" s="70" t="s">
        <v>70</v>
      </c>
      <c r="O16" s="70" t="s">
        <v>70</v>
      </c>
      <c r="P16" s="70" t="s">
        <v>70</v>
      </c>
      <c r="Q16" s="70" t="s">
        <v>70</v>
      </c>
      <c r="R16" s="70" t="s">
        <v>70</v>
      </c>
      <c r="S16" s="70" t="s">
        <v>70</v>
      </c>
      <c r="T16" s="70" t="s">
        <v>70</v>
      </c>
      <c r="U16" s="70" t="s">
        <v>70</v>
      </c>
      <c r="V16" s="70" t="s">
        <v>70</v>
      </c>
      <c r="W16" s="70" t="s">
        <v>70</v>
      </c>
      <c r="X16" s="70" t="s">
        <v>70</v>
      </c>
      <c r="Y16" s="70" t="s">
        <v>70</v>
      </c>
      <c r="Z16" s="70" t="s">
        <v>70</v>
      </c>
      <c r="AA16" s="70" t="s">
        <v>70</v>
      </c>
      <c r="AB16" s="70" t="s">
        <v>70</v>
      </c>
      <c r="AC16" s="70" t="s">
        <v>70</v>
      </c>
      <c r="AD16" s="70" t="s">
        <v>70</v>
      </c>
      <c r="AE16" s="143">
        <v>0</v>
      </c>
      <c r="AF16" s="143">
        <v>1</v>
      </c>
      <c r="AG16" s="143">
        <v>0</v>
      </c>
      <c r="AH16" s="143">
        <v>1</v>
      </c>
      <c r="AI16" s="143">
        <v>0</v>
      </c>
      <c r="AJ16" s="60" t="s">
        <v>32</v>
      </c>
      <c r="AL16" t="str">
        <f t="shared" si="0"/>
        <v xml:space="preserve">    (U1)ALERT_REQ_UNKNOWN</v>
      </c>
      <c r="AR16" s="72" t="str">
        <f t="shared" si="3"/>
        <v xml:space="preserve">    (U4)0x0000000AU,                                                           /* 10 UNKNOWN                                         */</v>
      </c>
      <c r="AS16" s="72" t="str">
        <f t="shared" si="4"/>
        <v xml:space="preserve">    (U4)0x0000001FU,                                                           /* 10 UNKNOWN                                         */</v>
      </c>
      <c r="AT16" s="72" t="str">
        <f t="shared" si="1"/>
        <v xml:space="preserve">    (U1)ALERT_REQ_UNKNOWN,                                                     /* 10 UNKNOWN                                         */</v>
      </c>
      <c r="AU16" s="72" t="s">
        <v>308</v>
      </c>
      <c r="AV16" s="58" t="s">
        <v>79</v>
      </c>
      <c r="AW16" s="77" t="str">
        <f ca="1">IF(AW6&lt;&gt;AW17,VLOOKUP(AW6,Matrix!$C$13:$G$37,2,FALSE),Matrix!D13)</f>
        <v>ALERT_VOM_BAT_WT</v>
      </c>
    </row>
    <row r="17" spans="2:49" ht="13.5" thickBot="1">
      <c r="B17" s="145"/>
      <c r="C17" s="56">
        <f t="shared" si="2"/>
        <v>11</v>
      </c>
      <c r="D17" s="70" t="s">
        <v>70</v>
      </c>
      <c r="E17" s="70" t="s">
        <v>70</v>
      </c>
      <c r="F17" s="70" t="s">
        <v>70</v>
      </c>
      <c r="G17" s="70" t="s">
        <v>70</v>
      </c>
      <c r="H17" s="70" t="s">
        <v>70</v>
      </c>
      <c r="I17" s="70" t="s">
        <v>70</v>
      </c>
      <c r="J17" s="70" t="s">
        <v>70</v>
      </c>
      <c r="K17" s="70" t="s">
        <v>70</v>
      </c>
      <c r="L17" s="70" t="s">
        <v>70</v>
      </c>
      <c r="M17" s="70" t="s">
        <v>70</v>
      </c>
      <c r="N17" s="70" t="s">
        <v>70</v>
      </c>
      <c r="O17" s="70" t="s">
        <v>70</v>
      </c>
      <c r="P17" s="70" t="s">
        <v>70</v>
      </c>
      <c r="Q17" s="70" t="s">
        <v>70</v>
      </c>
      <c r="R17" s="70" t="s">
        <v>70</v>
      </c>
      <c r="S17" s="70" t="s">
        <v>70</v>
      </c>
      <c r="T17" s="70" t="s">
        <v>70</v>
      </c>
      <c r="U17" s="70" t="s">
        <v>70</v>
      </c>
      <c r="V17" s="70" t="s">
        <v>70</v>
      </c>
      <c r="W17" s="70" t="s">
        <v>70</v>
      </c>
      <c r="X17" s="70" t="s">
        <v>70</v>
      </c>
      <c r="Y17" s="70" t="s">
        <v>70</v>
      </c>
      <c r="Z17" s="70" t="s">
        <v>70</v>
      </c>
      <c r="AA17" s="70" t="s">
        <v>70</v>
      </c>
      <c r="AB17" s="70" t="s">
        <v>70</v>
      </c>
      <c r="AC17" s="70" t="s">
        <v>70</v>
      </c>
      <c r="AD17" s="70" t="s">
        <v>70</v>
      </c>
      <c r="AE17" s="143">
        <v>0</v>
      </c>
      <c r="AF17" s="143">
        <v>1</v>
      </c>
      <c r="AG17" s="143">
        <v>0</v>
      </c>
      <c r="AH17" s="143">
        <v>1</v>
      </c>
      <c r="AI17" s="143">
        <v>1</v>
      </c>
      <c r="AJ17" s="60" t="s">
        <v>32</v>
      </c>
      <c r="AL17" t="str">
        <f t="shared" si="0"/>
        <v xml:space="preserve">    (U1)ALERT_REQ_UNKNOWN</v>
      </c>
      <c r="AR17" s="72" t="str">
        <f t="shared" si="3"/>
        <v xml:space="preserve">    (U4)0x0000000BU,                                                           /* 11 UNKNOWN                                         */</v>
      </c>
      <c r="AS17" s="72" t="str">
        <f t="shared" si="4"/>
        <v xml:space="preserve">    (U4)0x0000001FU,                                                           /* 11 UNKNOWN                                         */</v>
      </c>
      <c r="AT17" s="72" t="str">
        <f t="shared" si="1"/>
        <v xml:space="preserve">    (U1)ALERT_REQ_UNKNOWN,                                                     /* 11 UNKNOWN                                         */</v>
      </c>
      <c r="AU17" s="73" t="s">
        <v>309</v>
      </c>
      <c r="AV17" s="59" t="s">
        <v>80</v>
      </c>
      <c r="AW17" s="78" t="str">
        <f ca="1">UPPER(Matrix!$D$6)</f>
        <v>C_EPB</v>
      </c>
    </row>
    <row r="18" spans="2:49">
      <c r="B18" s="145"/>
      <c r="C18" s="56">
        <f t="shared" si="2"/>
        <v>12</v>
      </c>
      <c r="D18" s="70" t="s">
        <v>70</v>
      </c>
      <c r="E18" s="70" t="s">
        <v>70</v>
      </c>
      <c r="F18" s="70" t="s">
        <v>70</v>
      </c>
      <c r="G18" s="70" t="s">
        <v>70</v>
      </c>
      <c r="H18" s="70" t="s">
        <v>70</v>
      </c>
      <c r="I18" s="70" t="s">
        <v>70</v>
      </c>
      <c r="J18" s="70" t="s">
        <v>70</v>
      </c>
      <c r="K18" s="70" t="s">
        <v>70</v>
      </c>
      <c r="L18" s="70" t="s">
        <v>70</v>
      </c>
      <c r="M18" s="70" t="s">
        <v>70</v>
      </c>
      <c r="N18" s="70" t="s">
        <v>70</v>
      </c>
      <c r="O18" s="70" t="s">
        <v>70</v>
      </c>
      <c r="P18" s="70" t="s">
        <v>70</v>
      </c>
      <c r="Q18" s="70" t="s">
        <v>70</v>
      </c>
      <c r="R18" s="70" t="s">
        <v>70</v>
      </c>
      <c r="S18" s="70" t="s">
        <v>70</v>
      </c>
      <c r="T18" s="70" t="s">
        <v>70</v>
      </c>
      <c r="U18" s="70" t="s">
        <v>70</v>
      </c>
      <c r="V18" s="70" t="s">
        <v>70</v>
      </c>
      <c r="W18" s="70" t="s">
        <v>70</v>
      </c>
      <c r="X18" s="70" t="s">
        <v>70</v>
      </c>
      <c r="Y18" s="70" t="s">
        <v>70</v>
      </c>
      <c r="Z18" s="70" t="s">
        <v>70</v>
      </c>
      <c r="AA18" s="70" t="s">
        <v>70</v>
      </c>
      <c r="AB18" s="70" t="s">
        <v>70</v>
      </c>
      <c r="AC18" s="70" t="s">
        <v>70</v>
      </c>
      <c r="AD18" s="70" t="s">
        <v>70</v>
      </c>
      <c r="AE18" s="143">
        <v>0</v>
      </c>
      <c r="AF18" s="143">
        <v>1</v>
      </c>
      <c r="AG18" s="143">
        <v>1</v>
      </c>
      <c r="AH18" s="143">
        <v>0</v>
      </c>
      <c r="AI18" s="143">
        <v>0</v>
      </c>
      <c r="AJ18" s="60" t="s">
        <v>32</v>
      </c>
      <c r="AL18" t="str">
        <f t="shared" si="0"/>
        <v xml:space="preserve">    (U1)ALERT_REQ_UNKNOWN</v>
      </c>
      <c r="AR18" s="72" t="str">
        <f t="shared" si="3"/>
        <v xml:space="preserve">    (U4)0x0000000CU,                                                           /* 12 UNKNOWN                                         */</v>
      </c>
      <c r="AS18" s="72" t="str">
        <f t="shared" si="4"/>
        <v xml:space="preserve">    (U4)0x0000001FU,                                                           /* 12 UNKNOWN                                         */</v>
      </c>
      <c r="AT18" s="72" t="str">
        <f t="shared" si="1"/>
        <v xml:space="preserve">    (U1)ALERT_REQ_UNKNOWN,                                                     /* 12 UNKNOWN                                         */</v>
      </c>
    </row>
    <row r="19" spans="2:49">
      <c r="B19" s="145"/>
      <c r="C19" s="56">
        <f t="shared" si="2"/>
        <v>13</v>
      </c>
      <c r="D19" s="70" t="s">
        <v>70</v>
      </c>
      <c r="E19" s="70" t="s">
        <v>70</v>
      </c>
      <c r="F19" s="70" t="s">
        <v>70</v>
      </c>
      <c r="G19" s="70" t="s">
        <v>70</v>
      </c>
      <c r="H19" s="70" t="s">
        <v>70</v>
      </c>
      <c r="I19" s="70" t="s">
        <v>70</v>
      </c>
      <c r="J19" s="70" t="s">
        <v>70</v>
      </c>
      <c r="K19" s="70" t="s">
        <v>70</v>
      </c>
      <c r="L19" s="70" t="s">
        <v>70</v>
      </c>
      <c r="M19" s="70" t="s">
        <v>70</v>
      </c>
      <c r="N19" s="70" t="s">
        <v>70</v>
      </c>
      <c r="O19" s="70" t="s">
        <v>70</v>
      </c>
      <c r="P19" s="70" t="s">
        <v>70</v>
      </c>
      <c r="Q19" s="70" t="s">
        <v>70</v>
      </c>
      <c r="R19" s="70" t="s">
        <v>70</v>
      </c>
      <c r="S19" s="70" t="s">
        <v>70</v>
      </c>
      <c r="T19" s="70" t="s">
        <v>70</v>
      </c>
      <c r="U19" s="70" t="s">
        <v>70</v>
      </c>
      <c r="V19" s="70" t="s">
        <v>70</v>
      </c>
      <c r="W19" s="70" t="s">
        <v>70</v>
      </c>
      <c r="X19" s="70" t="s">
        <v>70</v>
      </c>
      <c r="Y19" s="70" t="s">
        <v>70</v>
      </c>
      <c r="Z19" s="70" t="s">
        <v>70</v>
      </c>
      <c r="AA19" s="70" t="s">
        <v>70</v>
      </c>
      <c r="AB19" s="70" t="s">
        <v>70</v>
      </c>
      <c r="AC19" s="70" t="s">
        <v>70</v>
      </c>
      <c r="AD19" s="70" t="s">
        <v>70</v>
      </c>
      <c r="AE19" s="143">
        <v>0</v>
      </c>
      <c r="AF19" s="143">
        <v>1</v>
      </c>
      <c r="AG19" s="143">
        <v>1</v>
      </c>
      <c r="AH19" s="143">
        <v>0</v>
      </c>
      <c r="AI19" s="143">
        <v>1</v>
      </c>
      <c r="AJ19" s="60" t="s">
        <v>32</v>
      </c>
      <c r="AL19" t="str">
        <f t="shared" si="0"/>
        <v xml:space="preserve">    (U1)ALERT_REQ_UNKNOWN</v>
      </c>
      <c r="AR19" s="72" t="str">
        <f t="shared" si="3"/>
        <v xml:space="preserve">    (U4)0x0000000DU,                                                           /* 13 UNKNOWN                                         */</v>
      </c>
      <c r="AS19" s="72" t="str">
        <f t="shared" si="4"/>
        <v xml:space="preserve">    (U4)0x0000001FU,                                                           /* 13 UNKNOWN                                         */</v>
      </c>
      <c r="AT19" s="72" t="str">
        <f t="shared" si="1"/>
        <v xml:space="preserve">    (U1)ALERT_REQ_UNKNOWN,                                                     /* 13 UNKNOWN                                         */</v>
      </c>
    </row>
    <row r="20" spans="2:49">
      <c r="B20" s="145"/>
      <c r="C20" s="56">
        <f t="shared" si="2"/>
        <v>14</v>
      </c>
      <c r="D20" s="70" t="s">
        <v>70</v>
      </c>
      <c r="E20" s="70" t="s">
        <v>70</v>
      </c>
      <c r="F20" s="70" t="s">
        <v>70</v>
      </c>
      <c r="G20" s="70" t="s">
        <v>70</v>
      </c>
      <c r="H20" s="70" t="s">
        <v>70</v>
      </c>
      <c r="I20" s="70" t="s">
        <v>70</v>
      </c>
      <c r="J20" s="70" t="s">
        <v>70</v>
      </c>
      <c r="K20" s="70" t="s">
        <v>70</v>
      </c>
      <c r="L20" s="70" t="s">
        <v>70</v>
      </c>
      <c r="M20" s="70" t="s">
        <v>70</v>
      </c>
      <c r="N20" s="70" t="s">
        <v>70</v>
      </c>
      <c r="O20" s="70" t="s">
        <v>70</v>
      </c>
      <c r="P20" s="70" t="s">
        <v>70</v>
      </c>
      <c r="Q20" s="70" t="s">
        <v>70</v>
      </c>
      <c r="R20" s="70" t="s">
        <v>70</v>
      </c>
      <c r="S20" s="70" t="s">
        <v>70</v>
      </c>
      <c r="T20" s="70" t="s">
        <v>70</v>
      </c>
      <c r="U20" s="70" t="s">
        <v>70</v>
      </c>
      <c r="V20" s="70" t="s">
        <v>70</v>
      </c>
      <c r="W20" s="70" t="s">
        <v>70</v>
      </c>
      <c r="X20" s="70" t="s">
        <v>70</v>
      </c>
      <c r="Y20" s="70" t="s">
        <v>70</v>
      </c>
      <c r="Z20" s="70" t="s">
        <v>70</v>
      </c>
      <c r="AA20" s="70" t="s">
        <v>70</v>
      </c>
      <c r="AB20" s="70" t="s">
        <v>70</v>
      </c>
      <c r="AC20" s="70" t="s">
        <v>70</v>
      </c>
      <c r="AD20" s="70" t="s">
        <v>70</v>
      </c>
      <c r="AE20" s="143">
        <v>0</v>
      </c>
      <c r="AF20" s="143">
        <v>1</v>
      </c>
      <c r="AG20" s="143">
        <v>1</v>
      </c>
      <c r="AH20" s="143">
        <v>1</v>
      </c>
      <c r="AI20" s="143">
        <v>0</v>
      </c>
      <c r="AJ20" s="60" t="s">
        <v>32</v>
      </c>
      <c r="AL20" t="str">
        <f t="shared" si="0"/>
        <v xml:space="preserve">    (U1)ALERT_REQ_UNKNOWN</v>
      </c>
      <c r="AR20" s="72" t="str">
        <f t="shared" si="3"/>
        <v xml:space="preserve">    (U4)0x0000000EU,                                                           /* 14 UNKNOWN                                         */</v>
      </c>
      <c r="AS20" s="72" t="str">
        <f t="shared" si="4"/>
        <v xml:space="preserve">    (U4)0x0000001FU,                                                           /* 14 UNKNOWN                                         */</v>
      </c>
      <c r="AT20" s="72" t="str">
        <f t="shared" si="1"/>
        <v xml:space="preserve">    (U1)ALERT_REQ_UNKNOWN,                                                     /* 14 UNKNOWN                                         */</v>
      </c>
    </row>
    <row r="21" spans="2:49">
      <c r="B21" s="145"/>
      <c r="C21" s="56">
        <f t="shared" si="2"/>
        <v>15</v>
      </c>
      <c r="D21" s="70" t="s">
        <v>70</v>
      </c>
      <c r="E21" s="70" t="s">
        <v>70</v>
      </c>
      <c r="F21" s="70" t="s">
        <v>70</v>
      </c>
      <c r="G21" s="70" t="s">
        <v>70</v>
      </c>
      <c r="H21" s="70" t="s">
        <v>70</v>
      </c>
      <c r="I21" s="70" t="s">
        <v>70</v>
      </c>
      <c r="J21" s="70" t="s">
        <v>70</v>
      </c>
      <c r="K21" s="70" t="s">
        <v>70</v>
      </c>
      <c r="L21" s="70" t="s">
        <v>70</v>
      </c>
      <c r="M21" s="70" t="s">
        <v>70</v>
      </c>
      <c r="N21" s="70" t="s">
        <v>70</v>
      </c>
      <c r="O21" s="70" t="s">
        <v>70</v>
      </c>
      <c r="P21" s="70" t="s">
        <v>70</v>
      </c>
      <c r="Q21" s="70" t="s">
        <v>70</v>
      </c>
      <c r="R21" s="70" t="s">
        <v>70</v>
      </c>
      <c r="S21" s="70" t="s">
        <v>70</v>
      </c>
      <c r="T21" s="70" t="s">
        <v>70</v>
      </c>
      <c r="U21" s="70" t="s">
        <v>70</v>
      </c>
      <c r="V21" s="70" t="s">
        <v>70</v>
      </c>
      <c r="W21" s="70" t="s">
        <v>70</v>
      </c>
      <c r="X21" s="70" t="s">
        <v>70</v>
      </c>
      <c r="Y21" s="70" t="s">
        <v>70</v>
      </c>
      <c r="Z21" s="70" t="s">
        <v>70</v>
      </c>
      <c r="AA21" s="70" t="s">
        <v>70</v>
      </c>
      <c r="AB21" s="70" t="s">
        <v>70</v>
      </c>
      <c r="AC21" s="70" t="s">
        <v>70</v>
      </c>
      <c r="AD21" s="70" t="s">
        <v>70</v>
      </c>
      <c r="AE21" s="143">
        <v>0</v>
      </c>
      <c r="AF21" s="143">
        <v>1</v>
      </c>
      <c r="AG21" s="143">
        <v>1</v>
      </c>
      <c r="AH21" s="143">
        <v>1</v>
      </c>
      <c r="AI21" s="143">
        <v>1</v>
      </c>
      <c r="AJ21" s="60" t="s">
        <v>32</v>
      </c>
      <c r="AL21" t="str">
        <f t="shared" si="0"/>
        <v xml:space="preserve">    (U1)ALERT_REQ_UNKNOWN</v>
      </c>
      <c r="AR21" s="72" t="str">
        <f t="shared" si="3"/>
        <v xml:space="preserve">    (U4)0x0000000FU,                                                           /* 15 UNKNOWN                                         */</v>
      </c>
      <c r="AS21" s="72" t="str">
        <f t="shared" si="4"/>
        <v xml:space="preserve">    (U4)0x0000001FU,                                                           /* 15 UNKNOWN                                         */</v>
      </c>
      <c r="AT21" s="72" t="str">
        <f t="shared" si="1"/>
        <v xml:space="preserve">    (U1)ALERT_REQ_UNKNOWN,                                                     /* 15 UNKNOWN                                         */</v>
      </c>
    </row>
    <row r="22" spans="2:49">
      <c r="B22" s="145"/>
      <c r="C22" s="56">
        <f t="shared" si="2"/>
        <v>16</v>
      </c>
      <c r="D22" s="70" t="s">
        <v>70</v>
      </c>
      <c r="E22" s="70" t="s">
        <v>70</v>
      </c>
      <c r="F22" s="70" t="s">
        <v>70</v>
      </c>
      <c r="G22" s="70" t="s">
        <v>70</v>
      </c>
      <c r="H22" s="70" t="s">
        <v>70</v>
      </c>
      <c r="I22" s="70" t="s">
        <v>70</v>
      </c>
      <c r="J22" s="70" t="s">
        <v>70</v>
      </c>
      <c r="K22" s="70" t="s">
        <v>70</v>
      </c>
      <c r="L22" s="70" t="s">
        <v>70</v>
      </c>
      <c r="M22" s="70" t="s">
        <v>70</v>
      </c>
      <c r="N22" s="70" t="s">
        <v>70</v>
      </c>
      <c r="O22" s="70" t="s">
        <v>70</v>
      </c>
      <c r="P22" s="70" t="s">
        <v>70</v>
      </c>
      <c r="Q22" s="70" t="s">
        <v>70</v>
      </c>
      <c r="R22" s="70" t="s">
        <v>70</v>
      </c>
      <c r="S22" s="70" t="s">
        <v>70</v>
      </c>
      <c r="T22" s="70" t="s">
        <v>70</v>
      </c>
      <c r="U22" s="70" t="s">
        <v>70</v>
      </c>
      <c r="V22" s="70" t="s">
        <v>70</v>
      </c>
      <c r="W22" s="70" t="s">
        <v>70</v>
      </c>
      <c r="X22" s="70" t="s">
        <v>70</v>
      </c>
      <c r="Y22" s="70" t="s">
        <v>70</v>
      </c>
      <c r="Z22" s="70" t="s">
        <v>70</v>
      </c>
      <c r="AA22" s="70" t="s">
        <v>70</v>
      </c>
      <c r="AB22" s="70" t="s">
        <v>70</v>
      </c>
      <c r="AC22" s="70" t="s">
        <v>70</v>
      </c>
      <c r="AD22" s="70" t="s">
        <v>70</v>
      </c>
      <c r="AE22" s="143">
        <v>1</v>
      </c>
      <c r="AF22" s="143">
        <v>0</v>
      </c>
      <c r="AG22" s="143">
        <v>0</v>
      </c>
      <c r="AH22" s="143">
        <v>0</v>
      </c>
      <c r="AI22" s="143">
        <v>0</v>
      </c>
      <c r="AJ22" s="60" t="s">
        <v>32</v>
      </c>
      <c r="AL22" t="str">
        <f t="shared" si="0"/>
        <v xml:space="preserve">    (U1)ALERT_REQ_UNKNOWN</v>
      </c>
      <c r="AR22" s="72" t="str">
        <f t="shared" si="3"/>
        <v xml:space="preserve">    (U4)0x00000010U,                                                           /* 16 UNKNOWN                                         */</v>
      </c>
      <c r="AS22" s="72" t="str">
        <f t="shared" si="4"/>
        <v xml:space="preserve">    (U4)0x0000001FU,                                                           /* 16 UNKNOWN                                         */</v>
      </c>
      <c r="AT22" s="72" t="str">
        <f t="shared" si="1"/>
        <v xml:space="preserve">    (U1)ALERT_REQ_UNKNOWN,                                                     /* 16 UNKNOWN                                         */</v>
      </c>
    </row>
    <row r="23" spans="2:49">
      <c r="B23" s="145"/>
      <c r="C23" s="56">
        <f t="shared" si="2"/>
        <v>17</v>
      </c>
      <c r="D23" s="70" t="s">
        <v>70</v>
      </c>
      <c r="E23" s="70" t="s">
        <v>70</v>
      </c>
      <c r="F23" s="70" t="s">
        <v>70</v>
      </c>
      <c r="G23" s="70" t="s">
        <v>70</v>
      </c>
      <c r="H23" s="70" t="s">
        <v>70</v>
      </c>
      <c r="I23" s="70" t="s">
        <v>70</v>
      </c>
      <c r="J23" s="70" t="s">
        <v>70</v>
      </c>
      <c r="K23" s="70" t="s">
        <v>70</v>
      </c>
      <c r="L23" s="70" t="s">
        <v>70</v>
      </c>
      <c r="M23" s="70" t="s">
        <v>70</v>
      </c>
      <c r="N23" s="70" t="s">
        <v>70</v>
      </c>
      <c r="O23" s="70" t="s">
        <v>70</v>
      </c>
      <c r="P23" s="70" t="s">
        <v>70</v>
      </c>
      <c r="Q23" s="70" t="s">
        <v>70</v>
      </c>
      <c r="R23" s="70" t="s">
        <v>70</v>
      </c>
      <c r="S23" s="70" t="s">
        <v>70</v>
      </c>
      <c r="T23" s="70" t="s">
        <v>70</v>
      </c>
      <c r="U23" s="70" t="s">
        <v>70</v>
      </c>
      <c r="V23" s="70" t="s">
        <v>70</v>
      </c>
      <c r="W23" s="70" t="s">
        <v>70</v>
      </c>
      <c r="X23" s="70" t="s">
        <v>70</v>
      </c>
      <c r="Y23" s="70" t="s">
        <v>70</v>
      </c>
      <c r="Z23" s="70" t="s">
        <v>70</v>
      </c>
      <c r="AA23" s="70" t="s">
        <v>70</v>
      </c>
      <c r="AB23" s="70" t="s">
        <v>70</v>
      </c>
      <c r="AC23" s="70" t="s">
        <v>70</v>
      </c>
      <c r="AD23" s="70" t="s">
        <v>70</v>
      </c>
      <c r="AE23" s="143">
        <v>1</v>
      </c>
      <c r="AF23" s="143">
        <v>0</v>
      </c>
      <c r="AG23" s="143">
        <v>0</v>
      </c>
      <c r="AH23" s="143">
        <v>0</v>
      </c>
      <c r="AI23" s="143">
        <v>1</v>
      </c>
      <c r="AJ23" s="60" t="s">
        <v>224</v>
      </c>
      <c r="AL23" t="str">
        <f t="shared" ca="1" si="0"/>
        <v xml:space="preserve">    (U1)ALERT_REQ_C_EPB_TT_PKB_TT_ON</v>
      </c>
      <c r="AR23" s="72" t="str">
        <f t="shared" si="3"/>
        <v xml:space="preserve">    (U4)0x00000011U,                                                           /* 17 TT_ON                                           */</v>
      </c>
      <c r="AS23" s="72" t="str">
        <f t="shared" si="4"/>
        <v xml:space="preserve">    (U4)0x0000001FU,                                                           /* 17 TT_ON                                           */</v>
      </c>
      <c r="AT23" s="72" t="str">
        <f t="shared" ca="1" si="1"/>
        <v xml:space="preserve">    (U1)ALERT_REQ_C_EPB_TT_PKB_TT_ON,                                          /* 17 TT_ON                                           */</v>
      </c>
    </row>
    <row r="24" spans="2:49">
      <c r="B24" s="145"/>
      <c r="C24" s="56">
        <f t="shared" si="2"/>
        <v>18</v>
      </c>
      <c r="D24" s="70" t="s">
        <v>70</v>
      </c>
      <c r="E24" s="70" t="s">
        <v>70</v>
      </c>
      <c r="F24" s="70" t="s">
        <v>70</v>
      </c>
      <c r="G24" s="70" t="s">
        <v>70</v>
      </c>
      <c r="H24" s="70" t="s">
        <v>70</v>
      </c>
      <c r="I24" s="70" t="s">
        <v>70</v>
      </c>
      <c r="J24" s="70" t="s">
        <v>70</v>
      </c>
      <c r="K24" s="70" t="s">
        <v>70</v>
      </c>
      <c r="L24" s="70" t="s">
        <v>70</v>
      </c>
      <c r="M24" s="70" t="s">
        <v>70</v>
      </c>
      <c r="N24" s="70" t="s">
        <v>70</v>
      </c>
      <c r="O24" s="70" t="s">
        <v>70</v>
      </c>
      <c r="P24" s="70" t="s">
        <v>70</v>
      </c>
      <c r="Q24" s="70" t="s">
        <v>70</v>
      </c>
      <c r="R24" s="70" t="s">
        <v>70</v>
      </c>
      <c r="S24" s="70" t="s">
        <v>70</v>
      </c>
      <c r="T24" s="70" t="s">
        <v>70</v>
      </c>
      <c r="U24" s="70" t="s">
        <v>70</v>
      </c>
      <c r="V24" s="70" t="s">
        <v>70</v>
      </c>
      <c r="W24" s="70" t="s">
        <v>70</v>
      </c>
      <c r="X24" s="70" t="s">
        <v>70</v>
      </c>
      <c r="Y24" s="70" t="s">
        <v>70</v>
      </c>
      <c r="Z24" s="70" t="s">
        <v>70</v>
      </c>
      <c r="AA24" s="70" t="s">
        <v>70</v>
      </c>
      <c r="AB24" s="70" t="s">
        <v>70</v>
      </c>
      <c r="AC24" s="70" t="s">
        <v>70</v>
      </c>
      <c r="AD24" s="70" t="s">
        <v>70</v>
      </c>
      <c r="AE24" s="143">
        <v>1</v>
      </c>
      <c r="AF24" s="143">
        <v>0</v>
      </c>
      <c r="AG24" s="143">
        <v>0</v>
      </c>
      <c r="AH24" s="143">
        <v>1</v>
      </c>
      <c r="AI24" s="143">
        <v>0</v>
      </c>
      <c r="AJ24" s="60" t="s">
        <v>225</v>
      </c>
      <c r="AL24" t="str">
        <f t="shared" ca="1" si="0"/>
        <v xml:space="preserve">    (U1)ALERT_REQ_C_EPB_TT_PKB_FLASH_1HZ</v>
      </c>
      <c r="AR24" s="72" t="str">
        <f t="shared" si="3"/>
        <v xml:space="preserve">    (U4)0x00000012U,                                                           /* 18 FLASH_1HZ                                       */</v>
      </c>
      <c r="AS24" s="72" t="str">
        <f t="shared" si="4"/>
        <v xml:space="preserve">    (U4)0x0000001FU,                                                           /* 18 FLASH_1HZ                                       */</v>
      </c>
      <c r="AT24" s="72" t="str">
        <f t="shared" ca="1" si="1"/>
        <v xml:space="preserve">    (U1)ALERT_REQ_C_EPB_TT_PKB_FLASH_1HZ,                                      /* 18 FLASH_1HZ                                       */</v>
      </c>
    </row>
    <row r="25" spans="2:49">
      <c r="B25" s="145"/>
      <c r="C25" s="56">
        <f t="shared" si="2"/>
        <v>19</v>
      </c>
      <c r="D25" s="70" t="s">
        <v>70</v>
      </c>
      <c r="E25" s="70" t="s">
        <v>70</v>
      </c>
      <c r="F25" s="70" t="s">
        <v>70</v>
      </c>
      <c r="G25" s="70" t="s">
        <v>70</v>
      </c>
      <c r="H25" s="70" t="s">
        <v>70</v>
      </c>
      <c r="I25" s="70" t="s">
        <v>70</v>
      </c>
      <c r="J25" s="70" t="s">
        <v>70</v>
      </c>
      <c r="K25" s="70" t="s">
        <v>70</v>
      </c>
      <c r="L25" s="70" t="s">
        <v>70</v>
      </c>
      <c r="M25" s="70" t="s">
        <v>70</v>
      </c>
      <c r="N25" s="70" t="s">
        <v>70</v>
      </c>
      <c r="O25" s="70" t="s">
        <v>70</v>
      </c>
      <c r="P25" s="70" t="s">
        <v>70</v>
      </c>
      <c r="Q25" s="70" t="s">
        <v>70</v>
      </c>
      <c r="R25" s="70" t="s">
        <v>70</v>
      </c>
      <c r="S25" s="70" t="s">
        <v>70</v>
      </c>
      <c r="T25" s="70" t="s">
        <v>70</v>
      </c>
      <c r="U25" s="70" t="s">
        <v>70</v>
      </c>
      <c r="V25" s="70" t="s">
        <v>70</v>
      </c>
      <c r="W25" s="70" t="s">
        <v>70</v>
      </c>
      <c r="X25" s="70" t="s">
        <v>70</v>
      </c>
      <c r="Y25" s="70" t="s">
        <v>70</v>
      </c>
      <c r="Z25" s="70" t="s">
        <v>70</v>
      </c>
      <c r="AA25" s="70" t="s">
        <v>70</v>
      </c>
      <c r="AB25" s="70" t="s">
        <v>70</v>
      </c>
      <c r="AC25" s="70" t="s">
        <v>70</v>
      </c>
      <c r="AD25" s="70" t="s">
        <v>70</v>
      </c>
      <c r="AE25" s="143">
        <v>1</v>
      </c>
      <c r="AF25" s="143">
        <v>0</v>
      </c>
      <c r="AG25" s="143">
        <v>0</v>
      </c>
      <c r="AH25" s="143">
        <v>1</v>
      </c>
      <c r="AI25" s="143">
        <v>1</v>
      </c>
      <c r="AJ25" s="60" t="s">
        <v>226</v>
      </c>
      <c r="AL25" t="str">
        <f t="shared" ca="1" si="0"/>
        <v xml:space="preserve">    (U1)ALERT_REQ_C_EPB_TT_PKB_FLASH_2HZ</v>
      </c>
      <c r="AR25" s="72" t="str">
        <f t="shared" si="3"/>
        <v xml:space="preserve">    (U4)0x00000013U,                                                           /* 19 FLASH_2HZ                                       */</v>
      </c>
      <c r="AS25" s="72" t="str">
        <f t="shared" si="4"/>
        <v xml:space="preserve">    (U4)0x0000001FU,                                                           /* 19 FLASH_2HZ                                       */</v>
      </c>
      <c r="AT25" s="72" t="str">
        <f t="shared" ca="1" si="1"/>
        <v xml:space="preserve">    (U1)ALERT_REQ_C_EPB_TT_PKB_FLASH_2HZ,                                      /* 19 FLASH_2HZ                                       */</v>
      </c>
    </row>
    <row r="26" spans="2:49">
      <c r="B26" s="145"/>
      <c r="C26" s="56">
        <f t="shared" si="2"/>
        <v>20</v>
      </c>
      <c r="D26" s="70" t="s">
        <v>70</v>
      </c>
      <c r="E26" s="70" t="s">
        <v>70</v>
      </c>
      <c r="F26" s="70" t="s">
        <v>70</v>
      </c>
      <c r="G26" s="70" t="s">
        <v>70</v>
      </c>
      <c r="H26" s="70" t="s">
        <v>70</v>
      </c>
      <c r="I26" s="70" t="s">
        <v>70</v>
      </c>
      <c r="J26" s="70" t="s">
        <v>70</v>
      </c>
      <c r="K26" s="70" t="s">
        <v>70</v>
      </c>
      <c r="L26" s="70" t="s">
        <v>70</v>
      </c>
      <c r="M26" s="70" t="s">
        <v>70</v>
      </c>
      <c r="N26" s="70" t="s">
        <v>70</v>
      </c>
      <c r="O26" s="70" t="s">
        <v>70</v>
      </c>
      <c r="P26" s="70" t="s">
        <v>70</v>
      </c>
      <c r="Q26" s="70" t="s">
        <v>70</v>
      </c>
      <c r="R26" s="70" t="s">
        <v>70</v>
      </c>
      <c r="S26" s="70" t="s">
        <v>70</v>
      </c>
      <c r="T26" s="70" t="s">
        <v>70</v>
      </c>
      <c r="U26" s="70" t="s">
        <v>70</v>
      </c>
      <c r="V26" s="70" t="s">
        <v>70</v>
      </c>
      <c r="W26" s="70" t="s">
        <v>70</v>
      </c>
      <c r="X26" s="70" t="s">
        <v>70</v>
      </c>
      <c r="Y26" s="70" t="s">
        <v>70</v>
      </c>
      <c r="Z26" s="70" t="s">
        <v>70</v>
      </c>
      <c r="AA26" s="70" t="s">
        <v>70</v>
      </c>
      <c r="AB26" s="70" t="s">
        <v>70</v>
      </c>
      <c r="AC26" s="70" t="s">
        <v>70</v>
      </c>
      <c r="AD26" s="70" t="s">
        <v>70</v>
      </c>
      <c r="AE26" s="143">
        <v>1</v>
      </c>
      <c r="AF26" s="143">
        <v>0</v>
      </c>
      <c r="AG26" s="143">
        <v>1</v>
      </c>
      <c r="AH26" s="143">
        <v>0</v>
      </c>
      <c r="AI26" s="143">
        <v>0</v>
      </c>
      <c r="AJ26" s="60" t="s">
        <v>227</v>
      </c>
      <c r="AL26" t="str">
        <f t="shared" ca="1" si="0"/>
        <v xml:space="preserve">    (U1)ALERT_REQ_C_EPB_TT_PKB_FLASH_4HZ</v>
      </c>
      <c r="AR26" s="72" t="str">
        <f t="shared" si="3"/>
        <v xml:space="preserve">    (U4)0x00000014U,                                                           /* 20 FLASH_4HZ                                       */</v>
      </c>
      <c r="AS26" s="72" t="str">
        <f t="shared" si="4"/>
        <v xml:space="preserve">    (U4)0x0000001FU,                                                           /* 20 FLASH_4HZ                                       */</v>
      </c>
      <c r="AT26" s="72" t="str">
        <f t="shared" ca="1" si="1"/>
        <v xml:space="preserve">    (U1)ALERT_REQ_C_EPB_TT_PKB_FLASH_4HZ,                                      /* 20 FLASH_4HZ                                       */</v>
      </c>
    </row>
    <row r="27" spans="2:49">
      <c r="B27" s="145"/>
      <c r="C27" s="56">
        <f t="shared" si="2"/>
        <v>21</v>
      </c>
      <c r="D27" s="70" t="s">
        <v>70</v>
      </c>
      <c r="E27" s="70" t="s">
        <v>70</v>
      </c>
      <c r="F27" s="70" t="s">
        <v>70</v>
      </c>
      <c r="G27" s="70" t="s">
        <v>70</v>
      </c>
      <c r="H27" s="70" t="s">
        <v>70</v>
      </c>
      <c r="I27" s="70" t="s">
        <v>70</v>
      </c>
      <c r="J27" s="70" t="s">
        <v>70</v>
      </c>
      <c r="K27" s="70" t="s">
        <v>70</v>
      </c>
      <c r="L27" s="70" t="s">
        <v>70</v>
      </c>
      <c r="M27" s="70" t="s">
        <v>70</v>
      </c>
      <c r="N27" s="70" t="s">
        <v>70</v>
      </c>
      <c r="O27" s="70" t="s">
        <v>70</v>
      </c>
      <c r="P27" s="70" t="s">
        <v>70</v>
      </c>
      <c r="Q27" s="70" t="s">
        <v>70</v>
      </c>
      <c r="R27" s="70" t="s">
        <v>70</v>
      </c>
      <c r="S27" s="70" t="s">
        <v>70</v>
      </c>
      <c r="T27" s="70" t="s">
        <v>70</v>
      </c>
      <c r="U27" s="70" t="s">
        <v>70</v>
      </c>
      <c r="V27" s="70" t="s">
        <v>70</v>
      </c>
      <c r="W27" s="70" t="s">
        <v>70</v>
      </c>
      <c r="X27" s="70" t="s">
        <v>70</v>
      </c>
      <c r="Y27" s="70" t="s">
        <v>70</v>
      </c>
      <c r="Z27" s="70" t="s">
        <v>70</v>
      </c>
      <c r="AA27" s="70" t="s">
        <v>70</v>
      </c>
      <c r="AB27" s="70" t="s">
        <v>70</v>
      </c>
      <c r="AC27" s="70" t="s">
        <v>70</v>
      </c>
      <c r="AD27" s="70" t="s">
        <v>70</v>
      </c>
      <c r="AE27" s="143">
        <v>1</v>
      </c>
      <c r="AF27" s="143">
        <v>0</v>
      </c>
      <c r="AG27" s="143">
        <v>1</v>
      </c>
      <c r="AH27" s="143">
        <v>0</v>
      </c>
      <c r="AI27" s="143">
        <v>1</v>
      </c>
      <c r="AJ27" s="60" t="s">
        <v>32</v>
      </c>
      <c r="AL27" t="str">
        <f t="shared" si="0"/>
        <v xml:space="preserve">    (U1)ALERT_REQ_UNKNOWN</v>
      </c>
      <c r="AR27" s="72" t="str">
        <f t="shared" si="3"/>
        <v xml:space="preserve">    (U4)0x00000015U,                                                           /* 21 UNKNOWN                                         */</v>
      </c>
      <c r="AS27" s="72" t="str">
        <f t="shared" si="4"/>
        <v xml:space="preserve">    (U4)0x0000001FU,                                                           /* 21 UNKNOWN                                         */</v>
      </c>
      <c r="AT27" s="72" t="str">
        <f t="shared" si="1"/>
        <v xml:space="preserve">    (U1)ALERT_REQ_UNKNOWN,                                                     /* 21 UNKNOWN                                         */</v>
      </c>
    </row>
    <row r="28" spans="2:49">
      <c r="B28" s="145"/>
      <c r="C28" s="56">
        <f t="shared" si="2"/>
        <v>22</v>
      </c>
      <c r="D28" s="70" t="s">
        <v>70</v>
      </c>
      <c r="E28" s="70" t="s">
        <v>70</v>
      </c>
      <c r="F28" s="70" t="s">
        <v>70</v>
      </c>
      <c r="G28" s="70" t="s">
        <v>70</v>
      </c>
      <c r="H28" s="70" t="s">
        <v>70</v>
      </c>
      <c r="I28" s="70" t="s">
        <v>70</v>
      </c>
      <c r="J28" s="70" t="s">
        <v>70</v>
      </c>
      <c r="K28" s="70" t="s">
        <v>70</v>
      </c>
      <c r="L28" s="70" t="s">
        <v>70</v>
      </c>
      <c r="M28" s="70" t="s">
        <v>70</v>
      </c>
      <c r="N28" s="70" t="s">
        <v>70</v>
      </c>
      <c r="O28" s="70" t="s">
        <v>70</v>
      </c>
      <c r="P28" s="70" t="s">
        <v>70</v>
      </c>
      <c r="Q28" s="70" t="s">
        <v>70</v>
      </c>
      <c r="R28" s="70" t="s">
        <v>70</v>
      </c>
      <c r="S28" s="70" t="s">
        <v>70</v>
      </c>
      <c r="T28" s="70" t="s">
        <v>70</v>
      </c>
      <c r="U28" s="70" t="s">
        <v>70</v>
      </c>
      <c r="V28" s="70" t="s">
        <v>70</v>
      </c>
      <c r="W28" s="70" t="s">
        <v>70</v>
      </c>
      <c r="X28" s="70" t="s">
        <v>70</v>
      </c>
      <c r="Y28" s="70" t="s">
        <v>70</v>
      </c>
      <c r="Z28" s="70" t="s">
        <v>70</v>
      </c>
      <c r="AA28" s="70" t="s">
        <v>70</v>
      </c>
      <c r="AB28" s="70" t="s">
        <v>70</v>
      </c>
      <c r="AC28" s="70" t="s">
        <v>70</v>
      </c>
      <c r="AD28" s="70" t="s">
        <v>70</v>
      </c>
      <c r="AE28" s="143">
        <v>1</v>
      </c>
      <c r="AF28" s="143">
        <v>0</v>
      </c>
      <c r="AG28" s="143">
        <v>1</v>
      </c>
      <c r="AH28" s="143">
        <v>1</v>
      </c>
      <c r="AI28" s="143">
        <v>0</v>
      </c>
      <c r="AJ28" s="60" t="s">
        <v>32</v>
      </c>
      <c r="AL28" t="str">
        <f t="shared" si="0"/>
        <v xml:space="preserve">    (U1)ALERT_REQ_UNKNOWN</v>
      </c>
      <c r="AR28" s="72" t="str">
        <f t="shared" si="3"/>
        <v xml:space="preserve">    (U4)0x00000016U,                                                           /* 22 UNKNOWN                                         */</v>
      </c>
      <c r="AS28" s="72" t="str">
        <f t="shared" si="4"/>
        <v xml:space="preserve">    (U4)0x0000001FU,                                                           /* 22 UNKNOWN                                         */</v>
      </c>
      <c r="AT28" s="72" t="str">
        <f t="shared" si="1"/>
        <v xml:space="preserve">    (U1)ALERT_REQ_UNKNOWN,                                                     /* 22 UNKNOWN                                         */</v>
      </c>
    </row>
    <row r="29" spans="2:49">
      <c r="B29" s="145"/>
      <c r="C29" s="56">
        <f t="shared" si="2"/>
        <v>23</v>
      </c>
      <c r="D29" s="70" t="s">
        <v>70</v>
      </c>
      <c r="E29" s="70" t="s">
        <v>70</v>
      </c>
      <c r="F29" s="70" t="s">
        <v>70</v>
      </c>
      <c r="G29" s="70" t="s">
        <v>70</v>
      </c>
      <c r="H29" s="70" t="s">
        <v>70</v>
      </c>
      <c r="I29" s="70" t="s">
        <v>70</v>
      </c>
      <c r="J29" s="70" t="s">
        <v>70</v>
      </c>
      <c r="K29" s="70" t="s">
        <v>70</v>
      </c>
      <c r="L29" s="70" t="s">
        <v>70</v>
      </c>
      <c r="M29" s="70" t="s">
        <v>70</v>
      </c>
      <c r="N29" s="70" t="s">
        <v>70</v>
      </c>
      <c r="O29" s="70" t="s">
        <v>70</v>
      </c>
      <c r="P29" s="70" t="s">
        <v>70</v>
      </c>
      <c r="Q29" s="70" t="s">
        <v>70</v>
      </c>
      <c r="R29" s="70" t="s">
        <v>70</v>
      </c>
      <c r="S29" s="70" t="s">
        <v>70</v>
      </c>
      <c r="T29" s="70" t="s">
        <v>70</v>
      </c>
      <c r="U29" s="70" t="s">
        <v>70</v>
      </c>
      <c r="V29" s="70" t="s">
        <v>70</v>
      </c>
      <c r="W29" s="70" t="s">
        <v>70</v>
      </c>
      <c r="X29" s="70" t="s">
        <v>70</v>
      </c>
      <c r="Y29" s="70" t="s">
        <v>70</v>
      </c>
      <c r="Z29" s="70" t="s">
        <v>70</v>
      </c>
      <c r="AA29" s="70" t="s">
        <v>70</v>
      </c>
      <c r="AB29" s="70" t="s">
        <v>70</v>
      </c>
      <c r="AC29" s="70" t="s">
        <v>70</v>
      </c>
      <c r="AD29" s="70" t="s">
        <v>70</v>
      </c>
      <c r="AE29" s="143">
        <v>1</v>
      </c>
      <c r="AF29" s="143">
        <v>0</v>
      </c>
      <c r="AG29" s="143">
        <v>1</v>
      </c>
      <c r="AH29" s="143">
        <v>1</v>
      </c>
      <c r="AI29" s="143">
        <v>1</v>
      </c>
      <c r="AJ29" s="60" t="s">
        <v>32</v>
      </c>
      <c r="AL29" t="str">
        <f t="shared" si="0"/>
        <v xml:space="preserve">    (U1)ALERT_REQ_UNKNOWN</v>
      </c>
      <c r="AR29" s="72" t="str">
        <f t="shared" si="3"/>
        <v xml:space="preserve">    (U4)0x00000017U,                                                           /* 23 UNKNOWN                                         */</v>
      </c>
      <c r="AS29" s="72" t="str">
        <f t="shared" si="4"/>
        <v xml:space="preserve">    (U4)0x0000001FU,                                                           /* 23 UNKNOWN                                         */</v>
      </c>
      <c r="AT29" s="72" t="str">
        <f t="shared" si="1"/>
        <v xml:space="preserve">    (U1)ALERT_REQ_UNKNOWN,                                                     /* 23 UNKNOWN                                         */</v>
      </c>
    </row>
    <row r="30" spans="2:49">
      <c r="B30" s="145"/>
      <c r="C30" s="56">
        <f t="shared" si="2"/>
        <v>24</v>
      </c>
      <c r="D30" s="70" t="s">
        <v>70</v>
      </c>
      <c r="E30" s="70" t="s">
        <v>70</v>
      </c>
      <c r="F30" s="70" t="s">
        <v>70</v>
      </c>
      <c r="G30" s="70" t="s">
        <v>70</v>
      </c>
      <c r="H30" s="70" t="s">
        <v>70</v>
      </c>
      <c r="I30" s="70" t="s">
        <v>70</v>
      </c>
      <c r="J30" s="70" t="s">
        <v>70</v>
      </c>
      <c r="K30" s="70" t="s">
        <v>70</v>
      </c>
      <c r="L30" s="70" t="s">
        <v>70</v>
      </c>
      <c r="M30" s="70" t="s">
        <v>70</v>
      </c>
      <c r="N30" s="70" t="s">
        <v>70</v>
      </c>
      <c r="O30" s="70" t="s">
        <v>70</v>
      </c>
      <c r="P30" s="70" t="s">
        <v>70</v>
      </c>
      <c r="Q30" s="70" t="s">
        <v>70</v>
      </c>
      <c r="R30" s="70" t="s">
        <v>70</v>
      </c>
      <c r="S30" s="70" t="s">
        <v>70</v>
      </c>
      <c r="T30" s="70" t="s">
        <v>70</v>
      </c>
      <c r="U30" s="70" t="s">
        <v>70</v>
      </c>
      <c r="V30" s="70" t="s">
        <v>70</v>
      </c>
      <c r="W30" s="70" t="s">
        <v>70</v>
      </c>
      <c r="X30" s="70" t="s">
        <v>70</v>
      </c>
      <c r="Y30" s="70" t="s">
        <v>70</v>
      </c>
      <c r="Z30" s="70" t="s">
        <v>70</v>
      </c>
      <c r="AA30" s="70" t="s">
        <v>70</v>
      </c>
      <c r="AB30" s="70" t="s">
        <v>70</v>
      </c>
      <c r="AC30" s="70" t="s">
        <v>70</v>
      </c>
      <c r="AD30" s="70" t="s">
        <v>70</v>
      </c>
      <c r="AE30" s="143">
        <v>1</v>
      </c>
      <c r="AF30" s="143">
        <v>1</v>
      </c>
      <c r="AG30" s="143">
        <v>0</v>
      </c>
      <c r="AH30" s="143">
        <v>0</v>
      </c>
      <c r="AI30" s="143">
        <v>0</v>
      </c>
      <c r="AJ30" s="60" t="s">
        <v>32</v>
      </c>
      <c r="AL30" t="str">
        <f t="shared" si="0"/>
        <v xml:space="preserve">    (U1)ALERT_REQ_UNKNOWN</v>
      </c>
      <c r="AR30" s="72" t="str">
        <f t="shared" si="3"/>
        <v xml:space="preserve">    (U4)0x00000018U,                                                           /* 24 UNKNOWN                                         */</v>
      </c>
      <c r="AS30" s="72" t="str">
        <f t="shared" si="4"/>
        <v xml:space="preserve">    (U4)0x0000001FU,                                                           /* 24 UNKNOWN                                         */</v>
      </c>
      <c r="AT30" s="72" t="str">
        <f t="shared" si="1"/>
        <v xml:space="preserve">    (U1)ALERT_REQ_UNKNOWN,                                                     /* 24 UNKNOWN                                         */</v>
      </c>
    </row>
    <row r="31" spans="2:49">
      <c r="B31" s="145"/>
      <c r="C31" s="56">
        <f t="shared" si="2"/>
        <v>25</v>
      </c>
      <c r="D31" s="70" t="s">
        <v>70</v>
      </c>
      <c r="E31" s="70" t="s">
        <v>70</v>
      </c>
      <c r="F31" s="70" t="s">
        <v>70</v>
      </c>
      <c r="G31" s="70" t="s">
        <v>70</v>
      </c>
      <c r="H31" s="70" t="s">
        <v>70</v>
      </c>
      <c r="I31" s="70" t="s">
        <v>70</v>
      </c>
      <c r="J31" s="70" t="s">
        <v>70</v>
      </c>
      <c r="K31" s="70" t="s">
        <v>70</v>
      </c>
      <c r="L31" s="70" t="s">
        <v>70</v>
      </c>
      <c r="M31" s="70" t="s">
        <v>70</v>
      </c>
      <c r="N31" s="70" t="s">
        <v>70</v>
      </c>
      <c r="O31" s="70" t="s">
        <v>70</v>
      </c>
      <c r="P31" s="70" t="s">
        <v>70</v>
      </c>
      <c r="Q31" s="70" t="s">
        <v>70</v>
      </c>
      <c r="R31" s="70" t="s">
        <v>70</v>
      </c>
      <c r="S31" s="70" t="s">
        <v>70</v>
      </c>
      <c r="T31" s="70" t="s">
        <v>70</v>
      </c>
      <c r="U31" s="70" t="s">
        <v>70</v>
      </c>
      <c r="V31" s="70" t="s">
        <v>70</v>
      </c>
      <c r="W31" s="70" t="s">
        <v>70</v>
      </c>
      <c r="X31" s="70" t="s">
        <v>70</v>
      </c>
      <c r="Y31" s="70" t="s">
        <v>70</v>
      </c>
      <c r="Z31" s="70" t="s">
        <v>70</v>
      </c>
      <c r="AA31" s="70" t="s">
        <v>70</v>
      </c>
      <c r="AB31" s="70" t="s">
        <v>70</v>
      </c>
      <c r="AC31" s="70" t="s">
        <v>70</v>
      </c>
      <c r="AD31" s="70" t="s">
        <v>70</v>
      </c>
      <c r="AE31" s="143">
        <v>1</v>
      </c>
      <c r="AF31" s="143">
        <v>1</v>
      </c>
      <c r="AG31" s="143">
        <v>0</v>
      </c>
      <c r="AH31" s="143">
        <v>0</v>
      </c>
      <c r="AI31" s="143">
        <v>1</v>
      </c>
      <c r="AJ31" s="60" t="s">
        <v>32</v>
      </c>
      <c r="AL31" t="str">
        <f t="shared" si="0"/>
        <v xml:space="preserve">    (U1)ALERT_REQ_UNKNOWN</v>
      </c>
      <c r="AR31" s="72" t="str">
        <f t="shared" si="3"/>
        <v xml:space="preserve">    (U4)0x00000019U,                                                           /* 25 UNKNOWN                                         */</v>
      </c>
      <c r="AS31" s="72" t="str">
        <f t="shared" si="4"/>
        <v xml:space="preserve">    (U4)0x0000001FU,                                                           /* 25 UNKNOWN                                         */</v>
      </c>
      <c r="AT31" s="72" t="str">
        <f t="shared" si="1"/>
        <v xml:space="preserve">    (U1)ALERT_REQ_UNKNOWN,                                                     /* 25 UNKNOWN                                         */</v>
      </c>
    </row>
    <row r="32" spans="2:49">
      <c r="B32" s="145"/>
      <c r="C32" s="56">
        <f t="shared" si="2"/>
        <v>26</v>
      </c>
      <c r="D32" s="70" t="s">
        <v>70</v>
      </c>
      <c r="E32" s="70" t="s">
        <v>70</v>
      </c>
      <c r="F32" s="70" t="s">
        <v>70</v>
      </c>
      <c r="G32" s="70" t="s">
        <v>70</v>
      </c>
      <c r="H32" s="70" t="s">
        <v>70</v>
      </c>
      <c r="I32" s="70" t="s">
        <v>70</v>
      </c>
      <c r="J32" s="70" t="s">
        <v>70</v>
      </c>
      <c r="K32" s="70" t="s">
        <v>70</v>
      </c>
      <c r="L32" s="70" t="s">
        <v>70</v>
      </c>
      <c r="M32" s="70" t="s">
        <v>70</v>
      </c>
      <c r="N32" s="70" t="s">
        <v>70</v>
      </c>
      <c r="O32" s="70" t="s">
        <v>70</v>
      </c>
      <c r="P32" s="70" t="s">
        <v>70</v>
      </c>
      <c r="Q32" s="70" t="s">
        <v>70</v>
      </c>
      <c r="R32" s="70" t="s">
        <v>70</v>
      </c>
      <c r="S32" s="70" t="s">
        <v>70</v>
      </c>
      <c r="T32" s="70" t="s">
        <v>70</v>
      </c>
      <c r="U32" s="70" t="s">
        <v>70</v>
      </c>
      <c r="V32" s="70" t="s">
        <v>70</v>
      </c>
      <c r="W32" s="70" t="s">
        <v>70</v>
      </c>
      <c r="X32" s="70" t="s">
        <v>70</v>
      </c>
      <c r="Y32" s="70" t="s">
        <v>70</v>
      </c>
      <c r="Z32" s="70" t="s">
        <v>70</v>
      </c>
      <c r="AA32" s="70" t="s">
        <v>70</v>
      </c>
      <c r="AB32" s="70" t="s">
        <v>70</v>
      </c>
      <c r="AC32" s="70" t="s">
        <v>70</v>
      </c>
      <c r="AD32" s="70" t="s">
        <v>70</v>
      </c>
      <c r="AE32" s="143">
        <v>1</v>
      </c>
      <c r="AF32" s="143">
        <v>1</v>
      </c>
      <c r="AG32" s="143">
        <v>0</v>
      </c>
      <c r="AH32" s="143">
        <v>1</v>
      </c>
      <c r="AI32" s="143">
        <v>0</v>
      </c>
      <c r="AJ32" s="60" t="s">
        <v>32</v>
      </c>
      <c r="AL32" t="str">
        <f t="shared" si="0"/>
        <v xml:space="preserve">    (U1)ALERT_REQ_UNKNOWN</v>
      </c>
      <c r="AR32" s="72" t="str">
        <f t="shared" si="3"/>
        <v xml:space="preserve">    (U4)0x0000001AU,                                                           /* 26 UNKNOWN                                         */</v>
      </c>
      <c r="AS32" s="72" t="str">
        <f t="shared" si="4"/>
        <v xml:space="preserve">    (U4)0x0000001FU,                                                           /* 26 UNKNOWN                                         */</v>
      </c>
      <c r="AT32" s="72" t="str">
        <f t="shared" si="1"/>
        <v xml:space="preserve">    (U1)ALERT_REQ_UNKNOWN,                                                     /* 26 UNKNOWN                                         */</v>
      </c>
    </row>
    <row r="33" spans="2:46">
      <c r="B33" s="145"/>
      <c r="C33" s="56">
        <f t="shared" si="2"/>
        <v>27</v>
      </c>
      <c r="D33" s="70" t="s">
        <v>70</v>
      </c>
      <c r="E33" s="70" t="s">
        <v>70</v>
      </c>
      <c r="F33" s="70" t="s">
        <v>70</v>
      </c>
      <c r="G33" s="70" t="s">
        <v>70</v>
      </c>
      <c r="H33" s="70" t="s">
        <v>70</v>
      </c>
      <c r="I33" s="70" t="s">
        <v>70</v>
      </c>
      <c r="J33" s="70" t="s">
        <v>70</v>
      </c>
      <c r="K33" s="70" t="s">
        <v>70</v>
      </c>
      <c r="L33" s="70" t="s">
        <v>70</v>
      </c>
      <c r="M33" s="70" t="s">
        <v>70</v>
      </c>
      <c r="N33" s="70" t="s">
        <v>70</v>
      </c>
      <c r="O33" s="70" t="s">
        <v>70</v>
      </c>
      <c r="P33" s="70" t="s">
        <v>70</v>
      </c>
      <c r="Q33" s="70" t="s">
        <v>70</v>
      </c>
      <c r="R33" s="70" t="s">
        <v>70</v>
      </c>
      <c r="S33" s="70" t="s">
        <v>70</v>
      </c>
      <c r="T33" s="70" t="s">
        <v>70</v>
      </c>
      <c r="U33" s="70" t="s">
        <v>70</v>
      </c>
      <c r="V33" s="70" t="s">
        <v>70</v>
      </c>
      <c r="W33" s="70" t="s">
        <v>70</v>
      </c>
      <c r="X33" s="70" t="s">
        <v>70</v>
      </c>
      <c r="Y33" s="70" t="s">
        <v>70</v>
      </c>
      <c r="Z33" s="70" t="s">
        <v>70</v>
      </c>
      <c r="AA33" s="70" t="s">
        <v>70</v>
      </c>
      <c r="AB33" s="70" t="s">
        <v>70</v>
      </c>
      <c r="AC33" s="70" t="s">
        <v>70</v>
      </c>
      <c r="AD33" s="70" t="s">
        <v>70</v>
      </c>
      <c r="AE33" s="143">
        <v>1</v>
      </c>
      <c r="AF33" s="143">
        <v>1</v>
      </c>
      <c r="AG33" s="143">
        <v>0</v>
      </c>
      <c r="AH33" s="143">
        <v>1</v>
      </c>
      <c r="AI33" s="143">
        <v>1</v>
      </c>
      <c r="AJ33" s="60" t="s">
        <v>32</v>
      </c>
      <c r="AL33" t="str">
        <f t="shared" si="0"/>
        <v xml:space="preserve">    (U1)ALERT_REQ_UNKNOWN</v>
      </c>
      <c r="AR33" s="72" t="str">
        <f t="shared" si="3"/>
        <v xml:space="preserve">    (U4)0x0000001BU,                                                           /* 27 UNKNOWN                                         */</v>
      </c>
      <c r="AS33" s="72" t="str">
        <f t="shared" si="4"/>
        <v xml:space="preserve">    (U4)0x0000001FU,                                                           /* 27 UNKNOWN                                         */</v>
      </c>
      <c r="AT33" s="72" t="str">
        <f t="shared" si="1"/>
        <v xml:space="preserve">    (U1)ALERT_REQ_UNKNOWN,                                                     /* 27 UNKNOWN                                         */</v>
      </c>
    </row>
    <row r="34" spans="2:46">
      <c r="B34" s="145"/>
      <c r="C34" s="56">
        <f t="shared" si="2"/>
        <v>28</v>
      </c>
      <c r="D34" s="70" t="s">
        <v>70</v>
      </c>
      <c r="E34" s="70" t="s">
        <v>70</v>
      </c>
      <c r="F34" s="70" t="s">
        <v>70</v>
      </c>
      <c r="G34" s="70" t="s">
        <v>70</v>
      </c>
      <c r="H34" s="70" t="s">
        <v>70</v>
      </c>
      <c r="I34" s="70" t="s">
        <v>70</v>
      </c>
      <c r="J34" s="70" t="s">
        <v>70</v>
      </c>
      <c r="K34" s="70" t="s">
        <v>70</v>
      </c>
      <c r="L34" s="70" t="s">
        <v>70</v>
      </c>
      <c r="M34" s="70" t="s">
        <v>70</v>
      </c>
      <c r="N34" s="70" t="s">
        <v>70</v>
      </c>
      <c r="O34" s="70" t="s">
        <v>70</v>
      </c>
      <c r="P34" s="70" t="s">
        <v>70</v>
      </c>
      <c r="Q34" s="70" t="s">
        <v>70</v>
      </c>
      <c r="R34" s="70" t="s">
        <v>70</v>
      </c>
      <c r="S34" s="70" t="s">
        <v>70</v>
      </c>
      <c r="T34" s="70" t="s">
        <v>70</v>
      </c>
      <c r="U34" s="70" t="s">
        <v>70</v>
      </c>
      <c r="V34" s="70" t="s">
        <v>70</v>
      </c>
      <c r="W34" s="70" t="s">
        <v>70</v>
      </c>
      <c r="X34" s="70" t="s">
        <v>70</v>
      </c>
      <c r="Y34" s="70" t="s">
        <v>70</v>
      </c>
      <c r="Z34" s="70" t="s">
        <v>70</v>
      </c>
      <c r="AA34" s="70" t="s">
        <v>70</v>
      </c>
      <c r="AB34" s="70" t="s">
        <v>70</v>
      </c>
      <c r="AC34" s="70" t="s">
        <v>70</v>
      </c>
      <c r="AD34" s="70" t="s">
        <v>70</v>
      </c>
      <c r="AE34" s="143">
        <v>1</v>
      </c>
      <c r="AF34" s="143">
        <v>1</v>
      </c>
      <c r="AG34" s="143">
        <v>1</v>
      </c>
      <c r="AH34" s="143">
        <v>0</v>
      </c>
      <c r="AI34" s="143">
        <v>0</v>
      </c>
      <c r="AJ34" s="60" t="s">
        <v>32</v>
      </c>
      <c r="AL34" t="str">
        <f t="shared" si="0"/>
        <v xml:space="preserve">    (U1)ALERT_REQ_UNKNOWN</v>
      </c>
      <c r="AR34" s="72" t="str">
        <f t="shared" si="3"/>
        <v xml:space="preserve">    (U4)0x0000001CU,                                                           /* 28 UNKNOWN                                         */</v>
      </c>
      <c r="AS34" s="72" t="str">
        <f t="shared" si="4"/>
        <v xml:space="preserve">    (U4)0x0000001FU,                                                           /* 28 UNKNOWN                                         */</v>
      </c>
      <c r="AT34" s="72" t="str">
        <f t="shared" si="1"/>
        <v xml:space="preserve">    (U1)ALERT_REQ_UNKNOWN,                                                     /* 28 UNKNOWN                                         */</v>
      </c>
    </row>
    <row r="35" spans="2:46">
      <c r="B35" s="145"/>
      <c r="C35" s="56">
        <f t="shared" si="2"/>
        <v>29</v>
      </c>
      <c r="D35" s="70" t="s">
        <v>70</v>
      </c>
      <c r="E35" s="70" t="s">
        <v>70</v>
      </c>
      <c r="F35" s="70" t="s">
        <v>70</v>
      </c>
      <c r="G35" s="70" t="s">
        <v>70</v>
      </c>
      <c r="H35" s="70" t="s">
        <v>70</v>
      </c>
      <c r="I35" s="70" t="s">
        <v>70</v>
      </c>
      <c r="J35" s="70" t="s">
        <v>70</v>
      </c>
      <c r="K35" s="70" t="s">
        <v>70</v>
      </c>
      <c r="L35" s="70" t="s">
        <v>70</v>
      </c>
      <c r="M35" s="70" t="s">
        <v>70</v>
      </c>
      <c r="N35" s="70" t="s">
        <v>70</v>
      </c>
      <c r="O35" s="70" t="s">
        <v>70</v>
      </c>
      <c r="P35" s="70" t="s">
        <v>70</v>
      </c>
      <c r="Q35" s="70" t="s">
        <v>70</v>
      </c>
      <c r="R35" s="70" t="s">
        <v>70</v>
      </c>
      <c r="S35" s="70" t="s">
        <v>70</v>
      </c>
      <c r="T35" s="70" t="s">
        <v>70</v>
      </c>
      <c r="U35" s="70" t="s">
        <v>70</v>
      </c>
      <c r="V35" s="70" t="s">
        <v>70</v>
      </c>
      <c r="W35" s="70" t="s">
        <v>70</v>
      </c>
      <c r="X35" s="70" t="s">
        <v>70</v>
      </c>
      <c r="Y35" s="70" t="s">
        <v>70</v>
      </c>
      <c r="Z35" s="70" t="s">
        <v>70</v>
      </c>
      <c r="AA35" s="70" t="s">
        <v>70</v>
      </c>
      <c r="AB35" s="70" t="s">
        <v>70</v>
      </c>
      <c r="AC35" s="70" t="s">
        <v>70</v>
      </c>
      <c r="AD35" s="70" t="s">
        <v>70</v>
      </c>
      <c r="AE35" s="143">
        <v>1</v>
      </c>
      <c r="AF35" s="143">
        <v>1</v>
      </c>
      <c r="AG35" s="143">
        <v>1</v>
      </c>
      <c r="AH35" s="143">
        <v>0</v>
      </c>
      <c r="AI35" s="143">
        <v>1</v>
      </c>
      <c r="AJ35" s="60" t="s">
        <v>32</v>
      </c>
      <c r="AL35" t="str">
        <f t="shared" si="0"/>
        <v xml:space="preserve">    (U1)ALERT_REQ_UNKNOWN</v>
      </c>
      <c r="AR35" s="72" t="str">
        <f t="shared" si="3"/>
        <v xml:space="preserve">    (U4)0x0000001DU,                                                           /* 29 UNKNOWN                                         */</v>
      </c>
      <c r="AS35" s="72" t="str">
        <f t="shared" si="4"/>
        <v xml:space="preserve">    (U4)0x0000001FU,                                                           /* 29 UNKNOWN                                         */</v>
      </c>
      <c r="AT35" s="72" t="str">
        <f t="shared" si="1"/>
        <v xml:space="preserve">    (U1)ALERT_REQ_UNKNOWN,                                                     /* 29 UNKNOWN                                         */</v>
      </c>
    </row>
    <row r="36" spans="2:46">
      <c r="B36" s="145"/>
      <c r="C36" s="56">
        <f t="shared" si="2"/>
        <v>30</v>
      </c>
      <c r="D36" s="70" t="s">
        <v>70</v>
      </c>
      <c r="E36" s="70" t="s">
        <v>70</v>
      </c>
      <c r="F36" s="70" t="s">
        <v>70</v>
      </c>
      <c r="G36" s="70" t="s">
        <v>70</v>
      </c>
      <c r="H36" s="70" t="s">
        <v>70</v>
      </c>
      <c r="I36" s="70" t="s">
        <v>70</v>
      </c>
      <c r="J36" s="70" t="s">
        <v>70</v>
      </c>
      <c r="K36" s="70" t="s">
        <v>70</v>
      </c>
      <c r="L36" s="70" t="s">
        <v>70</v>
      </c>
      <c r="M36" s="70" t="s">
        <v>70</v>
      </c>
      <c r="N36" s="70" t="s">
        <v>70</v>
      </c>
      <c r="O36" s="70" t="s">
        <v>70</v>
      </c>
      <c r="P36" s="70" t="s">
        <v>70</v>
      </c>
      <c r="Q36" s="70" t="s">
        <v>70</v>
      </c>
      <c r="R36" s="70" t="s">
        <v>70</v>
      </c>
      <c r="S36" s="70" t="s">
        <v>70</v>
      </c>
      <c r="T36" s="70" t="s">
        <v>70</v>
      </c>
      <c r="U36" s="70" t="s">
        <v>70</v>
      </c>
      <c r="V36" s="70" t="s">
        <v>70</v>
      </c>
      <c r="W36" s="70" t="s">
        <v>70</v>
      </c>
      <c r="X36" s="70" t="s">
        <v>70</v>
      </c>
      <c r="Y36" s="70" t="s">
        <v>70</v>
      </c>
      <c r="Z36" s="70" t="s">
        <v>70</v>
      </c>
      <c r="AA36" s="70" t="s">
        <v>70</v>
      </c>
      <c r="AB36" s="70" t="s">
        <v>70</v>
      </c>
      <c r="AC36" s="70" t="s">
        <v>70</v>
      </c>
      <c r="AD36" s="70" t="s">
        <v>70</v>
      </c>
      <c r="AE36" s="143">
        <v>1</v>
      </c>
      <c r="AF36" s="143">
        <v>1</v>
      </c>
      <c r="AG36" s="143">
        <v>1</v>
      </c>
      <c r="AH36" s="143">
        <v>1</v>
      </c>
      <c r="AI36" s="143">
        <v>0</v>
      </c>
      <c r="AJ36" s="60" t="s">
        <v>32</v>
      </c>
      <c r="AL36" t="str">
        <f t="shared" si="0"/>
        <v xml:space="preserve">    (U1)ALERT_REQ_UNKNOWN</v>
      </c>
      <c r="AR36" s="72" t="str">
        <f t="shared" si="3"/>
        <v xml:space="preserve">    (U4)0x0000001EU,                                                           /* 30 UNKNOWN                                         */</v>
      </c>
      <c r="AS36" s="72" t="str">
        <f t="shared" si="4"/>
        <v xml:space="preserve">    (U4)0x0000001FU,                                                           /* 30 UNKNOWN                                         */</v>
      </c>
      <c r="AT36" s="72" t="str">
        <f t="shared" si="1"/>
        <v xml:space="preserve">    (U1)ALERT_REQ_UNKNOWN,                                                     /* 30 UNKNOWN                                         */</v>
      </c>
    </row>
    <row r="37" spans="2:46">
      <c r="B37" s="145"/>
      <c r="C37" s="56">
        <f t="shared" si="2"/>
        <v>31</v>
      </c>
      <c r="D37" s="70" t="s">
        <v>70</v>
      </c>
      <c r="E37" s="70" t="s">
        <v>70</v>
      </c>
      <c r="F37" s="70" t="s">
        <v>70</v>
      </c>
      <c r="G37" s="70" t="s">
        <v>70</v>
      </c>
      <c r="H37" s="70" t="s">
        <v>70</v>
      </c>
      <c r="I37" s="70" t="s">
        <v>70</v>
      </c>
      <c r="J37" s="70" t="s">
        <v>70</v>
      </c>
      <c r="K37" s="70" t="s">
        <v>70</v>
      </c>
      <c r="L37" s="70" t="s">
        <v>70</v>
      </c>
      <c r="M37" s="70" t="s">
        <v>70</v>
      </c>
      <c r="N37" s="70" t="s">
        <v>70</v>
      </c>
      <c r="O37" s="70" t="s">
        <v>70</v>
      </c>
      <c r="P37" s="70" t="s">
        <v>70</v>
      </c>
      <c r="Q37" s="70" t="s">
        <v>70</v>
      </c>
      <c r="R37" s="70" t="s">
        <v>70</v>
      </c>
      <c r="S37" s="70" t="s">
        <v>70</v>
      </c>
      <c r="T37" s="70" t="s">
        <v>70</v>
      </c>
      <c r="U37" s="70" t="s">
        <v>70</v>
      </c>
      <c r="V37" s="70" t="s">
        <v>70</v>
      </c>
      <c r="W37" s="70" t="s">
        <v>70</v>
      </c>
      <c r="X37" s="70" t="s">
        <v>70</v>
      </c>
      <c r="Y37" s="70" t="s">
        <v>70</v>
      </c>
      <c r="Z37" s="70" t="s">
        <v>70</v>
      </c>
      <c r="AA37" s="70" t="s">
        <v>70</v>
      </c>
      <c r="AB37" s="70" t="s">
        <v>70</v>
      </c>
      <c r="AC37" s="70" t="s">
        <v>70</v>
      </c>
      <c r="AD37" s="70" t="s">
        <v>70</v>
      </c>
      <c r="AE37" s="143">
        <v>1</v>
      </c>
      <c r="AF37" s="143">
        <v>1</v>
      </c>
      <c r="AG37" s="143">
        <v>1</v>
      </c>
      <c r="AH37" s="143">
        <v>1</v>
      </c>
      <c r="AI37" s="143">
        <v>1</v>
      </c>
      <c r="AJ37" s="60" t="s">
        <v>32</v>
      </c>
      <c r="AL37" t="str">
        <f t="shared" si="0"/>
        <v xml:space="preserve">    (U1)ALERT_REQ_UNKNOWN</v>
      </c>
      <c r="AR37" s="72" t="str">
        <f t="shared" si="3"/>
        <v xml:space="preserve">    (U4)0x0000001FU                                                            /* 31 UNKNOWN                                         */</v>
      </c>
      <c r="AS37" s="72" t="str">
        <f t="shared" si="4"/>
        <v xml:space="preserve">    (U4)0x0000001FU                                                            /* 31 UNKNOWN                                         */</v>
      </c>
      <c r="AT37" s="72" t="str">
        <f t="shared" si="1"/>
        <v xml:space="preserve">    (U1)ALERT_REQ_UNKNOWN                                                      /* 31 UNKNOWN                                         */</v>
      </c>
    </row>
    <row r="38" spans="2:46">
      <c r="B38" s="145"/>
      <c r="C38" s="56">
        <f t="shared" si="2"/>
        <v>32</v>
      </c>
      <c r="D38" s="70" t="s">
        <v>70</v>
      </c>
      <c r="E38" s="70" t="s">
        <v>70</v>
      </c>
      <c r="F38" s="70" t="s">
        <v>70</v>
      </c>
      <c r="G38" s="70" t="s">
        <v>70</v>
      </c>
      <c r="H38" s="70" t="s">
        <v>70</v>
      </c>
      <c r="I38" s="70" t="s">
        <v>70</v>
      </c>
      <c r="J38" s="70" t="s">
        <v>70</v>
      </c>
      <c r="K38" s="70" t="s">
        <v>70</v>
      </c>
      <c r="L38" s="70" t="s">
        <v>70</v>
      </c>
      <c r="M38" s="70" t="s">
        <v>70</v>
      </c>
      <c r="N38" s="70" t="s">
        <v>70</v>
      </c>
      <c r="O38" s="70" t="s">
        <v>70</v>
      </c>
      <c r="P38" s="70" t="s">
        <v>70</v>
      </c>
      <c r="Q38" s="70" t="s">
        <v>70</v>
      </c>
      <c r="R38" s="70" t="s">
        <v>70</v>
      </c>
      <c r="S38" s="70" t="s">
        <v>70</v>
      </c>
      <c r="T38" s="70" t="s">
        <v>70</v>
      </c>
      <c r="U38" s="70" t="s">
        <v>70</v>
      </c>
      <c r="V38" s="70" t="s">
        <v>70</v>
      </c>
      <c r="W38" s="70" t="s">
        <v>70</v>
      </c>
      <c r="X38" s="70" t="s">
        <v>70</v>
      </c>
      <c r="Y38" s="70" t="s">
        <v>70</v>
      </c>
      <c r="Z38" s="70" t="s">
        <v>70</v>
      </c>
      <c r="AA38" s="70" t="s">
        <v>70</v>
      </c>
      <c r="AB38" s="70" t="s">
        <v>70</v>
      </c>
      <c r="AC38" s="70" t="s">
        <v>70</v>
      </c>
      <c r="AD38" s="70" t="s">
        <v>70</v>
      </c>
      <c r="AE38" s="70" t="s">
        <v>70</v>
      </c>
      <c r="AF38" s="70" t="s">
        <v>70</v>
      </c>
      <c r="AG38" s="70" t="s">
        <v>70</v>
      </c>
      <c r="AH38" s="70" t="s">
        <v>70</v>
      </c>
      <c r="AI38" s="70" t="s">
        <v>70</v>
      </c>
      <c r="AJ38" s="60"/>
      <c r="AL38" t="str">
        <f t="shared" ca="1" si="0"/>
        <v xml:space="preserve">    (U1)ALERT_REQ_C_EPB_TT_PKB_</v>
      </c>
      <c r="AR38" s="72" t="str">
        <f t="shared" si="3"/>
        <v>};</v>
      </c>
      <c r="AS38" s="72" t="str">
        <f t="shared" si="4"/>
        <v>};</v>
      </c>
      <c r="AT38" s="72" t="str">
        <f t="shared" si="1"/>
        <v>};</v>
      </c>
    </row>
    <row r="39" spans="2:46">
      <c r="B39" s="145"/>
      <c r="C39" s="56">
        <f t="shared" si="2"/>
        <v>33</v>
      </c>
      <c r="D39" s="70" t="s">
        <v>70</v>
      </c>
      <c r="E39" s="70" t="s">
        <v>70</v>
      </c>
      <c r="F39" s="70" t="s">
        <v>70</v>
      </c>
      <c r="G39" s="70" t="s">
        <v>70</v>
      </c>
      <c r="H39" s="70" t="s">
        <v>70</v>
      </c>
      <c r="I39" s="70" t="s">
        <v>70</v>
      </c>
      <c r="J39" s="70" t="s">
        <v>70</v>
      </c>
      <c r="K39" s="70" t="s">
        <v>70</v>
      </c>
      <c r="L39" s="70" t="s">
        <v>70</v>
      </c>
      <c r="M39" s="70" t="s">
        <v>70</v>
      </c>
      <c r="N39" s="70" t="s">
        <v>70</v>
      </c>
      <c r="O39" s="70" t="s">
        <v>70</v>
      </c>
      <c r="P39" s="70" t="s">
        <v>70</v>
      </c>
      <c r="Q39" s="70" t="s">
        <v>70</v>
      </c>
      <c r="R39" s="70" t="s">
        <v>70</v>
      </c>
      <c r="S39" s="70" t="s">
        <v>70</v>
      </c>
      <c r="T39" s="70" t="s">
        <v>70</v>
      </c>
      <c r="U39" s="70" t="s">
        <v>70</v>
      </c>
      <c r="V39" s="70" t="s">
        <v>70</v>
      </c>
      <c r="W39" s="70" t="s">
        <v>70</v>
      </c>
      <c r="X39" s="70" t="s">
        <v>70</v>
      </c>
      <c r="Y39" s="70" t="s">
        <v>70</v>
      </c>
      <c r="Z39" s="70" t="s">
        <v>70</v>
      </c>
      <c r="AA39" s="70" t="s">
        <v>70</v>
      </c>
      <c r="AB39" s="70" t="s">
        <v>70</v>
      </c>
      <c r="AC39" s="70" t="s">
        <v>70</v>
      </c>
      <c r="AD39" s="70" t="s">
        <v>70</v>
      </c>
      <c r="AE39" s="70" t="s">
        <v>70</v>
      </c>
      <c r="AF39" s="70" t="s">
        <v>70</v>
      </c>
      <c r="AG39" s="70" t="s">
        <v>70</v>
      </c>
      <c r="AH39" s="70" t="s">
        <v>70</v>
      </c>
      <c r="AI39" s="70" t="s">
        <v>70</v>
      </c>
      <c r="AJ39" s="60"/>
      <c r="AL39" t="str">
        <f t="shared" ca="1" si="0"/>
        <v xml:space="preserve">    (U1)ALERT_REQ_C_EPB_TT_PKB_</v>
      </c>
      <c r="AR39" s="72" t="str">
        <f t="shared" si="3"/>
        <v/>
      </c>
      <c r="AS39" s="72" t="str">
        <f t="shared" si="4"/>
        <v/>
      </c>
      <c r="AT39" s="72" t="str">
        <f t="shared" si="1"/>
        <v/>
      </c>
    </row>
    <row r="40" spans="2:46">
      <c r="B40" s="145"/>
      <c r="C40" s="56">
        <f t="shared" si="2"/>
        <v>34</v>
      </c>
      <c r="D40" s="70" t="s">
        <v>70</v>
      </c>
      <c r="E40" s="70" t="s">
        <v>70</v>
      </c>
      <c r="F40" s="70" t="s">
        <v>70</v>
      </c>
      <c r="G40" s="70" t="s">
        <v>70</v>
      </c>
      <c r="H40" s="70" t="s">
        <v>70</v>
      </c>
      <c r="I40" s="70" t="s">
        <v>70</v>
      </c>
      <c r="J40" s="70" t="s">
        <v>70</v>
      </c>
      <c r="K40" s="70" t="s">
        <v>70</v>
      </c>
      <c r="L40" s="70" t="s">
        <v>70</v>
      </c>
      <c r="M40" s="70" t="s">
        <v>70</v>
      </c>
      <c r="N40" s="70" t="s">
        <v>70</v>
      </c>
      <c r="O40" s="70" t="s">
        <v>70</v>
      </c>
      <c r="P40" s="70" t="s">
        <v>70</v>
      </c>
      <c r="Q40" s="70" t="s">
        <v>70</v>
      </c>
      <c r="R40" s="70" t="s">
        <v>70</v>
      </c>
      <c r="S40" s="70" t="s">
        <v>70</v>
      </c>
      <c r="T40" s="70" t="s">
        <v>70</v>
      </c>
      <c r="U40" s="70" t="s">
        <v>70</v>
      </c>
      <c r="V40" s="70" t="s">
        <v>70</v>
      </c>
      <c r="W40" s="70" t="s">
        <v>70</v>
      </c>
      <c r="X40" s="70" t="s">
        <v>70</v>
      </c>
      <c r="Y40" s="70" t="s">
        <v>70</v>
      </c>
      <c r="Z40" s="70" t="s">
        <v>70</v>
      </c>
      <c r="AA40" s="70" t="s">
        <v>70</v>
      </c>
      <c r="AB40" s="70" t="s">
        <v>70</v>
      </c>
      <c r="AC40" s="70" t="s">
        <v>70</v>
      </c>
      <c r="AD40" s="70" t="s">
        <v>70</v>
      </c>
      <c r="AE40" s="70" t="s">
        <v>70</v>
      </c>
      <c r="AF40" s="70" t="s">
        <v>70</v>
      </c>
      <c r="AG40" s="70" t="s">
        <v>70</v>
      </c>
      <c r="AH40" s="70" t="s">
        <v>70</v>
      </c>
      <c r="AI40" s="70" t="s">
        <v>70</v>
      </c>
      <c r="AJ40" s="60"/>
      <c r="AL40" t="str">
        <f t="shared" ca="1" si="0"/>
        <v xml:space="preserve">    (U1)ALERT_REQ_C_EPB_TT_PKB_</v>
      </c>
      <c r="AR40" s="72" t="str">
        <f t="shared" si="3"/>
        <v/>
      </c>
      <c r="AS40" s="72" t="str">
        <f t="shared" si="4"/>
        <v/>
      </c>
      <c r="AT40" s="72" t="str">
        <f t="shared" si="1"/>
        <v/>
      </c>
    </row>
    <row r="41" spans="2:46">
      <c r="B41" s="145"/>
      <c r="C41" s="56">
        <f t="shared" si="2"/>
        <v>35</v>
      </c>
      <c r="D41" s="70" t="s">
        <v>70</v>
      </c>
      <c r="E41" s="70" t="s">
        <v>70</v>
      </c>
      <c r="F41" s="70" t="s">
        <v>70</v>
      </c>
      <c r="G41" s="70" t="s">
        <v>70</v>
      </c>
      <c r="H41" s="70" t="s">
        <v>70</v>
      </c>
      <c r="I41" s="70" t="s">
        <v>70</v>
      </c>
      <c r="J41" s="70" t="s">
        <v>70</v>
      </c>
      <c r="K41" s="70" t="s">
        <v>70</v>
      </c>
      <c r="L41" s="70" t="s">
        <v>70</v>
      </c>
      <c r="M41" s="70" t="s">
        <v>70</v>
      </c>
      <c r="N41" s="70" t="s">
        <v>70</v>
      </c>
      <c r="O41" s="70" t="s">
        <v>70</v>
      </c>
      <c r="P41" s="70" t="s">
        <v>70</v>
      </c>
      <c r="Q41" s="70" t="s">
        <v>70</v>
      </c>
      <c r="R41" s="70" t="s">
        <v>70</v>
      </c>
      <c r="S41" s="70" t="s">
        <v>70</v>
      </c>
      <c r="T41" s="70" t="s">
        <v>70</v>
      </c>
      <c r="U41" s="70" t="s">
        <v>70</v>
      </c>
      <c r="V41" s="70" t="s">
        <v>70</v>
      </c>
      <c r="W41" s="70" t="s">
        <v>70</v>
      </c>
      <c r="X41" s="70" t="s">
        <v>70</v>
      </c>
      <c r="Y41" s="70" t="s">
        <v>70</v>
      </c>
      <c r="Z41" s="70" t="s">
        <v>70</v>
      </c>
      <c r="AA41" s="70" t="s">
        <v>70</v>
      </c>
      <c r="AB41" s="70" t="s">
        <v>70</v>
      </c>
      <c r="AC41" s="70" t="s">
        <v>70</v>
      </c>
      <c r="AD41" s="70" t="s">
        <v>70</v>
      </c>
      <c r="AE41" s="70" t="s">
        <v>70</v>
      </c>
      <c r="AF41" s="70" t="s">
        <v>70</v>
      </c>
      <c r="AG41" s="70" t="s">
        <v>70</v>
      </c>
      <c r="AH41" s="70" t="s">
        <v>70</v>
      </c>
      <c r="AI41" s="70" t="s">
        <v>70</v>
      </c>
      <c r="AJ41" s="60"/>
      <c r="AL41" t="str">
        <f t="shared" ca="1" si="0"/>
        <v xml:space="preserve">    (U1)ALERT_REQ_C_EPB_TT_PKB_</v>
      </c>
      <c r="AR41" s="72" t="str">
        <f t="shared" si="3"/>
        <v/>
      </c>
      <c r="AS41" s="72" t="str">
        <f t="shared" si="4"/>
        <v/>
      </c>
      <c r="AT41" s="72" t="str">
        <f t="shared" si="1"/>
        <v/>
      </c>
    </row>
    <row r="42" spans="2:46">
      <c r="B42" s="145"/>
      <c r="C42" s="56">
        <f t="shared" si="2"/>
        <v>36</v>
      </c>
      <c r="D42" s="70" t="s">
        <v>70</v>
      </c>
      <c r="E42" s="70" t="s">
        <v>70</v>
      </c>
      <c r="F42" s="70" t="s">
        <v>70</v>
      </c>
      <c r="G42" s="70" t="s">
        <v>70</v>
      </c>
      <c r="H42" s="70" t="s">
        <v>70</v>
      </c>
      <c r="I42" s="70" t="s">
        <v>70</v>
      </c>
      <c r="J42" s="70" t="s">
        <v>70</v>
      </c>
      <c r="K42" s="70" t="s">
        <v>70</v>
      </c>
      <c r="L42" s="70" t="s">
        <v>70</v>
      </c>
      <c r="M42" s="70" t="s">
        <v>70</v>
      </c>
      <c r="N42" s="70" t="s">
        <v>70</v>
      </c>
      <c r="O42" s="70" t="s">
        <v>70</v>
      </c>
      <c r="P42" s="70" t="s">
        <v>70</v>
      </c>
      <c r="Q42" s="70" t="s">
        <v>70</v>
      </c>
      <c r="R42" s="70" t="s">
        <v>70</v>
      </c>
      <c r="S42" s="70" t="s">
        <v>70</v>
      </c>
      <c r="T42" s="70" t="s">
        <v>70</v>
      </c>
      <c r="U42" s="70" t="s">
        <v>70</v>
      </c>
      <c r="V42" s="70" t="s">
        <v>70</v>
      </c>
      <c r="W42" s="70" t="s">
        <v>70</v>
      </c>
      <c r="X42" s="70" t="s">
        <v>70</v>
      </c>
      <c r="Y42" s="70" t="s">
        <v>70</v>
      </c>
      <c r="Z42" s="70" t="s">
        <v>70</v>
      </c>
      <c r="AA42" s="70" t="s">
        <v>70</v>
      </c>
      <c r="AB42" s="70" t="s">
        <v>70</v>
      </c>
      <c r="AC42" s="70" t="s">
        <v>70</v>
      </c>
      <c r="AD42" s="70" t="s">
        <v>70</v>
      </c>
      <c r="AE42" s="70" t="s">
        <v>70</v>
      </c>
      <c r="AF42" s="70" t="s">
        <v>70</v>
      </c>
      <c r="AG42" s="70" t="s">
        <v>70</v>
      </c>
      <c r="AH42" s="70" t="s">
        <v>70</v>
      </c>
      <c r="AI42" s="70" t="s">
        <v>70</v>
      </c>
      <c r="AJ42" s="60"/>
      <c r="AL42" t="str">
        <f t="shared" ca="1" si="0"/>
        <v xml:space="preserve">    (U1)ALERT_REQ_C_EPB_TT_PKB_</v>
      </c>
      <c r="AR42" s="72" t="str">
        <f t="shared" si="3"/>
        <v/>
      </c>
      <c r="AS42" s="72" t="str">
        <f t="shared" si="4"/>
        <v/>
      </c>
      <c r="AT42" s="72" t="str">
        <f t="shared" si="1"/>
        <v/>
      </c>
    </row>
    <row r="43" spans="2:46">
      <c r="B43" s="145"/>
      <c r="C43" s="56">
        <f t="shared" si="2"/>
        <v>37</v>
      </c>
      <c r="D43" s="70" t="s">
        <v>70</v>
      </c>
      <c r="E43" s="70" t="s">
        <v>70</v>
      </c>
      <c r="F43" s="70" t="s">
        <v>70</v>
      </c>
      <c r="G43" s="70" t="s">
        <v>70</v>
      </c>
      <c r="H43" s="70" t="s">
        <v>70</v>
      </c>
      <c r="I43" s="70" t="s">
        <v>70</v>
      </c>
      <c r="J43" s="70" t="s">
        <v>70</v>
      </c>
      <c r="K43" s="70" t="s">
        <v>70</v>
      </c>
      <c r="L43" s="70" t="s">
        <v>70</v>
      </c>
      <c r="M43" s="70" t="s">
        <v>70</v>
      </c>
      <c r="N43" s="70" t="s">
        <v>70</v>
      </c>
      <c r="O43" s="70" t="s">
        <v>70</v>
      </c>
      <c r="P43" s="70" t="s">
        <v>70</v>
      </c>
      <c r="Q43" s="70" t="s">
        <v>70</v>
      </c>
      <c r="R43" s="70" t="s">
        <v>70</v>
      </c>
      <c r="S43" s="70" t="s">
        <v>70</v>
      </c>
      <c r="T43" s="70" t="s">
        <v>70</v>
      </c>
      <c r="U43" s="70" t="s">
        <v>70</v>
      </c>
      <c r="V43" s="70" t="s">
        <v>70</v>
      </c>
      <c r="W43" s="70" t="s">
        <v>70</v>
      </c>
      <c r="X43" s="70" t="s">
        <v>70</v>
      </c>
      <c r="Y43" s="70" t="s">
        <v>70</v>
      </c>
      <c r="Z43" s="70" t="s">
        <v>70</v>
      </c>
      <c r="AA43" s="70" t="s">
        <v>70</v>
      </c>
      <c r="AB43" s="70" t="s">
        <v>70</v>
      </c>
      <c r="AC43" s="70" t="s">
        <v>70</v>
      </c>
      <c r="AD43" s="70" t="s">
        <v>70</v>
      </c>
      <c r="AE43" s="70" t="s">
        <v>70</v>
      </c>
      <c r="AF43" s="70" t="s">
        <v>70</v>
      </c>
      <c r="AG43" s="70" t="s">
        <v>70</v>
      </c>
      <c r="AH43" s="70" t="s">
        <v>70</v>
      </c>
      <c r="AI43" s="70" t="s">
        <v>70</v>
      </c>
      <c r="AJ43" s="60"/>
      <c r="AL43" t="str">
        <f t="shared" ca="1" si="0"/>
        <v xml:space="preserve">    (U1)ALERT_REQ_C_EPB_TT_PKB_</v>
      </c>
      <c r="AR43" s="72" t="str">
        <f t="shared" si="3"/>
        <v/>
      </c>
      <c r="AS43" s="72" t="str">
        <f t="shared" si="4"/>
        <v/>
      </c>
      <c r="AT43" s="72" t="str">
        <f t="shared" si="1"/>
        <v/>
      </c>
    </row>
    <row r="44" spans="2:46">
      <c r="B44" s="145"/>
      <c r="C44" s="56">
        <f t="shared" si="2"/>
        <v>38</v>
      </c>
      <c r="D44" s="70" t="s">
        <v>70</v>
      </c>
      <c r="E44" s="70" t="s">
        <v>70</v>
      </c>
      <c r="F44" s="70" t="s">
        <v>70</v>
      </c>
      <c r="G44" s="70" t="s">
        <v>70</v>
      </c>
      <c r="H44" s="70" t="s">
        <v>70</v>
      </c>
      <c r="I44" s="70" t="s">
        <v>70</v>
      </c>
      <c r="J44" s="70" t="s">
        <v>70</v>
      </c>
      <c r="K44" s="70" t="s">
        <v>70</v>
      </c>
      <c r="L44" s="70" t="s">
        <v>70</v>
      </c>
      <c r="M44" s="70" t="s">
        <v>70</v>
      </c>
      <c r="N44" s="70" t="s">
        <v>70</v>
      </c>
      <c r="O44" s="70" t="s">
        <v>70</v>
      </c>
      <c r="P44" s="70" t="s">
        <v>70</v>
      </c>
      <c r="Q44" s="70" t="s">
        <v>70</v>
      </c>
      <c r="R44" s="70" t="s">
        <v>70</v>
      </c>
      <c r="S44" s="70" t="s">
        <v>70</v>
      </c>
      <c r="T44" s="70" t="s">
        <v>70</v>
      </c>
      <c r="U44" s="70" t="s">
        <v>70</v>
      </c>
      <c r="V44" s="70" t="s">
        <v>70</v>
      </c>
      <c r="W44" s="70" t="s">
        <v>70</v>
      </c>
      <c r="X44" s="70" t="s">
        <v>70</v>
      </c>
      <c r="Y44" s="70" t="s">
        <v>70</v>
      </c>
      <c r="Z44" s="70" t="s">
        <v>70</v>
      </c>
      <c r="AA44" s="70" t="s">
        <v>70</v>
      </c>
      <c r="AB44" s="70" t="s">
        <v>70</v>
      </c>
      <c r="AC44" s="70" t="s">
        <v>70</v>
      </c>
      <c r="AD44" s="70" t="s">
        <v>70</v>
      </c>
      <c r="AE44" s="70" t="s">
        <v>70</v>
      </c>
      <c r="AF44" s="70" t="s">
        <v>70</v>
      </c>
      <c r="AG44" s="70" t="s">
        <v>70</v>
      </c>
      <c r="AH44" s="70" t="s">
        <v>70</v>
      </c>
      <c r="AI44" s="70" t="s">
        <v>70</v>
      </c>
      <c r="AJ44" s="60"/>
      <c r="AL44" t="str">
        <f t="shared" ca="1" si="0"/>
        <v xml:space="preserve">    (U1)ALERT_REQ_C_EPB_TT_PKB_</v>
      </c>
      <c r="AR44" s="72" t="str">
        <f t="shared" si="3"/>
        <v/>
      </c>
      <c r="AS44" s="72" t="str">
        <f t="shared" si="4"/>
        <v/>
      </c>
      <c r="AT44" s="72" t="str">
        <f t="shared" si="1"/>
        <v/>
      </c>
    </row>
    <row r="45" spans="2:46">
      <c r="B45" s="145"/>
      <c r="C45" s="56">
        <f t="shared" si="2"/>
        <v>39</v>
      </c>
      <c r="D45" s="70" t="s">
        <v>70</v>
      </c>
      <c r="E45" s="70" t="s">
        <v>70</v>
      </c>
      <c r="F45" s="70" t="s">
        <v>70</v>
      </c>
      <c r="G45" s="70" t="s">
        <v>70</v>
      </c>
      <c r="H45" s="70" t="s">
        <v>70</v>
      </c>
      <c r="I45" s="70" t="s">
        <v>70</v>
      </c>
      <c r="J45" s="70" t="s">
        <v>70</v>
      </c>
      <c r="K45" s="70" t="s">
        <v>70</v>
      </c>
      <c r="L45" s="70" t="s">
        <v>70</v>
      </c>
      <c r="M45" s="70" t="s">
        <v>70</v>
      </c>
      <c r="N45" s="70" t="s">
        <v>70</v>
      </c>
      <c r="O45" s="70" t="s">
        <v>70</v>
      </c>
      <c r="P45" s="70" t="s">
        <v>70</v>
      </c>
      <c r="Q45" s="70" t="s">
        <v>70</v>
      </c>
      <c r="R45" s="70" t="s">
        <v>70</v>
      </c>
      <c r="S45" s="70" t="s">
        <v>70</v>
      </c>
      <c r="T45" s="70" t="s">
        <v>70</v>
      </c>
      <c r="U45" s="70" t="s">
        <v>70</v>
      </c>
      <c r="V45" s="70" t="s">
        <v>70</v>
      </c>
      <c r="W45" s="70" t="s">
        <v>70</v>
      </c>
      <c r="X45" s="70" t="s">
        <v>70</v>
      </c>
      <c r="Y45" s="70" t="s">
        <v>70</v>
      </c>
      <c r="Z45" s="70" t="s">
        <v>70</v>
      </c>
      <c r="AA45" s="70" t="s">
        <v>70</v>
      </c>
      <c r="AB45" s="70" t="s">
        <v>70</v>
      </c>
      <c r="AC45" s="70" t="s">
        <v>70</v>
      </c>
      <c r="AD45" s="70" t="s">
        <v>70</v>
      </c>
      <c r="AE45" s="70" t="s">
        <v>70</v>
      </c>
      <c r="AF45" s="70" t="s">
        <v>70</v>
      </c>
      <c r="AG45" s="70" t="s">
        <v>70</v>
      </c>
      <c r="AH45" s="70" t="s">
        <v>70</v>
      </c>
      <c r="AI45" s="70" t="s">
        <v>70</v>
      </c>
      <c r="AJ45" s="60"/>
      <c r="AL45" t="str">
        <f t="shared" ca="1" si="0"/>
        <v xml:space="preserve">    (U1)ALERT_REQ_C_EPB_TT_PKB_</v>
      </c>
      <c r="AR45" s="72" t="str">
        <f t="shared" si="3"/>
        <v/>
      </c>
      <c r="AS45" s="72" t="str">
        <f t="shared" si="4"/>
        <v/>
      </c>
      <c r="AT45" s="72" t="str">
        <f t="shared" si="1"/>
        <v/>
      </c>
    </row>
    <row r="46" spans="2:46">
      <c r="B46" s="145"/>
      <c r="C46" s="56">
        <f t="shared" si="2"/>
        <v>40</v>
      </c>
      <c r="D46" s="70" t="s">
        <v>70</v>
      </c>
      <c r="E46" s="70" t="s">
        <v>70</v>
      </c>
      <c r="F46" s="70" t="s">
        <v>70</v>
      </c>
      <c r="G46" s="70" t="s">
        <v>70</v>
      </c>
      <c r="H46" s="70" t="s">
        <v>70</v>
      </c>
      <c r="I46" s="70" t="s">
        <v>70</v>
      </c>
      <c r="J46" s="70" t="s">
        <v>70</v>
      </c>
      <c r="K46" s="70" t="s">
        <v>70</v>
      </c>
      <c r="L46" s="70" t="s">
        <v>70</v>
      </c>
      <c r="M46" s="70" t="s">
        <v>70</v>
      </c>
      <c r="N46" s="70" t="s">
        <v>70</v>
      </c>
      <c r="O46" s="70" t="s">
        <v>70</v>
      </c>
      <c r="P46" s="70" t="s">
        <v>70</v>
      </c>
      <c r="Q46" s="70" t="s">
        <v>70</v>
      </c>
      <c r="R46" s="70" t="s">
        <v>70</v>
      </c>
      <c r="S46" s="70" t="s">
        <v>70</v>
      </c>
      <c r="T46" s="70" t="s">
        <v>70</v>
      </c>
      <c r="U46" s="70" t="s">
        <v>70</v>
      </c>
      <c r="V46" s="70" t="s">
        <v>70</v>
      </c>
      <c r="W46" s="70" t="s">
        <v>70</v>
      </c>
      <c r="X46" s="70" t="s">
        <v>70</v>
      </c>
      <c r="Y46" s="70" t="s">
        <v>70</v>
      </c>
      <c r="Z46" s="70" t="s">
        <v>70</v>
      </c>
      <c r="AA46" s="70" t="s">
        <v>70</v>
      </c>
      <c r="AB46" s="70" t="s">
        <v>70</v>
      </c>
      <c r="AC46" s="70" t="s">
        <v>70</v>
      </c>
      <c r="AD46" s="70" t="s">
        <v>70</v>
      </c>
      <c r="AE46" s="70" t="s">
        <v>70</v>
      </c>
      <c r="AF46" s="70" t="s">
        <v>70</v>
      </c>
      <c r="AG46" s="70" t="s">
        <v>70</v>
      </c>
      <c r="AH46" s="70" t="s">
        <v>70</v>
      </c>
      <c r="AI46" s="70" t="s">
        <v>70</v>
      </c>
      <c r="AJ46" s="60"/>
      <c r="AL46" t="str">
        <f t="shared" ca="1" si="0"/>
        <v xml:space="preserve">    (U1)ALERT_REQ_C_EPB_TT_PKB_</v>
      </c>
      <c r="AR46" s="72" t="str">
        <f t="shared" si="3"/>
        <v/>
      </c>
      <c r="AS46" s="72" t="str">
        <f t="shared" si="4"/>
        <v/>
      </c>
      <c r="AT46" s="72" t="str">
        <f t="shared" si="1"/>
        <v/>
      </c>
    </row>
    <row r="47" spans="2:46">
      <c r="B47" s="145"/>
      <c r="C47" s="56">
        <f t="shared" si="2"/>
        <v>41</v>
      </c>
      <c r="D47" s="70" t="s">
        <v>70</v>
      </c>
      <c r="E47" s="70" t="s">
        <v>70</v>
      </c>
      <c r="F47" s="70" t="s">
        <v>70</v>
      </c>
      <c r="G47" s="70" t="s">
        <v>70</v>
      </c>
      <c r="H47" s="70" t="s">
        <v>70</v>
      </c>
      <c r="I47" s="70" t="s">
        <v>70</v>
      </c>
      <c r="J47" s="70" t="s">
        <v>70</v>
      </c>
      <c r="K47" s="70" t="s">
        <v>70</v>
      </c>
      <c r="L47" s="70" t="s">
        <v>70</v>
      </c>
      <c r="M47" s="70" t="s">
        <v>70</v>
      </c>
      <c r="N47" s="70" t="s">
        <v>70</v>
      </c>
      <c r="O47" s="70" t="s">
        <v>70</v>
      </c>
      <c r="P47" s="70" t="s">
        <v>70</v>
      </c>
      <c r="Q47" s="70" t="s">
        <v>70</v>
      </c>
      <c r="R47" s="70" t="s">
        <v>70</v>
      </c>
      <c r="S47" s="70" t="s">
        <v>70</v>
      </c>
      <c r="T47" s="70" t="s">
        <v>70</v>
      </c>
      <c r="U47" s="70" t="s">
        <v>70</v>
      </c>
      <c r="V47" s="70" t="s">
        <v>70</v>
      </c>
      <c r="W47" s="70" t="s">
        <v>70</v>
      </c>
      <c r="X47" s="70" t="s">
        <v>70</v>
      </c>
      <c r="Y47" s="70" t="s">
        <v>70</v>
      </c>
      <c r="Z47" s="70" t="s">
        <v>70</v>
      </c>
      <c r="AA47" s="70" t="s">
        <v>70</v>
      </c>
      <c r="AB47" s="70" t="s">
        <v>70</v>
      </c>
      <c r="AC47" s="70" t="s">
        <v>70</v>
      </c>
      <c r="AD47" s="70" t="s">
        <v>70</v>
      </c>
      <c r="AE47" s="70" t="s">
        <v>70</v>
      </c>
      <c r="AF47" s="70" t="s">
        <v>70</v>
      </c>
      <c r="AG47" s="70" t="s">
        <v>70</v>
      </c>
      <c r="AH47" s="70" t="s">
        <v>70</v>
      </c>
      <c r="AI47" s="70" t="s">
        <v>70</v>
      </c>
      <c r="AJ47" s="60"/>
      <c r="AL47" t="str">
        <f t="shared" ca="1" si="0"/>
        <v xml:space="preserve">    (U1)ALERT_REQ_C_EPB_TT_PKB_</v>
      </c>
      <c r="AR47" s="72" t="str">
        <f t="shared" si="3"/>
        <v/>
      </c>
      <c r="AS47" s="72" t="str">
        <f t="shared" si="4"/>
        <v/>
      </c>
      <c r="AT47" s="72" t="str">
        <f t="shared" si="1"/>
        <v/>
      </c>
    </row>
    <row r="48" spans="2:46">
      <c r="B48" s="145"/>
      <c r="C48" s="56">
        <f t="shared" si="2"/>
        <v>42</v>
      </c>
      <c r="D48" s="70" t="s">
        <v>70</v>
      </c>
      <c r="E48" s="70" t="s">
        <v>70</v>
      </c>
      <c r="F48" s="70" t="s">
        <v>70</v>
      </c>
      <c r="G48" s="70" t="s">
        <v>70</v>
      </c>
      <c r="H48" s="70" t="s">
        <v>70</v>
      </c>
      <c r="I48" s="70" t="s">
        <v>70</v>
      </c>
      <c r="J48" s="70" t="s">
        <v>70</v>
      </c>
      <c r="K48" s="70" t="s">
        <v>70</v>
      </c>
      <c r="L48" s="70" t="s">
        <v>70</v>
      </c>
      <c r="M48" s="70" t="s">
        <v>70</v>
      </c>
      <c r="N48" s="70" t="s">
        <v>70</v>
      </c>
      <c r="O48" s="70" t="s">
        <v>70</v>
      </c>
      <c r="P48" s="70" t="s">
        <v>70</v>
      </c>
      <c r="Q48" s="70" t="s">
        <v>70</v>
      </c>
      <c r="R48" s="70" t="s">
        <v>70</v>
      </c>
      <c r="S48" s="70" t="s">
        <v>70</v>
      </c>
      <c r="T48" s="70" t="s">
        <v>70</v>
      </c>
      <c r="U48" s="70" t="s">
        <v>70</v>
      </c>
      <c r="V48" s="70" t="s">
        <v>70</v>
      </c>
      <c r="W48" s="70" t="s">
        <v>70</v>
      </c>
      <c r="X48" s="70" t="s">
        <v>70</v>
      </c>
      <c r="Y48" s="70" t="s">
        <v>70</v>
      </c>
      <c r="Z48" s="70" t="s">
        <v>70</v>
      </c>
      <c r="AA48" s="70" t="s">
        <v>70</v>
      </c>
      <c r="AB48" s="70" t="s">
        <v>70</v>
      </c>
      <c r="AC48" s="70" t="s">
        <v>70</v>
      </c>
      <c r="AD48" s="70" t="s">
        <v>70</v>
      </c>
      <c r="AE48" s="70" t="s">
        <v>70</v>
      </c>
      <c r="AF48" s="70" t="s">
        <v>70</v>
      </c>
      <c r="AG48" s="70" t="s">
        <v>70</v>
      </c>
      <c r="AH48" s="70" t="s">
        <v>70</v>
      </c>
      <c r="AI48" s="70" t="s">
        <v>70</v>
      </c>
      <c r="AJ48" s="60"/>
      <c r="AL48" t="str">
        <f t="shared" ca="1" si="0"/>
        <v xml:space="preserve">    (U1)ALERT_REQ_C_EPB_TT_PKB_</v>
      </c>
      <c r="AR48" s="72" t="str">
        <f t="shared" si="3"/>
        <v/>
      </c>
      <c r="AS48" s="72" t="str">
        <f t="shared" si="4"/>
        <v/>
      </c>
      <c r="AT48" s="72" t="str">
        <f t="shared" si="1"/>
        <v/>
      </c>
    </row>
    <row r="49" spans="2:46">
      <c r="B49" s="145"/>
      <c r="C49" s="56">
        <f t="shared" si="2"/>
        <v>43</v>
      </c>
      <c r="D49" s="70" t="s">
        <v>70</v>
      </c>
      <c r="E49" s="70" t="s">
        <v>70</v>
      </c>
      <c r="F49" s="70" t="s">
        <v>70</v>
      </c>
      <c r="G49" s="70" t="s">
        <v>70</v>
      </c>
      <c r="H49" s="70" t="s">
        <v>70</v>
      </c>
      <c r="I49" s="70" t="s">
        <v>70</v>
      </c>
      <c r="J49" s="70" t="s">
        <v>70</v>
      </c>
      <c r="K49" s="70" t="s">
        <v>70</v>
      </c>
      <c r="L49" s="70" t="s">
        <v>70</v>
      </c>
      <c r="M49" s="70" t="s">
        <v>70</v>
      </c>
      <c r="N49" s="70" t="s">
        <v>70</v>
      </c>
      <c r="O49" s="70" t="s">
        <v>70</v>
      </c>
      <c r="P49" s="70" t="s">
        <v>70</v>
      </c>
      <c r="Q49" s="70" t="s">
        <v>70</v>
      </c>
      <c r="R49" s="70" t="s">
        <v>70</v>
      </c>
      <c r="S49" s="70" t="s">
        <v>70</v>
      </c>
      <c r="T49" s="70" t="s">
        <v>70</v>
      </c>
      <c r="U49" s="70" t="s">
        <v>70</v>
      </c>
      <c r="V49" s="70" t="s">
        <v>70</v>
      </c>
      <c r="W49" s="70" t="s">
        <v>70</v>
      </c>
      <c r="X49" s="70" t="s">
        <v>70</v>
      </c>
      <c r="Y49" s="70" t="s">
        <v>70</v>
      </c>
      <c r="Z49" s="70" t="s">
        <v>70</v>
      </c>
      <c r="AA49" s="70" t="s">
        <v>70</v>
      </c>
      <c r="AB49" s="70" t="s">
        <v>70</v>
      </c>
      <c r="AC49" s="70" t="s">
        <v>70</v>
      </c>
      <c r="AD49" s="70" t="s">
        <v>70</v>
      </c>
      <c r="AE49" s="70" t="s">
        <v>70</v>
      </c>
      <c r="AF49" s="70" t="s">
        <v>70</v>
      </c>
      <c r="AG49" s="70" t="s">
        <v>70</v>
      </c>
      <c r="AH49" s="70" t="s">
        <v>70</v>
      </c>
      <c r="AI49" s="70" t="s">
        <v>70</v>
      </c>
      <c r="AJ49" s="60"/>
      <c r="AL49" t="str">
        <f t="shared" ca="1" si="0"/>
        <v xml:space="preserve">    (U1)ALERT_REQ_C_EPB_TT_PKB_</v>
      </c>
      <c r="AR49" s="72" t="str">
        <f t="shared" si="3"/>
        <v/>
      </c>
      <c r="AS49" s="72" t="str">
        <f t="shared" si="4"/>
        <v/>
      </c>
      <c r="AT49" s="72" t="str">
        <f t="shared" si="1"/>
        <v/>
      </c>
    </row>
    <row r="50" spans="2:46">
      <c r="B50" s="145"/>
      <c r="C50" s="56">
        <f t="shared" si="2"/>
        <v>44</v>
      </c>
      <c r="D50" s="70" t="s">
        <v>70</v>
      </c>
      <c r="E50" s="70" t="s">
        <v>70</v>
      </c>
      <c r="F50" s="70" t="s">
        <v>70</v>
      </c>
      <c r="G50" s="70" t="s">
        <v>70</v>
      </c>
      <c r="H50" s="70" t="s">
        <v>70</v>
      </c>
      <c r="I50" s="70" t="s">
        <v>70</v>
      </c>
      <c r="J50" s="70" t="s">
        <v>70</v>
      </c>
      <c r="K50" s="70" t="s">
        <v>70</v>
      </c>
      <c r="L50" s="70" t="s">
        <v>70</v>
      </c>
      <c r="M50" s="70" t="s">
        <v>70</v>
      </c>
      <c r="N50" s="70" t="s">
        <v>70</v>
      </c>
      <c r="O50" s="70" t="s">
        <v>70</v>
      </c>
      <c r="P50" s="70" t="s">
        <v>70</v>
      </c>
      <c r="Q50" s="70" t="s">
        <v>70</v>
      </c>
      <c r="R50" s="70" t="s">
        <v>70</v>
      </c>
      <c r="S50" s="70" t="s">
        <v>70</v>
      </c>
      <c r="T50" s="70" t="s">
        <v>70</v>
      </c>
      <c r="U50" s="70" t="s">
        <v>70</v>
      </c>
      <c r="V50" s="70" t="s">
        <v>70</v>
      </c>
      <c r="W50" s="70" t="s">
        <v>70</v>
      </c>
      <c r="X50" s="70" t="s">
        <v>70</v>
      </c>
      <c r="Y50" s="70" t="s">
        <v>70</v>
      </c>
      <c r="Z50" s="70" t="s">
        <v>70</v>
      </c>
      <c r="AA50" s="70" t="s">
        <v>70</v>
      </c>
      <c r="AB50" s="70" t="s">
        <v>70</v>
      </c>
      <c r="AC50" s="70" t="s">
        <v>70</v>
      </c>
      <c r="AD50" s="70" t="s">
        <v>70</v>
      </c>
      <c r="AE50" s="70" t="s">
        <v>70</v>
      </c>
      <c r="AF50" s="70" t="s">
        <v>70</v>
      </c>
      <c r="AG50" s="70" t="s">
        <v>70</v>
      </c>
      <c r="AH50" s="70" t="s">
        <v>70</v>
      </c>
      <c r="AI50" s="70" t="s">
        <v>70</v>
      </c>
      <c r="AJ50" s="60"/>
      <c r="AL50" t="str">
        <f t="shared" ca="1" si="0"/>
        <v xml:space="preserve">    (U1)ALERT_REQ_C_EPB_TT_PKB_</v>
      </c>
      <c r="AR50" s="72" t="str">
        <f t="shared" si="3"/>
        <v/>
      </c>
      <c r="AS50" s="72" t="str">
        <f t="shared" si="4"/>
        <v/>
      </c>
      <c r="AT50" s="72" t="str">
        <f t="shared" si="1"/>
        <v/>
      </c>
    </row>
    <row r="51" spans="2:46">
      <c r="B51" s="145"/>
      <c r="C51" s="56">
        <f t="shared" si="2"/>
        <v>45</v>
      </c>
      <c r="D51" s="70" t="s">
        <v>70</v>
      </c>
      <c r="E51" s="70" t="s">
        <v>70</v>
      </c>
      <c r="F51" s="70" t="s">
        <v>70</v>
      </c>
      <c r="G51" s="70" t="s">
        <v>70</v>
      </c>
      <c r="H51" s="70" t="s">
        <v>70</v>
      </c>
      <c r="I51" s="70" t="s">
        <v>70</v>
      </c>
      <c r="J51" s="70" t="s">
        <v>70</v>
      </c>
      <c r="K51" s="70" t="s">
        <v>70</v>
      </c>
      <c r="L51" s="70" t="s">
        <v>70</v>
      </c>
      <c r="M51" s="70" t="s">
        <v>70</v>
      </c>
      <c r="N51" s="70" t="s">
        <v>70</v>
      </c>
      <c r="O51" s="70" t="s">
        <v>70</v>
      </c>
      <c r="P51" s="70" t="s">
        <v>70</v>
      </c>
      <c r="Q51" s="70" t="s">
        <v>70</v>
      </c>
      <c r="R51" s="70" t="s">
        <v>70</v>
      </c>
      <c r="S51" s="70" t="s">
        <v>70</v>
      </c>
      <c r="T51" s="70" t="s">
        <v>70</v>
      </c>
      <c r="U51" s="70" t="s">
        <v>70</v>
      </c>
      <c r="V51" s="70" t="s">
        <v>70</v>
      </c>
      <c r="W51" s="70" t="s">
        <v>70</v>
      </c>
      <c r="X51" s="70" t="s">
        <v>70</v>
      </c>
      <c r="Y51" s="70" t="s">
        <v>70</v>
      </c>
      <c r="Z51" s="70" t="s">
        <v>70</v>
      </c>
      <c r="AA51" s="70" t="s">
        <v>70</v>
      </c>
      <c r="AB51" s="70" t="s">
        <v>70</v>
      </c>
      <c r="AC51" s="70" t="s">
        <v>70</v>
      </c>
      <c r="AD51" s="70" t="s">
        <v>70</v>
      </c>
      <c r="AE51" s="70" t="s">
        <v>70</v>
      </c>
      <c r="AF51" s="70" t="s">
        <v>70</v>
      </c>
      <c r="AG51" s="70" t="s">
        <v>70</v>
      </c>
      <c r="AH51" s="70" t="s">
        <v>70</v>
      </c>
      <c r="AI51" s="70" t="s">
        <v>70</v>
      </c>
      <c r="AJ51" s="60"/>
      <c r="AL51" t="str">
        <f t="shared" ca="1" si="0"/>
        <v xml:space="preserve">    (U1)ALERT_REQ_C_EPB_TT_PKB_</v>
      </c>
      <c r="AR51" s="72" t="str">
        <f t="shared" si="3"/>
        <v/>
      </c>
      <c r="AS51" s="72" t="str">
        <f t="shared" si="4"/>
        <v/>
      </c>
      <c r="AT51" s="72" t="str">
        <f t="shared" si="1"/>
        <v/>
      </c>
    </row>
    <row r="52" spans="2:46">
      <c r="B52" s="145"/>
      <c r="C52" s="56">
        <f t="shared" si="2"/>
        <v>46</v>
      </c>
      <c r="D52" s="70" t="s">
        <v>70</v>
      </c>
      <c r="E52" s="70" t="s">
        <v>70</v>
      </c>
      <c r="F52" s="70" t="s">
        <v>70</v>
      </c>
      <c r="G52" s="70" t="s">
        <v>70</v>
      </c>
      <c r="H52" s="70" t="s">
        <v>70</v>
      </c>
      <c r="I52" s="70" t="s">
        <v>70</v>
      </c>
      <c r="J52" s="70" t="s">
        <v>70</v>
      </c>
      <c r="K52" s="70" t="s">
        <v>70</v>
      </c>
      <c r="L52" s="70" t="s">
        <v>70</v>
      </c>
      <c r="M52" s="70" t="s">
        <v>70</v>
      </c>
      <c r="N52" s="70" t="s">
        <v>70</v>
      </c>
      <c r="O52" s="70" t="s">
        <v>70</v>
      </c>
      <c r="P52" s="70" t="s">
        <v>70</v>
      </c>
      <c r="Q52" s="70" t="s">
        <v>70</v>
      </c>
      <c r="R52" s="70" t="s">
        <v>70</v>
      </c>
      <c r="S52" s="70" t="s">
        <v>70</v>
      </c>
      <c r="T52" s="70" t="s">
        <v>70</v>
      </c>
      <c r="U52" s="70" t="s">
        <v>70</v>
      </c>
      <c r="V52" s="70" t="s">
        <v>70</v>
      </c>
      <c r="W52" s="70" t="s">
        <v>70</v>
      </c>
      <c r="X52" s="70" t="s">
        <v>70</v>
      </c>
      <c r="Y52" s="70" t="s">
        <v>70</v>
      </c>
      <c r="Z52" s="70" t="s">
        <v>70</v>
      </c>
      <c r="AA52" s="70" t="s">
        <v>70</v>
      </c>
      <c r="AB52" s="70" t="s">
        <v>70</v>
      </c>
      <c r="AC52" s="70" t="s">
        <v>70</v>
      </c>
      <c r="AD52" s="70" t="s">
        <v>70</v>
      </c>
      <c r="AE52" s="70" t="s">
        <v>70</v>
      </c>
      <c r="AF52" s="70" t="s">
        <v>70</v>
      </c>
      <c r="AG52" s="70" t="s">
        <v>70</v>
      </c>
      <c r="AH52" s="70" t="s">
        <v>70</v>
      </c>
      <c r="AI52" s="70" t="s">
        <v>70</v>
      </c>
      <c r="AJ52" s="60"/>
      <c r="AL52" t="str">
        <f t="shared" ca="1" si="0"/>
        <v xml:space="preserve">    (U1)ALERT_REQ_C_EPB_TT_PKB_</v>
      </c>
      <c r="AR52" s="72" t="str">
        <f t="shared" si="3"/>
        <v/>
      </c>
      <c r="AS52" s="72" t="str">
        <f t="shared" si="4"/>
        <v/>
      </c>
      <c r="AT52" s="72" t="str">
        <f t="shared" si="1"/>
        <v/>
      </c>
    </row>
    <row r="53" spans="2:46">
      <c r="B53" s="145"/>
      <c r="C53" s="56">
        <f t="shared" si="2"/>
        <v>47</v>
      </c>
      <c r="D53" s="70" t="s">
        <v>70</v>
      </c>
      <c r="E53" s="70" t="s">
        <v>70</v>
      </c>
      <c r="F53" s="70" t="s">
        <v>70</v>
      </c>
      <c r="G53" s="70" t="s">
        <v>70</v>
      </c>
      <c r="H53" s="70" t="s">
        <v>70</v>
      </c>
      <c r="I53" s="70" t="s">
        <v>70</v>
      </c>
      <c r="J53" s="70" t="s">
        <v>70</v>
      </c>
      <c r="K53" s="70" t="s">
        <v>70</v>
      </c>
      <c r="L53" s="70" t="s">
        <v>70</v>
      </c>
      <c r="M53" s="70" t="s">
        <v>70</v>
      </c>
      <c r="N53" s="70" t="s">
        <v>70</v>
      </c>
      <c r="O53" s="70" t="s">
        <v>70</v>
      </c>
      <c r="P53" s="70" t="s">
        <v>70</v>
      </c>
      <c r="Q53" s="70" t="s">
        <v>70</v>
      </c>
      <c r="R53" s="70" t="s">
        <v>70</v>
      </c>
      <c r="S53" s="70" t="s">
        <v>70</v>
      </c>
      <c r="T53" s="70" t="s">
        <v>70</v>
      </c>
      <c r="U53" s="70" t="s">
        <v>70</v>
      </c>
      <c r="V53" s="70" t="s">
        <v>70</v>
      </c>
      <c r="W53" s="70" t="s">
        <v>70</v>
      </c>
      <c r="X53" s="70" t="s">
        <v>70</v>
      </c>
      <c r="Y53" s="70" t="s">
        <v>70</v>
      </c>
      <c r="Z53" s="70" t="s">
        <v>70</v>
      </c>
      <c r="AA53" s="70" t="s">
        <v>70</v>
      </c>
      <c r="AB53" s="70" t="s">
        <v>70</v>
      </c>
      <c r="AC53" s="70" t="s">
        <v>70</v>
      </c>
      <c r="AD53" s="70" t="s">
        <v>70</v>
      </c>
      <c r="AE53" s="70" t="s">
        <v>70</v>
      </c>
      <c r="AF53" s="70" t="s">
        <v>70</v>
      </c>
      <c r="AG53" s="70" t="s">
        <v>70</v>
      </c>
      <c r="AH53" s="70" t="s">
        <v>70</v>
      </c>
      <c r="AI53" s="70" t="s">
        <v>70</v>
      </c>
      <c r="AJ53" s="60"/>
      <c r="AL53" t="str">
        <f t="shared" ca="1" si="0"/>
        <v xml:space="preserve">    (U1)ALERT_REQ_C_EPB_TT_PKB_</v>
      </c>
      <c r="AR53" s="72" t="str">
        <f t="shared" si="3"/>
        <v/>
      </c>
      <c r="AS53" s="72" t="str">
        <f t="shared" si="4"/>
        <v/>
      </c>
      <c r="AT53" s="72" t="str">
        <f t="shared" si="1"/>
        <v/>
      </c>
    </row>
    <row r="54" spans="2:46">
      <c r="B54" s="145"/>
      <c r="C54" s="56">
        <f t="shared" si="2"/>
        <v>48</v>
      </c>
      <c r="D54" s="70" t="s">
        <v>70</v>
      </c>
      <c r="E54" s="70" t="s">
        <v>70</v>
      </c>
      <c r="F54" s="70" t="s">
        <v>70</v>
      </c>
      <c r="G54" s="70" t="s">
        <v>70</v>
      </c>
      <c r="H54" s="70" t="s">
        <v>70</v>
      </c>
      <c r="I54" s="70" t="s">
        <v>70</v>
      </c>
      <c r="J54" s="70" t="s">
        <v>70</v>
      </c>
      <c r="K54" s="70" t="s">
        <v>70</v>
      </c>
      <c r="L54" s="70" t="s">
        <v>70</v>
      </c>
      <c r="M54" s="70" t="s">
        <v>70</v>
      </c>
      <c r="N54" s="70" t="s">
        <v>70</v>
      </c>
      <c r="O54" s="70" t="s">
        <v>70</v>
      </c>
      <c r="P54" s="70" t="s">
        <v>70</v>
      </c>
      <c r="Q54" s="70" t="s">
        <v>70</v>
      </c>
      <c r="R54" s="70" t="s">
        <v>70</v>
      </c>
      <c r="S54" s="70" t="s">
        <v>70</v>
      </c>
      <c r="T54" s="70" t="s">
        <v>70</v>
      </c>
      <c r="U54" s="70" t="s">
        <v>70</v>
      </c>
      <c r="V54" s="70" t="s">
        <v>70</v>
      </c>
      <c r="W54" s="70" t="s">
        <v>70</v>
      </c>
      <c r="X54" s="70" t="s">
        <v>70</v>
      </c>
      <c r="Y54" s="70" t="s">
        <v>70</v>
      </c>
      <c r="Z54" s="70" t="s">
        <v>70</v>
      </c>
      <c r="AA54" s="70" t="s">
        <v>70</v>
      </c>
      <c r="AB54" s="70" t="s">
        <v>70</v>
      </c>
      <c r="AC54" s="70" t="s">
        <v>70</v>
      </c>
      <c r="AD54" s="70" t="s">
        <v>70</v>
      </c>
      <c r="AE54" s="70" t="s">
        <v>70</v>
      </c>
      <c r="AF54" s="70" t="s">
        <v>70</v>
      </c>
      <c r="AG54" s="70" t="s">
        <v>70</v>
      </c>
      <c r="AH54" s="70" t="s">
        <v>70</v>
      </c>
      <c r="AI54" s="70" t="s">
        <v>70</v>
      </c>
      <c r="AJ54" s="60"/>
      <c r="AL54" t="str">
        <f t="shared" ca="1" si="0"/>
        <v xml:space="preserve">    (U1)ALERT_REQ_C_EPB_TT_PKB_</v>
      </c>
      <c r="AR54" s="72" t="str">
        <f t="shared" si="3"/>
        <v/>
      </c>
      <c r="AS54" s="72" t="str">
        <f t="shared" si="4"/>
        <v/>
      </c>
      <c r="AT54" s="72" t="str">
        <f t="shared" si="1"/>
        <v/>
      </c>
    </row>
    <row r="55" spans="2:46">
      <c r="B55" s="145"/>
      <c r="C55" s="56">
        <f t="shared" si="2"/>
        <v>49</v>
      </c>
      <c r="D55" s="70" t="s">
        <v>70</v>
      </c>
      <c r="E55" s="70" t="s">
        <v>70</v>
      </c>
      <c r="F55" s="70" t="s">
        <v>70</v>
      </c>
      <c r="G55" s="70" t="s">
        <v>70</v>
      </c>
      <c r="H55" s="70" t="s">
        <v>70</v>
      </c>
      <c r="I55" s="70" t="s">
        <v>70</v>
      </c>
      <c r="J55" s="70" t="s">
        <v>70</v>
      </c>
      <c r="K55" s="70" t="s">
        <v>70</v>
      </c>
      <c r="L55" s="70" t="s">
        <v>70</v>
      </c>
      <c r="M55" s="70" t="s">
        <v>70</v>
      </c>
      <c r="N55" s="70" t="s">
        <v>70</v>
      </c>
      <c r="O55" s="70" t="s">
        <v>70</v>
      </c>
      <c r="P55" s="70" t="s">
        <v>70</v>
      </c>
      <c r="Q55" s="70" t="s">
        <v>70</v>
      </c>
      <c r="R55" s="70" t="s">
        <v>70</v>
      </c>
      <c r="S55" s="70" t="s">
        <v>70</v>
      </c>
      <c r="T55" s="70" t="s">
        <v>70</v>
      </c>
      <c r="U55" s="70" t="s">
        <v>70</v>
      </c>
      <c r="V55" s="70" t="s">
        <v>70</v>
      </c>
      <c r="W55" s="70" t="s">
        <v>70</v>
      </c>
      <c r="X55" s="70" t="s">
        <v>70</v>
      </c>
      <c r="Y55" s="70" t="s">
        <v>70</v>
      </c>
      <c r="Z55" s="70" t="s">
        <v>70</v>
      </c>
      <c r="AA55" s="70" t="s">
        <v>70</v>
      </c>
      <c r="AB55" s="70" t="s">
        <v>70</v>
      </c>
      <c r="AC55" s="70" t="s">
        <v>70</v>
      </c>
      <c r="AD55" s="70" t="s">
        <v>70</v>
      </c>
      <c r="AE55" s="70" t="s">
        <v>70</v>
      </c>
      <c r="AF55" s="70" t="s">
        <v>70</v>
      </c>
      <c r="AG55" s="70" t="s">
        <v>70</v>
      </c>
      <c r="AH55" s="70" t="s">
        <v>70</v>
      </c>
      <c r="AI55" s="70" t="s">
        <v>70</v>
      </c>
      <c r="AJ55" s="60"/>
      <c r="AL55" t="str">
        <f t="shared" ca="1" si="0"/>
        <v xml:space="preserve">    (U1)ALERT_REQ_C_EPB_TT_PKB_</v>
      </c>
      <c r="AR55" s="72" t="str">
        <f t="shared" si="3"/>
        <v/>
      </c>
      <c r="AS55" s="72" t="str">
        <f t="shared" si="4"/>
        <v/>
      </c>
      <c r="AT55" s="72" t="str">
        <f t="shared" si="1"/>
        <v/>
      </c>
    </row>
    <row r="56" spans="2:46">
      <c r="B56" s="145"/>
      <c r="C56" s="56">
        <f t="shared" si="2"/>
        <v>50</v>
      </c>
      <c r="D56" s="70" t="s">
        <v>70</v>
      </c>
      <c r="E56" s="70" t="s">
        <v>70</v>
      </c>
      <c r="F56" s="70" t="s">
        <v>70</v>
      </c>
      <c r="G56" s="70" t="s">
        <v>70</v>
      </c>
      <c r="H56" s="70" t="s">
        <v>70</v>
      </c>
      <c r="I56" s="70" t="s">
        <v>70</v>
      </c>
      <c r="J56" s="70" t="s">
        <v>70</v>
      </c>
      <c r="K56" s="70" t="s">
        <v>70</v>
      </c>
      <c r="L56" s="70" t="s">
        <v>70</v>
      </c>
      <c r="M56" s="70" t="s">
        <v>70</v>
      </c>
      <c r="N56" s="70" t="s">
        <v>70</v>
      </c>
      <c r="O56" s="70" t="s">
        <v>70</v>
      </c>
      <c r="P56" s="70" t="s">
        <v>70</v>
      </c>
      <c r="Q56" s="70" t="s">
        <v>70</v>
      </c>
      <c r="R56" s="70" t="s">
        <v>70</v>
      </c>
      <c r="S56" s="70" t="s">
        <v>70</v>
      </c>
      <c r="T56" s="70" t="s">
        <v>70</v>
      </c>
      <c r="U56" s="70" t="s">
        <v>70</v>
      </c>
      <c r="V56" s="70" t="s">
        <v>70</v>
      </c>
      <c r="W56" s="70" t="s">
        <v>70</v>
      </c>
      <c r="X56" s="70" t="s">
        <v>70</v>
      </c>
      <c r="Y56" s="70" t="s">
        <v>70</v>
      </c>
      <c r="Z56" s="70" t="s">
        <v>70</v>
      </c>
      <c r="AA56" s="70" t="s">
        <v>70</v>
      </c>
      <c r="AB56" s="70" t="s">
        <v>70</v>
      </c>
      <c r="AC56" s="70" t="s">
        <v>70</v>
      </c>
      <c r="AD56" s="70" t="s">
        <v>70</v>
      </c>
      <c r="AE56" s="70" t="s">
        <v>70</v>
      </c>
      <c r="AF56" s="70" t="s">
        <v>70</v>
      </c>
      <c r="AG56" s="70" t="s">
        <v>70</v>
      </c>
      <c r="AH56" s="70" t="s">
        <v>70</v>
      </c>
      <c r="AI56" s="70" t="s">
        <v>70</v>
      </c>
      <c r="AJ56" s="60"/>
      <c r="AL56" t="str">
        <f t="shared" ca="1" si="0"/>
        <v xml:space="preserve">    (U1)ALERT_REQ_C_EPB_TT_PKB_</v>
      </c>
      <c r="AR56" s="72" t="str">
        <f t="shared" si="3"/>
        <v/>
      </c>
      <c r="AS56" s="72" t="str">
        <f t="shared" si="4"/>
        <v/>
      </c>
      <c r="AT56" s="72" t="str">
        <f t="shared" si="1"/>
        <v/>
      </c>
    </row>
    <row r="57" spans="2:46">
      <c r="B57" s="145"/>
      <c r="C57" s="56">
        <f t="shared" si="2"/>
        <v>51</v>
      </c>
      <c r="D57" s="70" t="s">
        <v>70</v>
      </c>
      <c r="E57" s="70" t="s">
        <v>70</v>
      </c>
      <c r="F57" s="70" t="s">
        <v>70</v>
      </c>
      <c r="G57" s="70" t="s">
        <v>70</v>
      </c>
      <c r="H57" s="70" t="s">
        <v>70</v>
      </c>
      <c r="I57" s="70" t="s">
        <v>70</v>
      </c>
      <c r="J57" s="70" t="s">
        <v>70</v>
      </c>
      <c r="K57" s="70" t="s">
        <v>70</v>
      </c>
      <c r="L57" s="70" t="s">
        <v>70</v>
      </c>
      <c r="M57" s="70" t="s">
        <v>70</v>
      </c>
      <c r="N57" s="70" t="s">
        <v>70</v>
      </c>
      <c r="O57" s="70" t="s">
        <v>70</v>
      </c>
      <c r="P57" s="70" t="s">
        <v>70</v>
      </c>
      <c r="Q57" s="70" t="s">
        <v>70</v>
      </c>
      <c r="R57" s="70" t="s">
        <v>70</v>
      </c>
      <c r="S57" s="70" t="s">
        <v>70</v>
      </c>
      <c r="T57" s="70" t="s">
        <v>70</v>
      </c>
      <c r="U57" s="70" t="s">
        <v>70</v>
      </c>
      <c r="V57" s="70" t="s">
        <v>70</v>
      </c>
      <c r="W57" s="70" t="s">
        <v>70</v>
      </c>
      <c r="X57" s="70" t="s">
        <v>70</v>
      </c>
      <c r="Y57" s="70" t="s">
        <v>70</v>
      </c>
      <c r="Z57" s="70" t="s">
        <v>70</v>
      </c>
      <c r="AA57" s="70" t="s">
        <v>70</v>
      </c>
      <c r="AB57" s="70" t="s">
        <v>70</v>
      </c>
      <c r="AC57" s="70" t="s">
        <v>70</v>
      </c>
      <c r="AD57" s="70" t="s">
        <v>70</v>
      </c>
      <c r="AE57" s="70" t="s">
        <v>70</v>
      </c>
      <c r="AF57" s="70" t="s">
        <v>70</v>
      </c>
      <c r="AG57" s="70" t="s">
        <v>70</v>
      </c>
      <c r="AH57" s="70" t="s">
        <v>70</v>
      </c>
      <c r="AI57" s="70" t="s">
        <v>70</v>
      </c>
      <c r="AJ57" s="60"/>
      <c r="AL57" t="str">
        <f t="shared" ca="1" si="0"/>
        <v xml:space="preserve">    (U1)ALERT_REQ_C_EPB_TT_PKB_</v>
      </c>
      <c r="AR57" s="72" t="str">
        <f t="shared" si="3"/>
        <v/>
      </c>
      <c r="AS57" s="72" t="str">
        <f t="shared" si="4"/>
        <v/>
      </c>
      <c r="AT57" s="72" t="str">
        <f t="shared" si="1"/>
        <v/>
      </c>
    </row>
    <row r="58" spans="2:46">
      <c r="B58" s="145"/>
      <c r="C58" s="56">
        <f t="shared" si="2"/>
        <v>52</v>
      </c>
      <c r="D58" s="70" t="s">
        <v>70</v>
      </c>
      <c r="E58" s="70" t="s">
        <v>70</v>
      </c>
      <c r="F58" s="70" t="s">
        <v>70</v>
      </c>
      <c r="G58" s="70" t="s">
        <v>70</v>
      </c>
      <c r="H58" s="70" t="s">
        <v>70</v>
      </c>
      <c r="I58" s="70" t="s">
        <v>70</v>
      </c>
      <c r="J58" s="70" t="s">
        <v>70</v>
      </c>
      <c r="K58" s="70" t="s">
        <v>70</v>
      </c>
      <c r="L58" s="70" t="s">
        <v>70</v>
      </c>
      <c r="M58" s="70" t="s">
        <v>70</v>
      </c>
      <c r="N58" s="70" t="s">
        <v>70</v>
      </c>
      <c r="O58" s="70" t="s">
        <v>70</v>
      </c>
      <c r="P58" s="70" t="s">
        <v>70</v>
      </c>
      <c r="Q58" s="70" t="s">
        <v>70</v>
      </c>
      <c r="R58" s="70" t="s">
        <v>70</v>
      </c>
      <c r="S58" s="70" t="s">
        <v>70</v>
      </c>
      <c r="T58" s="70" t="s">
        <v>70</v>
      </c>
      <c r="U58" s="70" t="s">
        <v>70</v>
      </c>
      <c r="V58" s="70" t="s">
        <v>70</v>
      </c>
      <c r="W58" s="70" t="s">
        <v>70</v>
      </c>
      <c r="X58" s="70" t="s">
        <v>70</v>
      </c>
      <c r="Y58" s="70" t="s">
        <v>70</v>
      </c>
      <c r="Z58" s="70" t="s">
        <v>70</v>
      </c>
      <c r="AA58" s="70" t="s">
        <v>70</v>
      </c>
      <c r="AB58" s="70" t="s">
        <v>70</v>
      </c>
      <c r="AC58" s="70" t="s">
        <v>70</v>
      </c>
      <c r="AD58" s="70" t="s">
        <v>70</v>
      </c>
      <c r="AE58" s="70" t="s">
        <v>70</v>
      </c>
      <c r="AF58" s="70" t="s">
        <v>70</v>
      </c>
      <c r="AG58" s="70" t="s">
        <v>70</v>
      </c>
      <c r="AH58" s="70" t="s">
        <v>70</v>
      </c>
      <c r="AI58" s="70" t="s">
        <v>70</v>
      </c>
      <c r="AJ58" s="60"/>
      <c r="AL58" t="str">
        <f t="shared" ca="1" si="0"/>
        <v xml:space="preserve">    (U1)ALERT_REQ_C_EPB_TT_PKB_</v>
      </c>
      <c r="AR58" s="72" t="str">
        <f t="shared" si="3"/>
        <v/>
      </c>
      <c r="AS58" s="72" t="str">
        <f t="shared" si="4"/>
        <v/>
      </c>
      <c r="AT58" s="72" t="str">
        <f t="shared" si="1"/>
        <v/>
      </c>
    </row>
    <row r="59" spans="2:46">
      <c r="B59" s="145"/>
      <c r="C59" s="56">
        <f t="shared" si="2"/>
        <v>53</v>
      </c>
      <c r="D59" s="70" t="s">
        <v>70</v>
      </c>
      <c r="E59" s="70" t="s">
        <v>70</v>
      </c>
      <c r="F59" s="70" t="s">
        <v>70</v>
      </c>
      <c r="G59" s="70" t="s">
        <v>70</v>
      </c>
      <c r="H59" s="70" t="s">
        <v>70</v>
      </c>
      <c r="I59" s="70" t="s">
        <v>70</v>
      </c>
      <c r="J59" s="70" t="s">
        <v>70</v>
      </c>
      <c r="K59" s="70" t="s">
        <v>70</v>
      </c>
      <c r="L59" s="70" t="s">
        <v>70</v>
      </c>
      <c r="M59" s="70" t="s">
        <v>70</v>
      </c>
      <c r="N59" s="70" t="s">
        <v>70</v>
      </c>
      <c r="O59" s="70" t="s">
        <v>70</v>
      </c>
      <c r="P59" s="70" t="s">
        <v>70</v>
      </c>
      <c r="Q59" s="70" t="s">
        <v>70</v>
      </c>
      <c r="R59" s="70" t="s">
        <v>70</v>
      </c>
      <c r="S59" s="70" t="s">
        <v>70</v>
      </c>
      <c r="T59" s="70" t="s">
        <v>70</v>
      </c>
      <c r="U59" s="70" t="s">
        <v>70</v>
      </c>
      <c r="V59" s="70" t="s">
        <v>70</v>
      </c>
      <c r="W59" s="70" t="s">
        <v>70</v>
      </c>
      <c r="X59" s="70" t="s">
        <v>70</v>
      </c>
      <c r="Y59" s="70" t="s">
        <v>70</v>
      </c>
      <c r="Z59" s="70" t="s">
        <v>70</v>
      </c>
      <c r="AA59" s="70" t="s">
        <v>70</v>
      </c>
      <c r="AB59" s="70" t="s">
        <v>70</v>
      </c>
      <c r="AC59" s="70" t="s">
        <v>70</v>
      </c>
      <c r="AD59" s="70" t="s">
        <v>70</v>
      </c>
      <c r="AE59" s="70" t="s">
        <v>70</v>
      </c>
      <c r="AF59" s="70" t="s">
        <v>70</v>
      </c>
      <c r="AG59" s="70" t="s">
        <v>70</v>
      </c>
      <c r="AH59" s="70" t="s">
        <v>70</v>
      </c>
      <c r="AI59" s="70" t="s">
        <v>70</v>
      </c>
      <c r="AJ59" s="60"/>
      <c r="AL59" t="str">
        <f t="shared" ca="1" si="0"/>
        <v xml:space="preserve">    (U1)ALERT_REQ_C_EPB_TT_PKB_</v>
      </c>
      <c r="AR59" s="72" t="str">
        <f t="shared" si="3"/>
        <v/>
      </c>
      <c r="AS59" s="72" t="str">
        <f t="shared" si="4"/>
        <v/>
      </c>
      <c r="AT59" s="72" t="str">
        <f t="shared" si="1"/>
        <v/>
      </c>
    </row>
    <row r="60" spans="2:46">
      <c r="B60" s="145"/>
      <c r="C60" s="56">
        <f t="shared" si="2"/>
        <v>54</v>
      </c>
      <c r="D60" s="70" t="s">
        <v>70</v>
      </c>
      <c r="E60" s="70" t="s">
        <v>70</v>
      </c>
      <c r="F60" s="70" t="s">
        <v>70</v>
      </c>
      <c r="G60" s="70" t="s">
        <v>70</v>
      </c>
      <c r="H60" s="70" t="s">
        <v>70</v>
      </c>
      <c r="I60" s="70" t="s">
        <v>70</v>
      </c>
      <c r="J60" s="70" t="s">
        <v>70</v>
      </c>
      <c r="K60" s="70" t="s">
        <v>70</v>
      </c>
      <c r="L60" s="70" t="s">
        <v>70</v>
      </c>
      <c r="M60" s="70" t="s">
        <v>70</v>
      </c>
      <c r="N60" s="70" t="s">
        <v>70</v>
      </c>
      <c r="O60" s="70" t="s">
        <v>70</v>
      </c>
      <c r="P60" s="70" t="s">
        <v>70</v>
      </c>
      <c r="Q60" s="70" t="s">
        <v>70</v>
      </c>
      <c r="R60" s="70" t="s">
        <v>70</v>
      </c>
      <c r="S60" s="70" t="s">
        <v>70</v>
      </c>
      <c r="T60" s="70" t="s">
        <v>70</v>
      </c>
      <c r="U60" s="70" t="s">
        <v>70</v>
      </c>
      <c r="V60" s="70" t="s">
        <v>70</v>
      </c>
      <c r="W60" s="70" t="s">
        <v>70</v>
      </c>
      <c r="X60" s="70" t="s">
        <v>70</v>
      </c>
      <c r="Y60" s="70" t="s">
        <v>70</v>
      </c>
      <c r="Z60" s="70" t="s">
        <v>70</v>
      </c>
      <c r="AA60" s="70" t="s">
        <v>70</v>
      </c>
      <c r="AB60" s="70" t="s">
        <v>70</v>
      </c>
      <c r="AC60" s="70" t="s">
        <v>70</v>
      </c>
      <c r="AD60" s="70" t="s">
        <v>70</v>
      </c>
      <c r="AE60" s="70" t="s">
        <v>70</v>
      </c>
      <c r="AF60" s="70" t="s">
        <v>70</v>
      </c>
      <c r="AG60" s="70" t="s">
        <v>70</v>
      </c>
      <c r="AH60" s="70" t="s">
        <v>70</v>
      </c>
      <c r="AI60" s="70" t="s">
        <v>70</v>
      </c>
      <c r="AJ60" s="60"/>
      <c r="AL60" t="str">
        <f t="shared" ca="1" si="0"/>
        <v xml:space="preserve">    (U1)ALERT_REQ_C_EPB_TT_PKB_</v>
      </c>
      <c r="AR60" s="72" t="str">
        <f t="shared" si="3"/>
        <v/>
      </c>
      <c r="AS60" s="72" t="str">
        <f t="shared" si="4"/>
        <v/>
      </c>
      <c r="AT60" s="72" t="str">
        <f t="shared" si="1"/>
        <v/>
      </c>
    </row>
    <row r="61" spans="2:46">
      <c r="B61" s="145"/>
      <c r="C61" s="56">
        <f t="shared" si="2"/>
        <v>55</v>
      </c>
      <c r="D61" s="70" t="s">
        <v>70</v>
      </c>
      <c r="E61" s="70" t="s">
        <v>70</v>
      </c>
      <c r="F61" s="70" t="s">
        <v>70</v>
      </c>
      <c r="G61" s="70" t="s">
        <v>70</v>
      </c>
      <c r="H61" s="70" t="s">
        <v>70</v>
      </c>
      <c r="I61" s="70" t="s">
        <v>70</v>
      </c>
      <c r="J61" s="70" t="s">
        <v>70</v>
      </c>
      <c r="K61" s="70" t="s">
        <v>70</v>
      </c>
      <c r="L61" s="70" t="s">
        <v>70</v>
      </c>
      <c r="M61" s="70" t="s">
        <v>70</v>
      </c>
      <c r="N61" s="70" t="s">
        <v>70</v>
      </c>
      <c r="O61" s="70" t="s">
        <v>70</v>
      </c>
      <c r="P61" s="70" t="s">
        <v>70</v>
      </c>
      <c r="Q61" s="70" t="s">
        <v>70</v>
      </c>
      <c r="R61" s="70" t="s">
        <v>70</v>
      </c>
      <c r="S61" s="70" t="s">
        <v>70</v>
      </c>
      <c r="T61" s="70" t="s">
        <v>70</v>
      </c>
      <c r="U61" s="70" t="s">
        <v>70</v>
      </c>
      <c r="V61" s="70" t="s">
        <v>70</v>
      </c>
      <c r="W61" s="70" t="s">
        <v>70</v>
      </c>
      <c r="X61" s="70" t="s">
        <v>70</v>
      </c>
      <c r="Y61" s="70" t="s">
        <v>70</v>
      </c>
      <c r="Z61" s="70" t="s">
        <v>70</v>
      </c>
      <c r="AA61" s="70" t="s">
        <v>70</v>
      </c>
      <c r="AB61" s="70" t="s">
        <v>70</v>
      </c>
      <c r="AC61" s="70" t="s">
        <v>70</v>
      </c>
      <c r="AD61" s="70" t="s">
        <v>70</v>
      </c>
      <c r="AE61" s="70" t="s">
        <v>70</v>
      </c>
      <c r="AF61" s="70" t="s">
        <v>70</v>
      </c>
      <c r="AG61" s="70" t="s">
        <v>70</v>
      </c>
      <c r="AH61" s="70" t="s">
        <v>70</v>
      </c>
      <c r="AI61" s="70" t="s">
        <v>70</v>
      </c>
      <c r="AJ61" s="60"/>
      <c r="AL61" t="str">
        <f t="shared" ca="1" si="0"/>
        <v xml:space="preserve">    (U1)ALERT_REQ_C_EPB_TT_PKB_</v>
      </c>
      <c r="AR61" s="72" t="str">
        <f t="shared" si="3"/>
        <v/>
      </c>
      <c r="AS61" s="72" t="str">
        <f t="shared" si="4"/>
        <v/>
      </c>
      <c r="AT61" s="72" t="str">
        <f t="shared" si="1"/>
        <v/>
      </c>
    </row>
    <row r="62" spans="2:46">
      <c r="B62" s="145"/>
      <c r="C62" s="56">
        <f t="shared" si="2"/>
        <v>56</v>
      </c>
      <c r="D62" s="70" t="s">
        <v>70</v>
      </c>
      <c r="E62" s="70" t="s">
        <v>70</v>
      </c>
      <c r="F62" s="70" t="s">
        <v>70</v>
      </c>
      <c r="G62" s="70" t="s">
        <v>70</v>
      </c>
      <c r="H62" s="70" t="s">
        <v>70</v>
      </c>
      <c r="I62" s="70" t="s">
        <v>70</v>
      </c>
      <c r="J62" s="70" t="s">
        <v>70</v>
      </c>
      <c r="K62" s="70" t="s">
        <v>70</v>
      </c>
      <c r="L62" s="70" t="s">
        <v>70</v>
      </c>
      <c r="M62" s="70" t="s">
        <v>70</v>
      </c>
      <c r="N62" s="70" t="s">
        <v>70</v>
      </c>
      <c r="O62" s="70" t="s">
        <v>70</v>
      </c>
      <c r="P62" s="70" t="s">
        <v>70</v>
      </c>
      <c r="Q62" s="70" t="s">
        <v>70</v>
      </c>
      <c r="R62" s="70" t="s">
        <v>70</v>
      </c>
      <c r="S62" s="70" t="s">
        <v>70</v>
      </c>
      <c r="T62" s="70" t="s">
        <v>70</v>
      </c>
      <c r="U62" s="70" t="s">
        <v>70</v>
      </c>
      <c r="V62" s="70" t="s">
        <v>70</v>
      </c>
      <c r="W62" s="70" t="s">
        <v>70</v>
      </c>
      <c r="X62" s="70" t="s">
        <v>70</v>
      </c>
      <c r="Y62" s="70" t="s">
        <v>70</v>
      </c>
      <c r="Z62" s="70" t="s">
        <v>70</v>
      </c>
      <c r="AA62" s="70" t="s">
        <v>70</v>
      </c>
      <c r="AB62" s="70" t="s">
        <v>70</v>
      </c>
      <c r="AC62" s="70" t="s">
        <v>70</v>
      </c>
      <c r="AD62" s="70" t="s">
        <v>70</v>
      </c>
      <c r="AE62" s="70" t="s">
        <v>70</v>
      </c>
      <c r="AF62" s="70" t="s">
        <v>70</v>
      </c>
      <c r="AG62" s="70" t="s">
        <v>70</v>
      </c>
      <c r="AH62" s="70" t="s">
        <v>70</v>
      </c>
      <c r="AI62" s="70" t="s">
        <v>70</v>
      </c>
      <c r="AJ62" s="60"/>
      <c r="AL62" t="str">
        <f t="shared" ca="1" si="0"/>
        <v xml:space="preserve">    (U1)ALERT_REQ_C_EPB_TT_PKB_</v>
      </c>
      <c r="AR62" s="72" t="str">
        <f t="shared" si="3"/>
        <v/>
      </c>
      <c r="AS62" s="72" t="str">
        <f t="shared" si="4"/>
        <v/>
      </c>
      <c r="AT62" s="72" t="str">
        <f t="shared" si="1"/>
        <v/>
      </c>
    </row>
    <row r="63" spans="2:46">
      <c r="B63" s="145"/>
      <c r="C63" s="56">
        <f t="shared" si="2"/>
        <v>57</v>
      </c>
      <c r="D63" s="70" t="s">
        <v>70</v>
      </c>
      <c r="E63" s="70" t="s">
        <v>70</v>
      </c>
      <c r="F63" s="70" t="s">
        <v>70</v>
      </c>
      <c r="G63" s="70" t="s">
        <v>70</v>
      </c>
      <c r="H63" s="70" t="s">
        <v>70</v>
      </c>
      <c r="I63" s="70" t="s">
        <v>70</v>
      </c>
      <c r="J63" s="70" t="s">
        <v>70</v>
      </c>
      <c r="K63" s="70" t="s">
        <v>70</v>
      </c>
      <c r="L63" s="70" t="s">
        <v>70</v>
      </c>
      <c r="M63" s="70" t="s">
        <v>70</v>
      </c>
      <c r="N63" s="70" t="s">
        <v>70</v>
      </c>
      <c r="O63" s="70" t="s">
        <v>70</v>
      </c>
      <c r="P63" s="70" t="s">
        <v>70</v>
      </c>
      <c r="Q63" s="70" t="s">
        <v>70</v>
      </c>
      <c r="R63" s="70" t="s">
        <v>70</v>
      </c>
      <c r="S63" s="70" t="s">
        <v>70</v>
      </c>
      <c r="T63" s="70" t="s">
        <v>70</v>
      </c>
      <c r="U63" s="70" t="s">
        <v>70</v>
      </c>
      <c r="V63" s="70" t="s">
        <v>70</v>
      </c>
      <c r="W63" s="70" t="s">
        <v>70</v>
      </c>
      <c r="X63" s="70" t="s">
        <v>70</v>
      </c>
      <c r="Y63" s="70" t="s">
        <v>70</v>
      </c>
      <c r="Z63" s="70" t="s">
        <v>70</v>
      </c>
      <c r="AA63" s="70" t="s">
        <v>70</v>
      </c>
      <c r="AB63" s="70" t="s">
        <v>70</v>
      </c>
      <c r="AC63" s="70" t="s">
        <v>70</v>
      </c>
      <c r="AD63" s="70" t="s">
        <v>70</v>
      </c>
      <c r="AE63" s="70" t="s">
        <v>70</v>
      </c>
      <c r="AF63" s="70" t="s">
        <v>70</v>
      </c>
      <c r="AG63" s="70" t="s">
        <v>70</v>
      </c>
      <c r="AH63" s="70" t="s">
        <v>70</v>
      </c>
      <c r="AI63" s="70" t="s">
        <v>70</v>
      </c>
      <c r="AJ63" s="60"/>
      <c r="AL63" t="str">
        <f t="shared" ca="1" si="0"/>
        <v xml:space="preserve">    (U1)ALERT_REQ_C_EPB_TT_PKB_</v>
      </c>
      <c r="AR63" s="72" t="str">
        <f t="shared" si="3"/>
        <v/>
      </c>
      <c r="AS63" s="72" t="str">
        <f t="shared" si="4"/>
        <v/>
      </c>
      <c r="AT63" s="72" t="str">
        <f t="shared" si="1"/>
        <v/>
      </c>
    </row>
    <row r="64" spans="2:46">
      <c r="B64" s="145"/>
      <c r="C64" s="56">
        <f t="shared" si="2"/>
        <v>58</v>
      </c>
      <c r="D64" s="70" t="s">
        <v>70</v>
      </c>
      <c r="E64" s="70" t="s">
        <v>70</v>
      </c>
      <c r="F64" s="70" t="s">
        <v>70</v>
      </c>
      <c r="G64" s="70" t="s">
        <v>70</v>
      </c>
      <c r="H64" s="70" t="s">
        <v>70</v>
      </c>
      <c r="I64" s="70" t="s">
        <v>70</v>
      </c>
      <c r="J64" s="70" t="s">
        <v>70</v>
      </c>
      <c r="K64" s="70" t="s">
        <v>70</v>
      </c>
      <c r="L64" s="70" t="s">
        <v>70</v>
      </c>
      <c r="M64" s="70" t="s">
        <v>70</v>
      </c>
      <c r="N64" s="70" t="s">
        <v>70</v>
      </c>
      <c r="O64" s="70" t="s">
        <v>70</v>
      </c>
      <c r="P64" s="70" t="s">
        <v>70</v>
      </c>
      <c r="Q64" s="70" t="s">
        <v>70</v>
      </c>
      <c r="R64" s="70" t="s">
        <v>70</v>
      </c>
      <c r="S64" s="70" t="s">
        <v>70</v>
      </c>
      <c r="T64" s="70" t="s">
        <v>70</v>
      </c>
      <c r="U64" s="70" t="s">
        <v>70</v>
      </c>
      <c r="V64" s="70" t="s">
        <v>70</v>
      </c>
      <c r="W64" s="70" t="s">
        <v>70</v>
      </c>
      <c r="X64" s="70" t="s">
        <v>70</v>
      </c>
      <c r="Y64" s="70" t="s">
        <v>70</v>
      </c>
      <c r="Z64" s="70" t="s">
        <v>70</v>
      </c>
      <c r="AA64" s="70" t="s">
        <v>70</v>
      </c>
      <c r="AB64" s="70" t="s">
        <v>70</v>
      </c>
      <c r="AC64" s="70" t="s">
        <v>70</v>
      </c>
      <c r="AD64" s="70" t="s">
        <v>70</v>
      </c>
      <c r="AE64" s="70" t="s">
        <v>70</v>
      </c>
      <c r="AF64" s="70" t="s">
        <v>70</v>
      </c>
      <c r="AG64" s="70" t="s">
        <v>70</v>
      </c>
      <c r="AH64" s="70" t="s">
        <v>70</v>
      </c>
      <c r="AI64" s="70" t="s">
        <v>70</v>
      </c>
      <c r="AJ64" s="60"/>
      <c r="AL64" t="str">
        <f t="shared" ca="1" si="0"/>
        <v xml:space="preserve">    (U1)ALERT_REQ_C_EPB_TT_PKB_</v>
      </c>
      <c r="AR64" s="72" t="str">
        <f t="shared" si="3"/>
        <v/>
      </c>
      <c r="AS64" s="72" t="str">
        <f t="shared" si="4"/>
        <v/>
      </c>
      <c r="AT64" s="72" t="str">
        <f t="shared" si="1"/>
        <v/>
      </c>
    </row>
    <row r="65" spans="1:46">
      <c r="B65" s="145"/>
      <c r="C65" s="56">
        <f t="shared" si="2"/>
        <v>59</v>
      </c>
      <c r="D65" s="70" t="s">
        <v>70</v>
      </c>
      <c r="E65" s="70" t="s">
        <v>70</v>
      </c>
      <c r="F65" s="70" t="s">
        <v>70</v>
      </c>
      <c r="G65" s="70" t="s">
        <v>70</v>
      </c>
      <c r="H65" s="70" t="s">
        <v>70</v>
      </c>
      <c r="I65" s="70" t="s">
        <v>70</v>
      </c>
      <c r="J65" s="70" t="s">
        <v>70</v>
      </c>
      <c r="K65" s="70" t="s">
        <v>70</v>
      </c>
      <c r="L65" s="70" t="s">
        <v>70</v>
      </c>
      <c r="M65" s="70" t="s">
        <v>70</v>
      </c>
      <c r="N65" s="70" t="s">
        <v>70</v>
      </c>
      <c r="O65" s="70" t="s">
        <v>70</v>
      </c>
      <c r="P65" s="70" t="s">
        <v>70</v>
      </c>
      <c r="Q65" s="70" t="s">
        <v>70</v>
      </c>
      <c r="R65" s="70" t="s">
        <v>70</v>
      </c>
      <c r="S65" s="70" t="s">
        <v>70</v>
      </c>
      <c r="T65" s="70" t="s">
        <v>70</v>
      </c>
      <c r="U65" s="70" t="s">
        <v>70</v>
      </c>
      <c r="V65" s="70" t="s">
        <v>70</v>
      </c>
      <c r="W65" s="70" t="s">
        <v>70</v>
      </c>
      <c r="X65" s="70" t="s">
        <v>70</v>
      </c>
      <c r="Y65" s="70" t="s">
        <v>70</v>
      </c>
      <c r="Z65" s="70" t="s">
        <v>70</v>
      </c>
      <c r="AA65" s="70" t="s">
        <v>70</v>
      </c>
      <c r="AB65" s="70" t="s">
        <v>70</v>
      </c>
      <c r="AC65" s="70" t="s">
        <v>70</v>
      </c>
      <c r="AD65" s="70" t="s">
        <v>70</v>
      </c>
      <c r="AE65" s="70" t="s">
        <v>70</v>
      </c>
      <c r="AF65" s="70" t="s">
        <v>70</v>
      </c>
      <c r="AG65" s="70" t="s">
        <v>70</v>
      </c>
      <c r="AH65" s="70" t="s">
        <v>70</v>
      </c>
      <c r="AI65" s="70" t="s">
        <v>70</v>
      </c>
      <c r="AJ65" s="60"/>
      <c r="AL65" t="str">
        <f t="shared" ca="1" si="0"/>
        <v xml:space="preserve">    (U1)ALERT_REQ_C_EPB_TT_PKB_</v>
      </c>
      <c r="AR65" s="72" t="str">
        <f t="shared" si="3"/>
        <v/>
      </c>
      <c r="AS65" s="72" t="str">
        <f t="shared" si="4"/>
        <v/>
      </c>
      <c r="AT65" s="72" t="str">
        <f t="shared" si="1"/>
        <v/>
      </c>
    </row>
    <row r="66" spans="1:46">
      <c r="B66" s="145"/>
      <c r="C66" s="56">
        <f t="shared" si="2"/>
        <v>60</v>
      </c>
      <c r="D66" s="70" t="s">
        <v>70</v>
      </c>
      <c r="E66" s="70" t="s">
        <v>70</v>
      </c>
      <c r="F66" s="70" t="s">
        <v>70</v>
      </c>
      <c r="G66" s="70" t="s">
        <v>70</v>
      </c>
      <c r="H66" s="70" t="s">
        <v>70</v>
      </c>
      <c r="I66" s="70" t="s">
        <v>70</v>
      </c>
      <c r="J66" s="70" t="s">
        <v>70</v>
      </c>
      <c r="K66" s="70" t="s">
        <v>70</v>
      </c>
      <c r="L66" s="70" t="s">
        <v>70</v>
      </c>
      <c r="M66" s="70" t="s">
        <v>70</v>
      </c>
      <c r="N66" s="70" t="s">
        <v>70</v>
      </c>
      <c r="O66" s="70" t="s">
        <v>70</v>
      </c>
      <c r="P66" s="70" t="s">
        <v>70</v>
      </c>
      <c r="Q66" s="70" t="s">
        <v>70</v>
      </c>
      <c r="R66" s="70" t="s">
        <v>70</v>
      </c>
      <c r="S66" s="70" t="s">
        <v>70</v>
      </c>
      <c r="T66" s="70" t="s">
        <v>70</v>
      </c>
      <c r="U66" s="70" t="s">
        <v>70</v>
      </c>
      <c r="V66" s="70" t="s">
        <v>70</v>
      </c>
      <c r="W66" s="70" t="s">
        <v>70</v>
      </c>
      <c r="X66" s="70" t="s">
        <v>70</v>
      </c>
      <c r="Y66" s="70" t="s">
        <v>70</v>
      </c>
      <c r="Z66" s="70" t="s">
        <v>70</v>
      </c>
      <c r="AA66" s="70" t="s">
        <v>70</v>
      </c>
      <c r="AB66" s="70" t="s">
        <v>70</v>
      </c>
      <c r="AC66" s="70" t="s">
        <v>70</v>
      </c>
      <c r="AD66" s="70" t="s">
        <v>70</v>
      </c>
      <c r="AE66" s="70" t="s">
        <v>70</v>
      </c>
      <c r="AF66" s="70" t="s">
        <v>70</v>
      </c>
      <c r="AG66" s="70" t="s">
        <v>70</v>
      </c>
      <c r="AH66" s="70" t="s">
        <v>70</v>
      </c>
      <c r="AI66" s="70" t="s">
        <v>70</v>
      </c>
      <c r="AJ66" s="60"/>
      <c r="AL66" t="str">
        <f t="shared" ca="1" si="0"/>
        <v xml:space="preserve">    (U1)ALERT_REQ_C_EPB_TT_PKB_</v>
      </c>
      <c r="AR66" s="72" t="str">
        <f t="shared" si="3"/>
        <v/>
      </c>
      <c r="AS66" s="72" t="str">
        <f t="shared" si="4"/>
        <v/>
      </c>
      <c r="AT66" s="72" t="str">
        <f t="shared" si="1"/>
        <v/>
      </c>
    </row>
    <row r="67" spans="1:46">
      <c r="B67" s="145"/>
      <c r="C67" s="56">
        <f t="shared" si="2"/>
        <v>61</v>
      </c>
      <c r="D67" s="70" t="s">
        <v>70</v>
      </c>
      <c r="E67" s="70" t="s">
        <v>70</v>
      </c>
      <c r="F67" s="70" t="s">
        <v>70</v>
      </c>
      <c r="G67" s="70" t="s">
        <v>70</v>
      </c>
      <c r="H67" s="70" t="s">
        <v>70</v>
      </c>
      <c r="I67" s="70" t="s">
        <v>70</v>
      </c>
      <c r="J67" s="70" t="s">
        <v>70</v>
      </c>
      <c r="K67" s="70" t="s">
        <v>70</v>
      </c>
      <c r="L67" s="70" t="s">
        <v>70</v>
      </c>
      <c r="M67" s="70" t="s">
        <v>70</v>
      </c>
      <c r="N67" s="70" t="s">
        <v>70</v>
      </c>
      <c r="O67" s="70" t="s">
        <v>70</v>
      </c>
      <c r="P67" s="70" t="s">
        <v>70</v>
      </c>
      <c r="Q67" s="70" t="s">
        <v>70</v>
      </c>
      <c r="R67" s="70" t="s">
        <v>70</v>
      </c>
      <c r="S67" s="70" t="s">
        <v>70</v>
      </c>
      <c r="T67" s="70" t="s">
        <v>70</v>
      </c>
      <c r="U67" s="70" t="s">
        <v>70</v>
      </c>
      <c r="V67" s="70" t="s">
        <v>70</v>
      </c>
      <c r="W67" s="70" t="s">
        <v>70</v>
      </c>
      <c r="X67" s="70" t="s">
        <v>70</v>
      </c>
      <c r="Y67" s="70" t="s">
        <v>70</v>
      </c>
      <c r="Z67" s="70" t="s">
        <v>70</v>
      </c>
      <c r="AA67" s="70" t="s">
        <v>70</v>
      </c>
      <c r="AB67" s="70" t="s">
        <v>70</v>
      </c>
      <c r="AC67" s="70" t="s">
        <v>70</v>
      </c>
      <c r="AD67" s="70" t="s">
        <v>70</v>
      </c>
      <c r="AE67" s="70" t="s">
        <v>70</v>
      </c>
      <c r="AF67" s="70" t="s">
        <v>70</v>
      </c>
      <c r="AG67" s="70" t="s">
        <v>70</v>
      </c>
      <c r="AH67" s="70" t="s">
        <v>70</v>
      </c>
      <c r="AI67" s="70" t="s">
        <v>70</v>
      </c>
      <c r="AJ67" s="60"/>
      <c r="AL67" t="str">
        <f t="shared" ca="1" si="0"/>
        <v xml:space="preserve">    (U1)ALERT_REQ_C_EPB_TT_PKB_</v>
      </c>
      <c r="AR67" s="72" t="str">
        <f t="shared" si="3"/>
        <v/>
      </c>
      <c r="AS67" s="72" t="str">
        <f t="shared" si="4"/>
        <v/>
      </c>
      <c r="AT67" s="72" t="str">
        <f t="shared" si="1"/>
        <v/>
      </c>
    </row>
    <row r="68" spans="1:46">
      <c r="B68" s="145"/>
      <c r="C68" s="56">
        <f t="shared" si="2"/>
        <v>62</v>
      </c>
      <c r="D68" s="70" t="s">
        <v>70</v>
      </c>
      <c r="E68" s="70" t="s">
        <v>70</v>
      </c>
      <c r="F68" s="70" t="s">
        <v>70</v>
      </c>
      <c r="G68" s="70" t="s">
        <v>70</v>
      </c>
      <c r="H68" s="70" t="s">
        <v>70</v>
      </c>
      <c r="I68" s="70" t="s">
        <v>70</v>
      </c>
      <c r="J68" s="70" t="s">
        <v>70</v>
      </c>
      <c r="K68" s="70" t="s">
        <v>70</v>
      </c>
      <c r="L68" s="70" t="s">
        <v>70</v>
      </c>
      <c r="M68" s="70" t="s">
        <v>70</v>
      </c>
      <c r="N68" s="70" t="s">
        <v>70</v>
      </c>
      <c r="O68" s="70" t="s">
        <v>70</v>
      </c>
      <c r="P68" s="70" t="s">
        <v>70</v>
      </c>
      <c r="Q68" s="70" t="s">
        <v>70</v>
      </c>
      <c r="R68" s="70" t="s">
        <v>70</v>
      </c>
      <c r="S68" s="70" t="s">
        <v>70</v>
      </c>
      <c r="T68" s="70" t="s">
        <v>70</v>
      </c>
      <c r="U68" s="70" t="s">
        <v>70</v>
      </c>
      <c r="V68" s="70" t="s">
        <v>70</v>
      </c>
      <c r="W68" s="70" t="s">
        <v>70</v>
      </c>
      <c r="X68" s="70" t="s">
        <v>70</v>
      </c>
      <c r="Y68" s="70" t="s">
        <v>70</v>
      </c>
      <c r="Z68" s="70" t="s">
        <v>70</v>
      </c>
      <c r="AA68" s="70" t="s">
        <v>70</v>
      </c>
      <c r="AB68" s="70" t="s">
        <v>70</v>
      </c>
      <c r="AC68" s="70" t="s">
        <v>70</v>
      </c>
      <c r="AD68" s="70" t="s">
        <v>70</v>
      </c>
      <c r="AE68" s="70" t="s">
        <v>70</v>
      </c>
      <c r="AF68" s="70" t="s">
        <v>70</v>
      </c>
      <c r="AG68" s="70" t="s">
        <v>70</v>
      </c>
      <c r="AH68" s="70" t="s">
        <v>70</v>
      </c>
      <c r="AI68" s="70" t="s">
        <v>70</v>
      </c>
      <c r="AJ68" s="60"/>
      <c r="AL68" t="str">
        <f t="shared" ca="1" si="0"/>
        <v xml:space="preserve">    (U1)ALERT_REQ_C_EPB_TT_PKB_</v>
      </c>
      <c r="AR68" s="72" t="str">
        <f t="shared" si="3"/>
        <v/>
      </c>
      <c r="AS68" s="72" t="str">
        <f t="shared" si="4"/>
        <v/>
      </c>
      <c r="AT68" s="72" t="str">
        <f t="shared" si="1"/>
        <v/>
      </c>
    </row>
    <row r="69" spans="1:46">
      <c r="B69" s="146"/>
      <c r="C69" s="56">
        <f t="shared" si="2"/>
        <v>63</v>
      </c>
      <c r="D69" s="70" t="s">
        <v>70</v>
      </c>
      <c r="E69" s="70" t="s">
        <v>70</v>
      </c>
      <c r="F69" s="70" t="s">
        <v>70</v>
      </c>
      <c r="G69" s="70" t="s">
        <v>70</v>
      </c>
      <c r="H69" s="70" t="s">
        <v>70</v>
      </c>
      <c r="I69" s="70" t="s">
        <v>70</v>
      </c>
      <c r="J69" s="70" t="s">
        <v>70</v>
      </c>
      <c r="K69" s="70" t="s">
        <v>70</v>
      </c>
      <c r="L69" s="70" t="s">
        <v>70</v>
      </c>
      <c r="M69" s="70" t="s">
        <v>70</v>
      </c>
      <c r="N69" s="70" t="s">
        <v>70</v>
      </c>
      <c r="O69" s="70" t="s">
        <v>70</v>
      </c>
      <c r="P69" s="70" t="s">
        <v>70</v>
      </c>
      <c r="Q69" s="70" t="s">
        <v>70</v>
      </c>
      <c r="R69" s="70" t="s">
        <v>70</v>
      </c>
      <c r="S69" s="70" t="s">
        <v>70</v>
      </c>
      <c r="T69" s="70" t="s">
        <v>70</v>
      </c>
      <c r="U69" s="70" t="s">
        <v>70</v>
      </c>
      <c r="V69" s="70" t="s">
        <v>70</v>
      </c>
      <c r="W69" s="70" t="s">
        <v>70</v>
      </c>
      <c r="X69" s="70" t="s">
        <v>70</v>
      </c>
      <c r="Y69" s="70" t="s">
        <v>70</v>
      </c>
      <c r="Z69" s="70" t="s">
        <v>70</v>
      </c>
      <c r="AA69" s="70" t="s">
        <v>70</v>
      </c>
      <c r="AB69" s="70" t="s">
        <v>70</v>
      </c>
      <c r="AC69" s="70" t="s">
        <v>70</v>
      </c>
      <c r="AD69" s="70" t="s">
        <v>70</v>
      </c>
      <c r="AE69" s="70" t="s">
        <v>70</v>
      </c>
      <c r="AF69" s="70" t="s">
        <v>70</v>
      </c>
      <c r="AG69" s="70" t="s">
        <v>70</v>
      </c>
      <c r="AH69" s="70" t="s">
        <v>70</v>
      </c>
      <c r="AI69" s="70" t="s">
        <v>70</v>
      </c>
      <c r="AJ69" s="60"/>
      <c r="AL69" t="str">
        <f t="shared" ca="1" si="0"/>
        <v xml:space="preserve">    (U1)ALERT_REQ_C_EPB_TT_PKB_</v>
      </c>
      <c r="AR69" s="72" t="str">
        <f t="shared" si="3"/>
        <v/>
      </c>
      <c r="AS69" s="72" t="str">
        <f t="shared" si="4"/>
        <v/>
      </c>
      <c r="AT69" s="72" t="str">
        <f t="shared" si="1"/>
        <v/>
      </c>
    </row>
    <row r="70" spans="1:46" ht="13.5" thickBot="1">
      <c r="A70" s="65" t="s">
        <v>67</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7" t="str">
        <f ca="1">IF(B6&lt;&gt;"",B6,"")</f>
        <v>Table TT_PKB</v>
      </c>
      <c r="C71" s="56">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6" t="str">
        <f t="shared" ref="AJ71:AJ134" si="7">IF(AJ6&lt;&gt;"",AJ6,"")</f>
        <v>UNKNOWN</v>
      </c>
      <c r="AK71" s="69"/>
      <c r="AL71" s="69"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5"/>
      <c r="C72" s="56">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6" t="str">
        <f t="shared" si="7"/>
        <v>UNKNOWN</v>
      </c>
      <c r="AK72" s="69"/>
      <c r="AL72" s="69"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UNKNOWN                                         */</v>
      </c>
    </row>
    <row r="73" spans="1:46">
      <c r="B73" s="145"/>
      <c r="C73" s="56">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6" t="str">
        <f t="shared" si="7"/>
        <v>UNKNOWN</v>
      </c>
      <c r="AK73" s="69"/>
      <c r="AL73" s="69" t="str">
        <f t="shared" si="10"/>
        <v>02</v>
      </c>
      <c r="AM73" s="71" t="str">
        <f t="shared" si="11"/>
        <v>00</v>
      </c>
      <c r="AN73" s="71" t="str">
        <f t="shared" si="12"/>
        <v>00</v>
      </c>
      <c r="AO73" s="71" t="str">
        <f t="shared" si="13"/>
        <v>00</v>
      </c>
      <c r="AQ73" t="str">
        <f t="shared" si="8"/>
        <v xml:space="preserve">    (U4)0x00000002U,                                                           /* 02 UNKNOWN                                         */</v>
      </c>
    </row>
    <row r="74" spans="1:46">
      <c r="B74" s="145"/>
      <c r="C74" s="56">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6" t="str">
        <f t="shared" si="7"/>
        <v>UNKNOWN</v>
      </c>
      <c r="AK74" s="69"/>
      <c r="AL74" s="69" t="str">
        <f t="shared" si="10"/>
        <v>03</v>
      </c>
      <c r="AM74" s="71" t="str">
        <f t="shared" si="11"/>
        <v>00</v>
      </c>
      <c r="AN74" s="71" t="str">
        <f t="shared" si="12"/>
        <v>00</v>
      </c>
      <c r="AO74" s="71" t="str">
        <f t="shared" si="13"/>
        <v>00</v>
      </c>
      <c r="AQ74" t="str">
        <f t="shared" si="8"/>
        <v xml:space="preserve">    (U4)0x00000003U,                                                           /* 03 UNKNOWN                                         */</v>
      </c>
    </row>
    <row r="75" spans="1:46">
      <c r="B75" s="145"/>
      <c r="C75" s="56">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0</v>
      </c>
      <c r="AI75" s="137">
        <f t="shared" si="6"/>
        <v>0</v>
      </c>
      <c r="AJ75" s="56" t="str">
        <f t="shared" si="7"/>
        <v>UNKNOWN</v>
      </c>
      <c r="AK75" s="69"/>
      <c r="AL75" s="69" t="str">
        <f t="shared" si="10"/>
        <v>04</v>
      </c>
      <c r="AM75" s="71" t="str">
        <f t="shared" si="11"/>
        <v>00</v>
      </c>
      <c r="AN75" s="71" t="str">
        <f t="shared" si="12"/>
        <v>00</v>
      </c>
      <c r="AO75" s="71" t="str">
        <f t="shared" si="13"/>
        <v>00</v>
      </c>
      <c r="AQ75" t="str">
        <f t="shared" si="8"/>
        <v xml:space="preserve">    (U4)0x00000004U,                                                           /* 04 UNKNOWN                                         */</v>
      </c>
    </row>
    <row r="76" spans="1:46">
      <c r="B76" s="145"/>
      <c r="C76" s="56">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0</v>
      </c>
      <c r="AI76" s="137">
        <f t="shared" si="6"/>
        <v>1</v>
      </c>
      <c r="AJ76" s="56" t="str">
        <f t="shared" si="7"/>
        <v>UNKNOWN</v>
      </c>
      <c r="AK76" s="69"/>
      <c r="AL76" s="69" t="str">
        <f t="shared" si="10"/>
        <v>05</v>
      </c>
      <c r="AM76" s="71" t="str">
        <f t="shared" si="11"/>
        <v>00</v>
      </c>
      <c r="AN76" s="71" t="str">
        <f t="shared" si="12"/>
        <v>00</v>
      </c>
      <c r="AO76" s="71" t="str">
        <f t="shared" si="13"/>
        <v>00</v>
      </c>
      <c r="AQ76" t="str">
        <f t="shared" si="8"/>
        <v xml:space="preserve">    (U4)0x00000005U,                                                           /* 05 UNKNOWN                                         */</v>
      </c>
    </row>
    <row r="77" spans="1:46">
      <c r="B77" s="145"/>
      <c r="C77" s="56">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1</v>
      </c>
      <c r="AH77" s="137">
        <f t="shared" si="6"/>
        <v>1</v>
      </c>
      <c r="AI77" s="137">
        <f t="shared" si="6"/>
        <v>0</v>
      </c>
      <c r="AJ77" s="56" t="str">
        <f t="shared" si="7"/>
        <v>UNKNOWN</v>
      </c>
      <c r="AK77" s="69"/>
      <c r="AL77" s="69" t="str">
        <f t="shared" si="10"/>
        <v>06</v>
      </c>
      <c r="AM77" s="71" t="str">
        <f t="shared" si="11"/>
        <v>00</v>
      </c>
      <c r="AN77" s="71" t="str">
        <f t="shared" si="12"/>
        <v>00</v>
      </c>
      <c r="AO77" s="71" t="str">
        <f t="shared" si="13"/>
        <v>00</v>
      </c>
      <c r="AQ77" t="str">
        <f t="shared" si="8"/>
        <v xml:space="preserve">    (U4)0x00000006U,                                                           /* 06 UNKNOWN                                         */</v>
      </c>
    </row>
    <row r="78" spans="1:46">
      <c r="B78" s="145"/>
      <c r="C78" s="56">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1</v>
      </c>
      <c r="AH78" s="137">
        <f t="shared" si="6"/>
        <v>1</v>
      </c>
      <c r="AI78" s="137">
        <f t="shared" ref="AI78" si="14">IF(AI13=1,1,0)</f>
        <v>1</v>
      </c>
      <c r="AJ78" s="56" t="str">
        <f t="shared" si="7"/>
        <v>UNKNOWN</v>
      </c>
      <c r="AK78" s="69"/>
      <c r="AL78" s="69" t="str">
        <f t="shared" si="10"/>
        <v>07</v>
      </c>
      <c r="AM78" s="71" t="str">
        <f t="shared" si="11"/>
        <v>00</v>
      </c>
      <c r="AN78" s="71" t="str">
        <f t="shared" si="12"/>
        <v>00</v>
      </c>
      <c r="AO78" s="71" t="str">
        <f t="shared" si="13"/>
        <v>00</v>
      </c>
      <c r="AQ78" t="str">
        <f t="shared" si="8"/>
        <v xml:space="preserve">    (U4)0x00000007U,                                                           /* 07 UNKNOWN                                         */</v>
      </c>
    </row>
    <row r="79" spans="1:46">
      <c r="B79" s="145"/>
      <c r="C79" s="56">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1</v>
      </c>
      <c r="AG79" s="137">
        <f t="shared" si="15"/>
        <v>0</v>
      </c>
      <c r="AH79" s="137">
        <f t="shared" si="15"/>
        <v>0</v>
      </c>
      <c r="AI79" s="137">
        <f t="shared" si="15"/>
        <v>0</v>
      </c>
      <c r="AJ79" s="56" t="str">
        <f t="shared" si="7"/>
        <v>UNKNOWN</v>
      </c>
      <c r="AK79" s="69"/>
      <c r="AL79" s="69" t="str">
        <f t="shared" si="10"/>
        <v>08</v>
      </c>
      <c r="AM79" s="71" t="str">
        <f t="shared" si="11"/>
        <v>00</v>
      </c>
      <c r="AN79" s="71" t="str">
        <f t="shared" si="12"/>
        <v>00</v>
      </c>
      <c r="AO79" s="71" t="str">
        <f t="shared" si="13"/>
        <v>00</v>
      </c>
      <c r="AQ79" t="str">
        <f t="shared" si="8"/>
        <v xml:space="preserve">    (U4)0x00000008U,                                                           /* 08 UNKNOWN                                         */</v>
      </c>
    </row>
    <row r="80" spans="1:46">
      <c r="B80" s="145"/>
      <c r="C80" s="56">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1</v>
      </c>
      <c r="AG80" s="137">
        <f t="shared" si="15"/>
        <v>0</v>
      </c>
      <c r="AH80" s="137">
        <f t="shared" si="15"/>
        <v>0</v>
      </c>
      <c r="AI80" s="137">
        <f t="shared" si="15"/>
        <v>1</v>
      </c>
      <c r="AJ80" s="56" t="str">
        <f t="shared" si="7"/>
        <v>UNKNOWN</v>
      </c>
      <c r="AK80" s="69"/>
      <c r="AL80" s="69" t="str">
        <f t="shared" si="10"/>
        <v>09</v>
      </c>
      <c r="AM80" s="71" t="str">
        <f t="shared" si="11"/>
        <v>00</v>
      </c>
      <c r="AN80" s="71" t="str">
        <f t="shared" si="12"/>
        <v>00</v>
      </c>
      <c r="AO80" s="71" t="str">
        <f t="shared" si="13"/>
        <v>00</v>
      </c>
      <c r="AQ80" t="str">
        <f t="shared" si="8"/>
        <v xml:space="preserve">    (U4)0x00000009U,                                                           /* 09 UNKNOWN                                         */</v>
      </c>
    </row>
    <row r="81" spans="2:43">
      <c r="B81" s="145"/>
      <c r="C81" s="56">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1</v>
      </c>
      <c r="AG81" s="137">
        <f t="shared" si="15"/>
        <v>0</v>
      </c>
      <c r="AH81" s="137">
        <f t="shared" si="15"/>
        <v>1</v>
      </c>
      <c r="AI81" s="137">
        <f t="shared" si="15"/>
        <v>0</v>
      </c>
      <c r="AJ81" s="56" t="str">
        <f t="shared" si="7"/>
        <v>UNKNOWN</v>
      </c>
      <c r="AK81" s="69"/>
      <c r="AL81" s="69" t="str">
        <f t="shared" si="10"/>
        <v>0A</v>
      </c>
      <c r="AM81" s="71" t="str">
        <f t="shared" si="11"/>
        <v>00</v>
      </c>
      <c r="AN81" s="71" t="str">
        <f t="shared" si="12"/>
        <v>00</v>
      </c>
      <c r="AO81" s="71" t="str">
        <f t="shared" si="13"/>
        <v>00</v>
      </c>
      <c r="AQ81" t="str">
        <f t="shared" si="8"/>
        <v xml:space="preserve">    (U4)0x0000000AU,                                                           /* 10 UNKNOWN                                         */</v>
      </c>
    </row>
    <row r="82" spans="2:43">
      <c r="B82" s="145"/>
      <c r="C82" s="56">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1</v>
      </c>
      <c r="AG82" s="137">
        <f t="shared" si="15"/>
        <v>0</v>
      </c>
      <c r="AH82" s="137">
        <f t="shared" si="15"/>
        <v>1</v>
      </c>
      <c r="AI82" s="137">
        <f t="shared" si="15"/>
        <v>1</v>
      </c>
      <c r="AJ82" s="56" t="str">
        <f t="shared" si="7"/>
        <v>UNKNOWN</v>
      </c>
      <c r="AK82" s="69"/>
      <c r="AL82" s="69" t="str">
        <f t="shared" si="10"/>
        <v>0B</v>
      </c>
      <c r="AM82" s="71" t="str">
        <f t="shared" si="11"/>
        <v>00</v>
      </c>
      <c r="AN82" s="71" t="str">
        <f t="shared" si="12"/>
        <v>00</v>
      </c>
      <c r="AO82" s="71" t="str">
        <f t="shared" si="13"/>
        <v>00</v>
      </c>
      <c r="AQ82" t="str">
        <f t="shared" si="8"/>
        <v xml:space="preserve">    (U4)0x0000000BU,                                                           /* 11 UNKNOWN                                         */</v>
      </c>
    </row>
    <row r="83" spans="2:43">
      <c r="B83" s="145"/>
      <c r="C83" s="56">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1</v>
      </c>
      <c r="AG83" s="137">
        <f t="shared" si="15"/>
        <v>1</v>
      </c>
      <c r="AH83" s="137">
        <f t="shared" si="15"/>
        <v>0</v>
      </c>
      <c r="AI83" s="137">
        <f t="shared" si="15"/>
        <v>0</v>
      </c>
      <c r="AJ83" s="56" t="str">
        <f t="shared" si="7"/>
        <v>UNKNOWN</v>
      </c>
      <c r="AK83" s="69"/>
      <c r="AL83" s="69" t="str">
        <f t="shared" si="10"/>
        <v>0C</v>
      </c>
      <c r="AM83" s="71" t="str">
        <f t="shared" si="11"/>
        <v>00</v>
      </c>
      <c r="AN83" s="71" t="str">
        <f t="shared" si="12"/>
        <v>00</v>
      </c>
      <c r="AO83" s="71" t="str">
        <f t="shared" si="13"/>
        <v>00</v>
      </c>
      <c r="AQ83" t="str">
        <f t="shared" si="8"/>
        <v xml:space="preserve">    (U4)0x0000000CU,                                                           /* 12 UNKNOWN                                         */</v>
      </c>
    </row>
    <row r="84" spans="2:43">
      <c r="B84" s="145"/>
      <c r="C84" s="56">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1</v>
      </c>
      <c r="AG84" s="137">
        <f t="shared" si="15"/>
        <v>1</v>
      </c>
      <c r="AH84" s="137">
        <f t="shared" si="15"/>
        <v>0</v>
      </c>
      <c r="AI84" s="137">
        <f t="shared" si="15"/>
        <v>1</v>
      </c>
      <c r="AJ84" s="56" t="str">
        <f t="shared" si="7"/>
        <v>UNKNOWN</v>
      </c>
      <c r="AK84" s="69"/>
      <c r="AL84" s="69" t="str">
        <f t="shared" si="10"/>
        <v>0D</v>
      </c>
      <c r="AM84" s="71" t="str">
        <f t="shared" si="11"/>
        <v>00</v>
      </c>
      <c r="AN84" s="71" t="str">
        <f t="shared" si="12"/>
        <v>00</v>
      </c>
      <c r="AO84" s="71" t="str">
        <f t="shared" si="13"/>
        <v>00</v>
      </c>
      <c r="AQ84" t="str">
        <f t="shared" si="8"/>
        <v xml:space="preserve">    (U4)0x0000000DU,                                                           /* 13 UNKNOWN                                         */</v>
      </c>
    </row>
    <row r="85" spans="2:43">
      <c r="B85" s="145"/>
      <c r="C85" s="56">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1</v>
      </c>
      <c r="AG85" s="137">
        <f t="shared" si="15"/>
        <v>1</v>
      </c>
      <c r="AH85" s="137">
        <f t="shared" si="15"/>
        <v>1</v>
      </c>
      <c r="AI85" s="137">
        <f t="shared" si="15"/>
        <v>0</v>
      </c>
      <c r="AJ85" s="56" t="str">
        <f t="shared" si="7"/>
        <v>UNKNOWN</v>
      </c>
      <c r="AK85" s="69"/>
      <c r="AL85" s="69" t="str">
        <f t="shared" si="10"/>
        <v>0E</v>
      </c>
      <c r="AM85" s="71" t="str">
        <f t="shared" si="11"/>
        <v>00</v>
      </c>
      <c r="AN85" s="71" t="str">
        <f t="shared" si="12"/>
        <v>00</v>
      </c>
      <c r="AO85" s="71" t="str">
        <f t="shared" si="13"/>
        <v>00</v>
      </c>
      <c r="AQ85" t="str">
        <f t="shared" si="8"/>
        <v xml:space="preserve">    (U4)0x0000000EU,                                                           /* 14 UNKNOWN                                         */</v>
      </c>
    </row>
    <row r="86" spans="2:43">
      <c r="B86" s="145"/>
      <c r="C86" s="56">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1</v>
      </c>
      <c r="AG86" s="137">
        <f t="shared" si="15"/>
        <v>1</v>
      </c>
      <c r="AH86" s="137">
        <f t="shared" si="15"/>
        <v>1</v>
      </c>
      <c r="AI86" s="137">
        <f t="shared" ref="AI86" si="16">IF(AI21=1,1,0)</f>
        <v>1</v>
      </c>
      <c r="AJ86" s="56" t="str">
        <f t="shared" si="7"/>
        <v>UNKNOWN</v>
      </c>
      <c r="AK86" s="69"/>
      <c r="AL86" s="69" t="str">
        <f t="shared" si="10"/>
        <v>0F</v>
      </c>
      <c r="AM86" s="71" t="str">
        <f t="shared" si="11"/>
        <v>00</v>
      </c>
      <c r="AN86" s="71" t="str">
        <f t="shared" si="12"/>
        <v>00</v>
      </c>
      <c r="AO86" s="71" t="str">
        <f t="shared" si="13"/>
        <v>00</v>
      </c>
      <c r="AQ86" t="str">
        <f t="shared" si="8"/>
        <v xml:space="preserve">    (U4)0x0000000FU,                                                           /* 15 UNKNOWN                                         */</v>
      </c>
    </row>
    <row r="87" spans="2:43">
      <c r="B87" s="145"/>
      <c r="C87" s="56">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1</v>
      </c>
      <c r="AF87" s="137">
        <f t="shared" si="17"/>
        <v>0</v>
      </c>
      <c r="AG87" s="137">
        <f t="shared" si="17"/>
        <v>0</v>
      </c>
      <c r="AH87" s="137">
        <f t="shared" si="17"/>
        <v>0</v>
      </c>
      <c r="AI87" s="137">
        <f t="shared" si="17"/>
        <v>0</v>
      </c>
      <c r="AJ87" s="56" t="str">
        <f t="shared" si="7"/>
        <v>UNKNOWN</v>
      </c>
      <c r="AK87" s="69"/>
      <c r="AL87" s="69" t="str">
        <f t="shared" si="10"/>
        <v>10</v>
      </c>
      <c r="AM87" s="71" t="str">
        <f t="shared" si="11"/>
        <v>00</v>
      </c>
      <c r="AN87" s="71" t="str">
        <f t="shared" si="12"/>
        <v>00</v>
      </c>
      <c r="AO87" s="71" t="str">
        <f t="shared" si="13"/>
        <v>00</v>
      </c>
      <c r="AQ87" t="str">
        <f t="shared" si="8"/>
        <v xml:space="preserve">    (U4)0x00000010U,                                                           /* 16 UNKNOWN                                         */</v>
      </c>
    </row>
    <row r="88" spans="2:43">
      <c r="B88" s="145"/>
      <c r="C88" s="56">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1</v>
      </c>
      <c r="AF88" s="137">
        <f t="shared" si="17"/>
        <v>0</v>
      </c>
      <c r="AG88" s="137">
        <f t="shared" si="17"/>
        <v>0</v>
      </c>
      <c r="AH88" s="137">
        <f t="shared" si="17"/>
        <v>0</v>
      </c>
      <c r="AI88" s="137">
        <f t="shared" si="17"/>
        <v>1</v>
      </c>
      <c r="AJ88" s="56" t="str">
        <f t="shared" si="7"/>
        <v>TT_ON</v>
      </c>
      <c r="AK88" s="69"/>
      <c r="AL88" s="69" t="str">
        <f t="shared" si="10"/>
        <v>11</v>
      </c>
      <c r="AM88" s="71" t="str">
        <f t="shared" si="11"/>
        <v>00</v>
      </c>
      <c r="AN88" s="71" t="str">
        <f t="shared" si="12"/>
        <v>00</v>
      </c>
      <c r="AO88" s="71" t="str">
        <f t="shared" si="13"/>
        <v>00</v>
      </c>
      <c r="AQ88" t="str">
        <f t="shared" si="8"/>
        <v xml:space="preserve">    (U4)0x00000011U,                                                           /* 17 TT_ON                                           */</v>
      </c>
    </row>
    <row r="89" spans="2:43">
      <c r="B89" s="145"/>
      <c r="C89" s="56">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1</v>
      </c>
      <c r="AF89" s="137">
        <f t="shared" si="17"/>
        <v>0</v>
      </c>
      <c r="AG89" s="137">
        <f t="shared" si="17"/>
        <v>0</v>
      </c>
      <c r="AH89" s="137">
        <f t="shared" si="17"/>
        <v>1</v>
      </c>
      <c r="AI89" s="137">
        <f t="shared" si="17"/>
        <v>0</v>
      </c>
      <c r="AJ89" s="56" t="str">
        <f t="shared" si="7"/>
        <v>FLASH_1HZ</v>
      </c>
      <c r="AK89" s="69"/>
      <c r="AL89" s="69" t="str">
        <f t="shared" si="10"/>
        <v>12</v>
      </c>
      <c r="AM89" s="71" t="str">
        <f t="shared" si="11"/>
        <v>00</v>
      </c>
      <c r="AN89" s="71" t="str">
        <f t="shared" si="12"/>
        <v>00</v>
      </c>
      <c r="AO89" s="71" t="str">
        <f t="shared" si="13"/>
        <v>00</v>
      </c>
      <c r="AQ89" t="str">
        <f t="shared" si="8"/>
        <v xml:space="preserve">    (U4)0x00000012U,                                                           /* 18 FLASH_1HZ                                       */</v>
      </c>
    </row>
    <row r="90" spans="2:43">
      <c r="B90" s="145"/>
      <c r="C90" s="56">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1</v>
      </c>
      <c r="AF90" s="137">
        <f t="shared" si="17"/>
        <v>0</v>
      </c>
      <c r="AG90" s="137">
        <f t="shared" si="17"/>
        <v>0</v>
      </c>
      <c r="AH90" s="137">
        <f t="shared" si="17"/>
        <v>1</v>
      </c>
      <c r="AI90" s="137">
        <f t="shared" si="17"/>
        <v>1</v>
      </c>
      <c r="AJ90" s="56" t="str">
        <f t="shared" si="7"/>
        <v>FLASH_2HZ</v>
      </c>
      <c r="AK90" s="69"/>
      <c r="AL90" s="69" t="str">
        <f t="shared" si="10"/>
        <v>13</v>
      </c>
      <c r="AM90" s="71" t="str">
        <f t="shared" si="11"/>
        <v>00</v>
      </c>
      <c r="AN90" s="71" t="str">
        <f t="shared" si="12"/>
        <v>00</v>
      </c>
      <c r="AO90" s="71" t="str">
        <f t="shared" si="13"/>
        <v>00</v>
      </c>
      <c r="AQ90" t="str">
        <f t="shared" si="8"/>
        <v xml:space="preserve">    (U4)0x00000013U,                                                           /* 19 FLASH_2HZ                                       */</v>
      </c>
    </row>
    <row r="91" spans="2:43">
      <c r="B91" s="145"/>
      <c r="C91" s="56">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1</v>
      </c>
      <c r="AF91" s="137">
        <f t="shared" si="17"/>
        <v>0</v>
      </c>
      <c r="AG91" s="137">
        <f t="shared" si="17"/>
        <v>1</v>
      </c>
      <c r="AH91" s="137">
        <f t="shared" si="17"/>
        <v>0</v>
      </c>
      <c r="AI91" s="137">
        <f t="shared" si="17"/>
        <v>0</v>
      </c>
      <c r="AJ91" s="56" t="str">
        <f t="shared" si="7"/>
        <v>FLASH_4HZ</v>
      </c>
      <c r="AK91" s="69"/>
      <c r="AL91" s="69" t="str">
        <f t="shared" si="10"/>
        <v>14</v>
      </c>
      <c r="AM91" s="71" t="str">
        <f t="shared" si="11"/>
        <v>00</v>
      </c>
      <c r="AN91" s="71" t="str">
        <f t="shared" si="12"/>
        <v>00</v>
      </c>
      <c r="AO91" s="71" t="str">
        <f t="shared" si="13"/>
        <v>00</v>
      </c>
      <c r="AQ91" t="str">
        <f t="shared" si="8"/>
        <v xml:space="preserve">    (U4)0x00000014U,                                                           /* 20 FLASH_4HZ                                       */</v>
      </c>
    </row>
    <row r="92" spans="2:43">
      <c r="B92" s="145"/>
      <c r="C92" s="56">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1</v>
      </c>
      <c r="AF92" s="137">
        <f t="shared" si="17"/>
        <v>0</v>
      </c>
      <c r="AG92" s="137">
        <f t="shared" si="17"/>
        <v>1</v>
      </c>
      <c r="AH92" s="137">
        <f t="shared" si="17"/>
        <v>0</v>
      </c>
      <c r="AI92" s="137">
        <f t="shared" si="17"/>
        <v>1</v>
      </c>
      <c r="AJ92" s="56" t="str">
        <f t="shared" si="7"/>
        <v>UNKNOWN</v>
      </c>
      <c r="AK92" s="69"/>
      <c r="AL92" s="69" t="str">
        <f t="shared" si="10"/>
        <v>15</v>
      </c>
      <c r="AM92" s="71" t="str">
        <f t="shared" si="11"/>
        <v>00</v>
      </c>
      <c r="AN92" s="71" t="str">
        <f t="shared" si="12"/>
        <v>00</v>
      </c>
      <c r="AO92" s="71" t="str">
        <f t="shared" si="13"/>
        <v>00</v>
      </c>
      <c r="AQ92" t="str">
        <f t="shared" si="8"/>
        <v xml:space="preserve">    (U4)0x00000015U,                                                           /* 21 UNKNOWN                                         */</v>
      </c>
    </row>
    <row r="93" spans="2:43">
      <c r="B93" s="145"/>
      <c r="C93" s="56">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1</v>
      </c>
      <c r="AF93" s="137">
        <f t="shared" si="17"/>
        <v>0</v>
      </c>
      <c r="AG93" s="137">
        <f t="shared" si="17"/>
        <v>1</v>
      </c>
      <c r="AH93" s="137">
        <f t="shared" si="17"/>
        <v>1</v>
      </c>
      <c r="AI93" s="137">
        <f t="shared" si="17"/>
        <v>0</v>
      </c>
      <c r="AJ93" s="56" t="str">
        <f t="shared" si="7"/>
        <v>UNKNOWN</v>
      </c>
      <c r="AK93" s="69"/>
      <c r="AL93" s="69" t="str">
        <f t="shared" si="10"/>
        <v>16</v>
      </c>
      <c r="AM93" s="71" t="str">
        <f t="shared" si="11"/>
        <v>00</v>
      </c>
      <c r="AN93" s="71" t="str">
        <f t="shared" si="12"/>
        <v>00</v>
      </c>
      <c r="AO93" s="71" t="str">
        <f t="shared" si="13"/>
        <v>00</v>
      </c>
      <c r="AQ93" t="str">
        <f t="shared" si="8"/>
        <v xml:space="preserve">    (U4)0x00000016U,                                                           /* 22 UNKNOWN                                         */</v>
      </c>
    </row>
    <row r="94" spans="2:43">
      <c r="B94" s="145"/>
      <c r="C94" s="56">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1</v>
      </c>
      <c r="AF94" s="137">
        <f t="shared" si="17"/>
        <v>0</v>
      </c>
      <c r="AG94" s="137">
        <f t="shared" si="17"/>
        <v>1</v>
      </c>
      <c r="AH94" s="137">
        <f t="shared" si="17"/>
        <v>1</v>
      </c>
      <c r="AI94" s="137">
        <f t="shared" ref="AI94" si="18">IF(AI29=1,1,0)</f>
        <v>1</v>
      </c>
      <c r="AJ94" s="56" t="str">
        <f t="shared" si="7"/>
        <v>UNKNOWN</v>
      </c>
      <c r="AK94" s="69"/>
      <c r="AL94" s="69" t="str">
        <f t="shared" si="10"/>
        <v>17</v>
      </c>
      <c r="AM94" s="71" t="str">
        <f t="shared" si="11"/>
        <v>00</v>
      </c>
      <c r="AN94" s="71" t="str">
        <f t="shared" si="12"/>
        <v>00</v>
      </c>
      <c r="AO94" s="71" t="str">
        <f t="shared" si="13"/>
        <v>00</v>
      </c>
      <c r="AQ94" t="str">
        <f t="shared" si="8"/>
        <v xml:space="preserve">    (U4)0x00000017U,                                                           /* 23 UNKNOWN                                         */</v>
      </c>
    </row>
    <row r="95" spans="2:43">
      <c r="B95" s="145"/>
      <c r="C95" s="56">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1</v>
      </c>
      <c r="AF95" s="137">
        <f t="shared" si="19"/>
        <v>1</v>
      </c>
      <c r="AG95" s="137">
        <f t="shared" si="19"/>
        <v>0</v>
      </c>
      <c r="AH95" s="137">
        <f t="shared" si="19"/>
        <v>0</v>
      </c>
      <c r="AI95" s="137">
        <f t="shared" si="19"/>
        <v>0</v>
      </c>
      <c r="AJ95" s="56" t="str">
        <f t="shared" si="7"/>
        <v>UNKNOWN</v>
      </c>
      <c r="AK95" s="69"/>
      <c r="AL95" s="69" t="str">
        <f t="shared" si="10"/>
        <v>18</v>
      </c>
      <c r="AM95" s="71" t="str">
        <f t="shared" si="11"/>
        <v>00</v>
      </c>
      <c r="AN95" s="71" t="str">
        <f t="shared" si="12"/>
        <v>00</v>
      </c>
      <c r="AO95" s="71" t="str">
        <f t="shared" si="13"/>
        <v>00</v>
      </c>
      <c r="AQ95" t="str">
        <f t="shared" si="8"/>
        <v xml:space="preserve">    (U4)0x00000018U,                                                           /* 24 UNKNOWN                                         */</v>
      </c>
    </row>
    <row r="96" spans="2:43">
      <c r="B96" s="145"/>
      <c r="C96" s="56">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1</v>
      </c>
      <c r="AF96" s="137">
        <f t="shared" si="19"/>
        <v>1</v>
      </c>
      <c r="AG96" s="137">
        <f t="shared" si="19"/>
        <v>0</v>
      </c>
      <c r="AH96" s="137">
        <f t="shared" si="19"/>
        <v>0</v>
      </c>
      <c r="AI96" s="137">
        <f t="shared" si="19"/>
        <v>1</v>
      </c>
      <c r="AJ96" s="56" t="str">
        <f t="shared" si="7"/>
        <v>UNKNOWN</v>
      </c>
      <c r="AK96" s="69"/>
      <c r="AL96" s="69" t="str">
        <f t="shared" si="10"/>
        <v>19</v>
      </c>
      <c r="AM96" s="71" t="str">
        <f t="shared" si="11"/>
        <v>00</v>
      </c>
      <c r="AN96" s="71" t="str">
        <f t="shared" si="12"/>
        <v>00</v>
      </c>
      <c r="AO96" s="71" t="str">
        <f t="shared" si="13"/>
        <v>00</v>
      </c>
      <c r="AQ96" t="str">
        <f t="shared" si="8"/>
        <v xml:space="preserve">    (U4)0x00000019U,                                                           /* 25 UNKNOWN                                         */</v>
      </c>
    </row>
    <row r="97" spans="2:43">
      <c r="B97" s="145"/>
      <c r="C97" s="56">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1</v>
      </c>
      <c r="AF97" s="137">
        <f t="shared" si="19"/>
        <v>1</v>
      </c>
      <c r="AG97" s="137">
        <f t="shared" si="19"/>
        <v>0</v>
      </c>
      <c r="AH97" s="137">
        <f t="shared" si="19"/>
        <v>1</v>
      </c>
      <c r="AI97" s="137">
        <f t="shared" si="19"/>
        <v>0</v>
      </c>
      <c r="AJ97" s="56" t="str">
        <f t="shared" si="7"/>
        <v>UNKNOWN</v>
      </c>
      <c r="AK97" s="69"/>
      <c r="AL97" s="69" t="str">
        <f t="shared" si="10"/>
        <v>1A</v>
      </c>
      <c r="AM97" s="71" t="str">
        <f t="shared" si="11"/>
        <v>00</v>
      </c>
      <c r="AN97" s="71" t="str">
        <f t="shared" si="12"/>
        <v>00</v>
      </c>
      <c r="AO97" s="71" t="str">
        <f t="shared" si="13"/>
        <v>00</v>
      </c>
      <c r="AQ97" t="str">
        <f t="shared" si="8"/>
        <v xml:space="preserve">    (U4)0x0000001AU,                                                           /* 26 UNKNOWN                                         */</v>
      </c>
    </row>
    <row r="98" spans="2:43">
      <c r="B98" s="145"/>
      <c r="C98" s="56">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1</v>
      </c>
      <c r="AF98" s="137">
        <f t="shared" si="19"/>
        <v>1</v>
      </c>
      <c r="AG98" s="137">
        <f t="shared" si="19"/>
        <v>0</v>
      </c>
      <c r="AH98" s="137">
        <f t="shared" si="19"/>
        <v>1</v>
      </c>
      <c r="AI98" s="137">
        <f t="shared" si="19"/>
        <v>1</v>
      </c>
      <c r="AJ98" s="56" t="str">
        <f t="shared" si="7"/>
        <v>UNKNOWN</v>
      </c>
      <c r="AK98" s="69"/>
      <c r="AL98" s="69" t="str">
        <f t="shared" si="10"/>
        <v>1B</v>
      </c>
      <c r="AM98" s="71" t="str">
        <f t="shared" si="11"/>
        <v>00</v>
      </c>
      <c r="AN98" s="71" t="str">
        <f t="shared" si="12"/>
        <v>00</v>
      </c>
      <c r="AO98" s="71" t="str">
        <f t="shared" si="13"/>
        <v>00</v>
      </c>
      <c r="AQ98" t="str">
        <f t="shared" si="8"/>
        <v xml:space="preserve">    (U4)0x0000001BU,                                                           /* 27 UNKNOWN                                         */</v>
      </c>
    </row>
    <row r="99" spans="2:43">
      <c r="B99" s="145"/>
      <c r="C99" s="56">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1</v>
      </c>
      <c r="AF99" s="137">
        <f t="shared" si="19"/>
        <v>1</v>
      </c>
      <c r="AG99" s="137">
        <f t="shared" si="19"/>
        <v>1</v>
      </c>
      <c r="AH99" s="137">
        <f t="shared" si="19"/>
        <v>0</v>
      </c>
      <c r="AI99" s="137">
        <f t="shared" si="19"/>
        <v>0</v>
      </c>
      <c r="AJ99" s="56" t="str">
        <f t="shared" si="7"/>
        <v>UNKNOWN</v>
      </c>
      <c r="AK99" s="69"/>
      <c r="AL99" s="69" t="str">
        <f t="shared" si="10"/>
        <v>1C</v>
      </c>
      <c r="AM99" s="71" t="str">
        <f t="shared" si="11"/>
        <v>00</v>
      </c>
      <c r="AN99" s="71" t="str">
        <f t="shared" si="12"/>
        <v>00</v>
      </c>
      <c r="AO99" s="71" t="str">
        <f t="shared" si="13"/>
        <v>00</v>
      </c>
      <c r="AQ99" t="str">
        <f t="shared" si="8"/>
        <v xml:space="preserve">    (U4)0x0000001CU,                                                           /* 28 UNKNOWN                                         */</v>
      </c>
    </row>
    <row r="100" spans="2:43">
      <c r="B100" s="145"/>
      <c r="C100" s="56">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1</v>
      </c>
      <c r="AF100" s="137">
        <f t="shared" si="19"/>
        <v>1</v>
      </c>
      <c r="AG100" s="137">
        <f t="shared" si="19"/>
        <v>1</v>
      </c>
      <c r="AH100" s="137">
        <f t="shared" si="19"/>
        <v>0</v>
      </c>
      <c r="AI100" s="137">
        <f t="shared" si="19"/>
        <v>1</v>
      </c>
      <c r="AJ100" s="56" t="str">
        <f t="shared" si="7"/>
        <v>UNKNOWN</v>
      </c>
      <c r="AK100" s="69"/>
      <c r="AL100" s="69" t="str">
        <f t="shared" si="10"/>
        <v>1D</v>
      </c>
      <c r="AM100" s="71" t="str">
        <f t="shared" si="11"/>
        <v>00</v>
      </c>
      <c r="AN100" s="71" t="str">
        <f t="shared" si="12"/>
        <v>00</v>
      </c>
      <c r="AO100" s="71" t="str">
        <f t="shared" si="13"/>
        <v>00</v>
      </c>
      <c r="AQ100" t="str">
        <f t="shared" si="8"/>
        <v xml:space="preserve">    (U4)0x0000001DU,                                                           /* 29 UNKNOWN                                         */</v>
      </c>
    </row>
    <row r="101" spans="2:43">
      <c r="B101" s="145"/>
      <c r="C101" s="56">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1</v>
      </c>
      <c r="AF101" s="137">
        <f t="shared" si="19"/>
        <v>1</v>
      </c>
      <c r="AG101" s="137">
        <f t="shared" si="19"/>
        <v>1</v>
      </c>
      <c r="AH101" s="137">
        <f t="shared" si="19"/>
        <v>1</v>
      </c>
      <c r="AI101" s="137">
        <f t="shared" si="19"/>
        <v>0</v>
      </c>
      <c r="AJ101" s="56" t="str">
        <f t="shared" si="7"/>
        <v>UNKNOWN</v>
      </c>
      <c r="AK101" s="69"/>
      <c r="AL101" s="69" t="str">
        <f t="shared" si="10"/>
        <v>1E</v>
      </c>
      <c r="AM101" s="71" t="str">
        <f t="shared" si="11"/>
        <v>00</v>
      </c>
      <c r="AN101" s="71" t="str">
        <f t="shared" si="12"/>
        <v>00</v>
      </c>
      <c r="AO101" s="71" t="str">
        <f t="shared" si="13"/>
        <v>00</v>
      </c>
      <c r="AQ101" t="str">
        <f t="shared" si="8"/>
        <v xml:space="preserve">    (U4)0x0000001EU,                                                           /* 30 UNKNOWN                                         */</v>
      </c>
    </row>
    <row r="102" spans="2:43">
      <c r="B102" s="145"/>
      <c r="C102" s="56">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1</v>
      </c>
      <c r="AF102" s="137">
        <f t="shared" si="19"/>
        <v>1</v>
      </c>
      <c r="AG102" s="137">
        <f t="shared" si="19"/>
        <v>1</v>
      </c>
      <c r="AH102" s="137">
        <f t="shared" si="19"/>
        <v>1</v>
      </c>
      <c r="AI102" s="137">
        <f t="shared" ref="AI102" si="20">IF(AI37=1,1,0)</f>
        <v>1</v>
      </c>
      <c r="AJ102" s="56" t="str">
        <f t="shared" si="7"/>
        <v>UNKNOWN</v>
      </c>
      <c r="AK102" s="69"/>
      <c r="AL102" s="69" t="str">
        <f t="shared" si="10"/>
        <v>1F</v>
      </c>
      <c r="AM102" s="71" t="str">
        <f t="shared" si="11"/>
        <v>00</v>
      </c>
      <c r="AN102" s="71" t="str">
        <f t="shared" si="12"/>
        <v>00</v>
      </c>
      <c r="AO102" s="71" t="str">
        <f t="shared" si="13"/>
        <v>00</v>
      </c>
      <c r="AQ102" t="str">
        <f t="shared" si="8"/>
        <v xml:space="preserve">    (U4)0x0000001FU                                                            /* 31 UNKNOWN                                         */</v>
      </c>
    </row>
    <row r="103" spans="2:43">
      <c r="B103" s="145"/>
      <c r="C103" s="56">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5"/>
      <c r="C104" s="56">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5"/>
      <c r="C105" s="56">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5"/>
      <c r="C106" s="56">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5"/>
      <c r="C107" s="56">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5"/>
      <c r="C108" s="56">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5"/>
      <c r="C109" s="56">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5"/>
      <c r="C110" s="56">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5"/>
      <c r="C111" s="56">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5"/>
      <c r="C112" s="56">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5"/>
      <c r="C113" s="56">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5"/>
      <c r="C114" s="56">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5"/>
      <c r="C115" s="56">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5"/>
      <c r="C116" s="56">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5"/>
      <c r="C117" s="56">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5"/>
      <c r="C118" s="56">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5"/>
      <c r="C119" s="56">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5"/>
      <c r="C120" s="56">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5"/>
      <c r="C121" s="56">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5"/>
      <c r="C122" s="56">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5"/>
      <c r="C123" s="56">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5"/>
      <c r="C124" s="56">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5"/>
      <c r="C125" s="56">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5"/>
      <c r="C126" s="56">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5"/>
      <c r="C127" s="56">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5"/>
      <c r="C128" s="56">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5"/>
      <c r="C129" s="56">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5"/>
      <c r="C130" s="56">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5"/>
      <c r="C131" s="56">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5"/>
      <c r="C132" s="56">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5"/>
      <c r="C133" s="56">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6"/>
      <c r="C134" s="56">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68</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7" t="str">
        <f ca="1">IF(B6&lt;&gt;"",B6,"")</f>
        <v>Table TT_PKB</v>
      </c>
      <c r="C136" s="56">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0</v>
      </c>
      <c r="AE136" s="137">
        <f t="shared" si="29"/>
        <v>1</v>
      </c>
      <c r="AF136" s="137">
        <f t="shared" si="29"/>
        <v>1</v>
      </c>
      <c r="AG136" s="137">
        <f t="shared" si="29"/>
        <v>1</v>
      </c>
      <c r="AH136" s="137">
        <f t="shared" si="29"/>
        <v>1</v>
      </c>
      <c r="AI136" s="137">
        <f t="shared" si="29"/>
        <v>1</v>
      </c>
      <c r="AJ136" s="56" t="str">
        <f t="shared" ref="AJ136:AJ199" si="30">IF(AJ6&lt;&gt;"",AJ6,"")</f>
        <v>UNKNOWN</v>
      </c>
      <c r="AK136" s="69"/>
      <c r="AL136" s="69" t="str">
        <f>BIN2HEX(AB136&amp;AC136&amp;AD136&amp;AE136&amp;AF136&amp;AG136&amp;AH136&amp;AI136,2)</f>
        <v>1F</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5"/>
      <c r="C137" s="56">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0</v>
      </c>
      <c r="AE137" s="137">
        <f t="shared" si="29"/>
        <v>1</v>
      </c>
      <c r="AF137" s="137">
        <f t="shared" si="29"/>
        <v>1</v>
      </c>
      <c r="AG137" s="137">
        <f t="shared" si="29"/>
        <v>1</v>
      </c>
      <c r="AH137" s="137">
        <f t="shared" si="29"/>
        <v>1</v>
      </c>
      <c r="AI137" s="137">
        <f t="shared" si="29"/>
        <v>1</v>
      </c>
      <c r="AJ137" s="56" t="str">
        <f t="shared" si="30"/>
        <v>UNKNOWN</v>
      </c>
      <c r="AK137" s="69"/>
      <c r="AL137" s="69" t="str">
        <f t="shared" ref="AL137:AL199" si="33">BIN2HEX(AB137&amp;AC137&amp;AD137&amp;AE137&amp;AF137&amp;AG137&amp;AH137&amp;AI137,2)</f>
        <v>1F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(U4)0x0000001FU,                                                           /* 01 UNKNOWN                                         */</v>
      </c>
    </row>
    <row r="138" spans="1:43">
      <c r="B138" s="145"/>
      <c r="C138" s="56">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0</v>
      </c>
      <c r="AE138" s="137">
        <f t="shared" si="29"/>
        <v>1</v>
      </c>
      <c r="AF138" s="137">
        <f t="shared" si="29"/>
        <v>1</v>
      </c>
      <c r="AG138" s="137">
        <f t="shared" si="29"/>
        <v>1</v>
      </c>
      <c r="AH138" s="137">
        <f t="shared" si="29"/>
        <v>1</v>
      </c>
      <c r="AI138" s="137">
        <f t="shared" si="29"/>
        <v>1</v>
      </c>
      <c r="AJ138" s="56" t="str">
        <f t="shared" si="30"/>
        <v>UNKNOWN</v>
      </c>
      <c r="AK138" s="69"/>
      <c r="AL138" s="69" t="str">
        <f t="shared" si="33"/>
        <v>1F</v>
      </c>
      <c r="AM138" s="71" t="str">
        <f t="shared" si="34"/>
        <v>00</v>
      </c>
      <c r="AN138" s="71" t="str">
        <f t="shared" si="35"/>
        <v>00</v>
      </c>
      <c r="AO138" s="71" t="str">
        <f t="shared" si="36"/>
        <v>00</v>
      </c>
      <c r="AQ138" t="str">
        <f t="shared" si="31"/>
        <v xml:space="preserve">    (U4)0x0000001FU,                                                           /* 02 UNKNOWN                                         */</v>
      </c>
    </row>
    <row r="139" spans="1:43">
      <c r="B139" s="145"/>
      <c r="C139" s="56">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0</v>
      </c>
      <c r="AE139" s="137">
        <f t="shared" si="29"/>
        <v>1</v>
      </c>
      <c r="AF139" s="137">
        <f t="shared" si="29"/>
        <v>1</v>
      </c>
      <c r="AG139" s="137">
        <f t="shared" si="29"/>
        <v>1</v>
      </c>
      <c r="AH139" s="137">
        <f t="shared" si="29"/>
        <v>1</v>
      </c>
      <c r="AI139" s="137">
        <f t="shared" si="29"/>
        <v>1</v>
      </c>
      <c r="AJ139" s="56" t="str">
        <f t="shared" si="30"/>
        <v>UNKNOWN</v>
      </c>
      <c r="AK139" s="69"/>
      <c r="AL139" s="69" t="str">
        <f t="shared" si="33"/>
        <v>1F</v>
      </c>
      <c r="AM139" s="71" t="str">
        <f t="shared" si="34"/>
        <v>00</v>
      </c>
      <c r="AN139" s="71" t="str">
        <f t="shared" si="35"/>
        <v>00</v>
      </c>
      <c r="AO139" s="71" t="str">
        <f t="shared" si="36"/>
        <v>00</v>
      </c>
      <c r="AQ139" t="str">
        <f t="shared" si="31"/>
        <v xml:space="preserve">    (U4)0x0000001FU,                                                           /* 03 UNKNOWN                                         */</v>
      </c>
    </row>
    <row r="140" spans="1:43">
      <c r="B140" s="145"/>
      <c r="C140" s="56">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0</v>
      </c>
      <c r="AE140" s="137">
        <f t="shared" si="29"/>
        <v>1</v>
      </c>
      <c r="AF140" s="137">
        <f t="shared" si="29"/>
        <v>1</v>
      </c>
      <c r="AG140" s="137">
        <f t="shared" si="29"/>
        <v>1</v>
      </c>
      <c r="AH140" s="137">
        <f t="shared" si="29"/>
        <v>1</v>
      </c>
      <c r="AI140" s="137">
        <f t="shared" si="29"/>
        <v>1</v>
      </c>
      <c r="AJ140" s="56" t="str">
        <f t="shared" si="30"/>
        <v>UNKNOWN</v>
      </c>
      <c r="AK140" s="69"/>
      <c r="AL140" s="69" t="str">
        <f t="shared" si="33"/>
        <v>1F</v>
      </c>
      <c r="AM140" s="71" t="str">
        <f t="shared" si="34"/>
        <v>00</v>
      </c>
      <c r="AN140" s="71" t="str">
        <f t="shared" si="35"/>
        <v>00</v>
      </c>
      <c r="AO140" s="71" t="str">
        <f t="shared" si="36"/>
        <v>00</v>
      </c>
      <c r="AQ140" t="str">
        <f t="shared" si="31"/>
        <v xml:space="preserve">    (U4)0x0000001FU,                                                           /* 04 UNKNOWN                                         */</v>
      </c>
    </row>
    <row r="141" spans="1:43">
      <c r="B141" s="145"/>
      <c r="C141" s="56">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0</v>
      </c>
      <c r="AE141" s="137">
        <f t="shared" si="29"/>
        <v>1</v>
      </c>
      <c r="AF141" s="137">
        <f t="shared" si="29"/>
        <v>1</v>
      </c>
      <c r="AG141" s="137">
        <f t="shared" si="29"/>
        <v>1</v>
      </c>
      <c r="AH141" s="137">
        <f t="shared" si="29"/>
        <v>1</v>
      </c>
      <c r="AI141" s="137">
        <f t="shared" si="29"/>
        <v>1</v>
      </c>
      <c r="AJ141" s="56" t="str">
        <f t="shared" si="30"/>
        <v>UNKNOWN</v>
      </c>
      <c r="AK141" s="69"/>
      <c r="AL141" s="69" t="str">
        <f t="shared" si="33"/>
        <v>1F</v>
      </c>
      <c r="AM141" s="71" t="str">
        <f t="shared" si="34"/>
        <v>00</v>
      </c>
      <c r="AN141" s="71" t="str">
        <f t="shared" si="35"/>
        <v>00</v>
      </c>
      <c r="AO141" s="71" t="str">
        <f t="shared" si="36"/>
        <v>00</v>
      </c>
      <c r="AQ141" t="str">
        <f t="shared" si="31"/>
        <v xml:space="preserve">    (U4)0x0000001FU,                                                           /* 05 UNKNOWN                                         */</v>
      </c>
    </row>
    <row r="142" spans="1:43">
      <c r="B142" s="145"/>
      <c r="C142" s="56">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1</v>
      </c>
      <c r="AF142" s="137">
        <f t="shared" si="29"/>
        <v>1</v>
      </c>
      <c r="AG142" s="137">
        <f t="shared" si="29"/>
        <v>1</v>
      </c>
      <c r="AH142" s="137">
        <f t="shared" si="29"/>
        <v>1</v>
      </c>
      <c r="AI142" s="137">
        <f t="shared" si="29"/>
        <v>1</v>
      </c>
      <c r="AJ142" s="56" t="str">
        <f t="shared" si="30"/>
        <v>UNKNOWN</v>
      </c>
      <c r="AK142" s="69"/>
      <c r="AL142" s="69" t="str">
        <f t="shared" si="33"/>
        <v>1F</v>
      </c>
      <c r="AM142" s="71" t="str">
        <f t="shared" si="34"/>
        <v>00</v>
      </c>
      <c r="AN142" s="71" t="str">
        <f t="shared" si="35"/>
        <v>00</v>
      </c>
      <c r="AO142" s="71" t="str">
        <f t="shared" si="36"/>
        <v>00</v>
      </c>
      <c r="AQ142" t="str">
        <f t="shared" si="31"/>
        <v xml:space="preserve">    (U4)0x0000001FU,                                                           /* 06 UNKNOWN                                         */</v>
      </c>
    </row>
    <row r="143" spans="1:43">
      <c r="B143" s="145"/>
      <c r="C143" s="56">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1</v>
      </c>
      <c r="AF143" s="137">
        <f t="shared" si="29"/>
        <v>1</v>
      </c>
      <c r="AG143" s="137">
        <f t="shared" si="29"/>
        <v>1</v>
      </c>
      <c r="AH143" s="137">
        <f t="shared" si="29"/>
        <v>1</v>
      </c>
      <c r="AI143" s="137">
        <f t="shared" ref="AI143" si="37">IF(OR(AI13=0,AI13=1),1,0)</f>
        <v>1</v>
      </c>
      <c r="AJ143" s="56" t="str">
        <f t="shared" si="30"/>
        <v>UNKNOWN</v>
      </c>
      <c r="AK143" s="69"/>
      <c r="AL143" s="69" t="str">
        <f t="shared" si="33"/>
        <v>1F</v>
      </c>
      <c r="AM143" s="71" t="str">
        <f t="shared" si="34"/>
        <v>00</v>
      </c>
      <c r="AN143" s="71" t="str">
        <f t="shared" si="35"/>
        <v>00</v>
      </c>
      <c r="AO143" s="71" t="str">
        <f t="shared" si="36"/>
        <v>00</v>
      </c>
      <c r="AQ143" t="str">
        <f t="shared" si="31"/>
        <v xml:space="preserve">    (U4)0x0000001FU,                                                           /* 07 UNKNOWN                                         */</v>
      </c>
    </row>
    <row r="144" spans="1:43">
      <c r="B144" s="145"/>
      <c r="C144" s="56">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1</v>
      </c>
      <c r="AF144" s="137">
        <f t="shared" si="38"/>
        <v>1</v>
      </c>
      <c r="AG144" s="137">
        <f t="shared" si="38"/>
        <v>1</v>
      </c>
      <c r="AH144" s="137">
        <f t="shared" si="38"/>
        <v>1</v>
      </c>
      <c r="AI144" s="137">
        <f t="shared" si="38"/>
        <v>1</v>
      </c>
      <c r="AJ144" s="56" t="str">
        <f t="shared" si="30"/>
        <v>UNKNOWN</v>
      </c>
      <c r="AK144" s="69"/>
      <c r="AL144" s="69" t="str">
        <f t="shared" si="33"/>
        <v>1F</v>
      </c>
      <c r="AM144" s="71" t="str">
        <f t="shared" si="34"/>
        <v>00</v>
      </c>
      <c r="AN144" s="71" t="str">
        <f t="shared" si="35"/>
        <v>00</v>
      </c>
      <c r="AO144" s="71" t="str">
        <f t="shared" si="36"/>
        <v>00</v>
      </c>
      <c r="AQ144" t="str">
        <f t="shared" si="31"/>
        <v xml:space="preserve">    (U4)0x0000001FU,                                                           /* 08 UNKNOWN                                         */</v>
      </c>
    </row>
    <row r="145" spans="2:43">
      <c r="B145" s="145"/>
      <c r="C145" s="56">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1</v>
      </c>
      <c r="AF145" s="137">
        <f t="shared" si="38"/>
        <v>1</v>
      </c>
      <c r="AG145" s="137">
        <f t="shared" si="38"/>
        <v>1</v>
      </c>
      <c r="AH145" s="137">
        <f t="shared" si="38"/>
        <v>1</v>
      </c>
      <c r="AI145" s="137">
        <f t="shared" si="38"/>
        <v>1</v>
      </c>
      <c r="AJ145" s="56" t="str">
        <f t="shared" si="30"/>
        <v>UNKNOWN</v>
      </c>
      <c r="AK145" s="69"/>
      <c r="AL145" s="69" t="str">
        <f t="shared" si="33"/>
        <v>1F</v>
      </c>
      <c r="AM145" s="71" t="str">
        <f t="shared" si="34"/>
        <v>00</v>
      </c>
      <c r="AN145" s="71" t="str">
        <f t="shared" si="35"/>
        <v>00</v>
      </c>
      <c r="AO145" s="71" t="str">
        <f t="shared" si="36"/>
        <v>00</v>
      </c>
      <c r="AQ145" t="str">
        <f t="shared" si="31"/>
        <v xml:space="preserve">    (U4)0x0000001FU,                                                           /* 09 UNKNOWN                                         */</v>
      </c>
    </row>
    <row r="146" spans="2:43">
      <c r="B146" s="145"/>
      <c r="C146" s="56">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1</v>
      </c>
      <c r="AF146" s="137">
        <f t="shared" si="38"/>
        <v>1</v>
      </c>
      <c r="AG146" s="137">
        <f t="shared" si="38"/>
        <v>1</v>
      </c>
      <c r="AH146" s="137">
        <f t="shared" si="38"/>
        <v>1</v>
      </c>
      <c r="AI146" s="137">
        <f t="shared" si="38"/>
        <v>1</v>
      </c>
      <c r="AJ146" s="56" t="str">
        <f t="shared" si="30"/>
        <v>UNKNOWN</v>
      </c>
      <c r="AK146" s="69"/>
      <c r="AL146" s="69" t="str">
        <f t="shared" si="33"/>
        <v>1F</v>
      </c>
      <c r="AM146" s="71" t="str">
        <f t="shared" si="34"/>
        <v>00</v>
      </c>
      <c r="AN146" s="71" t="str">
        <f t="shared" si="35"/>
        <v>00</v>
      </c>
      <c r="AO146" s="71" t="str">
        <f t="shared" si="36"/>
        <v>00</v>
      </c>
      <c r="AQ146" t="str">
        <f t="shared" si="31"/>
        <v xml:space="preserve">    (U4)0x0000001FU,                                                           /* 10 UNKNOWN                                         */</v>
      </c>
    </row>
    <row r="147" spans="2:43">
      <c r="B147" s="145"/>
      <c r="C147" s="56">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1</v>
      </c>
      <c r="AF147" s="137">
        <f t="shared" si="38"/>
        <v>1</v>
      </c>
      <c r="AG147" s="137">
        <f t="shared" si="38"/>
        <v>1</v>
      </c>
      <c r="AH147" s="137">
        <f t="shared" si="38"/>
        <v>1</v>
      </c>
      <c r="AI147" s="137">
        <f t="shared" si="38"/>
        <v>1</v>
      </c>
      <c r="AJ147" s="56" t="str">
        <f t="shared" si="30"/>
        <v>UNKNOWN</v>
      </c>
      <c r="AK147" s="69"/>
      <c r="AL147" s="69" t="str">
        <f t="shared" si="33"/>
        <v>1F</v>
      </c>
      <c r="AM147" s="71" t="str">
        <f t="shared" si="34"/>
        <v>00</v>
      </c>
      <c r="AN147" s="71" t="str">
        <f t="shared" si="35"/>
        <v>00</v>
      </c>
      <c r="AO147" s="71" t="str">
        <f t="shared" si="36"/>
        <v>00</v>
      </c>
      <c r="AQ147" t="str">
        <f t="shared" si="31"/>
        <v xml:space="preserve">    (U4)0x0000001FU,                                                           /* 11 UNKNOWN                                         */</v>
      </c>
    </row>
    <row r="148" spans="2:43">
      <c r="B148" s="145"/>
      <c r="C148" s="56">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1</v>
      </c>
      <c r="AF148" s="137">
        <f t="shared" si="38"/>
        <v>1</v>
      </c>
      <c r="AG148" s="137">
        <f t="shared" si="38"/>
        <v>1</v>
      </c>
      <c r="AH148" s="137">
        <f t="shared" si="38"/>
        <v>1</v>
      </c>
      <c r="AI148" s="137">
        <f t="shared" si="38"/>
        <v>1</v>
      </c>
      <c r="AJ148" s="56" t="str">
        <f t="shared" si="30"/>
        <v>UNKNOWN</v>
      </c>
      <c r="AK148" s="69"/>
      <c r="AL148" s="69" t="str">
        <f t="shared" si="33"/>
        <v>1F</v>
      </c>
      <c r="AM148" s="71" t="str">
        <f t="shared" si="34"/>
        <v>00</v>
      </c>
      <c r="AN148" s="71" t="str">
        <f t="shared" si="35"/>
        <v>00</v>
      </c>
      <c r="AO148" s="71" t="str">
        <f t="shared" si="36"/>
        <v>00</v>
      </c>
      <c r="AQ148" t="str">
        <f t="shared" si="31"/>
        <v xml:space="preserve">    (U4)0x0000001FU,                                                           /* 12 UNKNOWN                                         */</v>
      </c>
    </row>
    <row r="149" spans="2:43">
      <c r="B149" s="145"/>
      <c r="C149" s="56">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1</v>
      </c>
      <c r="AF149" s="137">
        <f t="shared" si="38"/>
        <v>1</v>
      </c>
      <c r="AG149" s="137">
        <f t="shared" si="38"/>
        <v>1</v>
      </c>
      <c r="AH149" s="137">
        <f t="shared" si="38"/>
        <v>1</v>
      </c>
      <c r="AI149" s="137">
        <f t="shared" si="38"/>
        <v>1</v>
      </c>
      <c r="AJ149" s="56" t="str">
        <f t="shared" si="30"/>
        <v>UNKNOWN</v>
      </c>
      <c r="AK149" s="69"/>
      <c r="AL149" s="69" t="str">
        <f t="shared" si="33"/>
        <v>1F</v>
      </c>
      <c r="AM149" s="71" t="str">
        <f t="shared" si="34"/>
        <v>00</v>
      </c>
      <c r="AN149" s="71" t="str">
        <f t="shared" si="35"/>
        <v>00</v>
      </c>
      <c r="AO149" s="71" t="str">
        <f t="shared" si="36"/>
        <v>00</v>
      </c>
      <c r="AQ149" t="str">
        <f t="shared" si="31"/>
        <v xml:space="preserve">    (U4)0x0000001FU,                                                           /* 13 UNKNOWN                                         */</v>
      </c>
    </row>
    <row r="150" spans="2:43">
      <c r="B150" s="145"/>
      <c r="C150" s="56">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1</v>
      </c>
      <c r="AF150" s="137">
        <f t="shared" si="38"/>
        <v>1</v>
      </c>
      <c r="AG150" s="137">
        <f t="shared" si="38"/>
        <v>1</v>
      </c>
      <c r="AH150" s="137">
        <f t="shared" si="38"/>
        <v>1</v>
      </c>
      <c r="AI150" s="137">
        <f t="shared" si="38"/>
        <v>1</v>
      </c>
      <c r="AJ150" s="56" t="str">
        <f t="shared" si="30"/>
        <v>UNKNOWN</v>
      </c>
      <c r="AK150" s="69"/>
      <c r="AL150" s="69" t="str">
        <f t="shared" si="33"/>
        <v>1F</v>
      </c>
      <c r="AM150" s="71" t="str">
        <f t="shared" si="34"/>
        <v>00</v>
      </c>
      <c r="AN150" s="71" t="str">
        <f t="shared" si="35"/>
        <v>00</v>
      </c>
      <c r="AO150" s="71" t="str">
        <f t="shared" si="36"/>
        <v>00</v>
      </c>
      <c r="AQ150" t="str">
        <f t="shared" si="31"/>
        <v xml:space="preserve">    (U4)0x0000001FU,                                                           /* 14 UNKNOWN                                         */</v>
      </c>
    </row>
    <row r="151" spans="2:43">
      <c r="B151" s="145"/>
      <c r="C151" s="56">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1</v>
      </c>
      <c r="AF151" s="137">
        <f t="shared" si="38"/>
        <v>1</v>
      </c>
      <c r="AG151" s="137">
        <f t="shared" si="38"/>
        <v>1</v>
      </c>
      <c r="AH151" s="137">
        <f t="shared" si="38"/>
        <v>1</v>
      </c>
      <c r="AI151" s="137">
        <f t="shared" ref="AI151" si="39">IF(OR(AI21=0,AI21=1),1,0)</f>
        <v>1</v>
      </c>
      <c r="AJ151" s="56" t="str">
        <f t="shared" si="30"/>
        <v>UNKNOWN</v>
      </c>
      <c r="AK151" s="69"/>
      <c r="AL151" s="69" t="str">
        <f t="shared" si="33"/>
        <v>1F</v>
      </c>
      <c r="AM151" s="71" t="str">
        <f t="shared" si="34"/>
        <v>00</v>
      </c>
      <c r="AN151" s="71" t="str">
        <f t="shared" si="35"/>
        <v>00</v>
      </c>
      <c r="AO151" s="71" t="str">
        <f t="shared" si="36"/>
        <v>00</v>
      </c>
      <c r="AQ151" t="str">
        <f t="shared" si="31"/>
        <v xml:space="preserve">    (U4)0x0000001FU,                                                           /* 15 UNKNOWN                                         */</v>
      </c>
    </row>
    <row r="152" spans="2:43">
      <c r="B152" s="145"/>
      <c r="C152" s="56">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1</v>
      </c>
      <c r="AF152" s="137">
        <f t="shared" si="40"/>
        <v>1</v>
      </c>
      <c r="AG152" s="137">
        <f t="shared" si="40"/>
        <v>1</v>
      </c>
      <c r="AH152" s="137">
        <f t="shared" si="40"/>
        <v>1</v>
      </c>
      <c r="AI152" s="137">
        <f t="shared" si="40"/>
        <v>1</v>
      </c>
      <c r="AJ152" s="56" t="str">
        <f t="shared" si="30"/>
        <v>UNKNOWN</v>
      </c>
      <c r="AK152" s="69"/>
      <c r="AL152" s="69" t="str">
        <f t="shared" si="33"/>
        <v>1F</v>
      </c>
      <c r="AM152" s="71" t="str">
        <f t="shared" si="34"/>
        <v>00</v>
      </c>
      <c r="AN152" s="71" t="str">
        <f t="shared" si="35"/>
        <v>00</v>
      </c>
      <c r="AO152" s="71" t="str">
        <f t="shared" si="36"/>
        <v>00</v>
      </c>
      <c r="AQ152" t="str">
        <f t="shared" si="31"/>
        <v xml:space="preserve">    (U4)0x0000001FU,                                                           /* 16 UNKNOWN                                         */</v>
      </c>
    </row>
    <row r="153" spans="2:43">
      <c r="B153" s="145"/>
      <c r="C153" s="56">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1</v>
      </c>
      <c r="AF153" s="137">
        <f t="shared" si="40"/>
        <v>1</v>
      </c>
      <c r="AG153" s="137">
        <f t="shared" si="40"/>
        <v>1</v>
      </c>
      <c r="AH153" s="137">
        <f t="shared" si="40"/>
        <v>1</v>
      </c>
      <c r="AI153" s="137">
        <f t="shared" si="40"/>
        <v>1</v>
      </c>
      <c r="AJ153" s="56" t="str">
        <f t="shared" si="30"/>
        <v>TT_ON</v>
      </c>
      <c r="AK153" s="69"/>
      <c r="AL153" s="69" t="str">
        <f t="shared" si="33"/>
        <v>1F</v>
      </c>
      <c r="AM153" s="71" t="str">
        <f t="shared" si="34"/>
        <v>00</v>
      </c>
      <c r="AN153" s="71" t="str">
        <f t="shared" si="35"/>
        <v>00</v>
      </c>
      <c r="AO153" s="71" t="str">
        <f t="shared" si="36"/>
        <v>00</v>
      </c>
      <c r="AQ153" t="str">
        <f t="shared" si="31"/>
        <v xml:space="preserve">    (U4)0x0000001FU,                                                           /* 17 TT_ON                                           */</v>
      </c>
    </row>
    <row r="154" spans="2:43">
      <c r="B154" s="145"/>
      <c r="C154" s="56">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1</v>
      </c>
      <c r="AF154" s="137">
        <f t="shared" si="40"/>
        <v>1</v>
      </c>
      <c r="AG154" s="137">
        <f t="shared" si="40"/>
        <v>1</v>
      </c>
      <c r="AH154" s="137">
        <f t="shared" si="40"/>
        <v>1</v>
      </c>
      <c r="AI154" s="137">
        <f t="shared" si="40"/>
        <v>1</v>
      </c>
      <c r="AJ154" s="56" t="str">
        <f t="shared" si="30"/>
        <v>FLASH_1HZ</v>
      </c>
      <c r="AK154" s="69"/>
      <c r="AL154" s="69" t="str">
        <f t="shared" si="33"/>
        <v>1F</v>
      </c>
      <c r="AM154" s="71" t="str">
        <f t="shared" si="34"/>
        <v>00</v>
      </c>
      <c r="AN154" s="71" t="str">
        <f t="shared" si="35"/>
        <v>00</v>
      </c>
      <c r="AO154" s="71" t="str">
        <f t="shared" si="36"/>
        <v>00</v>
      </c>
      <c r="AQ154" t="str">
        <f t="shared" si="31"/>
        <v xml:space="preserve">    (U4)0x0000001FU,                                                           /* 18 FLASH_1HZ                                       */</v>
      </c>
    </row>
    <row r="155" spans="2:43">
      <c r="B155" s="145"/>
      <c r="C155" s="56">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1</v>
      </c>
      <c r="AF155" s="137">
        <f t="shared" si="40"/>
        <v>1</v>
      </c>
      <c r="AG155" s="137">
        <f t="shared" si="40"/>
        <v>1</v>
      </c>
      <c r="AH155" s="137">
        <f t="shared" si="40"/>
        <v>1</v>
      </c>
      <c r="AI155" s="137">
        <f t="shared" si="40"/>
        <v>1</v>
      </c>
      <c r="AJ155" s="56" t="str">
        <f t="shared" si="30"/>
        <v>FLASH_2HZ</v>
      </c>
      <c r="AK155" s="69"/>
      <c r="AL155" s="69" t="str">
        <f t="shared" si="33"/>
        <v>1F</v>
      </c>
      <c r="AM155" s="71" t="str">
        <f t="shared" si="34"/>
        <v>00</v>
      </c>
      <c r="AN155" s="71" t="str">
        <f t="shared" si="35"/>
        <v>00</v>
      </c>
      <c r="AO155" s="71" t="str">
        <f t="shared" si="36"/>
        <v>00</v>
      </c>
      <c r="AQ155" t="str">
        <f t="shared" si="31"/>
        <v xml:space="preserve">    (U4)0x0000001FU,                                                           /* 19 FLASH_2HZ                                       */</v>
      </c>
    </row>
    <row r="156" spans="2:43">
      <c r="B156" s="145"/>
      <c r="C156" s="56">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1</v>
      </c>
      <c r="AF156" s="137">
        <f t="shared" si="40"/>
        <v>1</v>
      </c>
      <c r="AG156" s="137">
        <f t="shared" si="40"/>
        <v>1</v>
      </c>
      <c r="AH156" s="137">
        <f t="shared" si="40"/>
        <v>1</v>
      </c>
      <c r="AI156" s="137">
        <f t="shared" si="40"/>
        <v>1</v>
      </c>
      <c r="AJ156" s="56" t="str">
        <f t="shared" si="30"/>
        <v>FLASH_4HZ</v>
      </c>
      <c r="AK156" s="69"/>
      <c r="AL156" s="69" t="str">
        <f t="shared" si="33"/>
        <v>1F</v>
      </c>
      <c r="AM156" s="71" t="str">
        <f t="shared" si="34"/>
        <v>00</v>
      </c>
      <c r="AN156" s="71" t="str">
        <f t="shared" si="35"/>
        <v>00</v>
      </c>
      <c r="AO156" s="71" t="str">
        <f t="shared" si="36"/>
        <v>00</v>
      </c>
      <c r="AQ156" t="str">
        <f t="shared" si="31"/>
        <v xml:space="preserve">    (U4)0x0000001FU,                                                           /* 20 FLASH_4HZ                                       */</v>
      </c>
    </row>
    <row r="157" spans="2:43">
      <c r="B157" s="145"/>
      <c r="C157" s="56">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1</v>
      </c>
      <c r="AF157" s="137">
        <f t="shared" si="40"/>
        <v>1</v>
      </c>
      <c r="AG157" s="137">
        <f t="shared" si="40"/>
        <v>1</v>
      </c>
      <c r="AH157" s="137">
        <f t="shared" si="40"/>
        <v>1</v>
      </c>
      <c r="AI157" s="137">
        <f t="shared" si="40"/>
        <v>1</v>
      </c>
      <c r="AJ157" s="56" t="str">
        <f t="shared" si="30"/>
        <v>UNKNOWN</v>
      </c>
      <c r="AK157" s="69"/>
      <c r="AL157" s="69" t="str">
        <f t="shared" si="33"/>
        <v>1F</v>
      </c>
      <c r="AM157" s="71" t="str">
        <f t="shared" si="34"/>
        <v>00</v>
      </c>
      <c r="AN157" s="71" t="str">
        <f t="shared" si="35"/>
        <v>00</v>
      </c>
      <c r="AO157" s="71" t="str">
        <f t="shared" si="36"/>
        <v>00</v>
      </c>
      <c r="AQ157" t="str">
        <f t="shared" si="31"/>
        <v xml:space="preserve">    (U4)0x0000001FU,                                                           /* 21 UNKNOWN                                         */</v>
      </c>
    </row>
    <row r="158" spans="2:43">
      <c r="B158" s="145"/>
      <c r="C158" s="56">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1</v>
      </c>
      <c r="AF158" s="137">
        <f t="shared" si="40"/>
        <v>1</v>
      </c>
      <c r="AG158" s="137">
        <f t="shared" si="40"/>
        <v>1</v>
      </c>
      <c r="AH158" s="137">
        <f t="shared" si="40"/>
        <v>1</v>
      </c>
      <c r="AI158" s="137">
        <f t="shared" si="40"/>
        <v>1</v>
      </c>
      <c r="AJ158" s="56" t="str">
        <f t="shared" si="30"/>
        <v>UNKNOWN</v>
      </c>
      <c r="AK158" s="69"/>
      <c r="AL158" s="69" t="str">
        <f t="shared" si="33"/>
        <v>1F</v>
      </c>
      <c r="AM158" s="71" t="str">
        <f t="shared" si="34"/>
        <v>00</v>
      </c>
      <c r="AN158" s="71" t="str">
        <f t="shared" si="35"/>
        <v>00</v>
      </c>
      <c r="AO158" s="71" t="str">
        <f t="shared" si="36"/>
        <v>00</v>
      </c>
      <c r="AQ158" t="str">
        <f t="shared" si="31"/>
        <v xml:space="preserve">    (U4)0x0000001FU,                                                           /* 22 UNKNOWN                                         */</v>
      </c>
    </row>
    <row r="159" spans="2:43">
      <c r="B159" s="145"/>
      <c r="C159" s="56">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1</v>
      </c>
      <c r="AF159" s="137">
        <f t="shared" si="40"/>
        <v>1</v>
      </c>
      <c r="AG159" s="137">
        <f t="shared" si="40"/>
        <v>1</v>
      </c>
      <c r="AH159" s="137">
        <f t="shared" si="40"/>
        <v>1</v>
      </c>
      <c r="AI159" s="137">
        <f t="shared" ref="AI159" si="41">IF(OR(AI29=0,AI29=1),1,0)</f>
        <v>1</v>
      </c>
      <c r="AJ159" s="56" t="str">
        <f t="shared" si="30"/>
        <v>UNKNOWN</v>
      </c>
      <c r="AK159" s="69"/>
      <c r="AL159" s="69" t="str">
        <f t="shared" si="33"/>
        <v>1F</v>
      </c>
      <c r="AM159" s="71" t="str">
        <f t="shared" si="34"/>
        <v>00</v>
      </c>
      <c r="AN159" s="71" t="str">
        <f t="shared" si="35"/>
        <v>00</v>
      </c>
      <c r="AO159" s="71" t="str">
        <f t="shared" si="36"/>
        <v>00</v>
      </c>
      <c r="AQ159" t="str">
        <f t="shared" si="31"/>
        <v xml:space="preserve">    (U4)0x0000001FU,                                                           /* 23 UNKNOWN                                         */</v>
      </c>
    </row>
    <row r="160" spans="2:43">
      <c r="B160" s="145"/>
      <c r="C160" s="56">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1</v>
      </c>
      <c r="AF160" s="137">
        <f t="shared" si="42"/>
        <v>1</v>
      </c>
      <c r="AG160" s="137">
        <f t="shared" si="42"/>
        <v>1</v>
      </c>
      <c r="AH160" s="137">
        <f t="shared" si="42"/>
        <v>1</v>
      </c>
      <c r="AI160" s="137">
        <f t="shared" si="42"/>
        <v>1</v>
      </c>
      <c r="AJ160" s="56" t="str">
        <f t="shared" si="30"/>
        <v>UNKNOWN</v>
      </c>
      <c r="AK160" s="69"/>
      <c r="AL160" s="69" t="str">
        <f t="shared" si="33"/>
        <v>1F</v>
      </c>
      <c r="AM160" s="71" t="str">
        <f t="shared" si="34"/>
        <v>00</v>
      </c>
      <c r="AN160" s="71" t="str">
        <f t="shared" si="35"/>
        <v>00</v>
      </c>
      <c r="AO160" s="71" t="str">
        <f t="shared" si="36"/>
        <v>00</v>
      </c>
      <c r="AQ160" t="str">
        <f t="shared" si="31"/>
        <v xml:space="preserve">    (U4)0x0000001FU,                                                           /* 24 UNKNOWN                                         */</v>
      </c>
    </row>
    <row r="161" spans="2:43">
      <c r="B161" s="145"/>
      <c r="C161" s="56">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1</v>
      </c>
      <c r="AF161" s="137">
        <f t="shared" si="42"/>
        <v>1</v>
      </c>
      <c r="AG161" s="137">
        <f t="shared" si="42"/>
        <v>1</v>
      </c>
      <c r="AH161" s="137">
        <f t="shared" si="42"/>
        <v>1</v>
      </c>
      <c r="AI161" s="137">
        <f t="shared" si="42"/>
        <v>1</v>
      </c>
      <c r="AJ161" s="56" t="str">
        <f t="shared" si="30"/>
        <v>UNKNOWN</v>
      </c>
      <c r="AK161" s="69"/>
      <c r="AL161" s="69" t="str">
        <f t="shared" si="33"/>
        <v>1F</v>
      </c>
      <c r="AM161" s="71" t="str">
        <f t="shared" si="34"/>
        <v>00</v>
      </c>
      <c r="AN161" s="71" t="str">
        <f t="shared" si="35"/>
        <v>00</v>
      </c>
      <c r="AO161" s="71" t="str">
        <f t="shared" si="36"/>
        <v>00</v>
      </c>
      <c r="AQ161" t="str">
        <f t="shared" si="31"/>
        <v xml:space="preserve">    (U4)0x0000001FU,                                                           /* 25 UNKNOWN                                         */</v>
      </c>
    </row>
    <row r="162" spans="2:43">
      <c r="B162" s="145"/>
      <c r="C162" s="56">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1</v>
      </c>
      <c r="AF162" s="137">
        <f t="shared" si="42"/>
        <v>1</v>
      </c>
      <c r="AG162" s="137">
        <f t="shared" si="42"/>
        <v>1</v>
      </c>
      <c r="AH162" s="137">
        <f t="shared" si="42"/>
        <v>1</v>
      </c>
      <c r="AI162" s="137">
        <f t="shared" si="42"/>
        <v>1</v>
      </c>
      <c r="AJ162" s="56" t="str">
        <f t="shared" si="30"/>
        <v>UNKNOWN</v>
      </c>
      <c r="AK162" s="69"/>
      <c r="AL162" s="69" t="str">
        <f t="shared" si="33"/>
        <v>1F</v>
      </c>
      <c r="AM162" s="71" t="str">
        <f t="shared" si="34"/>
        <v>00</v>
      </c>
      <c r="AN162" s="71" t="str">
        <f t="shared" si="35"/>
        <v>00</v>
      </c>
      <c r="AO162" s="71" t="str">
        <f t="shared" si="36"/>
        <v>00</v>
      </c>
      <c r="AQ162" t="str">
        <f t="shared" si="31"/>
        <v xml:space="preserve">    (U4)0x0000001FU,                                                           /* 26 UNKNOWN                                         */</v>
      </c>
    </row>
    <row r="163" spans="2:43">
      <c r="B163" s="145"/>
      <c r="C163" s="56">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1</v>
      </c>
      <c r="AF163" s="137">
        <f t="shared" si="42"/>
        <v>1</v>
      </c>
      <c r="AG163" s="137">
        <f t="shared" si="42"/>
        <v>1</v>
      </c>
      <c r="AH163" s="137">
        <f t="shared" si="42"/>
        <v>1</v>
      </c>
      <c r="AI163" s="137">
        <f t="shared" si="42"/>
        <v>1</v>
      </c>
      <c r="AJ163" s="56" t="str">
        <f t="shared" si="30"/>
        <v>UNKNOWN</v>
      </c>
      <c r="AK163" s="69"/>
      <c r="AL163" s="69" t="str">
        <f t="shared" si="33"/>
        <v>1F</v>
      </c>
      <c r="AM163" s="71" t="str">
        <f t="shared" si="34"/>
        <v>00</v>
      </c>
      <c r="AN163" s="71" t="str">
        <f t="shared" si="35"/>
        <v>00</v>
      </c>
      <c r="AO163" s="71" t="str">
        <f t="shared" si="36"/>
        <v>00</v>
      </c>
      <c r="AQ163" t="str">
        <f t="shared" si="31"/>
        <v xml:space="preserve">    (U4)0x0000001FU,                                                           /* 27 UNKNOWN                                         */</v>
      </c>
    </row>
    <row r="164" spans="2:43">
      <c r="B164" s="145"/>
      <c r="C164" s="56">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1</v>
      </c>
      <c r="AF164" s="137">
        <f t="shared" si="42"/>
        <v>1</v>
      </c>
      <c r="AG164" s="137">
        <f t="shared" si="42"/>
        <v>1</v>
      </c>
      <c r="AH164" s="137">
        <f t="shared" si="42"/>
        <v>1</v>
      </c>
      <c r="AI164" s="137">
        <f t="shared" si="42"/>
        <v>1</v>
      </c>
      <c r="AJ164" s="56" t="str">
        <f t="shared" si="30"/>
        <v>UNKNOWN</v>
      </c>
      <c r="AK164" s="69"/>
      <c r="AL164" s="69" t="str">
        <f t="shared" si="33"/>
        <v>1F</v>
      </c>
      <c r="AM164" s="71" t="str">
        <f t="shared" si="34"/>
        <v>00</v>
      </c>
      <c r="AN164" s="71" t="str">
        <f t="shared" si="35"/>
        <v>00</v>
      </c>
      <c r="AO164" s="71" t="str">
        <f t="shared" si="36"/>
        <v>00</v>
      </c>
      <c r="AQ164" t="str">
        <f t="shared" si="31"/>
        <v xml:space="preserve">    (U4)0x0000001FU,                                                           /* 28 UNKNOWN                                         */</v>
      </c>
    </row>
    <row r="165" spans="2:43">
      <c r="B165" s="145"/>
      <c r="C165" s="56">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1</v>
      </c>
      <c r="AF165" s="137">
        <f t="shared" si="42"/>
        <v>1</v>
      </c>
      <c r="AG165" s="137">
        <f t="shared" si="42"/>
        <v>1</v>
      </c>
      <c r="AH165" s="137">
        <f t="shared" si="42"/>
        <v>1</v>
      </c>
      <c r="AI165" s="137">
        <f t="shared" si="42"/>
        <v>1</v>
      </c>
      <c r="AJ165" s="56" t="str">
        <f t="shared" si="30"/>
        <v>UNKNOWN</v>
      </c>
      <c r="AK165" s="69"/>
      <c r="AL165" s="69" t="str">
        <f t="shared" si="33"/>
        <v>1F</v>
      </c>
      <c r="AM165" s="71" t="str">
        <f t="shared" si="34"/>
        <v>00</v>
      </c>
      <c r="AN165" s="71" t="str">
        <f t="shared" si="35"/>
        <v>00</v>
      </c>
      <c r="AO165" s="71" t="str">
        <f t="shared" si="36"/>
        <v>00</v>
      </c>
      <c r="AQ165" t="str">
        <f t="shared" si="31"/>
        <v xml:space="preserve">    (U4)0x0000001FU,                                                           /* 29 UNKNOWN                                         */</v>
      </c>
    </row>
    <row r="166" spans="2:43">
      <c r="B166" s="145"/>
      <c r="C166" s="56">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1</v>
      </c>
      <c r="AF166" s="137">
        <f t="shared" si="42"/>
        <v>1</v>
      </c>
      <c r="AG166" s="137">
        <f t="shared" si="42"/>
        <v>1</v>
      </c>
      <c r="AH166" s="137">
        <f t="shared" si="42"/>
        <v>1</v>
      </c>
      <c r="AI166" s="137">
        <f t="shared" si="42"/>
        <v>1</v>
      </c>
      <c r="AJ166" s="56" t="str">
        <f t="shared" si="30"/>
        <v>UNKNOWN</v>
      </c>
      <c r="AK166" s="69"/>
      <c r="AL166" s="69" t="str">
        <f t="shared" si="33"/>
        <v>1F</v>
      </c>
      <c r="AM166" s="71" t="str">
        <f t="shared" si="34"/>
        <v>00</v>
      </c>
      <c r="AN166" s="71" t="str">
        <f t="shared" si="35"/>
        <v>00</v>
      </c>
      <c r="AO166" s="71" t="str">
        <f t="shared" si="36"/>
        <v>00</v>
      </c>
      <c r="AQ166" t="str">
        <f t="shared" si="31"/>
        <v xml:space="preserve">    (U4)0x0000001FU,                                                           /* 30 UNKNOWN                                         */</v>
      </c>
    </row>
    <row r="167" spans="2:43">
      <c r="B167" s="145"/>
      <c r="C167" s="56">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1</v>
      </c>
      <c r="AF167" s="137">
        <f t="shared" si="42"/>
        <v>1</v>
      </c>
      <c r="AG167" s="137">
        <f t="shared" si="42"/>
        <v>1</v>
      </c>
      <c r="AH167" s="137">
        <f t="shared" si="42"/>
        <v>1</v>
      </c>
      <c r="AI167" s="137">
        <f t="shared" ref="AI167" si="43">IF(OR(AI37=0,AI37=1),1,0)</f>
        <v>1</v>
      </c>
      <c r="AJ167" s="56" t="str">
        <f t="shared" si="30"/>
        <v>UNKNOWN</v>
      </c>
      <c r="AK167" s="69"/>
      <c r="AL167" s="69" t="str">
        <f t="shared" si="33"/>
        <v>1F</v>
      </c>
      <c r="AM167" s="71" t="str">
        <f t="shared" si="34"/>
        <v>00</v>
      </c>
      <c r="AN167" s="71" t="str">
        <f t="shared" si="35"/>
        <v>00</v>
      </c>
      <c r="AO167" s="71" t="str">
        <f t="shared" si="36"/>
        <v>00</v>
      </c>
      <c r="AQ167" t="str">
        <f t="shared" si="31"/>
        <v xml:space="preserve">    (U4)0x0000001FU                                                            /* 31 UNKNOWN                                         */</v>
      </c>
    </row>
    <row r="168" spans="2:43">
      <c r="B168" s="145"/>
      <c r="C168" s="56">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5"/>
      <c r="C169" s="56">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5"/>
      <c r="C170" s="56">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5"/>
      <c r="C171" s="56">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5"/>
      <c r="C172" s="56">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5"/>
      <c r="C173" s="56">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5"/>
      <c r="C174" s="56">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5"/>
      <c r="C175" s="56">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5"/>
      <c r="C176" s="56">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5"/>
      <c r="C177" s="56">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5"/>
      <c r="C178" s="56">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5"/>
      <c r="C179" s="56">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5"/>
      <c r="C180" s="56">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5"/>
      <c r="C181" s="56">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5"/>
      <c r="C182" s="56">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5"/>
      <c r="C183" s="56">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5"/>
      <c r="C184" s="56">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5"/>
      <c r="C185" s="56">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5"/>
      <c r="C186" s="56">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5"/>
      <c r="C187" s="56">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5"/>
      <c r="C188" s="56">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5"/>
      <c r="C189" s="56">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5"/>
      <c r="C190" s="56">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5"/>
      <c r="C191" s="56">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5"/>
      <c r="C192" s="56">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5"/>
      <c r="C193" s="56">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5"/>
      <c r="C194" s="56">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5"/>
      <c r="C195" s="56">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5"/>
      <c r="C196" s="56">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5"/>
      <c r="C197" s="56">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5"/>
      <c r="C198" s="56">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6"/>
      <c r="C199" s="56">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D3 D6:AJ69" name="Table作成編集範囲"/>
    <protectedRange sqref="B3" name="Table作成編集範囲_1"/>
    <protectedRange sqref="AF3:AI3" name="Table作成編集範囲_2"/>
  </protectedRanges>
  <customSheetViews>
    <customSheetView guid="{835E1E8D-859C-4113-A3E5-0B83A29207D2}" scale="85" hiddenColumns="1">
      <pane ySplit="3" topLeftCell="A4" activePane="bottomLeft" state="frozen"/>
      <selection pane="bottomLeft" activeCell="A4" sqref="A4:B5"/>
      <pageMargins left="0.7" right="0.7" top="0.75" bottom="0.75" header="0.3" footer="0.3"/>
    </customSheetView>
  </customSheetViews>
  <mergeCells count="4">
    <mergeCell ref="C2:C3"/>
    <mergeCell ref="AJ2:AJ3"/>
    <mergeCell ref="A4:B5"/>
    <mergeCell ref="AG3:AI3"/>
  </mergeCells>
  <phoneticPr fontId="2"/>
  <conditionalFormatting sqref="D6:AI69">
    <cfRule type="cellIs" dxfId="8" priority="1" operator="equal">
      <formula>1</formula>
    </cfRule>
    <cfRule type="cellIs" dxfId="7" priority="2" operator="equal">
      <formula>"×"</formula>
    </cfRule>
  </conditionalFormatting>
  <conditionalFormatting sqref="AR5:AS70">
    <cfRule type="expression" dxfId="6" priority="7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62</v>
      </c>
      <c r="AI1" t="s">
        <v>63</v>
      </c>
    </row>
    <row r="2" spans="1:49">
      <c r="B2" s="136" t="s">
        <v>123</v>
      </c>
      <c r="C2" s="319" t="s">
        <v>84</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21" t="s">
        <v>54</v>
      </c>
    </row>
    <row r="3" spans="1:49" ht="213" customHeight="1" thickBot="1">
      <c r="B3" s="213" t="str">
        <f>IF(OR(IF(COUNTIF(D6:AC69,"0")&lt;&gt;0,TRUE,FALSE),IF(COUNTIF(D6:AC69,"1")&lt;&gt;0,TRUE,FALSE)),"Search Table","Index Table")</f>
        <v>Search Table</v>
      </c>
      <c r="C3" s="320"/>
      <c r="D3" s="138" t="s">
        <v>64</v>
      </c>
      <c r="E3" s="138" t="s">
        <v>69</v>
      </c>
      <c r="F3" s="138" t="s">
        <v>52</v>
      </c>
      <c r="G3" s="138" t="s">
        <v>51</v>
      </c>
      <c r="H3" s="138" t="s">
        <v>121</v>
      </c>
      <c r="I3" s="138" t="s">
        <v>120</v>
      </c>
      <c r="J3" s="138" t="s">
        <v>125</v>
      </c>
      <c r="K3" s="138" t="s">
        <v>124</v>
      </c>
      <c r="L3" s="139" t="s">
        <v>69</v>
      </c>
      <c r="M3" s="139" t="s">
        <v>65</v>
      </c>
      <c r="N3" s="139" t="s">
        <v>65</v>
      </c>
      <c r="O3" s="139" t="s">
        <v>65</v>
      </c>
      <c r="P3" s="139" t="s">
        <v>65</v>
      </c>
      <c r="Q3" s="139" t="s">
        <v>65</v>
      </c>
      <c r="R3" s="139" t="s">
        <v>65</v>
      </c>
      <c r="S3" s="139" t="s">
        <v>65</v>
      </c>
      <c r="T3" s="139" t="s">
        <v>65</v>
      </c>
      <c r="U3" s="139" t="s">
        <v>65</v>
      </c>
      <c r="V3" s="139" t="s">
        <v>65</v>
      </c>
      <c r="W3" s="139" t="s">
        <v>65</v>
      </c>
      <c r="X3" s="139" t="s">
        <v>65</v>
      </c>
      <c r="Y3" s="139" t="s">
        <v>65</v>
      </c>
      <c r="Z3" s="139" t="s">
        <v>65</v>
      </c>
      <c r="AA3" s="139" t="s">
        <v>65</v>
      </c>
      <c r="AB3" s="139" t="s">
        <v>65</v>
      </c>
      <c r="AC3" s="327" t="s">
        <v>393</v>
      </c>
      <c r="AD3" s="328"/>
      <c r="AE3" s="327" t="s">
        <v>243</v>
      </c>
      <c r="AF3" s="328"/>
      <c r="AG3" s="328"/>
      <c r="AH3" s="328"/>
      <c r="AI3" s="329"/>
      <c r="AJ3" s="322"/>
      <c r="AR3" s="103" t="s">
        <v>96</v>
      </c>
    </row>
    <row r="4" spans="1:49" ht="13.5" thickBot="1">
      <c r="A4" s="323" t="s">
        <v>66</v>
      </c>
      <c r="B4" s="324"/>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41"/>
      <c r="AR4" s="91" t="s">
        <v>82</v>
      </c>
      <c r="AS4" s="92"/>
      <c r="AT4" s="92"/>
      <c r="AU4" s="92"/>
      <c r="AV4" s="92"/>
      <c r="AW4" s="93"/>
    </row>
    <row r="5" spans="1:49" ht="13.5" thickBot="1">
      <c r="A5" s="325"/>
      <c r="B5" s="326"/>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42"/>
      <c r="AR5" s="94" t="str">
        <f ca="1">"static const U4  "&amp;AW8&amp;"["&amp;AW10&amp;"]"&amp;" = {"</f>
        <v>static const U4  u4_sp_ALERT_C_EPB_WRN_IG_CRIT[ALERT_C_EPB_WRN_IG_NUM_DST] = {</v>
      </c>
      <c r="AS5" s="94" t="str">
        <f ca="1">"static const U4  "&amp;$AW$9&amp;"["&amp;$AW$10&amp;"] = {"</f>
        <v>static const U4  u4_sp_ALERT_C_EPB_WRN_IG_MASK[ALERT_C_EPB_WRN_IG_NUM_DST] = {</v>
      </c>
      <c r="AT5" s="94" t="str">
        <f ca="1">"static const U1  "&amp;$AW$11&amp;"["&amp;$AW$10&amp;"] = {"</f>
        <v>static const U1  u1_sp_ALERT_C_EPB_WRN_IG_DST[ALERT_C_EPB_WRN_IG_NUM_DST] = {</v>
      </c>
      <c r="AU5" s="94" t="str">
        <f ca="1">"const ST_ALERT_MTRX "&amp;$AW$12&amp;" = {"</f>
        <v>const ST_ALERT_MTRX st_gp_ALERT_C_EPB_MTRX[3] = {</v>
      </c>
      <c r="AV5" s="74" t="str">
        <f ca="1">"#define "&amp;AW10&amp;REPT(" ",41-LEN(AW10))&amp;"("&amp;AW13&amp;"U)"</f>
        <v>#define ALERT_C_EPB_WRN_IG_NUM_DST               (8U)</v>
      </c>
      <c r="AW5" s="75"/>
    </row>
    <row r="6" spans="1:49">
      <c r="B6" s="145" t="str">
        <f ca="1">"Table "&amp;$AW$6</f>
        <v>Table WRN_IG</v>
      </c>
      <c r="C6" s="61">
        <f>ROW()-ROW($C$6)</f>
        <v>0</v>
      </c>
      <c r="D6" s="140" t="s">
        <v>70</v>
      </c>
      <c r="E6" s="140" t="s">
        <v>70</v>
      </c>
      <c r="F6" s="140" t="s">
        <v>70</v>
      </c>
      <c r="G6" s="140" t="s">
        <v>70</v>
      </c>
      <c r="H6" s="140" t="s">
        <v>70</v>
      </c>
      <c r="I6" s="140" t="s">
        <v>70</v>
      </c>
      <c r="J6" s="140" t="s">
        <v>70</v>
      </c>
      <c r="K6" s="140" t="s">
        <v>70</v>
      </c>
      <c r="L6" s="140" t="s">
        <v>70</v>
      </c>
      <c r="M6" s="140" t="s">
        <v>70</v>
      </c>
      <c r="N6" s="140" t="s">
        <v>70</v>
      </c>
      <c r="O6" s="140" t="s">
        <v>70</v>
      </c>
      <c r="P6" s="140" t="s">
        <v>70</v>
      </c>
      <c r="Q6" s="140" t="s">
        <v>70</v>
      </c>
      <c r="R6" s="140" t="s">
        <v>70</v>
      </c>
      <c r="S6" s="140" t="s">
        <v>70</v>
      </c>
      <c r="T6" s="140" t="s">
        <v>70</v>
      </c>
      <c r="U6" s="140" t="s">
        <v>70</v>
      </c>
      <c r="V6" s="140" t="s">
        <v>70</v>
      </c>
      <c r="W6" s="140" t="s">
        <v>70</v>
      </c>
      <c r="X6" s="140" t="s">
        <v>70</v>
      </c>
      <c r="Y6" s="140" t="s">
        <v>70</v>
      </c>
      <c r="Z6" s="140" t="s">
        <v>70</v>
      </c>
      <c r="AA6" s="140" t="s">
        <v>70</v>
      </c>
      <c r="AB6" s="140" t="s">
        <v>70</v>
      </c>
      <c r="AC6" s="140">
        <v>1</v>
      </c>
      <c r="AD6" s="140" t="s">
        <v>244</v>
      </c>
      <c r="AE6" s="143" t="s">
        <v>244</v>
      </c>
      <c r="AF6" s="143" t="s">
        <v>244</v>
      </c>
      <c r="AG6" s="143" t="s">
        <v>244</v>
      </c>
      <c r="AH6" s="143" t="s">
        <v>244</v>
      </c>
      <c r="AI6" s="143" t="s">
        <v>244</v>
      </c>
      <c r="AJ6" s="60" t="s">
        <v>403</v>
      </c>
      <c r="AL6" t="str">
        <f t="shared" ref="AL6:AL69" ca="1" si="0">IF($AJ6="UNKNOWN","    (U1)ALERT_REQ_UNKNOWN","    (U1)"&amp;"ALERT_REQ_"&amp;$AW$17&amp;"_"&amp;IF($AW$6&lt;&gt;$AW$17,$AW$6&amp;"_","")&amp;AJ6)</f>
        <v xml:space="preserve">    (U1)ALERT_REQ_C_EPB_WRN_IG_MALFUNC</v>
      </c>
      <c r="AR6" s="72" t="str">
        <f>IF(AQ71&lt;&gt;"",AQ71,IF(AQ70&lt;&gt;"","};",""))</f>
        <v xml:space="preserve">    (U4)0x00000040U,                                                           /* 00 MALFUNC                                         */</v>
      </c>
      <c r="AS6" s="72" t="str">
        <f>IF(AQ136&lt;&gt;"",AQ136,IF(AQ135&lt;&gt;"","};",""))</f>
        <v xml:space="preserve">    (U4)0x00000040U,                                                           /* 00 MALFUNC                                         */</v>
      </c>
      <c r="AT6" s="72" t="str">
        <f t="shared" ref="AT6:AT69" ca="1" si="1">IF(AJ6&lt;&gt;"",AL6&amp;IF(AJ7&lt;&gt;"",","," ")&amp;REPT(" ",78-LEN(AL6))&amp;"/* "&amp;IF(C6&lt;10,"0"&amp;C6,C6)&amp;" "&amp;AJ6&amp;REPT(" ",48-LEN(AJ6))&amp;"*/",IF(AJ5&lt;&gt;"","};",""))</f>
        <v xml:space="preserve">    (U1)ALERT_REQ_C_EPB_WRN_IG_MALFUNC,                                        /* 00 MALFUNC                                         */</v>
      </c>
      <c r="AU6" s="72" t="s">
        <v>307</v>
      </c>
      <c r="AV6" s="57" t="s">
        <v>71</v>
      </c>
      <c r="AW6" s="76" t="str">
        <f ca="1">UPPER(RIGHT(CELL("filename",A1),LEN(CELL("filename",A1))-FIND("]",CELL("filename",A1))))</f>
        <v>WRN_IG</v>
      </c>
    </row>
    <row r="7" spans="1:49">
      <c r="B7" s="145"/>
      <c r="C7" s="56">
        <f t="shared" ref="C7:C69" si="2">ROW()-ROW($C$6)</f>
        <v>1</v>
      </c>
      <c r="D7" s="70" t="s">
        <v>70</v>
      </c>
      <c r="E7" s="70" t="s">
        <v>70</v>
      </c>
      <c r="F7" s="70" t="s">
        <v>70</v>
      </c>
      <c r="G7" s="70" t="s">
        <v>70</v>
      </c>
      <c r="H7" s="70" t="s">
        <v>70</v>
      </c>
      <c r="I7" s="70" t="s">
        <v>70</v>
      </c>
      <c r="J7" s="70" t="s">
        <v>70</v>
      </c>
      <c r="K7" s="140" t="s">
        <v>70</v>
      </c>
      <c r="L7" s="70" t="s">
        <v>70</v>
      </c>
      <c r="M7" s="70" t="s">
        <v>70</v>
      </c>
      <c r="N7" s="70" t="s">
        <v>70</v>
      </c>
      <c r="O7" s="70" t="s">
        <v>70</v>
      </c>
      <c r="P7" s="70" t="s">
        <v>70</v>
      </c>
      <c r="Q7" s="70" t="s">
        <v>70</v>
      </c>
      <c r="R7" s="70" t="s">
        <v>70</v>
      </c>
      <c r="S7" s="70" t="s">
        <v>70</v>
      </c>
      <c r="T7" s="70" t="s">
        <v>70</v>
      </c>
      <c r="U7" s="70" t="s">
        <v>70</v>
      </c>
      <c r="V7" s="70" t="s">
        <v>70</v>
      </c>
      <c r="W7" s="70" t="s">
        <v>70</v>
      </c>
      <c r="X7" s="70" t="s">
        <v>70</v>
      </c>
      <c r="Y7" s="70" t="s">
        <v>70</v>
      </c>
      <c r="Z7" s="70" t="s">
        <v>70</v>
      </c>
      <c r="AA7" s="70" t="s">
        <v>70</v>
      </c>
      <c r="AB7" s="70" t="s">
        <v>70</v>
      </c>
      <c r="AC7" s="70">
        <v>0</v>
      </c>
      <c r="AD7" s="70">
        <v>0</v>
      </c>
      <c r="AE7" s="70">
        <v>0</v>
      </c>
      <c r="AF7" s="70">
        <v>0</v>
      </c>
      <c r="AG7" s="70">
        <v>0</v>
      </c>
      <c r="AH7" s="143">
        <v>1</v>
      </c>
      <c r="AI7" s="143">
        <v>1</v>
      </c>
      <c r="AJ7" s="60" t="s">
        <v>402</v>
      </c>
      <c r="AL7" t="str">
        <f t="shared" ca="1" si="0"/>
        <v xml:space="preserve">    (U1)ALERT_REQ_C_EPB_WRN_IG_LOCK</v>
      </c>
      <c r="AR7" s="72" t="str">
        <f t="shared" ref="AR7:AR70" si="3">IF(AQ72&lt;&gt;"",AQ72,IF(AQ71&lt;&gt;"","};",""))</f>
        <v xml:space="preserve">    (U4)0x00000003U,                                                           /* 01 LOCK                                            */</v>
      </c>
      <c r="AS7" s="72" t="str">
        <f t="shared" ref="AS7:AS70" si="4">IF(AQ137&lt;&gt;"",AQ137,IF(AQ136&lt;&gt;"","};",""))</f>
        <v xml:space="preserve">    (U4)0x0000007FU,                                                           /* 01 LOCK                                            */</v>
      </c>
      <c r="AT7" s="72" t="str">
        <f t="shared" ca="1" si="1"/>
        <v xml:space="preserve">    (U1)ALERT_REQ_C_EPB_WRN_IG_LOCK,                                           /* 01 LOCK                                            */</v>
      </c>
      <c r="AU7" s="72" t="str">
        <f ca="1">"        &amp;"&amp;$AW$14&amp;","&amp;REPT(" ",69-LEN($AW$14))&amp;"/* fp_u4_SRC_CHK                                      */"</f>
        <v xml:space="preserve">        &amp;u4_s_AlertC_epbWrnIgSrcchk,                                           /* fp_u4_SRC_CHK                                      */</v>
      </c>
      <c r="AV7" s="58" t="s">
        <v>72</v>
      </c>
      <c r="AW7" s="144">
        <f>IF(B3="Search Table",1,0)</f>
        <v>1</v>
      </c>
    </row>
    <row r="8" spans="1:49">
      <c r="B8" s="145"/>
      <c r="C8" s="56">
        <f t="shared" si="2"/>
        <v>2</v>
      </c>
      <c r="D8" s="70" t="s">
        <v>70</v>
      </c>
      <c r="E8" s="70" t="s">
        <v>70</v>
      </c>
      <c r="F8" s="70" t="s">
        <v>70</v>
      </c>
      <c r="G8" s="70" t="s">
        <v>70</v>
      </c>
      <c r="H8" s="70" t="s">
        <v>70</v>
      </c>
      <c r="I8" s="70" t="s">
        <v>70</v>
      </c>
      <c r="J8" s="70" t="s">
        <v>70</v>
      </c>
      <c r="K8" s="70" t="s">
        <v>70</v>
      </c>
      <c r="L8" s="70" t="s">
        <v>70</v>
      </c>
      <c r="M8" s="70" t="s">
        <v>70</v>
      </c>
      <c r="N8" s="70" t="s">
        <v>70</v>
      </c>
      <c r="O8" s="70" t="s">
        <v>70</v>
      </c>
      <c r="P8" s="70" t="s">
        <v>70</v>
      </c>
      <c r="Q8" s="70" t="s">
        <v>70</v>
      </c>
      <c r="R8" s="70" t="s">
        <v>70</v>
      </c>
      <c r="S8" s="70" t="s">
        <v>70</v>
      </c>
      <c r="T8" s="70" t="s">
        <v>70</v>
      </c>
      <c r="U8" s="70" t="s">
        <v>70</v>
      </c>
      <c r="V8" s="70" t="s">
        <v>70</v>
      </c>
      <c r="W8" s="70" t="s">
        <v>70</v>
      </c>
      <c r="X8" s="70" t="s">
        <v>70</v>
      </c>
      <c r="Y8" s="70" t="s">
        <v>70</v>
      </c>
      <c r="Z8" s="70" t="s">
        <v>70</v>
      </c>
      <c r="AA8" s="70" t="s">
        <v>70</v>
      </c>
      <c r="AB8" s="70" t="s">
        <v>70</v>
      </c>
      <c r="AC8" s="70">
        <v>0</v>
      </c>
      <c r="AD8" s="70">
        <v>0</v>
      </c>
      <c r="AE8" s="70">
        <v>0</v>
      </c>
      <c r="AF8" s="70">
        <v>0</v>
      </c>
      <c r="AG8" s="70">
        <v>1</v>
      </c>
      <c r="AH8" s="143">
        <v>0</v>
      </c>
      <c r="AI8" s="143">
        <v>0</v>
      </c>
      <c r="AJ8" s="24" t="s">
        <v>401</v>
      </c>
      <c r="AL8" t="str">
        <f t="shared" ca="1" si="0"/>
        <v xml:space="preserve">    (U1)ALERT_REQ_C_EPB_WRN_IG_ADVICE1</v>
      </c>
      <c r="AR8" s="72" t="str">
        <f t="shared" si="3"/>
        <v xml:space="preserve">    (U4)0x00000004U,                                                           /* 02 ADVICE1                                         */</v>
      </c>
      <c r="AS8" s="72" t="str">
        <f t="shared" si="4"/>
        <v xml:space="preserve">    (U4)0x0000007FU,                                                           /* 02 ADVICE1                                         */</v>
      </c>
      <c r="AT8" s="72" t="str">
        <f ca="1">IF(AJ8&lt;&gt;"",AL8&amp;IF(AJ9&lt;&gt;"",","," ")&amp;REPT(" ",78-LEN(AL8))&amp;"/* "&amp;IF(C8&lt;10,"0"&amp;C8,C8)&amp;" "&amp;AJ8&amp;REPT(" ",48-LEN(AJ8))&amp;"*/",IF(AJ7&lt;&gt;"","};",""))</f>
        <v xml:space="preserve">    (U1)ALERT_REQ_C_EPB_WRN_IG_ADVICE1,                                        /* 02 ADVICE1                                         */</v>
      </c>
      <c r="AU8" s="72" t="str">
        <f ca="1">IF($AW$15&lt;&gt;"NULL","        &amp;"&amp;$AW$15&amp;","&amp;REPT(" ",69-LEN($AW$15))&amp;"/* fp_vd_XDST                                         */","        vdp_PTR_NA,                                                            /* fp_vd_XDST                                         */")</f>
        <v xml:space="preserve">        vdp_PTR_NA,                                                            /* fp_vd_XDST                                         */</v>
      </c>
      <c r="AV8" s="58" t="s">
        <v>73</v>
      </c>
      <c r="AW8" s="77" t="str">
        <f ca="1">"u4_sp_ALERT_"&amp;IF(AW6&lt;&gt;AW17,$AW$17&amp;"_"&amp;$AW$6,AW17)&amp;"_CRIT"</f>
        <v>u4_sp_ALERT_C_EPB_WRN_IG_CRIT</v>
      </c>
    </row>
    <row r="9" spans="1:49">
      <c r="B9" s="145"/>
      <c r="C9" s="56">
        <f t="shared" si="2"/>
        <v>3</v>
      </c>
      <c r="D9" s="70" t="s">
        <v>70</v>
      </c>
      <c r="E9" s="70" t="s">
        <v>70</v>
      </c>
      <c r="F9" s="70" t="s">
        <v>70</v>
      </c>
      <c r="G9" s="70" t="s">
        <v>70</v>
      </c>
      <c r="H9" s="70" t="s">
        <v>70</v>
      </c>
      <c r="I9" s="70" t="s">
        <v>70</v>
      </c>
      <c r="J9" s="70" t="s">
        <v>70</v>
      </c>
      <c r="K9" s="70" t="s">
        <v>70</v>
      </c>
      <c r="L9" s="70" t="s">
        <v>70</v>
      </c>
      <c r="M9" s="70" t="s">
        <v>70</v>
      </c>
      <c r="N9" s="70" t="s">
        <v>70</v>
      </c>
      <c r="O9" s="70" t="s">
        <v>70</v>
      </c>
      <c r="P9" s="70" t="s">
        <v>70</v>
      </c>
      <c r="Q9" s="70" t="s">
        <v>70</v>
      </c>
      <c r="R9" s="70" t="s">
        <v>70</v>
      </c>
      <c r="S9" s="70" t="s">
        <v>70</v>
      </c>
      <c r="T9" s="70" t="s">
        <v>70</v>
      </c>
      <c r="U9" s="70" t="s">
        <v>70</v>
      </c>
      <c r="V9" s="70" t="s">
        <v>70</v>
      </c>
      <c r="W9" s="70" t="s">
        <v>70</v>
      </c>
      <c r="X9" s="70" t="s">
        <v>70</v>
      </c>
      <c r="Y9" s="70" t="s">
        <v>70</v>
      </c>
      <c r="Z9" s="70" t="s">
        <v>70</v>
      </c>
      <c r="AA9" s="70" t="s">
        <v>70</v>
      </c>
      <c r="AB9" s="70" t="s">
        <v>70</v>
      </c>
      <c r="AC9" s="70">
        <v>0</v>
      </c>
      <c r="AD9" s="70">
        <v>0</v>
      </c>
      <c r="AE9" s="70">
        <v>0</v>
      </c>
      <c r="AF9" s="70">
        <v>0</v>
      </c>
      <c r="AG9" s="70">
        <v>1</v>
      </c>
      <c r="AH9" s="143">
        <v>0</v>
      </c>
      <c r="AI9" s="143">
        <v>1</v>
      </c>
      <c r="AJ9" s="24" t="s">
        <v>400</v>
      </c>
      <c r="AL9" t="str">
        <f t="shared" ca="1" si="0"/>
        <v xml:space="preserve">    (U1)ALERT_REQ_C_EPB_WRN_IG_ACTIVE</v>
      </c>
      <c r="AR9" s="72" t="str">
        <f t="shared" si="3"/>
        <v xml:space="preserve">    (U4)0x00000005U,                                                           /* 03 ACTIVE                                          */</v>
      </c>
      <c r="AS9" s="72" t="str">
        <f t="shared" si="4"/>
        <v xml:space="preserve">    (U4)0x0000007FU,                                                           /* 03 ACTIVE                                          */</v>
      </c>
      <c r="AT9" s="72" t="str">
        <f t="shared" ca="1" si="1"/>
        <v xml:space="preserve">    (U1)ALERT_REQ_C_EPB_WRN_IG_ACTIVE,                                         /* 03 ACTIVE                                          */</v>
      </c>
      <c r="AU9" s="72"/>
      <c r="AV9" s="58" t="s">
        <v>74</v>
      </c>
      <c r="AW9" s="77" t="str">
        <f ca="1">"u4_sp_ALERT_"&amp;IF(AW6&lt;&gt;AW17,$AW$17&amp;"_"&amp;$AW$6,AW17)&amp;"_MASK"</f>
        <v>u4_sp_ALERT_C_EPB_WRN_IG_MASK</v>
      </c>
    </row>
    <row r="10" spans="1:49">
      <c r="B10" s="145"/>
      <c r="C10" s="56">
        <f t="shared" si="2"/>
        <v>4</v>
      </c>
      <c r="D10" s="70" t="s">
        <v>70</v>
      </c>
      <c r="E10" s="70" t="s">
        <v>70</v>
      </c>
      <c r="F10" s="70" t="s">
        <v>70</v>
      </c>
      <c r="G10" s="70" t="s">
        <v>70</v>
      </c>
      <c r="H10" s="70" t="s">
        <v>70</v>
      </c>
      <c r="I10" s="70" t="s">
        <v>70</v>
      </c>
      <c r="J10" s="70" t="s">
        <v>70</v>
      </c>
      <c r="K10" s="70" t="s">
        <v>70</v>
      </c>
      <c r="L10" s="70" t="s">
        <v>70</v>
      </c>
      <c r="M10" s="70" t="s">
        <v>70</v>
      </c>
      <c r="N10" s="70" t="s">
        <v>70</v>
      </c>
      <c r="O10" s="70" t="s">
        <v>70</v>
      </c>
      <c r="P10" s="70" t="s">
        <v>70</v>
      </c>
      <c r="Q10" s="70" t="s">
        <v>70</v>
      </c>
      <c r="R10" s="70" t="s">
        <v>70</v>
      </c>
      <c r="S10" s="70" t="s">
        <v>70</v>
      </c>
      <c r="T10" s="70" t="s">
        <v>70</v>
      </c>
      <c r="U10" s="70" t="s">
        <v>70</v>
      </c>
      <c r="V10" s="70" t="s">
        <v>70</v>
      </c>
      <c r="W10" s="70" t="s">
        <v>70</v>
      </c>
      <c r="X10" s="70" t="s">
        <v>70</v>
      </c>
      <c r="Y10" s="70" t="s">
        <v>70</v>
      </c>
      <c r="Z10" s="70" t="s">
        <v>70</v>
      </c>
      <c r="AA10" s="70" t="s">
        <v>70</v>
      </c>
      <c r="AB10" s="70" t="s">
        <v>70</v>
      </c>
      <c r="AC10" s="70">
        <v>0</v>
      </c>
      <c r="AD10" s="70">
        <v>0</v>
      </c>
      <c r="AE10" s="70">
        <v>0</v>
      </c>
      <c r="AF10" s="70">
        <v>0</v>
      </c>
      <c r="AG10" s="70">
        <v>1</v>
      </c>
      <c r="AH10" s="143">
        <v>1</v>
      </c>
      <c r="AI10" s="143">
        <v>0</v>
      </c>
      <c r="AJ10" s="60" t="s">
        <v>399</v>
      </c>
      <c r="AL10" t="str">
        <f t="shared" ca="1" si="0"/>
        <v xml:space="preserve">    (U1)ALERT_REQ_C_EPB_WRN_IG_DEACTIVE</v>
      </c>
      <c r="AR10" s="72" t="str">
        <f t="shared" si="3"/>
        <v xml:space="preserve">    (U4)0x00000006U,                                                           /* 04 DEACTIVE                                        */</v>
      </c>
      <c r="AS10" s="72" t="str">
        <f t="shared" si="4"/>
        <v xml:space="preserve">    (U4)0x0000007FU,                                                           /* 04 DEACTIVE                                        */</v>
      </c>
      <c r="AT10" s="72" t="str">
        <f t="shared" ca="1" si="1"/>
        <v xml:space="preserve">    (U1)ALERT_REQ_C_EPB_WRN_IG_DEACTIVE,                                       /* 04 DEACTIVE                                        */</v>
      </c>
      <c r="AU10" s="72" t="str">
        <f ca="1">IF($AW$7=1,"        &amp;"&amp;$AW$9&amp;"[0],"&amp;REPT(" ",66-LEN($AW$9))&amp;"/* u4p_MASK                                           */","        (const U4 *)vdp_PTR_NA,                                                /* u4p_MASK                                           */")</f>
        <v xml:space="preserve">        &amp;u4_sp_ALERT_C_EPB_WRN_IG_MASK[0],                                     /* u4p_MASK                                           */</v>
      </c>
      <c r="AV10" s="58" t="s">
        <v>75</v>
      </c>
      <c r="AW10" s="77" t="str">
        <f ca="1">"ALERT_"&amp;IF(AW6&lt;&gt;AW17,$AW$17&amp;"_"&amp;$AW$6,AW17)&amp;"_NUM_DST"</f>
        <v>ALERT_C_EPB_WRN_IG_NUM_DST</v>
      </c>
    </row>
    <row r="11" spans="1:49">
      <c r="B11" s="145"/>
      <c r="C11" s="56">
        <f t="shared" si="2"/>
        <v>5</v>
      </c>
      <c r="D11" s="70" t="s">
        <v>70</v>
      </c>
      <c r="E11" s="70" t="s">
        <v>70</v>
      </c>
      <c r="F11" s="70" t="s">
        <v>70</v>
      </c>
      <c r="G11" s="70" t="s">
        <v>70</v>
      </c>
      <c r="H11" s="70" t="s">
        <v>70</v>
      </c>
      <c r="I11" s="70" t="s">
        <v>70</v>
      </c>
      <c r="J11" s="70" t="s">
        <v>70</v>
      </c>
      <c r="K11" s="70" t="s">
        <v>70</v>
      </c>
      <c r="L11" s="70" t="s">
        <v>70</v>
      </c>
      <c r="M11" s="70" t="s">
        <v>70</v>
      </c>
      <c r="N11" s="70" t="s">
        <v>70</v>
      </c>
      <c r="O11" s="70" t="s">
        <v>70</v>
      </c>
      <c r="P11" s="70" t="s">
        <v>70</v>
      </c>
      <c r="Q11" s="70" t="s">
        <v>70</v>
      </c>
      <c r="R11" s="70" t="s">
        <v>70</v>
      </c>
      <c r="S11" s="70" t="s">
        <v>70</v>
      </c>
      <c r="T11" s="70" t="s">
        <v>70</v>
      </c>
      <c r="U11" s="70" t="s">
        <v>70</v>
      </c>
      <c r="V11" s="70" t="s">
        <v>70</v>
      </c>
      <c r="W11" s="70" t="s">
        <v>70</v>
      </c>
      <c r="X11" s="70" t="s">
        <v>70</v>
      </c>
      <c r="Y11" s="70" t="s">
        <v>70</v>
      </c>
      <c r="Z11" s="70" t="s">
        <v>70</v>
      </c>
      <c r="AA11" s="70" t="s">
        <v>70</v>
      </c>
      <c r="AB11" s="70" t="s">
        <v>70</v>
      </c>
      <c r="AC11" s="70">
        <v>0</v>
      </c>
      <c r="AD11" s="70">
        <v>0</v>
      </c>
      <c r="AE11" s="70">
        <v>0</v>
      </c>
      <c r="AF11" s="70">
        <v>0</v>
      </c>
      <c r="AG11" s="70">
        <v>1</v>
      </c>
      <c r="AH11" s="143">
        <v>1</v>
      </c>
      <c r="AI11" s="143">
        <v>1</v>
      </c>
      <c r="AJ11" s="60" t="s">
        <v>398</v>
      </c>
      <c r="AL11" t="str">
        <f t="shared" ca="1" si="0"/>
        <v xml:space="preserve">    (U1)ALERT_REQ_C_EPB_WRN_IG_ADVICE2</v>
      </c>
      <c r="AR11" s="72" t="str">
        <f t="shared" si="3"/>
        <v xml:space="preserve">    (U4)0x00000007U,                                                           /* 05 ADVICE2                                         */</v>
      </c>
      <c r="AS11" s="72" t="str">
        <f t="shared" si="4"/>
        <v xml:space="preserve">    (U4)0x0000007FU,                                                           /* 05 ADVICE2                                         */</v>
      </c>
      <c r="AT11" s="72" t="str">
        <f t="shared" ca="1" si="1"/>
        <v xml:space="preserve">    (U1)ALERT_REQ_C_EPB_WRN_IG_ADVICE2,                                        /* 05 ADVICE2                                         */</v>
      </c>
      <c r="AU11" s="72" t="str">
        <f ca="1">IF($AW$7=1,"        &amp;"&amp;$AW$8&amp;"[0],"&amp;REPT(" ",66-LEN($AW$8))&amp;"/* u4p_CRIT                                           */","        (const U4 *)vdp_PTR_NA,                                                /* u4p_CRIT                                           */")</f>
        <v xml:space="preserve">        &amp;u4_sp_ALERT_C_EPB_WRN_IG_CRIT[0],                                     /* u4p_CRIT                                           */</v>
      </c>
      <c r="AV11" s="58" t="s">
        <v>76</v>
      </c>
      <c r="AW11" s="77" t="str">
        <f ca="1">"u1_sp_ALERT_"&amp;IF(AW6&lt;&gt;AW17,$AW$17&amp;"_"&amp;$AW$6,AW17)&amp;"_DST"</f>
        <v>u1_sp_ALERT_C_EPB_WRN_IG_DST</v>
      </c>
    </row>
    <row r="12" spans="1:49">
      <c r="B12" s="145"/>
      <c r="C12" s="56">
        <f t="shared" si="2"/>
        <v>6</v>
      </c>
      <c r="D12" s="70" t="s">
        <v>70</v>
      </c>
      <c r="E12" s="70" t="s">
        <v>70</v>
      </c>
      <c r="F12" s="70" t="s">
        <v>70</v>
      </c>
      <c r="G12" s="70" t="s">
        <v>70</v>
      </c>
      <c r="H12" s="70" t="s">
        <v>70</v>
      </c>
      <c r="I12" s="70" t="s">
        <v>70</v>
      </c>
      <c r="J12" s="70" t="s">
        <v>70</v>
      </c>
      <c r="K12" s="70" t="s">
        <v>70</v>
      </c>
      <c r="L12" s="70" t="s">
        <v>70</v>
      </c>
      <c r="M12" s="70" t="s">
        <v>70</v>
      </c>
      <c r="N12" s="70" t="s">
        <v>70</v>
      </c>
      <c r="O12" s="70" t="s">
        <v>70</v>
      </c>
      <c r="P12" s="70" t="s">
        <v>70</v>
      </c>
      <c r="Q12" s="70" t="s">
        <v>70</v>
      </c>
      <c r="R12" s="70" t="s">
        <v>70</v>
      </c>
      <c r="S12" s="70" t="s">
        <v>70</v>
      </c>
      <c r="T12" s="70" t="s">
        <v>70</v>
      </c>
      <c r="U12" s="70" t="s">
        <v>70</v>
      </c>
      <c r="V12" s="70" t="s">
        <v>70</v>
      </c>
      <c r="W12" s="70" t="s">
        <v>70</v>
      </c>
      <c r="X12" s="70" t="s">
        <v>70</v>
      </c>
      <c r="Y12" s="70" t="s">
        <v>70</v>
      </c>
      <c r="Z12" s="70" t="s">
        <v>70</v>
      </c>
      <c r="AA12" s="70" t="s">
        <v>70</v>
      </c>
      <c r="AB12" s="70" t="s">
        <v>70</v>
      </c>
      <c r="AC12" s="70">
        <v>0</v>
      </c>
      <c r="AD12" s="70">
        <v>0</v>
      </c>
      <c r="AE12" s="70">
        <v>0</v>
      </c>
      <c r="AF12" s="70">
        <v>1</v>
      </c>
      <c r="AG12" s="70">
        <v>0</v>
      </c>
      <c r="AH12" s="143">
        <v>1</v>
      </c>
      <c r="AI12" s="143">
        <v>1</v>
      </c>
      <c r="AJ12" s="60" t="s">
        <v>403</v>
      </c>
      <c r="AL12" t="str">
        <f t="shared" ca="1" si="0"/>
        <v xml:space="preserve">    (U1)ALERT_REQ_C_EPB_WRN_IG_MALFUNC</v>
      </c>
      <c r="AR12" s="72" t="str">
        <f t="shared" si="3"/>
        <v xml:space="preserve">    (U4)0x0000000BU,                                                           /* 06 MALFUNC                                         */</v>
      </c>
      <c r="AS12" s="72" t="str">
        <f t="shared" si="4"/>
        <v xml:space="preserve">    (U4)0x0000007FU,                                                           /* 06 MALFUNC                                         */</v>
      </c>
      <c r="AT12" s="72" t="str">
        <f t="shared" ca="1" si="1"/>
        <v xml:space="preserve">    (U1)ALERT_REQ_C_EPB_WRN_IG_MALFUNC,                                        /* 06 MALFUNC                                         */</v>
      </c>
      <c r="AU12" s="72"/>
      <c r="AV12" s="58" t="s">
        <v>88</v>
      </c>
      <c r="AW12" s="77" t="str">
        <f ca="1">Matrix!D8&amp;"["&amp;Matrix!D7&amp;"]"</f>
        <v>st_gp_ALERT_C_EPB_MTRX[3]</v>
      </c>
    </row>
    <row r="13" spans="1:49">
      <c r="B13" s="145"/>
      <c r="C13" s="56">
        <f t="shared" si="2"/>
        <v>7</v>
      </c>
      <c r="D13" s="70" t="s">
        <v>70</v>
      </c>
      <c r="E13" s="70" t="s">
        <v>70</v>
      </c>
      <c r="F13" s="70" t="s">
        <v>70</v>
      </c>
      <c r="G13" s="70" t="s">
        <v>70</v>
      </c>
      <c r="H13" s="70" t="s">
        <v>70</v>
      </c>
      <c r="I13" s="70" t="s">
        <v>70</v>
      </c>
      <c r="J13" s="70" t="s">
        <v>70</v>
      </c>
      <c r="K13" s="70" t="s">
        <v>70</v>
      </c>
      <c r="L13" s="70" t="s">
        <v>70</v>
      </c>
      <c r="M13" s="70" t="s">
        <v>70</v>
      </c>
      <c r="N13" s="70" t="s">
        <v>70</v>
      </c>
      <c r="O13" s="70" t="s">
        <v>70</v>
      </c>
      <c r="P13" s="70" t="s">
        <v>70</v>
      </c>
      <c r="Q13" s="70" t="s">
        <v>70</v>
      </c>
      <c r="R13" s="70" t="s">
        <v>70</v>
      </c>
      <c r="S13" s="70" t="s">
        <v>70</v>
      </c>
      <c r="T13" s="70" t="s">
        <v>70</v>
      </c>
      <c r="U13" s="70" t="s">
        <v>70</v>
      </c>
      <c r="V13" s="70" t="s">
        <v>70</v>
      </c>
      <c r="W13" s="70" t="s">
        <v>70</v>
      </c>
      <c r="X13" s="70" t="s">
        <v>70</v>
      </c>
      <c r="Y13" s="70" t="s">
        <v>70</v>
      </c>
      <c r="Z13" s="70" t="s">
        <v>70</v>
      </c>
      <c r="AA13" s="70" t="s">
        <v>70</v>
      </c>
      <c r="AB13" s="70" t="s">
        <v>70</v>
      </c>
      <c r="AC13" s="70">
        <v>0</v>
      </c>
      <c r="AD13" s="70">
        <v>0</v>
      </c>
      <c r="AE13" s="70">
        <v>0</v>
      </c>
      <c r="AF13" s="70">
        <v>1</v>
      </c>
      <c r="AG13" s="70">
        <v>1</v>
      </c>
      <c r="AH13" s="143">
        <v>0</v>
      </c>
      <c r="AI13" s="143">
        <v>1</v>
      </c>
      <c r="AJ13" s="60" t="s">
        <v>404</v>
      </c>
      <c r="AL13" t="str">
        <f t="shared" ca="1" si="0"/>
        <v xml:space="preserve">    (U1)ALERT_REQ_C_EPB_WRN_IG_UNRELABLE</v>
      </c>
      <c r="AR13" s="72" t="str">
        <f t="shared" si="3"/>
        <v xml:space="preserve">    (U4)0x0000000DU                                                            /* 07 UNRELABLE                                       */</v>
      </c>
      <c r="AS13" s="72" t="str">
        <f t="shared" si="4"/>
        <v xml:space="preserve">    (U4)0x0000007FU                                                            /* 07 UNRELABLE                                       */</v>
      </c>
      <c r="AT13" s="72" t="str">
        <f t="shared" ca="1" si="1"/>
        <v xml:space="preserve">    (U1)ALERT_REQ_C_EPB_WRN_IG_UNRELABLE                                       /* 07 UNRELABLE                                       */</v>
      </c>
      <c r="AU13" s="72" t="str">
        <f ca="1">"        &amp;"&amp;$AW$11&amp;"[0],"&amp;REPT(" ",66-LEN($AW$11))&amp;"/* u1p_DST                                            */"</f>
        <v xml:space="preserve">        &amp;u1_sp_ALERT_C_EPB_WRN_IG_DST[0],                                      /* u1p_DST                                            */</v>
      </c>
      <c r="AV13" s="58" t="s">
        <v>77</v>
      </c>
      <c r="AW13" s="144">
        <f>COUNTA($AJ$6:$AJ$69)</f>
        <v>8</v>
      </c>
    </row>
    <row r="14" spans="1:49">
      <c r="B14" s="145"/>
      <c r="C14" s="56">
        <f t="shared" si="2"/>
        <v>8</v>
      </c>
      <c r="D14" s="70" t="s">
        <v>70</v>
      </c>
      <c r="E14" s="70" t="s">
        <v>70</v>
      </c>
      <c r="F14" s="70" t="s">
        <v>70</v>
      </c>
      <c r="G14" s="70" t="s">
        <v>70</v>
      </c>
      <c r="H14" s="70" t="s">
        <v>70</v>
      </c>
      <c r="I14" s="70" t="s">
        <v>70</v>
      </c>
      <c r="J14" s="70" t="s">
        <v>70</v>
      </c>
      <c r="K14" s="70" t="s">
        <v>70</v>
      </c>
      <c r="L14" s="70" t="s">
        <v>70</v>
      </c>
      <c r="M14" s="70" t="s">
        <v>70</v>
      </c>
      <c r="N14" s="70" t="s">
        <v>70</v>
      </c>
      <c r="O14" s="70" t="s">
        <v>70</v>
      </c>
      <c r="P14" s="70" t="s">
        <v>70</v>
      </c>
      <c r="Q14" s="70" t="s">
        <v>70</v>
      </c>
      <c r="R14" s="70" t="s">
        <v>70</v>
      </c>
      <c r="S14" s="70" t="s">
        <v>70</v>
      </c>
      <c r="T14" s="70" t="s">
        <v>70</v>
      </c>
      <c r="U14" s="70" t="s">
        <v>70</v>
      </c>
      <c r="V14" s="70" t="s">
        <v>70</v>
      </c>
      <c r="W14" s="70" t="s">
        <v>70</v>
      </c>
      <c r="X14" s="70" t="s">
        <v>70</v>
      </c>
      <c r="Y14" s="70" t="s">
        <v>70</v>
      </c>
      <c r="Z14" s="70" t="s">
        <v>70</v>
      </c>
      <c r="AA14" s="70" t="s">
        <v>70</v>
      </c>
      <c r="AB14" s="70" t="s">
        <v>70</v>
      </c>
      <c r="AC14" s="70" t="s">
        <v>70</v>
      </c>
      <c r="AD14" s="143" t="s">
        <v>244</v>
      </c>
      <c r="AE14" s="143" t="s">
        <v>244</v>
      </c>
      <c r="AF14" s="143" t="s">
        <v>244</v>
      </c>
      <c r="AG14" s="143" t="s">
        <v>244</v>
      </c>
      <c r="AH14" s="143" t="s">
        <v>244</v>
      </c>
      <c r="AI14" s="143" t="s">
        <v>244</v>
      </c>
      <c r="AJ14" s="60"/>
      <c r="AL14" t="str">
        <f t="shared" ca="1" si="0"/>
        <v xml:space="preserve">    (U1)ALERT_REQ_C_EPB_WRN_IG_</v>
      </c>
      <c r="AR14" s="72" t="str">
        <f t="shared" si="3"/>
        <v>};</v>
      </c>
      <c r="AS14" s="72" t="str">
        <f t="shared" si="4"/>
        <v>};</v>
      </c>
      <c r="AT14" s="72" t="str">
        <f t="shared" si="1"/>
        <v>};</v>
      </c>
      <c r="AU14" s="72" t="str">
        <f ca="1">"        (U2)"&amp;$AW$10&amp;","&amp;REPT(" ",66-LEN($AW$10))&amp;"/* u2_num_srch                                        */"</f>
        <v xml:space="preserve">        (U2)ALERT_C_EPB_WRN_IG_NUM_DST,                                        /* u2_num_srch                                        */</v>
      </c>
      <c r="AV14" s="58" t="s">
        <v>78</v>
      </c>
      <c r="AW14" s="77" t="str">
        <f ca="1">IF(AW6&lt;&gt;AW17,VLOOKUP(AW6,Matrix!$C$13:$G$37,4,FALSE),Matrix!F13)</f>
        <v>u4_s_AlertC_epbWrnIgSrcchk</v>
      </c>
    </row>
    <row r="15" spans="1:49">
      <c r="B15" s="145"/>
      <c r="C15" s="56">
        <f t="shared" si="2"/>
        <v>9</v>
      </c>
      <c r="D15" s="70" t="s">
        <v>70</v>
      </c>
      <c r="E15" s="70" t="s">
        <v>70</v>
      </c>
      <c r="F15" s="70" t="s">
        <v>70</v>
      </c>
      <c r="G15" s="70" t="s">
        <v>70</v>
      </c>
      <c r="H15" s="70" t="s">
        <v>70</v>
      </c>
      <c r="I15" s="70" t="s">
        <v>70</v>
      </c>
      <c r="J15" s="70" t="s">
        <v>70</v>
      </c>
      <c r="K15" s="70" t="s">
        <v>70</v>
      </c>
      <c r="L15" s="70" t="s">
        <v>70</v>
      </c>
      <c r="M15" s="70" t="s">
        <v>70</v>
      </c>
      <c r="N15" s="70" t="s">
        <v>70</v>
      </c>
      <c r="O15" s="70" t="s">
        <v>70</v>
      </c>
      <c r="P15" s="70" t="s">
        <v>70</v>
      </c>
      <c r="Q15" s="70" t="s">
        <v>70</v>
      </c>
      <c r="R15" s="70" t="s">
        <v>70</v>
      </c>
      <c r="S15" s="70" t="s">
        <v>70</v>
      </c>
      <c r="T15" s="70" t="s">
        <v>70</v>
      </c>
      <c r="U15" s="70" t="s">
        <v>70</v>
      </c>
      <c r="V15" s="70" t="s">
        <v>70</v>
      </c>
      <c r="W15" s="70" t="s">
        <v>70</v>
      </c>
      <c r="X15" s="70" t="s">
        <v>70</v>
      </c>
      <c r="Y15" s="70" t="s">
        <v>70</v>
      </c>
      <c r="Z15" s="70" t="s">
        <v>70</v>
      </c>
      <c r="AA15" s="70" t="s">
        <v>70</v>
      </c>
      <c r="AB15" s="70" t="s">
        <v>70</v>
      </c>
      <c r="AC15" s="70" t="s">
        <v>70</v>
      </c>
      <c r="AD15" s="70" t="s">
        <v>70</v>
      </c>
      <c r="AE15" s="70" t="s">
        <v>70</v>
      </c>
      <c r="AF15" s="70" t="s">
        <v>70</v>
      </c>
      <c r="AG15" s="70" t="s">
        <v>70</v>
      </c>
      <c r="AH15" s="70" t="s">
        <v>70</v>
      </c>
      <c r="AI15" s="70" t="s">
        <v>70</v>
      </c>
      <c r="AJ15" s="60"/>
      <c r="AL15" t="str">
        <f t="shared" ca="1" si="0"/>
        <v xml:space="preserve">    (U1)ALERT_REQ_C_EPB_WRN_IG_</v>
      </c>
      <c r="AR15" s="72" t="str">
        <f t="shared" si="3"/>
        <v/>
      </c>
      <c r="AS15" s="72" t="str">
        <f t="shared" si="4"/>
        <v/>
      </c>
      <c r="AT15" s="72" t="str">
        <f t="shared" si="1"/>
        <v/>
      </c>
      <c r="AU15" s="72" t="str">
        <f ca="1">"        (U1)"&amp;$AW$16&amp;REPT(" ",67-LEN($AW$16))&amp;"/* u1_vom_act                                         */"</f>
        <v xml:space="preserve">        (U1)ALERT_VOM_IGN_ON                                                   /* u1_vom_act                                         */</v>
      </c>
      <c r="AV15" s="58" t="s">
        <v>81</v>
      </c>
      <c r="AW15" s="77" t="str">
        <f ca="1">IF(AW6&lt;&gt;AW17,VLOOKUP(AW6,Matrix!$C$13:$G$37,5,FALSE),Matrix!G13)</f>
        <v>NULL</v>
      </c>
    </row>
    <row r="16" spans="1:49">
      <c r="B16" s="145"/>
      <c r="C16" s="56">
        <f t="shared" si="2"/>
        <v>10</v>
      </c>
      <c r="D16" s="70" t="s">
        <v>70</v>
      </c>
      <c r="E16" s="70" t="s">
        <v>70</v>
      </c>
      <c r="F16" s="70" t="s">
        <v>70</v>
      </c>
      <c r="G16" s="70" t="s">
        <v>70</v>
      </c>
      <c r="H16" s="70" t="s">
        <v>70</v>
      </c>
      <c r="I16" s="70" t="s">
        <v>70</v>
      </c>
      <c r="J16" s="70" t="s">
        <v>70</v>
      </c>
      <c r="K16" s="70" t="s">
        <v>70</v>
      </c>
      <c r="L16" s="70" t="s">
        <v>70</v>
      </c>
      <c r="M16" s="70" t="s">
        <v>70</v>
      </c>
      <c r="N16" s="70" t="s">
        <v>70</v>
      </c>
      <c r="O16" s="70" t="s">
        <v>70</v>
      </c>
      <c r="P16" s="70" t="s">
        <v>70</v>
      </c>
      <c r="Q16" s="70" t="s">
        <v>70</v>
      </c>
      <c r="R16" s="70" t="s">
        <v>70</v>
      </c>
      <c r="S16" s="70" t="s">
        <v>70</v>
      </c>
      <c r="T16" s="70" t="s">
        <v>70</v>
      </c>
      <c r="U16" s="70" t="s">
        <v>70</v>
      </c>
      <c r="V16" s="70" t="s">
        <v>70</v>
      </c>
      <c r="W16" s="70" t="s">
        <v>70</v>
      </c>
      <c r="X16" s="70" t="s">
        <v>70</v>
      </c>
      <c r="Y16" s="70" t="s">
        <v>70</v>
      </c>
      <c r="Z16" s="70" t="s">
        <v>70</v>
      </c>
      <c r="AA16" s="70" t="s">
        <v>70</v>
      </c>
      <c r="AB16" s="70" t="s">
        <v>70</v>
      </c>
      <c r="AC16" s="70" t="s">
        <v>70</v>
      </c>
      <c r="AD16" s="70" t="s">
        <v>70</v>
      </c>
      <c r="AE16" s="70" t="s">
        <v>70</v>
      </c>
      <c r="AF16" s="70" t="s">
        <v>70</v>
      </c>
      <c r="AG16" s="70" t="s">
        <v>70</v>
      </c>
      <c r="AH16" s="70" t="s">
        <v>70</v>
      </c>
      <c r="AI16" s="70" t="s">
        <v>70</v>
      </c>
      <c r="AJ16" s="60"/>
      <c r="AL16" t="str">
        <f t="shared" ca="1" si="0"/>
        <v xml:space="preserve">    (U1)ALERT_REQ_C_EPB_WRN_IG_</v>
      </c>
      <c r="AR16" s="72" t="str">
        <f t="shared" si="3"/>
        <v/>
      </c>
      <c r="AS16" s="72" t="str">
        <f t="shared" si="4"/>
        <v/>
      </c>
      <c r="AT16" s="72" t="str">
        <f t="shared" si="1"/>
        <v/>
      </c>
      <c r="AU16" s="72" t="s">
        <v>308</v>
      </c>
      <c r="AV16" s="58" t="s">
        <v>79</v>
      </c>
      <c r="AW16" s="77" t="str">
        <f ca="1">IF(AW6&lt;&gt;AW17,VLOOKUP(AW6,Matrix!$C$13:$G$37,2,FALSE),Matrix!D13)</f>
        <v>ALERT_VOM_IGN_ON</v>
      </c>
    </row>
    <row r="17" spans="2:49" ht="13.5" thickBot="1">
      <c r="B17" s="145"/>
      <c r="C17" s="56">
        <f t="shared" si="2"/>
        <v>11</v>
      </c>
      <c r="D17" s="70" t="s">
        <v>70</v>
      </c>
      <c r="E17" s="70" t="s">
        <v>70</v>
      </c>
      <c r="F17" s="70" t="s">
        <v>70</v>
      </c>
      <c r="G17" s="70" t="s">
        <v>70</v>
      </c>
      <c r="H17" s="70" t="s">
        <v>70</v>
      </c>
      <c r="I17" s="70" t="s">
        <v>70</v>
      </c>
      <c r="J17" s="70" t="s">
        <v>70</v>
      </c>
      <c r="K17" s="70" t="s">
        <v>70</v>
      </c>
      <c r="L17" s="70" t="s">
        <v>70</v>
      </c>
      <c r="M17" s="70" t="s">
        <v>70</v>
      </c>
      <c r="N17" s="70" t="s">
        <v>70</v>
      </c>
      <c r="O17" s="70" t="s">
        <v>70</v>
      </c>
      <c r="P17" s="70" t="s">
        <v>70</v>
      </c>
      <c r="Q17" s="70" t="s">
        <v>70</v>
      </c>
      <c r="R17" s="70" t="s">
        <v>70</v>
      </c>
      <c r="S17" s="70" t="s">
        <v>70</v>
      </c>
      <c r="T17" s="70" t="s">
        <v>70</v>
      </c>
      <c r="U17" s="70" t="s">
        <v>70</v>
      </c>
      <c r="V17" s="70" t="s">
        <v>70</v>
      </c>
      <c r="W17" s="70" t="s">
        <v>70</v>
      </c>
      <c r="X17" s="70" t="s">
        <v>70</v>
      </c>
      <c r="Y17" s="70" t="s">
        <v>70</v>
      </c>
      <c r="Z17" s="70" t="s">
        <v>70</v>
      </c>
      <c r="AA17" s="70" t="s">
        <v>70</v>
      </c>
      <c r="AB17" s="70" t="s">
        <v>70</v>
      </c>
      <c r="AC17" s="70" t="s">
        <v>70</v>
      </c>
      <c r="AD17" s="70" t="s">
        <v>70</v>
      </c>
      <c r="AE17" s="70" t="s">
        <v>70</v>
      </c>
      <c r="AF17" s="70" t="s">
        <v>70</v>
      </c>
      <c r="AG17" s="70" t="s">
        <v>70</v>
      </c>
      <c r="AH17" s="70" t="s">
        <v>70</v>
      </c>
      <c r="AI17" s="70" t="s">
        <v>70</v>
      </c>
      <c r="AJ17" s="60"/>
      <c r="AL17" t="str">
        <f t="shared" ca="1" si="0"/>
        <v xml:space="preserve">    (U1)ALERT_REQ_C_EPB_WRN_IG_</v>
      </c>
      <c r="AR17" s="72" t="str">
        <f t="shared" si="3"/>
        <v/>
      </c>
      <c r="AS17" s="72" t="str">
        <f t="shared" si="4"/>
        <v/>
      </c>
      <c r="AT17" s="72" t="str">
        <f t="shared" si="1"/>
        <v/>
      </c>
      <c r="AU17" s="73" t="s">
        <v>309</v>
      </c>
      <c r="AV17" s="59" t="s">
        <v>80</v>
      </c>
      <c r="AW17" s="78" t="str">
        <f ca="1">UPPER(Matrix!$D$6)</f>
        <v>C_EPB</v>
      </c>
    </row>
    <row r="18" spans="2:49">
      <c r="B18" s="145"/>
      <c r="C18" s="56">
        <f t="shared" si="2"/>
        <v>12</v>
      </c>
      <c r="D18" s="70" t="s">
        <v>70</v>
      </c>
      <c r="E18" s="70" t="s">
        <v>70</v>
      </c>
      <c r="F18" s="70" t="s">
        <v>70</v>
      </c>
      <c r="G18" s="70" t="s">
        <v>70</v>
      </c>
      <c r="H18" s="70" t="s">
        <v>70</v>
      </c>
      <c r="I18" s="70" t="s">
        <v>70</v>
      </c>
      <c r="J18" s="70" t="s">
        <v>70</v>
      </c>
      <c r="K18" s="70" t="s">
        <v>70</v>
      </c>
      <c r="L18" s="70" t="s">
        <v>70</v>
      </c>
      <c r="M18" s="70" t="s">
        <v>70</v>
      </c>
      <c r="N18" s="70" t="s">
        <v>70</v>
      </c>
      <c r="O18" s="70" t="s">
        <v>70</v>
      </c>
      <c r="P18" s="70" t="s">
        <v>70</v>
      </c>
      <c r="Q18" s="70" t="s">
        <v>70</v>
      </c>
      <c r="R18" s="70" t="s">
        <v>70</v>
      </c>
      <c r="S18" s="70" t="s">
        <v>70</v>
      </c>
      <c r="T18" s="70" t="s">
        <v>70</v>
      </c>
      <c r="U18" s="70" t="s">
        <v>70</v>
      </c>
      <c r="V18" s="70" t="s">
        <v>70</v>
      </c>
      <c r="W18" s="70" t="s">
        <v>70</v>
      </c>
      <c r="X18" s="70" t="s">
        <v>70</v>
      </c>
      <c r="Y18" s="70" t="s">
        <v>70</v>
      </c>
      <c r="Z18" s="70" t="s">
        <v>70</v>
      </c>
      <c r="AA18" s="70" t="s">
        <v>70</v>
      </c>
      <c r="AB18" s="70" t="s">
        <v>70</v>
      </c>
      <c r="AC18" s="70" t="s">
        <v>70</v>
      </c>
      <c r="AD18" s="70" t="s">
        <v>70</v>
      </c>
      <c r="AE18" s="70" t="s">
        <v>70</v>
      </c>
      <c r="AF18" s="70" t="s">
        <v>70</v>
      </c>
      <c r="AG18" s="70" t="s">
        <v>70</v>
      </c>
      <c r="AH18" s="70" t="s">
        <v>70</v>
      </c>
      <c r="AI18" s="70" t="s">
        <v>70</v>
      </c>
      <c r="AJ18" s="60"/>
      <c r="AL18" t="str">
        <f t="shared" ca="1" si="0"/>
        <v xml:space="preserve">    (U1)ALERT_REQ_C_EPB_WRN_IG_</v>
      </c>
      <c r="AR18" s="72" t="str">
        <f t="shared" si="3"/>
        <v/>
      </c>
      <c r="AS18" s="72" t="str">
        <f t="shared" si="4"/>
        <v/>
      </c>
      <c r="AT18" s="72" t="str">
        <f t="shared" si="1"/>
        <v/>
      </c>
    </row>
    <row r="19" spans="2:49">
      <c r="B19" s="145"/>
      <c r="C19" s="56">
        <f t="shared" si="2"/>
        <v>13</v>
      </c>
      <c r="D19" s="70" t="s">
        <v>70</v>
      </c>
      <c r="E19" s="70" t="s">
        <v>70</v>
      </c>
      <c r="F19" s="70" t="s">
        <v>70</v>
      </c>
      <c r="G19" s="70" t="s">
        <v>70</v>
      </c>
      <c r="H19" s="70" t="s">
        <v>70</v>
      </c>
      <c r="I19" s="70" t="s">
        <v>70</v>
      </c>
      <c r="J19" s="70" t="s">
        <v>70</v>
      </c>
      <c r="K19" s="70" t="s">
        <v>70</v>
      </c>
      <c r="L19" s="70" t="s">
        <v>70</v>
      </c>
      <c r="M19" s="70" t="s">
        <v>70</v>
      </c>
      <c r="N19" s="70" t="s">
        <v>70</v>
      </c>
      <c r="O19" s="70" t="s">
        <v>70</v>
      </c>
      <c r="P19" s="70" t="s">
        <v>70</v>
      </c>
      <c r="Q19" s="70" t="s">
        <v>70</v>
      </c>
      <c r="R19" s="70" t="s">
        <v>70</v>
      </c>
      <c r="S19" s="70" t="s">
        <v>70</v>
      </c>
      <c r="T19" s="70" t="s">
        <v>70</v>
      </c>
      <c r="U19" s="70" t="s">
        <v>70</v>
      </c>
      <c r="V19" s="70" t="s">
        <v>70</v>
      </c>
      <c r="W19" s="70" t="s">
        <v>70</v>
      </c>
      <c r="X19" s="70" t="s">
        <v>70</v>
      </c>
      <c r="Y19" s="70" t="s">
        <v>70</v>
      </c>
      <c r="Z19" s="70" t="s">
        <v>70</v>
      </c>
      <c r="AA19" s="70" t="s">
        <v>70</v>
      </c>
      <c r="AB19" s="70" t="s">
        <v>70</v>
      </c>
      <c r="AC19" s="70" t="s">
        <v>70</v>
      </c>
      <c r="AD19" s="70" t="s">
        <v>70</v>
      </c>
      <c r="AE19" s="70" t="s">
        <v>70</v>
      </c>
      <c r="AF19" s="70" t="s">
        <v>70</v>
      </c>
      <c r="AG19" s="70" t="s">
        <v>70</v>
      </c>
      <c r="AH19" s="70" t="s">
        <v>70</v>
      </c>
      <c r="AI19" s="70" t="s">
        <v>70</v>
      </c>
      <c r="AJ19" s="60"/>
      <c r="AL19" t="str">
        <f t="shared" ca="1" si="0"/>
        <v xml:space="preserve">    (U1)ALERT_REQ_C_EPB_WRN_IG_</v>
      </c>
      <c r="AR19" s="72" t="str">
        <f t="shared" si="3"/>
        <v/>
      </c>
      <c r="AS19" s="72" t="str">
        <f t="shared" si="4"/>
        <v/>
      </c>
      <c r="AT19" s="72" t="str">
        <f t="shared" si="1"/>
        <v/>
      </c>
    </row>
    <row r="20" spans="2:49">
      <c r="B20" s="145"/>
      <c r="C20" s="56">
        <f t="shared" si="2"/>
        <v>14</v>
      </c>
      <c r="D20" s="70" t="s">
        <v>70</v>
      </c>
      <c r="E20" s="70" t="s">
        <v>70</v>
      </c>
      <c r="F20" s="70" t="s">
        <v>70</v>
      </c>
      <c r="G20" s="70" t="s">
        <v>70</v>
      </c>
      <c r="H20" s="70" t="s">
        <v>70</v>
      </c>
      <c r="I20" s="70" t="s">
        <v>70</v>
      </c>
      <c r="J20" s="70" t="s">
        <v>70</v>
      </c>
      <c r="K20" s="70" t="s">
        <v>70</v>
      </c>
      <c r="L20" s="70" t="s">
        <v>70</v>
      </c>
      <c r="M20" s="70" t="s">
        <v>70</v>
      </c>
      <c r="N20" s="70" t="s">
        <v>70</v>
      </c>
      <c r="O20" s="70" t="s">
        <v>70</v>
      </c>
      <c r="P20" s="70" t="s">
        <v>70</v>
      </c>
      <c r="Q20" s="70" t="s">
        <v>70</v>
      </c>
      <c r="R20" s="70" t="s">
        <v>70</v>
      </c>
      <c r="S20" s="70" t="s">
        <v>70</v>
      </c>
      <c r="T20" s="70" t="s">
        <v>70</v>
      </c>
      <c r="U20" s="70" t="s">
        <v>70</v>
      </c>
      <c r="V20" s="70" t="s">
        <v>70</v>
      </c>
      <c r="W20" s="70" t="s">
        <v>70</v>
      </c>
      <c r="X20" s="70" t="s">
        <v>70</v>
      </c>
      <c r="Y20" s="70" t="s">
        <v>70</v>
      </c>
      <c r="Z20" s="70" t="s">
        <v>70</v>
      </c>
      <c r="AA20" s="70" t="s">
        <v>70</v>
      </c>
      <c r="AB20" s="70" t="s">
        <v>70</v>
      </c>
      <c r="AC20" s="70" t="s">
        <v>70</v>
      </c>
      <c r="AD20" s="70" t="s">
        <v>70</v>
      </c>
      <c r="AE20" s="70" t="s">
        <v>70</v>
      </c>
      <c r="AF20" s="70" t="s">
        <v>70</v>
      </c>
      <c r="AG20" s="70" t="s">
        <v>70</v>
      </c>
      <c r="AH20" s="70" t="s">
        <v>70</v>
      </c>
      <c r="AI20" s="70" t="s">
        <v>70</v>
      </c>
      <c r="AJ20" s="60"/>
      <c r="AL20" t="str">
        <f t="shared" ca="1" si="0"/>
        <v xml:space="preserve">    (U1)ALERT_REQ_C_EPB_WRN_IG_</v>
      </c>
      <c r="AR20" s="72" t="str">
        <f t="shared" si="3"/>
        <v/>
      </c>
      <c r="AS20" s="72" t="str">
        <f t="shared" si="4"/>
        <v/>
      </c>
      <c r="AT20" s="72" t="str">
        <f t="shared" si="1"/>
        <v/>
      </c>
    </row>
    <row r="21" spans="2:49">
      <c r="B21" s="145"/>
      <c r="C21" s="56">
        <f t="shared" si="2"/>
        <v>15</v>
      </c>
      <c r="D21" s="70" t="s">
        <v>70</v>
      </c>
      <c r="E21" s="70" t="s">
        <v>70</v>
      </c>
      <c r="F21" s="70" t="s">
        <v>70</v>
      </c>
      <c r="G21" s="70" t="s">
        <v>70</v>
      </c>
      <c r="H21" s="70" t="s">
        <v>70</v>
      </c>
      <c r="I21" s="70" t="s">
        <v>70</v>
      </c>
      <c r="J21" s="70" t="s">
        <v>70</v>
      </c>
      <c r="K21" s="70" t="s">
        <v>70</v>
      </c>
      <c r="L21" s="70" t="s">
        <v>70</v>
      </c>
      <c r="M21" s="70" t="s">
        <v>70</v>
      </c>
      <c r="N21" s="70" t="s">
        <v>70</v>
      </c>
      <c r="O21" s="70" t="s">
        <v>70</v>
      </c>
      <c r="P21" s="70" t="s">
        <v>70</v>
      </c>
      <c r="Q21" s="70" t="s">
        <v>70</v>
      </c>
      <c r="R21" s="70" t="s">
        <v>70</v>
      </c>
      <c r="S21" s="70" t="s">
        <v>70</v>
      </c>
      <c r="T21" s="70" t="s">
        <v>70</v>
      </c>
      <c r="U21" s="70" t="s">
        <v>70</v>
      </c>
      <c r="V21" s="70" t="s">
        <v>70</v>
      </c>
      <c r="W21" s="70" t="s">
        <v>70</v>
      </c>
      <c r="X21" s="70" t="s">
        <v>70</v>
      </c>
      <c r="Y21" s="70" t="s">
        <v>70</v>
      </c>
      <c r="Z21" s="70" t="s">
        <v>70</v>
      </c>
      <c r="AA21" s="70" t="s">
        <v>70</v>
      </c>
      <c r="AB21" s="70" t="s">
        <v>70</v>
      </c>
      <c r="AC21" s="70" t="s">
        <v>70</v>
      </c>
      <c r="AD21" s="70" t="s">
        <v>70</v>
      </c>
      <c r="AE21" s="70" t="s">
        <v>70</v>
      </c>
      <c r="AF21" s="70" t="s">
        <v>70</v>
      </c>
      <c r="AG21" s="70" t="s">
        <v>70</v>
      </c>
      <c r="AH21" s="70" t="s">
        <v>70</v>
      </c>
      <c r="AI21" s="70" t="s">
        <v>70</v>
      </c>
      <c r="AJ21" s="60"/>
      <c r="AL21" t="str">
        <f t="shared" ca="1" si="0"/>
        <v xml:space="preserve">    (U1)ALERT_REQ_C_EPB_WRN_IG_</v>
      </c>
      <c r="AR21" s="72" t="str">
        <f t="shared" si="3"/>
        <v/>
      </c>
      <c r="AS21" s="72" t="str">
        <f t="shared" si="4"/>
        <v/>
      </c>
      <c r="AT21" s="72" t="str">
        <f t="shared" si="1"/>
        <v/>
      </c>
    </row>
    <row r="22" spans="2:49">
      <c r="B22" s="145"/>
      <c r="C22" s="56">
        <f t="shared" si="2"/>
        <v>16</v>
      </c>
      <c r="D22" s="70" t="s">
        <v>70</v>
      </c>
      <c r="E22" s="70" t="s">
        <v>70</v>
      </c>
      <c r="F22" s="70" t="s">
        <v>70</v>
      </c>
      <c r="G22" s="70" t="s">
        <v>70</v>
      </c>
      <c r="H22" s="70" t="s">
        <v>70</v>
      </c>
      <c r="I22" s="70" t="s">
        <v>70</v>
      </c>
      <c r="J22" s="70" t="s">
        <v>70</v>
      </c>
      <c r="K22" s="70" t="s">
        <v>70</v>
      </c>
      <c r="L22" s="70" t="s">
        <v>70</v>
      </c>
      <c r="M22" s="70" t="s">
        <v>70</v>
      </c>
      <c r="N22" s="70" t="s">
        <v>70</v>
      </c>
      <c r="O22" s="70" t="s">
        <v>70</v>
      </c>
      <c r="P22" s="70" t="s">
        <v>70</v>
      </c>
      <c r="Q22" s="70" t="s">
        <v>70</v>
      </c>
      <c r="R22" s="70" t="s">
        <v>70</v>
      </c>
      <c r="S22" s="70" t="s">
        <v>70</v>
      </c>
      <c r="T22" s="70" t="s">
        <v>70</v>
      </c>
      <c r="U22" s="70" t="s">
        <v>70</v>
      </c>
      <c r="V22" s="70" t="s">
        <v>70</v>
      </c>
      <c r="W22" s="70" t="s">
        <v>70</v>
      </c>
      <c r="X22" s="70" t="s">
        <v>70</v>
      </c>
      <c r="Y22" s="70" t="s">
        <v>70</v>
      </c>
      <c r="Z22" s="70" t="s">
        <v>70</v>
      </c>
      <c r="AA22" s="70" t="s">
        <v>70</v>
      </c>
      <c r="AB22" s="70" t="s">
        <v>70</v>
      </c>
      <c r="AC22" s="70" t="s">
        <v>70</v>
      </c>
      <c r="AD22" s="70" t="s">
        <v>70</v>
      </c>
      <c r="AE22" s="70" t="s">
        <v>70</v>
      </c>
      <c r="AF22" s="70" t="s">
        <v>70</v>
      </c>
      <c r="AG22" s="70" t="s">
        <v>70</v>
      </c>
      <c r="AH22" s="70" t="s">
        <v>70</v>
      </c>
      <c r="AI22" s="70" t="s">
        <v>70</v>
      </c>
      <c r="AJ22" s="60"/>
      <c r="AL22" t="str">
        <f t="shared" ca="1" si="0"/>
        <v xml:space="preserve">    (U1)ALERT_REQ_C_EPB_WRN_IG_</v>
      </c>
      <c r="AR22" s="72" t="str">
        <f t="shared" si="3"/>
        <v/>
      </c>
      <c r="AS22" s="72" t="str">
        <f t="shared" si="4"/>
        <v/>
      </c>
      <c r="AT22" s="72" t="str">
        <f t="shared" si="1"/>
        <v/>
      </c>
    </row>
    <row r="23" spans="2:49">
      <c r="B23" s="145"/>
      <c r="C23" s="56">
        <f t="shared" si="2"/>
        <v>17</v>
      </c>
      <c r="D23" s="70" t="s">
        <v>70</v>
      </c>
      <c r="E23" s="70" t="s">
        <v>70</v>
      </c>
      <c r="F23" s="70" t="s">
        <v>70</v>
      </c>
      <c r="G23" s="70" t="s">
        <v>70</v>
      </c>
      <c r="H23" s="70" t="s">
        <v>70</v>
      </c>
      <c r="I23" s="70" t="s">
        <v>70</v>
      </c>
      <c r="J23" s="70" t="s">
        <v>70</v>
      </c>
      <c r="K23" s="70" t="s">
        <v>70</v>
      </c>
      <c r="L23" s="70" t="s">
        <v>70</v>
      </c>
      <c r="M23" s="70" t="s">
        <v>70</v>
      </c>
      <c r="N23" s="70" t="s">
        <v>70</v>
      </c>
      <c r="O23" s="70" t="s">
        <v>70</v>
      </c>
      <c r="P23" s="70" t="s">
        <v>70</v>
      </c>
      <c r="Q23" s="70" t="s">
        <v>70</v>
      </c>
      <c r="R23" s="70" t="s">
        <v>70</v>
      </c>
      <c r="S23" s="70" t="s">
        <v>70</v>
      </c>
      <c r="T23" s="70" t="s">
        <v>70</v>
      </c>
      <c r="U23" s="70" t="s">
        <v>70</v>
      </c>
      <c r="V23" s="70" t="s">
        <v>70</v>
      </c>
      <c r="W23" s="70" t="s">
        <v>70</v>
      </c>
      <c r="X23" s="70" t="s">
        <v>70</v>
      </c>
      <c r="Y23" s="70" t="s">
        <v>70</v>
      </c>
      <c r="Z23" s="70" t="s">
        <v>70</v>
      </c>
      <c r="AA23" s="70" t="s">
        <v>70</v>
      </c>
      <c r="AB23" s="70" t="s">
        <v>70</v>
      </c>
      <c r="AC23" s="70" t="s">
        <v>70</v>
      </c>
      <c r="AD23" s="70" t="s">
        <v>70</v>
      </c>
      <c r="AE23" s="70" t="s">
        <v>70</v>
      </c>
      <c r="AF23" s="70" t="s">
        <v>70</v>
      </c>
      <c r="AG23" s="70" t="s">
        <v>70</v>
      </c>
      <c r="AH23" s="70" t="s">
        <v>70</v>
      </c>
      <c r="AI23" s="70" t="s">
        <v>70</v>
      </c>
      <c r="AJ23" s="60"/>
      <c r="AL23" t="str">
        <f t="shared" ca="1" si="0"/>
        <v xml:space="preserve">    (U1)ALERT_REQ_C_EPB_WRN_IG_</v>
      </c>
      <c r="AR23" s="72" t="str">
        <f t="shared" si="3"/>
        <v/>
      </c>
      <c r="AS23" s="72" t="str">
        <f t="shared" si="4"/>
        <v/>
      </c>
      <c r="AT23" s="72" t="str">
        <f t="shared" si="1"/>
        <v/>
      </c>
    </row>
    <row r="24" spans="2:49">
      <c r="B24" s="145"/>
      <c r="C24" s="56">
        <f t="shared" si="2"/>
        <v>18</v>
      </c>
      <c r="D24" s="70" t="s">
        <v>70</v>
      </c>
      <c r="E24" s="70" t="s">
        <v>70</v>
      </c>
      <c r="F24" s="70" t="s">
        <v>70</v>
      </c>
      <c r="G24" s="70" t="s">
        <v>70</v>
      </c>
      <c r="H24" s="70" t="s">
        <v>70</v>
      </c>
      <c r="I24" s="70" t="s">
        <v>70</v>
      </c>
      <c r="J24" s="70" t="s">
        <v>70</v>
      </c>
      <c r="K24" s="70" t="s">
        <v>70</v>
      </c>
      <c r="L24" s="70" t="s">
        <v>70</v>
      </c>
      <c r="M24" s="70" t="s">
        <v>70</v>
      </c>
      <c r="N24" s="70" t="s">
        <v>70</v>
      </c>
      <c r="O24" s="70" t="s">
        <v>70</v>
      </c>
      <c r="P24" s="70" t="s">
        <v>70</v>
      </c>
      <c r="Q24" s="70" t="s">
        <v>70</v>
      </c>
      <c r="R24" s="70" t="s">
        <v>70</v>
      </c>
      <c r="S24" s="70" t="s">
        <v>70</v>
      </c>
      <c r="T24" s="70" t="s">
        <v>70</v>
      </c>
      <c r="U24" s="70" t="s">
        <v>70</v>
      </c>
      <c r="V24" s="70" t="s">
        <v>70</v>
      </c>
      <c r="W24" s="70" t="s">
        <v>70</v>
      </c>
      <c r="X24" s="70" t="s">
        <v>70</v>
      </c>
      <c r="Y24" s="70" t="s">
        <v>70</v>
      </c>
      <c r="Z24" s="70" t="s">
        <v>70</v>
      </c>
      <c r="AA24" s="70" t="s">
        <v>70</v>
      </c>
      <c r="AB24" s="70" t="s">
        <v>70</v>
      </c>
      <c r="AC24" s="70" t="s">
        <v>70</v>
      </c>
      <c r="AD24" s="70" t="s">
        <v>70</v>
      </c>
      <c r="AE24" s="70" t="s">
        <v>70</v>
      </c>
      <c r="AF24" s="70" t="s">
        <v>70</v>
      </c>
      <c r="AG24" s="70" t="s">
        <v>70</v>
      </c>
      <c r="AH24" s="70" t="s">
        <v>70</v>
      </c>
      <c r="AI24" s="70" t="s">
        <v>70</v>
      </c>
      <c r="AJ24" s="60"/>
      <c r="AL24" t="str">
        <f t="shared" ca="1" si="0"/>
        <v xml:space="preserve">    (U1)ALERT_REQ_C_EPB_WRN_IG_</v>
      </c>
      <c r="AR24" s="72" t="str">
        <f t="shared" si="3"/>
        <v/>
      </c>
      <c r="AS24" s="72" t="str">
        <f t="shared" si="4"/>
        <v/>
      </c>
      <c r="AT24" s="72" t="str">
        <f t="shared" si="1"/>
        <v/>
      </c>
    </row>
    <row r="25" spans="2:49">
      <c r="B25" s="145"/>
      <c r="C25" s="56">
        <f t="shared" si="2"/>
        <v>19</v>
      </c>
      <c r="D25" s="70" t="s">
        <v>70</v>
      </c>
      <c r="E25" s="70" t="s">
        <v>70</v>
      </c>
      <c r="F25" s="70" t="s">
        <v>70</v>
      </c>
      <c r="G25" s="70" t="s">
        <v>70</v>
      </c>
      <c r="H25" s="70" t="s">
        <v>70</v>
      </c>
      <c r="I25" s="70" t="s">
        <v>70</v>
      </c>
      <c r="J25" s="70" t="s">
        <v>70</v>
      </c>
      <c r="K25" s="70" t="s">
        <v>70</v>
      </c>
      <c r="L25" s="70" t="s">
        <v>70</v>
      </c>
      <c r="M25" s="70" t="s">
        <v>70</v>
      </c>
      <c r="N25" s="70" t="s">
        <v>70</v>
      </c>
      <c r="O25" s="70" t="s">
        <v>70</v>
      </c>
      <c r="P25" s="70" t="s">
        <v>70</v>
      </c>
      <c r="Q25" s="70" t="s">
        <v>70</v>
      </c>
      <c r="R25" s="70" t="s">
        <v>70</v>
      </c>
      <c r="S25" s="70" t="s">
        <v>70</v>
      </c>
      <c r="T25" s="70" t="s">
        <v>70</v>
      </c>
      <c r="U25" s="70" t="s">
        <v>70</v>
      </c>
      <c r="V25" s="70" t="s">
        <v>70</v>
      </c>
      <c r="W25" s="70" t="s">
        <v>70</v>
      </c>
      <c r="X25" s="70" t="s">
        <v>70</v>
      </c>
      <c r="Y25" s="70" t="s">
        <v>70</v>
      </c>
      <c r="Z25" s="70" t="s">
        <v>70</v>
      </c>
      <c r="AA25" s="70" t="s">
        <v>70</v>
      </c>
      <c r="AB25" s="70" t="s">
        <v>70</v>
      </c>
      <c r="AC25" s="70" t="s">
        <v>70</v>
      </c>
      <c r="AD25" s="70" t="s">
        <v>70</v>
      </c>
      <c r="AE25" s="70" t="s">
        <v>70</v>
      </c>
      <c r="AF25" s="70" t="s">
        <v>70</v>
      </c>
      <c r="AG25" s="70" t="s">
        <v>70</v>
      </c>
      <c r="AH25" s="70" t="s">
        <v>70</v>
      </c>
      <c r="AI25" s="70" t="s">
        <v>70</v>
      </c>
      <c r="AJ25" s="60"/>
      <c r="AL25" t="str">
        <f t="shared" ca="1" si="0"/>
        <v xml:space="preserve">    (U1)ALERT_REQ_C_EPB_WRN_IG_</v>
      </c>
      <c r="AR25" s="72" t="str">
        <f t="shared" si="3"/>
        <v/>
      </c>
      <c r="AS25" s="72" t="str">
        <f t="shared" si="4"/>
        <v/>
      </c>
      <c r="AT25" s="72" t="str">
        <f t="shared" si="1"/>
        <v/>
      </c>
    </row>
    <row r="26" spans="2:49">
      <c r="B26" s="145"/>
      <c r="C26" s="56">
        <f t="shared" si="2"/>
        <v>20</v>
      </c>
      <c r="D26" s="70" t="s">
        <v>70</v>
      </c>
      <c r="E26" s="70" t="s">
        <v>70</v>
      </c>
      <c r="F26" s="70" t="s">
        <v>70</v>
      </c>
      <c r="G26" s="70" t="s">
        <v>70</v>
      </c>
      <c r="H26" s="70" t="s">
        <v>70</v>
      </c>
      <c r="I26" s="70" t="s">
        <v>70</v>
      </c>
      <c r="J26" s="70" t="s">
        <v>70</v>
      </c>
      <c r="K26" s="70" t="s">
        <v>70</v>
      </c>
      <c r="L26" s="70" t="s">
        <v>70</v>
      </c>
      <c r="M26" s="70" t="s">
        <v>70</v>
      </c>
      <c r="N26" s="70" t="s">
        <v>70</v>
      </c>
      <c r="O26" s="70" t="s">
        <v>70</v>
      </c>
      <c r="P26" s="70" t="s">
        <v>70</v>
      </c>
      <c r="Q26" s="70" t="s">
        <v>70</v>
      </c>
      <c r="R26" s="70" t="s">
        <v>70</v>
      </c>
      <c r="S26" s="70" t="s">
        <v>70</v>
      </c>
      <c r="T26" s="70" t="s">
        <v>70</v>
      </c>
      <c r="U26" s="70" t="s">
        <v>70</v>
      </c>
      <c r="V26" s="70" t="s">
        <v>70</v>
      </c>
      <c r="W26" s="70" t="s">
        <v>70</v>
      </c>
      <c r="X26" s="70" t="s">
        <v>70</v>
      </c>
      <c r="Y26" s="70" t="s">
        <v>70</v>
      </c>
      <c r="Z26" s="70" t="s">
        <v>70</v>
      </c>
      <c r="AA26" s="70" t="s">
        <v>70</v>
      </c>
      <c r="AB26" s="70" t="s">
        <v>70</v>
      </c>
      <c r="AC26" s="70" t="s">
        <v>70</v>
      </c>
      <c r="AD26" s="70" t="s">
        <v>70</v>
      </c>
      <c r="AE26" s="70" t="s">
        <v>70</v>
      </c>
      <c r="AF26" s="70" t="s">
        <v>70</v>
      </c>
      <c r="AG26" s="70" t="s">
        <v>70</v>
      </c>
      <c r="AH26" s="70" t="s">
        <v>70</v>
      </c>
      <c r="AI26" s="70" t="s">
        <v>70</v>
      </c>
      <c r="AJ26" s="60"/>
      <c r="AL26" t="str">
        <f t="shared" ca="1" si="0"/>
        <v xml:space="preserve">    (U1)ALERT_REQ_C_EPB_WRN_IG_</v>
      </c>
      <c r="AR26" s="72" t="str">
        <f t="shared" si="3"/>
        <v/>
      </c>
      <c r="AS26" s="72" t="str">
        <f t="shared" si="4"/>
        <v/>
      </c>
      <c r="AT26" s="72" t="str">
        <f t="shared" si="1"/>
        <v/>
      </c>
    </row>
    <row r="27" spans="2:49">
      <c r="B27" s="145"/>
      <c r="C27" s="56">
        <f t="shared" si="2"/>
        <v>21</v>
      </c>
      <c r="D27" s="70" t="s">
        <v>70</v>
      </c>
      <c r="E27" s="70" t="s">
        <v>70</v>
      </c>
      <c r="F27" s="70" t="s">
        <v>70</v>
      </c>
      <c r="G27" s="70" t="s">
        <v>70</v>
      </c>
      <c r="H27" s="70" t="s">
        <v>70</v>
      </c>
      <c r="I27" s="70" t="s">
        <v>70</v>
      </c>
      <c r="J27" s="70" t="s">
        <v>70</v>
      </c>
      <c r="K27" s="70" t="s">
        <v>70</v>
      </c>
      <c r="L27" s="70" t="s">
        <v>70</v>
      </c>
      <c r="M27" s="70" t="s">
        <v>70</v>
      </c>
      <c r="N27" s="70" t="s">
        <v>70</v>
      </c>
      <c r="O27" s="70" t="s">
        <v>70</v>
      </c>
      <c r="P27" s="70" t="s">
        <v>70</v>
      </c>
      <c r="Q27" s="70" t="s">
        <v>70</v>
      </c>
      <c r="R27" s="70" t="s">
        <v>70</v>
      </c>
      <c r="S27" s="70" t="s">
        <v>70</v>
      </c>
      <c r="T27" s="70" t="s">
        <v>70</v>
      </c>
      <c r="U27" s="70" t="s">
        <v>70</v>
      </c>
      <c r="V27" s="70" t="s">
        <v>70</v>
      </c>
      <c r="W27" s="70" t="s">
        <v>70</v>
      </c>
      <c r="X27" s="70" t="s">
        <v>70</v>
      </c>
      <c r="Y27" s="70" t="s">
        <v>70</v>
      </c>
      <c r="Z27" s="70" t="s">
        <v>70</v>
      </c>
      <c r="AA27" s="70" t="s">
        <v>70</v>
      </c>
      <c r="AB27" s="70" t="s">
        <v>70</v>
      </c>
      <c r="AC27" s="70" t="s">
        <v>70</v>
      </c>
      <c r="AD27" s="70" t="s">
        <v>70</v>
      </c>
      <c r="AE27" s="70" t="s">
        <v>70</v>
      </c>
      <c r="AF27" s="70" t="s">
        <v>70</v>
      </c>
      <c r="AG27" s="70" t="s">
        <v>70</v>
      </c>
      <c r="AH27" s="70" t="s">
        <v>70</v>
      </c>
      <c r="AI27" s="70" t="s">
        <v>70</v>
      </c>
      <c r="AJ27" s="60"/>
      <c r="AL27" t="str">
        <f t="shared" ca="1" si="0"/>
        <v xml:space="preserve">    (U1)ALERT_REQ_C_EPB_WRN_IG_</v>
      </c>
      <c r="AR27" s="72" t="str">
        <f t="shared" si="3"/>
        <v/>
      </c>
      <c r="AS27" s="72" t="str">
        <f t="shared" si="4"/>
        <v/>
      </c>
      <c r="AT27" s="72" t="str">
        <f t="shared" si="1"/>
        <v/>
      </c>
    </row>
    <row r="28" spans="2:49">
      <c r="B28" s="145"/>
      <c r="C28" s="56">
        <f t="shared" si="2"/>
        <v>22</v>
      </c>
      <c r="D28" s="70" t="s">
        <v>70</v>
      </c>
      <c r="E28" s="70" t="s">
        <v>70</v>
      </c>
      <c r="F28" s="70" t="s">
        <v>70</v>
      </c>
      <c r="G28" s="70" t="s">
        <v>70</v>
      </c>
      <c r="H28" s="70" t="s">
        <v>70</v>
      </c>
      <c r="I28" s="70" t="s">
        <v>70</v>
      </c>
      <c r="J28" s="70" t="s">
        <v>70</v>
      </c>
      <c r="K28" s="70" t="s">
        <v>70</v>
      </c>
      <c r="L28" s="70" t="s">
        <v>70</v>
      </c>
      <c r="M28" s="70" t="s">
        <v>70</v>
      </c>
      <c r="N28" s="70" t="s">
        <v>70</v>
      </c>
      <c r="O28" s="70" t="s">
        <v>70</v>
      </c>
      <c r="P28" s="70" t="s">
        <v>70</v>
      </c>
      <c r="Q28" s="70" t="s">
        <v>70</v>
      </c>
      <c r="R28" s="70" t="s">
        <v>70</v>
      </c>
      <c r="S28" s="70" t="s">
        <v>70</v>
      </c>
      <c r="T28" s="70" t="s">
        <v>70</v>
      </c>
      <c r="U28" s="70" t="s">
        <v>70</v>
      </c>
      <c r="V28" s="70" t="s">
        <v>70</v>
      </c>
      <c r="W28" s="70" t="s">
        <v>70</v>
      </c>
      <c r="X28" s="70" t="s">
        <v>70</v>
      </c>
      <c r="Y28" s="70" t="s">
        <v>70</v>
      </c>
      <c r="Z28" s="70" t="s">
        <v>70</v>
      </c>
      <c r="AA28" s="70" t="s">
        <v>70</v>
      </c>
      <c r="AB28" s="70" t="s">
        <v>70</v>
      </c>
      <c r="AC28" s="70" t="s">
        <v>70</v>
      </c>
      <c r="AD28" s="70" t="s">
        <v>70</v>
      </c>
      <c r="AE28" s="70" t="s">
        <v>70</v>
      </c>
      <c r="AF28" s="70" t="s">
        <v>70</v>
      </c>
      <c r="AG28" s="70" t="s">
        <v>70</v>
      </c>
      <c r="AH28" s="70" t="s">
        <v>70</v>
      </c>
      <c r="AI28" s="70" t="s">
        <v>70</v>
      </c>
      <c r="AJ28" s="60"/>
      <c r="AL28" t="str">
        <f t="shared" ca="1" si="0"/>
        <v xml:space="preserve">    (U1)ALERT_REQ_C_EPB_WRN_IG_</v>
      </c>
      <c r="AR28" s="72" t="str">
        <f t="shared" si="3"/>
        <v/>
      </c>
      <c r="AS28" s="72" t="str">
        <f t="shared" si="4"/>
        <v/>
      </c>
      <c r="AT28" s="72" t="str">
        <f t="shared" si="1"/>
        <v/>
      </c>
    </row>
    <row r="29" spans="2:49">
      <c r="B29" s="145"/>
      <c r="C29" s="56">
        <f t="shared" si="2"/>
        <v>23</v>
      </c>
      <c r="D29" s="70" t="s">
        <v>70</v>
      </c>
      <c r="E29" s="70" t="s">
        <v>70</v>
      </c>
      <c r="F29" s="70" t="s">
        <v>70</v>
      </c>
      <c r="G29" s="70" t="s">
        <v>70</v>
      </c>
      <c r="H29" s="70" t="s">
        <v>70</v>
      </c>
      <c r="I29" s="70" t="s">
        <v>70</v>
      </c>
      <c r="J29" s="70" t="s">
        <v>70</v>
      </c>
      <c r="K29" s="70" t="s">
        <v>70</v>
      </c>
      <c r="L29" s="70" t="s">
        <v>70</v>
      </c>
      <c r="M29" s="70" t="s">
        <v>70</v>
      </c>
      <c r="N29" s="70" t="s">
        <v>70</v>
      </c>
      <c r="O29" s="70" t="s">
        <v>70</v>
      </c>
      <c r="P29" s="70" t="s">
        <v>70</v>
      </c>
      <c r="Q29" s="70" t="s">
        <v>70</v>
      </c>
      <c r="R29" s="70" t="s">
        <v>70</v>
      </c>
      <c r="S29" s="70" t="s">
        <v>70</v>
      </c>
      <c r="T29" s="70" t="s">
        <v>70</v>
      </c>
      <c r="U29" s="70" t="s">
        <v>70</v>
      </c>
      <c r="V29" s="70" t="s">
        <v>70</v>
      </c>
      <c r="W29" s="70" t="s">
        <v>70</v>
      </c>
      <c r="X29" s="70" t="s">
        <v>70</v>
      </c>
      <c r="Y29" s="70" t="s">
        <v>70</v>
      </c>
      <c r="Z29" s="70" t="s">
        <v>70</v>
      </c>
      <c r="AA29" s="70" t="s">
        <v>70</v>
      </c>
      <c r="AB29" s="70" t="s">
        <v>70</v>
      </c>
      <c r="AC29" s="70" t="s">
        <v>70</v>
      </c>
      <c r="AD29" s="70" t="s">
        <v>70</v>
      </c>
      <c r="AE29" s="70" t="s">
        <v>70</v>
      </c>
      <c r="AF29" s="70" t="s">
        <v>70</v>
      </c>
      <c r="AG29" s="70" t="s">
        <v>70</v>
      </c>
      <c r="AH29" s="70" t="s">
        <v>70</v>
      </c>
      <c r="AI29" s="70" t="s">
        <v>70</v>
      </c>
      <c r="AJ29" s="60"/>
      <c r="AL29" t="str">
        <f t="shared" ca="1" si="0"/>
        <v xml:space="preserve">    (U1)ALERT_REQ_C_EPB_WRN_IG_</v>
      </c>
      <c r="AR29" s="72" t="str">
        <f t="shared" si="3"/>
        <v/>
      </c>
      <c r="AS29" s="72" t="str">
        <f t="shared" si="4"/>
        <v/>
      </c>
      <c r="AT29" s="72" t="str">
        <f t="shared" si="1"/>
        <v/>
      </c>
    </row>
    <row r="30" spans="2:49">
      <c r="B30" s="145"/>
      <c r="C30" s="56">
        <f t="shared" si="2"/>
        <v>24</v>
      </c>
      <c r="D30" s="70" t="s">
        <v>70</v>
      </c>
      <c r="E30" s="70" t="s">
        <v>70</v>
      </c>
      <c r="F30" s="70" t="s">
        <v>70</v>
      </c>
      <c r="G30" s="70" t="s">
        <v>70</v>
      </c>
      <c r="H30" s="70" t="s">
        <v>70</v>
      </c>
      <c r="I30" s="70" t="s">
        <v>70</v>
      </c>
      <c r="J30" s="70" t="s">
        <v>70</v>
      </c>
      <c r="K30" s="70" t="s">
        <v>70</v>
      </c>
      <c r="L30" s="70" t="s">
        <v>70</v>
      </c>
      <c r="M30" s="70" t="s">
        <v>70</v>
      </c>
      <c r="N30" s="70" t="s">
        <v>70</v>
      </c>
      <c r="O30" s="70" t="s">
        <v>70</v>
      </c>
      <c r="P30" s="70" t="s">
        <v>70</v>
      </c>
      <c r="Q30" s="70" t="s">
        <v>70</v>
      </c>
      <c r="R30" s="70" t="s">
        <v>70</v>
      </c>
      <c r="S30" s="70" t="s">
        <v>70</v>
      </c>
      <c r="T30" s="70" t="s">
        <v>70</v>
      </c>
      <c r="U30" s="70" t="s">
        <v>70</v>
      </c>
      <c r="V30" s="70" t="s">
        <v>70</v>
      </c>
      <c r="W30" s="70" t="s">
        <v>70</v>
      </c>
      <c r="X30" s="70" t="s">
        <v>70</v>
      </c>
      <c r="Y30" s="70" t="s">
        <v>70</v>
      </c>
      <c r="Z30" s="70" t="s">
        <v>70</v>
      </c>
      <c r="AA30" s="70" t="s">
        <v>70</v>
      </c>
      <c r="AB30" s="70" t="s">
        <v>70</v>
      </c>
      <c r="AC30" s="70" t="s">
        <v>70</v>
      </c>
      <c r="AD30" s="70" t="s">
        <v>70</v>
      </c>
      <c r="AE30" s="70" t="s">
        <v>70</v>
      </c>
      <c r="AF30" s="70" t="s">
        <v>70</v>
      </c>
      <c r="AG30" s="70" t="s">
        <v>70</v>
      </c>
      <c r="AH30" s="70" t="s">
        <v>70</v>
      </c>
      <c r="AI30" s="70" t="s">
        <v>70</v>
      </c>
      <c r="AJ30" s="60"/>
      <c r="AL30" t="str">
        <f t="shared" ca="1" si="0"/>
        <v xml:space="preserve">    (U1)ALERT_REQ_C_EPB_WRN_IG_</v>
      </c>
      <c r="AR30" s="72" t="str">
        <f t="shared" si="3"/>
        <v/>
      </c>
      <c r="AS30" s="72" t="str">
        <f t="shared" si="4"/>
        <v/>
      </c>
      <c r="AT30" s="72" t="str">
        <f t="shared" si="1"/>
        <v/>
      </c>
    </row>
    <row r="31" spans="2:49">
      <c r="B31" s="145"/>
      <c r="C31" s="56">
        <f t="shared" si="2"/>
        <v>25</v>
      </c>
      <c r="D31" s="70" t="s">
        <v>70</v>
      </c>
      <c r="E31" s="70" t="s">
        <v>70</v>
      </c>
      <c r="F31" s="70" t="s">
        <v>70</v>
      </c>
      <c r="G31" s="70" t="s">
        <v>70</v>
      </c>
      <c r="H31" s="70" t="s">
        <v>70</v>
      </c>
      <c r="I31" s="70" t="s">
        <v>70</v>
      </c>
      <c r="J31" s="70" t="s">
        <v>70</v>
      </c>
      <c r="K31" s="70" t="s">
        <v>70</v>
      </c>
      <c r="L31" s="70" t="s">
        <v>70</v>
      </c>
      <c r="M31" s="70" t="s">
        <v>70</v>
      </c>
      <c r="N31" s="70" t="s">
        <v>70</v>
      </c>
      <c r="O31" s="70" t="s">
        <v>70</v>
      </c>
      <c r="P31" s="70" t="s">
        <v>70</v>
      </c>
      <c r="Q31" s="70" t="s">
        <v>70</v>
      </c>
      <c r="R31" s="70" t="s">
        <v>70</v>
      </c>
      <c r="S31" s="70" t="s">
        <v>70</v>
      </c>
      <c r="T31" s="70" t="s">
        <v>70</v>
      </c>
      <c r="U31" s="70" t="s">
        <v>70</v>
      </c>
      <c r="V31" s="70" t="s">
        <v>70</v>
      </c>
      <c r="W31" s="70" t="s">
        <v>70</v>
      </c>
      <c r="X31" s="70" t="s">
        <v>70</v>
      </c>
      <c r="Y31" s="70" t="s">
        <v>70</v>
      </c>
      <c r="Z31" s="70" t="s">
        <v>70</v>
      </c>
      <c r="AA31" s="70" t="s">
        <v>70</v>
      </c>
      <c r="AB31" s="70" t="s">
        <v>70</v>
      </c>
      <c r="AC31" s="70" t="s">
        <v>70</v>
      </c>
      <c r="AD31" s="70" t="s">
        <v>70</v>
      </c>
      <c r="AE31" s="70" t="s">
        <v>70</v>
      </c>
      <c r="AF31" s="70" t="s">
        <v>70</v>
      </c>
      <c r="AG31" s="70" t="s">
        <v>70</v>
      </c>
      <c r="AH31" s="70" t="s">
        <v>70</v>
      </c>
      <c r="AI31" s="70" t="s">
        <v>70</v>
      </c>
      <c r="AJ31" s="60"/>
      <c r="AL31" t="str">
        <f t="shared" ca="1" si="0"/>
        <v xml:space="preserve">    (U1)ALERT_REQ_C_EPB_WRN_IG_</v>
      </c>
      <c r="AR31" s="72" t="str">
        <f t="shared" si="3"/>
        <v/>
      </c>
      <c r="AS31" s="72" t="str">
        <f t="shared" si="4"/>
        <v/>
      </c>
      <c r="AT31" s="72" t="str">
        <f t="shared" si="1"/>
        <v/>
      </c>
    </row>
    <row r="32" spans="2:49">
      <c r="B32" s="145"/>
      <c r="C32" s="56">
        <f t="shared" si="2"/>
        <v>26</v>
      </c>
      <c r="D32" s="70" t="s">
        <v>70</v>
      </c>
      <c r="E32" s="70" t="s">
        <v>70</v>
      </c>
      <c r="F32" s="70" t="s">
        <v>70</v>
      </c>
      <c r="G32" s="70" t="s">
        <v>70</v>
      </c>
      <c r="H32" s="70" t="s">
        <v>70</v>
      </c>
      <c r="I32" s="70" t="s">
        <v>70</v>
      </c>
      <c r="J32" s="70" t="s">
        <v>70</v>
      </c>
      <c r="K32" s="70" t="s">
        <v>70</v>
      </c>
      <c r="L32" s="70" t="s">
        <v>70</v>
      </c>
      <c r="M32" s="70" t="s">
        <v>70</v>
      </c>
      <c r="N32" s="70" t="s">
        <v>70</v>
      </c>
      <c r="O32" s="70" t="s">
        <v>70</v>
      </c>
      <c r="P32" s="70" t="s">
        <v>70</v>
      </c>
      <c r="Q32" s="70" t="s">
        <v>70</v>
      </c>
      <c r="R32" s="70" t="s">
        <v>70</v>
      </c>
      <c r="S32" s="70" t="s">
        <v>70</v>
      </c>
      <c r="T32" s="70" t="s">
        <v>70</v>
      </c>
      <c r="U32" s="70" t="s">
        <v>70</v>
      </c>
      <c r="V32" s="70" t="s">
        <v>70</v>
      </c>
      <c r="W32" s="70" t="s">
        <v>70</v>
      </c>
      <c r="X32" s="70" t="s">
        <v>70</v>
      </c>
      <c r="Y32" s="70" t="s">
        <v>70</v>
      </c>
      <c r="Z32" s="70" t="s">
        <v>70</v>
      </c>
      <c r="AA32" s="70" t="s">
        <v>70</v>
      </c>
      <c r="AB32" s="70" t="s">
        <v>70</v>
      </c>
      <c r="AC32" s="70" t="s">
        <v>70</v>
      </c>
      <c r="AD32" s="70" t="s">
        <v>70</v>
      </c>
      <c r="AE32" s="70" t="s">
        <v>70</v>
      </c>
      <c r="AF32" s="70" t="s">
        <v>70</v>
      </c>
      <c r="AG32" s="70" t="s">
        <v>70</v>
      </c>
      <c r="AH32" s="70" t="s">
        <v>70</v>
      </c>
      <c r="AI32" s="70" t="s">
        <v>70</v>
      </c>
      <c r="AJ32" s="60"/>
      <c r="AL32" t="str">
        <f t="shared" ca="1" si="0"/>
        <v xml:space="preserve">    (U1)ALERT_REQ_C_EPB_WRN_IG_</v>
      </c>
      <c r="AR32" s="72" t="str">
        <f t="shared" si="3"/>
        <v/>
      </c>
      <c r="AS32" s="72" t="str">
        <f t="shared" si="4"/>
        <v/>
      </c>
      <c r="AT32" s="72" t="str">
        <f t="shared" si="1"/>
        <v/>
      </c>
    </row>
    <row r="33" spans="2:46">
      <c r="B33" s="145"/>
      <c r="C33" s="56">
        <f t="shared" si="2"/>
        <v>27</v>
      </c>
      <c r="D33" s="70" t="s">
        <v>70</v>
      </c>
      <c r="E33" s="70" t="s">
        <v>70</v>
      </c>
      <c r="F33" s="70" t="s">
        <v>70</v>
      </c>
      <c r="G33" s="70" t="s">
        <v>70</v>
      </c>
      <c r="H33" s="70" t="s">
        <v>70</v>
      </c>
      <c r="I33" s="70" t="s">
        <v>70</v>
      </c>
      <c r="J33" s="70" t="s">
        <v>70</v>
      </c>
      <c r="K33" s="70" t="s">
        <v>70</v>
      </c>
      <c r="L33" s="70" t="s">
        <v>70</v>
      </c>
      <c r="M33" s="70" t="s">
        <v>70</v>
      </c>
      <c r="N33" s="70" t="s">
        <v>70</v>
      </c>
      <c r="O33" s="70" t="s">
        <v>70</v>
      </c>
      <c r="P33" s="70" t="s">
        <v>70</v>
      </c>
      <c r="Q33" s="70" t="s">
        <v>70</v>
      </c>
      <c r="R33" s="70" t="s">
        <v>70</v>
      </c>
      <c r="S33" s="70" t="s">
        <v>70</v>
      </c>
      <c r="T33" s="70" t="s">
        <v>70</v>
      </c>
      <c r="U33" s="70" t="s">
        <v>70</v>
      </c>
      <c r="V33" s="70" t="s">
        <v>70</v>
      </c>
      <c r="W33" s="70" t="s">
        <v>70</v>
      </c>
      <c r="X33" s="70" t="s">
        <v>70</v>
      </c>
      <c r="Y33" s="70" t="s">
        <v>70</v>
      </c>
      <c r="Z33" s="70" t="s">
        <v>70</v>
      </c>
      <c r="AA33" s="70" t="s">
        <v>70</v>
      </c>
      <c r="AB33" s="70" t="s">
        <v>70</v>
      </c>
      <c r="AC33" s="70" t="s">
        <v>70</v>
      </c>
      <c r="AD33" s="70" t="s">
        <v>70</v>
      </c>
      <c r="AE33" s="70" t="s">
        <v>70</v>
      </c>
      <c r="AF33" s="70" t="s">
        <v>70</v>
      </c>
      <c r="AG33" s="70" t="s">
        <v>70</v>
      </c>
      <c r="AH33" s="70" t="s">
        <v>70</v>
      </c>
      <c r="AI33" s="70" t="s">
        <v>70</v>
      </c>
      <c r="AJ33" s="60"/>
      <c r="AL33" t="str">
        <f t="shared" ca="1" si="0"/>
        <v xml:space="preserve">    (U1)ALERT_REQ_C_EPB_WRN_IG_</v>
      </c>
      <c r="AR33" s="72" t="str">
        <f t="shared" si="3"/>
        <v/>
      </c>
      <c r="AS33" s="72" t="str">
        <f t="shared" si="4"/>
        <v/>
      </c>
      <c r="AT33" s="72" t="str">
        <f t="shared" si="1"/>
        <v/>
      </c>
    </row>
    <row r="34" spans="2:46">
      <c r="B34" s="145"/>
      <c r="C34" s="56">
        <f t="shared" si="2"/>
        <v>28</v>
      </c>
      <c r="D34" s="70" t="s">
        <v>70</v>
      </c>
      <c r="E34" s="70" t="s">
        <v>70</v>
      </c>
      <c r="F34" s="70" t="s">
        <v>70</v>
      </c>
      <c r="G34" s="70" t="s">
        <v>70</v>
      </c>
      <c r="H34" s="70" t="s">
        <v>70</v>
      </c>
      <c r="I34" s="70" t="s">
        <v>70</v>
      </c>
      <c r="J34" s="70" t="s">
        <v>70</v>
      </c>
      <c r="K34" s="70" t="s">
        <v>70</v>
      </c>
      <c r="L34" s="70" t="s">
        <v>70</v>
      </c>
      <c r="M34" s="70" t="s">
        <v>70</v>
      </c>
      <c r="N34" s="70" t="s">
        <v>70</v>
      </c>
      <c r="O34" s="70" t="s">
        <v>70</v>
      </c>
      <c r="P34" s="70" t="s">
        <v>70</v>
      </c>
      <c r="Q34" s="70" t="s">
        <v>70</v>
      </c>
      <c r="R34" s="70" t="s">
        <v>70</v>
      </c>
      <c r="S34" s="70" t="s">
        <v>70</v>
      </c>
      <c r="T34" s="70" t="s">
        <v>70</v>
      </c>
      <c r="U34" s="70" t="s">
        <v>70</v>
      </c>
      <c r="V34" s="70" t="s">
        <v>70</v>
      </c>
      <c r="W34" s="70" t="s">
        <v>70</v>
      </c>
      <c r="X34" s="70" t="s">
        <v>70</v>
      </c>
      <c r="Y34" s="70" t="s">
        <v>70</v>
      </c>
      <c r="Z34" s="70" t="s">
        <v>70</v>
      </c>
      <c r="AA34" s="70" t="s">
        <v>70</v>
      </c>
      <c r="AB34" s="70" t="s">
        <v>70</v>
      </c>
      <c r="AC34" s="70" t="s">
        <v>70</v>
      </c>
      <c r="AD34" s="70" t="s">
        <v>70</v>
      </c>
      <c r="AE34" s="70" t="s">
        <v>70</v>
      </c>
      <c r="AF34" s="70" t="s">
        <v>70</v>
      </c>
      <c r="AG34" s="70" t="s">
        <v>70</v>
      </c>
      <c r="AH34" s="70" t="s">
        <v>70</v>
      </c>
      <c r="AI34" s="70" t="s">
        <v>70</v>
      </c>
      <c r="AJ34" s="60"/>
      <c r="AL34" t="str">
        <f t="shared" ca="1" si="0"/>
        <v xml:space="preserve">    (U1)ALERT_REQ_C_EPB_WRN_IG_</v>
      </c>
      <c r="AR34" s="72" t="str">
        <f t="shared" si="3"/>
        <v/>
      </c>
      <c r="AS34" s="72" t="str">
        <f t="shared" si="4"/>
        <v/>
      </c>
      <c r="AT34" s="72" t="str">
        <f t="shared" si="1"/>
        <v/>
      </c>
    </row>
    <row r="35" spans="2:46">
      <c r="B35" s="145"/>
      <c r="C35" s="56">
        <f t="shared" si="2"/>
        <v>29</v>
      </c>
      <c r="D35" s="70" t="s">
        <v>70</v>
      </c>
      <c r="E35" s="70" t="s">
        <v>70</v>
      </c>
      <c r="F35" s="70" t="s">
        <v>70</v>
      </c>
      <c r="G35" s="70" t="s">
        <v>70</v>
      </c>
      <c r="H35" s="70" t="s">
        <v>70</v>
      </c>
      <c r="I35" s="70" t="s">
        <v>70</v>
      </c>
      <c r="J35" s="70" t="s">
        <v>70</v>
      </c>
      <c r="K35" s="70" t="s">
        <v>70</v>
      </c>
      <c r="L35" s="70" t="s">
        <v>70</v>
      </c>
      <c r="M35" s="70" t="s">
        <v>70</v>
      </c>
      <c r="N35" s="70" t="s">
        <v>70</v>
      </c>
      <c r="O35" s="70" t="s">
        <v>70</v>
      </c>
      <c r="P35" s="70" t="s">
        <v>70</v>
      </c>
      <c r="Q35" s="70" t="s">
        <v>70</v>
      </c>
      <c r="R35" s="70" t="s">
        <v>70</v>
      </c>
      <c r="S35" s="70" t="s">
        <v>70</v>
      </c>
      <c r="T35" s="70" t="s">
        <v>70</v>
      </c>
      <c r="U35" s="70" t="s">
        <v>70</v>
      </c>
      <c r="V35" s="70" t="s">
        <v>70</v>
      </c>
      <c r="W35" s="70" t="s">
        <v>70</v>
      </c>
      <c r="X35" s="70" t="s">
        <v>70</v>
      </c>
      <c r="Y35" s="70" t="s">
        <v>70</v>
      </c>
      <c r="Z35" s="70" t="s">
        <v>70</v>
      </c>
      <c r="AA35" s="70" t="s">
        <v>70</v>
      </c>
      <c r="AB35" s="70" t="s">
        <v>70</v>
      </c>
      <c r="AC35" s="70" t="s">
        <v>70</v>
      </c>
      <c r="AD35" s="70" t="s">
        <v>70</v>
      </c>
      <c r="AE35" s="70" t="s">
        <v>70</v>
      </c>
      <c r="AF35" s="70" t="s">
        <v>70</v>
      </c>
      <c r="AG35" s="70" t="s">
        <v>70</v>
      </c>
      <c r="AH35" s="70" t="s">
        <v>70</v>
      </c>
      <c r="AI35" s="70" t="s">
        <v>70</v>
      </c>
      <c r="AJ35" s="60"/>
      <c r="AL35" t="str">
        <f t="shared" ca="1" si="0"/>
        <v xml:space="preserve">    (U1)ALERT_REQ_C_EPB_WRN_IG_</v>
      </c>
      <c r="AR35" s="72" t="str">
        <f t="shared" si="3"/>
        <v/>
      </c>
      <c r="AS35" s="72" t="str">
        <f t="shared" si="4"/>
        <v/>
      </c>
      <c r="AT35" s="72" t="str">
        <f t="shared" si="1"/>
        <v/>
      </c>
    </row>
    <row r="36" spans="2:46">
      <c r="B36" s="145"/>
      <c r="C36" s="56">
        <f t="shared" si="2"/>
        <v>30</v>
      </c>
      <c r="D36" s="70" t="s">
        <v>70</v>
      </c>
      <c r="E36" s="70" t="s">
        <v>70</v>
      </c>
      <c r="F36" s="70" t="s">
        <v>70</v>
      </c>
      <c r="G36" s="70" t="s">
        <v>70</v>
      </c>
      <c r="H36" s="70" t="s">
        <v>70</v>
      </c>
      <c r="I36" s="70" t="s">
        <v>70</v>
      </c>
      <c r="J36" s="70" t="s">
        <v>70</v>
      </c>
      <c r="K36" s="70" t="s">
        <v>70</v>
      </c>
      <c r="L36" s="70" t="s">
        <v>70</v>
      </c>
      <c r="M36" s="70" t="s">
        <v>70</v>
      </c>
      <c r="N36" s="70" t="s">
        <v>70</v>
      </c>
      <c r="O36" s="70" t="s">
        <v>70</v>
      </c>
      <c r="P36" s="70" t="s">
        <v>70</v>
      </c>
      <c r="Q36" s="70" t="s">
        <v>70</v>
      </c>
      <c r="R36" s="70" t="s">
        <v>70</v>
      </c>
      <c r="S36" s="70" t="s">
        <v>70</v>
      </c>
      <c r="T36" s="70" t="s">
        <v>70</v>
      </c>
      <c r="U36" s="70" t="s">
        <v>70</v>
      </c>
      <c r="V36" s="70" t="s">
        <v>70</v>
      </c>
      <c r="W36" s="70" t="s">
        <v>70</v>
      </c>
      <c r="X36" s="70" t="s">
        <v>70</v>
      </c>
      <c r="Y36" s="70" t="s">
        <v>70</v>
      </c>
      <c r="Z36" s="70" t="s">
        <v>70</v>
      </c>
      <c r="AA36" s="70" t="s">
        <v>70</v>
      </c>
      <c r="AB36" s="70" t="s">
        <v>70</v>
      </c>
      <c r="AC36" s="70" t="s">
        <v>70</v>
      </c>
      <c r="AD36" s="70" t="s">
        <v>70</v>
      </c>
      <c r="AE36" s="70" t="s">
        <v>70</v>
      </c>
      <c r="AF36" s="70" t="s">
        <v>70</v>
      </c>
      <c r="AG36" s="70" t="s">
        <v>70</v>
      </c>
      <c r="AH36" s="70" t="s">
        <v>70</v>
      </c>
      <c r="AI36" s="70" t="s">
        <v>70</v>
      </c>
      <c r="AJ36" s="60"/>
      <c r="AL36" t="str">
        <f t="shared" ca="1" si="0"/>
        <v xml:space="preserve">    (U1)ALERT_REQ_C_EPB_WRN_IG_</v>
      </c>
      <c r="AR36" s="72" t="str">
        <f t="shared" si="3"/>
        <v/>
      </c>
      <c r="AS36" s="72" t="str">
        <f t="shared" si="4"/>
        <v/>
      </c>
      <c r="AT36" s="72" t="str">
        <f t="shared" si="1"/>
        <v/>
      </c>
    </row>
    <row r="37" spans="2:46">
      <c r="B37" s="145"/>
      <c r="C37" s="56">
        <f t="shared" si="2"/>
        <v>31</v>
      </c>
      <c r="D37" s="70" t="s">
        <v>70</v>
      </c>
      <c r="E37" s="70" t="s">
        <v>70</v>
      </c>
      <c r="F37" s="70" t="s">
        <v>70</v>
      </c>
      <c r="G37" s="70" t="s">
        <v>70</v>
      </c>
      <c r="H37" s="70" t="s">
        <v>70</v>
      </c>
      <c r="I37" s="70" t="s">
        <v>70</v>
      </c>
      <c r="J37" s="70" t="s">
        <v>70</v>
      </c>
      <c r="K37" s="70" t="s">
        <v>70</v>
      </c>
      <c r="L37" s="70" t="s">
        <v>70</v>
      </c>
      <c r="M37" s="70" t="s">
        <v>70</v>
      </c>
      <c r="N37" s="70" t="s">
        <v>70</v>
      </c>
      <c r="O37" s="70" t="s">
        <v>70</v>
      </c>
      <c r="P37" s="70" t="s">
        <v>70</v>
      </c>
      <c r="Q37" s="70" t="s">
        <v>70</v>
      </c>
      <c r="R37" s="70" t="s">
        <v>70</v>
      </c>
      <c r="S37" s="70" t="s">
        <v>70</v>
      </c>
      <c r="T37" s="70" t="s">
        <v>70</v>
      </c>
      <c r="U37" s="70" t="s">
        <v>70</v>
      </c>
      <c r="V37" s="70" t="s">
        <v>70</v>
      </c>
      <c r="W37" s="70" t="s">
        <v>70</v>
      </c>
      <c r="X37" s="70" t="s">
        <v>70</v>
      </c>
      <c r="Y37" s="70" t="s">
        <v>70</v>
      </c>
      <c r="Z37" s="70" t="s">
        <v>70</v>
      </c>
      <c r="AA37" s="70" t="s">
        <v>70</v>
      </c>
      <c r="AB37" s="70" t="s">
        <v>70</v>
      </c>
      <c r="AC37" s="70" t="s">
        <v>70</v>
      </c>
      <c r="AD37" s="70" t="s">
        <v>70</v>
      </c>
      <c r="AE37" s="70" t="s">
        <v>70</v>
      </c>
      <c r="AF37" s="70" t="s">
        <v>70</v>
      </c>
      <c r="AG37" s="70" t="s">
        <v>70</v>
      </c>
      <c r="AH37" s="70" t="s">
        <v>70</v>
      </c>
      <c r="AI37" s="70" t="s">
        <v>70</v>
      </c>
      <c r="AJ37" s="60"/>
      <c r="AL37" t="str">
        <f t="shared" ca="1" si="0"/>
        <v xml:space="preserve">    (U1)ALERT_REQ_C_EPB_WRN_IG_</v>
      </c>
      <c r="AR37" s="72" t="str">
        <f t="shared" si="3"/>
        <v/>
      </c>
      <c r="AS37" s="72" t="str">
        <f t="shared" si="4"/>
        <v/>
      </c>
      <c r="AT37" s="72" t="str">
        <f t="shared" si="1"/>
        <v/>
      </c>
    </row>
    <row r="38" spans="2:46">
      <c r="B38" s="145"/>
      <c r="C38" s="56">
        <f t="shared" si="2"/>
        <v>32</v>
      </c>
      <c r="D38" s="70" t="s">
        <v>70</v>
      </c>
      <c r="E38" s="70" t="s">
        <v>70</v>
      </c>
      <c r="F38" s="70" t="s">
        <v>70</v>
      </c>
      <c r="G38" s="70" t="s">
        <v>70</v>
      </c>
      <c r="H38" s="70" t="s">
        <v>70</v>
      </c>
      <c r="I38" s="70" t="s">
        <v>70</v>
      </c>
      <c r="J38" s="70" t="s">
        <v>70</v>
      </c>
      <c r="K38" s="70" t="s">
        <v>70</v>
      </c>
      <c r="L38" s="70" t="s">
        <v>70</v>
      </c>
      <c r="M38" s="70" t="s">
        <v>70</v>
      </c>
      <c r="N38" s="70" t="s">
        <v>70</v>
      </c>
      <c r="O38" s="70" t="s">
        <v>70</v>
      </c>
      <c r="P38" s="70" t="s">
        <v>70</v>
      </c>
      <c r="Q38" s="70" t="s">
        <v>70</v>
      </c>
      <c r="R38" s="70" t="s">
        <v>70</v>
      </c>
      <c r="S38" s="70" t="s">
        <v>70</v>
      </c>
      <c r="T38" s="70" t="s">
        <v>70</v>
      </c>
      <c r="U38" s="70" t="s">
        <v>70</v>
      </c>
      <c r="V38" s="70" t="s">
        <v>70</v>
      </c>
      <c r="W38" s="70" t="s">
        <v>70</v>
      </c>
      <c r="X38" s="70" t="s">
        <v>70</v>
      </c>
      <c r="Y38" s="70" t="s">
        <v>70</v>
      </c>
      <c r="Z38" s="70" t="s">
        <v>70</v>
      </c>
      <c r="AA38" s="70" t="s">
        <v>70</v>
      </c>
      <c r="AB38" s="70" t="s">
        <v>70</v>
      </c>
      <c r="AC38" s="70" t="s">
        <v>70</v>
      </c>
      <c r="AD38" s="70" t="s">
        <v>70</v>
      </c>
      <c r="AE38" s="70" t="s">
        <v>70</v>
      </c>
      <c r="AF38" s="70" t="s">
        <v>70</v>
      </c>
      <c r="AG38" s="70" t="s">
        <v>70</v>
      </c>
      <c r="AH38" s="70" t="s">
        <v>70</v>
      </c>
      <c r="AI38" s="70" t="s">
        <v>70</v>
      </c>
      <c r="AJ38" s="60"/>
      <c r="AL38" t="str">
        <f t="shared" ca="1" si="0"/>
        <v xml:space="preserve">    (U1)ALERT_REQ_C_EPB_WRN_IG_</v>
      </c>
      <c r="AR38" s="72" t="str">
        <f t="shared" si="3"/>
        <v/>
      </c>
      <c r="AS38" s="72" t="str">
        <f t="shared" si="4"/>
        <v/>
      </c>
      <c r="AT38" s="72" t="str">
        <f t="shared" si="1"/>
        <v/>
      </c>
    </row>
    <row r="39" spans="2:46">
      <c r="B39" s="145"/>
      <c r="C39" s="56">
        <f t="shared" si="2"/>
        <v>33</v>
      </c>
      <c r="D39" s="70" t="s">
        <v>70</v>
      </c>
      <c r="E39" s="70" t="s">
        <v>70</v>
      </c>
      <c r="F39" s="70" t="s">
        <v>70</v>
      </c>
      <c r="G39" s="70" t="s">
        <v>70</v>
      </c>
      <c r="H39" s="70" t="s">
        <v>70</v>
      </c>
      <c r="I39" s="70" t="s">
        <v>70</v>
      </c>
      <c r="J39" s="70" t="s">
        <v>70</v>
      </c>
      <c r="K39" s="70" t="s">
        <v>70</v>
      </c>
      <c r="L39" s="70" t="s">
        <v>70</v>
      </c>
      <c r="M39" s="70" t="s">
        <v>70</v>
      </c>
      <c r="N39" s="70" t="s">
        <v>70</v>
      </c>
      <c r="O39" s="70" t="s">
        <v>70</v>
      </c>
      <c r="P39" s="70" t="s">
        <v>70</v>
      </c>
      <c r="Q39" s="70" t="s">
        <v>70</v>
      </c>
      <c r="R39" s="70" t="s">
        <v>70</v>
      </c>
      <c r="S39" s="70" t="s">
        <v>70</v>
      </c>
      <c r="T39" s="70" t="s">
        <v>70</v>
      </c>
      <c r="U39" s="70" t="s">
        <v>70</v>
      </c>
      <c r="V39" s="70" t="s">
        <v>70</v>
      </c>
      <c r="W39" s="70" t="s">
        <v>70</v>
      </c>
      <c r="X39" s="70" t="s">
        <v>70</v>
      </c>
      <c r="Y39" s="70" t="s">
        <v>70</v>
      </c>
      <c r="Z39" s="70" t="s">
        <v>70</v>
      </c>
      <c r="AA39" s="70" t="s">
        <v>70</v>
      </c>
      <c r="AB39" s="70" t="s">
        <v>70</v>
      </c>
      <c r="AC39" s="70" t="s">
        <v>70</v>
      </c>
      <c r="AD39" s="70" t="s">
        <v>70</v>
      </c>
      <c r="AE39" s="70" t="s">
        <v>70</v>
      </c>
      <c r="AF39" s="70" t="s">
        <v>70</v>
      </c>
      <c r="AG39" s="70" t="s">
        <v>70</v>
      </c>
      <c r="AH39" s="70" t="s">
        <v>70</v>
      </c>
      <c r="AI39" s="70" t="s">
        <v>70</v>
      </c>
      <c r="AJ39" s="60"/>
      <c r="AL39" t="str">
        <f t="shared" ca="1" si="0"/>
        <v xml:space="preserve">    (U1)ALERT_REQ_C_EPB_WRN_IG_</v>
      </c>
      <c r="AR39" s="72" t="str">
        <f t="shared" si="3"/>
        <v/>
      </c>
      <c r="AS39" s="72" t="str">
        <f t="shared" si="4"/>
        <v/>
      </c>
      <c r="AT39" s="72" t="str">
        <f t="shared" si="1"/>
        <v/>
      </c>
    </row>
    <row r="40" spans="2:46">
      <c r="B40" s="145"/>
      <c r="C40" s="56">
        <f t="shared" si="2"/>
        <v>34</v>
      </c>
      <c r="D40" s="70" t="s">
        <v>70</v>
      </c>
      <c r="E40" s="70" t="s">
        <v>70</v>
      </c>
      <c r="F40" s="70" t="s">
        <v>70</v>
      </c>
      <c r="G40" s="70" t="s">
        <v>70</v>
      </c>
      <c r="H40" s="70" t="s">
        <v>70</v>
      </c>
      <c r="I40" s="70" t="s">
        <v>70</v>
      </c>
      <c r="J40" s="70" t="s">
        <v>70</v>
      </c>
      <c r="K40" s="70" t="s">
        <v>70</v>
      </c>
      <c r="L40" s="70" t="s">
        <v>70</v>
      </c>
      <c r="M40" s="70" t="s">
        <v>70</v>
      </c>
      <c r="N40" s="70" t="s">
        <v>70</v>
      </c>
      <c r="O40" s="70" t="s">
        <v>70</v>
      </c>
      <c r="P40" s="70" t="s">
        <v>70</v>
      </c>
      <c r="Q40" s="70" t="s">
        <v>70</v>
      </c>
      <c r="R40" s="70" t="s">
        <v>70</v>
      </c>
      <c r="S40" s="70" t="s">
        <v>70</v>
      </c>
      <c r="T40" s="70" t="s">
        <v>70</v>
      </c>
      <c r="U40" s="70" t="s">
        <v>70</v>
      </c>
      <c r="V40" s="70" t="s">
        <v>70</v>
      </c>
      <c r="W40" s="70" t="s">
        <v>70</v>
      </c>
      <c r="X40" s="70" t="s">
        <v>70</v>
      </c>
      <c r="Y40" s="70" t="s">
        <v>70</v>
      </c>
      <c r="Z40" s="70" t="s">
        <v>70</v>
      </c>
      <c r="AA40" s="70" t="s">
        <v>70</v>
      </c>
      <c r="AB40" s="70" t="s">
        <v>70</v>
      </c>
      <c r="AC40" s="70" t="s">
        <v>70</v>
      </c>
      <c r="AD40" s="70" t="s">
        <v>70</v>
      </c>
      <c r="AE40" s="70" t="s">
        <v>70</v>
      </c>
      <c r="AF40" s="70" t="s">
        <v>70</v>
      </c>
      <c r="AG40" s="70" t="s">
        <v>70</v>
      </c>
      <c r="AH40" s="70" t="s">
        <v>70</v>
      </c>
      <c r="AI40" s="70" t="s">
        <v>70</v>
      </c>
      <c r="AJ40" s="60"/>
      <c r="AL40" t="str">
        <f t="shared" ca="1" si="0"/>
        <v xml:space="preserve">    (U1)ALERT_REQ_C_EPB_WRN_IG_</v>
      </c>
      <c r="AR40" s="72" t="str">
        <f t="shared" si="3"/>
        <v/>
      </c>
      <c r="AS40" s="72" t="str">
        <f t="shared" si="4"/>
        <v/>
      </c>
      <c r="AT40" s="72" t="str">
        <f t="shared" si="1"/>
        <v/>
      </c>
    </row>
    <row r="41" spans="2:46">
      <c r="B41" s="145"/>
      <c r="C41" s="56">
        <f t="shared" si="2"/>
        <v>35</v>
      </c>
      <c r="D41" s="70" t="s">
        <v>70</v>
      </c>
      <c r="E41" s="70" t="s">
        <v>70</v>
      </c>
      <c r="F41" s="70" t="s">
        <v>70</v>
      </c>
      <c r="G41" s="70" t="s">
        <v>70</v>
      </c>
      <c r="H41" s="70" t="s">
        <v>70</v>
      </c>
      <c r="I41" s="70" t="s">
        <v>70</v>
      </c>
      <c r="J41" s="70" t="s">
        <v>70</v>
      </c>
      <c r="K41" s="70" t="s">
        <v>70</v>
      </c>
      <c r="L41" s="70" t="s">
        <v>70</v>
      </c>
      <c r="M41" s="70" t="s">
        <v>70</v>
      </c>
      <c r="N41" s="70" t="s">
        <v>70</v>
      </c>
      <c r="O41" s="70" t="s">
        <v>70</v>
      </c>
      <c r="P41" s="70" t="s">
        <v>70</v>
      </c>
      <c r="Q41" s="70" t="s">
        <v>70</v>
      </c>
      <c r="R41" s="70" t="s">
        <v>70</v>
      </c>
      <c r="S41" s="70" t="s">
        <v>70</v>
      </c>
      <c r="T41" s="70" t="s">
        <v>70</v>
      </c>
      <c r="U41" s="70" t="s">
        <v>70</v>
      </c>
      <c r="V41" s="70" t="s">
        <v>70</v>
      </c>
      <c r="W41" s="70" t="s">
        <v>70</v>
      </c>
      <c r="X41" s="70" t="s">
        <v>70</v>
      </c>
      <c r="Y41" s="70" t="s">
        <v>70</v>
      </c>
      <c r="Z41" s="70" t="s">
        <v>70</v>
      </c>
      <c r="AA41" s="70" t="s">
        <v>70</v>
      </c>
      <c r="AB41" s="70" t="s">
        <v>70</v>
      </c>
      <c r="AC41" s="70" t="s">
        <v>70</v>
      </c>
      <c r="AD41" s="70" t="s">
        <v>70</v>
      </c>
      <c r="AE41" s="70" t="s">
        <v>70</v>
      </c>
      <c r="AF41" s="70" t="s">
        <v>70</v>
      </c>
      <c r="AG41" s="70" t="s">
        <v>70</v>
      </c>
      <c r="AH41" s="70" t="s">
        <v>70</v>
      </c>
      <c r="AI41" s="70" t="s">
        <v>70</v>
      </c>
      <c r="AJ41" s="60"/>
      <c r="AL41" t="str">
        <f t="shared" ca="1" si="0"/>
        <v xml:space="preserve">    (U1)ALERT_REQ_C_EPB_WRN_IG_</v>
      </c>
      <c r="AR41" s="72" t="str">
        <f t="shared" si="3"/>
        <v/>
      </c>
      <c r="AS41" s="72" t="str">
        <f t="shared" si="4"/>
        <v/>
      </c>
      <c r="AT41" s="72" t="str">
        <f t="shared" si="1"/>
        <v/>
      </c>
    </row>
    <row r="42" spans="2:46">
      <c r="B42" s="145"/>
      <c r="C42" s="56">
        <f t="shared" si="2"/>
        <v>36</v>
      </c>
      <c r="D42" s="70" t="s">
        <v>70</v>
      </c>
      <c r="E42" s="70" t="s">
        <v>70</v>
      </c>
      <c r="F42" s="70" t="s">
        <v>70</v>
      </c>
      <c r="G42" s="70" t="s">
        <v>70</v>
      </c>
      <c r="H42" s="70" t="s">
        <v>70</v>
      </c>
      <c r="I42" s="70" t="s">
        <v>70</v>
      </c>
      <c r="J42" s="70" t="s">
        <v>70</v>
      </c>
      <c r="K42" s="70" t="s">
        <v>70</v>
      </c>
      <c r="L42" s="70" t="s">
        <v>70</v>
      </c>
      <c r="M42" s="70" t="s">
        <v>70</v>
      </c>
      <c r="N42" s="70" t="s">
        <v>70</v>
      </c>
      <c r="O42" s="70" t="s">
        <v>70</v>
      </c>
      <c r="P42" s="70" t="s">
        <v>70</v>
      </c>
      <c r="Q42" s="70" t="s">
        <v>70</v>
      </c>
      <c r="R42" s="70" t="s">
        <v>70</v>
      </c>
      <c r="S42" s="70" t="s">
        <v>70</v>
      </c>
      <c r="T42" s="70" t="s">
        <v>70</v>
      </c>
      <c r="U42" s="70" t="s">
        <v>70</v>
      </c>
      <c r="V42" s="70" t="s">
        <v>70</v>
      </c>
      <c r="W42" s="70" t="s">
        <v>70</v>
      </c>
      <c r="X42" s="70" t="s">
        <v>70</v>
      </c>
      <c r="Y42" s="70" t="s">
        <v>70</v>
      </c>
      <c r="Z42" s="70" t="s">
        <v>70</v>
      </c>
      <c r="AA42" s="70" t="s">
        <v>70</v>
      </c>
      <c r="AB42" s="70" t="s">
        <v>70</v>
      </c>
      <c r="AC42" s="70" t="s">
        <v>70</v>
      </c>
      <c r="AD42" s="70" t="s">
        <v>70</v>
      </c>
      <c r="AE42" s="70" t="s">
        <v>70</v>
      </c>
      <c r="AF42" s="70" t="s">
        <v>70</v>
      </c>
      <c r="AG42" s="70" t="s">
        <v>70</v>
      </c>
      <c r="AH42" s="70" t="s">
        <v>70</v>
      </c>
      <c r="AI42" s="70" t="s">
        <v>70</v>
      </c>
      <c r="AJ42" s="60"/>
      <c r="AL42" t="str">
        <f t="shared" ca="1" si="0"/>
        <v xml:space="preserve">    (U1)ALERT_REQ_C_EPB_WRN_IG_</v>
      </c>
      <c r="AR42" s="72" t="str">
        <f t="shared" si="3"/>
        <v/>
      </c>
      <c r="AS42" s="72" t="str">
        <f t="shared" si="4"/>
        <v/>
      </c>
      <c r="AT42" s="72" t="str">
        <f t="shared" si="1"/>
        <v/>
      </c>
    </row>
    <row r="43" spans="2:46">
      <c r="B43" s="145"/>
      <c r="C43" s="56">
        <f t="shared" si="2"/>
        <v>37</v>
      </c>
      <c r="D43" s="70" t="s">
        <v>70</v>
      </c>
      <c r="E43" s="70" t="s">
        <v>70</v>
      </c>
      <c r="F43" s="70" t="s">
        <v>70</v>
      </c>
      <c r="G43" s="70" t="s">
        <v>70</v>
      </c>
      <c r="H43" s="70" t="s">
        <v>70</v>
      </c>
      <c r="I43" s="70" t="s">
        <v>70</v>
      </c>
      <c r="J43" s="70" t="s">
        <v>70</v>
      </c>
      <c r="K43" s="70" t="s">
        <v>70</v>
      </c>
      <c r="L43" s="70" t="s">
        <v>70</v>
      </c>
      <c r="M43" s="70" t="s">
        <v>70</v>
      </c>
      <c r="N43" s="70" t="s">
        <v>70</v>
      </c>
      <c r="O43" s="70" t="s">
        <v>70</v>
      </c>
      <c r="P43" s="70" t="s">
        <v>70</v>
      </c>
      <c r="Q43" s="70" t="s">
        <v>70</v>
      </c>
      <c r="R43" s="70" t="s">
        <v>70</v>
      </c>
      <c r="S43" s="70" t="s">
        <v>70</v>
      </c>
      <c r="T43" s="70" t="s">
        <v>70</v>
      </c>
      <c r="U43" s="70" t="s">
        <v>70</v>
      </c>
      <c r="V43" s="70" t="s">
        <v>70</v>
      </c>
      <c r="W43" s="70" t="s">
        <v>70</v>
      </c>
      <c r="X43" s="70" t="s">
        <v>70</v>
      </c>
      <c r="Y43" s="70" t="s">
        <v>70</v>
      </c>
      <c r="Z43" s="70" t="s">
        <v>70</v>
      </c>
      <c r="AA43" s="70" t="s">
        <v>70</v>
      </c>
      <c r="AB43" s="70" t="s">
        <v>70</v>
      </c>
      <c r="AC43" s="70" t="s">
        <v>70</v>
      </c>
      <c r="AD43" s="70" t="s">
        <v>70</v>
      </c>
      <c r="AE43" s="70" t="s">
        <v>70</v>
      </c>
      <c r="AF43" s="70" t="s">
        <v>70</v>
      </c>
      <c r="AG43" s="70" t="s">
        <v>70</v>
      </c>
      <c r="AH43" s="70" t="s">
        <v>70</v>
      </c>
      <c r="AI43" s="70" t="s">
        <v>70</v>
      </c>
      <c r="AJ43" s="60"/>
      <c r="AL43" t="str">
        <f t="shared" ca="1" si="0"/>
        <v xml:space="preserve">    (U1)ALERT_REQ_C_EPB_WRN_IG_</v>
      </c>
      <c r="AR43" s="72" t="str">
        <f t="shared" si="3"/>
        <v/>
      </c>
      <c r="AS43" s="72" t="str">
        <f t="shared" si="4"/>
        <v/>
      </c>
      <c r="AT43" s="72" t="str">
        <f t="shared" si="1"/>
        <v/>
      </c>
    </row>
    <row r="44" spans="2:46">
      <c r="B44" s="145"/>
      <c r="C44" s="56">
        <f t="shared" si="2"/>
        <v>38</v>
      </c>
      <c r="D44" s="70" t="s">
        <v>70</v>
      </c>
      <c r="E44" s="70" t="s">
        <v>70</v>
      </c>
      <c r="F44" s="70" t="s">
        <v>70</v>
      </c>
      <c r="G44" s="70" t="s">
        <v>70</v>
      </c>
      <c r="H44" s="70" t="s">
        <v>70</v>
      </c>
      <c r="I44" s="70" t="s">
        <v>70</v>
      </c>
      <c r="J44" s="70" t="s">
        <v>70</v>
      </c>
      <c r="K44" s="70" t="s">
        <v>70</v>
      </c>
      <c r="L44" s="70" t="s">
        <v>70</v>
      </c>
      <c r="M44" s="70" t="s">
        <v>70</v>
      </c>
      <c r="N44" s="70" t="s">
        <v>70</v>
      </c>
      <c r="O44" s="70" t="s">
        <v>70</v>
      </c>
      <c r="P44" s="70" t="s">
        <v>70</v>
      </c>
      <c r="Q44" s="70" t="s">
        <v>70</v>
      </c>
      <c r="R44" s="70" t="s">
        <v>70</v>
      </c>
      <c r="S44" s="70" t="s">
        <v>70</v>
      </c>
      <c r="T44" s="70" t="s">
        <v>70</v>
      </c>
      <c r="U44" s="70" t="s">
        <v>70</v>
      </c>
      <c r="V44" s="70" t="s">
        <v>70</v>
      </c>
      <c r="W44" s="70" t="s">
        <v>70</v>
      </c>
      <c r="X44" s="70" t="s">
        <v>70</v>
      </c>
      <c r="Y44" s="70" t="s">
        <v>70</v>
      </c>
      <c r="Z44" s="70" t="s">
        <v>70</v>
      </c>
      <c r="AA44" s="70" t="s">
        <v>70</v>
      </c>
      <c r="AB44" s="70" t="s">
        <v>70</v>
      </c>
      <c r="AC44" s="70" t="s">
        <v>70</v>
      </c>
      <c r="AD44" s="70" t="s">
        <v>70</v>
      </c>
      <c r="AE44" s="70" t="s">
        <v>70</v>
      </c>
      <c r="AF44" s="70" t="s">
        <v>70</v>
      </c>
      <c r="AG44" s="70" t="s">
        <v>70</v>
      </c>
      <c r="AH44" s="70" t="s">
        <v>70</v>
      </c>
      <c r="AI44" s="70" t="s">
        <v>70</v>
      </c>
      <c r="AJ44" s="60"/>
      <c r="AL44" t="str">
        <f t="shared" ca="1" si="0"/>
        <v xml:space="preserve">    (U1)ALERT_REQ_C_EPB_WRN_IG_</v>
      </c>
      <c r="AR44" s="72" t="str">
        <f t="shared" si="3"/>
        <v/>
      </c>
      <c r="AS44" s="72" t="str">
        <f t="shared" si="4"/>
        <v/>
      </c>
      <c r="AT44" s="72" t="str">
        <f t="shared" si="1"/>
        <v/>
      </c>
    </row>
    <row r="45" spans="2:46">
      <c r="B45" s="145"/>
      <c r="C45" s="56">
        <f t="shared" si="2"/>
        <v>39</v>
      </c>
      <c r="D45" s="70" t="s">
        <v>70</v>
      </c>
      <c r="E45" s="70" t="s">
        <v>70</v>
      </c>
      <c r="F45" s="70" t="s">
        <v>70</v>
      </c>
      <c r="G45" s="70" t="s">
        <v>70</v>
      </c>
      <c r="H45" s="70" t="s">
        <v>70</v>
      </c>
      <c r="I45" s="70" t="s">
        <v>70</v>
      </c>
      <c r="J45" s="70" t="s">
        <v>70</v>
      </c>
      <c r="K45" s="70" t="s">
        <v>70</v>
      </c>
      <c r="L45" s="70" t="s">
        <v>70</v>
      </c>
      <c r="M45" s="70" t="s">
        <v>70</v>
      </c>
      <c r="N45" s="70" t="s">
        <v>70</v>
      </c>
      <c r="O45" s="70" t="s">
        <v>70</v>
      </c>
      <c r="P45" s="70" t="s">
        <v>70</v>
      </c>
      <c r="Q45" s="70" t="s">
        <v>70</v>
      </c>
      <c r="R45" s="70" t="s">
        <v>70</v>
      </c>
      <c r="S45" s="70" t="s">
        <v>70</v>
      </c>
      <c r="T45" s="70" t="s">
        <v>70</v>
      </c>
      <c r="U45" s="70" t="s">
        <v>70</v>
      </c>
      <c r="V45" s="70" t="s">
        <v>70</v>
      </c>
      <c r="W45" s="70" t="s">
        <v>70</v>
      </c>
      <c r="X45" s="70" t="s">
        <v>70</v>
      </c>
      <c r="Y45" s="70" t="s">
        <v>70</v>
      </c>
      <c r="Z45" s="70" t="s">
        <v>70</v>
      </c>
      <c r="AA45" s="70" t="s">
        <v>70</v>
      </c>
      <c r="AB45" s="70" t="s">
        <v>70</v>
      </c>
      <c r="AC45" s="70" t="s">
        <v>70</v>
      </c>
      <c r="AD45" s="70" t="s">
        <v>70</v>
      </c>
      <c r="AE45" s="70" t="s">
        <v>70</v>
      </c>
      <c r="AF45" s="70" t="s">
        <v>70</v>
      </c>
      <c r="AG45" s="70" t="s">
        <v>70</v>
      </c>
      <c r="AH45" s="70" t="s">
        <v>70</v>
      </c>
      <c r="AI45" s="70" t="s">
        <v>70</v>
      </c>
      <c r="AJ45" s="60"/>
      <c r="AL45" t="str">
        <f t="shared" ca="1" si="0"/>
        <v xml:space="preserve">    (U1)ALERT_REQ_C_EPB_WRN_IG_</v>
      </c>
      <c r="AR45" s="72" t="str">
        <f t="shared" si="3"/>
        <v/>
      </c>
      <c r="AS45" s="72" t="str">
        <f t="shared" si="4"/>
        <v/>
      </c>
      <c r="AT45" s="72" t="str">
        <f t="shared" si="1"/>
        <v/>
      </c>
    </row>
    <row r="46" spans="2:46">
      <c r="B46" s="145"/>
      <c r="C46" s="56">
        <f t="shared" si="2"/>
        <v>40</v>
      </c>
      <c r="D46" s="70" t="s">
        <v>70</v>
      </c>
      <c r="E46" s="70" t="s">
        <v>70</v>
      </c>
      <c r="F46" s="70" t="s">
        <v>70</v>
      </c>
      <c r="G46" s="70" t="s">
        <v>70</v>
      </c>
      <c r="H46" s="70" t="s">
        <v>70</v>
      </c>
      <c r="I46" s="70" t="s">
        <v>70</v>
      </c>
      <c r="J46" s="70" t="s">
        <v>70</v>
      </c>
      <c r="K46" s="70" t="s">
        <v>70</v>
      </c>
      <c r="L46" s="70" t="s">
        <v>70</v>
      </c>
      <c r="M46" s="70" t="s">
        <v>70</v>
      </c>
      <c r="N46" s="70" t="s">
        <v>70</v>
      </c>
      <c r="O46" s="70" t="s">
        <v>70</v>
      </c>
      <c r="P46" s="70" t="s">
        <v>70</v>
      </c>
      <c r="Q46" s="70" t="s">
        <v>70</v>
      </c>
      <c r="R46" s="70" t="s">
        <v>70</v>
      </c>
      <c r="S46" s="70" t="s">
        <v>70</v>
      </c>
      <c r="T46" s="70" t="s">
        <v>70</v>
      </c>
      <c r="U46" s="70" t="s">
        <v>70</v>
      </c>
      <c r="V46" s="70" t="s">
        <v>70</v>
      </c>
      <c r="W46" s="70" t="s">
        <v>70</v>
      </c>
      <c r="X46" s="70" t="s">
        <v>70</v>
      </c>
      <c r="Y46" s="70" t="s">
        <v>70</v>
      </c>
      <c r="Z46" s="70" t="s">
        <v>70</v>
      </c>
      <c r="AA46" s="70" t="s">
        <v>70</v>
      </c>
      <c r="AB46" s="70" t="s">
        <v>70</v>
      </c>
      <c r="AC46" s="70" t="s">
        <v>70</v>
      </c>
      <c r="AD46" s="70" t="s">
        <v>70</v>
      </c>
      <c r="AE46" s="70" t="s">
        <v>70</v>
      </c>
      <c r="AF46" s="70" t="s">
        <v>70</v>
      </c>
      <c r="AG46" s="70" t="s">
        <v>70</v>
      </c>
      <c r="AH46" s="70" t="s">
        <v>70</v>
      </c>
      <c r="AI46" s="70" t="s">
        <v>70</v>
      </c>
      <c r="AJ46" s="60"/>
      <c r="AL46" t="str">
        <f t="shared" ca="1" si="0"/>
        <v xml:space="preserve">    (U1)ALERT_REQ_C_EPB_WRN_IG_</v>
      </c>
      <c r="AR46" s="72" t="str">
        <f t="shared" si="3"/>
        <v/>
      </c>
      <c r="AS46" s="72" t="str">
        <f t="shared" si="4"/>
        <v/>
      </c>
      <c r="AT46" s="72" t="str">
        <f t="shared" si="1"/>
        <v/>
      </c>
    </row>
    <row r="47" spans="2:46">
      <c r="B47" s="145"/>
      <c r="C47" s="56">
        <f t="shared" si="2"/>
        <v>41</v>
      </c>
      <c r="D47" s="70" t="s">
        <v>70</v>
      </c>
      <c r="E47" s="70" t="s">
        <v>70</v>
      </c>
      <c r="F47" s="70" t="s">
        <v>70</v>
      </c>
      <c r="G47" s="70" t="s">
        <v>70</v>
      </c>
      <c r="H47" s="70" t="s">
        <v>70</v>
      </c>
      <c r="I47" s="70" t="s">
        <v>70</v>
      </c>
      <c r="J47" s="70" t="s">
        <v>70</v>
      </c>
      <c r="K47" s="70" t="s">
        <v>70</v>
      </c>
      <c r="L47" s="70" t="s">
        <v>70</v>
      </c>
      <c r="M47" s="70" t="s">
        <v>70</v>
      </c>
      <c r="N47" s="70" t="s">
        <v>70</v>
      </c>
      <c r="O47" s="70" t="s">
        <v>70</v>
      </c>
      <c r="P47" s="70" t="s">
        <v>70</v>
      </c>
      <c r="Q47" s="70" t="s">
        <v>70</v>
      </c>
      <c r="R47" s="70" t="s">
        <v>70</v>
      </c>
      <c r="S47" s="70" t="s">
        <v>70</v>
      </c>
      <c r="T47" s="70" t="s">
        <v>70</v>
      </c>
      <c r="U47" s="70" t="s">
        <v>70</v>
      </c>
      <c r="V47" s="70" t="s">
        <v>70</v>
      </c>
      <c r="W47" s="70" t="s">
        <v>70</v>
      </c>
      <c r="X47" s="70" t="s">
        <v>70</v>
      </c>
      <c r="Y47" s="70" t="s">
        <v>70</v>
      </c>
      <c r="Z47" s="70" t="s">
        <v>70</v>
      </c>
      <c r="AA47" s="70" t="s">
        <v>70</v>
      </c>
      <c r="AB47" s="70" t="s">
        <v>70</v>
      </c>
      <c r="AC47" s="70" t="s">
        <v>70</v>
      </c>
      <c r="AD47" s="70" t="s">
        <v>70</v>
      </c>
      <c r="AE47" s="70" t="s">
        <v>70</v>
      </c>
      <c r="AF47" s="70" t="s">
        <v>70</v>
      </c>
      <c r="AG47" s="70" t="s">
        <v>70</v>
      </c>
      <c r="AH47" s="70" t="s">
        <v>70</v>
      </c>
      <c r="AI47" s="70" t="s">
        <v>70</v>
      </c>
      <c r="AJ47" s="60"/>
      <c r="AL47" t="str">
        <f t="shared" ca="1" si="0"/>
        <v xml:space="preserve">    (U1)ALERT_REQ_C_EPB_WRN_IG_</v>
      </c>
      <c r="AR47" s="72" t="str">
        <f t="shared" si="3"/>
        <v/>
      </c>
      <c r="AS47" s="72" t="str">
        <f t="shared" si="4"/>
        <v/>
      </c>
      <c r="AT47" s="72" t="str">
        <f t="shared" si="1"/>
        <v/>
      </c>
    </row>
    <row r="48" spans="2:46">
      <c r="B48" s="145"/>
      <c r="C48" s="56">
        <f t="shared" si="2"/>
        <v>42</v>
      </c>
      <c r="D48" s="70" t="s">
        <v>70</v>
      </c>
      <c r="E48" s="70" t="s">
        <v>70</v>
      </c>
      <c r="F48" s="70" t="s">
        <v>70</v>
      </c>
      <c r="G48" s="70" t="s">
        <v>70</v>
      </c>
      <c r="H48" s="70" t="s">
        <v>70</v>
      </c>
      <c r="I48" s="70" t="s">
        <v>70</v>
      </c>
      <c r="J48" s="70" t="s">
        <v>70</v>
      </c>
      <c r="K48" s="70" t="s">
        <v>70</v>
      </c>
      <c r="L48" s="70" t="s">
        <v>70</v>
      </c>
      <c r="M48" s="70" t="s">
        <v>70</v>
      </c>
      <c r="N48" s="70" t="s">
        <v>70</v>
      </c>
      <c r="O48" s="70" t="s">
        <v>70</v>
      </c>
      <c r="P48" s="70" t="s">
        <v>70</v>
      </c>
      <c r="Q48" s="70" t="s">
        <v>70</v>
      </c>
      <c r="R48" s="70" t="s">
        <v>70</v>
      </c>
      <c r="S48" s="70" t="s">
        <v>70</v>
      </c>
      <c r="T48" s="70" t="s">
        <v>70</v>
      </c>
      <c r="U48" s="70" t="s">
        <v>70</v>
      </c>
      <c r="V48" s="70" t="s">
        <v>70</v>
      </c>
      <c r="W48" s="70" t="s">
        <v>70</v>
      </c>
      <c r="X48" s="70" t="s">
        <v>70</v>
      </c>
      <c r="Y48" s="70" t="s">
        <v>70</v>
      </c>
      <c r="Z48" s="70" t="s">
        <v>70</v>
      </c>
      <c r="AA48" s="70" t="s">
        <v>70</v>
      </c>
      <c r="AB48" s="70" t="s">
        <v>70</v>
      </c>
      <c r="AC48" s="70" t="s">
        <v>70</v>
      </c>
      <c r="AD48" s="70" t="s">
        <v>70</v>
      </c>
      <c r="AE48" s="70" t="s">
        <v>70</v>
      </c>
      <c r="AF48" s="70" t="s">
        <v>70</v>
      </c>
      <c r="AG48" s="70" t="s">
        <v>70</v>
      </c>
      <c r="AH48" s="70" t="s">
        <v>70</v>
      </c>
      <c r="AI48" s="70" t="s">
        <v>70</v>
      </c>
      <c r="AJ48" s="60"/>
      <c r="AL48" t="str">
        <f t="shared" ca="1" si="0"/>
        <v xml:space="preserve">    (U1)ALERT_REQ_C_EPB_WRN_IG_</v>
      </c>
      <c r="AR48" s="72" t="str">
        <f t="shared" si="3"/>
        <v/>
      </c>
      <c r="AS48" s="72" t="str">
        <f t="shared" si="4"/>
        <v/>
      </c>
      <c r="AT48" s="72" t="str">
        <f t="shared" si="1"/>
        <v/>
      </c>
    </row>
    <row r="49" spans="2:46">
      <c r="B49" s="145"/>
      <c r="C49" s="56">
        <f t="shared" si="2"/>
        <v>43</v>
      </c>
      <c r="D49" s="70" t="s">
        <v>70</v>
      </c>
      <c r="E49" s="70" t="s">
        <v>70</v>
      </c>
      <c r="F49" s="70" t="s">
        <v>70</v>
      </c>
      <c r="G49" s="70" t="s">
        <v>70</v>
      </c>
      <c r="H49" s="70" t="s">
        <v>70</v>
      </c>
      <c r="I49" s="70" t="s">
        <v>70</v>
      </c>
      <c r="J49" s="70" t="s">
        <v>70</v>
      </c>
      <c r="K49" s="70" t="s">
        <v>70</v>
      </c>
      <c r="L49" s="70" t="s">
        <v>70</v>
      </c>
      <c r="M49" s="70" t="s">
        <v>70</v>
      </c>
      <c r="N49" s="70" t="s">
        <v>70</v>
      </c>
      <c r="O49" s="70" t="s">
        <v>70</v>
      </c>
      <c r="P49" s="70" t="s">
        <v>70</v>
      </c>
      <c r="Q49" s="70" t="s">
        <v>70</v>
      </c>
      <c r="R49" s="70" t="s">
        <v>70</v>
      </c>
      <c r="S49" s="70" t="s">
        <v>70</v>
      </c>
      <c r="T49" s="70" t="s">
        <v>70</v>
      </c>
      <c r="U49" s="70" t="s">
        <v>70</v>
      </c>
      <c r="V49" s="70" t="s">
        <v>70</v>
      </c>
      <c r="W49" s="70" t="s">
        <v>70</v>
      </c>
      <c r="X49" s="70" t="s">
        <v>70</v>
      </c>
      <c r="Y49" s="70" t="s">
        <v>70</v>
      </c>
      <c r="Z49" s="70" t="s">
        <v>70</v>
      </c>
      <c r="AA49" s="70" t="s">
        <v>70</v>
      </c>
      <c r="AB49" s="70" t="s">
        <v>70</v>
      </c>
      <c r="AC49" s="70" t="s">
        <v>70</v>
      </c>
      <c r="AD49" s="70" t="s">
        <v>70</v>
      </c>
      <c r="AE49" s="70" t="s">
        <v>70</v>
      </c>
      <c r="AF49" s="70" t="s">
        <v>70</v>
      </c>
      <c r="AG49" s="70" t="s">
        <v>70</v>
      </c>
      <c r="AH49" s="70" t="s">
        <v>70</v>
      </c>
      <c r="AI49" s="70" t="s">
        <v>70</v>
      </c>
      <c r="AJ49" s="60"/>
      <c r="AL49" t="str">
        <f t="shared" ca="1" si="0"/>
        <v xml:space="preserve">    (U1)ALERT_REQ_C_EPB_WRN_IG_</v>
      </c>
      <c r="AR49" s="72" t="str">
        <f t="shared" si="3"/>
        <v/>
      </c>
      <c r="AS49" s="72" t="str">
        <f t="shared" si="4"/>
        <v/>
      </c>
      <c r="AT49" s="72" t="str">
        <f t="shared" si="1"/>
        <v/>
      </c>
    </row>
    <row r="50" spans="2:46">
      <c r="B50" s="145"/>
      <c r="C50" s="56">
        <f t="shared" si="2"/>
        <v>44</v>
      </c>
      <c r="D50" s="70" t="s">
        <v>70</v>
      </c>
      <c r="E50" s="70" t="s">
        <v>70</v>
      </c>
      <c r="F50" s="70" t="s">
        <v>70</v>
      </c>
      <c r="G50" s="70" t="s">
        <v>70</v>
      </c>
      <c r="H50" s="70" t="s">
        <v>70</v>
      </c>
      <c r="I50" s="70" t="s">
        <v>70</v>
      </c>
      <c r="J50" s="70" t="s">
        <v>70</v>
      </c>
      <c r="K50" s="70" t="s">
        <v>70</v>
      </c>
      <c r="L50" s="70" t="s">
        <v>70</v>
      </c>
      <c r="M50" s="70" t="s">
        <v>70</v>
      </c>
      <c r="N50" s="70" t="s">
        <v>70</v>
      </c>
      <c r="O50" s="70" t="s">
        <v>70</v>
      </c>
      <c r="P50" s="70" t="s">
        <v>70</v>
      </c>
      <c r="Q50" s="70" t="s">
        <v>70</v>
      </c>
      <c r="R50" s="70" t="s">
        <v>70</v>
      </c>
      <c r="S50" s="70" t="s">
        <v>70</v>
      </c>
      <c r="T50" s="70" t="s">
        <v>70</v>
      </c>
      <c r="U50" s="70" t="s">
        <v>70</v>
      </c>
      <c r="V50" s="70" t="s">
        <v>70</v>
      </c>
      <c r="W50" s="70" t="s">
        <v>70</v>
      </c>
      <c r="X50" s="70" t="s">
        <v>70</v>
      </c>
      <c r="Y50" s="70" t="s">
        <v>70</v>
      </c>
      <c r="Z50" s="70" t="s">
        <v>70</v>
      </c>
      <c r="AA50" s="70" t="s">
        <v>70</v>
      </c>
      <c r="AB50" s="70" t="s">
        <v>70</v>
      </c>
      <c r="AC50" s="70" t="s">
        <v>70</v>
      </c>
      <c r="AD50" s="70" t="s">
        <v>70</v>
      </c>
      <c r="AE50" s="70" t="s">
        <v>70</v>
      </c>
      <c r="AF50" s="70" t="s">
        <v>70</v>
      </c>
      <c r="AG50" s="70" t="s">
        <v>70</v>
      </c>
      <c r="AH50" s="70" t="s">
        <v>70</v>
      </c>
      <c r="AI50" s="70" t="s">
        <v>70</v>
      </c>
      <c r="AJ50" s="60"/>
      <c r="AL50" t="str">
        <f t="shared" ca="1" si="0"/>
        <v xml:space="preserve">    (U1)ALERT_REQ_C_EPB_WRN_IG_</v>
      </c>
      <c r="AR50" s="72" t="str">
        <f t="shared" si="3"/>
        <v/>
      </c>
      <c r="AS50" s="72" t="str">
        <f t="shared" si="4"/>
        <v/>
      </c>
      <c r="AT50" s="72" t="str">
        <f t="shared" si="1"/>
        <v/>
      </c>
    </row>
    <row r="51" spans="2:46">
      <c r="B51" s="145"/>
      <c r="C51" s="56">
        <f t="shared" si="2"/>
        <v>45</v>
      </c>
      <c r="D51" s="70" t="s">
        <v>70</v>
      </c>
      <c r="E51" s="70" t="s">
        <v>70</v>
      </c>
      <c r="F51" s="70" t="s">
        <v>70</v>
      </c>
      <c r="G51" s="70" t="s">
        <v>70</v>
      </c>
      <c r="H51" s="70" t="s">
        <v>70</v>
      </c>
      <c r="I51" s="70" t="s">
        <v>70</v>
      </c>
      <c r="J51" s="70" t="s">
        <v>70</v>
      </c>
      <c r="K51" s="70" t="s">
        <v>70</v>
      </c>
      <c r="L51" s="70" t="s">
        <v>70</v>
      </c>
      <c r="M51" s="70" t="s">
        <v>70</v>
      </c>
      <c r="N51" s="70" t="s">
        <v>70</v>
      </c>
      <c r="O51" s="70" t="s">
        <v>70</v>
      </c>
      <c r="P51" s="70" t="s">
        <v>70</v>
      </c>
      <c r="Q51" s="70" t="s">
        <v>70</v>
      </c>
      <c r="R51" s="70" t="s">
        <v>70</v>
      </c>
      <c r="S51" s="70" t="s">
        <v>70</v>
      </c>
      <c r="T51" s="70" t="s">
        <v>70</v>
      </c>
      <c r="U51" s="70" t="s">
        <v>70</v>
      </c>
      <c r="V51" s="70" t="s">
        <v>70</v>
      </c>
      <c r="W51" s="70" t="s">
        <v>70</v>
      </c>
      <c r="X51" s="70" t="s">
        <v>70</v>
      </c>
      <c r="Y51" s="70" t="s">
        <v>70</v>
      </c>
      <c r="Z51" s="70" t="s">
        <v>70</v>
      </c>
      <c r="AA51" s="70" t="s">
        <v>70</v>
      </c>
      <c r="AB51" s="70" t="s">
        <v>70</v>
      </c>
      <c r="AC51" s="70" t="s">
        <v>70</v>
      </c>
      <c r="AD51" s="70" t="s">
        <v>70</v>
      </c>
      <c r="AE51" s="70" t="s">
        <v>70</v>
      </c>
      <c r="AF51" s="70" t="s">
        <v>70</v>
      </c>
      <c r="AG51" s="70" t="s">
        <v>70</v>
      </c>
      <c r="AH51" s="70" t="s">
        <v>70</v>
      </c>
      <c r="AI51" s="70" t="s">
        <v>70</v>
      </c>
      <c r="AJ51" s="60"/>
      <c r="AL51" t="str">
        <f t="shared" ca="1" si="0"/>
        <v xml:space="preserve">    (U1)ALERT_REQ_C_EPB_WRN_IG_</v>
      </c>
      <c r="AR51" s="72" t="str">
        <f t="shared" si="3"/>
        <v/>
      </c>
      <c r="AS51" s="72" t="str">
        <f t="shared" si="4"/>
        <v/>
      </c>
      <c r="AT51" s="72" t="str">
        <f t="shared" si="1"/>
        <v/>
      </c>
    </row>
    <row r="52" spans="2:46">
      <c r="B52" s="145"/>
      <c r="C52" s="56">
        <f t="shared" si="2"/>
        <v>46</v>
      </c>
      <c r="D52" s="70" t="s">
        <v>70</v>
      </c>
      <c r="E52" s="70" t="s">
        <v>70</v>
      </c>
      <c r="F52" s="70" t="s">
        <v>70</v>
      </c>
      <c r="G52" s="70" t="s">
        <v>70</v>
      </c>
      <c r="H52" s="70" t="s">
        <v>70</v>
      </c>
      <c r="I52" s="70" t="s">
        <v>70</v>
      </c>
      <c r="J52" s="70" t="s">
        <v>70</v>
      </c>
      <c r="K52" s="70" t="s">
        <v>70</v>
      </c>
      <c r="L52" s="70" t="s">
        <v>70</v>
      </c>
      <c r="M52" s="70" t="s">
        <v>70</v>
      </c>
      <c r="N52" s="70" t="s">
        <v>70</v>
      </c>
      <c r="O52" s="70" t="s">
        <v>70</v>
      </c>
      <c r="P52" s="70" t="s">
        <v>70</v>
      </c>
      <c r="Q52" s="70" t="s">
        <v>70</v>
      </c>
      <c r="R52" s="70" t="s">
        <v>70</v>
      </c>
      <c r="S52" s="70" t="s">
        <v>70</v>
      </c>
      <c r="T52" s="70" t="s">
        <v>70</v>
      </c>
      <c r="U52" s="70" t="s">
        <v>70</v>
      </c>
      <c r="V52" s="70" t="s">
        <v>70</v>
      </c>
      <c r="W52" s="70" t="s">
        <v>70</v>
      </c>
      <c r="X52" s="70" t="s">
        <v>70</v>
      </c>
      <c r="Y52" s="70" t="s">
        <v>70</v>
      </c>
      <c r="Z52" s="70" t="s">
        <v>70</v>
      </c>
      <c r="AA52" s="70" t="s">
        <v>70</v>
      </c>
      <c r="AB52" s="70" t="s">
        <v>70</v>
      </c>
      <c r="AC52" s="70" t="s">
        <v>70</v>
      </c>
      <c r="AD52" s="70" t="s">
        <v>70</v>
      </c>
      <c r="AE52" s="70" t="s">
        <v>70</v>
      </c>
      <c r="AF52" s="70" t="s">
        <v>70</v>
      </c>
      <c r="AG52" s="70" t="s">
        <v>70</v>
      </c>
      <c r="AH52" s="70" t="s">
        <v>70</v>
      </c>
      <c r="AI52" s="70" t="s">
        <v>70</v>
      </c>
      <c r="AJ52" s="60"/>
      <c r="AL52" t="str">
        <f t="shared" ca="1" si="0"/>
        <v xml:space="preserve">    (U1)ALERT_REQ_C_EPB_WRN_IG_</v>
      </c>
      <c r="AR52" s="72" t="str">
        <f t="shared" si="3"/>
        <v/>
      </c>
      <c r="AS52" s="72" t="str">
        <f t="shared" si="4"/>
        <v/>
      </c>
      <c r="AT52" s="72" t="str">
        <f t="shared" si="1"/>
        <v/>
      </c>
    </row>
    <row r="53" spans="2:46">
      <c r="B53" s="145"/>
      <c r="C53" s="56">
        <f t="shared" si="2"/>
        <v>47</v>
      </c>
      <c r="D53" s="70" t="s">
        <v>70</v>
      </c>
      <c r="E53" s="70" t="s">
        <v>70</v>
      </c>
      <c r="F53" s="70" t="s">
        <v>70</v>
      </c>
      <c r="G53" s="70" t="s">
        <v>70</v>
      </c>
      <c r="H53" s="70" t="s">
        <v>70</v>
      </c>
      <c r="I53" s="70" t="s">
        <v>70</v>
      </c>
      <c r="J53" s="70" t="s">
        <v>70</v>
      </c>
      <c r="K53" s="70" t="s">
        <v>70</v>
      </c>
      <c r="L53" s="70" t="s">
        <v>70</v>
      </c>
      <c r="M53" s="70" t="s">
        <v>70</v>
      </c>
      <c r="N53" s="70" t="s">
        <v>70</v>
      </c>
      <c r="O53" s="70" t="s">
        <v>70</v>
      </c>
      <c r="P53" s="70" t="s">
        <v>70</v>
      </c>
      <c r="Q53" s="70" t="s">
        <v>70</v>
      </c>
      <c r="R53" s="70" t="s">
        <v>70</v>
      </c>
      <c r="S53" s="70" t="s">
        <v>70</v>
      </c>
      <c r="T53" s="70" t="s">
        <v>70</v>
      </c>
      <c r="U53" s="70" t="s">
        <v>70</v>
      </c>
      <c r="V53" s="70" t="s">
        <v>70</v>
      </c>
      <c r="W53" s="70" t="s">
        <v>70</v>
      </c>
      <c r="X53" s="70" t="s">
        <v>70</v>
      </c>
      <c r="Y53" s="70" t="s">
        <v>70</v>
      </c>
      <c r="Z53" s="70" t="s">
        <v>70</v>
      </c>
      <c r="AA53" s="70" t="s">
        <v>70</v>
      </c>
      <c r="AB53" s="70" t="s">
        <v>70</v>
      </c>
      <c r="AC53" s="70" t="s">
        <v>70</v>
      </c>
      <c r="AD53" s="70" t="s">
        <v>70</v>
      </c>
      <c r="AE53" s="70" t="s">
        <v>70</v>
      </c>
      <c r="AF53" s="70" t="s">
        <v>70</v>
      </c>
      <c r="AG53" s="70" t="s">
        <v>70</v>
      </c>
      <c r="AH53" s="70" t="s">
        <v>70</v>
      </c>
      <c r="AI53" s="70" t="s">
        <v>70</v>
      </c>
      <c r="AJ53" s="60"/>
      <c r="AL53" t="str">
        <f t="shared" ca="1" si="0"/>
        <v xml:space="preserve">    (U1)ALERT_REQ_C_EPB_WRN_IG_</v>
      </c>
      <c r="AR53" s="72" t="str">
        <f t="shared" si="3"/>
        <v/>
      </c>
      <c r="AS53" s="72" t="str">
        <f t="shared" si="4"/>
        <v/>
      </c>
      <c r="AT53" s="72" t="str">
        <f t="shared" si="1"/>
        <v/>
      </c>
    </row>
    <row r="54" spans="2:46">
      <c r="B54" s="145"/>
      <c r="C54" s="56">
        <f t="shared" si="2"/>
        <v>48</v>
      </c>
      <c r="D54" s="70" t="s">
        <v>70</v>
      </c>
      <c r="E54" s="70" t="s">
        <v>70</v>
      </c>
      <c r="F54" s="70" t="s">
        <v>70</v>
      </c>
      <c r="G54" s="70" t="s">
        <v>70</v>
      </c>
      <c r="H54" s="70" t="s">
        <v>70</v>
      </c>
      <c r="I54" s="70" t="s">
        <v>70</v>
      </c>
      <c r="J54" s="70" t="s">
        <v>70</v>
      </c>
      <c r="K54" s="70" t="s">
        <v>70</v>
      </c>
      <c r="L54" s="70" t="s">
        <v>70</v>
      </c>
      <c r="M54" s="70" t="s">
        <v>70</v>
      </c>
      <c r="N54" s="70" t="s">
        <v>70</v>
      </c>
      <c r="O54" s="70" t="s">
        <v>70</v>
      </c>
      <c r="P54" s="70" t="s">
        <v>70</v>
      </c>
      <c r="Q54" s="70" t="s">
        <v>70</v>
      </c>
      <c r="R54" s="70" t="s">
        <v>70</v>
      </c>
      <c r="S54" s="70" t="s">
        <v>70</v>
      </c>
      <c r="T54" s="70" t="s">
        <v>70</v>
      </c>
      <c r="U54" s="70" t="s">
        <v>70</v>
      </c>
      <c r="V54" s="70" t="s">
        <v>70</v>
      </c>
      <c r="W54" s="70" t="s">
        <v>70</v>
      </c>
      <c r="X54" s="70" t="s">
        <v>70</v>
      </c>
      <c r="Y54" s="70" t="s">
        <v>70</v>
      </c>
      <c r="Z54" s="70" t="s">
        <v>70</v>
      </c>
      <c r="AA54" s="70" t="s">
        <v>70</v>
      </c>
      <c r="AB54" s="70" t="s">
        <v>70</v>
      </c>
      <c r="AC54" s="70" t="s">
        <v>70</v>
      </c>
      <c r="AD54" s="70" t="s">
        <v>70</v>
      </c>
      <c r="AE54" s="70" t="s">
        <v>70</v>
      </c>
      <c r="AF54" s="70" t="s">
        <v>70</v>
      </c>
      <c r="AG54" s="70" t="s">
        <v>70</v>
      </c>
      <c r="AH54" s="70" t="s">
        <v>70</v>
      </c>
      <c r="AI54" s="70" t="s">
        <v>70</v>
      </c>
      <c r="AJ54" s="60"/>
      <c r="AL54" t="str">
        <f t="shared" ca="1" si="0"/>
        <v xml:space="preserve">    (U1)ALERT_REQ_C_EPB_WRN_IG_</v>
      </c>
      <c r="AR54" s="72" t="str">
        <f t="shared" si="3"/>
        <v/>
      </c>
      <c r="AS54" s="72" t="str">
        <f t="shared" si="4"/>
        <v/>
      </c>
      <c r="AT54" s="72" t="str">
        <f t="shared" si="1"/>
        <v/>
      </c>
    </row>
    <row r="55" spans="2:46">
      <c r="B55" s="145"/>
      <c r="C55" s="56">
        <f t="shared" si="2"/>
        <v>49</v>
      </c>
      <c r="D55" s="70" t="s">
        <v>70</v>
      </c>
      <c r="E55" s="70" t="s">
        <v>70</v>
      </c>
      <c r="F55" s="70" t="s">
        <v>70</v>
      </c>
      <c r="G55" s="70" t="s">
        <v>70</v>
      </c>
      <c r="H55" s="70" t="s">
        <v>70</v>
      </c>
      <c r="I55" s="70" t="s">
        <v>70</v>
      </c>
      <c r="J55" s="70" t="s">
        <v>70</v>
      </c>
      <c r="K55" s="70" t="s">
        <v>70</v>
      </c>
      <c r="L55" s="70" t="s">
        <v>70</v>
      </c>
      <c r="M55" s="70" t="s">
        <v>70</v>
      </c>
      <c r="N55" s="70" t="s">
        <v>70</v>
      </c>
      <c r="O55" s="70" t="s">
        <v>70</v>
      </c>
      <c r="P55" s="70" t="s">
        <v>70</v>
      </c>
      <c r="Q55" s="70" t="s">
        <v>70</v>
      </c>
      <c r="R55" s="70" t="s">
        <v>70</v>
      </c>
      <c r="S55" s="70" t="s">
        <v>70</v>
      </c>
      <c r="T55" s="70" t="s">
        <v>70</v>
      </c>
      <c r="U55" s="70" t="s">
        <v>70</v>
      </c>
      <c r="V55" s="70" t="s">
        <v>70</v>
      </c>
      <c r="W55" s="70" t="s">
        <v>70</v>
      </c>
      <c r="X55" s="70" t="s">
        <v>70</v>
      </c>
      <c r="Y55" s="70" t="s">
        <v>70</v>
      </c>
      <c r="Z55" s="70" t="s">
        <v>70</v>
      </c>
      <c r="AA55" s="70" t="s">
        <v>70</v>
      </c>
      <c r="AB55" s="70" t="s">
        <v>70</v>
      </c>
      <c r="AC55" s="70" t="s">
        <v>70</v>
      </c>
      <c r="AD55" s="70" t="s">
        <v>70</v>
      </c>
      <c r="AE55" s="70" t="s">
        <v>70</v>
      </c>
      <c r="AF55" s="70" t="s">
        <v>70</v>
      </c>
      <c r="AG55" s="70" t="s">
        <v>70</v>
      </c>
      <c r="AH55" s="70" t="s">
        <v>70</v>
      </c>
      <c r="AI55" s="70" t="s">
        <v>70</v>
      </c>
      <c r="AJ55" s="60"/>
      <c r="AL55" t="str">
        <f t="shared" ca="1" si="0"/>
        <v xml:space="preserve">    (U1)ALERT_REQ_C_EPB_WRN_IG_</v>
      </c>
      <c r="AR55" s="72" t="str">
        <f t="shared" si="3"/>
        <v/>
      </c>
      <c r="AS55" s="72" t="str">
        <f t="shared" si="4"/>
        <v/>
      </c>
      <c r="AT55" s="72" t="str">
        <f t="shared" si="1"/>
        <v/>
      </c>
    </row>
    <row r="56" spans="2:46">
      <c r="B56" s="145"/>
      <c r="C56" s="56">
        <f t="shared" si="2"/>
        <v>50</v>
      </c>
      <c r="D56" s="70" t="s">
        <v>70</v>
      </c>
      <c r="E56" s="70" t="s">
        <v>70</v>
      </c>
      <c r="F56" s="70" t="s">
        <v>70</v>
      </c>
      <c r="G56" s="70" t="s">
        <v>70</v>
      </c>
      <c r="H56" s="70" t="s">
        <v>70</v>
      </c>
      <c r="I56" s="70" t="s">
        <v>70</v>
      </c>
      <c r="J56" s="70" t="s">
        <v>70</v>
      </c>
      <c r="K56" s="70" t="s">
        <v>70</v>
      </c>
      <c r="L56" s="70" t="s">
        <v>70</v>
      </c>
      <c r="M56" s="70" t="s">
        <v>70</v>
      </c>
      <c r="N56" s="70" t="s">
        <v>70</v>
      </c>
      <c r="O56" s="70" t="s">
        <v>70</v>
      </c>
      <c r="P56" s="70" t="s">
        <v>70</v>
      </c>
      <c r="Q56" s="70" t="s">
        <v>70</v>
      </c>
      <c r="R56" s="70" t="s">
        <v>70</v>
      </c>
      <c r="S56" s="70" t="s">
        <v>70</v>
      </c>
      <c r="T56" s="70" t="s">
        <v>70</v>
      </c>
      <c r="U56" s="70" t="s">
        <v>70</v>
      </c>
      <c r="V56" s="70" t="s">
        <v>70</v>
      </c>
      <c r="W56" s="70" t="s">
        <v>70</v>
      </c>
      <c r="X56" s="70" t="s">
        <v>70</v>
      </c>
      <c r="Y56" s="70" t="s">
        <v>70</v>
      </c>
      <c r="Z56" s="70" t="s">
        <v>70</v>
      </c>
      <c r="AA56" s="70" t="s">
        <v>70</v>
      </c>
      <c r="AB56" s="70" t="s">
        <v>70</v>
      </c>
      <c r="AC56" s="70" t="s">
        <v>70</v>
      </c>
      <c r="AD56" s="70" t="s">
        <v>70</v>
      </c>
      <c r="AE56" s="70" t="s">
        <v>70</v>
      </c>
      <c r="AF56" s="70" t="s">
        <v>70</v>
      </c>
      <c r="AG56" s="70" t="s">
        <v>70</v>
      </c>
      <c r="AH56" s="70" t="s">
        <v>70</v>
      </c>
      <c r="AI56" s="70" t="s">
        <v>70</v>
      </c>
      <c r="AJ56" s="60"/>
      <c r="AL56" t="str">
        <f t="shared" ca="1" si="0"/>
        <v xml:space="preserve">    (U1)ALERT_REQ_C_EPB_WRN_IG_</v>
      </c>
      <c r="AR56" s="72" t="str">
        <f t="shared" si="3"/>
        <v/>
      </c>
      <c r="AS56" s="72" t="str">
        <f t="shared" si="4"/>
        <v/>
      </c>
      <c r="AT56" s="72" t="str">
        <f t="shared" si="1"/>
        <v/>
      </c>
    </row>
    <row r="57" spans="2:46">
      <c r="B57" s="145"/>
      <c r="C57" s="56">
        <f t="shared" si="2"/>
        <v>51</v>
      </c>
      <c r="D57" s="70" t="s">
        <v>70</v>
      </c>
      <c r="E57" s="70" t="s">
        <v>70</v>
      </c>
      <c r="F57" s="70" t="s">
        <v>70</v>
      </c>
      <c r="G57" s="70" t="s">
        <v>70</v>
      </c>
      <c r="H57" s="70" t="s">
        <v>70</v>
      </c>
      <c r="I57" s="70" t="s">
        <v>70</v>
      </c>
      <c r="J57" s="70" t="s">
        <v>70</v>
      </c>
      <c r="K57" s="70" t="s">
        <v>70</v>
      </c>
      <c r="L57" s="70" t="s">
        <v>70</v>
      </c>
      <c r="M57" s="70" t="s">
        <v>70</v>
      </c>
      <c r="N57" s="70" t="s">
        <v>70</v>
      </c>
      <c r="O57" s="70" t="s">
        <v>70</v>
      </c>
      <c r="P57" s="70" t="s">
        <v>70</v>
      </c>
      <c r="Q57" s="70" t="s">
        <v>70</v>
      </c>
      <c r="R57" s="70" t="s">
        <v>70</v>
      </c>
      <c r="S57" s="70" t="s">
        <v>70</v>
      </c>
      <c r="T57" s="70" t="s">
        <v>70</v>
      </c>
      <c r="U57" s="70" t="s">
        <v>70</v>
      </c>
      <c r="V57" s="70" t="s">
        <v>70</v>
      </c>
      <c r="W57" s="70" t="s">
        <v>70</v>
      </c>
      <c r="X57" s="70" t="s">
        <v>70</v>
      </c>
      <c r="Y57" s="70" t="s">
        <v>70</v>
      </c>
      <c r="Z57" s="70" t="s">
        <v>70</v>
      </c>
      <c r="AA57" s="70" t="s">
        <v>70</v>
      </c>
      <c r="AB57" s="70" t="s">
        <v>70</v>
      </c>
      <c r="AC57" s="70" t="s">
        <v>70</v>
      </c>
      <c r="AD57" s="70" t="s">
        <v>70</v>
      </c>
      <c r="AE57" s="70" t="s">
        <v>70</v>
      </c>
      <c r="AF57" s="70" t="s">
        <v>70</v>
      </c>
      <c r="AG57" s="70" t="s">
        <v>70</v>
      </c>
      <c r="AH57" s="70" t="s">
        <v>70</v>
      </c>
      <c r="AI57" s="70" t="s">
        <v>70</v>
      </c>
      <c r="AJ57" s="60"/>
      <c r="AL57" t="str">
        <f t="shared" ca="1" si="0"/>
        <v xml:space="preserve">    (U1)ALERT_REQ_C_EPB_WRN_IG_</v>
      </c>
      <c r="AR57" s="72" t="str">
        <f t="shared" si="3"/>
        <v/>
      </c>
      <c r="AS57" s="72" t="str">
        <f t="shared" si="4"/>
        <v/>
      </c>
      <c r="AT57" s="72" t="str">
        <f t="shared" si="1"/>
        <v/>
      </c>
    </row>
    <row r="58" spans="2:46">
      <c r="B58" s="145"/>
      <c r="C58" s="56">
        <f t="shared" si="2"/>
        <v>52</v>
      </c>
      <c r="D58" s="70" t="s">
        <v>70</v>
      </c>
      <c r="E58" s="70" t="s">
        <v>70</v>
      </c>
      <c r="F58" s="70" t="s">
        <v>70</v>
      </c>
      <c r="G58" s="70" t="s">
        <v>70</v>
      </c>
      <c r="H58" s="70" t="s">
        <v>70</v>
      </c>
      <c r="I58" s="70" t="s">
        <v>70</v>
      </c>
      <c r="J58" s="70" t="s">
        <v>70</v>
      </c>
      <c r="K58" s="70" t="s">
        <v>70</v>
      </c>
      <c r="L58" s="70" t="s">
        <v>70</v>
      </c>
      <c r="M58" s="70" t="s">
        <v>70</v>
      </c>
      <c r="N58" s="70" t="s">
        <v>70</v>
      </c>
      <c r="O58" s="70" t="s">
        <v>70</v>
      </c>
      <c r="P58" s="70" t="s">
        <v>70</v>
      </c>
      <c r="Q58" s="70" t="s">
        <v>70</v>
      </c>
      <c r="R58" s="70" t="s">
        <v>70</v>
      </c>
      <c r="S58" s="70" t="s">
        <v>70</v>
      </c>
      <c r="T58" s="70" t="s">
        <v>70</v>
      </c>
      <c r="U58" s="70" t="s">
        <v>70</v>
      </c>
      <c r="V58" s="70" t="s">
        <v>70</v>
      </c>
      <c r="W58" s="70" t="s">
        <v>70</v>
      </c>
      <c r="X58" s="70" t="s">
        <v>70</v>
      </c>
      <c r="Y58" s="70" t="s">
        <v>70</v>
      </c>
      <c r="Z58" s="70" t="s">
        <v>70</v>
      </c>
      <c r="AA58" s="70" t="s">
        <v>70</v>
      </c>
      <c r="AB58" s="70" t="s">
        <v>70</v>
      </c>
      <c r="AC58" s="70" t="s">
        <v>70</v>
      </c>
      <c r="AD58" s="70" t="s">
        <v>70</v>
      </c>
      <c r="AE58" s="70" t="s">
        <v>70</v>
      </c>
      <c r="AF58" s="70" t="s">
        <v>70</v>
      </c>
      <c r="AG58" s="70" t="s">
        <v>70</v>
      </c>
      <c r="AH58" s="70" t="s">
        <v>70</v>
      </c>
      <c r="AI58" s="70" t="s">
        <v>70</v>
      </c>
      <c r="AJ58" s="60"/>
      <c r="AL58" t="str">
        <f t="shared" ca="1" si="0"/>
        <v xml:space="preserve">    (U1)ALERT_REQ_C_EPB_WRN_IG_</v>
      </c>
      <c r="AR58" s="72" t="str">
        <f t="shared" si="3"/>
        <v/>
      </c>
      <c r="AS58" s="72" t="str">
        <f t="shared" si="4"/>
        <v/>
      </c>
      <c r="AT58" s="72" t="str">
        <f t="shared" si="1"/>
        <v/>
      </c>
    </row>
    <row r="59" spans="2:46">
      <c r="B59" s="145"/>
      <c r="C59" s="56">
        <f t="shared" si="2"/>
        <v>53</v>
      </c>
      <c r="D59" s="70" t="s">
        <v>70</v>
      </c>
      <c r="E59" s="70" t="s">
        <v>70</v>
      </c>
      <c r="F59" s="70" t="s">
        <v>70</v>
      </c>
      <c r="G59" s="70" t="s">
        <v>70</v>
      </c>
      <c r="H59" s="70" t="s">
        <v>70</v>
      </c>
      <c r="I59" s="70" t="s">
        <v>70</v>
      </c>
      <c r="J59" s="70" t="s">
        <v>70</v>
      </c>
      <c r="K59" s="70" t="s">
        <v>70</v>
      </c>
      <c r="L59" s="70" t="s">
        <v>70</v>
      </c>
      <c r="M59" s="70" t="s">
        <v>70</v>
      </c>
      <c r="N59" s="70" t="s">
        <v>70</v>
      </c>
      <c r="O59" s="70" t="s">
        <v>70</v>
      </c>
      <c r="P59" s="70" t="s">
        <v>70</v>
      </c>
      <c r="Q59" s="70" t="s">
        <v>70</v>
      </c>
      <c r="R59" s="70" t="s">
        <v>70</v>
      </c>
      <c r="S59" s="70" t="s">
        <v>70</v>
      </c>
      <c r="T59" s="70" t="s">
        <v>70</v>
      </c>
      <c r="U59" s="70" t="s">
        <v>70</v>
      </c>
      <c r="V59" s="70" t="s">
        <v>70</v>
      </c>
      <c r="W59" s="70" t="s">
        <v>70</v>
      </c>
      <c r="X59" s="70" t="s">
        <v>70</v>
      </c>
      <c r="Y59" s="70" t="s">
        <v>70</v>
      </c>
      <c r="Z59" s="70" t="s">
        <v>70</v>
      </c>
      <c r="AA59" s="70" t="s">
        <v>70</v>
      </c>
      <c r="AB59" s="70" t="s">
        <v>70</v>
      </c>
      <c r="AC59" s="70" t="s">
        <v>70</v>
      </c>
      <c r="AD59" s="70" t="s">
        <v>70</v>
      </c>
      <c r="AE59" s="70" t="s">
        <v>70</v>
      </c>
      <c r="AF59" s="70" t="s">
        <v>70</v>
      </c>
      <c r="AG59" s="70" t="s">
        <v>70</v>
      </c>
      <c r="AH59" s="70" t="s">
        <v>70</v>
      </c>
      <c r="AI59" s="70" t="s">
        <v>70</v>
      </c>
      <c r="AJ59" s="60"/>
      <c r="AL59" t="str">
        <f t="shared" ca="1" si="0"/>
        <v xml:space="preserve">    (U1)ALERT_REQ_C_EPB_WRN_IG_</v>
      </c>
      <c r="AR59" s="72" t="str">
        <f t="shared" si="3"/>
        <v/>
      </c>
      <c r="AS59" s="72" t="str">
        <f t="shared" si="4"/>
        <v/>
      </c>
      <c r="AT59" s="72" t="str">
        <f t="shared" si="1"/>
        <v/>
      </c>
    </row>
    <row r="60" spans="2:46">
      <c r="B60" s="145"/>
      <c r="C60" s="56">
        <f t="shared" si="2"/>
        <v>54</v>
      </c>
      <c r="D60" s="70" t="s">
        <v>70</v>
      </c>
      <c r="E60" s="70" t="s">
        <v>70</v>
      </c>
      <c r="F60" s="70" t="s">
        <v>70</v>
      </c>
      <c r="G60" s="70" t="s">
        <v>70</v>
      </c>
      <c r="H60" s="70" t="s">
        <v>70</v>
      </c>
      <c r="I60" s="70" t="s">
        <v>70</v>
      </c>
      <c r="J60" s="70" t="s">
        <v>70</v>
      </c>
      <c r="K60" s="70" t="s">
        <v>70</v>
      </c>
      <c r="L60" s="70" t="s">
        <v>70</v>
      </c>
      <c r="M60" s="70" t="s">
        <v>70</v>
      </c>
      <c r="N60" s="70" t="s">
        <v>70</v>
      </c>
      <c r="O60" s="70" t="s">
        <v>70</v>
      </c>
      <c r="P60" s="70" t="s">
        <v>70</v>
      </c>
      <c r="Q60" s="70" t="s">
        <v>70</v>
      </c>
      <c r="R60" s="70" t="s">
        <v>70</v>
      </c>
      <c r="S60" s="70" t="s">
        <v>70</v>
      </c>
      <c r="T60" s="70" t="s">
        <v>70</v>
      </c>
      <c r="U60" s="70" t="s">
        <v>70</v>
      </c>
      <c r="V60" s="70" t="s">
        <v>70</v>
      </c>
      <c r="W60" s="70" t="s">
        <v>70</v>
      </c>
      <c r="X60" s="70" t="s">
        <v>70</v>
      </c>
      <c r="Y60" s="70" t="s">
        <v>70</v>
      </c>
      <c r="Z60" s="70" t="s">
        <v>70</v>
      </c>
      <c r="AA60" s="70" t="s">
        <v>70</v>
      </c>
      <c r="AB60" s="70" t="s">
        <v>70</v>
      </c>
      <c r="AC60" s="70" t="s">
        <v>70</v>
      </c>
      <c r="AD60" s="70" t="s">
        <v>70</v>
      </c>
      <c r="AE60" s="70" t="s">
        <v>70</v>
      </c>
      <c r="AF60" s="70" t="s">
        <v>70</v>
      </c>
      <c r="AG60" s="70" t="s">
        <v>70</v>
      </c>
      <c r="AH60" s="70" t="s">
        <v>70</v>
      </c>
      <c r="AI60" s="70" t="s">
        <v>70</v>
      </c>
      <c r="AJ60" s="60"/>
      <c r="AL60" t="str">
        <f t="shared" ca="1" si="0"/>
        <v xml:space="preserve">    (U1)ALERT_REQ_C_EPB_WRN_IG_</v>
      </c>
      <c r="AR60" s="72" t="str">
        <f t="shared" si="3"/>
        <v/>
      </c>
      <c r="AS60" s="72" t="str">
        <f t="shared" si="4"/>
        <v/>
      </c>
      <c r="AT60" s="72" t="str">
        <f t="shared" si="1"/>
        <v/>
      </c>
    </row>
    <row r="61" spans="2:46">
      <c r="B61" s="145"/>
      <c r="C61" s="56">
        <f t="shared" si="2"/>
        <v>55</v>
      </c>
      <c r="D61" s="70" t="s">
        <v>70</v>
      </c>
      <c r="E61" s="70" t="s">
        <v>70</v>
      </c>
      <c r="F61" s="70" t="s">
        <v>70</v>
      </c>
      <c r="G61" s="70" t="s">
        <v>70</v>
      </c>
      <c r="H61" s="70" t="s">
        <v>70</v>
      </c>
      <c r="I61" s="70" t="s">
        <v>70</v>
      </c>
      <c r="J61" s="70" t="s">
        <v>70</v>
      </c>
      <c r="K61" s="70" t="s">
        <v>70</v>
      </c>
      <c r="L61" s="70" t="s">
        <v>70</v>
      </c>
      <c r="M61" s="70" t="s">
        <v>70</v>
      </c>
      <c r="N61" s="70" t="s">
        <v>70</v>
      </c>
      <c r="O61" s="70" t="s">
        <v>70</v>
      </c>
      <c r="P61" s="70" t="s">
        <v>70</v>
      </c>
      <c r="Q61" s="70" t="s">
        <v>70</v>
      </c>
      <c r="R61" s="70" t="s">
        <v>70</v>
      </c>
      <c r="S61" s="70" t="s">
        <v>70</v>
      </c>
      <c r="T61" s="70" t="s">
        <v>70</v>
      </c>
      <c r="U61" s="70" t="s">
        <v>70</v>
      </c>
      <c r="V61" s="70" t="s">
        <v>70</v>
      </c>
      <c r="W61" s="70" t="s">
        <v>70</v>
      </c>
      <c r="X61" s="70" t="s">
        <v>70</v>
      </c>
      <c r="Y61" s="70" t="s">
        <v>70</v>
      </c>
      <c r="Z61" s="70" t="s">
        <v>70</v>
      </c>
      <c r="AA61" s="70" t="s">
        <v>70</v>
      </c>
      <c r="AB61" s="70" t="s">
        <v>70</v>
      </c>
      <c r="AC61" s="70" t="s">
        <v>70</v>
      </c>
      <c r="AD61" s="70" t="s">
        <v>70</v>
      </c>
      <c r="AE61" s="70" t="s">
        <v>70</v>
      </c>
      <c r="AF61" s="70" t="s">
        <v>70</v>
      </c>
      <c r="AG61" s="70" t="s">
        <v>70</v>
      </c>
      <c r="AH61" s="70" t="s">
        <v>70</v>
      </c>
      <c r="AI61" s="70" t="s">
        <v>70</v>
      </c>
      <c r="AJ61" s="60"/>
      <c r="AL61" t="str">
        <f t="shared" ca="1" si="0"/>
        <v xml:space="preserve">    (U1)ALERT_REQ_C_EPB_WRN_IG_</v>
      </c>
      <c r="AR61" s="72" t="str">
        <f t="shared" si="3"/>
        <v/>
      </c>
      <c r="AS61" s="72" t="str">
        <f t="shared" si="4"/>
        <v/>
      </c>
      <c r="AT61" s="72" t="str">
        <f t="shared" si="1"/>
        <v/>
      </c>
    </row>
    <row r="62" spans="2:46">
      <c r="B62" s="145"/>
      <c r="C62" s="56">
        <f t="shared" si="2"/>
        <v>56</v>
      </c>
      <c r="D62" s="70" t="s">
        <v>70</v>
      </c>
      <c r="E62" s="70" t="s">
        <v>70</v>
      </c>
      <c r="F62" s="70" t="s">
        <v>70</v>
      </c>
      <c r="G62" s="70" t="s">
        <v>70</v>
      </c>
      <c r="H62" s="70" t="s">
        <v>70</v>
      </c>
      <c r="I62" s="70" t="s">
        <v>70</v>
      </c>
      <c r="J62" s="70" t="s">
        <v>70</v>
      </c>
      <c r="K62" s="70" t="s">
        <v>70</v>
      </c>
      <c r="L62" s="70" t="s">
        <v>70</v>
      </c>
      <c r="M62" s="70" t="s">
        <v>70</v>
      </c>
      <c r="N62" s="70" t="s">
        <v>70</v>
      </c>
      <c r="O62" s="70" t="s">
        <v>70</v>
      </c>
      <c r="P62" s="70" t="s">
        <v>70</v>
      </c>
      <c r="Q62" s="70" t="s">
        <v>70</v>
      </c>
      <c r="R62" s="70" t="s">
        <v>70</v>
      </c>
      <c r="S62" s="70" t="s">
        <v>70</v>
      </c>
      <c r="T62" s="70" t="s">
        <v>70</v>
      </c>
      <c r="U62" s="70" t="s">
        <v>70</v>
      </c>
      <c r="V62" s="70" t="s">
        <v>70</v>
      </c>
      <c r="W62" s="70" t="s">
        <v>70</v>
      </c>
      <c r="X62" s="70" t="s">
        <v>70</v>
      </c>
      <c r="Y62" s="70" t="s">
        <v>70</v>
      </c>
      <c r="Z62" s="70" t="s">
        <v>70</v>
      </c>
      <c r="AA62" s="70" t="s">
        <v>70</v>
      </c>
      <c r="AB62" s="70" t="s">
        <v>70</v>
      </c>
      <c r="AC62" s="70" t="s">
        <v>70</v>
      </c>
      <c r="AD62" s="70" t="s">
        <v>70</v>
      </c>
      <c r="AE62" s="70" t="s">
        <v>70</v>
      </c>
      <c r="AF62" s="70" t="s">
        <v>70</v>
      </c>
      <c r="AG62" s="70" t="s">
        <v>70</v>
      </c>
      <c r="AH62" s="70" t="s">
        <v>70</v>
      </c>
      <c r="AI62" s="70" t="s">
        <v>70</v>
      </c>
      <c r="AJ62" s="60"/>
      <c r="AL62" t="str">
        <f t="shared" ca="1" si="0"/>
        <v xml:space="preserve">    (U1)ALERT_REQ_C_EPB_WRN_IG_</v>
      </c>
      <c r="AR62" s="72" t="str">
        <f t="shared" si="3"/>
        <v/>
      </c>
      <c r="AS62" s="72" t="str">
        <f t="shared" si="4"/>
        <v/>
      </c>
      <c r="AT62" s="72" t="str">
        <f t="shared" si="1"/>
        <v/>
      </c>
    </row>
    <row r="63" spans="2:46">
      <c r="B63" s="145"/>
      <c r="C63" s="56">
        <f t="shared" si="2"/>
        <v>57</v>
      </c>
      <c r="D63" s="70" t="s">
        <v>70</v>
      </c>
      <c r="E63" s="70" t="s">
        <v>70</v>
      </c>
      <c r="F63" s="70" t="s">
        <v>70</v>
      </c>
      <c r="G63" s="70" t="s">
        <v>70</v>
      </c>
      <c r="H63" s="70" t="s">
        <v>70</v>
      </c>
      <c r="I63" s="70" t="s">
        <v>70</v>
      </c>
      <c r="J63" s="70" t="s">
        <v>70</v>
      </c>
      <c r="K63" s="70" t="s">
        <v>70</v>
      </c>
      <c r="L63" s="70" t="s">
        <v>70</v>
      </c>
      <c r="M63" s="70" t="s">
        <v>70</v>
      </c>
      <c r="N63" s="70" t="s">
        <v>70</v>
      </c>
      <c r="O63" s="70" t="s">
        <v>70</v>
      </c>
      <c r="P63" s="70" t="s">
        <v>70</v>
      </c>
      <c r="Q63" s="70" t="s">
        <v>70</v>
      </c>
      <c r="R63" s="70" t="s">
        <v>70</v>
      </c>
      <c r="S63" s="70" t="s">
        <v>70</v>
      </c>
      <c r="T63" s="70" t="s">
        <v>70</v>
      </c>
      <c r="U63" s="70" t="s">
        <v>70</v>
      </c>
      <c r="V63" s="70" t="s">
        <v>70</v>
      </c>
      <c r="W63" s="70" t="s">
        <v>70</v>
      </c>
      <c r="X63" s="70" t="s">
        <v>70</v>
      </c>
      <c r="Y63" s="70" t="s">
        <v>70</v>
      </c>
      <c r="Z63" s="70" t="s">
        <v>70</v>
      </c>
      <c r="AA63" s="70" t="s">
        <v>70</v>
      </c>
      <c r="AB63" s="70" t="s">
        <v>70</v>
      </c>
      <c r="AC63" s="70" t="s">
        <v>70</v>
      </c>
      <c r="AD63" s="70" t="s">
        <v>70</v>
      </c>
      <c r="AE63" s="70" t="s">
        <v>70</v>
      </c>
      <c r="AF63" s="70" t="s">
        <v>70</v>
      </c>
      <c r="AG63" s="70" t="s">
        <v>70</v>
      </c>
      <c r="AH63" s="70" t="s">
        <v>70</v>
      </c>
      <c r="AI63" s="70" t="s">
        <v>70</v>
      </c>
      <c r="AJ63" s="60"/>
      <c r="AL63" t="str">
        <f t="shared" ca="1" si="0"/>
        <v xml:space="preserve">    (U1)ALERT_REQ_C_EPB_WRN_IG_</v>
      </c>
      <c r="AR63" s="72" t="str">
        <f t="shared" si="3"/>
        <v/>
      </c>
      <c r="AS63" s="72" t="str">
        <f t="shared" si="4"/>
        <v/>
      </c>
      <c r="AT63" s="72" t="str">
        <f t="shared" si="1"/>
        <v/>
      </c>
    </row>
    <row r="64" spans="2:46">
      <c r="B64" s="145"/>
      <c r="C64" s="56">
        <f t="shared" si="2"/>
        <v>58</v>
      </c>
      <c r="D64" s="70" t="s">
        <v>70</v>
      </c>
      <c r="E64" s="70" t="s">
        <v>70</v>
      </c>
      <c r="F64" s="70" t="s">
        <v>70</v>
      </c>
      <c r="G64" s="70" t="s">
        <v>70</v>
      </c>
      <c r="H64" s="70" t="s">
        <v>70</v>
      </c>
      <c r="I64" s="70" t="s">
        <v>70</v>
      </c>
      <c r="J64" s="70" t="s">
        <v>70</v>
      </c>
      <c r="K64" s="70" t="s">
        <v>70</v>
      </c>
      <c r="L64" s="70" t="s">
        <v>70</v>
      </c>
      <c r="M64" s="70" t="s">
        <v>70</v>
      </c>
      <c r="N64" s="70" t="s">
        <v>70</v>
      </c>
      <c r="O64" s="70" t="s">
        <v>70</v>
      </c>
      <c r="P64" s="70" t="s">
        <v>70</v>
      </c>
      <c r="Q64" s="70" t="s">
        <v>70</v>
      </c>
      <c r="R64" s="70" t="s">
        <v>70</v>
      </c>
      <c r="S64" s="70" t="s">
        <v>70</v>
      </c>
      <c r="T64" s="70" t="s">
        <v>70</v>
      </c>
      <c r="U64" s="70" t="s">
        <v>70</v>
      </c>
      <c r="V64" s="70" t="s">
        <v>70</v>
      </c>
      <c r="W64" s="70" t="s">
        <v>70</v>
      </c>
      <c r="X64" s="70" t="s">
        <v>70</v>
      </c>
      <c r="Y64" s="70" t="s">
        <v>70</v>
      </c>
      <c r="Z64" s="70" t="s">
        <v>70</v>
      </c>
      <c r="AA64" s="70" t="s">
        <v>70</v>
      </c>
      <c r="AB64" s="70" t="s">
        <v>70</v>
      </c>
      <c r="AC64" s="70" t="s">
        <v>70</v>
      </c>
      <c r="AD64" s="70" t="s">
        <v>70</v>
      </c>
      <c r="AE64" s="70" t="s">
        <v>70</v>
      </c>
      <c r="AF64" s="70" t="s">
        <v>70</v>
      </c>
      <c r="AG64" s="70" t="s">
        <v>70</v>
      </c>
      <c r="AH64" s="70" t="s">
        <v>70</v>
      </c>
      <c r="AI64" s="70" t="s">
        <v>70</v>
      </c>
      <c r="AJ64" s="60"/>
      <c r="AL64" t="str">
        <f t="shared" ca="1" si="0"/>
        <v xml:space="preserve">    (U1)ALERT_REQ_C_EPB_WRN_IG_</v>
      </c>
      <c r="AR64" s="72" t="str">
        <f t="shared" si="3"/>
        <v/>
      </c>
      <c r="AS64" s="72" t="str">
        <f t="shared" si="4"/>
        <v/>
      </c>
      <c r="AT64" s="72" t="str">
        <f t="shared" si="1"/>
        <v/>
      </c>
    </row>
    <row r="65" spans="1:46">
      <c r="B65" s="145"/>
      <c r="C65" s="56">
        <f t="shared" si="2"/>
        <v>59</v>
      </c>
      <c r="D65" s="70" t="s">
        <v>70</v>
      </c>
      <c r="E65" s="70" t="s">
        <v>70</v>
      </c>
      <c r="F65" s="70" t="s">
        <v>70</v>
      </c>
      <c r="G65" s="70" t="s">
        <v>70</v>
      </c>
      <c r="H65" s="70" t="s">
        <v>70</v>
      </c>
      <c r="I65" s="70" t="s">
        <v>70</v>
      </c>
      <c r="J65" s="70" t="s">
        <v>70</v>
      </c>
      <c r="K65" s="70" t="s">
        <v>70</v>
      </c>
      <c r="L65" s="70" t="s">
        <v>70</v>
      </c>
      <c r="M65" s="70" t="s">
        <v>70</v>
      </c>
      <c r="N65" s="70" t="s">
        <v>70</v>
      </c>
      <c r="O65" s="70" t="s">
        <v>70</v>
      </c>
      <c r="P65" s="70" t="s">
        <v>70</v>
      </c>
      <c r="Q65" s="70" t="s">
        <v>70</v>
      </c>
      <c r="R65" s="70" t="s">
        <v>70</v>
      </c>
      <c r="S65" s="70" t="s">
        <v>70</v>
      </c>
      <c r="T65" s="70" t="s">
        <v>70</v>
      </c>
      <c r="U65" s="70" t="s">
        <v>70</v>
      </c>
      <c r="V65" s="70" t="s">
        <v>70</v>
      </c>
      <c r="W65" s="70" t="s">
        <v>70</v>
      </c>
      <c r="X65" s="70" t="s">
        <v>70</v>
      </c>
      <c r="Y65" s="70" t="s">
        <v>70</v>
      </c>
      <c r="Z65" s="70" t="s">
        <v>70</v>
      </c>
      <c r="AA65" s="70" t="s">
        <v>70</v>
      </c>
      <c r="AB65" s="70" t="s">
        <v>70</v>
      </c>
      <c r="AC65" s="70" t="s">
        <v>70</v>
      </c>
      <c r="AD65" s="70" t="s">
        <v>70</v>
      </c>
      <c r="AE65" s="70" t="s">
        <v>70</v>
      </c>
      <c r="AF65" s="70" t="s">
        <v>70</v>
      </c>
      <c r="AG65" s="70" t="s">
        <v>70</v>
      </c>
      <c r="AH65" s="70" t="s">
        <v>70</v>
      </c>
      <c r="AI65" s="70" t="s">
        <v>70</v>
      </c>
      <c r="AJ65" s="60"/>
      <c r="AL65" t="str">
        <f t="shared" ca="1" si="0"/>
        <v xml:space="preserve">    (U1)ALERT_REQ_C_EPB_WRN_IG_</v>
      </c>
      <c r="AR65" s="72" t="str">
        <f t="shared" si="3"/>
        <v/>
      </c>
      <c r="AS65" s="72" t="str">
        <f t="shared" si="4"/>
        <v/>
      </c>
      <c r="AT65" s="72" t="str">
        <f t="shared" si="1"/>
        <v/>
      </c>
    </row>
    <row r="66" spans="1:46">
      <c r="B66" s="145"/>
      <c r="C66" s="56">
        <f t="shared" si="2"/>
        <v>60</v>
      </c>
      <c r="D66" s="70" t="s">
        <v>70</v>
      </c>
      <c r="E66" s="70" t="s">
        <v>70</v>
      </c>
      <c r="F66" s="70" t="s">
        <v>70</v>
      </c>
      <c r="G66" s="70" t="s">
        <v>70</v>
      </c>
      <c r="H66" s="70" t="s">
        <v>70</v>
      </c>
      <c r="I66" s="70" t="s">
        <v>70</v>
      </c>
      <c r="J66" s="70" t="s">
        <v>70</v>
      </c>
      <c r="K66" s="70" t="s">
        <v>70</v>
      </c>
      <c r="L66" s="70" t="s">
        <v>70</v>
      </c>
      <c r="M66" s="70" t="s">
        <v>70</v>
      </c>
      <c r="N66" s="70" t="s">
        <v>70</v>
      </c>
      <c r="O66" s="70" t="s">
        <v>70</v>
      </c>
      <c r="P66" s="70" t="s">
        <v>70</v>
      </c>
      <c r="Q66" s="70" t="s">
        <v>70</v>
      </c>
      <c r="R66" s="70" t="s">
        <v>70</v>
      </c>
      <c r="S66" s="70" t="s">
        <v>70</v>
      </c>
      <c r="T66" s="70" t="s">
        <v>70</v>
      </c>
      <c r="U66" s="70" t="s">
        <v>70</v>
      </c>
      <c r="V66" s="70" t="s">
        <v>70</v>
      </c>
      <c r="W66" s="70" t="s">
        <v>70</v>
      </c>
      <c r="X66" s="70" t="s">
        <v>70</v>
      </c>
      <c r="Y66" s="70" t="s">
        <v>70</v>
      </c>
      <c r="Z66" s="70" t="s">
        <v>70</v>
      </c>
      <c r="AA66" s="70" t="s">
        <v>70</v>
      </c>
      <c r="AB66" s="70" t="s">
        <v>70</v>
      </c>
      <c r="AC66" s="70" t="s">
        <v>70</v>
      </c>
      <c r="AD66" s="70" t="s">
        <v>70</v>
      </c>
      <c r="AE66" s="70" t="s">
        <v>70</v>
      </c>
      <c r="AF66" s="70" t="s">
        <v>70</v>
      </c>
      <c r="AG66" s="70" t="s">
        <v>70</v>
      </c>
      <c r="AH66" s="70" t="s">
        <v>70</v>
      </c>
      <c r="AI66" s="70" t="s">
        <v>70</v>
      </c>
      <c r="AJ66" s="60"/>
      <c r="AL66" t="str">
        <f t="shared" ca="1" si="0"/>
        <v xml:space="preserve">    (U1)ALERT_REQ_C_EPB_WRN_IG_</v>
      </c>
      <c r="AR66" s="72" t="str">
        <f t="shared" si="3"/>
        <v/>
      </c>
      <c r="AS66" s="72" t="str">
        <f t="shared" si="4"/>
        <v/>
      </c>
      <c r="AT66" s="72" t="str">
        <f t="shared" si="1"/>
        <v/>
      </c>
    </row>
    <row r="67" spans="1:46">
      <c r="B67" s="145"/>
      <c r="C67" s="56">
        <f t="shared" si="2"/>
        <v>61</v>
      </c>
      <c r="D67" s="70" t="s">
        <v>70</v>
      </c>
      <c r="E67" s="70" t="s">
        <v>70</v>
      </c>
      <c r="F67" s="70" t="s">
        <v>70</v>
      </c>
      <c r="G67" s="70" t="s">
        <v>70</v>
      </c>
      <c r="H67" s="70" t="s">
        <v>70</v>
      </c>
      <c r="I67" s="70" t="s">
        <v>70</v>
      </c>
      <c r="J67" s="70" t="s">
        <v>70</v>
      </c>
      <c r="K67" s="70" t="s">
        <v>70</v>
      </c>
      <c r="L67" s="70" t="s">
        <v>70</v>
      </c>
      <c r="M67" s="70" t="s">
        <v>70</v>
      </c>
      <c r="N67" s="70" t="s">
        <v>70</v>
      </c>
      <c r="O67" s="70" t="s">
        <v>70</v>
      </c>
      <c r="P67" s="70" t="s">
        <v>70</v>
      </c>
      <c r="Q67" s="70" t="s">
        <v>70</v>
      </c>
      <c r="R67" s="70" t="s">
        <v>70</v>
      </c>
      <c r="S67" s="70" t="s">
        <v>70</v>
      </c>
      <c r="T67" s="70" t="s">
        <v>70</v>
      </c>
      <c r="U67" s="70" t="s">
        <v>70</v>
      </c>
      <c r="V67" s="70" t="s">
        <v>70</v>
      </c>
      <c r="W67" s="70" t="s">
        <v>70</v>
      </c>
      <c r="X67" s="70" t="s">
        <v>70</v>
      </c>
      <c r="Y67" s="70" t="s">
        <v>70</v>
      </c>
      <c r="Z67" s="70" t="s">
        <v>70</v>
      </c>
      <c r="AA67" s="70" t="s">
        <v>70</v>
      </c>
      <c r="AB67" s="70" t="s">
        <v>70</v>
      </c>
      <c r="AC67" s="70" t="s">
        <v>70</v>
      </c>
      <c r="AD67" s="70" t="s">
        <v>70</v>
      </c>
      <c r="AE67" s="70" t="s">
        <v>70</v>
      </c>
      <c r="AF67" s="70" t="s">
        <v>70</v>
      </c>
      <c r="AG67" s="70" t="s">
        <v>70</v>
      </c>
      <c r="AH67" s="70" t="s">
        <v>70</v>
      </c>
      <c r="AI67" s="70" t="s">
        <v>70</v>
      </c>
      <c r="AJ67" s="60"/>
      <c r="AL67" t="str">
        <f t="shared" ca="1" si="0"/>
        <v xml:space="preserve">    (U1)ALERT_REQ_C_EPB_WRN_IG_</v>
      </c>
      <c r="AR67" s="72" t="str">
        <f t="shared" si="3"/>
        <v/>
      </c>
      <c r="AS67" s="72" t="str">
        <f t="shared" si="4"/>
        <v/>
      </c>
      <c r="AT67" s="72" t="str">
        <f t="shared" si="1"/>
        <v/>
      </c>
    </row>
    <row r="68" spans="1:46">
      <c r="B68" s="145"/>
      <c r="C68" s="56">
        <f t="shared" si="2"/>
        <v>62</v>
      </c>
      <c r="D68" s="70" t="s">
        <v>70</v>
      </c>
      <c r="E68" s="70" t="s">
        <v>70</v>
      </c>
      <c r="F68" s="70" t="s">
        <v>70</v>
      </c>
      <c r="G68" s="70" t="s">
        <v>70</v>
      </c>
      <c r="H68" s="70" t="s">
        <v>70</v>
      </c>
      <c r="I68" s="70" t="s">
        <v>70</v>
      </c>
      <c r="J68" s="70" t="s">
        <v>70</v>
      </c>
      <c r="K68" s="70" t="s">
        <v>70</v>
      </c>
      <c r="L68" s="70" t="s">
        <v>70</v>
      </c>
      <c r="M68" s="70" t="s">
        <v>70</v>
      </c>
      <c r="N68" s="70" t="s">
        <v>70</v>
      </c>
      <c r="O68" s="70" t="s">
        <v>70</v>
      </c>
      <c r="P68" s="70" t="s">
        <v>70</v>
      </c>
      <c r="Q68" s="70" t="s">
        <v>70</v>
      </c>
      <c r="R68" s="70" t="s">
        <v>70</v>
      </c>
      <c r="S68" s="70" t="s">
        <v>70</v>
      </c>
      <c r="T68" s="70" t="s">
        <v>70</v>
      </c>
      <c r="U68" s="70" t="s">
        <v>70</v>
      </c>
      <c r="V68" s="70" t="s">
        <v>70</v>
      </c>
      <c r="W68" s="70" t="s">
        <v>70</v>
      </c>
      <c r="X68" s="70" t="s">
        <v>70</v>
      </c>
      <c r="Y68" s="70" t="s">
        <v>70</v>
      </c>
      <c r="Z68" s="70" t="s">
        <v>70</v>
      </c>
      <c r="AA68" s="70" t="s">
        <v>70</v>
      </c>
      <c r="AB68" s="70" t="s">
        <v>70</v>
      </c>
      <c r="AC68" s="70" t="s">
        <v>70</v>
      </c>
      <c r="AD68" s="70" t="s">
        <v>70</v>
      </c>
      <c r="AE68" s="70" t="s">
        <v>70</v>
      </c>
      <c r="AF68" s="70" t="s">
        <v>70</v>
      </c>
      <c r="AG68" s="70" t="s">
        <v>70</v>
      </c>
      <c r="AH68" s="70" t="s">
        <v>70</v>
      </c>
      <c r="AI68" s="70" t="s">
        <v>70</v>
      </c>
      <c r="AJ68" s="60"/>
      <c r="AL68" t="str">
        <f t="shared" ca="1" si="0"/>
        <v xml:space="preserve">    (U1)ALERT_REQ_C_EPB_WRN_IG_</v>
      </c>
      <c r="AR68" s="72" t="str">
        <f t="shared" si="3"/>
        <v/>
      </c>
      <c r="AS68" s="72" t="str">
        <f t="shared" si="4"/>
        <v/>
      </c>
      <c r="AT68" s="72" t="str">
        <f t="shared" si="1"/>
        <v/>
      </c>
    </row>
    <row r="69" spans="1:46">
      <c r="B69" s="146"/>
      <c r="C69" s="56">
        <f t="shared" si="2"/>
        <v>63</v>
      </c>
      <c r="D69" s="70" t="s">
        <v>70</v>
      </c>
      <c r="E69" s="70" t="s">
        <v>70</v>
      </c>
      <c r="F69" s="70" t="s">
        <v>70</v>
      </c>
      <c r="G69" s="70" t="s">
        <v>70</v>
      </c>
      <c r="H69" s="70" t="s">
        <v>70</v>
      </c>
      <c r="I69" s="70" t="s">
        <v>70</v>
      </c>
      <c r="J69" s="70" t="s">
        <v>70</v>
      </c>
      <c r="K69" s="70" t="s">
        <v>70</v>
      </c>
      <c r="L69" s="70" t="s">
        <v>70</v>
      </c>
      <c r="M69" s="70" t="s">
        <v>70</v>
      </c>
      <c r="N69" s="70" t="s">
        <v>70</v>
      </c>
      <c r="O69" s="70" t="s">
        <v>70</v>
      </c>
      <c r="P69" s="70" t="s">
        <v>70</v>
      </c>
      <c r="Q69" s="70" t="s">
        <v>70</v>
      </c>
      <c r="R69" s="70" t="s">
        <v>70</v>
      </c>
      <c r="S69" s="70" t="s">
        <v>70</v>
      </c>
      <c r="T69" s="70" t="s">
        <v>70</v>
      </c>
      <c r="U69" s="70" t="s">
        <v>70</v>
      </c>
      <c r="V69" s="70" t="s">
        <v>70</v>
      </c>
      <c r="W69" s="70" t="s">
        <v>70</v>
      </c>
      <c r="X69" s="70" t="s">
        <v>70</v>
      </c>
      <c r="Y69" s="70" t="s">
        <v>70</v>
      </c>
      <c r="Z69" s="70" t="s">
        <v>70</v>
      </c>
      <c r="AA69" s="70" t="s">
        <v>70</v>
      </c>
      <c r="AB69" s="70" t="s">
        <v>70</v>
      </c>
      <c r="AC69" s="70" t="s">
        <v>70</v>
      </c>
      <c r="AD69" s="70" t="s">
        <v>70</v>
      </c>
      <c r="AE69" s="70" t="s">
        <v>70</v>
      </c>
      <c r="AF69" s="70" t="s">
        <v>70</v>
      </c>
      <c r="AG69" s="70" t="s">
        <v>70</v>
      </c>
      <c r="AH69" s="70" t="s">
        <v>70</v>
      </c>
      <c r="AI69" s="70" t="s">
        <v>70</v>
      </c>
      <c r="AJ69" s="60"/>
      <c r="AL69" t="str">
        <f t="shared" ca="1" si="0"/>
        <v xml:space="preserve">    (U1)ALERT_REQ_C_EPB_WRN_IG_</v>
      </c>
      <c r="AR69" s="72" t="str">
        <f t="shared" si="3"/>
        <v/>
      </c>
      <c r="AS69" s="72" t="str">
        <f t="shared" si="4"/>
        <v/>
      </c>
      <c r="AT69" s="72" t="str">
        <f t="shared" si="1"/>
        <v/>
      </c>
    </row>
    <row r="70" spans="1:46" ht="13.5" thickBot="1">
      <c r="A70" s="65" t="s">
        <v>67</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7" t="str">
        <f ca="1">IF(B6&lt;&gt;"",B6,"")</f>
        <v>Table WRN_IG</v>
      </c>
      <c r="C71" s="56">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1</v>
      </c>
      <c r="AD71" s="137">
        <f t="shared" si="6"/>
        <v>0</v>
      </c>
      <c r="AE71" s="137">
        <f t="shared" si="6"/>
        <v>0</v>
      </c>
      <c r="AF71" s="137">
        <f t="shared" si="6"/>
        <v>0</v>
      </c>
      <c r="AG71" s="137">
        <f t="shared" si="6"/>
        <v>0</v>
      </c>
      <c r="AH71" s="137">
        <f t="shared" si="6"/>
        <v>0</v>
      </c>
      <c r="AI71" s="137">
        <f t="shared" si="6"/>
        <v>0</v>
      </c>
      <c r="AJ71" s="56" t="str">
        <f t="shared" ref="AJ71:AJ134" si="7">IF(AJ6&lt;&gt;"",AJ6,"")</f>
        <v>MALFUNC</v>
      </c>
      <c r="AK71" s="69"/>
      <c r="AL71" s="69" t="str">
        <f>BIN2HEX(AB71&amp;AC71&amp;AD71&amp;AE71&amp;AF71&amp;AG71&amp;AH71&amp;AI71,2)</f>
        <v>40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(U4)0x00000040U,                                                           /* 00 MALFUNC                                         */</v>
      </c>
    </row>
    <row r="72" spans="1:46">
      <c r="B72" s="145"/>
      <c r="C72" s="56">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1</v>
      </c>
      <c r="AI72" s="137">
        <f t="shared" si="6"/>
        <v>1</v>
      </c>
      <c r="AJ72" s="56" t="str">
        <f t="shared" si="7"/>
        <v>LOCK</v>
      </c>
      <c r="AK72" s="69"/>
      <c r="AL72" s="69" t="str">
        <f t="shared" ref="AL72:AL134" si="10">BIN2HEX(AB72&amp;AC72&amp;AD72&amp;AE72&amp;AF72&amp;AG72&amp;AH72&amp;AI72,2)</f>
        <v>03</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(U4)0x00000003U,                                                           /* 01 LOCK                                            */</v>
      </c>
    </row>
    <row r="73" spans="1:46">
      <c r="B73" s="145"/>
      <c r="C73" s="56">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1</v>
      </c>
      <c r="AH73" s="137">
        <f t="shared" si="6"/>
        <v>0</v>
      </c>
      <c r="AI73" s="137">
        <f t="shared" si="6"/>
        <v>0</v>
      </c>
      <c r="AJ73" s="56" t="str">
        <f t="shared" si="7"/>
        <v>ADVICE1</v>
      </c>
      <c r="AK73" s="69"/>
      <c r="AL73" s="69" t="str">
        <f t="shared" si="10"/>
        <v>04</v>
      </c>
      <c r="AM73" s="71" t="str">
        <f t="shared" si="11"/>
        <v>00</v>
      </c>
      <c r="AN73" s="71" t="str">
        <f t="shared" si="12"/>
        <v>00</v>
      </c>
      <c r="AO73" s="71" t="str">
        <f t="shared" si="13"/>
        <v>00</v>
      </c>
      <c r="AQ73" t="str">
        <f t="shared" si="8"/>
        <v xml:space="preserve">    (U4)0x00000004U,                                                           /* 02 ADVICE1                                         */</v>
      </c>
    </row>
    <row r="74" spans="1:46">
      <c r="B74" s="145"/>
      <c r="C74" s="56">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1</v>
      </c>
      <c r="AH74" s="137">
        <f t="shared" si="6"/>
        <v>0</v>
      </c>
      <c r="AI74" s="137">
        <f t="shared" si="6"/>
        <v>1</v>
      </c>
      <c r="AJ74" s="56" t="str">
        <f t="shared" si="7"/>
        <v>ACTIVE</v>
      </c>
      <c r="AK74" s="69"/>
      <c r="AL74" s="69" t="str">
        <f t="shared" si="10"/>
        <v>05</v>
      </c>
      <c r="AM74" s="71" t="str">
        <f t="shared" si="11"/>
        <v>00</v>
      </c>
      <c r="AN74" s="71" t="str">
        <f t="shared" si="12"/>
        <v>00</v>
      </c>
      <c r="AO74" s="71" t="str">
        <f t="shared" si="13"/>
        <v>00</v>
      </c>
      <c r="AQ74" t="str">
        <f t="shared" si="8"/>
        <v xml:space="preserve">    (U4)0x00000005U,                                                           /* 03 ACTIVE                                          */</v>
      </c>
    </row>
    <row r="75" spans="1:46">
      <c r="B75" s="145"/>
      <c r="C75" s="56">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1</v>
      </c>
      <c r="AH75" s="137">
        <f t="shared" si="6"/>
        <v>1</v>
      </c>
      <c r="AI75" s="137">
        <f t="shared" si="6"/>
        <v>0</v>
      </c>
      <c r="AJ75" s="56" t="str">
        <f t="shared" si="7"/>
        <v>DEACTIVE</v>
      </c>
      <c r="AK75" s="69"/>
      <c r="AL75" s="69" t="str">
        <f t="shared" si="10"/>
        <v>06</v>
      </c>
      <c r="AM75" s="71" t="str">
        <f t="shared" si="11"/>
        <v>00</v>
      </c>
      <c r="AN75" s="71" t="str">
        <f t="shared" si="12"/>
        <v>00</v>
      </c>
      <c r="AO75" s="71" t="str">
        <f t="shared" si="13"/>
        <v>00</v>
      </c>
      <c r="AQ75" t="str">
        <f t="shared" si="8"/>
        <v xml:space="preserve">    (U4)0x00000006U,                                                           /* 04 DEACTIVE                                        */</v>
      </c>
    </row>
    <row r="76" spans="1:46">
      <c r="B76" s="145"/>
      <c r="C76" s="56">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1</v>
      </c>
      <c r="AH76" s="137">
        <f t="shared" si="6"/>
        <v>1</v>
      </c>
      <c r="AI76" s="137">
        <f t="shared" si="6"/>
        <v>1</v>
      </c>
      <c r="AJ76" s="56" t="str">
        <f t="shared" si="7"/>
        <v>ADVICE2</v>
      </c>
      <c r="AK76" s="69"/>
      <c r="AL76" s="69" t="str">
        <f t="shared" si="10"/>
        <v>07</v>
      </c>
      <c r="AM76" s="71" t="str">
        <f t="shared" si="11"/>
        <v>00</v>
      </c>
      <c r="AN76" s="71" t="str">
        <f t="shared" si="12"/>
        <v>00</v>
      </c>
      <c r="AO76" s="71" t="str">
        <f t="shared" si="13"/>
        <v>00</v>
      </c>
      <c r="AQ76" t="str">
        <f t="shared" si="8"/>
        <v xml:space="preserve">    (U4)0x00000007U,                                                           /* 05 ADVICE2                                         */</v>
      </c>
    </row>
    <row r="77" spans="1:46">
      <c r="B77" s="145"/>
      <c r="C77" s="56">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1</v>
      </c>
      <c r="AG77" s="137">
        <f t="shared" si="6"/>
        <v>0</v>
      </c>
      <c r="AH77" s="137">
        <f t="shared" si="6"/>
        <v>1</v>
      </c>
      <c r="AI77" s="137">
        <f t="shared" si="6"/>
        <v>1</v>
      </c>
      <c r="AJ77" s="56" t="str">
        <f t="shared" si="7"/>
        <v>MALFUNC</v>
      </c>
      <c r="AK77" s="69"/>
      <c r="AL77" s="69" t="str">
        <f t="shared" si="10"/>
        <v>0B</v>
      </c>
      <c r="AM77" s="71" t="str">
        <f t="shared" si="11"/>
        <v>00</v>
      </c>
      <c r="AN77" s="71" t="str">
        <f t="shared" si="12"/>
        <v>00</v>
      </c>
      <c r="AO77" s="71" t="str">
        <f t="shared" si="13"/>
        <v>00</v>
      </c>
      <c r="AQ77" t="str">
        <f t="shared" si="8"/>
        <v xml:space="preserve">    (U4)0x0000000BU,                                                           /* 06 MALFUNC                                         */</v>
      </c>
    </row>
    <row r="78" spans="1:46">
      <c r="B78" s="145"/>
      <c r="C78" s="56">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1</v>
      </c>
      <c r="AG78" s="137">
        <f t="shared" si="6"/>
        <v>1</v>
      </c>
      <c r="AH78" s="137">
        <f t="shared" si="6"/>
        <v>0</v>
      </c>
      <c r="AI78" s="137">
        <f t="shared" ref="AI78" si="14">IF(AI13=1,1,0)</f>
        <v>1</v>
      </c>
      <c r="AJ78" s="56" t="str">
        <f t="shared" si="7"/>
        <v>UNRELABLE</v>
      </c>
      <c r="AK78" s="69"/>
      <c r="AL78" s="69" t="str">
        <f t="shared" si="10"/>
        <v>0D</v>
      </c>
      <c r="AM78" s="71" t="str">
        <f t="shared" si="11"/>
        <v>00</v>
      </c>
      <c r="AN78" s="71" t="str">
        <f t="shared" si="12"/>
        <v>00</v>
      </c>
      <c r="AO78" s="71" t="str">
        <f t="shared" si="13"/>
        <v>00</v>
      </c>
      <c r="AQ78" t="str">
        <f t="shared" si="8"/>
        <v xml:space="preserve">    (U4)0x0000000DU                                                            /* 07 UNRELABLE                                       */</v>
      </c>
    </row>
    <row r="79" spans="1:46">
      <c r="B79" s="145"/>
      <c r="C79" s="56">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0</v>
      </c>
      <c r="AG79" s="137">
        <f t="shared" si="15"/>
        <v>0</v>
      </c>
      <c r="AH79" s="137">
        <f t="shared" si="15"/>
        <v>0</v>
      </c>
      <c r="AI79" s="137">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5"/>
      <c r="C80" s="56">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0</v>
      </c>
      <c r="AG80" s="137">
        <f t="shared" si="15"/>
        <v>0</v>
      </c>
      <c r="AH80" s="137">
        <f t="shared" si="15"/>
        <v>0</v>
      </c>
      <c r="AI80" s="137">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5"/>
      <c r="C81" s="56">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0</v>
      </c>
      <c r="AG81" s="137">
        <f t="shared" si="15"/>
        <v>0</v>
      </c>
      <c r="AH81" s="137">
        <f t="shared" si="15"/>
        <v>0</v>
      </c>
      <c r="AI81" s="137">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5"/>
      <c r="C82" s="56">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0</v>
      </c>
      <c r="AG82" s="137">
        <f t="shared" si="15"/>
        <v>0</v>
      </c>
      <c r="AH82" s="137">
        <f t="shared" si="15"/>
        <v>0</v>
      </c>
      <c r="AI82" s="137">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5"/>
      <c r="C83" s="56">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0</v>
      </c>
      <c r="AG83" s="137">
        <f t="shared" si="15"/>
        <v>0</v>
      </c>
      <c r="AH83" s="137">
        <f t="shared" si="15"/>
        <v>0</v>
      </c>
      <c r="AI83" s="137">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5"/>
      <c r="C84" s="56">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0</v>
      </c>
      <c r="AG84" s="137">
        <f t="shared" si="15"/>
        <v>0</v>
      </c>
      <c r="AH84" s="137">
        <f t="shared" si="15"/>
        <v>0</v>
      </c>
      <c r="AI84" s="137">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5"/>
      <c r="C85" s="56">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0</v>
      </c>
      <c r="AG85" s="137">
        <f t="shared" si="15"/>
        <v>0</v>
      </c>
      <c r="AH85" s="137">
        <f t="shared" si="15"/>
        <v>0</v>
      </c>
      <c r="AI85" s="137">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5"/>
      <c r="C86" s="56">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0</v>
      </c>
      <c r="AG86" s="137">
        <f t="shared" si="15"/>
        <v>0</v>
      </c>
      <c r="AH86" s="137">
        <f t="shared" si="15"/>
        <v>0</v>
      </c>
      <c r="AI86" s="137">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5"/>
      <c r="C87" s="56">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0</v>
      </c>
      <c r="AF87" s="137">
        <f t="shared" si="17"/>
        <v>0</v>
      </c>
      <c r="AG87" s="137">
        <f t="shared" si="17"/>
        <v>0</v>
      </c>
      <c r="AH87" s="137">
        <f t="shared" si="17"/>
        <v>0</v>
      </c>
      <c r="AI87" s="137">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5"/>
      <c r="C88" s="56">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0</v>
      </c>
      <c r="AF88" s="137">
        <f t="shared" si="17"/>
        <v>0</v>
      </c>
      <c r="AG88" s="137">
        <f t="shared" si="17"/>
        <v>0</v>
      </c>
      <c r="AH88" s="137">
        <f t="shared" si="17"/>
        <v>0</v>
      </c>
      <c r="AI88" s="137">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5"/>
      <c r="C89" s="56">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0</v>
      </c>
      <c r="AF89" s="137">
        <f t="shared" si="17"/>
        <v>0</v>
      </c>
      <c r="AG89" s="137">
        <f t="shared" si="17"/>
        <v>0</v>
      </c>
      <c r="AH89" s="137">
        <f t="shared" si="17"/>
        <v>0</v>
      </c>
      <c r="AI89" s="137">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5"/>
      <c r="C90" s="56">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0</v>
      </c>
      <c r="AF90" s="137">
        <f t="shared" si="17"/>
        <v>0</v>
      </c>
      <c r="AG90" s="137">
        <f t="shared" si="17"/>
        <v>0</v>
      </c>
      <c r="AH90" s="137">
        <f t="shared" si="17"/>
        <v>0</v>
      </c>
      <c r="AI90" s="137">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5"/>
      <c r="C91" s="56">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0</v>
      </c>
      <c r="AF91" s="137">
        <f t="shared" si="17"/>
        <v>0</v>
      </c>
      <c r="AG91" s="137">
        <f t="shared" si="17"/>
        <v>0</v>
      </c>
      <c r="AH91" s="137">
        <f t="shared" si="17"/>
        <v>0</v>
      </c>
      <c r="AI91" s="137">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5"/>
      <c r="C92" s="56">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0</v>
      </c>
      <c r="AF92" s="137">
        <f t="shared" si="17"/>
        <v>0</v>
      </c>
      <c r="AG92" s="137">
        <f t="shared" si="17"/>
        <v>0</v>
      </c>
      <c r="AH92" s="137">
        <f t="shared" si="17"/>
        <v>0</v>
      </c>
      <c r="AI92" s="137">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5"/>
      <c r="C93" s="56">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0</v>
      </c>
      <c r="AF93" s="137">
        <f t="shared" si="17"/>
        <v>0</v>
      </c>
      <c r="AG93" s="137">
        <f t="shared" si="17"/>
        <v>0</v>
      </c>
      <c r="AH93" s="137">
        <f t="shared" si="17"/>
        <v>0</v>
      </c>
      <c r="AI93" s="137">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5"/>
      <c r="C94" s="56">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0</v>
      </c>
      <c r="AF94" s="137">
        <f t="shared" si="17"/>
        <v>0</v>
      </c>
      <c r="AG94" s="137">
        <f t="shared" si="17"/>
        <v>0</v>
      </c>
      <c r="AH94" s="137">
        <f t="shared" si="17"/>
        <v>0</v>
      </c>
      <c r="AI94" s="137">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5"/>
      <c r="C95" s="56">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0</v>
      </c>
      <c r="AF95" s="137">
        <f t="shared" si="19"/>
        <v>0</v>
      </c>
      <c r="AG95" s="137">
        <f t="shared" si="19"/>
        <v>0</v>
      </c>
      <c r="AH95" s="137">
        <f t="shared" si="19"/>
        <v>0</v>
      </c>
      <c r="AI95" s="137">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5"/>
      <c r="C96" s="56">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0</v>
      </c>
      <c r="AF96" s="137">
        <f t="shared" si="19"/>
        <v>0</v>
      </c>
      <c r="AG96" s="137">
        <f t="shared" si="19"/>
        <v>0</v>
      </c>
      <c r="AH96" s="137">
        <f t="shared" si="19"/>
        <v>0</v>
      </c>
      <c r="AI96" s="137">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5"/>
      <c r="C97" s="56">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5"/>
      <c r="C98" s="56">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5"/>
      <c r="C99" s="56">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5"/>
      <c r="C100" s="56">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5"/>
      <c r="C101" s="56">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5"/>
      <c r="C102" s="56">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5"/>
      <c r="C103" s="56">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5"/>
      <c r="C104" s="56">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5"/>
      <c r="C105" s="56">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5"/>
      <c r="C106" s="56">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5"/>
      <c r="C107" s="56">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5"/>
      <c r="C108" s="56">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5"/>
      <c r="C109" s="56">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5"/>
      <c r="C110" s="56">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5"/>
      <c r="C111" s="56">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5"/>
      <c r="C112" s="56">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5"/>
      <c r="C113" s="56">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5"/>
      <c r="C114" s="56">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5"/>
      <c r="C115" s="56">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5"/>
      <c r="C116" s="56">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5"/>
      <c r="C117" s="56">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5"/>
      <c r="C118" s="56">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5"/>
      <c r="C119" s="56">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5"/>
      <c r="C120" s="56">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5"/>
      <c r="C121" s="56">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5"/>
      <c r="C122" s="56">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5"/>
      <c r="C123" s="56">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5"/>
      <c r="C124" s="56">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5"/>
      <c r="C125" s="56">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5"/>
      <c r="C126" s="56">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5"/>
      <c r="C127" s="56">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5"/>
      <c r="C128" s="56">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5"/>
      <c r="C129" s="56">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5"/>
      <c r="C130" s="56">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5"/>
      <c r="C131" s="56">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5"/>
      <c r="C132" s="56">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5"/>
      <c r="C133" s="56">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6"/>
      <c r="C134" s="56">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68</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7" t="str">
        <f ca="1">IF(B6&lt;&gt;"",B6,"")</f>
        <v>Table WRN_IG</v>
      </c>
      <c r="C136" s="56">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1</v>
      </c>
      <c r="AD136" s="137">
        <f t="shared" si="29"/>
        <v>0</v>
      </c>
      <c r="AE136" s="137">
        <f t="shared" si="29"/>
        <v>0</v>
      </c>
      <c r="AF136" s="137">
        <f t="shared" si="29"/>
        <v>0</v>
      </c>
      <c r="AG136" s="137">
        <f t="shared" si="29"/>
        <v>0</v>
      </c>
      <c r="AH136" s="137">
        <f t="shared" si="29"/>
        <v>0</v>
      </c>
      <c r="AI136" s="137">
        <f t="shared" si="29"/>
        <v>0</v>
      </c>
      <c r="AJ136" s="56" t="str">
        <f t="shared" ref="AJ136:AJ199" si="30">IF(AJ6&lt;&gt;"",AJ6,"")</f>
        <v>MALFUNC</v>
      </c>
      <c r="AK136" s="69"/>
      <c r="AL136" s="69" t="str">
        <f>BIN2HEX(AB136&amp;AC136&amp;AD136&amp;AE136&amp;AF136&amp;AG136&amp;AH136&amp;AI136,2)</f>
        <v>40</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(U4)0x00000040U,                                                           /* 00 MALFUNC                                         */</v>
      </c>
    </row>
    <row r="137" spans="1:43">
      <c r="B137" s="145"/>
      <c r="C137" s="56">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1</v>
      </c>
      <c r="AD137" s="137">
        <f t="shared" si="29"/>
        <v>1</v>
      </c>
      <c r="AE137" s="137">
        <f t="shared" si="29"/>
        <v>1</v>
      </c>
      <c r="AF137" s="137">
        <f t="shared" si="29"/>
        <v>1</v>
      </c>
      <c r="AG137" s="137">
        <f t="shared" si="29"/>
        <v>1</v>
      </c>
      <c r="AH137" s="137">
        <f t="shared" si="29"/>
        <v>1</v>
      </c>
      <c r="AI137" s="137">
        <f t="shared" si="29"/>
        <v>1</v>
      </c>
      <c r="AJ137" s="56" t="str">
        <f t="shared" si="30"/>
        <v>LOCK</v>
      </c>
      <c r="AK137" s="69"/>
      <c r="AL137" s="69" t="str">
        <f t="shared" ref="AL137:AL199" si="33">BIN2HEX(AB137&amp;AC137&amp;AD137&amp;AE137&amp;AF137&amp;AG137&amp;AH137&amp;AI137,2)</f>
        <v>7F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(U4)0x0000007FU,                                                           /* 01 LOCK                                            */</v>
      </c>
    </row>
    <row r="138" spans="1:43">
      <c r="B138" s="145"/>
      <c r="C138" s="56">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1</v>
      </c>
      <c r="AD138" s="137">
        <f t="shared" si="29"/>
        <v>1</v>
      </c>
      <c r="AE138" s="137">
        <f t="shared" si="29"/>
        <v>1</v>
      </c>
      <c r="AF138" s="137">
        <f t="shared" si="29"/>
        <v>1</v>
      </c>
      <c r="AG138" s="137">
        <f t="shared" si="29"/>
        <v>1</v>
      </c>
      <c r="AH138" s="137">
        <f t="shared" si="29"/>
        <v>1</v>
      </c>
      <c r="AI138" s="137">
        <f t="shared" si="29"/>
        <v>1</v>
      </c>
      <c r="AJ138" s="56" t="str">
        <f t="shared" si="30"/>
        <v>ADVICE1</v>
      </c>
      <c r="AK138" s="69"/>
      <c r="AL138" s="69" t="str">
        <f t="shared" si="33"/>
        <v>7F</v>
      </c>
      <c r="AM138" s="71" t="str">
        <f t="shared" si="34"/>
        <v>00</v>
      </c>
      <c r="AN138" s="71" t="str">
        <f t="shared" si="35"/>
        <v>00</v>
      </c>
      <c r="AO138" s="71" t="str">
        <f t="shared" si="36"/>
        <v>00</v>
      </c>
      <c r="AQ138" t="str">
        <f t="shared" si="31"/>
        <v xml:space="preserve">    (U4)0x0000007FU,                                                           /* 02 ADVICE1                                         */</v>
      </c>
    </row>
    <row r="139" spans="1:43">
      <c r="B139" s="145"/>
      <c r="C139" s="56">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1</v>
      </c>
      <c r="AD139" s="137">
        <f t="shared" si="29"/>
        <v>1</v>
      </c>
      <c r="AE139" s="137">
        <f t="shared" si="29"/>
        <v>1</v>
      </c>
      <c r="AF139" s="137">
        <f t="shared" si="29"/>
        <v>1</v>
      </c>
      <c r="AG139" s="137">
        <f t="shared" si="29"/>
        <v>1</v>
      </c>
      <c r="AH139" s="137">
        <f t="shared" si="29"/>
        <v>1</v>
      </c>
      <c r="AI139" s="137">
        <f t="shared" si="29"/>
        <v>1</v>
      </c>
      <c r="AJ139" s="56" t="str">
        <f t="shared" si="30"/>
        <v>ACTIVE</v>
      </c>
      <c r="AK139" s="69"/>
      <c r="AL139" s="69" t="str">
        <f t="shared" si="33"/>
        <v>7F</v>
      </c>
      <c r="AM139" s="71" t="str">
        <f t="shared" si="34"/>
        <v>00</v>
      </c>
      <c r="AN139" s="71" t="str">
        <f t="shared" si="35"/>
        <v>00</v>
      </c>
      <c r="AO139" s="71" t="str">
        <f t="shared" si="36"/>
        <v>00</v>
      </c>
      <c r="AQ139" t="str">
        <f t="shared" si="31"/>
        <v xml:space="preserve">    (U4)0x0000007FU,                                                           /* 03 ACTIVE                                          */</v>
      </c>
    </row>
    <row r="140" spans="1:43">
      <c r="B140" s="145"/>
      <c r="C140" s="56">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1</v>
      </c>
      <c r="AD140" s="137">
        <f t="shared" si="29"/>
        <v>1</v>
      </c>
      <c r="AE140" s="137">
        <f t="shared" si="29"/>
        <v>1</v>
      </c>
      <c r="AF140" s="137">
        <f t="shared" si="29"/>
        <v>1</v>
      </c>
      <c r="AG140" s="137">
        <f t="shared" si="29"/>
        <v>1</v>
      </c>
      <c r="AH140" s="137">
        <f t="shared" si="29"/>
        <v>1</v>
      </c>
      <c r="AI140" s="137">
        <f t="shared" si="29"/>
        <v>1</v>
      </c>
      <c r="AJ140" s="56" t="str">
        <f t="shared" si="30"/>
        <v>DEACTIVE</v>
      </c>
      <c r="AK140" s="69"/>
      <c r="AL140" s="69" t="str">
        <f t="shared" si="33"/>
        <v>7F</v>
      </c>
      <c r="AM140" s="71" t="str">
        <f t="shared" si="34"/>
        <v>00</v>
      </c>
      <c r="AN140" s="71" t="str">
        <f t="shared" si="35"/>
        <v>00</v>
      </c>
      <c r="AO140" s="71" t="str">
        <f t="shared" si="36"/>
        <v>00</v>
      </c>
      <c r="AQ140" t="str">
        <f t="shared" si="31"/>
        <v xml:space="preserve">    (U4)0x0000007FU,                                                           /* 04 DEACTIVE                                        */</v>
      </c>
    </row>
    <row r="141" spans="1:43">
      <c r="B141" s="145"/>
      <c r="C141" s="56">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1</v>
      </c>
      <c r="AD141" s="137">
        <f t="shared" si="29"/>
        <v>1</v>
      </c>
      <c r="AE141" s="137">
        <f t="shared" si="29"/>
        <v>1</v>
      </c>
      <c r="AF141" s="137">
        <f t="shared" si="29"/>
        <v>1</v>
      </c>
      <c r="AG141" s="137">
        <f t="shared" si="29"/>
        <v>1</v>
      </c>
      <c r="AH141" s="137">
        <f t="shared" si="29"/>
        <v>1</v>
      </c>
      <c r="AI141" s="137">
        <f t="shared" si="29"/>
        <v>1</v>
      </c>
      <c r="AJ141" s="56" t="str">
        <f t="shared" si="30"/>
        <v>ADVICE2</v>
      </c>
      <c r="AK141" s="69"/>
      <c r="AL141" s="69" t="str">
        <f t="shared" si="33"/>
        <v>7F</v>
      </c>
      <c r="AM141" s="71" t="str">
        <f t="shared" si="34"/>
        <v>00</v>
      </c>
      <c r="AN141" s="71" t="str">
        <f t="shared" si="35"/>
        <v>00</v>
      </c>
      <c r="AO141" s="71" t="str">
        <f t="shared" si="36"/>
        <v>00</v>
      </c>
      <c r="AQ141" t="str">
        <f t="shared" si="31"/>
        <v xml:space="preserve">    (U4)0x0000007FU,                                                           /* 05 ADVICE2                                         */</v>
      </c>
    </row>
    <row r="142" spans="1:43">
      <c r="B142" s="145"/>
      <c r="C142" s="56">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1</v>
      </c>
      <c r="AD142" s="137">
        <f t="shared" si="29"/>
        <v>1</v>
      </c>
      <c r="AE142" s="137">
        <f t="shared" si="29"/>
        <v>1</v>
      </c>
      <c r="AF142" s="137">
        <f t="shared" si="29"/>
        <v>1</v>
      </c>
      <c r="AG142" s="137">
        <f t="shared" si="29"/>
        <v>1</v>
      </c>
      <c r="AH142" s="137">
        <f t="shared" si="29"/>
        <v>1</v>
      </c>
      <c r="AI142" s="137">
        <f t="shared" si="29"/>
        <v>1</v>
      </c>
      <c r="AJ142" s="56" t="str">
        <f t="shared" si="30"/>
        <v>MALFUNC</v>
      </c>
      <c r="AK142" s="69"/>
      <c r="AL142" s="69" t="str">
        <f t="shared" si="33"/>
        <v>7F</v>
      </c>
      <c r="AM142" s="71" t="str">
        <f t="shared" si="34"/>
        <v>00</v>
      </c>
      <c r="AN142" s="71" t="str">
        <f t="shared" si="35"/>
        <v>00</v>
      </c>
      <c r="AO142" s="71" t="str">
        <f t="shared" si="36"/>
        <v>00</v>
      </c>
      <c r="AQ142" t="str">
        <f t="shared" si="31"/>
        <v xml:space="preserve">    (U4)0x0000007FU,                                                           /* 06 MALFUNC                                         */</v>
      </c>
    </row>
    <row r="143" spans="1:43">
      <c r="B143" s="145"/>
      <c r="C143" s="56">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1</v>
      </c>
      <c r="AD143" s="137">
        <f t="shared" si="29"/>
        <v>1</v>
      </c>
      <c r="AE143" s="137">
        <f t="shared" si="29"/>
        <v>1</v>
      </c>
      <c r="AF143" s="137">
        <f t="shared" si="29"/>
        <v>1</v>
      </c>
      <c r="AG143" s="137">
        <f t="shared" si="29"/>
        <v>1</v>
      </c>
      <c r="AH143" s="137">
        <f t="shared" si="29"/>
        <v>1</v>
      </c>
      <c r="AI143" s="137">
        <f t="shared" ref="AI143" si="37">IF(OR(AI13=0,AI13=1),1,0)</f>
        <v>1</v>
      </c>
      <c r="AJ143" s="56" t="str">
        <f t="shared" si="30"/>
        <v>UNRELABLE</v>
      </c>
      <c r="AK143" s="69"/>
      <c r="AL143" s="69" t="str">
        <f t="shared" si="33"/>
        <v>7F</v>
      </c>
      <c r="AM143" s="71" t="str">
        <f t="shared" si="34"/>
        <v>00</v>
      </c>
      <c r="AN143" s="71" t="str">
        <f t="shared" si="35"/>
        <v>00</v>
      </c>
      <c r="AO143" s="71" t="str">
        <f t="shared" si="36"/>
        <v>00</v>
      </c>
      <c r="AQ143" t="str">
        <f t="shared" si="31"/>
        <v xml:space="preserve">    (U4)0x0000007FU                                                            /* 07 UNRELABLE                                       */</v>
      </c>
    </row>
    <row r="144" spans="1:43">
      <c r="B144" s="145"/>
      <c r="C144" s="56">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0</v>
      </c>
      <c r="AF144" s="137">
        <f t="shared" si="38"/>
        <v>0</v>
      </c>
      <c r="AG144" s="137">
        <f t="shared" si="38"/>
        <v>0</v>
      </c>
      <c r="AH144" s="137">
        <f t="shared" si="38"/>
        <v>0</v>
      </c>
      <c r="AI144" s="137">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5"/>
      <c r="C145" s="56">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0</v>
      </c>
      <c r="AF145" s="137">
        <f t="shared" si="38"/>
        <v>0</v>
      </c>
      <c r="AG145" s="137">
        <f t="shared" si="38"/>
        <v>0</v>
      </c>
      <c r="AH145" s="137">
        <f t="shared" si="38"/>
        <v>0</v>
      </c>
      <c r="AI145" s="137">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5"/>
      <c r="C146" s="56">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0</v>
      </c>
      <c r="AF146" s="137">
        <f t="shared" si="38"/>
        <v>0</v>
      </c>
      <c r="AG146" s="137">
        <f t="shared" si="38"/>
        <v>0</v>
      </c>
      <c r="AH146" s="137">
        <f t="shared" si="38"/>
        <v>0</v>
      </c>
      <c r="AI146" s="137">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5"/>
      <c r="C147" s="56">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0</v>
      </c>
      <c r="AF147" s="137">
        <f t="shared" si="38"/>
        <v>0</v>
      </c>
      <c r="AG147" s="137">
        <f t="shared" si="38"/>
        <v>0</v>
      </c>
      <c r="AH147" s="137">
        <f t="shared" si="38"/>
        <v>0</v>
      </c>
      <c r="AI147" s="137">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5"/>
      <c r="C148" s="56">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0</v>
      </c>
      <c r="AF148" s="137">
        <f t="shared" si="38"/>
        <v>0</v>
      </c>
      <c r="AG148" s="137">
        <f t="shared" si="38"/>
        <v>0</v>
      </c>
      <c r="AH148" s="137">
        <f t="shared" si="38"/>
        <v>0</v>
      </c>
      <c r="AI148" s="137">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5"/>
      <c r="C149" s="56">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0</v>
      </c>
      <c r="AF149" s="137">
        <f t="shared" si="38"/>
        <v>0</v>
      </c>
      <c r="AG149" s="137">
        <f t="shared" si="38"/>
        <v>0</v>
      </c>
      <c r="AH149" s="137">
        <f t="shared" si="38"/>
        <v>0</v>
      </c>
      <c r="AI149" s="137">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5"/>
      <c r="C150" s="56">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0</v>
      </c>
      <c r="AF150" s="137">
        <f t="shared" si="38"/>
        <v>0</v>
      </c>
      <c r="AG150" s="137">
        <f t="shared" si="38"/>
        <v>0</v>
      </c>
      <c r="AH150" s="137">
        <f t="shared" si="38"/>
        <v>0</v>
      </c>
      <c r="AI150" s="137">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5"/>
      <c r="C151" s="56">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0</v>
      </c>
      <c r="AF151" s="137">
        <f t="shared" si="38"/>
        <v>0</v>
      </c>
      <c r="AG151" s="137">
        <f t="shared" si="38"/>
        <v>0</v>
      </c>
      <c r="AH151" s="137">
        <f t="shared" si="38"/>
        <v>0</v>
      </c>
      <c r="AI151" s="137">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5"/>
      <c r="C152" s="56">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0</v>
      </c>
      <c r="AF152" s="137">
        <f t="shared" si="40"/>
        <v>0</v>
      </c>
      <c r="AG152" s="137">
        <f t="shared" si="40"/>
        <v>0</v>
      </c>
      <c r="AH152" s="137">
        <f t="shared" si="40"/>
        <v>0</v>
      </c>
      <c r="AI152" s="137">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5"/>
      <c r="C153" s="56">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0</v>
      </c>
      <c r="AF153" s="137">
        <f t="shared" si="40"/>
        <v>0</v>
      </c>
      <c r="AG153" s="137">
        <f t="shared" si="40"/>
        <v>0</v>
      </c>
      <c r="AH153" s="137">
        <f t="shared" si="40"/>
        <v>0</v>
      </c>
      <c r="AI153" s="137">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5"/>
      <c r="C154" s="56">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0</v>
      </c>
      <c r="AF154" s="137">
        <f t="shared" si="40"/>
        <v>0</v>
      </c>
      <c r="AG154" s="137">
        <f t="shared" si="40"/>
        <v>0</v>
      </c>
      <c r="AH154" s="137">
        <f t="shared" si="40"/>
        <v>0</v>
      </c>
      <c r="AI154" s="137">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5"/>
      <c r="C155" s="56">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0</v>
      </c>
      <c r="AF155" s="137">
        <f t="shared" si="40"/>
        <v>0</v>
      </c>
      <c r="AG155" s="137">
        <f t="shared" si="40"/>
        <v>0</v>
      </c>
      <c r="AH155" s="137">
        <f t="shared" si="40"/>
        <v>0</v>
      </c>
      <c r="AI155" s="137">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5"/>
      <c r="C156" s="56">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0</v>
      </c>
      <c r="AF156" s="137">
        <f t="shared" si="40"/>
        <v>0</v>
      </c>
      <c r="AG156" s="137">
        <f t="shared" si="40"/>
        <v>0</v>
      </c>
      <c r="AH156" s="137">
        <f t="shared" si="40"/>
        <v>0</v>
      </c>
      <c r="AI156" s="137">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5"/>
      <c r="C157" s="56">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0</v>
      </c>
      <c r="AF157" s="137">
        <f t="shared" si="40"/>
        <v>0</v>
      </c>
      <c r="AG157" s="137">
        <f t="shared" si="40"/>
        <v>0</v>
      </c>
      <c r="AH157" s="137">
        <f t="shared" si="40"/>
        <v>0</v>
      </c>
      <c r="AI157" s="137">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5"/>
      <c r="C158" s="56">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0</v>
      </c>
      <c r="AF158" s="137">
        <f t="shared" si="40"/>
        <v>0</v>
      </c>
      <c r="AG158" s="137">
        <f t="shared" si="40"/>
        <v>0</v>
      </c>
      <c r="AH158" s="137">
        <f t="shared" si="40"/>
        <v>0</v>
      </c>
      <c r="AI158" s="137">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5"/>
      <c r="C159" s="56">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0</v>
      </c>
      <c r="AF159" s="137">
        <f t="shared" si="40"/>
        <v>0</v>
      </c>
      <c r="AG159" s="137">
        <f t="shared" si="40"/>
        <v>0</v>
      </c>
      <c r="AH159" s="137">
        <f t="shared" si="40"/>
        <v>0</v>
      </c>
      <c r="AI159" s="137">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5"/>
      <c r="C160" s="56">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0</v>
      </c>
      <c r="AF160" s="137">
        <f t="shared" si="42"/>
        <v>0</v>
      </c>
      <c r="AG160" s="137">
        <f t="shared" si="42"/>
        <v>0</v>
      </c>
      <c r="AH160" s="137">
        <f t="shared" si="42"/>
        <v>0</v>
      </c>
      <c r="AI160" s="137">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5"/>
      <c r="C161" s="56">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0</v>
      </c>
      <c r="AF161" s="137">
        <f t="shared" si="42"/>
        <v>0</v>
      </c>
      <c r="AG161" s="137">
        <f t="shared" si="42"/>
        <v>0</v>
      </c>
      <c r="AH161" s="137">
        <f t="shared" si="42"/>
        <v>0</v>
      </c>
      <c r="AI161" s="137">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5"/>
      <c r="C162" s="56">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5"/>
      <c r="C163" s="56">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5"/>
      <c r="C164" s="56">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5"/>
      <c r="C165" s="56">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5"/>
      <c r="C166" s="56">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5"/>
      <c r="C167" s="56">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5"/>
      <c r="C168" s="56">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5"/>
      <c r="C169" s="56">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5"/>
      <c r="C170" s="56">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5"/>
      <c r="C171" s="56">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5"/>
      <c r="C172" s="56">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5"/>
      <c r="C173" s="56">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5"/>
      <c r="C174" s="56">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5"/>
      <c r="C175" s="56">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5"/>
      <c r="C176" s="56">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5"/>
      <c r="C177" s="56">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5"/>
      <c r="C178" s="56">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5"/>
      <c r="C179" s="56">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5"/>
      <c r="C180" s="56">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5"/>
      <c r="C181" s="56">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5"/>
      <c r="C182" s="56">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5"/>
      <c r="C183" s="56">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5"/>
      <c r="C184" s="56">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5"/>
      <c r="C185" s="56">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5"/>
      <c r="C186" s="56">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5"/>
      <c r="C187" s="56">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5"/>
      <c r="C188" s="56">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5"/>
      <c r="C189" s="56">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5"/>
      <c r="C190" s="56">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5"/>
      <c r="C191" s="56">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5"/>
      <c r="C192" s="56">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5"/>
      <c r="C193" s="56">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5"/>
      <c r="C194" s="56">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5"/>
      <c r="C195" s="56">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5"/>
      <c r="C196" s="56">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5"/>
      <c r="C197" s="56">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5"/>
      <c r="C198" s="56">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6"/>
      <c r="C199" s="56">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B3 D6:AJ69" name="Table作成編集範囲"/>
    <protectedRange sqref="B3" name="Table作成編集範囲_1"/>
    <protectedRange sqref="AG3:AI3 AC3:AE3" name="Table作成編集範囲_1_1"/>
  </protectedRanges>
  <mergeCells count="5">
    <mergeCell ref="C2:C3"/>
    <mergeCell ref="AJ2:AJ3"/>
    <mergeCell ref="A4:B5"/>
    <mergeCell ref="AE3:AI3"/>
    <mergeCell ref="AC3:AD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29">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62</v>
      </c>
      <c r="AI1" t="s">
        <v>63</v>
      </c>
    </row>
    <row r="2" spans="1:49">
      <c r="B2" s="136" t="s">
        <v>123</v>
      </c>
      <c r="C2" s="319" t="s">
        <v>84</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21" t="s">
        <v>54</v>
      </c>
    </row>
    <row r="3" spans="1:49" ht="213" customHeight="1" thickBot="1">
      <c r="B3" s="213" t="str">
        <f>IF(OR(IF(COUNTIF(D6:AC69,"0")&lt;&gt;0,TRUE,FALSE),IF(COUNTIF(D6:AC69,"1")&lt;&gt;0,TRUE,FALSE)),"Search Table","Index Table")</f>
        <v>Search Table</v>
      </c>
      <c r="C3" s="320"/>
      <c r="D3" s="138" t="s">
        <v>64</v>
      </c>
      <c r="E3" s="138" t="s">
        <v>69</v>
      </c>
      <c r="F3" s="138" t="s">
        <v>52</v>
      </c>
      <c r="G3" s="138" t="s">
        <v>51</v>
      </c>
      <c r="H3" s="138" t="s">
        <v>121</v>
      </c>
      <c r="I3" s="138" t="s">
        <v>120</v>
      </c>
      <c r="J3" s="138" t="s">
        <v>125</v>
      </c>
      <c r="K3" s="138" t="s">
        <v>124</v>
      </c>
      <c r="L3" s="139" t="s">
        <v>69</v>
      </c>
      <c r="M3" s="139" t="s">
        <v>65</v>
      </c>
      <c r="N3" s="139" t="s">
        <v>65</v>
      </c>
      <c r="O3" s="139" t="s">
        <v>65</v>
      </c>
      <c r="P3" s="139" t="s">
        <v>65</v>
      </c>
      <c r="Q3" s="139" t="s">
        <v>65</v>
      </c>
      <c r="R3" s="139" t="s">
        <v>65</v>
      </c>
      <c r="S3" s="139" t="s">
        <v>65</v>
      </c>
      <c r="T3" s="139" t="s">
        <v>65</v>
      </c>
      <c r="U3" s="139" t="s">
        <v>65</v>
      </c>
      <c r="V3" s="139" t="s">
        <v>65</v>
      </c>
      <c r="W3" s="139" t="s">
        <v>65</v>
      </c>
      <c r="X3" s="139" t="s">
        <v>65</v>
      </c>
      <c r="Y3" s="139" t="s">
        <v>65</v>
      </c>
      <c r="Z3" s="139" t="s">
        <v>65</v>
      </c>
      <c r="AA3" s="139" t="s">
        <v>65</v>
      </c>
      <c r="AB3" s="139" t="s">
        <v>65</v>
      </c>
      <c r="AC3" s="327" t="s">
        <v>241</v>
      </c>
      <c r="AD3" s="328"/>
      <c r="AE3" s="327" t="s">
        <v>243</v>
      </c>
      <c r="AF3" s="328"/>
      <c r="AG3" s="328"/>
      <c r="AH3" s="328"/>
      <c r="AI3" s="329"/>
      <c r="AJ3" s="322"/>
      <c r="AR3" s="103" t="s">
        <v>96</v>
      </c>
    </row>
    <row r="4" spans="1:49" ht="13.5" thickBot="1">
      <c r="A4" s="323" t="s">
        <v>66</v>
      </c>
      <c r="B4" s="324"/>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41"/>
      <c r="AR4" s="91" t="s">
        <v>82</v>
      </c>
      <c r="AS4" s="92"/>
      <c r="AT4" s="92"/>
      <c r="AU4" s="92"/>
      <c r="AV4" s="92"/>
      <c r="AW4" s="93"/>
    </row>
    <row r="5" spans="1:49" ht="13.5" thickBot="1">
      <c r="A5" s="325"/>
      <c r="B5" s="326"/>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42"/>
      <c r="AR5" s="94" t="str">
        <f ca="1">"static const U4  "&amp;AW8&amp;"["&amp;AW10&amp;"]"&amp;" = {"</f>
        <v>static const U4  u4_sp_ALERT_C_EPB_WRN_BAT_CRIT[ALERT_C_EPB_WRN_BAT_NUM_DST] = {</v>
      </c>
      <c r="AS5" s="94" t="str">
        <f ca="1">"static const U4  "&amp;$AW$9&amp;"["&amp;$AW$10&amp;"] = {"</f>
        <v>static const U4  u4_sp_ALERT_C_EPB_WRN_BAT_MASK[ALERT_C_EPB_WRN_BAT_NUM_DST] = {</v>
      </c>
      <c r="AT5" s="94" t="str">
        <f ca="1">"static const U1  "&amp;$AW$11&amp;"["&amp;$AW$10&amp;"] = {"</f>
        <v>static const U1  u1_sp_ALERT_C_EPB_WRN_BAT_DST[ALERT_C_EPB_WRN_BAT_NUM_DST] = {</v>
      </c>
      <c r="AU5" s="94" t="str">
        <f ca="1">"const ST_ALERT_MTRX "&amp;$AW$12&amp;" = {"</f>
        <v>const ST_ALERT_MTRX st_gp_ALERT_C_EPB_MTRX[3] = {</v>
      </c>
      <c r="AV5" s="74" t="str">
        <f ca="1">"#define "&amp;AW10&amp;REPT(" ",41-LEN(AW10))&amp;"("&amp;AW13&amp;"U)"</f>
        <v>#define ALERT_C_EPB_WRN_BAT_NUM_DST              (6U)</v>
      </c>
      <c r="AW5" s="75"/>
    </row>
    <row r="6" spans="1:49">
      <c r="B6" s="145" t="str">
        <f ca="1">"Table "&amp;$AW$6</f>
        <v>Table WRN_BAT</v>
      </c>
      <c r="C6" s="61">
        <f>ROW()-ROW($C$6)</f>
        <v>0</v>
      </c>
      <c r="D6" s="140" t="s">
        <v>70</v>
      </c>
      <c r="E6" s="140" t="s">
        <v>70</v>
      </c>
      <c r="F6" s="140" t="s">
        <v>70</v>
      </c>
      <c r="G6" s="140" t="s">
        <v>70</v>
      </c>
      <c r="H6" s="140" t="s">
        <v>70</v>
      </c>
      <c r="I6" s="140" t="s">
        <v>70</v>
      </c>
      <c r="J6" s="140">
        <v>1</v>
      </c>
      <c r="K6" s="140" t="s">
        <v>244</v>
      </c>
      <c r="L6" s="140" t="s">
        <v>244</v>
      </c>
      <c r="M6" s="140" t="s">
        <v>244</v>
      </c>
      <c r="N6" s="140" t="s">
        <v>244</v>
      </c>
      <c r="O6" s="140" t="s">
        <v>244</v>
      </c>
      <c r="P6" s="140" t="s">
        <v>244</v>
      </c>
      <c r="Q6" s="140" t="s">
        <v>244</v>
      </c>
      <c r="R6" s="140" t="s">
        <v>244</v>
      </c>
      <c r="S6" s="140" t="s">
        <v>244</v>
      </c>
      <c r="T6" s="140" t="s">
        <v>244</v>
      </c>
      <c r="U6" s="140" t="s">
        <v>244</v>
      </c>
      <c r="V6" s="140" t="s">
        <v>244</v>
      </c>
      <c r="W6" s="140" t="s">
        <v>244</v>
      </c>
      <c r="X6" s="140" t="s">
        <v>244</v>
      </c>
      <c r="Y6" s="140" t="s">
        <v>244</v>
      </c>
      <c r="Z6" s="140" t="s">
        <v>244</v>
      </c>
      <c r="AA6" s="140" t="s">
        <v>244</v>
      </c>
      <c r="AB6" s="140" t="s">
        <v>244</v>
      </c>
      <c r="AC6" s="140">
        <v>0</v>
      </c>
      <c r="AD6" s="140">
        <v>0</v>
      </c>
      <c r="AE6" s="143">
        <v>0</v>
      </c>
      <c r="AF6" s="143">
        <v>0</v>
      </c>
      <c r="AG6" s="143">
        <v>0</v>
      </c>
      <c r="AH6" s="143">
        <v>0</v>
      </c>
      <c r="AI6" s="143">
        <v>1</v>
      </c>
      <c r="AJ6" s="60" t="s">
        <v>231</v>
      </c>
      <c r="AL6" t="str">
        <f t="shared" ref="AL6:AL69" ca="1" si="0">IF($AJ6="UNKNOWN","    (U1)ALERT_REQ_UNKNOWN","    (U1)"&amp;"ALERT_REQ_"&amp;$AW$17&amp;"_"&amp;IF($AW$6&lt;&gt;$AW$17,$AW$6&amp;"_","")&amp;AJ6)</f>
        <v xml:space="preserve">    (U1)ALERT_REQ_C_EPB_WRN_BAT_ADVICE1</v>
      </c>
      <c r="AR6" s="72" t="str">
        <f>IF(AQ71&lt;&gt;"",AQ71,IF(AQ70&lt;&gt;"","};",""))</f>
        <v xml:space="preserve">    (U4)0x02000001U,                                                           /* 00 ADVICE1                                         */</v>
      </c>
      <c r="AS6" s="72" t="str">
        <f>IF(AQ136&lt;&gt;"",AQ136,IF(AQ135&lt;&gt;"","};",""))</f>
        <v xml:space="preserve">    (U4)0x0200007FU,                                                           /* 00 ADVICE1                                         */</v>
      </c>
      <c r="AT6" s="72" t="str">
        <f t="shared" ref="AT6:AT69" ca="1" si="1">IF(AJ6&lt;&gt;"",AL6&amp;IF(AJ7&lt;&gt;"",","," ")&amp;REPT(" ",78-LEN(AL6))&amp;"/* "&amp;IF(C6&lt;10,"0"&amp;C6,C6)&amp;" "&amp;AJ6&amp;REPT(" ",48-LEN(AJ6))&amp;"*/",IF(AJ5&lt;&gt;"","};",""))</f>
        <v xml:space="preserve">    (U1)ALERT_REQ_C_EPB_WRN_BAT_ADVICE1,                                       /* 00 ADVICE1                                         */</v>
      </c>
      <c r="AU6" s="72" t="s">
        <v>307</v>
      </c>
      <c r="AV6" s="57" t="s">
        <v>71</v>
      </c>
      <c r="AW6" s="76" t="str">
        <f ca="1">UPPER(RIGHT(CELL("filename",A1),LEN(CELL("filename",A1))-FIND("]",CELL("filename",A1))))</f>
        <v>WRN_BAT</v>
      </c>
    </row>
    <row r="7" spans="1:49">
      <c r="B7" s="145"/>
      <c r="C7" s="56">
        <f t="shared" ref="C7:C69" si="2">ROW()-ROW($C$6)</f>
        <v>1</v>
      </c>
      <c r="D7" s="70" t="s">
        <v>70</v>
      </c>
      <c r="E7" s="70" t="s">
        <v>70</v>
      </c>
      <c r="F7" s="70" t="s">
        <v>70</v>
      </c>
      <c r="G7" s="70" t="s">
        <v>70</v>
      </c>
      <c r="H7" s="70" t="s">
        <v>70</v>
      </c>
      <c r="I7" s="70" t="s">
        <v>70</v>
      </c>
      <c r="J7" s="70">
        <v>1</v>
      </c>
      <c r="K7" s="140" t="s">
        <v>244</v>
      </c>
      <c r="L7" s="70" t="s">
        <v>244</v>
      </c>
      <c r="M7" s="70" t="s">
        <v>244</v>
      </c>
      <c r="N7" s="70" t="s">
        <v>244</v>
      </c>
      <c r="O7" s="70" t="s">
        <v>244</v>
      </c>
      <c r="P7" s="70" t="s">
        <v>244</v>
      </c>
      <c r="Q7" s="70" t="s">
        <v>244</v>
      </c>
      <c r="R7" s="70" t="s">
        <v>244</v>
      </c>
      <c r="S7" s="70" t="s">
        <v>244</v>
      </c>
      <c r="T7" s="70" t="s">
        <v>244</v>
      </c>
      <c r="U7" s="70" t="s">
        <v>244</v>
      </c>
      <c r="V7" s="70" t="s">
        <v>244</v>
      </c>
      <c r="W7" s="70" t="s">
        <v>244</v>
      </c>
      <c r="X7" s="70" t="s">
        <v>244</v>
      </c>
      <c r="Y7" s="70" t="s">
        <v>244</v>
      </c>
      <c r="Z7" s="70" t="s">
        <v>244</v>
      </c>
      <c r="AA7" s="70" t="s">
        <v>244</v>
      </c>
      <c r="AB7" s="70" t="s">
        <v>244</v>
      </c>
      <c r="AC7" s="70">
        <v>0</v>
      </c>
      <c r="AD7" s="70">
        <v>0</v>
      </c>
      <c r="AE7" s="143">
        <v>0</v>
      </c>
      <c r="AF7" s="143">
        <v>0</v>
      </c>
      <c r="AG7" s="143">
        <v>0</v>
      </c>
      <c r="AH7" s="143">
        <v>1</v>
      </c>
      <c r="AI7" s="143">
        <v>0</v>
      </c>
      <c r="AJ7" s="60" t="s">
        <v>237</v>
      </c>
      <c r="AL7" t="str">
        <f t="shared" ca="1" si="0"/>
        <v xml:space="preserve">    (U1)ALERT_REQ_C_EPB_WRN_BAT_AUTOLOCK</v>
      </c>
      <c r="AR7" s="72" t="str">
        <f t="shared" ref="AR7:AR70" si="3">IF(AQ72&lt;&gt;"",AQ72,IF(AQ71&lt;&gt;"","};",""))</f>
        <v xml:space="preserve">    (U4)0x02000002U,                                                           /* 01 AUTOLOCK                                        */</v>
      </c>
      <c r="AS7" s="72" t="str">
        <f t="shared" ref="AS7:AS70" si="4">IF(AQ137&lt;&gt;"",AQ137,IF(AQ136&lt;&gt;"","};",""))</f>
        <v xml:space="preserve">    (U4)0x0200007FU,                                                           /* 01 AUTOLOCK                                        */</v>
      </c>
      <c r="AT7" s="72" t="str">
        <f t="shared" ca="1" si="1"/>
        <v xml:space="preserve">    (U1)ALERT_REQ_C_EPB_WRN_BAT_AUTOLOCK,                                      /* 01 AUTOLOCK                                        */</v>
      </c>
      <c r="AU7" s="72" t="str">
        <f ca="1">"        &amp;"&amp;$AW$14&amp;","&amp;REPT(" ",69-LEN($AW$14))&amp;"/* fp_u4_SRC_CHK                                      */"</f>
        <v xml:space="preserve">        &amp;u4_s_AlertC_epbWrnBatSrcchk,                                          /* fp_u4_SRC_CHK                                      */</v>
      </c>
      <c r="AV7" s="58" t="s">
        <v>72</v>
      </c>
      <c r="AW7" s="144">
        <f>IF(B3="Search Table",1,0)</f>
        <v>1</v>
      </c>
    </row>
    <row r="8" spans="1:49">
      <c r="B8" s="145"/>
      <c r="C8" s="56">
        <f t="shared" si="2"/>
        <v>2</v>
      </c>
      <c r="D8" s="70" t="s">
        <v>70</v>
      </c>
      <c r="E8" s="70" t="s">
        <v>70</v>
      </c>
      <c r="F8" s="70" t="s">
        <v>70</v>
      </c>
      <c r="G8" s="70" t="s">
        <v>70</v>
      </c>
      <c r="H8" s="70" t="s">
        <v>70</v>
      </c>
      <c r="I8" s="70" t="s">
        <v>70</v>
      </c>
      <c r="J8" s="70">
        <v>1</v>
      </c>
      <c r="K8" s="70" t="s">
        <v>244</v>
      </c>
      <c r="L8" s="70" t="s">
        <v>244</v>
      </c>
      <c r="M8" s="70" t="s">
        <v>244</v>
      </c>
      <c r="N8" s="70" t="s">
        <v>244</v>
      </c>
      <c r="O8" s="70" t="s">
        <v>244</v>
      </c>
      <c r="P8" s="70" t="s">
        <v>244</v>
      </c>
      <c r="Q8" s="70" t="s">
        <v>244</v>
      </c>
      <c r="R8" s="70" t="s">
        <v>244</v>
      </c>
      <c r="S8" s="70" t="s">
        <v>244</v>
      </c>
      <c r="T8" s="70" t="s">
        <v>244</v>
      </c>
      <c r="U8" s="70" t="s">
        <v>244</v>
      </c>
      <c r="V8" s="70" t="s">
        <v>244</v>
      </c>
      <c r="W8" s="70" t="s">
        <v>244</v>
      </c>
      <c r="X8" s="70" t="s">
        <v>244</v>
      </c>
      <c r="Y8" s="70" t="s">
        <v>244</v>
      </c>
      <c r="Z8" s="70" t="s">
        <v>244</v>
      </c>
      <c r="AA8" s="70" t="s">
        <v>244</v>
      </c>
      <c r="AB8" s="70" t="s">
        <v>244</v>
      </c>
      <c r="AC8" s="70">
        <v>0</v>
      </c>
      <c r="AD8" s="70">
        <v>0</v>
      </c>
      <c r="AE8" s="143">
        <v>0</v>
      </c>
      <c r="AF8" s="143">
        <v>1</v>
      </c>
      <c r="AG8" s="143">
        <v>0</v>
      </c>
      <c r="AH8" s="143">
        <v>0</v>
      </c>
      <c r="AI8" s="143">
        <v>0</v>
      </c>
      <c r="AJ8" s="24" t="s">
        <v>233</v>
      </c>
      <c r="AL8" t="str">
        <f t="shared" ca="1" si="0"/>
        <v xml:space="preserve">    (U1)ALERT_REQ_C_EPB_WRN_BAT_ADVICE2</v>
      </c>
      <c r="AR8" s="72" t="str">
        <f t="shared" si="3"/>
        <v xml:space="preserve">    (U4)0x02000008U,                                                           /* 02 ADVICE2                                         */</v>
      </c>
      <c r="AS8" s="72" t="str">
        <f t="shared" si="4"/>
        <v xml:space="preserve">    (U4)0x0200007FU,                                                           /* 02 ADVICE2                                         */</v>
      </c>
      <c r="AT8" s="72" t="str">
        <f ca="1">IF(AJ8&lt;&gt;"",AL8&amp;IF(AJ9&lt;&gt;"",","," ")&amp;REPT(" ",78-LEN(AL8))&amp;"/* "&amp;IF(C8&lt;10,"0"&amp;C8,C8)&amp;" "&amp;AJ8&amp;REPT(" ",48-LEN(AJ8))&amp;"*/",IF(AJ7&lt;&gt;"","};",""))</f>
        <v xml:space="preserve">    (U1)ALERT_REQ_C_EPB_WRN_BAT_ADVICE2,                                       /* 02 ADVICE2                                         */</v>
      </c>
      <c r="AU8" s="72" t="str">
        <f ca="1">IF($AW$15&lt;&gt;"NULL","        &amp;"&amp;$AW$15&amp;","&amp;REPT(" ",69-LEN($AW$15))&amp;"/* fp_vd_XDST                                         */","        vdp_PTR_NA,                                                            /* fp_vd_XDST                                         */")</f>
        <v xml:space="preserve">        vdp_PTR_NA,                                                            /* fp_vd_XDST                                         */</v>
      </c>
      <c r="AV8" s="58" t="s">
        <v>73</v>
      </c>
      <c r="AW8" s="77" t="str">
        <f ca="1">"u4_sp_ALERT_"&amp;IF(AW6&lt;&gt;AW17,$AW$17&amp;"_"&amp;$AW$6,AW17)&amp;"_CRIT"</f>
        <v>u4_sp_ALERT_C_EPB_WRN_BAT_CRIT</v>
      </c>
    </row>
    <row r="9" spans="1:49">
      <c r="B9" s="145"/>
      <c r="C9" s="56">
        <f t="shared" si="2"/>
        <v>3</v>
      </c>
      <c r="D9" s="70" t="s">
        <v>70</v>
      </c>
      <c r="E9" s="70" t="s">
        <v>70</v>
      </c>
      <c r="F9" s="70" t="s">
        <v>70</v>
      </c>
      <c r="G9" s="70" t="s">
        <v>70</v>
      </c>
      <c r="H9" s="70" t="s">
        <v>70</v>
      </c>
      <c r="I9" s="70" t="s">
        <v>70</v>
      </c>
      <c r="J9" s="70">
        <v>1</v>
      </c>
      <c r="K9" s="70" t="s">
        <v>244</v>
      </c>
      <c r="L9" s="70" t="s">
        <v>244</v>
      </c>
      <c r="M9" s="70" t="s">
        <v>244</v>
      </c>
      <c r="N9" s="70" t="s">
        <v>244</v>
      </c>
      <c r="O9" s="70" t="s">
        <v>244</v>
      </c>
      <c r="P9" s="70" t="s">
        <v>244</v>
      </c>
      <c r="Q9" s="70" t="s">
        <v>244</v>
      </c>
      <c r="R9" s="70" t="s">
        <v>244</v>
      </c>
      <c r="S9" s="70" t="s">
        <v>244</v>
      </c>
      <c r="T9" s="70" t="s">
        <v>244</v>
      </c>
      <c r="U9" s="70" t="s">
        <v>244</v>
      </c>
      <c r="V9" s="70" t="s">
        <v>244</v>
      </c>
      <c r="W9" s="70" t="s">
        <v>244</v>
      </c>
      <c r="X9" s="70" t="s">
        <v>244</v>
      </c>
      <c r="Y9" s="70" t="s">
        <v>244</v>
      </c>
      <c r="Z9" s="70" t="s">
        <v>244</v>
      </c>
      <c r="AA9" s="70" t="s">
        <v>244</v>
      </c>
      <c r="AB9" s="70" t="s">
        <v>244</v>
      </c>
      <c r="AC9" s="70">
        <v>0</v>
      </c>
      <c r="AD9" s="70">
        <v>0</v>
      </c>
      <c r="AE9" s="143">
        <v>0</v>
      </c>
      <c r="AF9" s="143">
        <v>1</v>
      </c>
      <c r="AG9" s="143">
        <v>0</v>
      </c>
      <c r="AH9" s="143">
        <v>0</v>
      </c>
      <c r="AI9" s="143">
        <v>1</v>
      </c>
      <c r="AJ9" s="24" t="s">
        <v>238</v>
      </c>
      <c r="AL9" t="str">
        <f t="shared" ca="1" si="0"/>
        <v xml:space="preserve">    (U1)ALERT_REQ_C_EPB_WRN_BAT_NOTUSE1</v>
      </c>
      <c r="AR9" s="72" t="str">
        <f t="shared" si="3"/>
        <v xml:space="preserve">    (U4)0x02000009U,                                                           /* 03 NOTUSE1                                         */</v>
      </c>
      <c r="AS9" s="72" t="str">
        <f t="shared" si="4"/>
        <v xml:space="preserve">    (U4)0x0200007FU,                                                           /* 03 NOTUSE1                                         */</v>
      </c>
      <c r="AT9" s="72" t="str">
        <f t="shared" ca="1" si="1"/>
        <v xml:space="preserve">    (U1)ALERT_REQ_C_EPB_WRN_BAT_NOTUSE1,                                       /* 03 NOTUSE1                                         */</v>
      </c>
      <c r="AU9" s="72"/>
      <c r="AV9" s="58" t="s">
        <v>74</v>
      </c>
      <c r="AW9" s="77" t="str">
        <f ca="1">"u4_sp_ALERT_"&amp;IF(AW6&lt;&gt;AW17,$AW$17&amp;"_"&amp;$AW$6,AW17)&amp;"_MASK"</f>
        <v>u4_sp_ALERT_C_EPB_WRN_BAT_MASK</v>
      </c>
    </row>
    <row r="10" spans="1:49">
      <c r="B10" s="145"/>
      <c r="C10" s="56">
        <f t="shared" si="2"/>
        <v>4</v>
      </c>
      <c r="D10" s="70" t="s">
        <v>70</v>
      </c>
      <c r="E10" s="70" t="s">
        <v>70</v>
      </c>
      <c r="F10" s="70" t="s">
        <v>70</v>
      </c>
      <c r="G10" s="70" t="s">
        <v>70</v>
      </c>
      <c r="H10" s="70" t="s">
        <v>70</v>
      </c>
      <c r="I10" s="70" t="s">
        <v>70</v>
      </c>
      <c r="J10" s="70">
        <v>1</v>
      </c>
      <c r="K10" s="70" t="s">
        <v>244</v>
      </c>
      <c r="L10" s="70" t="s">
        <v>244</v>
      </c>
      <c r="M10" s="70" t="s">
        <v>244</v>
      </c>
      <c r="N10" s="70" t="s">
        <v>244</v>
      </c>
      <c r="O10" s="70" t="s">
        <v>244</v>
      </c>
      <c r="P10" s="70" t="s">
        <v>244</v>
      </c>
      <c r="Q10" s="70" t="s">
        <v>244</v>
      </c>
      <c r="R10" s="70" t="s">
        <v>244</v>
      </c>
      <c r="S10" s="70" t="s">
        <v>244</v>
      </c>
      <c r="T10" s="70" t="s">
        <v>244</v>
      </c>
      <c r="U10" s="70" t="s">
        <v>244</v>
      </c>
      <c r="V10" s="70" t="s">
        <v>244</v>
      </c>
      <c r="W10" s="70" t="s">
        <v>244</v>
      </c>
      <c r="X10" s="70" t="s">
        <v>244</v>
      </c>
      <c r="Y10" s="70" t="s">
        <v>244</v>
      </c>
      <c r="Z10" s="70" t="s">
        <v>244</v>
      </c>
      <c r="AA10" s="70" t="s">
        <v>244</v>
      </c>
      <c r="AB10" s="70" t="s">
        <v>244</v>
      </c>
      <c r="AC10" s="70">
        <v>0</v>
      </c>
      <c r="AD10" s="70">
        <v>0</v>
      </c>
      <c r="AE10" s="143">
        <v>0</v>
      </c>
      <c r="AF10" s="143">
        <v>1</v>
      </c>
      <c r="AG10" s="143">
        <v>0</v>
      </c>
      <c r="AH10" s="143">
        <v>1</v>
      </c>
      <c r="AI10" s="143">
        <v>0</v>
      </c>
      <c r="AJ10" s="60" t="s">
        <v>239</v>
      </c>
      <c r="AL10" t="str">
        <f t="shared" ca="1" si="0"/>
        <v xml:space="preserve">    (U1)ALERT_REQ_C_EPB_WRN_BAT_NOTUSE2</v>
      </c>
      <c r="AR10" s="72" t="str">
        <f t="shared" si="3"/>
        <v xml:space="preserve">    (U4)0x0200000AU,                                                           /* 04 NOTUSE2                                         */</v>
      </c>
      <c r="AS10" s="72" t="str">
        <f t="shared" si="4"/>
        <v xml:space="preserve">    (U4)0x0200007FU,                                                           /* 04 NOTUSE2                                         */</v>
      </c>
      <c r="AT10" s="72" t="str">
        <f t="shared" ca="1" si="1"/>
        <v xml:space="preserve">    (U1)ALERT_REQ_C_EPB_WRN_BAT_NOTUSE2,                                       /* 04 NOTUSE2                                         */</v>
      </c>
      <c r="AU10" s="72" t="str">
        <f ca="1">IF($AW$7=1,"        &amp;"&amp;$AW$9&amp;"[0],"&amp;REPT(" ",66-LEN($AW$9))&amp;"/* u4p_MASK                                           */","        (const U4 *)vdp_PTR_NA,                                                /* u4p_MASK                                           */")</f>
        <v xml:space="preserve">        &amp;u4_sp_ALERT_C_EPB_WRN_BAT_MASK[0],                                    /* u4p_MASK                                           */</v>
      </c>
      <c r="AV10" s="58" t="s">
        <v>75</v>
      </c>
      <c r="AW10" s="77" t="str">
        <f ca="1">"ALERT_"&amp;IF(AW6&lt;&gt;AW17,$AW$17&amp;"_"&amp;$AW$6,AW17)&amp;"_NUM_DST"</f>
        <v>ALERT_C_EPB_WRN_BAT_NUM_DST</v>
      </c>
    </row>
    <row r="11" spans="1:49">
      <c r="B11" s="145"/>
      <c r="C11" s="56">
        <f t="shared" si="2"/>
        <v>5</v>
      </c>
      <c r="D11" s="70" t="s">
        <v>70</v>
      </c>
      <c r="E11" s="70" t="s">
        <v>70</v>
      </c>
      <c r="F11" s="70" t="s">
        <v>70</v>
      </c>
      <c r="G11" s="70" t="s">
        <v>70</v>
      </c>
      <c r="H11" s="70" t="s">
        <v>70</v>
      </c>
      <c r="I11" s="70" t="s">
        <v>70</v>
      </c>
      <c r="J11" s="70">
        <v>1</v>
      </c>
      <c r="K11" s="70" t="s">
        <v>244</v>
      </c>
      <c r="L11" s="70" t="s">
        <v>244</v>
      </c>
      <c r="M11" s="70" t="s">
        <v>244</v>
      </c>
      <c r="N11" s="70" t="s">
        <v>244</v>
      </c>
      <c r="O11" s="70" t="s">
        <v>244</v>
      </c>
      <c r="P11" s="70" t="s">
        <v>244</v>
      </c>
      <c r="Q11" s="70" t="s">
        <v>244</v>
      </c>
      <c r="R11" s="70" t="s">
        <v>244</v>
      </c>
      <c r="S11" s="70" t="s">
        <v>244</v>
      </c>
      <c r="T11" s="70" t="s">
        <v>244</v>
      </c>
      <c r="U11" s="70" t="s">
        <v>244</v>
      </c>
      <c r="V11" s="70" t="s">
        <v>244</v>
      </c>
      <c r="W11" s="70" t="s">
        <v>244</v>
      </c>
      <c r="X11" s="70" t="s">
        <v>244</v>
      </c>
      <c r="Y11" s="70" t="s">
        <v>244</v>
      </c>
      <c r="Z11" s="70" t="s">
        <v>244</v>
      </c>
      <c r="AA11" s="70" t="s">
        <v>244</v>
      </c>
      <c r="AB11" s="70" t="s">
        <v>244</v>
      </c>
      <c r="AC11" s="70">
        <v>0</v>
      </c>
      <c r="AD11" s="70">
        <v>0</v>
      </c>
      <c r="AE11" s="143">
        <v>0</v>
      </c>
      <c r="AF11" s="143">
        <v>1</v>
      </c>
      <c r="AG11" s="143">
        <v>1</v>
      </c>
      <c r="AH11" s="143">
        <v>0</v>
      </c>
      <c r="AI11" s="143">
        <v>0</v>
      </c>
      <c r="AJ11" s="60" t="s">
        <v>240</v>
      </c>
      <c r="AL11" t="str">
        <f t="shared" ca="1" si="0"/>
        <v xml:space="preserve">    (U1)ALERT_REQ_C_EPB_WRN_BAT_STOPPED</v>
      </c>
      <c r="AR11" s="72" t="str">
        <f t="shared" si="3"/>
        <v xml:space="preserve">    (U4)0x0200000CU                                                            /* 05 STOPPED                                         */</v>
      </c>
      <c r="AS11" s="72" t="str">
        <f t="shared" si="4"/>
        <v xml:space="preserve">    (U4)0x0200007FU                                                            /* 05 STOPPED                                         */</v>
      </c>
      <c r="AT11" s="72" t="str">
        <f t="shared" ca="1" si="1"/>
        <v xml:space="preserve">    (U1)ALERT_REQ_C_EPB_WRN_BAT_STOPPED                                        /* 05 STOPPED                                         */</v>
      </c>
      <c r="AU11" s="72" t="str">
        <f ca="1">IF($AW$7=1,"        &amp;"&amp;$AW$8&amp;"[0],"&amp;REPT(" ",66-LEN($AW$8))&amp;"/* u4p_CRIT                                           */","        (const U4 *)vdp_PTR_NA,                                                /* u4p_CRIT                                           */")</f>
        <v xml:space="preserve">        &amp;u4_sp_ALERT_C_EPB_WRN_BAT_CRIT[0],                                    /* u4p_CRIT                                           */</v>
      </c>
      <c r="AV11" s="58" t="s">
        <v>76</v>
      </c>
      <c r="AW11" s="77" t="str">
        <f ca="1">"u1_sp_ALERT_"&amp;IF(AW6&lt;&gt;AW17,$AW$17&amp;"_"&amp;$AW$6,AW17)&amp;"_DST"</f>
        <v>u1_sp_ALERT_C_EPB_WRN_BAT_DST</v>
      </c>
    </row>
    <row r="12" spans="1:49">
      <c r="B12" s="145"/>
      <c r="C12" s="56">
        <f t="shared" si="2"/>
        <v>6</v>
      </c>
      <c r="D12" s="70" t="s">
        <v>70</v>
      </c>
      <c r="E12" s="70" t="s">
        <v>70</v>
      </c>
      <c r="F12" s="70" t="s">
        <v>70</v>
      </c>
      <c r="G12" s="70" t="s">
        <v>70</v>
      </c>
      <c r="H12" s="70" t="s">
        <v>70</v>
      </c>
      <c r="I12" s="70" t="s">
        <v>70</v>
      </c>
      <c r="J12" s="70" t="s">
        <v>70</v>
      </c>
      <c r="K12" s="70" t="s">
        <v>70</v>
      </c>
      <c r="L12" s="70" t="s">
        <v>70</v>
      </c>
      <c r="M12" s="70" t="s">
        <v>70</v>
      </c>
      <c r="N12" s="70" t="s">
        <v>70</v>
      </c>
      <c r="O12" s="70" t="s">
        <v>70</v>
      </c>
      <c r="P12" s="70" t="s">
        <v>70</v>
      </c>
      <c r="Q12" s="70" t="s">
        <v>70</v>
      </c>
      <c r="R12" s="70" t="s">
        <v>70</v>
      </c>
      <c r="S12" s="70" t="s">
        <v>70</v>
      </c>
      <c r="T12" s="70" t="s">
        <v>70</v>
      </c>
      <c r="U12" s="70" t="s">
        <v>70</v>
      </c>
      <c r="V12" s="70" t="s">
        <v>70</v>
      </c>
      <c r="W12" s="70" t="s">
        <v>70</v>
      </c>
      <c r="X12" s="70" t="s">
        <v>70</v>
      </c>
      <c r="Y12" s="70" t="s">
        <v>70</v>
      </c>
      <c r="Z12" s="70" t="s">
        <v>70</v>
      </c>
      <c r="AA12" s="70" t="s">
        <v>70</v>
      </c>
      <c r="AB12" s="70" t="s">
        <v>70</v>
      </c>
      <c r="AC12" s="70" t="s">
        <v>70</v>
      </c>
      <c r="AD12" s="70" t="s">
        <v>70</v>
      </c>
      <c r="AE12" s="70" t="s">
        <v>70</v>
      </c>
      <c r="AF12" s="70" t="s">
        <v>70</v>
      </c>
      <c r="AG12" s="70" t="s">
        <v>70</v>
      </c>
      <c r="AH12" s="70" t="s">
        <v>70</v>
      </c>
      <c r="AI12" s="70" t="s">
        <v>70</v>
      </c>
      <c r="AJ12" s="60"/>
      <c r="AL12" t="str">
        <f t="shared" ca="1" si="0"/>
        <v xml:space="preserve">    (U1)ALERT_REQ_C_EPB_WRN_BAT_</v>
      </c>
      <c r="AR12" s="72" t="str">
        <f t="shared" si="3"/>
        <v>};</v>
      </c>
      <c r="AS12" s="72" t="str">
        <f t="shared" si="4"/>
        <v>};</v>
      </c>
      <c r="AT12" s="72" t="str">
        <f t="shared" si="1"/>
        <v>};</v>
      </c>
      <c r="AU12" s="72"/>
      <c r="AV12" s="58" t="s">
        <v>88</v>
      </c>
      <c r="AW12" s="77" t="str">
        <f ca="1">Matrix!D8&amp;"["&amp;Matrix!D7&amp;"]"</f>
        <v>st_gp_ALERT_C_EPB_MTRX[3]</v>
      </c>
    </row>
    <row r="13" spans="1:49">
      <c r="B13" s="145"/>
      <c r="C13" s="56">
        <f t="shared" si="2"/>
        <v>7</v>
      </c>
      <c r="D13" s="70" t="s">
        <v>70</v>
      </c>
      <c r="E13" s="70" t="s">
        <v>70</v>
      </c>
      <c r="F13" s="70" t="s">
        <v>70</v>
      </c>
      <c r="G13" s="70" t="s">
        <v>70</v>
      </c>
      <c r="H13" s="70" t="s">
        <v>70</v>
      </c>
      <c r="I13" s="70" t="s">
        <v>70</v>
      </c>
      <c r="J13" s="70" t="s">
        <v>70</v>
      </c>
      <c r="K13" s="70" t="s">
        <v>70</v>
      </c>
      <c r="L13" s="70" t="s">
        <v>70</v>
      </c>
      <c r="M13" s="70" t="s">
        <v>70</v>
      </c>
      <c r="N13" s="70" t="s">
        <v>70</v>
      </c>
      <c r="O13" s="70" t="s">
        <v>70</v>
      </c>
      <c r="P13" s="70" t="s">
        <v>70</v>
      </c>
      <c r="Q13" s="70" t="s">
        <v>70</v>
      </c>
      <c r="R13" s="70" t="s">
        <v>70</v>
      </c>
      <c r="S13" s="70" t="s">
        <v>70</v>
      </c>
      <c r="T13" s="70" t="s">
        <v>70</v>
      </c>
      <c r="U13" s="70" t="s">
        <v>70</v>
      </c>
      <c r="V13" s="70" t="s">
        <v>70</v>
      </c>
      <c r="W13" s="70" t="s">
        <v>70</v>
      </c>
      <c r="X13" s="70" t="s">
        <v>70</v>
      </c>
      <c r="Y13" s="70" t="s">
        <v>70</v>
      </c>
      <c r="Z13" s="70" t="s">
        <v>70</v>
      </c>
      <c r="AA13" s="70" t="s">
        <v>70</v>
      </c>
      <c r="AB13" s="70" t="s">
        <v>70</v>
      </c>
      <c r="AC13" s="70" t="s">
        <v>70</v>
      </c>
      <c r="AD13" s="70" t="s">
        <v>70</v>
      </c>
      <c r="AE13" s="70" t="s">
        <v>70</v>
      </c>
      <c r="AF13" s="70" t="s">
        <v>70</v>
      </c>
      <c r="AG13" s="70" t="s">
        <v>70</v>
      </c>
      <c r="AH13" s="70" t="s">
        <v>70</v>
      </c>
      <c r="AI13" s="70" t="s">
        <v>70</v>
      </c>
      <c r="AJ13" s="60"/>
      <c r="AL13" t="str">
        <f t="shared" ca="1" si="0"/>
        <v xml:space="preserve">    (U1)ALERT_REQ_C_EPB_WRN_BAT_</v>
      </c>
      <c r="AR13" s="72" t="str">
        <f t="shared" si="3"/>
        <v/>
      </c>
      <c r="AS13" s="72" t="str">
        <f t="shared" si="4"/>
        <v/>
      </c>
      <c r="AT13" s="72" t="str">
        <f t="shared" si="1"/>
        <v/>
      </c>
      <c r="AU13" s="72" t="str">
        <f ca="1">"        &amp;"&amp;$AW$11&amp;"[0],"&amp;REPT(" ",66-LEN($AW$11))&amp;"/* u1p_DST                                            */"</f>
        <v xml:space="preserve">        &amp;u1_sp_ALERT_C_EPB_WRN_BAT_DST[0],                                     /* u1p_DST                                            */</v>
      </c>
      <c r="AV13" s="58" t="s">
        <v>77</v>
      </c>
      <c r="AW13" s="144">
        <f>COUNTA($AJ$6:$AJ$69)</f>
        <v>6</v>
      </c>
    </row>
    <row r="14" spans="1:49">
      <c r="B14" s="145"/>
      <c r="C14" s="56">
        <f t="shared" si="2"/>
        <v>8</v>
      </c>
      <c r="D14" s="70" t="s">
        <v>70</v>
      </c>
      <c r="E14" s="70" t="s">
        <v>70</v>
      </c>
      <c r="F14" s="70" t="s">
        <v>70</v>
      </c>
      <c r="G14" s="70" t="s">
        <v>70</v>
      </c>
      <c r="H14" s="70" t="s">
        <v>70</v>
      </c>
      <c r="I14" s="70" t="s">
        <v>70</v>
      </c>
      <c r="J14" s="70" t="s">
        <v>70</v>
      </c>
      <c r="K14" s="70" t="s">
        <v>70</v>
      </c>
      <c r="L14" s="70" t="s">
        <v>70</v>
      </c>
      <c r="M14" s="70" t="s">
        <v>70</v>
      </c>
      <c r="N14" s="70" t="s">
        <v>70</v>
      </c>
      <c r="O14" s="70" t="s">
        <v>70</v>
      </c>
      <c r="P14" s="70" t="s">
        <v>70</v>
      </c>
      <c r="Q14" s="70" t="s">
        <v>70</v>
      </c>
      <c r="R14" s="70" t="s">
        <v>70</v>
      </c>
      <c r="S14" s="70" t="s">
        <v>70</v>
      </c>
      <c r="T14" s="70" t="s">
        <v>70</v>
      </c>
      <c r="U14" s="70" t="s">
        <v>70</v>
      </c>
      <c r="V14" s="70" t="s">
        <v>70</v>
      </c>
      <c r="W14" s="70" t="s">
        <v>70</v>
      </c>
      <c r="X14" s="70" t="s">
        <v>70</v>
      </c>
      <c r="Y14" s="70" t="s">
        <v>70</v>
      </c>
      <c r="Z14" s="70" t="s">
        <v>70</v>
      </c>
      <c r="AA14" s="70" t="s">
        <v>70</v>
      </c>
      <c r="AB14" s="70" t="s">
        <v>70</v>
      </c>
      <c r="AC14" s="70" t="s">
        <v>70</v>
      </c>
      <c r="AD14" s="70" t="s">
        <v>70</v>
      </c>
      <c r="AE14" s="70" t="s">
        <v>70</v>
      </c>
      <c r="AF14" s="70" t="s">
        <v>70</v>
      </c>
      <c r="AG14" s="70" t="s">
        <v>70</v>
      </c>
      <c r="AH14" s="70" t="s">
        <v>70</v>
      </c>
      <c r="AI14" s="70" t="s">
        <v>70</v>
      </c>
      <c r="AJ14" s="60"/>
      <c r="AL14" t="str">
        <f t="shared" ca="1" si="0"/>
        <v xml:space="preserve">    (U1)ALERT_REQ_C_EPB_WRN_BAT_</v>
      </c>
      <c r="AR14" s="72" t="str">
        <f t="shared" si="3"/>
        <v/>
      </c>
      <c r="AS14" s="72" t="str">
        <f t="shared" si="4"/>
        <v/>
      </c>
      <c r="AT14" s="72" t="str">
        <f t="shared" si="1"/>
        <v/>
      </c>
      <c r="AU14" s="72" t="str">
        <f ca="1">"        (U2)"&amp;$AW$10&amp;","&amp;REPT(" ",66-LEN($AW$10))&amp;"/* u2_num_srch                                        */"</f>
        <v xml:space="preserve">        (U2)ALERT_C_EPB_WRN_BAT_NUM_DST,                                       /* u2_num_srch                                        */</v>
      </c>
      <c r="AV14" s="58" t="s">
        <v>78</v>
      </c>
      <c r="AW14" s="77" t="str">
        <f ca="1">IF(AW6&lt;&gt;AW17,VLOOKUP(AW6,Matrix!$C$13:$G$37,4,FALSE),Matrix!F13)</f>
        <v>u4_s_AlertC_epbWrnBatSrcchk</v>
      </c>
    </row>
    <row r="15" spans="1:49">
      <c r="B15" s="145"/>
      <c r="C15" s="56">
        <f t="shared" si="2"/>
        <v>9</v>
      </c>
      <c r="D15" s="70" t="s">
        <v>70</v>
      </c>
      <c r="E15" s="70" t="s">
        <v>70</v>
      </c>
      <c r="F15" s="70" t="s">
        <v>70</v>
      </c>
      <c r="G15" s="70" t="s">
        <v>70</v>
      </c>
      <c r="H15" s="70" t="s">
        <v>70</v>
      </c>
      <c r="I15" s="70" t="s">
        <v>70</v>
      </c>
      <c r="J15" s="70" t="s">
        <v>70</v>
      </c>
      <c r="K15" s="70" t="s">
        <v>70</v>
      </c>
      <c r="L15" s="70" t="s">
        <v>70</v>
      </c>
      <c r="M15" s="70" t="s">
        <v>70</v>
      </c>
      <c r="N15" s="70" t="s">
        <v>70</v>
      </c>
      <c r="O15" s="70" t="s">
        <v>70</v>
      </c>
      <c r="P15" s="70" t="s">
        <v>70</v>
      </c>
      <c r="Q15" s="70" t="s">
        <v>70</v>
      </c>
      <c r="R15" s="70" t="s">
        <v>70</v>
      </c>
      <c r="S15" s="70" t="s">
        <v>70</v>
      </c>
      <c r="T15" s="70" t="s">
        <v>70</v>
      </c>
      <c r="U15" s="70" t="s">
        <v>70</v>
      </c>
      <c r="V15" s="70" t="s">
        <v>70</v>
      </c>
      <c r="W15" s="70" t="s">
        <v>70</v>
      </c>
      <c r="X15" s="70" t="s">
        <v>70</v>
      </c>
      <c r="Y15" s="70" t="s">
        <v>70</v>
      </c>
      <c r="Z15" s="70" t="s">
        <v>70</v>
      </c>
      <c r="AA15" s="70" t="s">
        <v>70</v>
      </c>
      <c r="AB15" s="70" t="s">
        <v>70</v>
      </c>
      <c r="AC15" s="70" t="s">
        <v>70</v>
      </c>
      <c r="AD15" s="70" t="s">
        <v>70</v>
      </c>
      <c r="AE15" s="70" t="s">
        <v>70</v>
      </c>
      <c r="AF15" s="70" t="s">
        <v>70</v>
      </c>
      <c r="AG15" s="70" t="s">
        <v>70</v>
      </c>
      <c r="AH15" s="70" t="s">
        <v>70</v>
      </c>
      <c r="AI15" s="70" t="s">
        <v>70</v>
      </c>
      <c r="AJ15" s="60"/>
      <c r="AL15" t="str">
        <f t="shared" ca="1" si="0"/>
        <v xml:space="preserve">    (U1)ALERT_REQ_C_EPB_WRN_BAT_</v>
      </c>
      <c r="AR15" s="72" t="str">
        <f t="shared" si="3"/>
        <v/>
      </c>
      <c r="AS15" s="72" t="str">
        <f t="shared" si="4"/>
        <v/>
      </c>
      <c r="AT15" s="72" t="str">
        <f t="shared" si="1"/>
        <v/>
      </c>
      <c r="AU15" s="72" t="str">
        <f ca="1">"        (U1)"&amp;$AW$16&amp;REPT(" ",67-LEN($AW$16))&amp;"/* u1_vom_act                                         */"</f>
        <v xml:space="preserve">        (U1)ALERT_VOM_BAT_WT                                                   /* u1_vom_act                                         */</v>
      </c>
      <c r="AV15" s="58" t="s">
        <v>81</v>
      </c>
      <c r="AW15" s="77" t="str">
        <f ca="1">IF(AW6&lt;&gt;AW17,VLOOKUP(AW6,Matrix!$C$13:$G$37,5,FALSE),Matrix!G13)</f>
        <v>NULL</v>
      </c>
    </row>
    <row r="16" spans="1:49">
      <c r="B16" s="145"/>
      <c r="C16" s="56">
        <f t="shared" si="2"/>
        <v>10</v>
      </c>
      <c r="D16" s="70" t="s">
        <v>70</v>
      </c>
      <c r="E16" s="70" t="s">
        <v>70</v>
      </c>
      <c r="F16" s="70" t="s">
        <v>70</v>
      </c>
      <c r="G16" s="70" t="s">
        <v>70</v>
      </c>
      <c r="H16" s="70" t="s">
        <v>70</v>
      </c>
      <c r="I16" s="70" t="s">
        <v>70</v>
      </c>
      <c r="J16" s="70" t="s">
        <v>70</v>
      </c>
      <c r="K16" s="70" t="s">
        <v>70</v>
      </c>
      <c r="L16" s="70" t="s">
        <v>70</v>
      </c>
      <c r="M16" s="70" t="s">
        <v>70</v>
      </c>
      <c r="N16" s="70" t="s">
        <v>70</v>
      </c>
      <c r="O16" s="70" t="s">
        <v>70</v>
      </c>
      <c r="P16" s="70" t="s">
        <v>70</v>
      </c>
      <c r="Q16" s="70" t="s">
        <v>70</v>
      </c>
      <c r="R16" s="70" t="s">
        <v>70</v>
      </c>
      <c r="S16" s="70" t="s">
        <v>70</v>
      </c>
      <c r="T16" s="70" t="s">
        <v>70</v>
      </c>
      <c r="U16" s="70" t="s">
        <v>70</v>
      </c>
      <c r="V16" s="70" t="s">
        <v>70</v>
      </c>
      <c r="W16" s="70" t="s">
        <v>70</v>
      </c>
      <c r="X16" s="70" t="s">
        <v>70</v>
      </c>
      <c r="Y16" s="70" t="s">
        <v>70</v>
      </c>
      <c r="Z16" s="70" t="s">
        <v>70</v>
      </c>
      <c r="AA16" s="70" t="s">
        <v>70</v>
      </c>
      <c r="AB16" s="70" t="s">
        <v>70</v>
      </c>
      <c r="AC16" s="70" t="s">
        <v>70</v>
      </c>
      <c r="AD16" s="70" t="s">
        <v>70</v>
      </c>
      <c r="AE16" s="70" t="s">
        <v>70</v>
      </c>
      <c r="AF16" s="70" t="s">
        <v>70</v>
      </c>
      <c r="AG16" s="70" t="s">
        <v>70</v>
      </c>
      <c r="AH16" s="70" t="s">
        <v>70</v>
      </c>
      <c r="AI16" s="70" t="s">
        <v>70</v>
      </c>
      <c r="AJ16" s="60"/>
      <c r="AL16" t="str">
        <f t="shared" ca="1" si="0"/>
        <v xml:space="preserve">    (U1)ALERT_REQ_C_EPB_WRN_BAT_</v>
      </c>
      <c r="AR16" s="72" t="str">
        <f t="shared" si="3"/>
        <v/>
      </c>
      <c r="AS16" s="72" t="str">
        <f t="shared" si="4"/>
        <v/>
      </c>
      <c r="AT16" s="72" t="str">
        <f t="shared" si="1"/>
        <v/>
      </c>
      <c r="AU16" s="72" t="s">
        <v>308</v>
      </c>
      <c r="AV16" s="58" t="s">
        <v>79</v>
      </c>
      <c r="AW16" s="77" t="str">
        <f ca="1">IF(AW6&lt;&gt;AW17,VLOOKUP(AW6,Matrix!$C$13:$G$37,2,FALSE),Matrix!D13)</f>
        <v>ALERT_VOM_BAT_WT</v>
      </c>
    </row>
    <row r="17" spans="2:49" ht="13.5" thickBot="1">
      <c r="B17" s="145"/>
      <c r="C17" s="56">
        <f t="shared" si="2"/>
        <v>11</v>
      </c>
      <c r="D17" s="70" t="s">
        <v>70</v>
      </c>
      <c r="E17" s="70" t="s">
        <v>70</v>
      </c>
      <c r="F17" s="70" t="s">
        <v>70</v>
      </c>
      <c r="G17" s="70" t="s">
        <v>70</v>
      </c>
      <c r="H17" s="70" t="s">
        <v>70</v>
      </c>
      <c r="I17" s="70" t="s">
        <v>70</v>
      </c>
      <c r="J17" s="70" t="s">
        <v>70</v>
      </c>
      <c r="K17" s="70" t="s">
        <v>70</v>
      </c>
      <c r="L17" s="70" t="s">
        <v>70</v>
      </c>
      <c r="M17" s="70" t="s">
        <v>70</v>
      </c>
      <c r="N17" s="70" t="s">
        <v>70</v>
      </c>
      <c r="O17" s="70" t="s">
        <v>70</v>
      </c>
      <c r="P17" s="70" t="s">
        <v>70</v>
      </c>
      <c r="Q17" s="70" t="s">
        <v>70</v>
      </c>
      <c r="R17" s="70" t="s">
        <v>70</v>
      </c>
      <c r="S17" s="70" t="s">
        <v>70</v>
      </c>
      <c r="T17" s="70" t="s">
        <v>70</v>
      </c>
      <c r="U17" s="70" t="s">
        <v>70</v>
      </c>
      <c r="V17" s="70" t="s">
        <v>70</v>
      </c>
      <c r="W17" s="70" t="s">
        <v>70</v>
      </c>
      <c r="X17" s="70" t="s">
        <v>70</v>
      </c>
      <c r="Y17" s="70" t="s">
        <v>70</v>
      </c>
      <c r="Z17" s="70" t="s">
        <v>70</v>
      </c>
      <c r="AA17" s="70" t="s">
        <v>70</v>
      </c>
      <c r="AB17" s="70" t="s">
        <v>70</v>
      </c>
      <c r="AC17" s="70" t="s">
        <v>70</v>
      </c>
      <c r="AD17" s="70" t="s">
        <v>70</v>
      </c>
      <c r="AE17" s="70" t="s">
        <v>70</v>
      </c>
      <c r="AF17" s="70" t="s">
        <v>70</v>
      </c>
      <c r="AG17" s="70" t="s">
        <v>70</v>
      </c>
      <c r="AH17" s="70" t="s">
        <v>70</v>
      </c>
      <c r="AI17" s="70" t="s">
        <v>70</v>
      </c>
      <c r="AJ17" s="60"/>
      <c r="AL17" t="str">
        <f t="shared" ca="1" si="0"/>
        <v xml:space="preserve">    (U1)ALERT_REQ_C_EPB_WRN_BAT_</v>
      </c>
      <c r="AR17" s="72" t="str">
        <f t="shared" si="3"/>
        <v/>
      </c>
      <c r="AS17" s="72" t="str">
        <f t="shared" si="4"/>
        <v/>
      </c>
      <c r="AT17" s="72" t="str">
        <f t="shared" si="1"/>
        <v/>
      </c>
      <c r="AU17" s="73" t="s">
        <v>309</v>
      </c>
      <c r="AV17" s="59" t="s">
        <v>80</v>
      </c>
      <c r="AW17" s="78" t="str">
        <f ca="1">UPPER(Matrix!$D$6)</f>
        <v>C_EPB</v>
      </c>
    </row>
    <row r="18" spans="2:49">
      <c r="B18" s="145"/>
      <c r="C18" s="56">
        <f t="shared" si="2"/>
        <v>12</v>
      </c>
      <c r="D18" s="70" t="s">
        <v>70</v>
      </c>
      <c r="E18" s="70" t="s">
        <v>70</v>
      </c>
      <c r="F18" s="70" t="s">
        <v>70</v>
      </c>
      <c r="G18" s="70" t="s">
        <v>70</v>
      </c>
      <c r="H18" s="70" t="s">
        <v>70</v>
      </c>
      <c r="I18" s="70" t="s">
        <v>70</v>
      </c>
      <c r="J18" s="70" t="s">
        <v>70</v>
      </c>
      <c r="K18" s="70" t="s">
        <v>70</v>
      </c>
      <c r="L18" s="70" t="s">
        <v>70</v>
      </c>
      <c r="M18" s="70" t="s">
        <v>70</v>
      </c>
      <c r="N18" s="70" t="s">
        <v>70</v>
      </c>
      <c r="O18" s="70" t="s">
        <v>70</v>
      </c>
      <c r="P18" s="70" t="s">
        <v>70</v>
      </c>
      <c r="Q18" s="70" t="s">
        <v>70</v>
      </c>
      <c r="R18" s="70" t="s">
        <v>70</v>
      </c>
      <c r="S18" s="70" t="s">
        <v>70</v>
      </c>
      <c r="T18" s="70" t="s">
        <v>70</v>
      </c>
      <c r="U18" s="70" t="s">
        <v>70</v>
      </c>
      <c r="V18" s="70" t="s">
        <v>70</v>
      </c>
      <c r="W18" s="70" t="s">
        <v>70</v>
      </c>
      <c r="X18" s="70" t="s">
        <v>70</v>
      </c>
      <c r="Y18" s="70" t="s">
        <v>70</v>
      </c>
      <c r="Z18" s="70" t="s">
        <v>70</v>
      </c>
      <c r="AA18" s="70" t="s">
        <v>70</v>
      </c>
      <c r="AB18" s="70" t="s">
        <v>70</v>
      </c>
      <c r="AC18" s="70" t="s">
        <v>70</v>
      </c>
      <c r="AD18" s="70" t="s">
        <v>70</v>
      </c>
      <c r="AE18" s="70" t="s">
        <v>70</v>
      </c>
      <c r="AF18" s="70" t="s">
        <v>70</v>
      </c>
      <c r="AG18" s="70" t="s">
        <v>70</v>
      </c>
      <c r="AH18" s="70" t="s">
        <v>70</v>
      </c>
      <c r="AI18" s="70" t="s">
        <v>70</v>
      </c>
      <c r="AJ18" s="60"/>
      <c r="AL18" t="str">
        <f t="shared" ca="1" si="0"/>
        <v xml:space="preserve">    (U1)ALERT_REQ_C_EPB_WRN_BAT_</v>
      </c>
      <c r="AR18" s="72" t="str">
        <f t="shared" si="3"/>
        <v/>
      </c>
      <c r="AS18" s="72" t="str">
        <f t="shared" si="4"/>
        <v/>
      </c>
      <c r="AT18" s="72" t="str">
        <f t="shared" si="1"/>
        <v/>
      </c>
    </row>
    <row r="19" spans="2:49">
      <c r="B19" s="145"/>
      <c r="C19" s="56">
        <f t="shared" si="2"/>
        <v>13</v>
      </c>
      <c r="D19" s="70" t="s">
        <v>70</v>
      </c>
      <c r="E19" s="70" t="s">
        <v>70</v>
      </c>
      <c r="F19" s="70" t="s">
        <v>70</v>
      </c>
      <c r="G19" s="70" t="s">
        <v>70</v>
      </c>
      <c r="H19" s="70" t="s">
        <v>70</v>
      </c>
      <c r="I19" s="70" t="s">
        <v>70</v>
      </c>
      <c r="J19" s="70" t="s">
        <v>70</v>
      </c>
      <c r="K19" s="70" t="s">
        <v>70</v>
      </c>
      <c r="L19" s="70" t="s">
        <v>70</v>
      </c>
      <c r="M19" s="70" t="s">
        <v>70</v>
      </c>
      <c r="N19" s="70" t="s">
        <v>70</v>
      </c>
      <c r="O19" s="70" t="s">
        <v>70</v>
      </c>
      <c r="P19" s="70" t="s">
        <v>70</v>
      </c>
      <c r="Q19" s="70" t="s">
        <v>70</v>
      </c>
      <c r="R19" s="70" t="s">
        <v>70</v>
      </c>
      <c r="S19" s="70" t="s">
        <v>70</v>
      </c>
      <c r="T19" s="70" t="s">
        <v>70</v>
      </c>
      <c r="U19" s="70" t="s">
        <v>70</v>
      </c>
      <c r="V19" s="70" t="s">
        <v>70</v>
      </c>
      <c r="W19" s="70" t="s">
        <v>70</v>
      </c>
      <c r="X19" s="70" t="s">
        <v>70</v>
      </c>
      <c r="Y19" s="70" t="s">
        <v>70</v>
      </c>
      <c r="Z19" s="70" t="s">
        <v>70</v>
      </c>
      <c r="AA19" s="70" t="s">
        <v>70</v>
      </c>
      <c r="AB19" s="70" t="s">
        <v>70</v>
      </c>
      <c r="AC19" s="70" t="s">
        <v>70</v>
      </c>
      <c r="AD19" s="70" t="s">
        <v>70</v>
      </c>
      <c r="AE19" s="70" t="s">
        <v>70</v>
      </c>
      <c r="AF19" s="70" t="s">
        <v>70</v>
      </c>
      <c r="AG19" s="70" t="s">
        <v>70</v>
      </c>
      <c r="AH19" s="70" t="s">
        <v>70</v>
      </c>
      <c r="AI19" s="70" t="s">
        <v>70</v>
      </c>
      <c r="AJ19" s="60"/>
      <c r="AL19" t="str">
        <f t="shared" ca="1" si="0"/>
        <v xml:space="preserve">    (U1)ALERT_REQ_C_EPB_WRN_BAT_</v>
      </c>
      <c r="AR19" s="72" t="str">
        <f t="shared" si="3"/>
        <v/>
      </c>
      <c r="AS19" s="72" t="str">
        <f t="shared" si="4"/>
        <v/>
      </c>
      <c r="AT19" s="72" t="str">
        <f t="shared" si="1"/>
        <v/>
      </c>
    </row>
    <row r="20" spans="2:49">
      <c r="B20" s="145"/>
      <c r="C20" s="56">
        <f t="shared" si="2"/>
        <v>14</v>
      </c>
      <c r="D20" s="70" t="s">
        <v>70</v>
      </c>
      <c r="E20" s="70" t="s">
        <v>70</v>
      </c>
      <c r="F20" s="70" t="s">
        <v>70</v>
      </c>
      <c r="G20" s="70" t="s">
        <v>70</v>
      </c>
      <c r="H20" s="70" t="s">
        <v>70</v>
      </c>
      <c r="I20" s="70" t="s">
        <v>70</v>
      </c>
      <c r="J20" s="70" t="s">
        <v>70</v>
      </c>
      <c r="K20" s="70" t="s">
        <v>70</v>
      </c>
      <c r="L20" s="70" t="s">
        <v>70</v>
      </c>
      <c r="M20" s="70" t="s">
        <v>70</v>
      </c>
      <c r="N20" s="70" t="s">
        <v>70</v>
      </c>
      <c r="O20" s="70" t="s">
        <v>70</v>
      </c>
      <c r="P20" s="70" t="s">
        <v>70</v>
      </c>
      <c r="Q20" s="70" t="s">
        <v>70</v>
      </c>
      <c r="R20" s="70" t="s">
        <v>70</v>
      </c>
      <c r="S20" s="70" t="s">
        <v>70</v>
      </c>
      <c r="T20" s="70" t="s">
        <v>70</v>
      </c>
      <c r="U20" s="70" t="s">
        <v>70</v>
      </c>
      <c r="V20" s="70" t="s">
        <v>70</v>
      </c>
      <c r="W20" s="70" t="s">
        <v>70</v>
      </c>
      <c r="X20" s="70" t="s">
        <v>70</v>
      </c>
      <c r="Y20" s="70" t="s">
        <v>70</v>
      </c>
      <c r="Z20" s="70" t="s">
        <v>70</v>
      </c>
      <c r="AA20" s="70" t="s">
        <v>70</v>
      </c>
      <c r="AB20" s="70" t="s">
        <v>70</v>
      </c>
      <c r="AC20" s="70" t="s">
        <v>70</v>
      </c>
      <c r="AD20" s="70" t="s">
        <v>70</v>
      </c>
      <c r="AE20" s="70" t="s">
        <v>70</v>
      </c>
      <c r="AF20" s="70" t="s">
        <v>70</v>
      </c>
      <c r="AG20" s="70" t="s">
        <v>70</v>
      </c>
      <c r="AH20" s="70" t="s">
        <v>70</v>
      </c>
      <c r="AI20" s="70" t="s">
        <v>70</v>
      </c>
      <c r="AJ20" s="60"/>
      <c r="AL20" t="str">
        <f t="shared" ca="1" si="0"/>
        <v xml:space="preserve">    (U1)ALERT_REQ_C_EPB_WRN_BAT_</v>
      </c>
      <c r="AR20" s="72" t="str">
        <f t="shared" si="3"/>
        <v/>
      </c>
      <c r="AS20" s="72" t="str">
        <f t="shared" si="4"/>
        <v/>
      </c>
      <c r="AT20" s="72" t="str">
        <f t="shared" si="1"/>
        <v/>
      </c>
    </row>
    <row r="21" spans="2:49">
      <c r="B21" s="145"/>
      <c r="C21" s="56">
        <f t="shared" si="2"/>
        <v>15</v>
      </c>
      <c r="D21" s="70" t="s">
        <v>70</v>
      </c>
      <c r="E21" s="70" t="s">
        <v>70</v>
      </c>
      <c r="F21" s="70" t="s">
        <v>70</v>
      </c>
      <c r="G21" s="70" t="s">
        <v>70</v>
      </c>
      <c r="H21" s="70" t="s">
        <v>70</v>
      </c>
      <c r="I21" s="70" t="s">
        <v>70</v>
      </c>
      <c r="J21" s="70" t="s">
        <v>70</v>
      </c>
      <c r="K21" s="70" t="s">
        <v>70</v>
      </c>
      <c r="L21" s="70" t="s">
        <v>70</v>
      </c>
      <c r="M21" s="70" t="s">
        <v>70</v>
      </c>
      <c r="N21" s="70" t="s">
        <v>70</v>
      </c>
      <c r="O21" s="70" t="s">
        <v>70</v>
      </c>
      <c r="P21" s="70" t="s">
        <v>70</v>
      </c>
      <c r="Q21" s="70" t="s">
        <v>70</v>
      </c>
      <c r="R21" s="70" t="s">
        <v>70</v>
      </c>
      <c r="S21" s="70" t="s">
        <v>70</v>
      </c>
      <c r="T21" s="70" t="s">
        <v>70</v>
      </c>
      <c r="U21" s="70" t="s">
        <v>70</v>
      </c>
      <c r="V21" s="70" t="s">
        <v>70</v>
      </c>
      <c r="W21" s="70" t="s">
        <v>70</v>
      </c>
      <c r="X21" s="70" t="s">
        <v>70</v>
      </c>
      <c r="Y21" s="70" t="s">
        <v>70</v>
      </c>
      <c r="Z21" s="70" t="s">
        <v>70</v>
      </c>
      <c r="AA21" s="70" t="s">
        <v>70</v>
      </c>
      <c r="AB21" s="70" t="s">
        <v>70</v>
      </c>
      <c r="AC21" s="70" t="s">
        <v>70</v>
      </c>
      <c r="AD21" s="70" t="s">
        <v>70</v>
      </c>
      <c r="AE21" s="70" t="s">
        <v>70</v>
      </c>
      <c r="AF21" s="70" t="s">
        <v>70</v>
      </c>
      <c r="AG21" s="70" t="s">
        <v>70</v>
      </c>
      <c r="AH21" s="70" t="s">
        <v>70</v>
      </c>
      <c r="AI21" s="70" t="s">
        <v>70</v>
      </c>
      <c r="AJ21" s="60"/>
      <c r="AL21" t="str">
        <f t="shared" ca="1" si="0"/>
        <v xml:space="preserve">    (U1)ALERT_REQ_C_EPB_WRN_BAT_</v>
      </c>
      <c r="AR21" s="72" t="str">
        <f t="shared" si="3"/>
        <v/>
      </c>
      <c r="AS21" s="72" t="str">
        <f t="shared" si="4"/>
        <v/>
      </c>
      <c r="AT21" s="72" t="str">
        <f t="shared" si="1"/>
        <v/>
      </c>
    </row>
    <row r="22" spans="2:49">
      <c r="B22" s="145"/>
      <c r="C22" s="56">
        <f t="shared" si="2"/>
        <v>16</v>
      </c>
      <c r="D22" s="70" t="s">
        <v>70</v>
      </c>
      <c r="E22" s="70" t="s">
        <v>70</v>
      </c>
      <c r="F22" s="70" t="s">
        <v>70</v>
      </c>
      <c r="G22" s="70" t="s">
        <v>70</v>
      </c>
      <c r="H22" s="70" t="s">
        <v>70</v>
      </c>
      <c r="I22" s="70" t="s">
        <v>70</v>
      </c>
      <c r="J22" s="70" t="s">
        <v>70</v>
      </c>
      <c r="K22" s="70" t="s">
        <v>70</v>
      </c>
      <c r="L22" s="70" t="s">
        <v>70</v>
      </c>
      <c r="M22" s="70" t="s">
        <v>70</v>
      </c>
      <c r="N22" s="70" t="s">
        <v>70</v>
      </c>
      <c r="O22" s="70" t="s">
        <v>70</v>
      </c>
      <c r="P22" s="70" t="s">
        <v>70</v>
      </c>
      <c r="Q22" s="70" t="s">
        <v>70</v>
      </c>
      <c r="R22" s="70" t="s">
        <v>70</v>
      </c>
      <c r="S22" s="70" t="s">
        <v>70</v>
      </c>
      <c r="T22" s="70" t="s">
        <v>70</v>
      </c>
      <c r="U22" s="70" t="s">
        <v>70</v>
      </c>
      <c r="V22" s="70" t="s">
        <v>70</v>
      </c>
      <c r="W22" s="70" t="s">
        <v>70</v>
      </c>
      <c r="X22" s="70" t="s">
        <v>70</v>
      </c>
      <c r="Y22" s="70" t="s">
        <v>70</v>
      </c>
      <c r="Z22" s="70" t="s">
        <v>70</v>
      </c>
      <c r="AA22" s="70" t="s">
        <v>70</v>
      </c>
      <c r="AB22" s="70" t="s">
        <v>70</v>
      </c>
      <c r="AC22" s="70" t="s">
        <v>70</v>
      </c>
      <c r="AD22" s="70" t="s">
        <v>70</v>
      </c>
      <c r="AE22" s="70" t="s">
        <v>70</v>
      </c>
      <c r="AF22" s="70" t="s">
        <v>70</v>
      </c>
      <c r="AG22" s="70" t="s">
        <v>70</v>
      </c>
      <c r="AH22" s="70" t="s">
        <v>70</v>
      </c>
      <c r="AI22" s="70" t="s">
        <v>70</v>
      </c>
      <c r="AJ22" s="60"/>
      <c r="AL22" t="str">
        <f t="shared" ca="1" si="0"/>
        <v xml:space="preserve">    (U1)ALERT_REQ_C_EPB_WRN_BAT_</v>
      </c>
      <c r="AR22" s="72" t="str">
        <f t="shared" si="3"/>
        <v/>
      </c>
      <c r="AS22" s="72" t="str">
        <f t="shared" si="4"/>
        <v/>
      </c>
      <c r="AT22" s="72" t="str">
        <f t="shared" si="1"/>
        <v/>
      </c>
    </row>
    <row r="23" spans="2:49">
      <c r="B23" s="145"/>
      <c r="C23" s="56">
        <f t="shared" si="2"/>
        <v>17</v>
      </c>
      <c r="D23" s="70" t="s">
        <v>70</v>
      </c>
      <c r="E23" s="70" t="s">
        <v>70</v>
      </c>
      <c r="F23" s="70" t="s">
        <v>70</v>
      </c>
      <c r="G23" s="70" t="s">
        <v>70</v>
      </c>
      <c r="H23" s="70" t="s">
        <v>70</v>
      </c>
      <c r="I23" s="70" t="s">
        <v>70</v>
      </c>
      <c r="J23" s="70" t="s">
        <v>70</v>
      </c>
      <c r="K23" s="70" t="s">
        <v>70</v>
      </c>
      <c r="L23" s="70" t="s">
        <v>70</v>
      </c>
      <c r="M23" s="70" t="s">
        <v>70</v>
      </c>
      <c r="N23" s="70" t="s">
        <v>70</v>
      </c>
      <c r="O23" s="70" t="s">
        <v>70</v>
      </c>
      <c r="P23" s="70" t="s">
        <v>70</v>
      </c>
      <c r="Q23" s="70" t="s">
        <v>70</v>
      </c>
      <c r="R23" s="70" t="s">
        <v>70</v>
      </c>
      <c r="S23" s="70" t="s">
        <v>70</v>
      </c>
      <c r="T23" s="70" t="s">
        <v>70</v>
      </c>
      <c r="U23" s="70" t="s">
        <v>70</v>
      </c>
      <c r="V23" s="70" t="s">
        <v>70</v>
      </c>
      <c r="W23" s="70" t="s">
        <v>70</v>
      </c>
      <c r="X23" s="70" t="s">
        <v>70</v>
      </c>
      <c r="Y23" s="70" t="s">
        <v>70</v>
      </c>
      <c r="Z23" s="70" t="s">
        <v>70</v>
      </c>
      <c r="AA23" s="70" t="s">
        <v>70</v>
      </c>
      <c r="AB23" s="70" t="s">
        <v>70</v>
      </c>
      <c r="AC23" s="70" t="s">
        <v>70</v>
      </c>
      <c r="AD23" s="70" t="s">
        <v>70</v>
      </c>
      <c r="AE23" s="70" t="s">
        <v>70</v>
      </c>
      <c r="AF23" s="70" t="s">
        <v>70</v>
      </c>
      <c r="AG23" s="70" t="s">
        <v>70</v>
      </c>
      <c r="AH23" s="70" t="s">
        <v>70</v>
      </c>
      <c r="AI23" s="70" t="s">
        <v>70</v>
      </c>
      <c r="AJ23" s="60"/>
      <c r="AL23" t="str">
        <f t="shared" ca="1" si="0"/>
        <v xml:space="preserve">    (U1)ALERT_REQ_C_EPB_WRN_BAT_</v>
      </c>
      <c r="AR23" s="72" t="str">
        <f t="shared" si="3"/>
        <v/>
      </c>
      <c r="AS23" s="72" t="str">
        <f t="shared" si="4"/>
        <v/>
      </c>
      <c r="AT23" s="72" t="str">
        <f t="shared" si="1"/>
        <v/>
      </c>
    </row>
    <row r="24" spans="2:49">
      <c r="B24" s="145"/>
      <c r="C24" s="56">
        <f t="shared" si="2"/>
        <v>18</v>
      </c>
      <c r="D24" s="70" t="s">
        <v>70</v>
      </c>
      <c r="E24" s="70" t="s">
        <v>70</v>
      </c>
      <c r="F24" s="70" t="s">
        <v>70</v>
      </c>
      <c r="G24" s="70" t="s">
        <v>70</v>
      </c>
      <c r="H24" s="70" t="s">
        <v>70</v>
      </c>
      <c r="I24" s="70" t="s">
        <v>70</v>
      </c>
      <c r="J24" s="70" t="s">
        <v>70</v>
      </c>
      <c r="K24" s="70" t="s">
        <v>70</v>
      </c>
      <c r="L24" s="70" t="s">
        <v>70</v>
      </c>
      <c r="M24" s="70" t="s">
        <v>70</v>
      </c>
      <c r="N24" s="70" t="s">
        <v>70</v>
      </c>
      <c r="O24" s="70" t="s">
        <v>70</v>
      </c>
      <c r="P24" s="70" t="s">
        <v>70</v>
      </c>
      <c r="Q24" s="70" t="s">
        <v>70</v>
      </c>
      <c r="R24" s="70" t="s">
        <v>70</v>
      </c>
      <c r="S24" s="70" t="s">
        <v>70</v>
      </c>
      <c r="T24" s="70" t="s">
        <v>70</v>
      </c>
      <c r="U24" s="70" t="s">
        <v>70</v>
      </c>
      <c r="V24" s="70" t="s">
        <v>70</v>
      </c>
      <c r="W24" s="70" t="s">
        <v>70</v>
      </c>
      <c r="X24" s="70" t="s">
        <v>70</v>
      </c>
      <c r="Y24" s="70" t="s">
        <v>70</v>
      </c>
      <c r="Z24" s="70" t="s">
        <v>70</v>
      </c>
      <c r="AA24" s="70" t="s">
        <v>70</v>
      </c>
      <c r="AB24" s="70" t="s">
        <v>70</v>
      </c>
      <c r="AC24" s="70" t="s">
        <v>70</v>
      </c>
      <c r="AD24" s="70" t="s">
        <v>70</v>
      </c>
      <c r="AE24" s="70" t="s">
        <v>70</v>
      </c>
      <c r="AF24" s="70" t="s">
        <v>70</v>
      </c>
      <c r="AG24" s="70" t="s">
        <v>70</v>
      </c>
      <c r="AH24" s="70" t="s">
        <v>70</v>
      </c>
      <c r="AI24" s="70" t="s">
        <v>70</v>
      </c>
      <c r="AJ24" s="60"/>
      <c r="AL24" t="str">
        <f t="shared" ca="1" si="0"/>
        <v xml:space="preserve">    (U1)ALERT_REQ_C_EPB_WRN_BAT_</v>
      </c>
      <c r="AR24" s="72" t="str">
        <f t="shared" si="3"/>
        <v/>
      </c>
      <c r="AS24" s="72" t="str">
        <f t="shared" si="4"/>
        <v/>
      </c>
      <c r="AT24" s="72" t="str">
        <f t="shared" si="1"/>
        <v/>
      </c>
    </row>
    <row r="25" spans="2:49">
      <c r="B25" s="145"/>
      <c r="C25" s="56">
        <f t="shared" si="2"/>
        <v>19</v>
      </c>
      <c r="D25" s="70" t="s">
        <v>70</v>
      </c>
      <c r="E25" s="70" t="s">
        <v>70</v>
      </c>
      <c r="F25" s="70" t="s">
        <v>70</v>
      </c>
      <c r="G25" s="70" t="s">
        <v>70</v>
      </c>
      <c r="H25" s="70" t="s">
        <v>70</v>
      </c>
      <c r="I25" s="70" t="s">
        <v>70</v>
      </c>
      <c r="J25" s="70" t="s">
        <v>70</v>
      </c>
      <c r="K25" s="70" t="s">
        <v>70</v>
      </c>
      <c r="L25" s="70" t="s">
        <v>70</v>
      </c>
      <c r="M25" s="70" t="s">
        <v>70</v>
      </c>
      <c r="N25" s="70" t="s">
        <v>70</v>
      </c>
      <c r="O25" s="70" t="s">
        <v>70</v>
      </c>
      <c r="P25" s="70" t="s">
        <v>70</v>
      </c>
      <c r="Q25" s="70" t="s">
        <v>70</v>
      </c>
      <c r="R25" s="70" t="s">
        <v>70</v>
      </c>
      <c r="S25" s="70" t="s">
        <v>70</v>
      </c>
      <c r="T25" s="70" t="s">
        <v>70</v>
      </c>
      <c r="U25" s="70" t="s">
        <v>70</v>
      </c>
      <c r="V25" s="70" t="s">
        <v>70</v>
      </c>
      <c r="W25" s="70" t="s">
        <v>70</v>
      </c>
      <c r="X25" s="70" t="s">
        <v>70</v>
      </c>
      <c r="Y25" s="70" t="s">
        <v>70</v>
      </c>
      <c r="Z25" s="70" t="s">
        <v>70</v>
      </c>
      <c r="AA25" s="70" t="s">
        <v>70</v>
      </c>
      <c r="AB25" s="70" t="s">
        <v>70</v>
      </c>
      <c r="AC25" s="70" t="s">
        <v>70</v>
      </c>
      <c r="AD25" s="70" t="s">
        <v>70</v>
      </c>
      <c r="AE25" s="70" t="s">
        <v>70</v>
      </c>
      <c r="AF25" s="70" t="s">
        <v>70</v>
      </c>
      <c r="AG25" s="70" t="s">
        <v>70</v>
      </c>
      <c r="AH25" s="70" t="s">
        <v>70</v>
      </c>
      <c r="AI25" s="70" t="s">
        <v>70</v>
      </c>
      <c r="AJ25" s="60"/>
      <c r="AL25" t="str">
        <f t="shared" ca="1" si="0"/>
        <v xml:space="preserve">    (U1)ALERT_REQ_C_EPB_WRN_BAT_</v>
      </c>
      <c r="AR25" s="72" t="str">
        <f t="shared" si="3"/>
        <v/>
      </c>
      <c r="AS25" s="72" t="str">
        <f t="shared" si="4"/>
        <v/>
      </c>
      <c r="AT25" s="72" t="str">
        <f t="shared" si="1"/>
        <v/>
      </c>
    </row>
    <row r="26" spans="2:49">
      <c r="B26" s="145"/>
      <c r="C26" s="56">
        <f t="shared" si="2"/>
        <v>20</v>
      </c>
      <c r="D26" s="70" t="s">
        <v>70</v>
      </c>
      <c r="E26" s="70" t="s">
        <v>70</v>
      </c>
      <c r="F26" s="70" t="s">
        <v>70</v>
      </c>
      <c r="G26" s="70" t="s">
        <v>70</v>
      </c>
      <c r="H26" s="70" t="s">
        <v>70</v>
      </c>
      <c r="I26" s="70" t="s">
        <v>70</v>
      </c>
      <c r="J26" s="70" t="s">
        <v>70</v>
      </c>
      <c r="K26" s="70" t="s">
        <v>70</v>
      </c>
      <c r="L26" s="70" t="s">
        <v>70</v>
      </c>
      <c r="M26" s="70" t="s">
        <v>70</v>
      </c>
      <c r="N26" s="70" t="s">
        <v>70</v>
      </c>
      <c r="O26" s="70" t="s">
        <v>70</v>
      </c>
      <c r="P26" s="70" t="s">
        <v>70</v>
      </c>
      <c r="Q26" s="70" t="s">
        <v>70</v>
      </c>
      <c r="R26" s="70" t="s">
        <v>70</v>
      </c>
      <c r="S26" s="70" t="s">
        <v>70</v>
      </c>
      <c r="T26" s="70" t="s">
        <v>70</v>
      </c>
      <c r="U26" s="70" t="s">
        <v>70</v>
      </c>
      <c r="V26" s="70" t="s">
        <v>70</v>
      </c>
      <c r="W26" s="70" t="s">
        <v>70</v>
      </c>
      <c r="X26" s="70" t="s">
        <v>70</v>
      </c>
      <c r="Y26" s="70" t="s">
        <v>70</v>
      </c>
      <c r="Z26" s="70" t="s">
        <v>70</v>
      </c>
      <c r="AA26" s="70" t="s">
        <v>70</v>
      </c>
      <c r="AB26" s="70" t="s">
        <v>70</v>
      </c>
      <c r="AC26" s="70" t="s">
        <v>70</v>
      </c>
      <c r="AD26" s="70" t="s">
        <v>70</v>
      </c>
      <c r="AE26" s="70" t="s">
        <v>70</v>
      </c>
      <c r="AF26" s="70" t="s">
        <v>70</v>
      </c>
      <c r="AG26" s="70" t="s">
        <v>70</v>
      </c>
      <c r="AH26" s="70" t="s">
        <v>70</v>
      </c>
      <c r="AI26" s="70" t="s">
        <v>70</v>
      </c>
      <c r="AJ26" s="60"/>
      <c r="AL26" t="str">
        <f t="shared" ca="1" si="0"/>
        <v xml:space="preserve">    (U1)ALERT_REQ_C_EPB_WRN_BAT_</v>
      </c>
      <c r="AR26" s="72" t="str">
        <f t="shared" si="3"/>
        <v/>
      </c>
      <c r="AS26" s="72" t="str">
        <f t="shared" si="4"/>
        <v/>
      </c>
      <c r="AT26" s="72" t="str">
        <f t="shared" si="1"/>
        <v/>
      </c>
    </row>
    <row r="27" spans="2:49">
      <c r="B27" s="145"/>
      <c r="C27" s="56">
        <f t="shared" si="2"/>
        <v>21</v>
      </c>
      <c r="D27" s="70" t="s">
        <v>70</v>
      </c>
      <c r="E27" s="70" t="s">
        <v>70</v>
      </c>
      <c r="F27" s="70" t="s">
        <v>70</v>
      </c>
      <c r="G27" s="70" t="s">
        <v>70</v>
      </c>
      <c r="H27" s="70" t="s">
        <v>70</v>
      </c>
      <c r="I27" s="70" t="s">
        <v>70</v>
      </c>
      <c r="J27" s="70" t="s">
        <v>70</v>
      </c>
      <c r="K27" s="70" t="s">
        <v>70</v>
      </c>
      <c r="L27" s="70" t="s">
        <v>70</v>
      </c>
      <c r="M27" s="70" t="s">
        <v>70</v>
      </c>
      <c r="N27" s="70" t="s">
        <v>70</v>
      </c>
      <c r="O27" s="70" t="s">
        <v>70</v>
      </c>
      <c r="P27" s="70" t="s">
        <v>70</v>
      </c>
      <c r="Q27" s="70" t="s">
        <v>70</v>
      </c>
      <c r="R27" s="70" t="s">
        <v>70</v>
      </c>
      <c r="S27" s="70" t="s">
        <v>70</v>
      </c>
      <c r="T27" s="70" t="s">
        <v>70</v>
      </c>
      <c r="U27" s="70" t="s">
        <v>70</v>
      </c>
      <c r="V27" s="70" t="s">
        <v>70</v>
      </c>
      <c r="W27" s="70" t="s">
        <v>70</v>
      </c>
      <c r="X27" s="70" t="s">
        <v>70</v>
      </c>
      <c r="Y27" s="70" t="s">
        <v>70</v>
      </c>
      <c r="Z27" s="70" t="s">
        <v>70</v>
      </c>
      <c r="AA27" s="70" t="s">
        <v>70</v>
      </c>
      <c r="AB27" s="70" t="s">
        <v>70</v>
      </c>
      <c r="AC27" s="70" t="s">
        <v>70</v>
      </c>
      <c r="AD27" s="70" t="s">
        <v>70</v>
      </c>
      <c r="AE27" s="70" t="s">
        <v>70</v>
      </c>
      <c r="AF27" s="70" t="s">
        <v>70</v>
      </c>
      <c r="AG27" s="70" t="s">
        <v>70</v>
      </c>
      <c r="AH27" s="70" t="s">
        <v>70</v>
      </c>
      <c r="AI27" s="70" t="s">
        <v>70</v>
      </c>
      <c r="AJ27" s="60"/>
      <c r="AL27" t="str">
        <f t="shared" ca="1" si="0"/>
        <v xml:space="preserve">    (U1)ALERT_REQ_C_EPB_WRN_BAT_</v>
      </c>
      <c r="AR27" s="72" t="str">
        <f t="shared" si="3"/>
        <v/>
      </c>
      <c r="AS27" s="72" t="str">
        <f t="shared" si="4"/>
        <v/>
      </c>
      <c r="AT27" s="72" t="str">
        <f t="shared" si="1"/>
        <v/>
      </c>
    </row>
    <row r="28" spans="2:49">
      <c r="B28" s="145"/>
      <c r="C28" s="56">
        <f t="shared" si="2"/>
        <v>22</v>
      </c>
      <c r="D28" s="70" t="s">
        <v>70</v>
      </c>
      <c r="E28" s="70" t="s">
        <v>70</v>
      </c>
      <c r="F28" s="70" t="s">
        <v>70</v>
      </c>
      <c r="G28" s="70" t="s">
        <v>70</v>
      </c>
      <c r="H28" s="70" t="s">
        <v>70</v>
      </c>
      <c r="I28" s="70" t="s">
        <v>70</v>
      </c>
      <c r="J28" s="70" t="s">
        <v>70</v>
      </c>
      <c r="K28" s="70" t="s">
        <v>70</v>
      </c>
      <c r="L28" s="70" t="s">
        <v>70</v>
      </c>
      <c r="M28" s="70" t="s">
        <v>70</v>
      </c>
      <c r="N28" s="70" t="s">
        <v>70</v>
      </c>
      <c r="O28" s="70" t="s">
        <v>70</v>
      </c>
      <c r="P28" s="70" t="s">
        <v>70</v>
      </c>
      <c r="Q28" s="70" t="s">
        <v>70</v>
      </c>
      <c r="R28" s="70" t="s">
        <v>70</v>
      </c>
      <c r="S28" s="70" t="s">
        <v>70</v>
      </c>
      <c r="T28" s="70" t="s">
        <v>70</v>
      </c>
      <c r="U28" s="70" t="s">
        <v>70</v>
      </c>
      <c r="V28" s="70" t="s">
        <v>70</v>
      </c>
      <c r="W28" s="70" t="s">
        <v>70</v>
      </c>
      <c r="X28" s="70" t="s">
        <v>70</v>
      </c>
      <c r="Y28" s="70" t="s">
        <v>70</v>
      </c>
      <c r="Z28" s="70" t="s">
        <v>70</v>
      </c>
      <c r="AA28" s="70" t="s">
        <v>70</v>
      </c>
      <c r="AB28" s="70" t="s">
        <v>70</v>
      </c>
      <c r="AC28" s="70" t="s">
        <v>70</v>
      </c>
      <c r="AD28" s="70" t="s">
        <v>70</v>
      </c>
      <c r="AE28" s="70" t="s">
        <v>70</v>
      </c>
      <c r="AF28" s="70" t="s">
        <v>70</v>
      </c>
      <c r="AG28" s="70" t="s">
        <v>70</v>
      </c>
      <c r="AH28" s="70" t="s">
        <v>70</v>
      </c>
      <c r="AI28" s="70" t="s">
        <v>70</v>
      </c>
      <c r="AJ28" s="60"/>
      <c r="AL28" t="str">
        <f t="shared" ca="1" si="0"/>
        <v xml:space="preserve">    (U1)ALERT_REQ_C_EPB_WRN_BAT_</v>
      </c>
      <c r="AR28" s="72" t="str">
        <f t="shared" si="3"/>
        <v/>
      </c>
      <c r="AS28" s="72" t="str">
        <f t="shared" si="4"/>
        <v/>
      </c>
      <c r="AT28" s="72" t="str">
        <f t="shared" si="1"/>
        <v/>
      </c>
    </row>
    <row r="29" spans="2:49">
      <c r="B29" s="145"/>
      <c r="C29" s="56">
        <f t="shared" si="2"/>
        <v>23</v>
      </c>
      <c r="D29" s="70" t="s">
        <v>70</v>
      </c>
      <c r="E29" s="70" t="s">
        <v>70</v>
      </c>
      <c r="F29" s="70" t="s">
        <v>70</v>
      </c>
      <c r="G29" s="70" t="s">
        <v>70</v>
      </c>
      <c r="H29" s="70" t="s">
        <v>70</v>
      </c>
      <c r="I29" s="70" t="s">
        <v>70</v>
      </c>
      <c r="J29" s="70" t="s">
        <v>70</v>
      </c>
      <c r="K29" s="70" t="s">
        <v>70</v>
      </c>
      <c r="L29" s="70" t="s">
        <v>70</v>
      </c>
      <c r="M29" s="70" t="s">
        <v>70</v>
      </c>
      <c r="N29" s="70" t="s">
        <v>70</v>
      </c>
      <c r="O29" s="70" t="s">
        <v>70</v>
      </c>
      <c r="P29" s="70" t="s">
        <v>70</v>
      </c>
      <c r="Q29" s="70" t="s">
        <v>70</v>
      </c>
      <c r="R29" s="70" t="s">
        <v>70</v>
      </c>
      <c r="S29" s="70" t="s">
        <v>70</v>
      </c>
      <c r="T29" s="70" t="s">
        <v>70</v>
      </c>
      <c r="U29" s="70" t="s">
        <v>70</v>
      </c>
      <c r="V29" s="70" t="s">
        <v>70</v>
      </c>
      <c r="W29" s="70" t="s">
        <v>70</v>
      </c>
      <c r="X29" s="70" t="s">
        <v>70</v>
      </c>
      <c r="Y29" s="70" t="s">
        <v>70</v>
      </c>
      <c r="Z29" s="70" t="s">
        <v>70</v>
      </c>
      <c r="AA29" s="70" t="s">
        <v>70</v>
      </c>
      <c r="AB29" s="70" t="s">
        <v>70</v>
      </c>
      <c r="AC29" s="70" t="s">
        <v>70</v>
      </c>
      <c r="AD29" s="70" t="s">
        <v>70</v>
      </c>
      <c r="AE29" s="70" t="s">
        <v>70</v>
      </c>
      <c r="AF29" s="70" t="s">
        <v>70</v>
      </c>
      <c r="AG29" s="70" t="s">
        <v>70</v>
      </c>
      <c r="AH29" s="70" t="s">
        <v>70</v>
      </c>
      <c r="AI29" s="70" t="s">
        <v>70</v>
      </c>
      <c r="AJ29" s="60"/>
      <c r="AL29" t="str">
        <f t="shared" ca="1" si="0"/>
        <v xml:space="preserve">    (U1)ALERT_REQ_C_EPB_WRN_BAT_</v>
      </c>
      <c r="AR29" s="72" t="str">
        <f t="shared" si="3"/>
        <v/>
      </c>
      <c r="AS29" s="72" t="str">
        <f t="shared" si="4"/>
        <v/>
      </c>
      <c r="AT29" s="72" t="str">
        <f t="shared" si="1"/>
        <v/>
      </c>
    </row>
    <row r="30" spans="2:49">
      <c r="B30" s="145"/>
      <c r="C30" s="56">
        <f t="shared" si="2"/>
        <v>24</v>
      </c>
      <c r="D30" s="70" t="s">
        <v>70</v>
      </c>
      <c r="E30" s="70" t="s">
        <v>70</v>
      </c>
      <c r="F30" s="70" t="s">
        <v>70</v>
      </c>
      <c r="G30" s="70" t="s">
        <v>70</v>
      </c>
      <c r="H30" s="70" t="s">
        <v>70</v>
      </c>
      <c r="I30" s="70" t="s">
        <v>70</v>
      </c>
      <c r="J30" s="70" t="s">
        <v>70</v>
      </c>
      <c r="K30" s="70" t="s">
        <v>70</v>
      </c>
      <c r="L30" s="70" t="s">
        <v>70</v>
      </c>
      <c r="M30" s="70" t="s">
        <v>70</v>
      </c>
      <c r="N30" s="70" t="s">
        <v>70</v>
      </c>
      <c r="O30" s="70" t="s">
        <v>70</v>
      </c>
      <c r="P30" s="70" t="s">
        <v>70</v>
      </c>
      <c r="Q30" s="70" t="s">
        <v>70</v>
      </c>
      <c r="R30" s="70" t="s">
        <v>70</v>
      </c>
      <c r="S30" s="70" t="s">
        <v>70</v>
      </c>
      <c r="T30" s="70" t="s">
        <v>70</v>
      </c>
      <c r="U30" s="70" t="s">
        <v>70</v>
      </c>
      <c r="V30" s="70" t="s">
        <v>70</v>
      </c>
      <c r="W30" s="70" t="s">
        <v>70</v>
      </c>
      <c r="X30" s="70" t="s">
        <v>70</v>
      </c>
      <c r="Y30" s="70" t="s">
        <v>70</v>
      </c>
      <c r="Z30" s="70" t="s">
        <v>70</v>
      </c>
      <c r="AA30" s="70" t="s">
        <v>70</v>
      </c>
      <c r="AB30" s="70" t="s">
        <v>70</v>
      </c>
      <c r="AC30" s="70" t="s">
        <v>70</v>
      </c>
      <c r="AD30" s="70" t="s">
        <v>70</v>
      </c>
      <c r="AE30" s="70" t="s">
        <v>70</v>
      </c>
      <c r="AF30" s="70" t="s">
        <v>70</v>
      </c>
      <c r="AG30" s="70" t="s">
        <v>70</v>
      </c>
      <c r="AH30" s="70" t="s">
        <v>70</v>
      </c>
      <c r="AI30" s="70" t="s">
        <v>70</v>
      </c>
      <c r="AJ30" s="60"/>
      <c r="AL30" t="str">
        <f t="shared" ca="1" si="0"/>
        <v xml:space="preserve">    (U1)ALERT_REQ_C_EPB_WRN_BAT_</v>
      </c>
      <c r="AR30" s="72" t="str">
        <f t="shared" si="3"/>
        <v/>
      </c>
      <c r="AS30" s="72" t="str">
        <f t="shared" si="4"/>
        <v/>
      </c>
      <c r="AT30" s="72" t="str">
        <f t="shared" si="1"/>
        <v/>
      </c>
    </row>
    <row r="31" spans="2:49">
      <c r="B31" s="145"/>
      <c r="C31" s="56">
        <f t="shared" si="2"/>
        <v>25</v>
      </c>
      <c r="D31" s="70" t="s">
        <v>70</v>
      </c>
      <c r="E31" s="70" t="s">
        <v>70</v>
      </c>
      <c r="F31" s="70" t="s">
        <v>70</v>
      </c>
      <c r="G31" s="70" t="s">
        <v>70</v>
      </c>
      <c r="H31" s="70" t="s">
        <v>70</v>
      </c>
      <c r="I31" s="70" t="s">
        <v>70</v>
      </c>
      <c r="J31" s="70" t="s">
        <v>70</v>
      </c>
      <c r="K31" s="70" t="s">
        <v>70</v>
      </c>
      <c r="L31" s="70" t="s">
        <v>70</v>
      </c>
      <c r="M31" s="70" t="s">
        <v>70</v>
      </c>
      <c r="N31" s="70" t="s">
        <v>70</v>
      </c>
      <c r="O31" s="70" t="s">
        <v>70</v>
      </c>
      <c r="P31" s="70" t="s">
        <v>70</v>
      </c>
      <c r="Q31" s="70" t="s">
        <v>70</v>
      </c>
      <c r="R31" s="70" t="s">
        <v>70</v>
      </c>
      <c r="S31" s="70" t="s">
        <v>70</v>
      </c>
      <c r="T31" s="70" t="s">
        <v>70</v>
      </c>
      <c r="U31" s="70" t="s">
        <v>70</v>
      </c>
      <c r="V31" s="70" t="s">
        <v>70</v>
      </c>
      <c r="W31" s="70" t="s">
        <v>70</v>
      </c>
      <c r="X31" s="70" t="s">
        <v>70</v>
      </c>
      <c r="Y31" s="70" t="s">
        <v>70</v>
      </c>
      <c r="Z31" s="70" t="s">
        <v>70</v>
      </c>
      <c r="AA31" s="70" t="s">
        <v>70</v>
      </c>
      <c r="AB31" s="70" t="s">
        <v>70</v>
      </c>
      <c r="AC31" s="70" t="s">
        <v>70</v>
      </c>
      <c r="AD31" s="70" t="s">
        <v>70</v>
      </c>
      <c r="AE31" s="70" t="s">
        <v>70</v>
      </c>
      <c r="AF31" s="70" t="s">
        <v>70</v>
      </c>
      <c r="AG31" s="70" t="s">
        <v>70</v>
      </c>
      <c r="AH31" s="70" t="s">
        <v>70</v>
      </c>
      <c r="AI31" s="70" t="s">
        <v>70</v>
      </c>
      <c r="AJ31" s="60"/>
      <c r="AL31" t="str">
        <f t="shared" ca="1" si="0"/>
        <v xml:space="preserve">    (U1)ALERT_REQ_C_EPB_WRN_BAT_</v>
      </c>
      <c r="AR31" s="72" t="str">
        <f t="shared" si="3"/>
        <v/>
      </c>
      <c r="AS31" s="72" t="str">
        <f t="shared" si="4"/>
        <v/>
      </c>
      <c r="AT31" s="72" t="str">
        <f t="shared" si="1"/>
        <v/>
      </c>
    </row>
    <row r="32" spans="2:49">
      <c r="B32" s="145"/>
      <c r="C32" s="56">
        <f t="shared" si="2"/>
        <v>26</v>
      </c>
      <c r="D32" s="70" t="s">
        <v>70</v>
      </c>
      <c r="E32" s="70" t="s">
        <v>70</v>
      </c>
      <c r="F32" s="70" t="s">
        <v>70</v>
      </c>
      <c r="G32" s="70" t="s">
        <v>70</v>
      </c>
      <c r="H32" s="70" t="s">
        <v>70</v>
      </c>
      <c r="I32" s="70" t="s">
        <v>70</v>
      </c>
      <c r="J32" s="70" t="s">
        <v>70</v>
      </c>
      <c r="K32" s="70" t="s">
        <v>70</v>
      </c>
      <c r="L32" s="70" t="s">
        <v>70</v>
      </c>
      <c r="M32" s="70" t="s">
        <v>70</v>
      </c>
      <c r="N32" s="70" t="s">
        <v>70</v>
      </c>
      <c r="O32" s="70" t="s">
        <v>70</v>
      </c>
      <c r="P32" s="70" t="s">
        <v>70</v>
      </c>
      <c r="Q32" s="70" t="s">
        <v>70</v>
      </c>
      <c r="R32" s="70" t="s">
        <v>70</v>
      </c>
      <c r="S32" s="70" t="s">
        <v>70</v>
      </c>
      <c r="T32" s="70" t="s">
        <v>70</v>
      </c>
      <c r="U32" s="70" t="s">
        <v>70</v>
      </c>
      <c r="V32" s="70" t="s">
        <v>70</v>
      </c>
      <c r="W32" s="70" t="s">
        <v>70</v>
      </c>
      <c r="X32" s="70" t="s">
        <v>70</v>
      </c>
      <c r="Y32" s="70" t="s">
        <v>70</v>
      </c>
      <c r="Z32" s="70" t="s">
        <v>70</v>
      </c>
      <c r="AA32" s="70" t="s">
        <v>70</v>
      </c>
      <c r="AB32" s="70" t="s">
        <v>70</v>
      </c>
      <c r="AC32" s="70" t="s">
        <v>70</v>
      </c>
      <c r="AD32" s="70" t="s">
        <v>70</v>
      </c>
      <c r="AE32" s="70" t="s">
        <v>70</v>
      </c>
      <c r="AF32" s="70" t="s">
        <v>70</v>
      </c>
      <c r="AG32" s="70" t="s">
        <v>70</v>
      </c>
      <c r="AH32" s="70" t="s">
        <v>70</v>
      </c>
      <c r="AI32" s="70" t="s">
        <v>70</v>
      </c>
      <c r="AJ32" s="60"/>
      <c r="AL32" t="str">
        <f t="shared" ca="1" si="0"/>
        <v xml:space="preserve">    (U1)ALERT_REQ_C_EPB_WRN_BAT_</v>
      </c>
      <c r="AR32" s="72" t="str">
        <f t="shared" si="3"/>
        <v/>
      </c>
      <c r="AS32" s="72" t="str">
        <f t="shared" si="4"/>
        <v/>
      </c>
      <c r="AT32" s="72" t="str">
        <f t="shared" si="1"/>
        <v/>
      </c>
    </row>
    <row r="33" spans="2:46">
      <c r="B33" s="145"/>
      <c r="C33" s="56">
        <f t="shared" si="2"/>
        <v>27</v>
      </c>
      <c r="D33" s="70" t="s">
        <v>70</v>
      </c>
      <c r="E33" s="70" t="s">
        <v>70</v>
      </c>
      <c r="F33" s="70" t="s">
        <v>70</v>
      </c>
      <c r="G33" s="70" t="s">
        <v>70</v>
      </c>
      <c r="H33" s="70" t="s">
        <v>70</v>
      </c>
      <c r="I33" s="70" t="s">
        <v>70</v>
      </c>
      <c r="J33" s="70" t="s">
        <v>70</v>
      </c>
      <c r="K33" s="70" t="s">
        <v>70</v>
      </c>
      <c r="L33" s="70" t="s">
        <v>70</v>
      </c>
      <c r="M33" s="70" t="s">
        <v>70</v>
      </c>
      <c r="N33" s="70" t="s">
        <v>70</v>
      </c>
      <c r="O33" s="70" t="s">
        <v>70</v>
      </c>
      <c r="P33" s="70" t="s">
        <v>70</v>
      </c>
      <c r="Q33" s="70" t="s">
        <v>70</v>
      </c>
      <c r="R33" s="70" t="s">
        <v>70</v>
      </c>
      <c r="S33" s="70" t="s">
        <v>70</v>
      </c>
      <c r="T33" s="70" t="s">
        <v>70</v>
      </c>
      <c r="U33" s="70" t="s">
        <v>70</v>
      </c>
      <c r="V33" s="70" t="s">
        <v>70</v>
      </c>
      <c r="W33" s="70" t="s">
        <v>70</v>
      </c>
      <c r="X33" s="70" t="s">
        <v>70</v>
      </c>
      <c r="Y33" s="70" t="s">
        <v>70</v>
      </c>
      <c r="Z33" s="70" t="s">
        <v>70</v>
      </c>
      <c r="AA33" s="70" t="s">
        <v>70</v>
      </c>
      <c r="AB33" s="70" t="s">
        <v>70</v>
      </c>
      <c r="AC33" s="70" t="s">
        <v>70</v>
      </c>
      <c r="AD33" s="70" t="s">
        <v>70</v>
      </c>
      <c r="AE33" s="70" t="s">
        <v>70</v>
      </c>
      <c r="AF33" s="70" t="s">
        <v>70</v>
      </c>
      <c r="AG33" s="70" t="s">
        <v>70</v>
      </c>
      <c r="AH33" s="70" t="s">
        <v>70</v>
      </c>
      <c r="AI33" s="70" t="s">
        <v>70</v>
      </c>
      <c r="AJ33" s="60"/>
      <c r="AL33" t="str">
        <f t="shared" ca="1" si="0"/>
        <v xml:space="preserve">    (U1)ALERT_REQ_C_EPB_WRN_BAT_</v>
      </c>
      <c r="AR33" s="72" t="str">
        <f t="shared" si="3"/>
        <v/>
      </c>
      <c r="AS33" s="72" t="str">
        <f t="shared" si="4"/>
        <v/>
      </c>
      <c r="AT33" s="72" t="str">
        <f t="shared" si="1"/>
        <v/>
      </c>
    </row>
    <row r="34" spans="2:46">
      <c r="B34" s="145"/>
      <c r="C34" s="56">
        <f t="shared" si="2"/>
        <v>28</v>
      </c>
      <c r="D34" s="70" t="s">
        <v>70</v>
      </c>
      <c r="E34" s="70" t="s">
        <v>70</v>
      </c>
      <c r="F34" s="70" t="s">
        <v>70</v>
      </c>
      <c r="G34" s="70" t="s">
        <v>70</v>
      </c>
      <c r="H34" s="70" t="s">
        <v>70</v>
      </c>
      <c r="I34" s="70" t="s">
        <v>70</v>
      </c>
      <c r="J34" s="70" t="s">
        <v>70</v>
      </c>
      <c r="K34" s="70" t="s">
        <v>70</v>
      </c>
      <c r="L34" s="70" t="s">
        <v>70</v>
      </c>
      <c r="M34" s="70" t="s">
        <v>70</v>
      </c>
      <c r="N34" s="70" t="s">
        <v>70</v>
      </c>
      <c r="O34" s="70" t="s">
        <v>70</v>
      </c>
      <c r="P34" s="70" t="s">
        <v>70</v>
      </c>
      <c r="Q34" s="70" t="s">
        <v>70</v>
      </c>
      <c r="R34" s="70" t="s">
        <v>70</v>
      </c>
      <c r="S34" s="70" t="s">
        <v>70</v>
      </c>
      <c r="T34" s="70" t="s">
        <v>70</v>
      </c>
      <c r="U34" s="70" t="s">
        <v>70</v>
      </c>
      <c r="V34" s="70" t="s">
        <v>70</v>
      </c>
      <c r="W34" s="70" t="s">
        <v>70</v>
      </c>
      <c r="X34" s="70" t="s">
        <v>70</v>
      </c>
      <c r="Y34" s="70" t="s">
        <v>70</v>
      </c>
      <c r="Z34" s="70" t="s">
        <v>70</v>
      </c>
      <c r="AA34" s="70" t="s">
        <v>70</v>
      </c>
      <c r="AB34" s="70" t="s">
        <v>70</v>
      </c>
      <c r="AC34" s="70" t="s">
        <v>70</v>
      </c>
      <c r="AD34" s="70" t="s">
        <v>70</v>
      </c>
      <c r="AE34" s="70" t="s">
        <v>70</v>
      </c>
      <c r="AF34" s="70" t="s">
        <v>70</v>
      </c>
      <c r="AG34" s="70" t="s">
        <v>70</v>
      </c>
      <c r="AH34" s="70" t="s">
        <v>70</v>
      </c>
      <c r="AI34" s="70" t="s">
        <v>70</v>
      </c>
      <c r="AJ34" s="60"/>
      <c r="AL34" t="str">
        <f t="shared" ca="1" si="0"/>
        <v xml:space="preserve">    (U1)ALERT_REQ_C_EPB_WRN_BAT_</v>
      </c>
      <c r="AR34" s="72" t="str">
        <f t="shared" si="3"/>
        <v/>
      </c>
      <c r="AS34" s="72" t="str">
        <f t="shared" si="4"/>
        <v/>
      </c>
      <c r="AT34" s="72" t="str">
        <f t="shared" si="1"/>
        <v/>
      </c>
    </row>
    <row r="35" spans="2:46">
      <c r="B35" s="145"/>
      <c r="C35" s="56">
        <f t="shared" si="2"/>
        <v>29</v>
      </c>
      <c r="D35" s="70" t="s">
        <v>70</v>
      </c>
      <c r="E35" s="70" t="s">
        <v>70</v>
      </c>
      <c r="F35" s="70" t="s">
        <v>70</v>
      </c>
      <c r="G35" s="70" t="s">
        <v>70</v>
      </c>
      <c r="H35" s="70" t="s">
        <v>70</v>
      </c>
      <c r="I35" s="70" t="s">
        <v>70</v>
      </c>
      <c r="J35" s="70" t="s">
        <v>70</v>
      </c>
      <c r="K35" s="70" t="s">
        <v>70</v>
      </c>
      <c r="L35" s="70" t="s">
        <v>70</v>
      </c>
      <c r="M35" s="70" t="s">
        <v>70</v>
      </c>
      <c r="N35" s="70" t="s">
        <v>70</v>
      </c>
      <c r="O35" s="70" t="s">
        <v>70</v>
      </c>
      <c r="P35" s="70" t="s">
        <v>70</v>
      </c>
      <c r="Q35" s="70" t="s">
        <v>70</v>
      </c>
      <c r="R35" s="70" t="s">
        <v>70</v>
      </c>
      <c r="S35" s="70" t="s">
        <v>70</v>
      </c>
      <c r="T35" s="70" t="s">
        <v>70</v>
      </c>
      <c r="U35" s="70" t="s">
        <v>70</v>
      </c>
      <c r="V35" s="70" t="s">
        <v>70</v>
      </c>
      <c r="W35" s="70" t="s">
        <v>70</v>
      </c>
      <c r="X35" s="70" t="s">
        <v>70</v>
      </c>
      <c r="Y35" s="70" t="s">
        <v>70</v>
      </c>
      <c r="Z35" s="70" t="s">
        <v>70</v>
      </c>
      <c r="AA35" s="70" t="s">
        <v>70</v>
      </c>
      <c r="AB35" s="70" t="s">
        <v>70</v>
      </c>
      <c r="AC35" s="70" t="s">
        <v>70</v>
      </c>
      <c r="AD35" s="70" t="s">
        <v>70</v>
      </c>
      <c r="AE35" s="70" t="s">
        <v>70</v>
      </c>
      <c r="AF35" s="70" t="s">
        <v>70</v>
      </c>
      <c r="AG35" s="70" t="s">
        <v>70</v>
      </c>
      <c r="AH35" s="70" t="s">
        <v>70</v>
      </c>
      <c r="AI35" s="70" t="s">
        <v>70</v>
      </c>
      <c r="AJ35" s="60"/>
      <c r="AL35" t="str">
        <f t="shared" ca="1" si="0"/>
        <v xml:space="preserve">    (U1)ALERT_REQ_C_EPB_WRN_BAT_</v>
      </c>
      <c r="AR35" s="72" t="str">
        <f t="shared" si="3"/>
        <v/>
      </c>
      <c r="AS35" s="72" t="str">
        <f t="shared" si="4"/>
        <v/>
      </c>
      <c r="AT35" s="72" t="str">
        <f t="shared" si="1"/>
        <v/>
      </c>
    </row>
    <row r="36" spans="2:46">
      <c r="B36" s="145"/>
      <c r="C36" s="56">
        <f t="shared" si="2"/>
        <v>30</v>
      </c>
      <c r="D36" s="70" t="s">
        <v>70</v>
      </c>
      <c r="E36" s="70" t="s">
        <v>70</v>
      </c>
      <c r="F36" s="70" t="s">
        <v>70</v>
      </c>
      <c r="G36" s="70" t="s">
        <v>70</v>
      </c>
      <c r="H36" s="70" t="s">
        <v>70</v>
      </c>
      <c r="I36" s="70" t="s">
        <v>70</v>
      </c>
      <c r="J36" s="70" t="s">
        <v>70</v>
      </c>
      <c r="K36" s="70" t="s">
        <v>70</v>
      </c>
      <c r="L36" s="70" t="s">
        <v>70</v>
      </c>
      <c r="M36" s="70" t="s">
        <v>70</v>
      </c>
      <c r="N36" s="70" t="s">
        <v>70</v>
      </c>
      <c r="O36" s="70" t="s">
        <v>70</v>
      </c>
      <c r="P36" s="70" t="s">
        <v>70</v>
      </c>
      <c r="Q36" s="70" t="s">
        <v>70</v>
      </c>
      <c r="R36" s="70" t="s">
        <v>70</v>
      </c>
      <c r="S36" s="70" t="s">
        <v>70</v>
      </c>
      <c r="T36" s="70" t="s">
        <v>70</v>
      </c>
      <c r="U36" s="70" t="s">
        <v>70</v>
      </c>
      <c r="V36" s="70" t="s">
        <v>70</v>
      </c>
      <c r="W36" s="70" t="s">
        <v>70</v>
      </c>
      <c r="X36" s="70" t="s">
        <v>70</v>
      </c>
      <c r="Y36" s="70" t="s">
        <v>70</v>
      </c>
      <c r="Z36" s="70" t="s">
        <v>70</v>
      </c>
      <c r="AA36" s="70" t="s">
        <v>70</v>
      </c>
      <c r="AB36" s="70" t="s">
        <v>70</v>
      </c>
      <c r="AC36" s="70" t="s">
        <v>70</v>
      </c>
      <c r="AD36" s="70" t="s">
        <v>70</v>
      </c>
      <c r="AE36" s="70" t="s">
        <v>70</v>
      </c>
      <c r="AF36" s="70" t="s">
        <v>70</v>
      </c>
      <c r="AG36" s="70" t="s">
        <v>70</v>
      </c>
      <c r="AH36" s="70" t="s">
        <v>70</v>
      </c>
      <c r="AI36" s="70" t="s">
        <v>70</v>
      </c>
      <c r="AJ36" s="60"/>
      <c r="AL36" t="str">
        <f t="shared" ca="1" si="0"/>
        <v xml:space="preserve">    (U1)ALERT_REQ_C_EPB_WRN_BAT_</v>
      </c>
      <c r="AR36" s="72" t="str">
        <f t="shared" si="3"/>
        <v/>
      </c>
      <c r="AS36" s="72" t="str">
        <f t="shared" si="4"/>
        <v/>
      </c>
      <c r="AT36" s="72" t="str">
        <f t="shared" si="1"/>
        <v/>
      </c>
    </row>
    <row r="37" spans="2:46">
      <c r="B37" s="145"/>
      <c r="C37" s="56">
        <f t="shared" si="2"/>
        <v>31</v>
      </c>
      <c r="D37" s="70" t="s">
        <v>70</v>
      </c>
      <c r="E37" s="70" t="s">
        <v>70</v>
      </c>
      <c r="F37" s="70" t="s">
        <v>70</v>
      </c>
      <c r="G37" s="70" t="s">
        <v>70</v>
      </c>
      <c r="H37" s="70" t="s">
        <v>70</v>
      </c>
      <c r="I37" s="70" t="s">
        <v>70</v>
      </c>
      <c r="J37" s="70" t="s">
        <v>70</v>
      </c>
      <c r="K37" s="70" t="s">
        <v>70</v>
      </c>
      <c r="L37" s="70" t="s">
        <v>70</v>
      </c>
      <c r="M37" s="70" t="s">
        <v>70</v>
      </c>
      <c r="N37" s="70" t="s">
        <v>70</v>
      </c>
      <c r="O37" s="70" t="s">
        <v>70</v>
      </c>
      <c r="P37" s="70" t="s">
        <v>70</v>
      </c>
      <c r="Q37" s="70" t="s">
        <v>70</v>
      </c>
      <c r="R37" s="70" t="s">
        <v>70</v>
      </c>
      <c r="S37" s="70" t="s">
        <v>70</v>
      </c>
      <c r="T37" s="70" t="s">
        <v>70</v>
      </c>
      <c r="U37" s="70" t="s">
        <v>70</v>
      </c>
      <c r="V37" s="70" t="s">
        <v>70</v>
      </c>
      <c r="W37" s="70" t="s">
        <v>70</v>
      </c>
      <c r="X37" s="70" t="s">
        <v>70</v>
      </c>
      <c r="Y37" s="70" t="s">
        <v>70</v>
      </c>
      <c r="Z37" s="70" t="s">
        <v>70</v>
      </c>
      <c r="AA37" s="70" t="s">
        <v>70</v>
      </c>
      <c r="AB37" s="70" t="s">
        <v>70</v>
      </c>
      <c r="AC37" s="70" t="s">
        <v>70</v>
      </c>
      <c r="AD37" s="70" t="s">
        <v>70</v>
      </c>
      <c r="AE37" s="70" t="s">
        <v>70</v>
      </c>
      <c r="AF37" s="70" t="s">
        <v>70</v>
      </c>
      <c r="AG37" s="70" t="s">
        <v>70</v>
      </c>
      <c r="AH37" s="70" t="s">
        <v>70</v>
      </c>
      <c r="AI37" s="70" t="s">
        <v>70</v>
      </c>
      <c r="AJ37" s="60"/>
      <c r="AL37" t="str">
        <f t="shared" ca="1" si="0"/>
        <v xml:space="preserve">    (U1)ALERT_REQ_C_EPB_WRN_BAT_</v>
      </c>
      <c r="AR37" s="72" t="str">
        <f t="shared" si="3"/>
        <v/>
      </c>
      <c r="AS37" s="72" t="str">
        <f t="shared" si="4"/>
        <v/>
      </c>
      <c r="AT37" s="72" t="str">
        <f t="shared" si="1"/>
        <v/>
      </c>
    </row>
    <row r="38" spans="2:46">
      <c r="B38" s="145"/>
      <c r="C38" s="56">
        <f t="shared" si="2"/>
        <v>32</v>
      </c>
      <c r="D38" s="70" t="s">
        <v>70</v>
      </c>
      <c r="E38" s="70" t="s">
        <v>70</v>
      </c>
      <c r="F38" s="70" t="s">
        <v>70</v>
      </c>
      <c r="G38" s="70" t="s">
        <v>70</v>
      </c>
      <c r="H38" s="70" t="s">
        <v>70</v>
      </c>
      <c r="I38" s="70" t="s">
        <v>70</v>
      </c>
      <c r="J38" s="70" t="s">
        <v>70</v>
      </c>
      <c r="K38" s="70" t="s">
        <v>70</v>
      </c>
      <c r="L38" s="70" t="s">
        <v>70</v>
      </c>
      <c r="M38" s="70" t="s">
        <v>70</v>
      </c>
      <c r="N38" s="70" t="s">
        <v>70</v>
      </c>
      <c r="O38" s="70" t="s">
        <v>70</v>
      </c>
      <c r="P38" s="70" t="s">
        <v>70</v>
      </c>
      <c r="Q38" s="70" t="s">
        <v>70</v>
      </c>
      <c r="R38" s="70" t="s">
        <v>70</v>
      </c>
      <c r="S38" s="70" t="s">
        <v>70</v>
      </c>
      <c r="T38" s="70" t="s">
        <v>70</v>
      </c>
      <c r="U38" s="70" t="s">
        <v>70</v>
      </c>
      <c r="V38" s="70" t="s">
        <v>70</v>
      </c>
      <c r="W38" s="70" t="s">
        <v>70</v>
      </c>
      <c r="X38" s="70" t="s">
        <v>70</v>
      </c>
      <c r="Y38" s="70" t="s">
        <v>70</v>
      </c>
      <c r="Z38" s="70" t="s">
        <v>70</v>
      </c>
      <c r="AA38" s="70" t="s">
        <v>70</v>
      </c>
      <c r="AB38" s="70" t="s">
        <v>70</v>
      </c>
      <c r="AC38" s="70" t="s">
        <v>70</v>
      </c>
      <c r="AD38" s="70" t="s">
        <v>70</v>
      </c>
      <c r="AE38" s="70" t="s">
        <v>70</v>
      </c>
      <c r="AF38" s="70" t="s">
        <v>70</v>
      </c>
      <c r="AG38" s="70" t="s">
        <v>70</v>
      </c>
      <c r="AH38" s="70" t="s">
        <v>70</v>
      </c>
      <c r="AI38" s="70" t="s">
        <v>70</v>
      </c>
      <c r="AJ38" s="60"/>
      <c r="AL38" t="str">
        <f t="shared" ca="1" si="0"/>
        <v xml:space="preserve">    (U1)ALERT_REQ_C_EPB_WRN_BAT_</v>
      </c>
      <c r="AR38" s="72" t="str">
        <f t="shared" si="3"/>
        <v/>
      </c>
      <c r="AS38" s="72" t="str">
        <f t="shared" si="4"/>
        <v/>
      </c>
      <c r="AT38" s="72" t="str">
        <f t="shared" si="1"/>
        <v/>
      </c>
    </row>
    <row r="39" spans="2:46">
      <c r="B39" s="145"/>
      <c r="C39" s="56">
        <f t="shared" si="2"/>
        <v>33</v>
      </c>
      <c r="D39" s="70" t="s">
        <v>70</v>
      </c>
      <c r="E39" s="70" t="s">
        <v>70</v>
      </c>
      <c r="F39" s="70" t="s">
        <v>70</v>
      </c>
      <c r="G39" s="70" t="s">
        <v>70</v>
      </c>
      <c r="H39" s="70" t="s">
        <v>70</v>
      </c>
      <c r="I39" s="70" t="s">
        <v>70</v>
      </c>
      <c r="J39" s="70" t="s">
        <v>70</v>
      </c>
      <c r="K39" s="70" t="s">
        <v>70</v>
      </c>
      <c r="L39" s="70" t="s">
        <v>70</v>
      </c>
      <c r="M39" s="70" t="s">
        <v>70</v>
      </c>
      <c r="N39" s="70" t="s">
        <v>70</v>
      </c>
      <c r="O39" s="70" t="s">
        <v>70</v>
      </c>
      <c r="P39" s="70" t="s">
        <v>70</v>
      </c>
      <c r="Q39" s="70" t="s">
        <v>70</v>
      </c>
      <c r="R39" s="70" t="s">
        <v>70</v>
      </c>
      <c r="S39" s="70" t="s">
        <v>70</v>
      </c>
      <c r="T39" s="70" t="s">
        <v>70</v>
      </c>
      <c r="U39" s="70" t="s">
        <v>70</v>
      </c>
      <c r="V39" s="70" t="s">
        <v>70</v>
      </c>
      <c r="W39" s="70" t="s">
        <v>70</v>
      </c>
      <c r="X39" s="70" t="s">
        <v>70</v>
      </c>
      <c r="Y39" s="70" t="s">
        <v>70</v>
      </c>
      <c r="Z39" s="70" t="s">
        <v>70</v>
      </c>
      <c r="AA39" s="70" t="s">
        <v>70</v>
      </c>
      <c r="AB39" s="70" t="s">
        <v>70</v>
      </c>
      <c r="AC39" s="70" t="s">
        <v>70</v>
      </c>
      <c r="AD39" s="70" t="s">
        <v>70</v>
      </c>
      <c r="AE39" s="70" t="s">
        <v>70</v>
      </c>
      <c r="AF39" s="70" t="s">
        <v>70</v>
      </c>
      <c r="AG39" s="70" t="s">
        <v>70</v>
      </c>
      <c r="AH39" s="70" t="s">
        <v>70</v>
      </c>
      <c r="AI39" s="70" t="s">
        <v>70</v>
      </c>
      <c r="AJ39" s="60"/>
      <c r="AL39" t="str">
        <f t="shared" ca="1" si="0"/>
        <v xml:space="preserve">    (U1)ALERT_REQ_C_EPB_WRN_BAT_</v>
      </c>
      <c r="AR39" s="72" t="str">
        <f t="shared" si="3"/>
        <v/>
      </c>
      <c r="AS39" s="72" t="str">
        <f t="shared" si="4"/>
        <v/>
      </c>
      <c r="AT39" s="72" t="str">
        <f t="shared" si="1"/>
        <v/>
      </c>
    </row>
    <row r="40" spans="2:46">
      <c r="B40" s="145"/>
      <c r="C40" s="56">
        <f t="shared" si="2"/>
        <v>34</v>
      </c>
      <c r="D40" s="70" t="s">
        <v>70</v>
      </c>
      <c r="E40" s="70" t="s">
        <v>70</v>
      </c>
      <c r="F40" s="70" t="s">
        <v>70</v>
      </c>
      <c r="G40" s="70" t="s">
        <v>70</v>
      </c>
      <c r="H40" s="70" t="s">
        <v>70</v>
      </c>
      <c r="I40" s="70" t="s">
        <v>70</v>
      </c>
      <c r="J40" s="70" t="s">
        <v>70</v>
      </c>
      <c r="K40" s="70" t="s">
        <v>70</v>
      </c>
      <c r="L40" s="70" t="s">
        <v>70</v>
      </c>
      <c r="M40" s="70" t="s">
        <v>70</v>
      </c>
      <c r="N40" s="70" t="s">
        <v>70</v>
      </c>
      <c r="O40" s="70" t="s">
        <v>70</v>
      </c>
      <c r="P40" s="70" t="s">
        <v>70</v>
      </c>
      <c r="Q40" s="70" t="s">
        <v>70</v>
      </c>
      <c r="R40" s="70" t="s">
        <v>70</v>
      </c>
      <c r="S40" s="70" t="s">
        <v>70</v>
      </c>
      <c r="T40" s="70" t="s">
        <v>70</v>
      </c>
      <c r="U40" s="70" t="s">
        <v>70</v>
      </c>
      <c r="V40" s="70" t="s">
        <v>70</v>
      </c>
      <c r="W40" s="70" t="s">
        <v>70</v>
      </c>
      <c r="X40" s="70" t="s">
        <v>70</v>
      </c>
      <c r="Y40" s="70" t="s">
        <v>70</v>
      </c>
      <c r="Z40" s="70" t="s">
        <v>70</v>
      </c>
      <c r="AA40" s="70" t="s">
        <v>70</v>
      </c>
      <c r="AB40" s="70" t="s">
        <v>70</v>
      </c>
      <c r="AC40" s="70" t="s">
        <v>70</v>
      </c>
      <c r="AD40" s="70" t="s">
        <v>70</v>
      </c>
      <c r="AE40" s="70" t="s">
        <v>70</v>
      </c>
      <c r="AF40" s="70" t="s">
        <v>70</v>
      </c>
      <c r="AG40" s="70" t="s">
        <v>70</v>
      </c>
      <c r="AH40" s="70" t="s">
        <v>70</v>
      </c>
      <c r="AI40" s="70" t="s">
        <v>70</v>
      </c>
      <c r="AJ40" s="60"/>
      <c r="AL40" t="str">
        <f t="shared" ca="1" si="0"/>
        <v xml:space="preserve">    (U1)ALERT_REQ_C_EPB_WRN_BAT_</v>
      </c>
      <c r="AR40" s="72" t="str">
        <f t="shared" si="3"/>
        <v/>
      </c>
      <c r="AS40" s="72" t="str">
        <f t="shared" si="4"/>
        <v/>
      </c>
      <c r="AT40" s="72" t="str">
        <f t="shared" si="1"/>
        <v/>
      </c>
    </row>
    <row r="41" spans="2:46">
      <c r="B41" s="145"/>
      <c r="C41" s="56">
        <f t="shared" si="2"/>
        <v>35</v>
      </c>
      <c r="D41" s="70" t="s">
        <v>70</v>
      </c>
      <c r="E41" s="70" t="s">
        <v>70</v>
      </c>
      <c r="F41" s="70" t="s">
        <v>70</v>
      </c>
      <c r="G41" s="70" t="s">
        <v>70</v>
      </c>
      <c r="H41" s="70" t="s">
        <v>70</v>
      </c>
      <c r="I41" s="70" t="s">
        <v>70</v>
      </c>
      <c r="J41" s="70" t="s">
        <v>70</v>
      </c>
      <c r="K41" s="70" t="s">
        <v>70</v>
      </c>
      <c r="L41" s="70" t="s">
        <v>70</v>
      </c>
      <c r="M41" s="70" t="s">
        <v>70</v>
      </c>
      <c r="N41" s="70" t="s">
        <v>70</v>
      </c>
      <c r="O41" s="70" t="s">
        <v>70</v>
      </c>
      <c r="P41" s="70" t="s">
        <v>70</v>
      </c>
      <c r="Q41" s="70" t="s">
        <v>70</v>
      </c>
      <c r="R41" s="70" t="s">
        <v>70</v>
      </c>
      <c r="S41" s="70" t="s">
        <v>70</v>
      </c>
      <c r="T41" s="70" t="s">
        <v>70</v>
      </c>
      <c r="U41" s="70" t="s">
        <v>70</v>
      </c>
      <c r="V41" s="70" t="s">
        <v>70</v>
      </c>
      <c r="W41" s="70" t="s">
        <v>70</v>
      </c>
      <c r="X41" s="70" t="s">
        <v>70</v>
      </c>
      <c r="Y41" s="70" t="s">
        <v>70</v>
      </c>
      <c r="Z41" s="70" t="s">
        <v>70</v>
      </c>
      <c r="AA41" s="70" t="s">
        <v>70</v>
      </c>
      <c r="AB41" s="70" t="s">
        <v>70</v>
      </c>
      <c r="AC41" s="70" t="s">
        <v>70</v>
      </c>
      <c r="AD41" s="70" t="s">
        <v>70</v>
      </c>
      <c r="AE41" s="70" t="s">
        <v>70</v>
      </c>
      <c r="AF41" s="70" t="s">
        <v>70</v>
      </c>
      <c r="AG41" s="70" t="s">
        <v>70</v>
      </c>
      <c r="AH41" s="70" t="s">
        <v>70</v>
      </c>
      <c r="AI41" s="70" t="s">
        <v>70</v>
      </c>
      <c r="AJ41" s="60"/>
      <c r="AL41" t="str">
        <f t="shared" ca="1" si="0"/>
        <v xml:space="preserve">    (U1)ALERT_REQ_C_EPB_WRN_BAT_</v>
      </c>
      <c r="AR41" s="72" t="str">
        <f t="shared" si="3"/>
        <v/>
      </c>
      <c r="AS41" s="72" t="str">
        <f t="shared" si="4"/>
        <v/>
      </c>
      <c r="AT41" s="72" t="str">
        <f t="shared" si="1"/>
        <v/>
      </c>
    </row>
    <row r="42" spans="2:46">
      <c r="B42" s="145"/>
      <c r="C42" s="56">
        <f t="shared" si="2"/>
        <v>36</v>
      </c>
      <c r="D42" s="70" t="s">
        <v>70</v>
      </c>
      <c r="E42" s="70" t="s">
        <v>70</v>
      </c>
      <c r="F42" s="70" t="s">
        <v>70</v>
      </c>
      <c r="G42" s="70" t="s">
        <v>70</v>
      </c>
      <c r="H42" s="70" t="s">
        <v>70</v>
      </c>
      <c r="I42" s="70" t="s">
        <v>70</v>
      </c>
      <c r="J42" s="70" t="s">
        <v>70</v>
      </c>
      <c r="K42" s="70" t="s">
        <v>70</v>
      </c>
      <c r="L42" s="70" t="s">
        <v>70</v>
      </c>
      <c r="M42" s="70" t="s">
        <v>70</v>
      </c>
      <c r="N42" s="70" t="s">
        <v>70</v>
      </c>
      <c r="O42" s="70" t="s">
        <v>70</v>
      </c>
      <c r="P42" s="70" t="s">
        <v>70</v>
      </c>
      <c r="Q42" s="70" t="s">
        <v>70</v>
      </c>
      <c r="R42" s="70" t="s">
        <v>70</v>
      </c>
      <c r="S42" s="70" t="s">
        <v>70</v>
      </c>
      <c r="T42" s="70" t="s">
        <v>70</v>
      </c>
      <c r="U42" s="70" t="s">
        <v>70</v>
      </c>
      <c r="V42" s="70" t="s">
        <v>70</v>
      </c>
      <c r="W42" s="70" t="s">
        <v>70</v>
      </c>
      <c r="X42" s="70" t="s">
        <v>70</v>
      </c>
      <c r="Y42" s="70" t="s">
        <v>70</v>
      </c>
      <c r="Z42" s="70" t="s">
        <v>70</v>
      </c>
      <c r="AA42" s="70" t="s">
        <v>70</v>
      </c>
      <c r="AB42" s="70" t="s">
        <v>70</v>
      </c>
      <c r="AC42" s="70" t="s">
        <v>70</v>
      </c>
      <c r="AD42" s="70" t="s">
        <v>70</v>
      </c>
      <c r="AE42" s="70" t="s">
        <v>70</v>
      </c>
      <c r="AF42" s="70" t="s">
        <v>70</v>
      </c>
      <c r="AG42" s="70" t="s">
        <v>70</v>
      </c>
      <c r="AH42" s="70" t="s">
        <v>70</v>
      </c>
      <c r="AI42" s="70" t="s">
        <v>70</v>
      </c>
      <c r="AJ42" s="60"/>
      <c r="AL42" t="str">
        <f t="shared" ca="1" si="0"/>
        <v xml:space="preserve">    (U1)ALERT_REQ_C_EPB_WRN_BAT_</v>
      </c>
      <c r="AR42" s="72" t="str">
        <f t="shared" si="3"/>
        <v/>
      </c>
      <c r="AS42" s="72" t="str">
        <f t="shared" si="4"/>
        <v/>
      </c>
      <c r="AT42" s="72" t="str">
        <f t="shared" si="1"/>
        <v/>
      </c>
    </row>
    <row r="43" spans="2:46">
      <c r="B43" s="145"/>
      <c r="C43" s="56">
        <f t="shared" si="2"/>
        <v>37</v>
      </c>
      <c r="D43" s="70" t="s">
        <v>70</v>
      </c>
      <c r="E43" s="70" t="s">
        <v>70</v>
      </c>
      <c r="F43" s="70" t="s">
        <v>70</v>
      </c>
      <c r="G43" s="70" t="s">
        <v>70</v>
      </c>
      <c r="H43" s="70" t="s">
        <v>70</v>
      </c>
      <c r="I43" s="70" t="s">
        <v>70</v>
      </c>
      <c r="J43" s="70" t="s">
        <v>70</v>
      </c>
      <c r="K43" s="70" t="s">
        <v>70</v>
      </c>
      <c r="L43" s="70" t="s">
        <v>70</v>
      </c>
      <c r="M43" s="70" t="s">
        <v>70</v>
      </c>
      <c r="N43" s="70" t="s">
        <v>70</v>
      </c>
      <c r="O43" s="70" t="s">
        <v>70</v>
      </c>
      <c r="P43" s="70" t="s">
        <v>70</v>
      </c>
      <c r="Q43" s="70" t="s">
        <v>70</v>
      </c>
      <c r="R43" s="70" t="s">
        <v>70</v>
      </c>
      <c r="S43" s="70" t="s">
        <v>70</v>
      </c>
      <c r="T43" s="70" t="s">
        <v>70</v>
      </c>
      <c r="U43" s="70" t="s">
        <v>70</v>
      </c>
      <c r="V43" s="70" t="s">
        <v>70</v>
      </c>
      <c r="W43" s="70" t="s">
        <v>70</v>
      </c>
      <c r="X43" s="70" t="s">
        <v>70</v>
      </c>
      <c r="Y43" s="70" t="s">
        <v>70</v>
      </c>
      <c r="Z43" s="70" t="s">
        <v>70</v>
      </c>
      <c r="AA43" s="70" t="s">
        <v>70</v>
      </c>
      <c r="AB43" s="70" t="s">
        <v>70</v>
      </c>
      <c r="AC43" s="70" t="s">
        <v>70</v>
      </c>
      <c r="AD43" s="70" t="s">
        <v>70</v>
      </c>
      <c r="AE43" s="70" t="s">
        <v>70</v>
      </c>
      <c r="AF43" s="70" t="s">
        <v>70</v>
      </c>
      <c r="AG43" s="70" t="s">
        <v>70</v>
      </c>
      <c r="AH43" s="70" t="s">
        <v>70</v>
      </c>
      <c r="AI43" s="70" t="s">
        <v>70</v>
      </c>
      <c r="AJ43" s="60"/>
      <c r="AL43" t="str">
        <f t="shared" ca="1" si="0"/>
        <v xml:space="preserve">    (U1)ALERT_REQ_C_EPB_WRN_BAT_</v>
      </c>
      <c r="AR43" s="72" t="str">
        <f t="shared" si="3"/>
        <v/>
      </c>
      <c r="AS43" s="72" t="str">
        <f t="shared" si="4"/>
        <v/>
      </c>
      <c r="AT43" s="72" t="str">
        <f t="shared" si="1"/>
        <v/>
      </c>
    </row>
    <row r="44" spans="2:46">
      <c r="B44" s="145"/>
      <c r="C44" s="56">
        <f t="shared" si="2"/>
        <v>38</v>
      </c>
      <c r="D44" s="70" t="s">
        <v>70</v>
      </c>
      <c r="E44" s="70" t="s">
        <v>70</v>
      </c>
      <c r="F44" s="70" t="s">
        <v>70</v>
      </c>
      <c r="G44" s="70" t="s">
        <v>70</v>
      </c>
      <c r="H44" s="70" t="s">
        <v>70</v>
      </c>
      <c r="I44" s="70" t="s">
        <v>70</v>
      </c>
      <c r="J44" s="70" t="s">
        <v>70</v>
      </c>
      <c r="K44" s="70" t="s">
        <v>70</v>
      </c>
      <c r="L44" s="70" t="s">
        <v>70</v>
      </c>
      <c r="M44" s="70" t="s">
        <v>70</v>
      </c>
      <c r="N44" s="70" t="s">
        <v>70</v>
      </c>
      <c r="O44" s="70" t="s">
        <v>70</v>
      </c>
      <c r="P44" s="70" t="s">
        <v>70</v>
      </c>
      <c r="Q44" s="70" t="s">
        <v>70</v>
      </c>
      <c r="R44" s="70" t="s">
        <v>70</v>
      </c>
      <c r="S44" s="70" t="s">
        <v>70</v>
      </c>
      <c r="T44" s="70" t="s">
        <v>70</v>
      </c>
      <c r="U44" s="70" t="s">
        <v>70</v>
      </c>
      <c r="V44" s="70" t="s">
        <v>70</v>
      </c>
      <c r="W44" s="70" t="s">
        <v>70</v>
      </c>
      <c r="X44" s="70" t="s">
        <v>70</v>
      </c>
      <c r="Y44" s="70" t="s">
        <v>70</v>
      </c>
      <c r="Z44" s="70" t="s">
        <v>70</v>
      </c>
      <c r="AA44" s="70" t="s">
        <v>70</v>
      </c>
      <c r="AB44" s="70" t="s">
        <v>70</v>
      </c>
      <c r="AC44" s="70" t="s">
        <v>70</v>
      </c>
      <c r="AD44" s="70" t="s">
        <v>70</v>
      </c>
      <c r="AE44" s="70" t="s">
        <v>70</v>
      </c>
      <c r="AF44" s="70" t="s">
        <v>70</v>
      </c>
      <c r="AG44" s="70" t="s">
        <v>70</v>
      </c>
      <c r="AH44" s="70" t="s">
        <v>70</v>
      </c>
      <c r="AI44" s="70" t="s">
        <v>70</v>
      </c>
      <c r="AJ44" s="60"/>
      <c r="AL44" t="str">
        <f t="shared" ca="1" si="0"/>
        <v xml:space="preserve">    (U1)ALERT_REQ_C_EPB_WRN_BAT_</v>
      </c>
      <c r="AR44" s="72" t="str">
        <f t="shared" si="3"/>
        <v/>
      </c>
      <c r="AS44" s="72" t="str">
        <f t="shared" si="4"/>
        <v/>
      </c>
      <c r="AT44" s="72" t="str">
        <f t="shared" si="1"/>
        <v/>
      </c>
    </row>
    <row r="45" spans="2:46">
      <c r="B45" s="145"/>
      <c r="C45" s="56">
        <f t="shared" si="2"/>
        <v>39</v>
      </c>
      <c r="D45" s="70" t="s">
        <v>70</v>
      </c>
      <c r="E45" s="70" t="s">
        <v>70</v>
      </c>
      <c r="F45" s="70" t="s">
        <v>70</v>
      </c>
      <c r="G45" s="70" t="s">
        <v>70</v>
      </c>
      <c r="H45" s="70" t="s">
        <v>70</v>
      </c>
      <c r="I45" s="70" t="s">
        <v>70</v>
      </c>
      <c r="J45" s="70" t="s">
        <v>70</v>
      </c>
      <c r="K45" s="70" t="s">
        <v>70</v>
      </c>
      <c r="L45" s="70" t="s">
        <v>70</v>
      </c>
      <c r="M45" s="70" t="s">
        <v>70</v>
      </c>
      <c r="N45" s="70" t="s">
        <v>70</v>
      </c>
      <c r="O45" s="70" t="s">
        <v>70</v>
      </c>
      <c r="P45" s="70" t="s">
        <v>70</v>
      </c>
      <c r="Q45" s="70" t="s">
        <v>70</v>
      </c>
      <c r="R45" s="70" t="s">
        <v>70</v>
      </c>
      <c r="S45" s="70" t="s">
        <v>70</v>
      </c>
      <c r="T45" s="70" t="s">
        <v>70</v>
      </c>
      <c r="U45" s="70" t="s">
        <v>70</v>
      </c>
      <c r="V45" s="70" t="s">
        <v>70</v>
      </c>
      <c r="W45" s="70" t="s">
        <v>70</v>
      </c>
      <c r="X45" s="70" t="s">
        <v>70</v>
      </c>
      <c r="Y45" s="70" t="s">
        <v>70</v>
      </c>
      <c r="Z45" s="70" t="s">
        <v>70</v>
      </c>
      <c r="AA45" s="70" t="s">
        <v>70</v>
      </c>
      <c r="AB45" s="70" t="s">
        <v>70</v>
      </c>
      <c r="AC45" s="70" t="s">
        <v>70</v>
      </c>
      <c r="AD45" s="70" t="s">
        <v>70</v>
      </c>
      <c r="AE45" s="70" t="s">
        <v>70</v>
      </c>
      <c r="AF45" s="70" t="s">
        <v>70</v>
      </c>
      <c r="AG45" s="70" t="s">
        <v>70</v>
      </c>
      <c r="AH45" s="70" t="s">
        <v>70</v>
      </c>
      <c r="AI45" s="70" t="s">
        <v>70</v>
      </c>
      <c r="AJ45" s="60"/>
      <c r="AL45" t="str">
        <f t="shared" ca="1" si="0"/>
        <v xml:space="preserve">    (U1)ALERT_REQ_C_EPB_WRN_BAT_</v>
      </c>
      <c r="AR45" s="72" t="str">
        <f t="shared" si="3"/>
        <v/>
      </c>
      <c r="AS45" s="72" t="str">
        <f t="shared" si="4"/>
        <v/>
      </c>
      <c r="AT45" s="72" t="str">
        <f t="shared" si="1"/>
        <v/>
      </c>
    </row>
    <row r="46" spans="2:46">
      <c r="B46" s="145"/>
      <c r="C46" s="56">
        <f t="shared" si="2"/>
        <v>40</v>
      </c>
      <c r="D46" s="70" t="s">
        <v>70</v>
      </c>
      <c r="E46" s="70" t="s">
        <v>70</v>
      </c>
      <c r="F46" s="70" t="s">
        <v>70</v>
      </c>
      <c r="G46" s="70" t="s">
        <v>70</v>
      </c>
      <c r="H46" s="70" t="s">
        <v>70</v>
      </c>
      <c r="I46" s="70" t="s">
        <v>70</v>
      </c>
      <c r="J46" s="70" t="s">
        <v>70</v>
      </c>
      <c r="K46" s="70" t="s">
        <v>70</v>
      </c>
      <c r="L46" s="70" t="s">
        <v>70</v>
      </c>
      <c r="M46" s="70" t="s">
        <v>70</v>
      </c>
      <c r="N46" s="70" t="s">
        <v>70</v>
      </c>
      <c r="O46" s="70" t="s">
        <v>70</v>
      </c>
      <c r="P46" s="70" t="s">
        <v>70</v>
      </c>
      <c r="Q46" s="70" t="s">
        <v>70</v>
      </c>
      <c r="R46" s="70" t="s">
        <v>70</v>
      </c>
      <c r="S46" s="70" t="s">
        <v>70</v>
      </c>
      <c r="T46" s="70" t="s">
        <v>70</v>
      </c>
      <c r="U46" s="70" t="s">
        <v>70</v>
      </c>
      <c r="V46" s="70" t="s">
        <v>70</v>
      </c>
      <c r="W46" s="70" t="s">
        <v>70</v>
      </c>
      <c r="X46" s="70" t="s">
        <v>70</v>
      </c>
      <c r="Y46" s="70" t="s">
        <v>70</v>
      </c>
      <c r="Z46" s="70" t="s">
        <v>70</v>
      </c>
      <c r="AA46" s="70" t="s">
        <v>70</v>
      </c>
      <c r="AB46" s="70" t="s">
        <v>70</v>
      </c>
      <c r="AC46" s="70" t="s">
        <v>70</v>
      </c>
      <c r="AD46" s="70" t="s">
        <v>70</v>
      </c>
      <c r="AE46" s="70" t="s">
        <v>70</v>
      </c>
      <c r="AF46" s="70" t="s">
        <v>70</v>
      </c>
      <c r="AG46" s="70" t="s">
        <v>70</v>
      </c>
      <c r="AH46" s="70" t="s">
        <v>70</v>
      </c>
      <c r="AI46" s="70" t="s">
        <v>70</v>
      </c>
      <c r="AJ46" s="60"/>
      <c r="AL46" t="str">
        <f t="shared" ca="1" si="0"/>
        <v xml:space="preserve">    (U1)ALERT_REQ_C_EPB_WRN_BAT_</v>
      </c>
      <c r="AR46" s="72" t="str">
        <f t="shared" si="3"/>
        <v/>
      </c>
      <c r="AS46" s="72" t="str">
        <f t="shared" si="4"/>
        <v/>
      </c>
      <c r="AT46" s="72" t="str">
        <f t="shared" si="1"/>
        <v/>
      </c>
    </row>
    <row r="47" spans="2:46">
      <c r="B47" s="145"/>
      <c r="C47" s="56">
        <f t="shared" si="2"/>
        <v>41</v>
      </c>
      <c r="D47" s="70" t="s">
        <v>70</v>
      </c>
      <c r="E47" s="70" t="s">
        <v>70</v>
      </c>
      <c r="F47" s="70" t="s">
        <v>70</v>
      </c>
      <c r="G47" s="70" t="s">
        <v>70</v>
      </c>
      <c r="H47" s="70" t="s">
        <v>70</v>
      </c>
      <c r="I47" s="70" t="s">
        <v>70</v>
      </c>
      <c r="J47" s="70" t="s">
        <v>70</v>
      </c>
      <c r="K47" s="70" t="s">
        <v>70</v>
      </c>
      <c r="L47" s="70" t="s">
        <v>70</v>
      </c>
      <c r="M47" s="70" t="s">
        <v>70</v>
      </c>
      <c r="N47" s="70" t="s">
        <v>70</v>
      </c>
      <c r="O47" s="70" t="s">
        <v>70</v>
      </c>
      <c r="P47" s="70" t="s">
        <v>70</v>
      </c>
      <c r="Q47" s="70" t="s">
        <v>70</v>
      </c>
      <c r="R47" s="70" t="s">
        <v>70</v>
      </c>
      <c r="S47" s="70" t="s">
        <v>70</v>
      </c>
      <c r="T47" s="70" t="s">
        <v>70</v>
      </c>
      <c r="U47" s="70" t="s">
        <v>70</v>
      </c>
      <c r="V47" s="70" t="s">
        <v>70</v>
      </c>
      <c r="W47" s="70" t="s">
        <v>70</v>
      </c>
      <c r="X47" s="70" t="s">
        <v>70</v>
      </c>
      <c r="Y47" s="70" t="s">
        <v>70</v>
      </c>
      <c r="Z47" s="70" t="s">
        <v>70</v>
      </c>
      <c r="AA47" s="70" t="s">
        <v>70</v>
      </c>
      <c r="AB47" s="70" t="s">
        <v>70</v>
      </c>
      <c r="AC47" s="70" t="s">
        <v>70</v>
      </c>
      <c r="AD47" s="70" t="s">
        <v>70</v>
      </c>
      <c r="AE47" s="70" t="s">
        <v>70</v>
      </c>
      <c r="AF47" s="70" t="s">
        <v>70</v>
      </c>
      <c r="AG47" s="70" t="s">
        <v>70</v>
      </c>
      <c r="AH47" s="70" t="s">
        <v>70</v>
      </c>
      <c r="AI47" s="70" t="s">
        <v>70</v>
      </c>
      <c r="AJ47" s="60"/>
      <c r="AL47" t="str">
        <f t="shared" ca="1" si="0"/>
        <v xml:space="preserve">    (U1)ALERT_REQ_C_EPB_WRN_BAT_</v>
      </c>
      <c r="AR47" s="72" t="str">
        <f t="shared" si="3"/>
        <v/>
      </c>
      <c r="AS47" s="72" t="str">
        <f t="shared" si="4"/>
        <v/>
      </c>
      <c r="AT47" s="72" t="str">
        <f t="shared" si="1"/>
        <v/>
      </c>
    </row>
    <row r="48" spans="2:46">
      <c r="B48" s="145"/>
      <c r="C48" s="56">
        <f t="shared" si="2"/>
        <v>42</v>
      </c>
      <c r="D48" s="70" t="s">
        <v>70</v>
      </c>
      <c r="E48" s="70" t="s">
        <v>70</v>
      </c>
      <c r="F48" s="70" t="s">
        <v>70</v>
      </c>
      <c r="G48" s="70" t="s">
        <v>70</v>
      </c>
      <c r="H48" s="70" t="s">
        <v>70</v>
      </c>
      <c r="I48" s="70" t="s">
        <v>70</v>
      </c>
      <c r="J48" s="70" t="s">
        <v>70</v>
      </c>
      <c r="K48" s="70" t="s">
        <v>70</v>
      </c>
      <c r="L48" s="70" t="s">
        <v>70</v>
      </c>
      <c r="M48" s="70" t="s">
        <v>70</v>
      </c>
      <c r="N48" s="70" t="s">
        <v>70</v>
      </c>
      <c r="O48" s="70" t="s">
        <v>70</v>
      </c>
      <c r="P48" s="70" t="s">
        <v>70</v>
      </c>
      <c r="Q48" s="70" t="s">
        <v>70</v>
      </c>
      <c r="R48" s="70" t="s">
        <v>70</v>
      </c>
      <c r="S48" s="70" t="s">
        <v>70</v>
      </c>
      <c r="T48" s="70" t="s">
        <v>70</v>
      </c>
      <c r="U48" s="70" t="s">
        <v>70</v>
      </c>
      <c r="V48" s="70" t="s">
        <v>70</v>
      </c>
      <c r="W48" s="70" t="s">
        <v>70</v>
      </c>
      <c r="X48" s="70" t="s">
        <v>70</v>
      </c>
      <c r="Y48" s="70" t="s">
        <v>70</v>
      </c>
      <c r="Z48" s="70" t="s">
        <v>70</v>
      </c>
      <c r="AA48" s="70" t="s">
        <v>70</v>
      </c>
      <c r="AB48" s="70" t="s">
        <v>70</v>
      </c>
      <c r="AC48" s="70" t="s">
        <v>70</v>
      </c>
      <c r="AD48" s="70" t="s">
        <v>70</v>
      </c>
      <c r="AE48" s="70" t="s">
        <v>70</v>
      </c>
      <c r="AF48" s="70" t="s">
        <v>70</v>
      </c>
      <c r="AG48" s="70" t="s">
        <v>70</v>
      </c>
      <c r="AH48" s="70" t="s">
        <v>70</v>
      </c>
      <c r="AI48" s="70" t="s">
        <v>70</v>
      </c>
      <c r="AJ48" s="60"/>
      <c r="AL48" t="str">
        <f t="shared" ca="1" si="0"/>
        <v xml:space="preserve">    (U1)ALERT_REQ_C_EPB_WRN_BAT_</v>
      </c>
      <c r="AR48" s="72" t="str">
        <f t="shared" si="3"/>
        <v/>
      </c>
      <c r="AS48" s="72" t="str">
        <f t="shared" si="4"/>
        <v/>
      </c>
      <c r="AT48" s="72" t="str">
        <f t="shared" si="1"/>
        <v/>
      </c>
    </row>
    <row r="49" spans="2:46">
      <c r="B49" s="145"/>
      <c r="C49" s="56">
        <f t="shared" si="2"/>
        <v>43</v>
      </c>
      <c r="D49" s="70" t="s">
        <v>70</v>
      </c>
      <c r="E49" s="70" t="s">
        <v>70</v>
      </c>
      <c r="F49" s="70" t="s">
        <v>70</v>
      </c>
      <c r="G49" s="70" t="s">
        <v>70</v>
      </c>
      <c r="H49" s="70" t="s">
        <v>70</v>
      </c>
      <c r="I49" s="70" t="s">
        <v>70</v>
      </c>
      <c r="J49" s="70" t="s">
        <v>70</v>
      </c>
      <c r="K49" s="70" t="s">
        <v>70</v>
      </c>
      <c r="L49" s="70" t="s">
        <v>70</v>
      </c>
      <c r="M49" s="70" t="s">
        <v>70</v>
      </c>
      <c r="N49" s="70" t="s">
        <v>70</v>
      </c>
      <c r="O49" s="70" t="s">
        <v>70</v>
      </c>
      <c r="P49" s="70" t="s">
        <v>70</v>
      </c>
      <c r="Q49" s="70" t="s">
        <v>70</v>
      </c>
      <c r="R49" s="70" t="s">
        <v>70</v>
      </c>
      <c r="S49" s="70" t="s">
        <v>70</v>
      </c>
      <c r="T49" s="70" t="s">
        <v>70</v>
      </c>
      <c r="U49" s="70" t="s">
        <v>70</v>
      </c>
      <c r="V49" s="70" t="s">
        <v>70</v>
      </c>
      <c r="W49" s="70" t="s">
        <v>70</v>
      </c>
      <c r="X49" s="70" t="s">
        <v>70</v>
      </c>
      <c r="Y49" s="70" t="s">
        <v>70</v>
      </c>
      <c r="Z49" s="70" t="s">
        <v>70</v>
      </c>
      <c r="AA49" s="70" t="s">
        <v>70</v>
      </c>
      <c r="AB49" s="70" t="s">
        <v>70</v>
      </c>
      <c r="AC49" s="70" t="s">
        <v>70</v>
      </c>
      <c r="AD49" s="70" t="s">
        <v>70</v>
      </c>
      <c r="AE49" s="70" t="s">
        <v>70</v>
      </c>
      <c r="AF49" s="70" t="s">
        <v>70</v>
      </c>
      <c r="AG49" s="70" t="s">
        <v>70</v>
      </c>
      <c r="AH49" s="70" t="s">
        <v>70</v>
      </c>
      <c r="AI49" s="70" t="s">
        <v>70</v>
      </c>
      <c r="AJ49" s="60"/>
      <c r="AL49" t="str">
        <f t="shared" ca="1" si="0"/>
        <v xml:space="preserve">    (U1)ALERT_REQ_C_EPB_WRN_BAT_</v>
      </c>
      <c r="AR49" s="72" t="str">
        <f t="shared" si="3"/>
        <v/>
      </c>
      <c r="AS49" s="72" t="str">
        <f t="shared" si="4"/>
        <v/>
      </c>
      <c r="AT49" s="72" t="str">
        <f t="shared" si="1"/>
        <v/>
      </c>
    </row>
    <row r="50" spans="2:46">
      <c r="B50" s="145"/>
      <c r="C50" s="56">
        <f t="shared" si="2"/>
        <v>44</v>
      </c>
      <c r="D50" s="70" t="s">
        <v>70</v>
      </c>
      <c r="E50" s="70" t="s">
        <v>70</v>
      </c>
      <c r="F50" s="70" t="s">
        <v>70</v>
      </c>
      <c r="G50" s="70" t="s">
        <v>70</v>
      </c>
      <c r="H50" s="70" t="s">
        <v>70</v>
      </c>
      <c r="I50" s="70" t="s">
        <v>70</v>
      </c>
      <c r="J50" s="70" t="s">
        <v>70</v>
      </c>
      <c r="K50" s="70" t="s">
        <v>70</v>
      </c>
      <c r="L50" s="70" t="s">
        <v>70</v>
      </c>
      <c r="M50" s="70" t="s">
        <v>70</v>
      </c>
      <c r="N50" s="70" t="s">
        <v>70</v>
      </c>
      <c r="O50" s="70" t="s">
        <v>70</v>
      </c>
      <c r="P50" s="70" t="s">
        <v>70</v>
      </c>
      <c r="Q50" s="70" t="s">
        <v>70</v>
      </c>
      <c r="R50" s="70" t="s">
        <v>70</v>
      </c>
      <c r="S50" s="70" t="s">
        <v>70</v>
      </c>
      <c r="T50" s="70" t="s">
        <v>70</v>
      </c>
      <c r="U50" s="70" t="s">
        <v>70</v>
      </c>
      <c r="V50" s="70" t="s">
        <v>70</v>
      </c>
      <c r="W50" s="70" t="s">
        <v>70</v>
      </c>
      <c r="X50" s="70" t="s">
        <v>70</v>
      </c>
      <c r="Y50" s="70" t="s">
        <v>70</v>
      </c>
      <c r="Z50" s="70" t="s">
        <v>70</v>
      </c>
      <c r="AA50" s="70" t="s">
        <v>70</v>
      </c>
      <c r="AB50" s="70" t="s">
        <v>70</v>
      </c>
      <c r="AC50" s="70" t="s">
        <v>70</v>
      </c>
      <c r="AD50" s="70" t="s">
        <v>70</v>
      </c>
      <c r="AE50" s="70" t="s">
        <v>70</v>
      </c>
      <c r="AF50" s="70" t="s">
        <v>70</v>
      </c>
      <c r="AG50" s="70" t="s">
        <v>70</v>
      </c>
      <c r="AH50" s="70" t="s">
        <v>70</v>
      </c>
      <c r="AI50" s="70" t="s">
        <v>70</v>
      </c>
      <c r="AJ50" s="60"/>
      <c r="AL50" t="str">
        <f t="shared" ca="1" si="0"/>
        <v xml:space="preserve">    (U1)ALERT_REQ_C_EPB_WRN_BAT_</v>
      </c>
      <c r="AR50" s="72" t="str">
        <f t="shared" si="3"/>
        <v/>
      </c>
      <c r="AS50" s="72" t="str">
        <f t="shared" si="4"/>
        <v/>
      </c>
      <c r="AT50" s="72" t="str">
        <f t="shared" si="1"/>
        <v/>
      </c>
    </row>
    <row r="51" spans="2:46">
      <c r="B51" s="145"/>
      <c r="C51" s="56">
        <f t="shared" si="2"/>
        <v>45</v>
      </c>
      <c r="D51" s="70" t="s">
        <v>70</v>
      </c>
      <c r="E51" s="70" t="s">
        <v>70</v>
      </c>
      <c r="F51" s="70" t="s">
        <v>70</v>
      </c>
      <c r="G51" s="70" t="s">
        <v>70</v>
      </c>
      <c r="H51" s="70" t="s">
        <v>70</v>
      </c>
      <c r="I51" s="70" t="s">
        <v>70</v>
      </c>
      <c r="J51" s="70" t="s">
        <v>70</v>
      </c>
      <c r="K51" s="70" t="s">
        <v>70</v>
      </c>
      <c r="L51" s="70" t="s">
        <v>70</v>
      </c>
      <c r="M51" s="70" t="s">
        <v>70</v>
      </c>
      <c r="N51" s="70" t="s">
        <v>70</v>
      </c>
      <c r="O51" s="70" t="s">
        <v>70</v>
      </c>
      <c r="P51" s="70" t="s">
        <v>70</v>
      </c>
      <c r="Q51" s="70" t="s">
        <v>70</v>
      </c>
      <c r="R51" s="70" t="s">
        <v>70</v>
      </c>
      <c r="S51" s="70" t="s">
        <v>70</v>
      </c>
      <c r="T51" s="70" t="s">
        <v>70</v>
      </c>
      <c r="U51" s="70" t="s">
        <v>70</v>
      </c>
      <c r="V51" s="70" t="s">
        <v>70</v>
      </c>
      <c r="W51" s="70" t="s">
        <v>70</v>
      </c>
      <c r="X51" s="70" t="s">
        <v>70</v>
      </c>
      <c r="Y51" s="70" t="s">
        <v>70</v>
      </c>
      <c r="Z51" s="70" t="s">
        <v>70</v>
      </c>
      <c r="AA51" s="70" t="s">
        <v>70</v>
      </c>
      <c r="AB51" s="70" t="s">
        <v>70</v>
      </c>
      <c r="AC51" s="70" t="s">
        <v>70</v>
      </c>
      <c r="AD51" s="70" t="s">
        <v>70</v>
      </c>
      <c r="AE51" s="70" t="s">
        <v>70</v>
      </c>
      <c r="AF51" s="70" t="s">
        <v>70</v>
      </c>
      <c r="AG51" s="70" t="s">
        <v>70</v>
      </c>
      <c r="AH51" s="70" t="s">
        <v>70</v>
      </c>
      <c r="AI51" s="70" t="s">
        <v>70</v>
      </c>
      <c r="AJ51" s="60"/>
      <c r="AL51" t="str">
        <f t="shared" ca="1" si="0"/>
        <v xml:space="preserve">    (U1)ALERT_REQ_C_EPB_WRN_BAT_</v>
      </c>
      <c r="AR51" s="72" t="str">
        <f t="shared" si="3"/>
        <v/>
      </c>
      <c r="AS51" s="72" t="str">
        <f t="shared" si="4"/>
        <v/>
      </c>
      <c r="AT51" s="72" t="str">
        <f t="shared" si="1"/>
        <v/>
      </c>
    </row>
    <row r="52" spans="2:46">
      <c r="B52" s="145"/>
      <c r="C52" s="56">
        <f t="shared" si="2"/>
        <v>46</v>
      </c>
      <c r="D52" s="70" t="s">
        <v>70</v>
      </c>
      <c r="E52" s="70" t="s">
        <v>70</v>
      </c>
      <c r="F52" s="70" t="s">
        <v>70</v>
      </c>
      <c r="G52" s="70" t="s">
        <v>70</v>
      </c>
      <c r="H52" s="70" t="s">
        <v>70</v>
      </c>
      <c r="I52" s="70" t="s">
        <v>70</v>
      </c>
      <c r="J52" s="70" t="s">
        <v>70</v>
      </c>
      <c r="K52" s="70" t="s">
        <v>70</v>
      </c>
      <c r="L52" s="70" t="s">
        <v>70</v>
      </c>
      <c r="M52" s="70" t="s">
        <v>70</v>
      </c>
      <c r="N52" s="70" t="s">
        <v>70</v>
      </c>
      <c r="O52" s="70" t="s">
        <v>70</v>
      </c>
      <c r="P52" s="70" t="s">
        <v>70</v>
      </c>
      <c r="Q52" s="70" t="s">
        <v>70</v>
      </c>
      <c r="R52" s="70" t="s">
        <v>70</v>
      </c>
      <c r="S52" s="70" t="s">
        <v>70</v>
      </c>
      <c r="T52" s="70" t="s">
        <v>70</v>
      </c>
      <c r="U52" s="70" t="s">
        <v>70</v>
      </c>
      <c r="V52" s="70" t="s">
        <v>70</v>
      </c>
      <c r="W52" s="70" t="s">
        <v>70</v>
      </c>
      <c r="X52" s="70" t="s">
        <v>70</v>
      </c>
      <c r="Y52" s="70" t="s">
        <v>70</v>
      </c>
      <c r="Z52" s="70" t="s">
        <v>70</v>
      </c>
      <c r="AA52" s="70" t="s">
        <v>70</v>
      </c>
      <c r="AB52" s="70" t="s">
        <v>70</v>
      </c>
      <c r="AC52" s="70" t="s">
        <v>70</v>
      </c>
      <c r="AD52" s="70" t="s">
        <v>70</v>
      </c>
      <c r="AE52" s="70" t="s">
        <v>70</v>
      </c>
      <c r="AF52" s="70" t="s">
        <v>70</v>
      </c>
      <c r="AG52" s="70" t="s">
        <v>70</v>
      </c>
      <c r="AH52" s="70" t="s">
        <v>70</v>
      </c>
      <c r="AI52" s="70" t="s">
        <v>70</v>
      </c>
      <c r="AJ52" s="60"/>
      <c r="AL52" t="str">
        <f t="shared" ca="1" si="0"/>
        <v xml:space="preserve">    (U1)ALERT_REQ_C_EPB_WRN_BAT_</v>
      </c>
      <c r="AR52" s="72" t="str">
        <f t="shared" si="3"/>
        <v/>
      </c>
      <c r="AS52" s="72" t="str">
        <f t="shared" si="4"/>
        <v/>
      </c>
      <c r="AT52" s="72" t="str">
        <f t="shared" si="1"/>
        <v/>
      </c>
    </row>
    <row r="53" spans="2:46">
      <c r="B53" s="145"/>
      <c r="C53" s="56">
        <f t="shared" si="2"/>
        <v>47</v>
      </c>
      <c r="D53" s="70" t="s">
        <v>70</v>
      </c>
      <c r="E53" s="70" t="s">
        <v>70</v>
      </c>
      <c r="F53" s="70" t="s">
        <v>70</v>
      </c>
      <c r="G53" s="70" t="s">
        <v>70</v>
      </c>
      <c r="H53" s="70" t="s">
        <v>70</v>
      </c>
      <c r="I53" s="70" t="s">
        <v>70</v>
      </c>
      <c r="J53" s="70" t="s">
        <v>70</v>
      </c>
      <c r="K53" s="70" t="s">
        <v>70</v>
      </c>
      <c r="L53" s="70" t="s">
        <v>70</v>
      </c>
      <c r="M53" s="70" t="s">
        <v>70</v>
      </c>
      <c r="N53" s="70" t="s">
        <v>70</v>
      </c>
      <c r="O53" s="70" t="s">
        <v>70</v>
      </c>
      <c r="P53" s="70" t="s">
        <v>70</v>
      </c>
      <c r="Q53" s="70" t="s">
        <v>70</v>
      </c>
      <c r="R53" s="70" t="s">
        <v>70</v>
      </c>
      <c r="S53" s="70" t="s">
        <v>70</v>
      </c>
      <c r="T53" s="70" t="s">
        <v>70</v>
      </c>
      <c r="U53" s="70" t="s">
        <v>70</v>
      </c>
      <c r="V53" s="70" t="s">
        <v>70</v>
      </c>
      <c r="W53" s="70" t="s">
        <v>70</v>
      </c>
      <c r="X53" s="70" t="s">
        <v>70</v>
      </c>
      <c r="Y53" s="70" t="s">
        <v>70</v>
      </c>
      <c r="Z53" s="70" t="s">
        <v>70</v>
      </c>
      <c r="AA53" s="70" t="s">
        <v>70</v>
      </c>
      <c r="AB53" s="70" t="s">
        <v>70</v>
      </c>
      <c r="AC53" s="70" t="s">
        <v>70</v>
      </c>
      <c r="AD53" s="70" t="s">
        <v>70</v>
      </c>
      <c r="AE53" s="70" t="s">
        <v>70</v>
      </c>
      <c r="AF53" s="70" t="s">
        <v>70</v>
      </c>
      <c r="AG53" s="70" t="s">
        <v>70</v>
      </c>
      <c r="AH53" s="70" t="s">
        <v>70</v>
      </c>
      <c r="AI53" s="70" t="s">
        <v>70</v>
      </c>
      <c r="AJ53" s="60"/>
      <c r="AL53" t="str">
        <f t="shared" ca="1" si="0"/>
        <v xml:space="preserve">    (U1)ALERT_REQ_C_EPB_WRN_BAT_</v>
      </c>
      <c r="AR53" s="72" t="str">
        <f t="shared" si="3"/>
        <v/>
      </c>
      <c r="AS53" s="72" t="str">
        <f t="shared" si="4"/>
        <v/>
      </c>
      <c r="AT53" s="72" t="str">
        <f t="shared" si="1"/>
        <v/>
      </c>
    </row>
    <row r="54" spans="2:46">
      <c r="B54" s="145"/>
      <c r="C54" s="56">
        <f t="shared" si="2"/>
        <v>48</v>
      </c>
      <c r="D54" s="70" t="s">
        <v>70</v>
      </c>
      <c r="E54" s="70" t="s">
        <v>70</v>
      </c>
      <c r="F54" s="70" t="s">
        <v>70</v>
      </c>
      <c r="G54" s="70" t="s">
        <v>70</v>
      </c>
      <c r="H54" s="70" t="s">
        <v>70</v>
      </c>
      <c r="I54" s="70" t="s">
        <v>70</v>
      </c>
      <c r="J54" s="70" t="s">
        <v>70</v>
      </c>
      <c r="K54" s="70" t="s">
        <v>70</v>
      </c>
      <c r="L54" s="70" t="s">
        <v>70</v>
      </c>
      <c r="M54" s="70" t="s">
        <v>70</v>
      </c>
      <c r="N54" s="70" t="s">
        <v>70</v>
      </c>
      <c r="O54" s="70" t="s">
        <v>70</v>
      </c>
      <c r="P54" s="70" t="s">
        <v>70</v>
      </c>
      <c r="Q54" s="70" t="s">
        <v>70</v>
      </c>
      <c r="R54" s="70" t="s">
        <v>70</v>
      </c>
      <c r="S54" s="70" t="s">
        <v>70</v>
      </c>
      <c r="T54" s="70" t="s">
        <v>70</v>
      </c>
      <c r="U54" s="70" t="s">
        <v>70</v>
      </c>
      <c r="V54" s="70" t="s">
        <v>70</v>
      </c>
      <c r="W54" s="70" t="s">
        <v>70</v>
      </c>
      <c r="X54" s="70" t="s">
        <v>70</v>
      </c>
      <c r="Y54" s="70" t="s">
        <v>70</v>
      </c>
      <c r="Z54" s="70" t="s">
        <v>70</v>
      </c>
      <c r="AA54" s="70" t="s">
        <v>70</v>
      </c>
      <c r="AB54" s="70" t="s">
        <v>70</v>
      </c>
      <c r="AC54" s="70" t="s">
        <v>70</v>
      </c>
      <c r="AD54" s="70" t="s">
        <v>70</v>
      </c>
      <c r="AE54" s="70" t="s">
        <v>70</v>
      </c>
      <c r="AF54" s="70" t="s">
        <v>70</v>
      </c>
      <c r="AG54" s="70" t="s">
        <v>70</v>
      </c>
      <c r="AH54" s="70" t="s">
        <v>70</v>
      </c>
      <c r="AI54" s="70" t="s">
        <v>70</v>
      </c>
      <c r="AJ54" s="60"/>
      <c r="AL54" t="str">
        <f t="shared" ca="1" si="0"/>
        <v xml:space="preserve">    (U1)ALERT_REQ_C_EPB_WRN_BAT_</v>
      </c>
      <c r="AR54" s="72" t="str">
        <f t="shared" si="3"/>
        <v/>
      </c>
      <c r="AS54" s="72" t="str">
        <f t="shared" si="4"/>
        <v/>
      </c>
      <c r="AT54" s="72" t="str">
        <f t="shared" si="1"/>
        <v/>
      </c>
    </row>
    <row r="55" spans="2:46">
      <c r="B55" s="145"/>
      <c r="C55" s="56">
        <f t="shared" si="2"/>
        <v>49</v>
      </c>
      <c r="D55" s="70" t="s">
        <v>70</v>
      </c>
      <c r="E55" s="70" t="s">
        <v>70</v>
      </c>
      <c r="F55" s="70" t="s">
        <v>70</v>
      </c>
      <c r="G55" s="70" t="s">
        <v>70</v>
      </c>
      <c r="H55" s="70" t="s">
        <v>70</v>
      </c>
      <c r="I55" s="70" t="s">
        <v>70</v>
      </c>
      <c r="J55" s="70" t="s">
        <v>70</v>
      </c>
      <c r="K55" s="70" t="s">
        <v>70</v>
      </c>
      <c r="L55" s="70" t="s">
        <v>70</v>
      </c>
      <c r="M55" s="70" t="s">
        <v>70</v>
      </c>
      <c r="N55" s="70" t="s">
        <v>70</v>
      </c>
      <c r="O55" s="70" t="s">
        <v>70</v>
      </c>
      <c r="P55" s="70" t="s">
        <v>70</v>
      </c>
      <c r="Q55" s="70" t="s">
        <v>70</v>
      </c>
      <c r="R55" s="70" t="s">
        <v>70</v>
      </c>
      <c r="S55" s="70" t="s">
        <v>70</v>
      </c>
      <c r="T55" s="70" t="s">
        <v>70</v>
      </c>
      <c r="U55" s="70" t="s">
        <v>70</v>
      </c>
      <c r="V55" s="70" t="s">
        <v>70</v>
      </c>
      <c r="W55" s="70" t="s">
        <v>70</v>
      </c>
      <c r="X55" s="70" t="s">
        <v>70</v>
      </c>
      <c r="Y55" s="70" t="s">
        <v>70</v>
      </c>
      <c r="Z55" s="70" t="s">
        <v>70</v>
      </c>
      <c r="AA55" s="70" t="s">
        <v>70</v>
      </c>
      <c r="AB55" s="70" t="s">
        <v>70</v>
      </c>
      <c r="AC55" s="70" t="s">
        <v>70</v>
      </c>
      <c r="AD55" s="70" t="s">
        <v>70</v>
      </c>
      <c r="AE55" s="70" t="s">
        <v>70</v>
      </c>
      <c r="AF55" s="70" t="s">
        <v>70</v>
      </c>
      <c r="AG55" s="70" t="s">
        <v>70</v>
      </c>
      <c r="AH55" s="70" t="s">
        <v>70</v>
      </c>
      <c r="AI55" s="70" t="s">
        <v>70</v>
      </c>
      <c r="AJ55" s="60"/>
      <c r="AL55" t="str">
        <f t="shared" ca="1" si="0"/>
        <v xml:space="preserve">    (U1)ALERT_REQ_C_EPB_WRN_BAT_</v>
      </c>
      <c r="AR55" s="72" t="str">
        <f t="shared" si="3"/>
        <v/>
      </c>
      <c r="AS55" s="72" t="str">
        <f t="shared" si="4"/>
        <v/>
      </c>
      <c r="AT55" s="72" t="str">
        <f t="shared" si="1"/>
        <v/>
      </c>
    </row>
    <row r="56" spans="2:46">
      <c r="B56" s="145"/>
      <c r="C56" s="56">
        <f t="shared" si="2"/>
        <v>50</v>
      </c>
      <c r="D56" s="70" t="s">
        <v>70</v>
      </c>
      <c r="E56" s="70" t="s">
        <v>70</v>
      </c>
      <c r="F56" s="70" t="s">
        <v>70</v>
      </c>
      <c r="G56" s="70" t="s">
        <v>70</v>
      </c>
      <c r="H56" s="70" t="s">
        <v>70</v>
      </c>
      <c r="I56" s="70" t="s">
        <v>70</v>
      </c>
      <c r="J56" s="70" t="s">
        <v>70</v>
      </c>
      <c r="K56" s="70" t="s">
        <v>70</v>
      </c>
      <c r="L56" s="70" t="s">
        <v>70</v>
      </c>
      <c r="M56" s="70" t="s">
        <v>70</v>
      </c>
      <c r="N56" s="70" t="s">
        <v>70</v>
      </c>
      <c r="O56" s="70" t="s">
        <v>70</v>
      </c>
      <c r="P56" s="70" t="s">
        <v>70</v>
      </c>
      <c r="Q56" s="70" t="s">
        <v>70</v>
      </c>
      <c r="R56" s="70" t="s">
        <v>70</v>
      </c>
      <c r="S56" s="70" t="s">
        <v>70</v>
      </c>
      <c r="T56" s="70" t="s">
        <v>70</v>
      </c>
      <c r="U56" s="70" t="s">
        <v>70</v>
      </c>
      <c r="V56" s="70" t="s">
        <v>70</v>
      </c>
      <c r="W56" s="70" t="s">
        <v>70</v>
      </c>
      <c r="X56" s="70" t="s">
        <v>70</v>
      </c>
      <c r="Y56" s="70" t="s">
        <v>70</v>
      </c>
      <c r="Z56" s="70" t="s">
        <v>70</v>
      </c>
      <c r="AA56" s="70" t="s">
        <v>70</v>
      </c>
      <c r="AB56" s="70" t="s">
        <v>70</v>
      </c>
      <c r="AC56" s="70" t="s">
        <v>70</v>
      </c>
      <c r="AD56" s="70" t="s">
        <v>70</v>
      </c>
      <c r="AE56" s="70" t="s">
        <v>70</v>
      </c>
      <c r="AF56" s="70" t="s">
        <v>70</v>
      </c>
      <c r="AG56" s="70" t="s">
        <v>70</v>
      </c>
      <c r="AH56" s="70" t="s">
        <v>70</v>
      </c>
      <c r="AI56" s="70" t="s">
        <v>70</v>
      </c>
      <c r="AJ56" s="60"/>
      <c r="AL56" t="str">
        <f t="shared" ca="1" si="0"/>
        <v xml:space="preserve">    (U1)ALERT_REQ_C_EPB_WRN_BAT_</v>
      </c>
      <c r="AR56" s="72" t="str">
        <f t="shared" si="3"/>
        <v/>
      </c>
      <c r="AS56" s="72" t="str">
        <f t="shared" si="4"/>
        <v/>
      </c>
      <c r="AT56" s="72" t="str">
        <f t="shared" si="1"/>
        <v/>
      </c>
    </row>
    <row r="57" spans="2:46">
      <c r="B57" s="145"/>
      <c r="C57" s="56">
        <f t="shared" si="2"/>
        <v>51</v>
      </c>
      <c r="D57" s="70" t="s">
        <v>70</v>
      </c>
      <c r="E57" s="70" t="s">
        <v>70</v>
      </c>
      <c r="F57" s="70" t="s">
        <v>70</v>
      </c>
      <c r="G57" s="70" t="s">
        <v>70</v>
      </c>
      <c r="H57" s="70" t="s">
        <v>70</v>
      </c>
      <c r="I57" s="70" t="s">
        <v>70</v>
      </c>
      <c r="J57" s="70" t="s">
        <v>70</v>
      </c>
      <c r="K57" s="70" t="s">
        <v>70</v>
      </c>
      <c r="L57" s="70" t="s">
        <v>70</v>
      </c>
      <c r="M57" s="70" t="s">
        <v>70</v>
      </c>
      <c r="N57" s="70" t="s">
        <v>70</v>
      </c>
      <c r="O57" s="70" t="s">
        <v>70</v>
      </c>
      <c r="P57" s="70" t="s">
        <v>70</v>
      </c>
      <c r="Q57" s="70" t="s">
        <v>70</v>
      </c>
      <c r="R57" s="70" t="s">
        <v>70</v>
      </c>
      <c r="S57" s="70" t="s">
        <v>70</v>
      </c>
      <c r="T57" s="70" t="s">
        <v>70</v>
      </c>
      <c r="U57" s="70" t="s">
        <v>70</v>
      </c>
      <c r="V57" s="70" t="s">
        <v>70</v>
      </c>
      <c r="W57" s="70" t="s">
        <v>70</v>
      </c>
      <c r="X57" s="70" t="s">
        <v>70</v>
      </c>
      <c r="Y57" s="70" t="s">
        <v>70</v>
      </c>
      <c r="Z57" s="70" t="s">
        <v>70</v>
      </c>
      <c r="AA57" s="70" t="s">
        <v>70</v>
      </c>
      <c r="AB57" s="70" t="s">
        <v>70</v>
      </c>
      <c r="AC57" s="70" t="s">
        <v>70</v>
      </c>
      <c r="AD57" s="70" t="s">
        <v>70</v>
      </c>
      <c r="AE57" s="70" t="s">
        <v>70</v>
      </c>
      <c r="AF57" s="70" t="s">
        <v>70</v>
      </c>
      <c r="AG57" s="70" t="s">
        <v>70</v>
      </c>
      <c r="AH57" s="70" t="s">
        <v>70</v>
      </c>
      <c r="AI57" s="70" t="s">
        <v>70</v>
      </c>
      <c r="AJ57" s="60"/>
      <c r="AL57" t="str">
        <f t="shared" ca="1" si="0"/>
        <v xml:space="preserve">    (U1)ALERT_REQ_C_EPB_WRN_BAT_</v>
      </c>
      <c r="AR57" s="72" t="str">
        <f t="shared" si="3"/>
        <v/>
      </c>
      <c r="AS57" s="72" t="str">
        <f t="shared" si="4"/>
        <v/>
      </c>
      <c r="AT57" s="72" t="str">
        <f t="shared" si="1"/>
        <v/>
      </c>
    </row>
    <row r="58" spans="2:46">
      <c r="B58" s="145"/>
      <c r="C58" s="56">
        <f t="shared" si="2"/>
        <v>52</v>
      </c>
      <c r="D58" s="70" t="s">
        <v>70</v>
      </c>
      <c r="E58" s="70" t="s">
        <v>70</v>
      </c>
      <c r="F58" s="70" t="s">
        <v>70</v>
      </c>
      <c r="G58" s="70" t="s">
        <v>70</v>
      </c>
      <c r="H58" s="70" t="s">
        <v>70</v>
      </c>
      <c r="I58" s="70" t="s">
        <v>70</v>
      </c>
      <c r="J58" s="70" t="s">
        <v>70</v>
      </c>
      <c r="K58" s="70" t="s">
        <v>70</v>
      </c>
      <c r="L58" s="70" t="s">
        <v>70</v>
      </c>
      <c r="M58" s="70" t="s">
        <v>70</v>
      </c>
      <c r="N58" s="70" t="s">
        <v>70</v>
      </c>
      <c r="O58" s="70" t="s">
        <v>70</v>
      </c>
      <c r="P58" s="70" t="s">
        <v>70</v>
      </c>
      <c r="Q58" s="70" t="s">
        <v>70</v>
      </c>
      <c r="R58" s="70" t="s">
        <v>70</v>
      </c>
      <c r="S58" s="70" t="s">
        <v>70</v>
      </c>
      <c r="T58" s="70" t="s">
        <v>70</v>
      </c>
      <c r="U58" s="70" t="s">
        <v>70</v>
      </c>
      <c r="V58" s="70" t="s">
        <v>70</v>
      </c>
      <c r="W58" s="70" t="s">
        <v>70</v>
      </c>
      <c r="X58" s="70" t="s">
        <v>70</v>
      </c>
      <c r="Y58" s="70" t="s">
        <v>70</v>
      </c>
      <c r="Z58" s="70" t="s">
        <v>70</v>
      </c>
      <c r="AA58" s="70" t="s">
        <v>70</v>
      </c>
      <c r="AB58" s="70" t="s">
        <v>70</v>
      </c>
      <c r="AC58" s="70" t="s">
        <v>70</v>
      </c>
      <c r="AD58" s="70" t="s">
        <v>70</v>
      </c>
      <c r="AE58" s="70" t="s">
        <v>70</v>
      </c>
      <c r="AF58" s="70" t="s">
        <v>70</v>
      </c>
      <c r="AG58" s="70" t="s">
        <v>70</v>
      </c>
      <c r="AH58" s="70" t="s">
        <v>70</v>
      </c>
      <c r="AI58" s="70" t="s">
        <v>70</v>
      </c>
      <c r="AJ58" s="60"/>
      <c r="AL58" t="str">
        <f t="shared" ca="1" si="0"/>
        <v xml:space="preserve">    (U1)ALERT_REQ_C_EPB_WRN_BAT_</v>
      </c>
      <c r="AR58" s="72" t="str">
        <f t="shared" si="3"/>
        <v/>
      </c>
      <c r="AS58" s="72" t="str">
        <f t="shared" si="4"/>
        <v/>
      </c>
      <c r="AT58" s="72" t="str">
        <f t="shared" si="1"/>
        <v/>
      </c>
    </row>
    <row r="59" spans="2:46">
      <c r="B59" s="145"/>
      <c r="C59" s="56">
        <f t="shared" si="2"/>
        <v>53</v>
      </c>
      <c r="D59" s="70" t="s">
        <v>70</v>
      </c>
      <c r="E59" s="70" t="s">
        <v>70</v>
      </c>
      <c r="F59" s="70" t="s">
        <v>70</v>
      </c>
      <c r="G59" s="70" t="s">
        <v>70</v>
      </c>
      <c r="H59" s="70" t="s">
        <v>70</v>
      </c>
      <c r="I59" s="70" t="s">
        <v>70</v>
      </c>
      <c r="J59" s="70" t="s">
        <v>70</v>
      </c>
      <c r="K59" s="70" t="s">
        <v>70</v>
      </c>
      <c r="L59" s="70" t="s">
        <v>70</v>
      </c>
      <c r="M59" s="70" t="s">
        <v>70</v>
      </c>
      <c r="N59" s="70" t="s">
        <v>70</v>
      </c>
      <c r="O59" s="70" t="s">
        <v>70</v>
      </c>
      <c r="P59" s="70" t="s">
        <v>70</v>
      </c>
      <c r="Q59" s="70" t="s">
        <v>70</v>
      </c>
      <c r="R59" s="70" t="s">
        <v>70</v>
      </c>
      <c r="S59" s="70" t="s">
        <v>70</v>
      </c>
      <c r="T59" s="70" t="s">
        <v>70</v>
      </c>
      <c r="U59" s="70" t="s">
        <v>70</v>
      </c>
      <c r="V59" s="70" t="s">
        <v>70</v>
      </c>
      <c r="W59" s="70" t="s">
        <v>70</v>
      </c>
      <c r="X59" s="70" t="s">
        <v>70</v>
      </c>
      <c r="Y59" s="70" t="s">
        <v>70</v>
      </c>
      <c r="Z59" s="70" t="s">
        <v>70</v>
      </c>
      <c r="AA59" s="70" t="s">
        <v>70</v>
      </c>
      <c r="AB59" s="70" t="s">
        <v>70</v>
      </c>
      <c r="AC59" s="70" t="s">
        <v>70</v>
      </c>
      <c r="AD59" s="70" t="s">
        <v>70</v>
      </c>
      <c r="AE59" s="70" t="s">
        <v>70</v>
      </c>
      <c r="AF59" s="70" t="s">
        <v>70</v>
      </c>
      <c r="AG59" s="70" t="s">
        <v>70</v>
      </c>
      <c r="AH59" s="70" t="s">
        <v>70</v>
      </c>
      <c r="AI59" s="70" t="s">
        <v>70</v>
      </c>
      <c r="AJ59" s="60"/>
      <c r="AL59" t="str">
        <f t="shared" ca="1" si="0"/>
        <v xml:space="preserve">    (U1)ALERT_REQ_C_EPB_WRN_BAT_</v>
      </c>
      <c r="AR59" s="72" t="str">
        <f t="shared" si="3"/>
        <v/>
      </c>
      <c r="AS59" s="72" t="str">
        <f t="shared" si="4"/>
        <v/>
      </c>
      <c r="AT59" s="72" t="str">
        <f t="shared" si="1"/>
        <v/>
      </c>
    </row>
    <row r="60" spans="2:46">
      <c r="B60" s="145"/>
      <c r="C60" s="56">
        <f t="shared" si="2"/>
        <v>54</v>
      </c>
      <c r="D60" s="70" t="s">
        <v>70</v>
      </c>
      <c r="E60" s="70" t="s">
        <v>70</v>
      </c>
      <c r="F60" s="70" t="s">
        <v>70</v>
      </c>
      <c r="G60" s="70" t="s">
        <v>70</v>
      </c>
      <c r="H60" s="70" t="s">
        <v>70</v>
      </c>
      <c r="I60" s="70" t="s">
        <v>70</v>
      </c>
      <c r="J60" s="70" t="s">
        <v>70</v>
      </c>
      <c r="K60" s="70" t="s">
        <v>70</v>
      </c>
      <c r="L60" s="70" t="s">
        <v>70</v>
      </c>
      <c r="M60" s="70" t="s">
        <v>70</v>
      </c>
      <c r="N60" s="70" t="s">
        <v>70</v>
      </c>
      <c r="O60" s="70" t="s">
        <v>70</v>
      </c>
      <c r="P60" s="70" t="s">
        <v>70</v>
      </c>
      <c r="Q60" s="70" t="s">
        <v>70</v>
      </c>
      <c r="R60" s="70" t="s">
        <v>70</v>
      </c>
      <c r="S60" s="70" t="s">
        <v>70</v>
      </c>
      <c r="T60" s="70" t="s">
        <v>70</v>
      </c>
      <c r="U60" s="70" t="s">
        <v>70</v>
      </c>
      <c r="V60" s="70" t="s">
        <v>70</v>
      </c>
      <c r="W60" s="70" t="s">
        <v>70</v>
      </c>
      <c r="X60" s="70" t="s">
        <v>70</v>
      </c>
      <c r="Y60" s="70" t="s">
        <v>70</v>
      </c>
      <c r="Z60" s="70" t="s">
        <v>70</v>
      </c>
      <c r="AA60" s="70" t="s">
        <v>70</v>
      </c>
      <c r="AB60" s="70" t="s">
        <v>70</v>
      </c>
      <c r="AC60" s="70" t="s">
        <v>70</v>
      </c>
      <c r="AD60" s="70" t="s">
        <v>70</v>
      </c>
      <c r="AE60" s="70" t="s">
        <v>70</v>
      </c>
      <c r="AF60" s="70" t="s">
        <v>70</v>
      </c>
      <c r="AG60" s="70" t="s">
        <v>70</v>
      </c>
      <c r="AH60" s="70" t="s">
        <v>70</v>
      </c>
      <c r="AI60" s="70" t="s">
        <v>70</v>
      </c>
      <c r="AJ60" s="60"/>
      <c r="AL60" t="str">
        <f t="shared" ca="1" si="0"/>
        <v xml:space="preserve">    (U1)ALERT_REQ_C_EPB_WRN_BAT_</v>
      </c>
      <c r="AR60" s="72" t="str">
        <f t="shared" si="3"/>
        <v/>
      </c>
      <c r="AS60" s="72" t="str">
        <f t="shared" si="4"/>
        <v/>
      </c>
      <c r="AT60" s="72" t="str">
        <f t="shared" si="1"/>
        <v/>
      </c>
    </row>
    <row r="61" spans="2:46">
      <c r="B61" s="145"/>
      <c r="C61" s="56">
        <f t="shared" si="2"/>
        <v>55</v>
      </c>
      <c r="D61" s="70" t="s">
        <v>70</v>
      </c>
      <c r="E61" s="70" t="s">
        <v>70</v>
      </c>
      <c r="F61" s="70" t="s">
        <v>70</v>
      </c>
      <c r="G61" s="70" t="s">
        <v>70</v>
      </c>
      <c r="H61" s="70" t="s">
        <v>70</v>
      </c>
      <c r="I61" s="70" t="s">
        <v>70</v>
      </c>
      <c r="J61" s="70" t="s">
        <v>70</v>
      </c>
      <c r="K61" s="70" t="s">
        <v>70</v>
      </c>
      <c r="L61" s="70" t="s">
        <v>70</v>
      </c>
      <c r="M61" s="70" t="s">
        <v>70</v>
      </c>
      <c r="N61" s="70" t="s">
        <v>70</v>
      </c>
      <c r="O61" s="70" t="s">
        <v>70</v>
      </c>
      <c r="P61" s="70" t="s">
        <v>70</v>
      </c>
      <c r="Q61" s="70" t="s">
        <v>70</v>
      </c>
      <c r="R61" s="70" t="s">
        <v>70</v>
      </c>
      <c r="S61" s="70" t="s">
        <v>70</v>
      </c>
      <c r="T61" s="70" t="s">
        <v>70</v>
      </c>
      <c r="U61" s="70" t="s">
        <v>70</v>
      </c>
      <c r="V61" s="70" t="s">
        <v>70</v>
      </c>
      <c r="W61" s="70" t="s">
        <v>70</v>
      </c>
      <c r="X61" s="70" t="s">
        <v>70</v>
      </c>
      <c r="Y61" s="70" t="s">
        <v>70</v>
      </c>
      <c r="Z61" s="70" t="s">
        <v>70</v>
      </c>
      <c r="AA61" s="70" t="s">
        <v>70</v>
      </c>
      <c r="AB61" s="70" t="s">
        <v>70</v>
      </c>
      <c r="AC61" s="70" t="s">
        <v>70</v>
      </c>
      <c r="AD61" s="70" t="s">
        <v>70</v>
      </c>
      <c r="AE61" s="70" t="s">
        <v>70</v>
      </c>
      <c r="AF61" s="70" t="s">
        <v>70</v>
      </c>
      <c r="AG61" s="70" t="s">
        <v>70</v>
      </c>
      <c r="AH61" s="70" t="s">
        <v>70</v>
      </c>
      <c r="AI61" s="70" t="s">
        <v>70</v>
      </c>
      <c r="AJ61" s="60"/>
      <c r="AL61" t="str">
        <f t="shared" ca="1" si="0"/>
        <v xml:space="preserve">    (U1)ALERT_REQ_C_EPB_WRN_BAT_</v>
      </c>
      <c r="AR61" s="72" t="str">
        <f t="shared" si="3"/>
        <v/>
      </c>
      <c r="AS61" s="72" t="str">
        <f t="shared" si="4"/>
        <v/>
      </c>
      <c r="AT61" s="72" t="str">
        <f t="shared" si="1"/>
        <v/>
      </c>
    </row>
    <row r="62" spans="2:46">
      <c r="B62" s="145"/>
      <c r="C62" s="56">
        <f t="shared" si="2"/>
        <v>56</v>
      </c>
      <c r="D62" s="70" t="s">
        <v>70</v>
      </c>
      <c r="E62" s="70" t="s">
        <v>70</v>
      </c>
      <c r="F62" s="70" t="s">
        <v>70</v>
      </c>
      <c r="G62" s="70" t="s">
        <v>70</v>
      </c>
      <c r="H62" s="70" t="s">
        <v>70</v>
      </c>
      <c r="I62" s="70" t="s">
        <v>70</v>
      </c>
      <c r="J62" s="70" t="s">
        <v>70</v>
      </c>
      <c r="K62" s="70" t="s">
        <v>70</v>
      </c>
      <c r="L62" s="70" t="s">
        <v>70</v>
      </c>
      <c r="M62" s="70" t="s">
        <v>70</v>
      </c>
      <c r="N62" s="70" t="s">
        <v>70</v>
      </c>
      <c r="O62" s="70" t="s">
        <v>70</v>
      </c>
      <c r="P62" s="70" t="s">
        <v>70</v>
      </c>
      <c r="Q62" s="70" t="s">
        <v>70</v>
      </c>
      <c r="R62" s="70" t="s">
        <v>70</v>
      </c>
      <c r="S62" s="70" t="s">
        <v>70</v>
      </c>
      <c r="T62" s="70" t="s">
        <v>70</v>
      </c>
      <c r="U62" s="70" t="s">
        <v>70</v>
      </c>
      <c r="V62" s="70" t="s">
        <v>70</v>
      </c>
      <c r="W62" s="70" t="s">
        <v>70</v>
      </c>
      <c r="X62" s="70" t="s">
        <v>70</v>
      </c>
      <c r="Y62" s="70" t="s">
        <v>70</v>
      </c>
      <c r="Z62" s="70" t="s">
        <v>70</v>
      </c>
      <c r="AA62" s="70" t="s">
        <v>70</v>
      </c>
      <c r="AB62" s="70" t="s">
        <v>70</v>
      </c>
      <c r="AC62" s="70" t="s">
        <v>70</v>
      </c>
      <c r="AD62" s="70" t="s">
        <v>70</v>
      </c>
      <c r="AE62" s="70" t="s">
        <v>70</v>
      </c>
      <c r="AF62" s="70" t="s">
        <v>70</v>
      </c>
      <c r="AG62" s="70" t="s">
        <v>70</v>
      </c>
      <c r="AH62" s="70" t="s">
        <v>70</v>
      </c>
      <c r="AI62" s="70" t="s">
        <v>70</v>
      </c>
      <c r="AJ62" s="60"/>
      <c r="AL62" t="str">
        <f t="shared" ca="1" si="0"/>
        <v xml:space="preserve">    (U1)ALERT_REQ_C_EPB_WRN_BAT_</v>
      </c>
      <c r="AR62" s="72" t="str">
        <f t="shared" si="3"/>
        <v/>
      </c>
      <c r="AS62" s="72" t="str">
        <f t="shared" si="4"/>
        <v/>
      </c>
      <c r="AT62" s="72" t="str">
        <f t="shared" si="1"/>
        <v/>
      </c>
    </row>
    <row r="63" spans="2:46">
      <c r="B63" s="145"/>
      <c r="C63" s="56">
        <f t="shared" si="2"/>
        <v>57</v>
      </c>
      <c r="D63" s="70" t="s">
        <v>70</v>
      </c>
      <c r="E63" s="70" t="s">
        <v>70</v>
      </c>
      <c r="F63" s="70" t="s">
        <v>70</v>
      </c>
      <c r="G63" s="70" t="s">
        <v>70</v>
      </c>
      <c r="H63" s="70" t="s">
        <v>70</v>
      </c>
      <c r="I63" s="70" t="s">
        <v>70</v>
      </c>
      <c r="J63" s="70" t="s">
        <v>70</v>
      </c>
      <c r="K63" s="70" t="s">
        <v>70</v>
      </c>
      <c r="L63" s="70" t="s">
        <v>70</v>
      </c>
      <c r="M63" s="70" t="s">
        <v>70</v>
      </c>
      <c r="N63" s="70" t="s">
        <v>70</v>
      </c>
      <c r="O63" s="70" t="s">
        <v>70</v>
      </c>
      <c r="P63" s="70" t="s">
        <v>70</v>
      </c>
      <c r="Q63" s="70" t="s">
        <v>70</v>
      </c>
      <c r="R63" s="70" t="s">
        <v>70</v>
      </c>
      <c r="S63" s="70" t="s">
        <v>70</v>
      </c>
      <c r="T63" s="70" t="s">
        <v>70</v>
      </c>
      <c r="U63" s="70" t="s">
        <v>70</v>
      </c>
      <c r="V63" s="70" t="s">
        <v>70</v>
      </c>
      <c r="W63" s="70" t="s">
        <v>70</v>
      </c>
      <c r="X63" s="70" t="s">
        <v>70</v>
      </c>
      <c r="Y63" s="70" t="s">
        <v>70</v>
      </c>
      <c r="Z63" s="70" t="s">
        <v>70</v>
      </c>
      <c r="AA63" s="70" t="s">
        <v>70</v>
      </c>
      <c r="AB63" s="70" t="s">
        <v>70</v>
      </c>
      <c r="AC63" s="70" t="s">
        <v>70</v>
      </c>
      <c r="AD63" s="70" t="s">
        <v>70</v>
      </c>
      <c r="AE63" s="70" t="s">
        <v>70</v>
      </c>
      <c r="AF63" s="70" t="s">
        <v>70</v>
      </c>
      <c r="AG63" s="70" t="s">
        <v>70</v>
      </c>
      <c r="AH63" s="70" t="s">
        <v>70</v>
      </c>
      <c r="AI63" s="70" t="s">
        <v>70</v>
      </c>
      <c r="AJ63" s="60"/>
      <c r="AL63" t="str">
        <f t="shared" ca="1" si="0"/>
        <v xml:space="preserve">    (U1)ALERT_REQ_C_EPB_WRN_BAT_</v>
      </c>
      <c r="AR63" s="72" t="str">
        <f t="shared" si="3"/>
        <v/>
      </c>
      <c r="AS63" s="72" t="str">
        <f t="shared" si="4"/>
        <v/>
      </c>
      <c r="AT63" s="72" t="str">
        <f t="shared" si="1"/>
        <v/>
      </c>
    </row>
    <row r="64" spans="2:46">
      <c r="B64" s="145"/>
      <c r="C64" s="56">
        <f t="shared" si="2"/>
        <v>58</v>
      </c>
      <c r="D64" s="70" t="s">
        <v>70</v>
      </c>
      <c r="E64" s="70" t="s">
        <v>70</v>
      </c>
      <c r="F64" s="70" t="s">
        <v>70</v>
      </c>
      <c r="G64" s="70" t="s">
        <v>70</v>
      </c>
      <c r="H64" s="70" t="s">
        <v>70</v>
      </c>
      <c r="I64" s="70" t="s">
        <v>70</v>
      </c>
      <c r="J64" s="70" t="s">
        <v>70</v>
      </c>
      <c r="K64" s="70" t="s">
        <v>70</v>
      </c>
      <c r="L64" s="70" t="s">
        <v>70</v>
      </c>
      <c r="M64" s="70" t="s">
        <v>70</v>
      </c>
      <c r="N64" s="70" t="s">
        <v>70</v>
      </c>
      <c r="O64" s="70" t="s">
        <v>70</v>
      </c>
      <c r="P64" s="70" t="s">
        <v>70</v>
      </c>
      <c r="Q64" s="70" t="s">
        <v>70</v>
      </c>
      <c r="R64" s="70" t="s">
        <v>70</v>
      </c>
      <c r="S64" s="70" t="s">
        <v>70</v>
      </c>
      <c r="T64" s="70" t="s">
        <v>70</v>
      </c>
      <c r="U64" s="70" t="s">
        <v>70</v>
      </c>
      <c r="V64" s="70" t="s">
        <v>70</v>
      </c>
      <c r="W64" s="70" t="s">
        <v>70</v>
      </c>
      <c r="X64" s="70" t="s">
        <v>70</v>
      </c>
      <c r="Y64" s="70" t="s">
        <v>70</v>
      </c>
      <c r="Z64" s="70" t="s">
        <v>70</v>
      </c>
      <c r="AA64" s="70" t="s">
        <v>70</v>
      </c>
      <c r="AB64" s="70" t="s">
        <v>70</v>
      </c>
      <c r="AC64" s="70" t="s">
        <v>70</v>
      </c>
      <c r="AD64" s="70" t="s">
        <v>70</v>
      </c>
      <c r="AE64" s="70" t="s">
        <v>70</v>
      </c>
      <c r="AF64" s="70" t="s">
        <v>70</v>
      </c>
      <c r="AG64" s="70" t="s">
        <v>70</v>
      </c>
      <c r="AH64" s="70" t="s">
        <v>70</v>
      </c>
      <c r="AI64" s="70" t="s">
        <v>70</v>
      </c>
      <c r="AJ64" s="60"/>
      <c r="AL64" t="str">
        <f t="shared" ca="1" si="0"/>
        <v xml:space="preserve">    (U1)ALERT_REQ_C_EPB_WRN_BAT_</v>
      </c>
      <c r="AR64" s="72" t="str">
        <f t="shared" si="3"/>
        <v/>
      </c>
      <c r="AS64" s="72" t="str">
        <f t="shared" si="4"/>
        <v/>
      </c>
      <c r="AT64" s="72" t="str">
        <f t="shared" si="1"/>
        <v/>
      </c>
    </row>
    <row r="65" spans="1:46">
      <c r="B65" s="145"/>
      <c r="C65" s="56">
        <f t="shared" si="2"/>
        <v>59</v>
      </c>
      <c r="D65" s="70" t="s">
        <v>70</v>
      </c>
      <c r="E65" s="70" t="s">
        <v>70</v>
      </c>
      <c r="F65" s="70" t="s">
        <v>70</v>
      </c>
      <c r="G65" s="70" t="s">
        <v>70</v>
      </c>
      <c r="H65" s="70" t="s">
        <v>70</v>
      </c>
      <c r="I65" s="70" t="s">
        <v>70</v>
      </c>
      <c r="J65" s="70" t="s">
        <v>70</v>
      </c>
      <c r="K65" s="70" t="s">
        <v>70</v>
      </c>
      <c r="L65" s="70" t="s">
        <v>70</v>
      </c>
      <c r="M65" s="70" t="s">
        <v>70</v>
      </c>
      <c r="N65" s="70" t="s">
        <v>70</v>
      </c>
      <c r="O65" s="70" t="s">
        <v>70</v>
      </c>
      <c r="P65" s="70" t="s">
        <v>70</v>
      </c>
      <c r="Q65" s="70" t="s">
        <v>70</v>
      </c>
      <c r="R65" s="70" t="s">
        <v>70</v>
      </c>
      <c r="S65" s="70" t="s">
        <v>70</v>
      </c>
      <c r="T65" s="70" t="s">
        <v>70</v>
      </c>
      <c r="U65" s="70" t="s">
        <v>70</v>
      </c>
      <c r="V65" s="70" t="s">
        <v>70</v>
      </c>
      <c r="W65" s="70" t="s">
        <v>70</v>
      </c>
      <c r="X65" s="70" t="s">
        <v>70</v>
      </c>
      <c r="Y65" s="70" t="s">
        <v>70</v>
      </c>
      <c r="Z65" s="70" t="s">
        <v>70</v>
      </c>
      <c r="AA65" s="70" t="s">
        <v>70</v>
      </c>
      <c r="AB65" s="70" t="s">
        <v>70</v>
      </c>
      <c r="AC65" s="70" t="s">
        <v>70</v>
      </c>
      <c r="AD65" s="70" t="s">
        <v>70</v>
      </c>
      <c r="AE65" s="70" t="s">
        <v>70</v>
      </c>
      <c r="AF65" s="70" t="s">
        <v>70</v>
      </c>
      <c r="AG65" s="70" t="s">
        <v>70</v>
      </c>
      <c r="AH65" s="70" t="s">
        <v>70</v>
      </c>
      <c r="AI65" s="70" t="s">
        <v>70</v>
      </c>
      <c r="AJ65" s="60"/>
      <c r="AL65" t="str">
        <f t="shared" ca="1" si="0"/>
        <v xml:space="preserve">    (U1)ALERT_REQ_C_EPB_WRN_BAT_</v>
      </c>
      <c r="AR65" s="72" t="str">
        <f t="shared" si="3"/>
        <v/>
      </c>
      <c r="AS65" s="72" t="str">
        <f t="shared" si="4"/>
        <v/>
      </c>
      <c r="AT65" s="72" t="str">
        <f t="shared" si="1"/>
        <v/>
      </c>
    </row>
    <row r="66" spans="1:46">
      <c r="B66" s="145"/>
      <c r="C66" s="56">
        <f t="shared" si="2"/>
        <v>60</v>
      </c>
      <c r="D66" s="70" t="s">
        <v>70</v>
      </c>
      <c r="E66" s="70" t="s">
        <v>70</v>
      </c>
      <c r="F66" s="70" t="s">
        <v>70</v>
      </c>
      <c r="G66" s="70" t="s">
        <v>70</v>
      </c>
      <c r="H66" s="70" t="s">
        <v>70</v>
      </c>
      <c r="I66" s="70" t="s">
        <v>70</v>
      </c>
      <c r="J66" s="70" t="s">
        <v>70</v>
      </c>
      <c r="K66" s="70" t="s">
        <v>70</v>
      </c>
      <c r="L66" s="70" t="s">
        <v>70</v>
      </c>
      <c r="M66" s="70" t="s">
        <v>70</v>
      </c>
      <c r="N66" s="70" t="s">
        <v>70</v>
      </c>
      <c r="O66" s="70" t="s">
        <v>70</v>
      </c>
      <c r="P66" s="70" t="s">
        <v>70</v>
      </c>
      <c r="Q66" s="70" t="s">
        <v>70</v>
      </c>
      <c r="R66" s="70" t="s">
        <v>70</v>
      </c>
      <c r="S66" s="70" t="s">
        <v>70</v>
      </c>
      <c r="T66" s="70" t="s">
        <v>70</v>
      </c>
      <c r="U66" s="70" t="s">
        <v>70</v>
      </c>
      <c r="V66" s="70" t="s">
        <v>70</v>
      </c>
      <c r="W66" s="70" t="s">
        <v>70</v>
      </c>
      <c r="X66" s="70" t="s">
        <v>70</v>
      </c>
      <c r="Y66" s="70" t="s">
        <v>70</v>
      </c>
      <c r="Z66" s="70" t="s">
        <v>70</v>
      </c>
      <c r="AA66" s="70" t="s">
        <v>70</v>
      </c>
      <c r="AB66" s="70" t="s">
        <v>70</v>
      </c>
      <c r="AC66" s="70" t="s">
        <v>70</v>
      </c>
      <c r="AD66" s="70" t="s">
        <v>70</v>
      </c>
      <c r="AE66" s="70" t="s">
        <v>70</v>
      </c>
      <c r="AF66" s="70" t="s">
        <v>70</v>
      </c>
      <c r="AG66" s="70" t="s">
        <v>70</v>
      </c>
      <c r="AH66" s="70" t="s">
        <v>70</v>
      </c>
      <c r="AI66" s="70" t="s">
        <v>70</v>
      </c>
      <c r="AJ66" s="60"/>
      <c r="AL66" t="str">
        <f t="shared" ca="1" si="0"/>
        <v xml:space="preserve">    (U1)ALERT_REQ_C_EPB_WRN_BAT_</v>
      </c>
      <c r="AR66" s="72" t="str">
        <f t="shared" si="3"/>
        <v/>
      </c>
      <c r="AS66" s="72" t="str">
        <f t="shared" si="4"/>
        <v/>
      </c>
      <c r="AT66" s="72" t="str">
        <f t="shared" si="1"/>
        <v/>
      </c>
    </row>
    <row r="67" spans="1:46">
      <c r="B67" s="145"/>
      <c r="C67" s="56">
        <f t="shared" si="2"/>
        <v>61</v>
      </c>
      <c r="D67" s="70" t="s">
        <v>70</v>
      </c>
      <c r="E67" s="70" t="s">
        <v>70</v>
      </c>
      <c r="F67" s="70" t="s">
        <v>70</v>
      </c>
      <c r="G67" s="70" t="s">
        <v>70</v>
      </c>
      <c r="H67" s="70" t="s">
        <v>70</v>
      </c>
      <c r="I67" s="70" t="s">
        <v>70</v>
      </c>
      <c r="J67" s="70" t="s">
        <v>70</v>
      </c>
      <c r="K67" s="70" t="s">
        <v>70</v>
      </c>
      <c r="L67" s="70" t="s">
        <v>70</v>
      </c>
      <c r="M67" s="70" t="s">
        <v>70</v>
      </c>
      <c r="N67" s="70" t="s">
        <v>70</v>
      </c>
      <c r="O67" s="70" t="s">
        <v>70</v>
      </c>
      <c r="P67" s="70" t="s">
        <v>70</v>
      </c>
      <c r="Q67" s="70" t="s">
        <v>70</v>
      </c>
      <c r="R67" s="70" t="s">
        <v>70</v>
      </c>
      <c r="S67" s="70" t="s">
        <v>70</v>
      </c>
      <c r="T67" s="70" t="s">
        <v>70</v>
      </c>
      <c r="U67" s="70" t="s">
        <v>70</v>
      </c>
      <c r="V67" s="70" t="s">
        <v>70</v>
      </c>
      <c r="W67" s="70" t="s">
        <v>70</v>
      </c>
      <c r="X67" s="70" t="s">
        <v>70</v>
      </c>
      <c r="Y67" s="70" t="s">
        <v>70</v>
      </c>
      <c r="Z67" s="70" t="s">
        <v>70</v>
      </c>
      <c r="AA67" s="70" t="s">
        <v>70</v>
      </c>
      <c r="AB67" s="70" t="s">
        <v>70</v>
      </c>
      <c r="AC67" s="70" t="s">
        <v>70</v>
      </c>
      <c r="AD67" s="70" t="s">
        <v>70</v>
      </c>
      <c r="AE67" s="70" t="s">
        <v>70</v>
      </c>
      <c r="AF67" s="70" t="s">
        <v>70</v>
      </c>
      <c r="AG67" s="70" t="s">
        <v>70</v>
      </c>
      <c r="AH67" s="70" t="s">
        <v>70</v>
      </c>
      <c r="AI67" s="70" t="s">
        <v>70</v>
      </c>
      <c r="AJ67" s="60"/>
      <c r="AL67" t="str">
        <f t="shared" ca="1" si="0"/>
        <v xml:space="preserve">    (U1)ALERT_REQ_C_EPB_WRN_BAT_</v>
      </c>
      <c r="AR67" s="72" t="str">
        <f t="shared" si="3"/>
        <v/>
      </c>
      <c r="AS67" s="72" t="str">
        <f t="shared" si="4"/>
        <v/>
      </c>
      <c r="AT67" s="72" t="str">
        <f t="shared" si="1"/>
        <v/>
      </c>
    </row>
    <row r="68" spans="1:46">
      <c r="B68" s="145"/>
      <c r="C68" s="56">
        <f t="shared" si="2"/>
        <v>62</v>
      </c>
      <c r="D68" s="70" t="s">
        <v>70</v>
      </c>
      <c r="E68" s="70" t="s">
        <v>70</v>
      </c>
      <c r="F68" s="70" t="s">
        <v>70</v>
      </c>
      <c r="G68" s="70" t="s">
        <v>70</v>
      </c>
      <c r="H68" s="70" t="s">
        <v>70</v>
      </c>
      <c r="I68" s="70" t="s">
        <v>70</v>
      </c>
      <c r="J68" s="70" t="s">
        <v>70</v>
      </c>
      <c r="K68" s="70" t="s">
        <v>70</v>
      </c>
      <c r="L68" s="70" t="s">
        <v>70</v>
      </c>
      <c r="M68" s="70" t="s">
        <v>70</v>
      </c>
      <c r="N68" s="70" t="s">
        <v>70</v>
      </c>
      <c r="O68" s="70" t="s">
        <v>70</v>
      </c>
      <c r="P68" s="70" t="s">
        <v>70</v>
      </c>
      <c r="Q68" s="70" t="s">
        <v>70</v>
      </c>
      <c r="R68" s="70" t="s">
        <v>70</v>
      </c>
      <c r="S68" s="70" t="s">
        <v>70</v>
      </c>
      <c r="T68" s="70" t="s">
        <v>70</v>
      </c>
      <c r="U68" s="70" t="s">
        <v>70</v>
      </c>
      <c r="V68" s="70" t="s">
        <v>70</v>
      </c>
      <c r="W68" s="70" t="s">
        <v>70</v>
      </c>
      <c r="X68" s="70" t="s">
        <v>70</v>
      </c>
      <c r="Y68" s="70" t="s">
        <v>70</v>
      </c>
      <c r="Z68" s="70" t="s">
        <v>70</v>
      </c>
      <c r="AA68" s="70" t="s">
        <v>70</v>
      </c>
      <c r="AB68" s="70" t="s">
        <v>70</v>
      </c>
      <c r="AC68" s="70" t="s">
        <v>70</v>
      </c>
      <c r="AD68" s="70" t="s">
        <v>70</v>
      </c>
      <c r="AE68" s="70" t="s">
        <v>70</v>
      </c>
      <c r="AF68" s="70" t="s">
        <v>70</v>
      </c>
      <c r="AG68" s="70" t="s">
        <v>70</v>
      </c>
      <c r="AH68" s="70" t="s">
        <v>70</v>
      </c>
      <c r="AI68" s="70" t="s">
        <v>70</v>
      </c>
      <c r="AJ68" s="60"/>
      <c r="AL68" t="str">
        <f t="shared" ca="1" si="0"/>
        <v xml:space="preserve">    (U1)ALERT_REQ_C_EPB_WRN_BAT_</v>
      </c>
      <c r="AR68" s="72" t="str">
        <f t="shared" si="3"/>
        <v/>
      </c>
      <c r="AS68" s="72" t="str">
        <f t="shared" si="4"/>
        <v/>
      </c>
      <c r="AT68" s="72" t="str">
        <f t="shared" si="1"/>
        <v/>
      </c>
    </row>
    <row r="69" spans="1:46">
      <c r="B69" s="146"/>
      <c r="C69" s="56">
        <f t="shared" si="2"/>
        <v>63</v>
      </c>
      <c r="D69" s="70" t="s">
        <v>70</v>
      </c>
      <c r="E69" s="70" t="s">
        <v>70</v>
      </c>
      <c r="F69" s="70" t="s">
        <v>70</v>
      </c>
      <c r="G69" s="70" t="s">
        <v>70</v>
      </c>
      <c r="H69" s="70" t="s">
        <v>70</v>
      </c>
      <c r="I69" s="70" t="s">
        <v>70</v>
      </c>
      <c r="J69" s="70" t="s">
        <v>70</v>
      </c>
      <c r="K69" s="70" t="s">
        <v>70</v>
      </c>
      <c r="L69" s="70" t="s">
        <v>70</v>
      </c>
      <c r="M69" s="70" t="s">
        <v>70</v>
      </c>
      <c r="N69" s="70" t="s">
        <v>70</v>
      </c>
      <c r="O69" s="70" t="s">
        <v>70</v>
      </c>
      <c r="P69" s="70" t="s">
        <v>70</v>
      </c>
      <c r="Q69" s="70" t="s">
        <v>70</v>
      </c>
      <c r="R69" s="70" t="s">
        <v>70</v>
      </c>
      <c r="S69" s="70" t="s">
        <v>70</v>
      </c>
      <c r="T69" s="70" t="s">
        <v>70</v>
      </c>
      <c r="U69" s="70" t="s">
        <v>70</v>
      </c>
      <c r="V69" s="70" t="s">
        <v>70</v>
      </c>
      <c r="W69" s="70" t="s">
        <v>70</v>
      </c>
      <c r="X69" s="70" t="s">
        <v>70</v>
      </c>
      <c r="Y69" s="70" t="s">
        <v>70</v>
      </c>
      <c r="Z69" s="70" t="s">
        <v>70</v>
      </c>
      <c r="AA69" s="70" t="s">
        <v>70</v>
      </c>
      <c r="AB69" s="70" t="s">
        <v>70</v>
      </c>
      <c r="AC69" s="70" t="s">
        <v>70</v>
      </c>
      <c r="AD69" s="70" t="s">
        <v>70</v>
      </c>
      <c r="AE69" s="70" t="s">
        <v>70</v>
      </c>
      <c r="AF69" s="70" t="s">
        <v>70</v>
      </c>
      <c r="AG69" s="70" t="s">
        <v>70</v>
      </c>
      <c r="AH69" s="70" t="s">
        <v>70</v>
      </c>
      <c r="AI69" s="70" t="s">
        <v>70</v>
      </c>
      <c r="AJ69" s="60"/>
      <c r="AL69" t="str">
        <f t="shared" ca="1" si="0"/>
        <v xml:space="preserve">    (U1)ALERT_REQ_C_EPB_WRN_BAT_</v>
      </c>
      <c r="AR69" s="72" t="str">
        <f t="shared" si="3"/>
        <v/>
      </c>
      <c r="AS69" s="72" t="str">
        <f t="shared" si="4"/>
        <v/>
      </c>
      <c r="AT69" s="72" t="str">
        <f t="shared" si="1"/>
        <v/>
      </c>
    </row>
    <row r="70" spans="1:46" ht="13.5" thickBot="1">
      <c r="A70" s="65" t="s">
        <v>67</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7" t="str">
        <f ca="1">IF(B6&lt;&gt;"",B6,"")</f>
        <v>Table WRN_BAT</v>
      </c>
      <c r="C71" s="56">
        <f>IF(C6&lt;&gt;"",C6,"")</f>
        <v>0</v>
      </c>
      <c r="D71" s="137">
        <f t="shared" ref="D71:AI78" si="6">IF(D6=1,1,0)</f>
        <v>0</v>
      </c>
      <c r="E71" s="137">
        <f t="shared" si="6"/>
        <v>0</v>
      </c>
      <c r="F71" s="137">
        <f t="shared" si="6"/>
        <v>0</v>
      </c>
      <c r="G71" s="137">
        <f t="shared" si="6"/>
        <v>0</v>
      </c>
      <c r="H71" s="137">
        <f t="shared" si="6"/>
        <v>0</v>
      </c>
      <c r="I71" s="137">
        <f t="shared" si="6"/>
        <v>0</v>
      </c>
      <c r="J71" s="137">
        <f t="shared" si="6"/>
        <v>1</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1</v>
      </c>
      <c r="AJ71" s="56" t="str">
        <f t="shared" ref="AJ71:AJ134" si="7">IF(AJ6&lt;&gt;"",AJ6,"")</f>
        <v>ADVICE1</v>
      </c>
      <c r="AK71" s="69"/>
      <c r="AL71" s="69" t="str">
        <f>BIN2HEX(AB71&amp;AC71&amp;AD71&amp;AE71&amp;AF71&amp;AG71&amp;AH71&amp;AI71,2)</f>
        <v>01</v>
      </c>
      <c r="AM71" s="71" t="str">
        <f>BIN2HEX(T71&amp;U71&amp;V71&amp;W71&amp;X71&amp;Y71&amp;Z71&amp;AA71,2)</f>
        <v>00</v>
      </c>
      <c r="AN71" s="71" t="str">
        <f>BIN2HEX(L71&amp;M71&amp;N71&amp;O71&amp;P71&amp;Q71&amp;R71&amp;S71,2)</f>
        <v>00</v>
      </c>
      <c r="AO71" s="71" t="str">
        <f>BIN2HEX(D71&amp;E71&amp;F71&amp;G71&amp;H71&amp;I71&amp;J71&amp;K71,2)</f>
        <v>02</v>
      </c>
      <c r="AQ71" t="str">
        <f t="shared" ref="AQ71:AQ134" si="8">IF(AJ71="","","    (U4)0x"&amp;AO71&amp;AN71&amp;AM71&amp;AL71&amp;"U"&amp;IF(AJ72=""," ",",")&amp;REPT(" ",59)&amp;"/* "&amp;IF(C71&lt;10,"0"&amp;C71,C71)&amp;" "&amp;AJ71&amp;REPT(" ",47-LEN(AJ71))&amp;" */")</f>
        <v xml:space="preserve">    (U4)0x02000001U,                                                           /* 00 ADVICE1                                         */</v>
      </c>
    </row>
    <row r="72" spans="1:46">
      <c r="B72" s="145"/>
      <c r="C72" s="56">
        <f t="shared" ref="C72:C134" si="9">IF(C7&lt;&gt;"",C7,"")</f>
        <v>1</v>
      </c>
      <c r="D72" s="137">
        <f t="shared" si="6"/>
        <v>0</v>
      </c>
      <c r="E72" s="137">
        <f t="shared" si="6"/>
        <v>0</v>
      </c>
      <c r="F72" s="137">
        <f t="shared" si="6"/>
        <v>0</v>
      </c>
      <c r="G72" s="137">
        <f t="shared" si="6"/>
        <v>0</v>
      </c>
      <c r="H72" s="137">
        <f t="shared" si="6"/>
        <v>0</v>
      </c>
      <c r="I72" s="137">
        <f t="shared" si="6"/>
        <v>0</v>
      </c>
      <c r="J72" s="137">
        <f t="shared" si="6"/>
        <v>1</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1</v>
      </c>
      <c r="AI72" s="137">
        <f t="shared" si="6"/>
        <v>0</v>
      </c>
      <c r="AJ72" s="56" t="str">
        <f t="shared" si="7"/>
        <v>AUTOLOCK</v>
      </c>
      <c r="AK72" s="69"/>
      <c r="AL72" s="69" t="str">
        <f t="shared" ref="AL72:AL134" si="10">BIN2HEX(AB72&amp;AC72&amp;AD72&amp;AE72&amp;AF72&amp;AG72&amp;AH72&amp;AI72,2)</f>
        <v>02</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02</v>
      </c>
      <c r="AQ72" t="str">
        <f t="shared" si="8"/>
        <v xml:space="preserve">    (U4)0x02000002U,                                                           /* 01 AUTOLOCK                                        */</v>
      </c>
    </row>
    <row r="73" spans="1:46">
      <c r="B73" s="145"/>
      <c r="C73" s="56">
        <f t="shared" si="9"/>
        <v>2</v>
      </c>
      <c r="D73" s="137">
        <f t="shared" si="6"/>
        <v>0</v>
      </c>
      <c r="E73" s="137">
        <f t="shared" si="6"/>
        <v>0</v>
      </c>
      <c r="F73" s="137">
        <f t="shared" si="6"/>
        <v>0</v>
      </c>
      <c r="G73" s="137">
        <f t="shared" si="6"/>
        <v>0</v>
      </c>
      <c r="H73" s="137">
        <f t="shared" si="6"/>
        <v>0</v>
      </c>
      <c r="I73" s="137">
        <f t="shared" si="6"/>
        <v>0</v>
      </c>
      <c r="J73" s="137">
        <f t="shared" si="6"/>
        <v>1</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1</v>
      </c>
      <c r="AG73" s="137">
        <f t="shared" si="6"/>
        <v>0</v>
      </c>
      <c r="AH73" s="137">
        <f t="shared" si="6"/>
        <v>0</v>
      </c>
      <c r="AI73" s="137">
        <f t="shared" si="6"/>
        <v>0</v>
      </c>
      <c r="AJ73" s="56" t="str">
        <f t="shared" si="7"/>
        <v>ADVICE2</v>
      </c>
      <c r="AK73" s="69"/>
      <c r="AL73" s="69" t="str">
        <f t="shared" si="10"/>
        <v>08</v>
      </c>
      <c r="AM73" s="71" t="str">
        <f t="shared" si="11"/>
        <v>00</v>
      </c>
      <c r="AN73" s="71" t="str">
        <f t="shared" si="12"/>
        <v>00</v>
      </c>
      <c r="AO73" s="71" t="str">
        <f t="shared" si="13"/>
        <v>02</v>
      </c>
      <c r="AQ73" t="str">
        <f t="shared" si="8"/>
        <v xml:space="preserve">    (U4)0x02000008U,                                                           /* 02 ADVICE2                                         */</v>
      </c>
    </row>
    <row r="74" spans="1:46">
      <c r="B74" s="145"/>
      <c r="C74" s="56">
        <f t="shared" si="9"/>
        <v>3</v>
      </c>
      <c r="D74" s="137">
        <f t="shared" si="6"/>
        <v>0</v>
      </c>
      <c r="E74" s="137">
        <f t="shared" si="6"/>
        <v>0</v>
      </c>
      <c r="F74" s="137">
        <f t="shared" si="6"/>
        <v>0</v>
      </c>
      <c r="G74" s="137">
        <f t="shared" si="6"/>
        <v>0</v>
      </c>
      <c r="H74" s="137">
        <f t="shared" si="6"/>
        <v>0</v>
      </c>
      <c r="I74" s="137">
        <f t="shared" si="6"/>
        <v>0</v>
      </c>
      <c r="J74" s="137">
        <f t="shared" si="6"/>
        <v>1</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1</v>
      </c>
      <c r="AG74" s="137">
        <f t="shared" si="6"/>
        <v>0</v>
      </c>
      <c r="AH74" s="137">
        <f t="shared" si="6"/>
        <v>0</v>
      </c>
      <c r="AI74" s="137">
        <f t="shared" si="6"/>
        <v>1</v>
      </c>
      <c r="AJ74" s="56" t="str">
        <f t="shared" si="7"/>
        <v>NOTUSE1</v>
      </c>
      <c r="AK74" s="69"/>
      <c r="AL74" s="69" t="str">
        <f t="shared" si="10"/>
        <v>09</v>
      </c>
      <c r="AM74" s="71" t="str">
        <f t="shared" si="11"/>
        <v>00</v>
      </c>
      <c r="AN74" s="71" t="str">
        <f t="shared" si="12"/>
        <v>00</v>
      </c>
      <c r="AO74" s="71" t="str">
        <f t="shared" si="13"/>
        <v>02</v>
      </c>
      <c r="AQ74" t="str">
        <f t="shared" si="8"/>
        <v xml:space="preserve">    (U4)0x02000009U,                                                           /* 03 NOTUSE1                                         */</v>
      </c>
    </row>
    <row r="75" spans="1:46">
      <c r="B75" s="145"/>
      <c r="C75" s="56">
        <f t="shared" si="9"/>
        <v>4</v>
      </c>
      <c r="D75" s="137">
        <f t="shared" si="6"/>
        <v>0</v>
      </c>
      <c r="E75" s="137">
        <f t="shared" si="6"/>
        <v>0</v>
      </c>
      <c r="F75" s="137">
        <f t="shared" si="6"/>
        <v>0</v>
      </c>
      <c r="G75" s="137">
        <f t="shared" si="6"/>
        <v>0</v>
      </c>
      <c r="H75" s="137">
        <f t="shared" si="6"/>
        <v>0</v>
      </c>
      <c r="I75" s="137">
        <f t="shared" si="6"/>
        <v>0</v>
      </c>
      <c r="J75" s="137">
        <f t="shared" si="6"/>
        <v>1</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1</v>
      </c>
      <c r="AG75" s="137">
        <f t="shared" si="6"/>
        <v>0</v>
      </c>
      <c r="AH75" s="137">
        <f t="shared" si="6"/>
        <v>1</v>
      </c>
      <c r="AI75" s="137">
        <f t="shared" si="6"/>
        <v>0</v>
      </c>
      <c r="AJ75" s="56" t="str">
        <f t="shared" si="7"/>
        <v>NOTUSE2</v>
      </c>
      <c r="AK75" s="69"/>
      <c r="AL75" s="69" t="str">
        <f t="shared" si="10"/>
        <v>0A</v>
      </c>
      <c r="AM75" s="71" t="str">
        <f t="shared" si="11"/>
        <v>00</v>
      </c>
      <c r="AN75" s="71" t="str">
        <f t="shared" si="12"/>
        <v>00</v>
      </c>
      <c r="AO75" s="71" t="str">
        <f t="shared" si="13"/>
        <v>02</v>
      </c>
      <c r="AQ75" t="str">
        <f t="shared" si="8"/>
        <v xml:space="preserve">    (U4)0x0200000AU,                                                           /* 04 NOTUSE2                                         */</v>
      </c>
    </row>
    <row r="76" spans="1:46">
      <c r="B76" s="145"/>
      <c r="C76" s="56">
        <f t="shared" si="9"/>
        <v>5</v>
      </c>
      <c r="D76" s="137">
        <f t="shared" si="6"/>
        <v>0</v>
      </c>
      <c r="E76" s="137">
        <f t="shared" si="6"/>
        <v>0</v>
      </c>
      <c r="F76" s="137">
        <f t="shared" si="6"/>
        <v>0</v>
      </c>
      <c r="G76" s="137">
        <f t="shared" si="6"/>
        <v>0</v>
      </c>
      <c r="H76" s="137">
        <f t="shared" si="6"/>
        <v>0</v>
      </c>
      <c r="I76" s="137">
        <f t="shared" si="6"/>
        <v>0</v>
      </c>
      <c r="J76" s="137">
        <f t="shared" si="6"/>
        <v>1</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1</v>
      </c>
      <c r="AG76" s="137">
        <f t="shared" si="6"/>
        <v>1</v>
      </c>
      <c r="AH76" s="137">
        <f t="shared" si="6"/>
        <v>0</v>
      </c>
      <c r="AI76" s="137">
        <f t="shared" si="6"/>
        <v>0</v>
      </c>
      <c r="AJ76" s="56" t="str">
        <f t="shared" si="7"/>
        <v>STOPPED</v>
      </c>
      <c r="AK76" s="69"/>
      <c r="AL76" s="69" t="str">
        <f t="shared" si="10"/>
        <v>0C</v>
      </c>
      <c r="AM76" s="71" t="str">
        <f t="shared" si="11"/>
        <v>00</v>
      </c>
      <c r="AN76" s="71" t="str">
        <f t="shared" si="12"/>
        <v>00</v>
      </c>
      <c r="AO76" s="71" t="str">
        <f t="shared" si="13"/>
        <v>02</v>
      </c>
      <c r="AQ76" t="str">
        <f t="shared" si="8"/>
        <v xml:space="preserve">    (U4)0x0200000CU                                                            /* 05 STOPPED                                         */</v>
      </c>
    </row>
    <row r="77" spans="1:46">
      <c r="B77" s="145"/>
      <c r="C77" s="56">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0</v>
      </c>
      <c r="AH77" s="137">
        <f t="shared" si="6"/>
        <v>0</v>
      </c>
      <c r="AI77" s="137">
        <f t="shared" si="6"/>
        <v>0</v>
      </c>
      <c r="AJ77" s="56" t="str">
        <f t="shared" si="7"/>
        <v/>
      </c>
      <c r="AK77" s="69"/>
      <c r="AL77" s="69" t="str">
        <f t="shared" si="10"/>
        <v>00</v>
      </c>
      <c r="AM77" s="71" t="str">
        <f t="shared" si="11"/>
        <v>00</v>
      </c>
      <c r="AN77" s="71" t="str">
        <f t="shared" si="12"/>
        <v>00</v>
      </c>
      <c r="AO77" s="71" t="str">
        <f t="shared" si="13"/>
        <v>00</v>
      </c>
      <c r="AQ77" t="str">
        <f t="shared" si="8"/>
        <v/>
      </c>
    </row>
    <row r="78" spans="1:46">
      <c r="B78" s="145"/>
      <c r="C78" s="56">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0</v>
      </c>
      <c r="AH78" s="137">
        <f t="shared" si="6"/>
        <v>0</v>
      </c>
      <c r="AI78" s="137">
        <f t="shared" ref="AI78" si="14">IF(AI13=1,1,0)</f>
        <v>0</v>
      </c>
      <c r="AJ78" s="56" t="str">
        <f t="shared" si="7"/>
        <v/>
      </c>
      <c r="AK78" s="69"/>
      <c r="AL78" s="69" t="str">
        <f t="shared" si="10"/>
        <v>00</v>
      </c>
      <c r="AM78" s="71" t="str">
        <f t="shared" si="11"/>
        <v>00</v>
      </c>
      <c r="AN78" s="71" t="str">
        <f t="shared" si="12"/>
        <v>00</v>
      </c>
      <c r="AO78" s="71" t="str">
        <f t="shared" si="13"/>
        <v>00</v>
      </c>
      <c r="AQ78" t="str">
        <f t="shared" si="8"/>
        <v/>
      </c>
    </row>
    <row r="79" spans="1:46">
      <c r="B79" s="145"/>
      <c r="C79" s="56">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0</v>
      </c>
      <c r="AG79" s="137">
        <f t="shared" si="15"/>
        <v>0</v>
      </c>
      <c r="AH79" s="137">
        <f t="shared" si="15"/>
        <v>0</v>
      </c>
      <c r="AI79" s="137">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5"/>
      <c r="C80" s="56">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0</v>
      </c>
      <c r="AG80" s="137">
        <f t="shared" si="15"/>
        <v>0</v>
      </c>
      <c r="AH80" s="137">
        <f t="shared" si="15"/>
        <v>0</v>
      </c>
      <c r="AI80" s="137">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5"/>
      <c r="C81" s="56">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0</v>
      </c>
      <c r="AG81" s="137">
        <f t="shared" si="15"/>
        <v>0</v>
      </c>
      <c r="AH81" s="137">
        <f t="shared" si="15"/>
        <v>0</v>
      </c>
      <c r="AI81" s="137">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5"/>
      <c r="C82" s="56">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0</v>
      </c>
      <c r="AG82" s="137">
        <f t="shared" si="15"/>
        <v>0</v>
      </c>
      <c r="AH82" s="137">
        <f t="shared" si="15"/>
        <v>0</v>
      </c>
      <c r="AI82" s="137">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5"/>
      <c r="C83" s="56">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0</v>
      </c>
      <c r="AG83" s="137">
        <f t="shared" si="15"/>
        <v>0</v>
      </c>
      <c r="AH83" s="137">
        <f t="shared" si="15"/>
        <v>0</v>
      </c>
      <c r="AI83" s="137">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5"/>
      <c r="C84" s="56">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0</v>
      </c>
      <c r="AG84" s="137">
        <f t="shared" si="15"/>
        <v>0</v>
      </c>
      <c r="AH84" s="137">
        <f t="shared" si="15"/>
        <v>0</v>
      </c>
      <c r="AI84" s="137">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5"/>
      <c r="C85" s="56">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0</v>
      </c>
      <c r="AG85" s="137">
        <f t="shared" si="15"/>
        <v>0</v>
      </c>
      <c r="AH85" s="137">
        <f t="shared" si="15"/>
        <v>0</v>
      </c>
      <c r="AI85" s="137">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5"/>
      <c r="C86" s="56">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0</v>
      </c>
      <c r="AG86" s="137">
        <f t="shared" si="15"/>
        <v>0</v>
      </c>
      <c r="AH86" s="137">
        <f t="shared" si="15"/>
        <v>0</v>
      </c>
      <c r="AI86" s="137">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5"/>
      <c r="C87" s="56">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0</v>
      </c>
      <c r="AF87" s="137">
        <f t="shared" si="17"/>
        <v>0</v>
      </c>
      <c r="AG87" s="137">
        <f t="shared" si="17"/>
        <v>0</v>
      </c>
      <c r="AH87" s="137">
        <f t="shared" si="17"/>
        <v>0</v>
      </c>
      <c r="AI87" s="137">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5"/>
      <c r="C88" s="56">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0</v>
      </c>
      <c r="AF88" s="137">
        <f t="shared" si="17"/>
        <v>0</v>
      </c>
      <c r="AG88" s="137">
        <f t="shared" si="17"/>
        <v>0</v>
      </c>
      <c r="AH88" s="137">
        <f t="shared" si="17"/>
        <v>0</v>
      </c>
      <c r="AI88" s="137">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5"/>
      <c r="C89" s="56">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0</v>
      </c>
      <c r="AF89" s="137">
        <f t="shared" si="17"/>
        <v>0</v>
      </c>
      <c r="AG89" s="137">
        <f t="shared" si="17"/>
        <v>0</v>
      </c>
      <c r="AH89" s="137">
        <f t="shared" si="17"/>
        <v>0</v>
      </c>
      <c r="AI89" s="137">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5"/>
      <c r="C90" s="56">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0</v>
      </c>
      <c r="AF90" s="137">
        <f t="shared" si="17"/>
        <v>0</v>
      </c>
      <c r="AG90" s="137">
        <f t="shared" si="17"/>
        <v>0</v>
      </c>
      <c r="AH90" s="137">
        <f t="shared" si="17"/>
        <v>0</v>
      </c>
      <c r="AI90" s="137">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5"/>
      <c r="C91" s="56">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0</v>
      </c>
      <c r="AF91" s="137">
        <f t="shared" si="17"/>
        <v>0</v>
      </c>
      <c r="AG91" s="137">
        <f t="shared" si="17"/>
        <v>0</v>
      </c>
      <c r="AH91" s="137">
        <f t="shared" si="17"/>
        <v>0</v>
      </c>
      <c r="AI91" s="137">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5"/>
      <c r="C92" s="56">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0</v>
      </c>
      <c r="AF92" s="137">
        <f t="shared" si="17"/>
        <v>0</v>
      </c>
      <c r="AG92" s="137">
        <f t="shared" si="17"/>
        <v>0</v>
      </c>
      <c r="AH92" s="137">
        <f t="shared" si="17"/>
        <v>0</v>
      </c>
      <c r="AI92" s="137">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5"/>
      <c r="C93" s="56">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0</v>
      </c>
      <c r="AF93" s="137">
        <f t="shared" si="17"/>
        <v>0</v>
      </c>
      <c r="AG93" s="137">
        <f t="shared" si="17"/>
        <v>0</v>
      </c>
      <c r="AH93" s="137">
        <f t="shared" si="17"/>
        <v>0</v>
      </c>
      <c r="AI93" s="137">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5"/>
      <c r="C94" s="56">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0</v>
      </c>
      <c r="AF94" s="137">
        <f t="shared" si="17"/>
        <v>0</v>
      </c>
      <c r="AG94" s="137">
        <f t="shared" si="17"/>
        <v>0</v>
      </c>
      <c r="AH94" s="137">
        <f t="shared" si="17"/>
        <v>0</v>
      </c>
      <c r="AI94" s="137">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5"/>
      <c r="C95" s="56">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0</v>
      </c>
      <c r="AF95" s="137">
        <f t="shared" si="19"/>
        <v>0</v>
      </c>
      <c r="AG95" s="137">
        <f t="shared" si="19"/>
        <v>0</v>
      </c>
      <c r="AH95" s="137">
        <f t="shared" si="19"/>
        <v>0</v>
      </c>
      <c r="AI95" s="137">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5"/>
      <c r="C96" s="56">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0</v>
      </c>
      <c r="AF96" s="137">
        <f t="shared" si="19"/>
        <v>0</v>
      </c>
      <c r="AG96" s="137">
        <f t="shared" si="19"/>
        <v>0</v>
      </c>
      <c r="AH96" s="137">
        <f t="shared" si="19"/>
        <v>0</v>
      </c>
      <c r="AI96" s="137">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5"/>
      <c r="C97" s="56">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5"/>
      <c r="C98" s="56">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5"/>
      <c r="C99" s="56">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5"/>
      <c r="C100" s="56">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5"/>
      <c r="C101" s="56">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5"/>
      <c r="C102" s="56">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5"/>
      <c r="C103" s="56">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5"/>
      <c r="C104" s="56">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5"/>
      <c r="C105" s="56">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5"/>
      <c r="C106" s="56">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5"/>
      <c r="C107" s="56">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5"/>
      <c r="C108" s="56">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5"/>
      <c r="C109" s="56">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5"/>
      <c r="C110" s="56">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5"/>
      <c r="C111" s="56">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5"/>
      <c r="C112" s="56">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5"/>
      <c r="C113" s="56">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5"/>
      <c r="C114" s="56">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5"/>
      <c r="C115" s="56">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5"/>
      <c r="C116" s="56">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5"/>
      <c r="C117" s="56">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5"/>
      <c r="C118" s="56">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5"/>
      <c r="C119" s="56">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5"/>
      <c r="C120" s="56">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5"/>
      <c r="C121" s="56">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5"/>
      <c r="C122" s="56">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5"/>
      <c r="C123" s="56">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5"/>
      <c r="C124" s="56">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5"/>
      <c r="C125" s="56">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5"/>
      <c r="C126" s="56">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5"/>
      <c r="C127" s="56">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5"/>
      <c r="C128" s="56">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5"/>
      <c r="C129" s="56">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5"/>
      <c r="C130" s="56">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5"/>
      <c r="C131" s="56">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5"/>
      <c r="C132" s="56">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5"/>
      <c r="C133" s="56">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6"/>
      <c r="C134" s="56">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68</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7" t="str">
        <f ca="1">IF(B6&lt;&gt;"",B6,"")</f>
        <v>Table WRN_BAT</v>
      </c>
      <c r="C136" s="56">
        <f>IF(C6&lt;&gt;"",C6,"")</f>
        <v>0</v>
      </c>
      <c r="D136" s="137">
        <f t="shared" ref="D136:AI143" si="29">IF(OR(D6=0,D6=1),1,0)</f>
        <v>0</v>
      </c>
      <c r="E136" s="137">
        <f t="shared" si="29"/>
        <v>0</v>
      </c>
      <c r="F136" s="137">
        <f t="shared" si="29"/>
        <v>0</v>
      </c>
      <c r="G136" s="137">
        <f t="shared" si="29"/>
        <v>0</v>
      </c>
      <c r="H136" s="137">
        <f t="shared" si="29"/>
        <v>0</v>
      </c>
      <c r="I136" s="137">
        <f t="shared" si="29"/>
        <v>0</v>
      </c>
      <c r="J136" s="137">
        <f t="shared" si="29"/>
        <v>1</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1</v>
      </c>
      <c r="AD136" s="137">
        <f t="shared" si="29"/>
        <v>1</v>
      </c>
      <c r="AE136" s="137">
        <f t="shared" si="29"/>
        <v>1</v>
      </c>
      <c r="AF136" s="137">
        <f t="shared" si="29"/>
        <v>1</v>
      </c>
      <c r="AG136" s="137">
        <f t="shared" si="29"/>
        <v>1</v>
      </c>
      <c r="AH136" s="137">
        <f t="shared" si="29"/>
        <v>1</v>
      </c>
      <c r="AI136" s="137">
        <f t="shared" si="29"/>
        <v>1</v>
      </c>
      <c r="AJ136" s="56" t="str">
        <f t="shared" ref="AJ136:AJ199" si="30">IF(AJ6&lt;&gt;"",AJ6,"")</f>
        <v>ADVICE1</v>
      </c>
      <c r="AK136" s="69"/>
      <c r="AL136" s="69" t="str">
        <f>BIN2HEX(AB136&amp;AC136&amp;AD136&amp;AE136&amp;AF136&amp;AG136&amp;AH136&amp;AI136,2)</f>
        <v>7F</v>
      </c>
      <c r="AM136" s="71" t="str">
        <f>BIN2HEX(T136&amp;U136&amp;V136&amp;W136&amp;X136&amp;Y136&amp;Z136&amp;AA136,2)</f>
        <v>00</v>
      </c>
      <c r="AN136" s="71" t="str">
        <f>BIN2HEX(L136&amp;M136&amp;N136&amp;O136&amp;P136&amp;Q136&amp;R136&amp;S136,2)</f>
        <v>00</v>
      </c>
      <c r="AO136" s="71" t="str">
        <f>BIN2HEX(D136&amp;E136&amp;F136&amp;G136&amp;H136&amp;I136&amp;J136&amp;K136,2)</f>
        <v>02</v>
      </c>
      <c r="AQ136" t="str">
        <f t="shared" ref="AQ136:AQ199" si="31">IF(AJ136="","","    (U4)0x"&amp;AO136&amp;AN136&amp;AM136&amp;AL136&amp;"U"&amp;IF(AJ137=""," ",",")&amp;REPT(" ",59)&amp;"/* "&amp;IF(C136&lt;10,"0"&amp;C136,C136)&amp;" "&amp;AJ136&amp;REPT(" ",47-LEN(AJ136))&amp;" */")</f>
        <v xml:space="preserve">    (U4)0x0200007FU,                                                           /* 00 ADVICE1                                         */</v>
      </c>
    </row>
    <row r="137" spans="1:43">
      <c r="B137" s="145"/>
      <c r="C137" s="56">
        <f t="shared" ref="C137:C199" si="32">IF(C7&lt;&gt;"",C7,"")</f>
        <v>1</v>
      </c>
      <c r="D137" s="137">
        <f t="shared" si="29"/>
        <v>0</v>
      </c>
      <c r="E137" s="137">
        <f t="shared" si="29"/>
        <v>0</v>
      </c>
      <c r="F137" s="137">
        <f t="shared" si="29"/>
        <v>0</v>
      </c>
      <c r="G137" s="137">
        <f t="shared" si="29"/>
        <v>0</v>
      </c>
      <c r="H137" s="137">
        <f t="shared" si="29"/>
        <v>0</v>
      </c>
      <c r="I137" s="137">
        <f t="shared" si="29"/>
        <v>0</v>
      </c>
      <c r="J137" s="137">
        <f t="shared" si="29"/>
        <v>1</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1</v>
      </c>
      <c r="AD137" s="137">
        <f t="shared" si="29"/>
        <v>1</v>
      </c>
      <c r="AE137" s="137">
        <f t="shared" si="29"/>
        <v>1</v>
      </c>
      <c r="AF137" s="137">
        <f t="shared" si="29"/>
        <v>1</v>
      </c>
      <c r="AG137" s="137">
        <f t="shared" si="29"/>
        <v>1</v>
      </c>
      <c r="AH137" s="137">
        <f t="shared" si="29"/>
        <v>1</v>
      </c>
      <c r="AI137" s="137">
        <f t="shared" si="29"/>
        <v>1</v>
      </c>
      <c r="AJ137" s="56" t="str">
        <f t="shared" si="30"/>
        <v>AUTOLOCK</v>
      </c>
      <c r="AK137" s="69"/>
      <c r="AL137" s="69" t="str">
        <f t="shared" ref="AL137:AL199" si="33">BIN2HEX(AB137&amp;AC137&amp;AD137&amp;AE137&amp;AF137&amp;AG137&amp;AH137&amp;AI137,2)</f>
        <v>7F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02</v>
      </c>
      <c r="AQ137" t="str">
        <f t="shared" si="31"/>
        <v xml:space="preserve">    (U4)0x0200007FU,                                                           /* 01 AUTOLOCK                                        */</v>
      </c>
    </row>
    <row r="138" spans="1:43">
      <c r="B138" s="145"/>
      <c r="C138" s="56">
        <f t="shared" si="32"/>
        <v>2</v>
      </c>
      <c r="D138" s="137">
        <f t="shared" si="29"/>
        <v>0</v>
      </c>
      <c r="E138" s="137">
        <f t="shared" si="29"/>
        <v>0</v>
      </c>
      <c r="F138" s="137">
        <f t="shared" si="29"/>
        <v>0</v>
      </c>
      <c r="G138" s="137">
        <f t="shared" si="29"/>
        <v>0</v>
      </c>
      <c r="H138" s="137">
        <f t="shared" si="29"/>
        <v>0</v>
      </c>
      <c r="I138" s="137">
        <f t="shared" si="29"/>
        <v>0</v>
      </c>
      <c r="J138" s="137">
        <f t="shared" si="29"/>
        <v>1</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1</v>
      </c>
      <c r="AD138" s="137">
        <f t="shared" si="29"/>
        <v>1</v>
      </c>
      <c r="AE138" s="137">
        <f t="shared" si="29"/>
        <v>1</v>
      </c>
      <c r="AF138" s="137">
        <f t="shared" si="29"/>
        <v>1</v>
      </c>
      <c r="AG138" s="137">
        <f t="shared" si="29"/>
        <v>1</v>
      </c>
      <c r="AH138" s="137">
        <f t="shared" si="29"/>
        <v>1</v>
      </c>
      <c r="AI138" s="137">
        <f t="shared" si="29"/>
        <v>1</v>
      </c>
      <c r="AJ138" s="56" t="str">
        <f t="shared" si="30"/>
        <v>ADVICE2</v>
      </c>
      <c r="AK138" s="69"/>
      <c r="AL138" s="69" t="str">
        <f t="shared" si="33"/>
        <v>7F</v>
      </c>
      <c r="AM138" s="71" t="str">
        <f t="shared" si="34"/>
        <v>00</v>
      </c>
      <c r="AN138" s="71" t="str">
        <f t="shared" si="35"/>
        <v>00</v>
      </c>
      <c r="AO138" s="71" t="str">
        <f t="shared" si="36"/>
        <v>02</v>
      </c>
      <c r="AQ138" t="str">
        <f t="shared" si="31"/>
        <v xml:space="preserve">    (U4)0x0200007FU,                                                           /* 02 ADVICE2                                         */</v>
      </c>
    </row>
    <row r="139" spans="1:43">
      <c r="B139" s="145"/>
      <c r="C139" s="56">
        <f t="shared" si="32"/>
        <v>3</v>
      </c>
      <c r="D139" s="137">
        <f t="shared" si="29"/>
        <v>0</v>
      </c>
      <c r="E139" s="137">
        <f t="shared" si="29"/>
        <v>0</v>
      </c>
      <c r="F139" s="137">
        <f t="shared" si="29"/>
        <v>0</v>
      </c>
      <c r="G139" s="137">
        <f t="shared" si="29"/>
        <v>0</v>
      </c>
      <c r="H139" s="137">
        <f t="shared" si="29"/>
        <v>0</v>
      </c>
      <c r="I139" s="137">
        <f t="shared" si="29"/>
        <v>0</v>
      </c>
      <c r="J139" s="137">
        <f t="shared" si="29"/>
        <v>1</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1</v>
      </c>
      <c r="AD139" s="137">
        <f t="shared" si="29"/>
        <v>1</v>
      </c>
      <c r="AE139" s="137">
        <f t="shared" si="29"/>
        <v>1</v>
      </c>
      <c r="AF139" s="137">
        <f t="shared" si="29"/>
        <v>1</v>
      </c>
      <c r="AG139" s="137">
        <f t="shared" si="29"/>
        <v>1</v>
      </c>
      <c r="AH139" s="137">
        <f t="shared" si="29"/>
        <v>1</v>
      </c>
      <c r="AI139" s="137">
        <f t="shared" si="29"/>
        <v>1</v>
      </c>
      <c r="AJ139" s="56" t="str">
        <f t="shared" si="30"/>
        <v>NOTUSE1</v>
      </c>
      <c r="AK139" s="69"/>
      <c r="AL139" s="69" t="str">
        <f t="shared" si="33"/>
        <v>7F</v>
      </c>
      <c r="AM139" s="71" t="str">
        <f t="shared" si="34"/>
        <v>00</v>
      </c>
      <c r="AN139" s="71" t="str">
        <f t="shared" si="35"/>
        <v>00</v>
      </c>
      <c r="AO139" s="71" t="str">
        <f t="shared" si="36"/>
        <v>02</v>
      </c>
      <c r="AQ139" t="str">
        <f t="shared" si="31"/>
        <v xml:space="preserve">    (U4)0x0200007FU,                                                           /* 03 NOTUSE1                                         */</v>
      </c>
    </row>
    <row r="140" spans="1:43">
      <c r="B140" s="145"/>
      <c r="C140" s="56">
        <f t="shared" si="32"/>
        <v>4</v>
      </c>
      <c r="D140" s="137">
        <f t="shared" si="29"/>
        <v>0</v>
      </c>
      <c r="E140" s="137">
        <f t="shared" si="29"/>
        <v>0</v>
      </c>
      <c r="F140" s="137">
        <f t="shared" si="29"/>
        <v>0</v>
      </c>
      <c r="G140" s="137">
        <f t="shared" si="29"/>
        <v>0</v>
      </c>
      <c r="H140" s="137">
        <f t="shared" si="29"/>
        <v>0</v>
      </c>
      <c r="I140" s="137">
        <f t="shared" si="29"/>
        <v>0</v>
      </c>
      <c r="J140" s="137">
        <f t="shared" si="29"/>
        <v>1</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1</v>
      </c>
      <c r="AD140" s="137">
        <f t="shared" si="29"/>
        <v>1</v>
      </c>
      <c r="AE140" s="137">
        <f t="shared" si="29"/>
        <v>1</v>
      </c>
      <c r="AF140" s="137">
        <f t="shared" si="29"/>
        <v>1</v>
      </c>
      <c r="AG140" s="137">
        <f t="shared" si="29"/>
        <v>1</v>
      </c>
      <c r="AH140" s="137">
        <f t="shared" si="29"/>
        <v>1</v>
      </c>
      <c r="AI140" s="137">
        <f t="shared" si="29"/>
        <v>1</v>
      </c>
      <c r="AJ140" s="56" t="str">
        <f t="shared" si="30"/>
        <v>NOTUSE2</v>
      </c>
      <c r="AK140" s="69"/>
      <c r="AL140" s="69" t="str">
        <f t="shared" si="33"/>
        <v>7F</v>
      </c>
      <c r="AM140" s="71" t="str">
        <f t="shared" si="34"/>
        <v>00</v>
      </c>
      <c r="AN140" s="71" t="str">
        <f t="shared" si="35"/>
        <v>00</v>
      </c>
      <c r="AO140" s="71" t="str">
        <f t="shared" si="36"/>
        <v>02</v>
      </c>
      <c r="AQ140" t="str">
        <f t="shared" si="31"/>
        <v xml:space="preserve">    (U4)0x0200007FU,                                                           /* 04 NOTUSE2                                         */</v>
      </c>
    </row>
    <row r="141" spans="1:43">
      <c r="B141" s="145"/>
      <c r="C141" s="56">
        <f t="shared" si="32"/>
        <v>5</v>
      </c>
      <c r="D141" s="137">
        <f t="shared" si="29"/>
        <v>0</v>
      </c>
      <c r="E141" s="137">
        <f t="shared" si="29"/>
        <v>0</v>
      </c>
      <c r="F141" s="137">
        <f t="shared" si="29"/>
        <v>0</v>
      </c>
      <c r="G141" s="137">
        <f t="shared" si="29"/>
        <v>0</v>
      </c>
      <c r="H141" s="137">
        <f t="shared" si="29"/>
        <v>0</v>
      </c>
      <c r="I141" s="137">
        <f t="shared" si="29"/>
        <v>0</v>
      </c>
      <c r="J141" s="137">
        <f t="shared" si="29"/>
        <v>1</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1</v>
      </c>
      <c r="AD141" s="137">
        <f t="shared" si="29"/>
        <v>1</v>
      </c>
      <c r="AE141" s="137">
        <f t="shared" si="29"/>
        <v>1</v>
      </c>
      <c r="AF141" s="137">
        <f t="shared" si="29"/>
        <v>1</v>
      </c>
      <c r="AG141" s="137">
        <f t="shared" si="29"/>
        <v>1</v>
      </c>
      <c r="AH141" s="137">
        <f t="shared" si="29"/>
        <v>1</v>
      </c>
      <c r="AI141" s="137">
        <f t="shared" si="29"/>
        <v>1</v>
      </c>
      <c r="AJ141" s="56" t="str">
        <f t="shared" si="30"/>
        <v>STOPPED</v>
      </c>
      <c r="AK141" s="69"/>
      <c r="AL141" s="69" t="str">
        <f t="shared" si="33"/>
        <v>7F</v>
      </c>
      <c r="AM141" s="71" t="str">
        <f t="shared" si="34"/>
        <v>00</v>
      </c>
      <c r="AN141" s="71" t="str">
        <f t="shared" si="35"/>
        <v>00</v>
      </c>
      <c r="AO141" s="71" t="str">
        <f t="shared" si="36"/>
        <v>02</v>
      </c>
      <c r="AQ141" t="str">
        <f t="shared" si="31"/>
        <v xml:space="preserve">    (U4)0x0200007FU                                                            /* 05 STOPPED                                         */</v>
      </c>
    </row>
    <row r="142" spans="1:43">
      <c r="B142" s="145"/>
      <c r="C142" s="56">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0</v>
      </c>
      <c r="AF142" s="137">
        <f t="shared" si="29"/>
        <v>0</v>
      </c>
      <c r="AG142" s="137">
        <f t="shared" si="29"/>
        <v>0</v>
      </c>
      <c r="AH142" s="137">
        <f t="shared" si="29"/>
        <v>0</v>
      </c>
      <c r="AI142" s="137">
        <f t="shared" si="29"/>
        <v>0</v>
      </c>
      <c r="AJ142" s="56" t="str">
        <f t="shared" si="30"/>
        <v/>
      </c>
      <c r="AK142" s="69"/>
      <c r="AL142" s="69" t="str">
        <f t="shared" si="33"/>
        <v>00</v>
      </c>
      <c r="AM142" s="71" t="str">
        <f t="shared" si="34"/>
        <v>00</v>
      </c>
      <c r="AN142" s="71" t="str">
        <f t="shared" si="35"/>
        <v>00</v>
      </c>
      <c r="AO142" s="71" t="str">
        <f t="shared" si="36"/>
        <v>00</v>
      </c>
      <c r="AQ142" t="str">
        <f t="shared" si="31"/>
        <v/>
      </c>
    </row>
    <row r="143" spans="1:43">
      <c r="B143" s="145"/>
      <c r="C143" s="56">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0</v>
      </c>
      <c r="AF143" s="137">
        <f t="shared" si="29"/>
        <v>0</v>
      </c>
      <c r="AG143" s="137">
        <f t="shared" si="29"/>
        <v>0</v>
      </c>
      <c r="AH143" s="137">
        <f t="shared" si="29"/>
        <v>0</v>
      </c>
      <c r="AI143" s="137">
        <f t="shared" ref="AI143" si="37">IF(OR(AI13=0,AI13=1),1,0)</f>
        <v>0</v>
      </c>
      <c r="AJ143" s="56" t="str">
        <f t="shared" si="30"/>
        <v/>
      </c>
      <c r="AK143" s="69"/>
      <c r="AL143" s="69" t="str">
        <f t="shared" si="33"/>
        <v>00</v>
      </c>
      <c r="AM143" s="71" t="str">
        <f t="shared" si="34"/>
        <v>00</v>
      </c>
      <c r="AN143" s="71" t="str">
        <f t="shared" si="35"/>
        <v>00</v>
      </c>
      <c r="AO143" s="71" t="str">
        <f t="shared" si="36"/>
        <v>00</v>
      </c>
      <c r="AQ143" t="str">
        <f t="shared" si="31"/>
        <v/>
      </c>
    </row>
    <row r="144" spans="1:43">
      <c r="B144" s="145"/>
      <c r="C144" s="56">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0</v>
      </c>
      <c r="AF144" s="137">
        <f t="shared" si="38"/>
        <v>0</v>
      </c>
      <c r="AG144" s="137">
        <f t="shared" si="38"/>
        <v>0</v>
      </c>
      <c r="AH144" s="137">
        <f t="shared" si="38"/>
        <v>0</v>
      </c>
      <c r="AI144" s="137">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5"/>
      <c r="C145" s="56">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0</v>
      </c>
      <c r="AF145" s="137">
        <f t="shared" si="38"/>
        <v>0</v>
      </c>
      <c r="AG145" s="137">
        <f t="shared" si="38"/>
        <v>0</v>
      </c>
      <c r="AH145" s="137">
        <f t="shared" si="38"/>
        <v>0</v>
      </c>
      <c r="AI145" s="137">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5"/>
      <c r="C146" s="56">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0</v>
      </c>
      <c r="AF146" s="137">
        <f t="shared" si="38"/>
        <v>0</v>
      </c>
      <c r="AG146" s="137">
        <f t="shared" si="38"/>
        <v>0</v>
      </c>
      <c r="AH146" s="137">
        <f t="shared" si="38"/>
        <v>0</v>
      </c>
      <c r="AI146" s="137">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5"/>
      <c r="C147" s="56">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0</v>
      </c>
      <c r="AF147" s="137">
        <f t="shared" si="38"/>
        <v>0</v>
      </c>
      <c r="AG147" s="137">
        <f t="shared" si="38"/>
        <v>0</v>
      </c>
      <c r="AH147" s="137">
        <f t="shared" si="38"/>
        <v>0</v>
      </c>
      <c r="AI147" s="137">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5"/>
      <c r="C148" s="56">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0</v>
      </c>
      <c r="AF148" s="137">
        <f t="shared" si="38"/>
        <v>0</v>
      </c>
      <c r="AG148" s="137">
        <f t="shared" si="38"/>
        <v>0</v>
      </c>
      <c r="AH148" s="137">
        <f t="shared" si="38"/>
        <v>0</v>
      </c>
      <c r="AI148" s="137">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5"/>
      <c r="C149" s="56">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0</v>
      </c>
      <c r="AF149" s="137">
        <f t="shared" si="38"/>
        <v>0</v>
      </c>
      <c r="AG149" s="137">
        <f t="shared" si="38"/>
        <v>0</v>
      </c>
      <c r="AH149" s="137">
        <f t="shared" si="38"/>
        <v>0</v>
      </c>
      <c r="AI149" s="137">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5"/>
      <c r="C150" s="56">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0</v>
      </c>
      <c r="AF150" s="137">
        <f t="shared" si="38"/>
        <v>0</v>
      </c>
      <c r="AG150" s="137">
        <f t="shared" si="38"/>
        <v>0</v>
      </c>
      <c r="AH150" s="137">
        <f t="shared" si="38"/>
        <v>0</v>
      </c>
      <c r="AI150" s="137">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5"/>
      <c r="C151" s="56">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0</v>
      </c>
      <c r="AF151" s="137">
        <f t="shared" si="38"/>
        <v>0</v>
      </c>
      <c r="AG151" s="137">
        <f t="shared" si="38"/>
        <v>0</v>
      </c>
      <c r="AH151" s="137">
        <f t="shared" si="38"/>
        <v>0</v>
      </c>
      <c r="AI151" s="137">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5"/>
      <c r="C152" s="56">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0</v>
      </c>
      <c r="AF152" s="137">
        <f t="shared" si="40"/>
        <v>0</v>
      </c>
      <c r="AG152" s="137">
        <f t="shared" si="40"/>
        <v>0</v>
      </c>
      <c r="AH152" s="137">
        <f t="shared" si="40"/>
        <v>0</v>
      </c>
      <c r="AI152" s="137">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5"/>
      <c r="C153" s="56">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0</v>
      </c>
      <c r="AF153" s="137">
        <f t="shared" si="40"/>
        <v>0</v>
      </c>
      <c r="AG153" s="137">
        <f t="shared" si="40"/>
        <v>0</v>
      </c>
      <c r="AH153" s="137">
        <f t="shared" si="40"/>
        <v>0</v>
      </c>
      <c r="AI153" s="137">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5"/>
      <c r="C154" s="56">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0</v>
      </c>
      <c r="AF154" s="137">
        <f t="shared" si="40"/>
        <v>0</v>
      </c>
      <c r="AG154" s="137">
        <f t="shared" si="40"/>
        <v>0</v>
      </c>
      <c r="AH154" s="137">
        <f t="shared" si="40"/>
        <v>0</v>
      </c>
      <c r="AI154" s="137">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5"/>
      <c r="C155" s="56">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0</v>
      </c>
      <c r="AF155" s="137">
        <f t="shared" si="40"/>
        <v>0</v>
      </c>
      <c r="AG155" s="137">
        <f t="shared" si="40"/>
        <v>0</v>
      </c>
      <c r="AH155" s="137">
        <f t="shared" si="40"/>
        <v>0</v>
      </c>
      <c r="AI155" s="137">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5"/>
      <c r="C156" s="56">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0</v>
      </c>
      <c r="AF156" s="137">
        <f t="shared" si="40"/>
        <v>0</v>
      </c>
      <c r="AG156" s="137">
        <f t="shared" si="40"/>
        <v>0</v>
      </c>
      <c r="AH156" s="137">
        <f t="shared" si="40"/>
        <v>0</v>
      </c>
      <c r="AI156" s="137">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5"/>
      <c r="C157" s="56">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0</v>
      </c>
      <c r="AF157" s="137">
        <f t="shared" si="40"/>
        <v>0</v>
      </c>
      <c r="AG157" s="137">
        <f t="shared" si="40"/>
        <v>0</v>
      </c>
      <c r="AH157" s="137">
        <f t="shared" si="40"/>
        <v>0</v>
      </c>
      <c r="AI157" s="137">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5"/>
      <c r="C158" s="56">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0</v>
      </c>
      <c r="AF158" s="137">
        <f t="shared" si="40"/>
        <v>0</v>
      </c>
      <c r="AG158" s="137">
        <f t="shared" si="40"/>
        <v>0</v>
      </c>
      <c r="AH158" s="137">
        <f t="shared" si="40"/>
        <v>0</v>
      </c>
      <c r="AI158" s="137">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5"/>
      <c r="C159" s="56">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0</v>
      </c>
      <c r="AF159" s="137">
        <f t="shared" si="40"/>
        <v>0</v>
      </c>
      <c r="AG159" s="137">
        <f t="shared" si="40"/>
        <v>0</v>
      </c>
      <c r="AH159" s="137">
        <f t="shared" si="40"/>
        <v>0</v>
      </c>
      <c r="AI159" s="137">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5"/>
      <c r="C160" s="56">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0</v>
      </c>
      <c r="AF160" s="137">
        <f t="shared" si="42"/>
        <v>0</v>
      </c>
      <c r="AG160" s="137">
        <f t="shared" si="42"/>
        <v>0</v>
      </c>
      <c r="AH160" s="137">
        <f t="shared" si="42"/>
        <v>0</v>
      </c>
      <c r="AI160" s="137">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5"/>
      <c r="C161" s="56">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0</v>
      </c>
      <c r="AF161" s="137">
        <f t="shared" si="42"/>
        <v>0</v>
      </c>
      <c r="AG161" s="137">
        <f t="shared" si="42"/>
        <v>0</v>
      </c>
      <c r="AH161" s="137">
        <f t="shared" si="42"/>
        <v>0</v>
      </c>
      <c r="AI161" s="137">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5"/>
      <c r="C162" s="56">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5"/>
      <c r="C163" s="56">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5"/>
      <c r="C164" s="56">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5"/>
      <c r="C165" s="56">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5"/>
      <c r="C166" s="56">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5"/>
      <c r="C167" s="56">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5"/>
      <c r="C168" s="56">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5"/>
      <c r="C169" s="56">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5"/>
      <c r="C170" s="56">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5"/>
      <c r="C171" s="56">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5"/>
      <c r="C172" s="56">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5"/>
      <c r="C173" s="56">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5"/>
      <c r="C174" s="56">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5"/>
      <c r="C175" s="56">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5"/>
      <c r="C176" s="56">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5"/>
      <c r="C177" s="56">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5"/>
      <c r="C178" s="56">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5"/>
      <c r="C179" s="56">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5"/>
      <c r="C180" s="56">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5"/>
      <c r="C181" s="56">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5"/>
      <c r="C182" s="56">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5"/>
      <c r="C183" s="56">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5"/>
      <c r="C184" s="56">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5"/>
      <c r="C185" s="56">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5"/>
      <c r="C186" s="56">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5"/>
      <c r="C187" s="56">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5"/>
      <c r="C188" s="56">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5"/>
      <c r="C189" s="56">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5"/>
      <c r="C190" s="56">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5"/>
      <c r="C191" s="56">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5"/>
      <c r="C192" s="56">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5"/>
      <c r="C193" s="56">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5"/>
      <c r="C194" s="56">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5"/>
      <c r="C195" s="56">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5"/>
      <c r="C196" s="56">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5"/>
      <c r="C197" s="56">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5"/>
      <c r="C198" s="56">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6"/>
      <c r="C199" s="56">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B3 D6:AJ69" name="Table作成編集範囲"/>
    <protectedRange sqref="B3" name="Table作成編集範囲_1"/>
    <protectedRange sqref="AC3 AE3 AG3:AI3" name="Table作成編集範囲_2"/>
  </protectedRanges>
  <mergeCells count="5">
    <mergeCell ref="C2:C3"/>
    <mergeCell ref="AJ2:AJ3"/>
    <mergeCell ref="A4:B5"/>
    <mergeCell ref="AC3:AD3"/>
    <mergeCell ref="AE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2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B2:R192"/>
  <sheetViews>
    <sheetView zoomScaleNormal="100" workbookViewId="0"/>
  </sheetViews>
  <sheetFormatPr defaultRowHeight="13"/>
  <cols>
    <col min="2" max="2" width="74.26953125" customWidth="1"/>
    <col min="3" max="10" width="3.36328125" customWidth="1"/>
    <col min="11" max="11" width="20.26953125" bestFit="1" customWidth="1"/>
    <col min="12" max="12" width="30.6328125" customWidth="1"/>
    <col min="13" max="13" width="29" customWidth="1"/>
    <col min="14" max="14" width="16.90625" customWidth="1"/>
    <col min="15" max="15" width="19.7265625" customWidth="1"/>
    <col min="16" max="16" width="10.90625" customWidth="1"/>
    <col min="17" max="17" width="12.36328125" customWidth="1"/>
    <col min="18" max="18" width="12.36328125" style="219" customWidth="1"/>
  </cols>
  <sheetData>
    <row r="2" spans="2:18" ht="14.5" thickBot="1">
      <c r="B2" s="26" t="s">
        <v>245</v>
      </c>
    </row>
    <row r="3" spans="2:18" ht="14.5" thickBot="1">
      <c r="B3" s="107" t="s">
        <v>123</v>
      </c>
      <c r="C3" s="333" t="s">
        <v>199</v>
      </c>
      <c r="D3" s="334"/>
      <c r="E3" s="334"/>
      <c r="F3" s="334"/>
      <c r="G3" s="334"/>
      <c r="H3" s="334"/>
      <c r="I3" s="334"/>
      <c r="J3" s="335"/>
      <c r="K3" s="178"/>
      <c r="L3" s="178"/>
      <c r="M3" s="181"/>
      <c r="N3" s="179"/>
      <c r="O3" s="179"/>
      <c r="P3" s="179"/>
      <c r="Q3" s="180"/>
      <c r="R3" s="55"/>
    </row>
    <row r="4" spans="2:18">
      <c r="B4" s="79"/>
      <c r="C4" s="35" t="s">
        <v>157</v>
      </c>
      <c r="D4" s="35"/>
      <c r="E4" s="35"/>
      <c r="F4" s="35"/>
      <c r="G4" s="35"/>
      <c r="H4" s="35"/>
      <c r="I4" s="35"/>
      <c r="J4" s="35"/>
      <c r="K4" s="35"/>
      <c r="L4" s="36"/>
      <c r="M4" s="31" t="s">
        <v>54</v>
      </c>
      <c r="N4" s="52" t="s">
        <v>20</v>
      </c>
      <c r="O4" s="53"/>
      <c r="P4" s="53"/>
      <c r="Q4" s="54"/>
      <c r="R4" s="220"/>
    </row>
    <row r="5" spans="2:18">
      <c r="B5" s="80" t="s">
        <v>21</v>
      </c>
      <c r="C5" s="336" t="s">
        <v>171</v>
      </c>
      <c r="D5" s="331"/>
      <c r="E5" s="331"/>
      <c r="F5" s="331"/>
      <c r="G5" s="331"/>
      <c r="H5" s="331"/>
      <c r="I5" s="331"/>
      <c r="J5" s="332"/>
      <c r="K5" s="38" t="s">
        <v>22</v>
      </c>
      <c r="L5" s="84"/>
      <c r="M5" s="32" t="s">
        <v>223</v>
      </c>
      <c r="N5" s="29" t="s">
        <v>23</v>
      </c>
      <c r="O5" s="87" t="s">
        <v>24</v>
      </c>
      <c r="P5" s="87" t="s">
        <v>25</v>
      </c>
      <c r="Q5" s="149" t="s">
        <v>26</v>
      </c>
      <c r="R5" s="55"/>
    </row>
    <row r="6" spans="2:18">
      <c r="B6" s="80" t="s">
        <v>35</v>
      </c>
      <c r="C6" s="172" t="s">
        <v>127</v>
      </c>
      <c r="D6" s="172" t="s">
        <v>127</v>
      </c>
      <c r="E6" s="172" t="s">
        <v>127</v>
      </c>
      <c r="F6" s="172" t="s">
        <v>127</v>
      </c>
      <c r="G6" s="172" t="s">
        <v>127</v>
      </c>
      <c r="H6" s="172" t="s">
        <v>127</v>
      </c>
      <c r="I6" s="172" t="s">
        <v>127</v>
      </c>
      <c r="J6" s="172" t="s">
        <v>127</v>
      </c>
      <c r="K6" s="148" t="s">
        <v>246</v>
      </c>
      <c r="L6" s="221" t="s">
        <v>246</v>
      </c>
      <c r="M6" s="32" t="s">
        <v>50</v>
      </c>
      <c r="N6" s="48"/>
      <c r="O6" s="88"/>
      <c r="P6" s="88"/>
      <c r="Q6" s="149"/>
      <c r="R6" s="55"/>
    </row>
    <row r="7" spans="2:18" ht="26">
      <c r="B7" s="81" t="s">
        <v>27</v>
      </c>
      <c r="C7" s="330" t="s">
        <v>38</v>
      </c>
      <c r="D7" s="331"/>
      <c r="E7" s="331"/>
      <c r="F7" s="331"/>
      <c r="G7" s="331"/>
      <c r="H7" s="331"/>
      <c r="I7" s="331"/>
      <c r="J7" s="332"/>
      <c r="K7" s="1" t="s">
        <v>391</v>
      </c>
      <c r="L7" s="1" t="s">
        <v>391</v>
      </c>
      <c r="M7" s="33"/>
      <c r="N7" s="48"/>
      <c r="O7" s="88"/>
      <c r="P7" s="88"/>
      <c r="Q7" s="149"/>
      <c r="R7" s="55"/>
    </row>
    <row r="8" spans="2:18" ht="131">
      <c r="B8" s="80" t="s">
        <v>28</v>
      </c>
      <c r="C8" s="173" t="s">
        <v>158</v>
      </c>
      <c r="D8" s="173" t="s">
        <v>65</v>
      </c>
      <c r="E8" s="173" t="s">
        <v>159</v>
      </c>
      <c r="F8" s="173" t="s">
        <v>160</v>
      </c>
      <c r="G8" s="173" t="s">
        <v>161</v>
      </c>
      <c r="H8" s="173" t="s">
        <v>162</v>
      </c>
      <c r="I8" s="173" t="s">
        <v>201</v>
      </c>
      <c r="J8" s="173" t="s">
        <v>163</v>
      </c>
      <c r="K8" s="1" t="s">
        <v>392</v>
      </c>
      <c r="L8" s="27" t="s">
        <v>242</v>
      </c>
      <c r="M8" s="32" t="s">
        <v>247</v>
      </c>
      <c r="N8" s="48"/>
      <c r="O8" s="88"/>
      <c r="P8" s="88"/>
      <c r="Q8" s="149"/>
      <c r="R8" s="55"/>
    </row>
    <row r="9" spans="2:18" ht="91.5" thickBot="1">
      <c r="B9" s="82" t="s">
        <v>29</v>
      </c>
      <c r="C9" s="174" t="s">
        <v>165</v>
      </c>
      <c r="D9" s="174" t="s">
        <v>127</v>
      </c>
      <c r="E9" s="174" t="s">
        <v>165</v>
      </c>
      <c r="F9" s="174" t="s">
        <v>165</v>
      </c>
      <c r="G9" s="174" t="s">
        <v>165</v>
      </c>
      <c r="H9" s="174" t="s">
        <v>165</v>
      </c>
      <c r="I9" s="174" t="s">
        <v>165</v>
      </c>
      <c r="J9" s="174" t="s">
        <v>165</v>
      </c>
      <c r="K9" s="222" t="s">
        <v>248</v>
      </c>
      <c r="L9" s="28" t="s">
        <v>249</v>
      </c>
      <c r="M9" s="34" t="s">
        <v>250</v>
      </c>
      <c r="N9" s="30" t="s">
        <v>251</v>
      </c>
      <c r="O9" s="223"/>
      <c r="P9" s="86"/>
      <c r="Q9" s="224"/>
      <c r="R9" s="225"/>
    </row>
    <row r="10" spans="2:18" ht="13.5" thickTop="1">
      <c r="B10" s="83" t="s">
        <v>252</v>
      </c>
      <c r="C10" s="175" t="s">
        <v>164</v>
      </c>
      <c r="D10" s="175" t="s">
        <v>164</v>
      </c>
      <c r="E10" s="175" t="s">
        <v>164</v>
      </c>
      <c r="F10" s="175" t="s">
        <v>164</v>
      </c>
      <c r="G10" s="175" t="s">
        <v>164</v>
      </c>
      <c r="H10" s="175" t="s">
        <v>164</v>
      </c>
      <c r="I10" s="226" t="s">
        <v>202</v>
      </c>
      <c r="J10" s="175" t="s">
        <v>164</v>
      </c>
      <c r="K10" s="39" t="s">
        <v>204</v>
      </c>
      <c r="L10" s="40" t="s">
        <v>207</v>
      </c>
      <c r="M10" s="41" t="s">
        <v>108</v>
      </c>
      <c r="N10" s="42" t="s">
        <v>30</v>
      </c>
      <c r="O10" s="49"/>
      <c r="P10" s="49"/>
      <c r="Q10" s="205"/>
      <c r="R10" s="69"/>
    </row>
    <row r="11" spans="2:18">
      <c r="B11" s="21" t="s">
        <v>253</v>
      </c>
      <c r="C11" s="176" t="s">
        <v>164</v>
      </c>
      <c r="D11" s="176" t="s">
        <v>164</v>
      </c>
      <c r="E11" s="176" t="s">
        <v>164</v>
      </c>
      <c r="F11" s="176" t="s">
        <v>164</v>
      </c>
      <c r="G11" s="176" t="s">
        <v>164</v>
      </c>
      <c r="H11" s="176" t="s">
        <v>164</v>
      </c>
      <c r="I11" s="227" t="s">
        <v>203</v>
      </c>
      <c r="J11" s="176" t="s">
        <v>164</v>
      </c>
      <c r="K11" s="39" t="s">
        <v>202</v>
      </c>
      <c r="L11" s="37" t="s">
        <v>254</v>
      </c>
      <c r="M11" s="43" t="s">
        <v>32</v>
      </c>
      <c r="N11" s="44" t="s">
        <v>30</v>
      </c>
      <c r="O11" s="50"/>
      <c r="P11" s="50"/>
      <c r="Q11" s="206"/>
      <c r="R11" s="69"/>
    </row>
    <row r="12" spans="2:18">
      <c r="B12" s="21" t="s">
        <v>255</v>
      </c>
      <c r="C12" s="176" t="s">
        <v>164</v>
      </c>
      <c r="D12" s="176" t="s">
        <v>164</v>
      </c>
      <c r="E12" s="176" t="s">
        <v>164</v>
      </c>
      <c r="F12" s="176" t="s">
        <v>164</v>
      </c>
      <c r="G12" s="176" t="s">
        <v>164</v>
      </c>
      <c r="H12" s="176" t="s">
        <v>164</v>
      </c>
      <c r="I12" s="227" t="s">
        <v>203</v>
      </c>
      <c r="J12" s="176" t="s">
        <v>164</v>
      </c>
      <c r="K12" s="39" t="s">
        <v>202</v>
      </c>
      <c r="L12" s="37" t="s">
        <v>256</v>
      </c>
      <c r="M12" s="43" t="s">
        <v>224</v>
      </c>
      <c r="N12" s="44" t="s">
        <v>257</v>
      </c>
      <c r="O12" s="50"/>
      <c r="P12" s="50"/>
      <c r="Q12" s="206"/>
      <c r="R12" s="69"/>
    </row>
    <row r="13" spans="2:18">
      <c r="B13" s="21" t="s">
        <v>258</v>
      </c>
      <c r="C13" s="176" t="s">
        <v>164</v>
      </c>
      <c r="D13" s="176" t="s">
        <v>164</v>
      </c>
      <c r="E13" s="176" t="s">
        <v>164</v>
      </c>
      <c r="F13" s="176" t="s">
        <v>164</v>
      </c>
      <c r="G13" s="176" t="s">
        <v>164</v>
      </c>
      <c r="H13" s="176" t="s">
        <v>164</v>
      </c>
      <c r="I13" s="227" t="s">
        <v>203</v>
      </c>
      <c r="J13" s="176" t="s">
        <v>164</v>
      </c>
      <c r="K13" s="39" t="s">
        <v>202</v>
      </c>
      <c r="L13" s="37" t="s">
        <v>259</v>
      </c>
      <c r="M13" s="43" t="s">
        <v>225</v>
      </c>
      <c r="N13" s="44" t="s">
        <v>260</v>
      </c>
      <c r="O13" s="50"/>
      <c r="P13" s="50"/>
      <c r="Q13" s="206"/>
      <c r="R13" s="69"/>
    </row>
    <row r="14" spans="2:18">
      <c r="B14" s="21" t="s">
        <v>261</v>
      </c>
      <c r="C14" s="176" t="s">
        <v>164</v>
      </c>
      <c r="D14" s="176" t="s">
        <v>164</v>
      </c>
      <c r="E14" s="176" t="s">
        <v>164</v>
      </c>
      <c r="F14" s="176" t="s">
        <v>164</v>
      </c>
      <c r="G14" s="176" t="s">
        <v>164</v>
      </c>
      <c r="H14" s="176" t="s">
        <v>164</v>
      </c>
      <c r="I14" s="227" t="s">
        <v>203</v>
      </c>
      <c r="J14" s="176" t="s">
        <v>164</v>
      </c>
      <c r="K14" s="39" t="s">
        <v>202</v>
      </c>
      <c r="L14" s="37" t="s">
        <v>262</v>
      </c>
      <c r="M14" s="43" t="s">
        <v>226</v>
      </c>
      <c r="N14" s="44" t="s">
        <v>263</v>
      </c>
      <c r="O14" s="50"/>
      <c r="P14" s="50"/>
      <c r="Q14" s="206"/>
      <c r="R14" s="69"/>
    </row>
    <row r="15" spans="2:18">
      <c r="B15" s="21" t="s">
        <v>264</v>
      </c>
      <c r="C15" s="176" t="s">
        <v>164</v>
      </c>
      <c r="D15" s="176" t="s">
        <v>164</v>
      </c>
      <c r="E15" s="176" t="s">
        <v>164</v>
      </c>
      <c r="F15" s="176" t="s">
        <v>164</v>
      </c>
      <c r="G15" s="176" t="s">
        <v>164</v>
      </c>
      <c r="H15" s="176" t="s">
        <v>164</v>
      </c>
      <c r="I15" s="227" t="s">
        <v>203</v>
      </c>
      <c r="J15" s="176" t="s">
        <v>164</v>
      </c>
      <c r="K15" s="39" t="s">
        <v>202</v>
      </c>
      <c r="L15" s="37" t="s">
        <v>265</v>
      </c>
      <c r="M15" s="43" t="s">
        <v>227</v>
      </c>
      <c r="N15" s="44" t="s">
        <v>266</v>
      </c>
      <c r="O15" s="50"/>
      <c r="P15" s="50"/>
      <c r="Q15" s="206"/>
      <c r="R15" s="69"/>
    </row>
    <row r="16" spans="2:18">
      <c r="B16" s="21" t="s">
        <v>267</v>
      </c>
      <c r="C16" s="176" t="s">
        <v>164</v>
      </c>
      <c r="D16" s="176" t="s">
        <v>164</v>
      </c>
      <c r="E16" s="176" t="s">
        <v>164</v>
      </c>
      <c r="F16" s="176" t="s">
        <v>164</v>
      </c>
      <c r="G16" s="176" t="s">
        <v>164</v>
      </c>
      <c r="H16" s="176" t="s">
        <v>164</v>
      </c>
      <c r="I16" s="227" t="s">
        <v>203</v>
      </c>
      <c r="J16" s="176" t="s">
        <v>164</v>
      </c>
      <c r="K16" s="39" t="s">
        <v>202</v>
      </c>
      <c r="L16" s="37" t="s">
        <v>268</v>
      </c>
      <c r="M16" s="43" t="s">
        <v>32</v>
      </c>
      <c r="N16" s="44" t="s">
        <v>30</v>
      </c>
      <c r="O16" s="50"/>
      <c r="P16" s="50"/>
      <c r="Q16" s="206"/>
      <c r="R16" s="69"/>
    </row>
    <row r="17" spans="2:18">
      <c r="B17" s="21" t="s">
        <v>267</v>
      </c>
      <c r="C17" s="176" t="s">
        <v>164</v>
      </c>
      <c r="D17" s="176" t="s">
        <v>164</v>
      </c>
      <c r="E17" s="176" t="s">
        <v>164</v>
      </c>
      <c r="F17" s="176" t="s">
        <v>164</v>
      </c>
      <c r="G17" s="176" t="s">
        <v>164</v>
      </c>
      <c r="H17" s="176" t="s">
        <v>164</v>
      </c>
      <c r="I17" s="227" t="s">
        <v>203</v>
      </c>
      <c r="J17" s="176" t="s">
        <v>164</v>
      </c>
      <c r="K17" s="39" t="s">
        <v>202</v>
      </c>
      <c r="L17" s="37" t="s">
        <v>269</v>
      </c>
      <c r="M17" s="43" t="s">
        <v>32</v>
      </c>
      <c r="N17" s="44" t="s">
        <v>30</v>
      </c>
      <c r="O17" s="50"/>
      <c r="P17" s="50"/>
      <c r="Q17" s="206"/>
      <c r="R17" s="69"/>
    </row>
    <row r="18" spans="2:18">
      <c r="B18" s="21" t="s">
        <v>267</v>
      </c>
      <c r="C18" s="176" t="s">
        <v>164</v>
      </c>
      <c r="D18" s="176" t="s">
        <v>164</v>
      </c>
      <c r="E18" s="176" t="s">
        <v>164</v>
      </c>
      <c r="F18" s="176" t="s">
        <v>164</v>
      </c>
      <c r="G18" s="176" t="s">
        <v>164</v>
      </c>
      <c r="H18" s="176" t="s">
        <v>164</v>
      </c>
      <c r="I18" s="227" t="s">
        <v>203</v>
      </c>
      <c r="J18" s="176" t="s">
        <v>164</v>
      </c>
      <c r="K18" s="39" t="s">
        <v>202</v>
      </c>
      <c r="L18" s="37" t="s">
        <v>270</v>
      </c>
      <c r="M18" s="43" t="s">
        <v>32</v>
      </c>
      <c r="N18" s="44" t="s">
        <v>30</v>
      </c>
      <c r="O18" s="50"/>
      <c r="P18" s="50"/>
      <c r="Q18" s="206"/>
      <c r="R18" s="69"/>
    </row>
    <row r="19" spans="2:18" ht="13.5" thickBot="1">
      <c r="B19" s="22" t="s">
        <v>271</v>
      </c>
      <c r="C19" s="177" t="s">
        <v>164</v>
      </c>
      <c r="D19" s="177" t="s">
        <v>164</v>
      </c>
      <c r="E19" s="177" t="s">
        <v>164</v>
      </c>
      <c r="F19" s="177" t="s">
        <v>164</v>
      </c>
      <c r="G19" s="177" t="s">
        <v>164</v>
      </c>
      <c r="H19" s="177" t="s">
        <v>164</v>
      </c>
      <c r="I19" s="228" t="s">
        <v>203</v>
      </c>
      <c r="J19" s="177" t="s">
        <v>164</v>
      </c>
      <c r="K19" s="45" t="s">
        <v>203</v>
      </c>
      <c r="L19" s="208" t="s">
        <v>207</v>
      </c>
      <c r="M19" s="46" t="s">
        <v>32</v>
      </c>
      <c r="N19" s="47" t="s">
        <v>127</v>
      </c>
      <c r="O19" s="51"/>
      <c r="P19" s="51"/>
      <c r="Q19" s="207"/>
      <c r="R19" s="69"/>
    </row>
    <row r="20" spans="2:18">
      <c r="R20" s="69"/>
    </row>
    <row r="21" spans="2:18">
      <c r="R21" s="69"/>
    </row>
    <row r="22" spans="2:18">
      <c r="R22" s="69"/>
    </row>
    <row r="23" spans="2:18">
      <c r="R23" s="69"/>
    </row>
    <row r="24" spans="2:18">
      <c r="R24" s="69"/>
    </row>
    <row r="25" spans="2:18">
      <c r="R25" s="69"/>
    </row>
    <row r="26" spans="2:18">
      <c r="R26" s="69"/>
    </row>
    <row r="27" spans="2:18">
      <c r="R27" s="69"/>
    </row>
    <row r="28" spans="2:18">
      <c r="R28" s="69"/>
    </row>
    <row r="29" spans="2:18">
      <c r="R29" s="69"/>
    </row>
    <row r="30" spans="2:18">
      <c r="R30" s="69"/>
    </row>
    <row r="31" spans="2:18">
      <c r="R31" s="69"/>
    </row>
    <row r="32" spans="2:18">
      <c r="R32" s="69"/>
    </row>
    <row r="33" spans="18:18">
      <c r="R33" s="69"/>
    </row>
    <row r="34" spans="18:18">
      <c r="R34" s="69"/>
    </row>
    <row r="35" spans="18:18">
      <c r="R35" s="69"/>
    </row>
    <row r="36" spans="18:18">
      <c r="R36" s="69"/>
    </row>
    <row r="49" spans="18:18">
      <c r="R49" s="55"/>
    </row>
    <row r="50" spans="18:18">
      <c r="R50" s="220"/>
    </row>
    <row r="51" spans="18:18">
      <c r="R51" s="55"/>
    </row>
    <row r="52" spans="18:18">
      <c r="R52" s="225"/>
    </row>
    <row r="53" spans="18:18">
      <c r="R53" s="55"/>
    </row>
    <row r="54" spans="18:18">
      <c r="R54" s="55"/>
    </row>
    <row r="55" spans="18:18">
      <c r="R55" s="225"/>
    </row>
    <row r="56" spans="18:18">
      <c r="R56" s="69"/>
    </row>
    <row r="57" spans="18:18">
      <c r="R57" s="69"/>
    </row>
    <row r="58" spans="18:18">
      <c r="R58" s="69"/>
    </row>
    <row r="59" spans="18:18">
      <c r="R59" s="69"/>
    </row>
    <row r="60" spans="18:18">
      <c r="R60" s="69"/>
    </row>
    <row r="61" spans="18:18">
      <c r="R61" s="69"/>
    </row>
    <row r="62" spans="18:18">
      <c r="R62" s="69"/>
    </row>
    <row r="63" spans="18:18">
      <c r="R63" s="69"/>
    </row>
    <row r="65" spans="2:16" ht="14.5" thickBot="1">
      <c r="B65" s="26" t="s">
        <v>276</v>
      </c>
    </row>
    <row r="66" spans="2:16" ht="14.5" thickBot="1">
      <c r="B66" s="107" t="s">
        <v>123</v>
      </c>
      <c r="C66" s="333" t="s">
        <v>277</v>
      </c>
      <c r="D66" s="334"/>
      <c r="E66" s="334"/>
      <c r="F66" s="334"/>
      <c r="G66" s="334"/>
      <c r="H66" s="334"/>
      <c r="I66" s="334"/>
      <c r="J66" s="335"/>
      <c r="K66" s="178"/>
      <c r="L66" s="178"/>
      <c r="M66" s="181"/>
      <c r="N66" s="179"/>
      <c r="O66" s="179"/>
      <c r="P66" s="180"/>
    </row>
    <row r="67" spans="2:16">
      <c r="B67" s="79"/>
      <c r="C67" s="35" t="s">
        <v>157</v>
      </c>
      <c r="D67" s="35"/>
      <c r="E67" s="35"/>
      <c r="F67" s="35"/>
      <c r="G67" s="35"/>
      <c r="H67" s="35"/>
      <c r="I67" s="35"/>
      <c r="J67" s="35"/>
      <c r="K67" s="35"/>
      <c r="L67" s="36"/>
      <c r="M67" s="31" t="s">
        <v>54</v>
      </c>
      <c r="N67" s="53" t="s">
        <v>316</v>
      </c>
      <c r="O67" s="53"/>
      <c r="P67" s="54"/>
    </row>
    <row r="68" spans="2:16">
      <c r="B68" s="80" t="s">
        <v>21</v>
      </c>
      <c r="C68" s="336" t="s">
        <v>171</v>
      </c>
      <c r="D68" s="331"/>
      <c r="E68" s="331"/>
      <c r="F68" s="331"/>
      <c r="G68" s="331"/>
      <c r="H68" s="331"/>
      <c r="I68" s="331"/>
      <c r="J68" s="332"/>
      <c r="K68" s="38" t="s">
        <v>22</v>
      </c>
      <c r="L68" s="84"/>
      <c r="M68" s="32" t="s">
        <v>278</v>
      </c>
      <c r="N68" s="230" t="s">
        <v>24</v>
      </c>
      <c r="O68" s="230" t="s">
        <v>25</v>
      </c>
      <c r="P68" s="196" t="s">
        <v>26</v>
      </c>
    </row>
    <row r="69" spans="2:16" ht="39">
      <c r="B69" s="80" t="s">
        <v>35</v>
      </c>
      <c r="C69" s="172" t="s">
        <v>127</v>
      </c>
      <c r="D69" s="172" t="s">
        <v>127</v>
      </c>
      <c r="E69" s="172" t="s">
        <v>127</v>
      </c>
      <c r="F69" s="172" t="s">
        <v>127</v>
      </c>
      <c r="G69" s="172" t="s">
        <v>127</v>
      </c>
      <c r="H69" s="172" t="s">
        <v>127</v>
      </c>
      <c r="I69" s="172" t="s">
        <v>127</v>
      </c>
      <c r="J69" s="172" t="s">
        <v>127</v>
      </c>
      <c r="K69" s="27" t="s">
        <v>246</v>
      </c>
      <c r="L69" s="1" t="s">
        <v>272</v>
      </c>
      <c r="M69" s="32" t="s">
        <v>51</v>
      </c>
      <c r="N69" s="48"/>
      <c r="O69" s="48"/>
      <c r="P69" s="231" t="s">
        <v>279</v>
      </c>
    </row>
    <row r="70" spans="2:16" ht="26">
      <c r="B70" s="81" t="s">
        <v>27</v>
      </c>
      <c r="C70" s="330" t="s">
        <v>38</v>
      </c>
      <c r="D70" s="331"/>
      <c r="E70" s="331"/>
      <c r="F70" s="331"/>
      <c r="G70" s="331"/>
      <c r="H70" s="331"/>
      <c r="I70" s="331"/>
      <c r="J70" s="332"/>
      <c r="K70" s="1" t="s">
        <v>391</v>
      </c>
      <c r="L70" s="1" t="s">
        <v>391</v>
      </c>
      <c r="M70" s="33"/>
      <c r="N70" s="48"/>
      <c r="O70" s="48"/>
      <c r="P70" s="196" t="s">
        <v>280</v>
      </c>
    </row>
    <row r="71" spans="2:16" ht="131">
      <c r="B71" s="80" t="s">
        <v>28</v>
      </c>
      <c r="C71" s="173" t="s">
        <v>158</v>
      </c>
      <c r="D71" s="173" t="s">
        <v>65</v>
      </c>
      <c r="E71" s="173" t="s">
        <v>159</v>
      </c>
      <c r="F71" s="173" t="s">
        <v>160</v>
      </c>
      <c r="G71" s="173" t="s">
        <v>161</v>
      </c>
      <c r="H71" s="173" t="s">
        <v>162</v>
      </c>
      <c r="I71" s="173" t="s">
        <v>201</v>
      </c>
      <c r="J71" s="173" t="s">
        <v>163</v>
      </c>
      <c r="K71" s="1" t="s">
        <v>392</v>
      </c>
      <c r="L71" s="1" t="s">
        <v>243</v>
      </c>
      <c r="M71" s="32" t="s">
        <v>247</v>
      </c>
      <c r="N71" s="48"/>
      <c r="O71" s="48"/>
      <c r="P71" s="196" t="s">
        <v>281</v>
      </c>
    </row>
    <row r="72" spans="2:16" ht="169.5" thickBot="1">
      <c r="B72" s="82" t="s">
        <v>29</v>
      </c>
      <c r="C72" s="174" t="s">
        <v>165</v>
      </c>
      <c r="D72" s="174" t="s">
        <v>127</v>
      </c>
      <c r="E72" s="174" t="s">
        <v>165</v>
      </c>
      <c r="F72" s="174" t="s">
        <v>165</v>
      </c>
      <c r="G72" s="174" t="s">
        <v>165</v>
      </c>
      <c r="H72" s="174" t="s">
        <v>165</v>
      </c>
      <c r="I72" s="174" t="s">
        <v>165</v>
      </c>
      <c r="J72" s="174" t="s">
        <v>165</v>
      </c>
      <c r="K72" s="28" t="s">
        <v>282</v>
      </c>
      <c r="L72" s="253" t="s">
        <v>323</v>
      </c>
      <c r="M72" s="254" t="s">
        <v>390</v>
      </c>
      <c r="N72" s="255" t="s">
        <v>408</v>
      </c>
      <c r="O72" s="232" t="s">
        <v>283</v>
      </c>
      <c r="P72" s="233" t="s">
        <v>284</v>
      </c>
    </row>
    <row r="73" spans="2:16" ht="13.5" thickTop="1">
      <c r="B73" s="21" t="s">
        <v>356</v>
      </c>
      <c r="C73" s="176" t="s">
        <v>273</v>
      </c>
      <c r="D73" s="176" t="s">
        <v>273</v>
      </c>
      <c r="E73" s="176" t="s">
        <v>273</v>
      </c>
      <c r="F73" s="176" t="s">
        <v>273</v>
      </c>
      <c r="G73" s="176" t="s">
        <v>273</v>
      </c>
      <c r="H73" s="176" t="s">
        <v>273</v>
      </c>
      <c r="I73" s="176" t="s">
        <v>273</v>
      </c>
      <c r="J73" s="176" t="s">
        <v>273</v>
      </c>
      <c r="K73" s="39" t="s">
        <v>31</v>
      </c>
      <c r="L73" s="37" t="s">
        <v>324</v>
      </c>
      <c r="M73" s="256" t="s">
        <v>32</v>
      </c>
      <c r="N73" s="257" t="s">
        <v>127</v>
      </c>
      <c r="O73" s="257" t="s">
        <v>127</v>
      </c>
      <c r="P73" s="258" t="s">
        <v>127</v>
      </c>
    </row>
    <row r="74" spans="2:16">
      <c r="B74" s="21" t="s">
        <v>357</v>
      </c>
      <c r="C74" s="176" t="s">
        <v>273</v>
      </c>
      <c r="D74" s="176" t="s">
        <v>273</v>
      </c>
      <c r="E74" s="176" t="s">
        <v>273</v>
      </c>
      <c r="F74" s="176" t="s">
        <v>273</v>
      </c>
      <c r="G74" s="176" t="s">
        <v>273</v>
      </c>
      <c r="H74" s="176" t="s">
        <v>273</v>
      </c>
      <c r="I74" s="176" t="s">
        <v>273</v>
      </c>
      <c r="J74" s="176" t="s">
        <v>273</v>
      </c>
      <c r="K74" s="215" t="s">
        <v>31</v>
      </c>
      <c r="L74" s="37" t="s">
        <v>325</v>
      </c>
      <c r="M74" s="259" t="s">
        <v>32</v>
      </c>
      <c r="N74" s="257" t="s">
        <v>30</v>
      </c>
      <c r="O74" s="257" t="s">
        <v>30</v>
      </c>
      <c r="P74" s="258" t="s">
        <v>30</v>
      </c>
    </row>
    <row r="75" spans="2:16">
      <c r="B75" s="21" t="s">
        <v>358</v>
      </c>
      <c r="C75" s="176" t="s">
        <v>273</v>
      </c>
      <c r="D75" s="176" t="s">
        <v>273</v>
      </c>
      <c r="E75" s="176" t="s">
        <v>273</v>
      </c>
      <c r="F75" s="176" t="s">
        <v>273</v>
      </c>
      <c r="G75" s="176" t="s">
        <v>273</v>
      </c>
      <c r="H75" s="176" t="s">
        <v>273</v>
      </c>
      <c r="I75" s="176" t="s">
        <v>273</v>
      </c>
      <c r="J75" s="176" t="s">
        <v>273</v>
      </c>
      <c r="K75" s="215" t="s">
        <v>31</v>
      </c>
      <c r="L75" s="37" t="s">
        <v>326</v>
      </c>
      <c r="M75" s="259" t="s">
        <v>32</v>
      </c>
      <c r="N75" s="257" t="s">
        <v>30</v>
      </c>
      <c r="O75" s="257" t="s">
        <v>30</v>
      </c>
      <c r="P75" s="258" t="s">
        <v>30</v>
      </c>
    </row>
    <row r="76" spans="2:16">
      <c r="B76" s="21" t="s">
        <v>359</v>
      </c>
      <c r="C76" s="176" t="s">
        <v>273</v>
      </c>
      <c r="D76" s="176" t="s">
        <v>273</v>
      </c>
      <c r="E76" s="176" t="s">
        <v>273</v>
      </c>
      <c r="F76" s="176" t="s">
        <v>273</v>
      </c>
      <c r="G76" s="176" t="s">
        <v>273</v>
      </c>
      <c r="H76" s="176" t="s">
        <v>273</v>
      </c>
      <c r="I76" s="176" t="s">
        <v>273</v>
      </c>
      <c r="J76" s="176" t="s">
        <v>273</v>
      </c>
      <c r="K76" s="215" t="s">
        <v>31</v>
      </c>
      <c r="L76" s="37" t="s">
        <v>327</v>
      </c>
      <c r="M76" s="259" t="s">
        <v>394</v>
      </c>
      <c r="N76" s="263" t="s">
        <v>317</v>
      </c>
      <c r="O76" s="257" t="s">
        <v>285</v>
      </c>
      <c r="P76" s="258" t="s">
        <v>30</v>
      </c>
    </row>
    <row r="77" spans="2:16">
      <c r="B77" s="21" t="s">
        <v>360</v>
      </c>
      <c r="C77" s="176" t="s">
        <v>273</v>
      </c>
      <c r="D77" s="176" t="s">
        <v>273</v>
      </c>
      <c r="E77" s="176" t="s">
        <v>273</v>
      </c>
      <c r="F77" s="176" t="s">
        <v>273</v>
      </c>
      <c r="G77" s="176" t="s">
        <v>273</v>
      </c>
      <c r="H77" s="176" t="s">
        <v>273</v>
      </c>
      <c r="I77" s="176" t="s">
        <v>273</v>
      </c>
      <c r="J77" s="176" t="s">
        <v>273</v>
      </c>
      <c r="K77" s="215" t="s">
        <v>31</v>
      </c>
      <c r="L77" s="37" t="s">
        <v>328</v>
      </c>
      <c r="M77" s="259" t="s">
        <v>395</v>
      </c>
      <c r="N77" s="263" t="s">
        <v>318</v>
      </c>
      <c r="O77" s="257" t="s">
        <v>30</v>
      </c>
      <c r="P77" s="258" t="s">
        <v>30</v>
      </c>
    </row>
    <row r="78" spans="2:16">
      <c r="B78" s="21" t="s">
        <v>361</v>
      </c>
      <c r="C78" s="176" t="s">
        <v>273</v>
      </c>
      <c r="D78" s="176" t="s">
        <v>273</v>
      </c>
      <c r="E78" s="176" t="s">
        <v>273</v>
      </c>
      <c r="F78" s="176" t="s">
        <v>273</v>
      </c>
      <c r="G78" s="176" t="s">
        <v>273</v>
      </c>
      <c r="H78" s="176" t="s">
        <v>273</v>
      </c>
      <c r="I78" s="176" t="s">
        <v>273</v>
      </c>
      <c r="J78" s="176" t="s">
        <v>273</v>
      </c>
      <c r="K78" s="215" t="s">
        <v>31</v>
      </c>
      <c r="L78" s="37" t="s">
        <v>329</v>
      </c>
      <c r="M78" s="259" t="s">
        <v>396</v>
      </c>
      <c r="N78" s="263" t="s">
        <v>319</v>
      </c>
      <c r="O78" s="257" t="s">
        <v>30</v>
      </c>
      <c r="P78" s="258" t="s">
        <v>30</v>
      </c>
    </row>
    <row r="79" spans="2:16">
      <c r="B79" s="21" t="s">
        <v>362</v>
      </c>
      <c r="C79" s="176" t="s">
        <v>273</v>
      </c>
      <c r="D79" s="176" t="s">
        <v>273</v>
      </c>
      <c r="E79" s="176" t="s">
        <v>273</v>
      </c>
      <c r="F79" s="176" t="s">
        <v>273</v>
      </c>
      <c r="G79" s="176" t="s">
        <v>273</v>
      </c>
      <c r="H79" s="176" t="s">
        <v>273</v>
      </c>
      <c r="I79" s="176" t="s">
        <v>273</v>
      </c>
      <c r="J79" s="176" t="s">
        <v>273</v>
      </c>
      <c r="K79" s="39" t="s">
        <v>31</v>
      </c>
      <c r="L79" s="37" t="s">
        <v>330</v>
      </c>
      <c r="M79" s="259" t="s">
        <v>397</v>
      </c>
      <c r="N79" s="263" t="s">
        <v>320</v>
      </c>
      <c r="O79" s="257" t="s">
        <v>30</v>
      </c>
      <c r="P79" s="258" t="s">
        <v>30</v>
      </c>
    </row>
    <row r="80" spans="2:16">
      <c r="B80" s="21" t="s">
        <v>363</v>
      </c>
      <c r="C80" s="176" t="s">
        <v>273</v>
      </c>
      <c r="D80" s="176" t="s">
        <v>273</v>
      </c>
      <c r="E80" s="176" t="s">
        <v>273</v>
      </c>
      <c r="F80" s="176" t="s">
        <v>273</v>
      </c>
      <c r="G80" s="176" t="s">
        <v>273</v>
      </c>
      <c r="H80" s="176" t="s">
        <v>273</v>
      </c>
      <c r="I80" s="176" t="s">
        <v>273</v>
      </c>
      <c r="J80" s="176" t="s">
        <v>273</v>
      </c>
      <c r="K80" s="215" t="s">
        <v>31</v>
      </c>
      <c r="L80" s="37" t="s">
        <v>331</v>
      </c>
      <c r="M80" s="259" t="s">
        <v>286</v>
      </c>
      <c r="N80" s="263" t="s">
        <v>321</v>
      </c>
      <c r="O80" s="257" t="s">
        <v>30</v>
      </c>
      <c r="P80" s="258" t="s">
        <v>30</v>
      </c>
    </row>
    <row r="81" spans="2:18">
      <c r="B81" s="21" t="s">
        <v>364</v>
      </c>
      <c r="C81" s="176" t="s">
        <v>273</v>
      </c>
      <c r="D81" s="176" t="s">
        <v>273</v>
      </c>
      <c r="E81" s="176" t="s">
        <v>273</v>
      </c>
      <c r="F81" s="176" t="s">
        <v>273</v>
      </c>
      <c r="G81" s="176" t="s">
        <v>273</v>
      </c>
      <c r="H81" s="176" t="s">
        <v>273</v>
      </c>
      <c r="I81" s="176" t="s">
        <v>273</v>
      </c>
      <c r="J81" s="176" t="s">
        <v>273</v>
      </c>
      <c r="K81" s="215" t="s">
        <v>31</v>
      </c>
      <c r="L81" s="37" t="s">
        <v>332</v>
      </c>
      <c r="M81" s="259" t="s">
        <v>32</v>
      </c>
      <c r="N81" s="257" t="s">
        <v>30</v>
      </c>
      <c r="O81" s="257" t="s">
        <v>30</v>
      </c>
      <c r="P81" s="258" t="s">
        <v>30</v>
      </c>
    </row>
    <row r="82" spans="2:18">
      <c r="B82" s="21" t="s">
        <v>365</v>
      </c>
      <c r="C82" s="176" t="s">
        <v>273</v>
      </c>
      <c r="D82" s="176" t="s">
        <v>273</v>
      </c>
      <c r="E82" s="176" t="s">
        <v>273</v>
      </c>
      <c r="F82" s="176" t="s">
        <v>273</v>
      </c>
      <c r="G82" s="176" t="s">
        <v>273</v>
      </c>
      <c r="H82" s="176" t="s">
        <v>273</v>
      </c>
      <c r="I82" s="176" t="s">
        <v>273</v>
      </c>
      <c r="J82" s="176" t="s">
        <v>273</v>
      </c>
      <c r="K82" s="215" t="s">
        <v>31</v>
      </c>
      <c r="L82" s="37" t="s">
        <v>333</v>
      </c>
      <c r="M82" s="259" t="s">
        <v>32</v>
      </c>
      <c r="N82" s="257" t="s">
        <v>30</v>
      </c>
      <c r="O82" s="257" t="s">
        <v>30</v>
      </c>
      <c r="P82" s="258" t="s">
        <v>30</v>
      </c>
      <c r="R82"/>
    </row>
    <row r="83" spans="2:18">
      <c r="B83" s="21" t="s">
        <v>366</v>
      </c>
      <c r="C83" s="176" t="s">
        <v>273</v>
      </c>
      <c r="D83" s="176" t="s">
        <v>273</v>
      </c>
      <c r="E83" s="176" t="s">
        <v>273</v>
      </c>
      <c r="F83" s="176" t="s">
        <v>273</v>
      </c>
      <c r="G83" s="176" t="s">
        <v>273</v>
      </c>
      <c r="H83" s="176" t="s">
        <v>273</v>
      </c>
      <c r="I83" s="176" t="s">
        <v>273</v>
      </c>
      <c r="J83" s="176" t="s">
        <v>273</v>
      </c>
      <c r="K83" s="215" t="s">
        <v>31</v>
      </c>
      <c r="L83" s="37" t="s">
        <v>334</v>
      </c>
      <c r="M83" s="259" t="s">
        <v>32</v>
      </c>
      <c r="N83" s="257" t="s">
        <v>30</v>
      </c>
      <c r="O83" s="257" t="s">
        <v>30</v>
      </c>
      <c r="P83" s="258" t="s">
        <v>30</v>
      </c>
      <c r="R83"/>
    </row>
    <row r="84" spans="2:18">
      <c r="B84" s="21" t="s">
        <v>367</v>
      </c>
      <c r="C84" s="176" t="s">
        <v>273</v>
      </c>
      <c r="D84" s="176" t="s">
        <v>273</v>
      </c>
      <c r="E84" s="176" t="s">
        <v>273</v>
      </c>
      <c r="F84" s="176" t="s">
        <v>273</v>
      </c>
      <c r="G84" s="176" t="s">
        <v>273</v>
      </c>
      <c r="H84" s="176" t="s">
        <v>273</v>
      </c>
      <c r="I84" s="176" t="s">
        <v>273</v>
      </c>
      <c r="J84" s="176" t="s">
        <v>273</v>
      </c>
      <c r="K84" s="215" t="s">
        <v>31</v>
      </c>
      <c r="L84" s="37" t="s">
        <v>335</v>
      </c>
      <c r="M84" s="259" t="s">
        <v>388</v>
      </c>
      <c r="N84" s="263" t="s">
        <v>322</v>
      </c>
      <c r="O84" s="257" t="s">
        <v>30</v>
      </c>
      <c r="P84" s="258" t="s">
        <v>287</v>
      </c>
      <c r="R84"/>
    </row>
    <row r="85" spans="2:18">
      <c r="B85" s="21" t="s">
        <v>368</v>
      </c>
      <c r="C85" s="176" t="s">
        <v>273</v>
      </c>
      <c r="D85" s="176" t="s">
        <v>273</v>
      </c>
      <c r="E85" s="176" t="s">
        <v>273</v>
      </c>
      <c r="F85" s="176" t="s">
        <v>273</v>
      </c>
      <c r="G85" s="176" t="s">
        <v>273</v>
      </c>
      <c r="H85" s="176" t="s">
        <v>273</v>
      </c>
      <c r="I85" s="176" t="s">
        <v>273</v>
      </c>
      <c r="J85" s="176" t="s">
        <v>273</v>
      </c>
      <c r="K85" s="39" t="s">
        <v>31</v>
      </c>
      <c r="L85" s="37" t="s">
        <v>336</v>
      </c>
      <c r="M85" s="259" t="s">
        <v>32</v>
      </c>
      <c r="N85" s="257" t="s">
        <v>30</v>
      </c>
      <c r="O85" s="257" t="s">
        <v>30</v>
      </c>
      <c r="P85" s="258" t="s">
        <v>30</v>
      </c>
      <c r="R85"/>
    </row>
    <row r="86" spans="2:18">
      <c r="B86" s="21" t="s">
        <v>369</v>
      </c>
      <c r="C86" s="176" t="s">
        <v>273</v>
      </c>
      <c r="D86" s="176" t="s">
        <v>273</v>
      </c>
      <c r="E86" s="176" t="s">
        <v>273</v>
      </c>
      <c r="F86" s="176" t="s">
        <v>273</v>
      </c>
      <c r="G86" s="176" t="s">
        <v>273</v>
      </c>
      <c r="H86" s="176" t="s">
        <v>273</v>
      </c>
      <c r="I86" s="176" t="s">
        <v>273</v>
      </c>
      <c r="J86" s="176" t="s">
        <v>273</v>
      </c>
      <c r="K86" s="215" t="s">
        <v>31</v>
      </c>
      <c r="L86" s="37" t="s">
        <v>337</v>
      </c>
      <c r="M86" s="259" t="s">
        <v>389</v>
      </c>
      <c r="N86" s="263" t="s">
        <v>288</v>
      </c>
      <c r="O86" s="257" t="s">
        <v>30</v>
      </c>
      <c r="P86" s="258" t="s">
        <v>30</v>
      </c>
      <c r="R86"/>
    </row>
    <row r="87" spans="2:18">
      <c r="B87" s="21" t="s">
        <v>370</v>
      </c>
      <c r="C87" s="176" t="s">
        <v>273</v>
      </c>
      <c r="D87" s="176" t="s">
        <v>273</v>
      </c>
      <c r="E87" s="176" t="s">
        <v>273</v>
      </c>
      <c r="F87" s="176" t="s">
        <v>273</v>
      </c>
      <c r="G87" s="176" t="s">
        <v>273</v>
      </c>
      <c r="H87" s="176" t="s">
        <v>273</v>
      </c>
      <c r="I87" s="176" t="s">
        <v>273</v>
      </c>
      <c r="J87" s="176" t="s">
        <v>273</v>
      </c>
      <c r="K87" s="215" t="s">
        <v>31</v>
      </c>
      <c r="L87" s="37" t="s">
        <v>338</v>
      </c>
      <c r="M87" s="259" t="s">
        <v>32</v>
      </c>
      <c r="N87" s="257" t="s">
        <v>30</v>
      </c>
      <c r="O87" s="257" t="s">
        <v>30</v>
      </c>
      <c r="P87" s="258" t="s">
        <v>30</v>
      </c>
      <c r="R87"/>
    </row>
    <row r="88" spans="2:18">
      <c r="B88" s="21" t="s">
        <v>387</v>
      </c>
      <c r="C88" s="176" t="s">
        <v>273</v>
      </c>
      <c r="D88" s="176" t="s">
        <v>273</v>
      </c>
      <c r="E88" s="176" t="s">
        <v>273</v>
      </c>
      <c r="F88" s="176" t="s">
        <v>273</v>
      </c>
      <c r="G88" s="176" t="s">
        <v>273</v>
      </c>
      <c r="H88" s="176" t="s">
        <v>273</v>
      </c>
      <c r="I88" s="176" t="s">
        <v>273</v>
      </c>
      <c r="J88" s="176" t="s">
        <v>273</v>
      </c>
      <c r="K88" s="215" t="s">
        <v>31</v>
      </c>
      <c r="L88" s="37" t="s">
        <v>339</v>
      </c>
      <c r="M88" s="259" t="s">
        <v>32</v>
      </c>
      <c r="N88" s="257" t="s">
        <v>30</v>
      </c>
      <c r="O88" s="257" t="s">
        <v>30</v>
      </c>
      <c r="P88" s="258" t="s">
        <v>30</v>
      </c>
      <c r="R88"/>
    </row>
    <row r="89" spans="2:18">
      <c r="B89" s="21" t="s">
        <v>371</v>
      </c>
      <c r="C89" s="176" t="s">
        <v>273</v>
      </c>
      <c r="D89" s="176" t="s">
        <v>273</v>
      </c>
      <c r="E89" s="176" t="s">
        <v>273</v>
      </c>
      <c r="F89" s="176" t="s">
        <v>273</v>
      </c>
      <c r="G89" s="176" t="s">
        <v>273</v>
      </c>
      <c r="H89" s="176" t="s">
        <v>273</v>
      </c>
      <c r="I89" s="176" t="s">
        <v>273</v>
      </c>
      <c r="J89" s="176" t="s">
        <v>273</v>
      </c>
      <c r="K89" s="39" t="s">
        <v>31</v>
      </c>
      <c r="L89" s="37" t="s">
        <v>340</v>
      </c>
      <c r="M89" s="259" t="s">
        <v>32</v>
      </c>
      <c r="N89" s="257" t="s">
        <v>127</v>
      </c>
      <c r="O89" s="257" t="s">
        <v>30</v>
      </c>
      <c r="P89" s="258" t="s">
        <v>30</v>
      </c>
      <c r="R89"/>
    </row>
    <row r="90" spans="2:18">
      <c r="B90" s="21" t="s">
        <v>372</v>
      </c>
      <c r="C90" s="176" t="s">
        <v>273</v>
      </c>
      <c r="D90" s="176" t="s">
        <v>273</v>
      </c>
      <c r="E90" s="176" t="s">
        <v>273</v>
      </c>
      <c r="F90" s="176" t="s">
        <v>273</v>
      </c>
      <c r="G90" s="176" t="s">
        <v>273</v>
      </c>
      <c r="H90" s="176" t="s">
        <v>273</v>
      </c>
      <c r="I90" s="176" t="s">
        <v>273</v>
      </c>
      <c r="J90" s="176" t="s">
        <v>273</v>
      </c>
      <c r="K90" s="215" t="s">
        <v>31</v>
      </c>
      <c r="L90" s="37" t="s">
        <v>341</v>
      </c>
      <c r="M90" s="259" t="s">
        <v>32</v>
      </c>
      <c r="N90" s="257" t="s">
        <v>127</v>
      </c>
      <c r="O90" s="257" t="s">
        <v>30</v>
      </c>
      <c r="P90" s="258" t="s">
        <v>30</v>
      </c>
      <c r="R90"/>
    </row>
    <row r="91" spans="2:18">
      <c r="B91" s="21" t="s">
        <v>373</v>
      </c>
      <c r="C91" s="176" t="s">
        <v>273</v>
      </c>
      <c r="D91" s="176" t="s">
        <v>273</v>
      </c>
      <c r="E91" s="176" t="s">
        <v>273</v>
      </c>
      <c r="F91" s="176" t="s">
        <v>273</v>
      </c>
      <c r="G91" s="176" t="s">
        <v>273</v>
      </c>
      <c r="H91" s="176" t="s">
        <v>273</v>
      </c>
      <c r="I91" s="176" t="s">
        <v>273</v>
      </c>
      <c r="J91" s="176" t="s">
        <v>273</v>
      </c>
      <c r="K91" s="215" t="s">
        <v>31</v>
      </c>
      <c r="L91" s="37" t="s">
        <v>342</v>
      </c>
      <c r="M91" s="259" t="s">
        <v>32</v>
      </c>
      <c r="N91" s="257" t="s">
        <v>127</v>
      </c>
      <c r="O91" s="257" t="s">
        <v>30</v>
      </c>
      <c r="P91" s="258" t="s">
        <v>30</v>
      </c>
      <c r="R91"/>
    </row>
    <row r="92" spans="2:18">
      <c r="B92" s="21" t="s">
        <v>374</v>
      </c>
      <c r="C92" s="176" t="s">
        <v>273</v>
      </c>
      <c r="D92" s="176" t="s">
        <v>273</v>
      </c>
      <c r="E92" s="176" t="s">
        <v>273</v>
      </c>
      <c r="F92" s="176" t="s">
        <v>273</v>
      </c>
      <c r="G92" s="176" t="s">
        <v>273</v>
      </c>
      <c r="H92" s="176" t="s">
        <v>273</v>
      </c>
      <c r="I92" s="176" t="s">
        <v>273</v>
      </c>
      <c r="J92" s="176" t="s">
        <v>273</v>
      </c>
      <c r="K92" s="215" t="s">
        <v>31</v>
      </c>
      <c r="L92" s="37" t="s">
        <v>343</v>
      </c>
      <c r="M92" s="259" t="s">
        <v>32</v>
      </c>
      <c r="N92" s="257" t="s">
        <v>127</v>
      </c>
      <c r="O92" s="257" t="s">
        <v>30</v>
      </c>
      <c r="P92" s="258" t="s">
        <v>30</v>
      </c>
      <c r="R92"/>
    </row>
    <row r="93" spans="2:18">
      <c r="B93" s="21" t="s">
        <v>375</v>
      </c>
      <c r="C93" s="176" t="s">
        <v>273</v>
      </c>
      <c r="D93" s="176" t="s">
        <v>273</v>
      </c>
      <c r="E93" s="176" t="s">
        <v>273</v>
      </c>
      <c r="F93" s="176" t="s">
        <v>273</v>
      </c>
      <c r="G93" s="176" t="s">
        <v>273</v>
      </c>
      <c r="H93" s="176" t="s">
        <v>273</v>
      </c>
      <c r="I93" s="176" t="s">
        <v>273</v>
      </c>
      <c r="J93" s="176" t="s">
        <v>273</v>
      </c>
      <c r="K93" s="215" t="s">
        <v>31</v>
      </c>
      <c r="L93" s="37" t="s">
        <v>344</v>
      </c>
      <c r="M93" s="259" t="s">
        <v>32</v>
      </c>
      <c r="N93" s="257" t="s">
        <v>127</v>
      </c>
      <c r="O93" s="257" t="s">
        <v>30</v>
      </c>
      <c r="P93" s="258" t="s">
        <v>30</v>
      </c>
      <c r="R93"/>
    </row>
    <row r="94" spans="2:18">
      <c r="B94" s="21" t="s">
        <v>376</v>
      </c>
      <c r="C94" s="176" t="s">
        <v>273</v>
      </c>
      <c r="D94" s="176" t="s">
        <v>273</v>
      </c>
      <c r="E94" s="176" t="s">
        <v>273</v>
      </c>
      <c r="F94" s="176" t="s">
        <v>273</v>
      </c>
      <c r="G94" s="176" t="s">
        <v>273</v>
      </c>
      <c r="H94" s="176" t="s">
        <v>273</v>
      </c>
      <c r="I94" s="176" t="s">
        <v>273</v>
      </c>
      <c r="J94" s="176" t="s">
        <v>273</v>
      </c>
      <c r="K94" s="215" t="s">
        <v>31</v>
      </c>
      <c r="L94" s="37" t="s">
        <v>345</v>
      </c>
      <c r="M94" s="259" t="s">
        <v>32</v>
      </c>
      <c r="N94" s="257" t="s">
        <v>127</v>
      </c>
      <c r="O94" s="257" t="s">
        <v>30</v>
      </c>
      <c r="P94" s="258" t="s">
        <v>30</v>
      </c>
      <c r="R94"/>
    </row>
    <row r="95" spans="2:18">
      <c r="B95" s="21" t="s">
        <v>377</v>
      </c>
      <c r="C95" s="176" t="s">
        <v>273</v>
      </c>
      <c r="D95" s="176" t="s">
        <v>273</v>
      </c>
      <c r="E95" s="176" t="s">
        <v>273</v>
      </c>
      <c r="F95" s="176" t="s">
        <v>273</v>
      </c>
      <c r="G95" s="176" t="s">
        <v>273</v>
      </c>
      <c r="H95" s="176" t="s">
        <v>273</v>
      </c>
      <c r="I95" s="176" t="s">
        <v>273</v>
      </c>
      <c r="J95" s="176" t="s">
        <v>273</v>
      </c>
      <c r="K95" s="39" t="s">
        <v>31</v>
      </c>
      <c r="L95" s="37" t="s">
        <v>346</v>
      </c>
      <c r="M95" s="259" t="s">
        <v>32</v>
      </c>
      <c r="N95" s="257" t="s">
        <v>127</v>
      </c>
      <c r="O95" s="257" t="s">
        <v>30</v>
      </c>
      <c r="P95" s="258" t="s">
        <v>30</v>
      </c>
      <c r="R95"/>
    </row>
    <row r="96" spans="2:18">
      <c r="B96" s="21" t="s">
        <v>378</v>
      </c>
      <c r="C96" s="176" t="s">
        <v>273</v>
      </c>
      <c r="D96" s="176" t="s">
        <v>273</v>
      </c>
      <c r="E96" s="176" t="s">
        <v>273</v>
      </c>
      <c r="F96" s="176" t="s">
        <v>273</v>
      </c>
      <c r="G96" s="176" t="s">
        <v>273</v>
      </c>
      <c r="H96" s="176" t="s">
        <v>273</v>
      </c>
      <c r="I96" s="176" t="s">
        <v>273</v>
      </c>
      <c r="J96" s="176" t="s">
        <v>273</v>
      </c>
      <c r="K96" s="215" t="s">
        <v>31</v>
      </c>
      <c r="L96" s="37" t="s">
        <v>347</v>
      </c>
      <c r="M96" s="259" t="s">
        <v>32</v>
      </c>
      <c r="N96" s="257" t="s">
        <v>127</v>
      </c>
      <c r="O96" s="257" t="s">
        <v>30</v>
      </c>
      <c r="P96" s="258" t="s">
        <v>30</v>
      </c>
      <c r="R96"/>
    </row>
    <row r="97" spans="2:18">
      <c r="B97" s="21" t="s">
        <v>379</v>
      </c>
      <c r="C97" s="176" t="s">
        <v>273</v>
      </c>
      <c r="D97" s="176" t="s">
        <v>273</v>
      </c>
      <c r="E97" s="176" t="s">
        <v>273</v>
      </c>
      <c r="F97" s="176" t="s">
        <v>273</v>
      </c>
      <c r="G97" s="176" t="s">
        <v>273</v>
      </c>
      <c r="H97" s="176" t="s">
        <v>273</v>
      </c>
      <c r="I97" s="176" t="s">
        <v>273</v>
      </c>
      <c r="J97" s="176" t="s">
        <v>273</v>
      </c>
      <c r="K97" s="215" t="s">
        <v>31</v>
      </c>
      <c r="L97" s="37" t="s">
        <v>348</v>
      </c>
      <c r="M97" s="259" t="s">
        <v>32</v>
      </c>
      <c r="N97" s="257" t="s">
        <v>127</v>
      </c>
      <c r="O97" s="257" t="s">
        <v>30</v>
      </c>
      <c r="P97" s="258" t="s">
        <v>30</v>
      </c>
      <c r="R97"/>
    </row>
    <row r="98" spans="2:18">
      <c r="B98" s="21" t="s">
        <v>380</v>
      </c>
      <c r="C98" s="176" t="s">
        <v>273</v>
      </c>
      <c r="D98" s="176" t="s">
        <v>273</v>
      </c>
      <c r="E98" s="176" t="s">
        <v>273</v>
      </c>
      <c r="F98" s="176" t="s">
        <v>273</v>
      </c>
      <c r="G98" s="176" t="s">
        <v>273</v>
      </c>
      <c r="H98" s="176" t="s">
        <v>273</v>
      </c>
      <c r="I98" s="176" t="s">
        <v>273</v>
      </c>
      <c r="J98" s="176" t="s">
        <v>273</v>
      </c>
      <c r="K98" s="215" t="s">
        <v>31</v>
      </c>
      <c r="L98" s="37" t="s">
        <v>349</v>
      </c>
      <c r="M98" s="259" t="s">
        <v>32</v>
      </c>
      <c r="N98" s="257" t="s">
        <v>127</v>
      </c>
      <c r="O98" s="257" t="s">
        <v>30</v>
      </c>
      <c r="P98" s="258" t="s">
        <v>30</v>
      </c>
      <c r="R98"/>
    </row>
    <row r="99" spans="2:18">
      <c r="B99" s="21" t="s">
        <v>381</v>
      </c>
      <c r="C99" s="176" t="s">
        <v>273</v>
      </c>
      <c r="D99" s="176" t="s">
        <v>273</v>
      </c>
      <c r="E99" s="176" t="s">
        <v>273</v>
      </c>
      <c r="F99" s="176" t="s">
        <v>273</v>
      </c>
      <c r="G99" s="176" t="s">
        <v>273</v>
      </c>
      <c r="H99" s="176" t="s">
        <v>273</v>
      </c>
      <c r="I99" s="176" t="s">
        <v>273</v>
      </c>
      <c r="J99" s="176" t="s">
        <v>273</v>
      </c>
      <c r="K99" s="215" t="s">
        <v>31</v>
      </c>
      <c r="L99" s="37" t="s">
        <v>350</v>
      </c>
      <c r="M99" s="259" t="s">
        <v>32</v>
      </c>
      <c r="N99" s="257" t="s">
        <v>127</v>
      </c>
      <c r="O99" s="257" t="s">
        <v>30</v>
      </c>
      <c r="P99" s="258" t="s">
        <v>30</v>
      </c>
      <c r="R99"/>
    </row>
    <row r="100" spans="2:18">
      <c r="B100" s="21" t="s">
        <v>382</v>
      </c>
      <c r="C100" s="176" t="s">
        <v>273</v>
      </c>
      <c r="D100" s="176" t="s">
        <v>273</v>
      </c>
      <c r="E100" s="176" t="s">
        <v>273</v>
      </c>
      <c r="F100" s="176" t="s">
        <v>273</v>
      </c>
      <c r="G100" s="176" t="s">
        <v>273</v>
      </c>
      <c r="H100" s="176" t="s">
        <v>273</v>
      </c>
      <c r="I100" s="176" t="s">
        <v>273</v>
      </c>
      <c r="J100" s="176" t="s">
        <v>273</v>
      </c>
      <c r="K100" s="215" t="s">
        <v>31</v>
      </c>
      <c r="L100" s="37" t="s">
        <v>351</v>
      </c>
      <c r="M100" s="259" t="s">
        <v>32</v>
      </c>
      <c r="N100" s="257" t="s">
        <v>127</v>
      </c>
      <c r="O100" s="257" t="s">
        <v>30</v>
      </c>
      <c r="P100" s="258" t="s">
        <v>30</v>
      </c>
      <c r="R100"/>
    </row>
    <row r="101" spans="2:18">
      <c r="B101" s="21" t="s">
        <v>383</v>
      </c>
      <c r="C101" s="176" t="s">
        <v>273</v>
      </c>
      <c r="D101" s="176" t="s">
        <v>273</v>
      </c>
      <c r="E101" s="176" t="s">
        <v>273</v>
      </c>
      <c r="F101" s="176" t="s">
        <v>273</v>
      </c>
      <c r="G101" s="176" t="s">
        <v>273</v>
      </c>
      <c r="H101" s="176" t="s">
        <v>273</v>
      </c>
      <c r="I101" s="176" t="s">
        <v>273</v>
      </c>
      <c r="J101" s="176" t="s">
        <v>273</v>
      </c>
      <c r="K101" s="39" t="s">
        <v>31</v>
      </c>
      <c r="L101" s="37" t="s">
        <v>352</v>
      </c>
      <c r="M101" s="259" t="s">
        <v>32</v>
      </c>
      <c r="N101" s="257" t="s">
        <v>127</v>
      </c>
      <c r="O101" s="257" t="s">
        <v>30</v>
      </c>
      <c r="P101" s="258" t="s">
        <v>30</v>
      </c>
      <c r="R101"/>
    </row>
    <row r="102" spans="2:18">
      <c r="B102" s="21" t="s">
        <v>384</v>
      </c>
      <c r="C102" s="176" t="s">
        <v>273</v>
      </c>
      <c r="D102" s="176" t="s">
        <v>273</v>
      </c>
      <c r="E102" s="176" t="s">
        <v>273</v>
      </c>
      <c r="F102" s="176" t="s">
        <v>273</v>
      </c>
      <c r="G102" s="176" t="s">
        <v>273</v>
      </c>
      <c r="H102" s="176" t="s">
        <v>273</v>
      </c>
      <c r="I102" s="176" t="s">
        <v>273</v>
      </c>
      <c r="J102" s="176" t="s">
        <v>273</v>
      </c>
      <c r="K102" s="215" t="s">
        <v>31</v>
      </c>
      <c r="L102" s="37" t="s">
        <v>353</v>
      </c>
      <c r="M102" s="259" t="s">
        <v>32</v>
      </c>
      <c r="N102" s="257" t="s">
        <v>127</v>
      </c>
      <c r="O102" s="257" t="s">
        <v>30</v>
      </c>
      <c r="P102" s="258" t="s">
        <v>30</v>
      </c>
      <c r="R102"/>
    </row>
    <row r="103" spans="2:18">
      <c r="B103" s="21" t="s">
        <v>385</v>
      </c>
      <c r="C103" s="176" t="s">
        <v>273</v>
      </c>
      <c r="D103" s="176" t="s">
        <v>273</v>
      </c>
      <c r="E103" s="176" t="s">
        <v>273</v>
      </c>
      <c r="F103" s="176" t="s">
        <v>273</v>
      </c>
      <c r="G103" s="176" t="s">
        <v>273</v>
      </c>
      <c r="H103" s="176" t="s">
        <v>273</v>
      </c>
      <c r="I103" s="176" t="s">
        <v>273</v>
      </c>
      <c r="J103" s="176" t="s">
        <v>273</v>
      </c>
      <c r="K103" s="215" t="s">
        <v>31</v>
      </c>
      <c r="L103" s="37" t="s">
        <v>354</v>
      </c>
      <c r="M103" s="259" t="s">
        <v>32</v>
      </c>
      <c r="N103" s="257" t="s">
        <v>127</v>
      </c>
      <c r="O103" s="257" t="s">
        <v>30</v>
      </c>
      <c r="P103" s="258" t="s">
        <v>30</v>
      </c>
      <c r="R103"/>
    </row>
    <row r="104" spans="2:18">
      <c r="B104" s="21" t="s">
        <v>386</v>
      </c>
      <c r="C104" s="176" t="s">
        <v>273</v>
      </c>
      <c r="D104" s="176" t="s">
        <v>273</v>
      </c>
      <c r="E104" s="176" t="s">
        <v>273</v>
      </c>
      <c r="F104" s="176" t="s">
        <v>273</v>
      </c>
      <c r="G104" s="176" t="s">
        <v>273</v>
      </c>
      <c r="H104" s="176" t="s">
        <v>273</v>
      </c>
      <c r="I104" s="176" t="s">
        <v>273</v>
      </c>
      <c r="J104" s="176" t="s">
        <v>273</v>
      </c>
      <c r="K104" s="215" t="s">
        <v>31</v>
      </c>
      <c r="L104" s="37" t="s">
        <v>355</v>
      </c>
      <c r="M104" s="259" t="s">
        <v>32</v>
      </c>
      <c r="N104" s="257" t="s">
        <v>127</v>
      </c>
      <c r="O104" s="257" t="s">
        <v>30</v>
      </c>
      <c r="P104" s="258" t="s">
        <v>30</v>
      </c>
      <c r="R104"/>
    </row>
    <row r="105" spans="2:18">
      <c r="B105" s="83" t="s">
        <v>289</v>
      </c>
      <c r="C105" s="175" t="s">
        <v>273</v>
      </c>
      <c r="D105" s="175" t="s">
        <v>273</v>
      </c>
      <c r="E105" s="175" t="s">
        <v>273</v>
      </c>
      <c r="F105" s="175" t="s">
        <v>273</v>
      </c>
      <c r="G105" s="175" t="s">
        <v>273</v>
      </c>
      <c r="H105" s="175" t="s">
        <v>273</v>
      </c>
      <c r="I105" s="175" t="s">
        <v>273</v>
      </c>
      <c r="J105" s="175" t="s">
        <v>273</v>
      </c>
      <c r="K105" s="39" t="s">
        <v>33</v>
      </c>
      <c r="L105" s="40" t="s">
        <v>205</v>
      </c>
      <c r="M105" s="260" t="s">
        <v>32</v>
      </c>
      <c r="N105" s="261" t="s">
        <v>30</v>
      </c>
      <c r="O105" s="261" t="s">
        <v>30</v>
      </c>
      <c r="P105" s="262" t="s">
        <v>30</v>
      </c>
      <c r="R105"/>
    </row>
    <row r="106" spans="2:18">
      <c r="B106" s="21" t="s">
        <v>290</v>
      </c>
      <c r="C106" s="176" t="s">
        <v>273</v>
      </c>
      <c r="D106" s="176" t="s">
        <v>273</v>
      </c>
      <c r="E106" s="176" t="s">
        <v>273</v>
      </c>
      <c r="F106" s="176" t="s">
        <v>273</v>
      </c>
      <c r="G106" s="176" t="s">
        <v>273</v>
      </c>
      <c r="H106" s="176" t="s">
        <v>273</v>
      </c>
      <c r="I106" s="176" t="s">
        <v>273</v>
      </c>
      <c r="J106" s="176" t="s">
        <v>273</v>
      </c>
      <c r="K106" s="215" t="s">
        <v>34</v>
      </c>
      <c r="L106" s="37" t="s">
        <v>205</v>
      </c>
      <c r="M106" s="259" t="s">
        <v>388</v>
      </c>
      <c r="N106" s="263" t="s">
        <v>322</v>
      </c>
      <c r="O106" s="257" t="s">
        <v>30</v>
      </c>
      <c r="P106" s="258" t="s">
        <v>287</v>
      </c>
      <c r="R106"/>
    </row>
    <row r="107" spans="2:18">
      <c r="B107" s="21" t="s">
        <v>291</v>
      </c>
      <c r="C107" s="176" t="s">
        <v>273</v>
      </c>
      <c r="D107" s="176" t="s">
        <v>273</v>
      </c>
      <c r="E107" s="176" t="s">
        <v>273</v>
      </c>
      <c r="F107" s="176" t="s">
        <v>273</v>
      </c>
      <c r="G107" s="176" t="s">
        <v>273</v>
      </c>
      <c r="H107" s="176" t="s">
        <v>273</v>
      </c>
      <c r="I107" s="176" t="s">
        <v>273</v>
      </c>
      <c r="J107" s="176" t="s">
        <v>273</v>
      </c>
      <c r="K107" s="215" t="s">
        <v>215</v>
      </c>
      <c r="L107" s="37" t="s">
        <v>205</v>
      </c>
      <c r="M107" s="259" t="s">
        <v>388</v>
      </c>
      <c r="N107" s="263" t="s">
        <v>322</v>
      </c>
      <c r="O107" s="257" t="s">
        <v>30</v>
      </c>
      <c r="P107" s="258" t="s">
        <v>287</v>
      </c>
      <c r="R107"/>
    </row>
    <row r="108" spans="2:18" ht="13.5" thickBot="1">
      <c r="B108" s="22" t="s">
        <v>101</v>
      </c>
      <c r="C108" s="177" t="s">
        <v>273</v>
      </c>
      <c r="D108" s="177" t="s">
        <v>273</v>
      </c>
      <c r="E108" s="177" t="s">
        <v>273</v>
      </c>
      <c r="F108" s="177" t="s">
        <v>273</v>
      </c>
      <c r="G108" s="177" t="s">
        <v>273</v>
      </c>
      <c r="H108" s="177" t="s">
        <v>273</v>
      </c>
      <c r="I108" s="177" t="s">
        <v>273</v>
      </c>
      <c r="J108" s="177" t="s">
        <v>273</v>
      </c>
      <c r="K108" s="45" t="s">
        <v>36</v>
      </c>
      <c r="L108" s="208" t="s">
        <v>205</v>
      </c>
      <c r="M108" s="234" t="s">
        <v>32</v>
      </c>
      <c r="N108" s="229" t="s">
        <v>30</v>
      </c>
      <c r="O108" s="229" t="s">
        <v>30</v>
      </c>
      <c r="P108" s="235" t="s">
        <v>30</v>
      </c>
      <c r="R108"/>
    </row>
    <row r="109" spans="2:18">
      <c r="N109" s="219"/>
      <c r="R109"/>
    </row>
    <row r="110" spans="2:18">
      <c r="R110"/>
    </row>
    <row r="111" spans="2:18">
      <c r="R111"/>
    </row>
    <row r="112" spans="2:18">
      <c r="R112"/>
    </row>
    <row r="113" spans="2:18">
      <c r="R113"/>
    </row>
    <row r="114" spans="2:18">
      <c r="R114"/>
    </row>
    <row r="115" spans="2:18">
      <c r="R115"/>
    </row>
    <row r="116" spans="2:18">
      <c r="R116"/>
    </row>
    <row r="117" spans="2:18" ht="14.5" thickBot="1">
      <c r="B117" s="26" t="s">
        <v>292</v>
      </c>
      <c r="R117"/>
    </row>
    <row r="118" spans="2:18" ht="14.5" thickBot="1">
      <c r="B118" s="107" t="s">
        <v>123</v>
      </c>
      <c r="C118" s="333" t="s">
        <v>277</v>
      </c>
      <c r="D118" s="334"/>
      <c r="E118" s="334"/>
      <c r="F118" s="334"/>
      <c r="G118" s="334"/>
      <c r="H118" s="334"/>
      <c r="I118" s="334"/>
      <c r="J118" s="335"/>
      <c r="K118" s="178"/>
      <c r="L118" s="178"/>
      <c r="M118" s="181"/>
      <c r="N118" s="179"/>
      <c r="O118" s="179"/>
      <c r="P118" s="179"/>
      <c r="Q118" s="180"/>
      <c r="R118"/>
    </row>
    <row r="119" spans="2:18">
      <c r="B119" s="79"/>
      <c r="C119" s="35" t="s">
        <v>157</v>
      </c>
      <c r="D119" s="35"/>
      <c r="E119" s="35"/>
      <c r="F119" s="35"/>
      <c r="G119" s="35"/>
      <c r="H119" s="35"/>
      <c r="I119" s="35"/>
      <c r="J119" s="35"/>
      <c r="K119" s="35"/>
      <c r="L119" s="36"/>
      <c r="M119" s="31" t="s">
        <v>54</v>
      </c>
      <c r="N119" s="52" t="s">
        <v>20</v>
      </c>
      <c r="O119" s="53"/>
      <c r="P119" s="53"/>
      <c r="Q119" s="54"/>
      <c r="R119"/>
    </row>
    <row r="120" spans="2:18">
      <c r="B120" s="80" t="s">
        <v>21</v>
      </c>
      <c r="C120" s="336" t="s">
        <v>171</v>
      </c>
      <c r="D120" s="331"/>
      <c r="E120" s="331"/>
      <c r="F120" s="331"/>
      <c r="G120" s="331"/>
      <c r="H120" s="331"/>
      <c r="I120" s="331"/>
      <c r="J120" s="332"/>
      <c r="K120" s="38" t="s">
        <v>22</v>
      </c>
      <c r="L120" s="84"/>
      <c r="M120" s="32" t="s">
        <v>293</v>
      </c>
      <c r="N120" s="236" t="s">
        <v>23</v>
      </c>
      <c r="O120" s="230" t="s">
        <v>24</v>
      </c>
      <c r="P120" s="87" t="s">
        <v>25</v>
      </c>
      <c r="Q120" s="149" t="s">
        <v>26</v>
      </c>
      <c r="R120"/>
    </row>
    <row r="121" spans="2:18">
      <c r="B121" s="80" t="s">
        <v>35</v>
      </c>
      <c r="C121" s="172" t="s">
        <v>127</v>
      </c>
      <c r="D121" s="172" t="s">
        <v>127</v>
      </c>
      <c r="E121" s="172" t="s">
        <v>127</v>
      </c>
      <c r="F121" s="172" t="s">
        <v>127</v>
      </c>
      <c r="G121" s="172" t="s">
        <v>127</v>
      </c>
      <c r="H121" s="172" t="s">
        <v>127</v>
      </c>
      <c r="I121" s="172" t="s">
        <v>127</v>
      </c>
      <c r="J121" s="172" t="s">
        <v>127</v>
      </c>
      <c r="K121" s="27" t="s">
        <v>246</v>
      </c>
      <c r="L121" s="1" t="s">
        <v>272</v>
      </c>
      <c r="M121" s="32" t="s">
        <v>50</v>
      </c>
      <c r="N121" s="237"/>
      <c r="O121" s="48"/>
      <c r="P121" s="237"/>
      <c r="Q121" s="204"/>
      <c r="R121"/>
    </row>
    <row r="122" spans="2:18" ht="26">
      <c r="B122" s="81" t="s">
        <v>27</v>
      </c>
      <c r="C122" s="330" t="s">
        <v>38</v>
      </c>
      <c r="D122" s="331"/>
      <c r="E122" s="331"/>
      <c r="F122" s="331"/>
      <c r="G122" s="331"/>
      <c r="H122" s="331"/>
      <c r="I122" s="331"/>
      <c r="J122" s="332"/>
      <c r="K122" s="1" t="s">
        <v>391</v>
      </c>
      <c r="L122" s="1" t="s">
        <v>391</v>
      </c>
      <c r="M122" s="33"/>
      <c r="N122" s="237"/>
      <c r="O122" s="48"/>
      <c r="P122" s="237"/>
      <c r="Q122" s="149"/>
      <c r="R122"/>
    </row>
    <row r="123" spans="2:18" ht="131">
      <c r="B123" s="80" t="s">
        <v>28</v>
      </c>
      <c r="C123" s="173" t="s">
        <v>158</v>
      </c>
      <c r="D123" s="173" t="s">
        <v>65</v>
      </c>
      <c r="E123" s="173" t="s">
        <v>159</v>
      </c>
      <c r="F123" s="173" t="s">
        <v>160</v>
      </c>
      <c r="G123" s="173" t="s">
        <v>161</v>
      </c>
      <c r="H123" s="173" t="s">
        <v>162</v>
      </c>
      <c r="I123" s="173" t="s">
        <v>201</v>
      </c>
      <c r="J123" s="173" t="s">
        <v>163</v>
      </c>
      <c r="K123" s="1" t="s">
        <v>392</v>
      </c>
      <c r="L123" s="1" t="s">
        <v>243</v>
      </c>
      <c r="M123" s="32" t="s">
        <v>247</v>
      </c>
      <c r="N123" s="237"/>
      <c r="O123" s="48"/>
      <c r="P123" s="237"/>
      <c r="Q123" s="149"/>
      <c r="R123"/>
    </row>
    <row r="124" spans="2:18" ht="156.5" thickBot="1">
      <c r="B124" s="82" t="s">
        <v>29</v>
      </c>
      <c r="C124" s="174" t="s">
        <v>165</v>
      </c>
      <c r="D124" s="174" t="s">
        <v>127</v>
      </c>
      <c r="E124" s="174" t="s">
        <v>165</v>
      </c>
      <c r="F124" s="174" t="s">
        <v>165</v>
      </c>
      <c r="G124" s="174" t="s">
        <v>165</v>
      </c>
      <c r="H124" s="174" t="s">
        <v>165</v>
      </c>
      <c r="I124" s="174" t="s">
        <v>165</v>
      </c>
      <c r="J124" s="174" t="s">
        <v>165</v>
      </c>
      <c r="K124" s="28" t="s">
        <v>294</v>
      </c>
      <c r="L124" s="222" t="s">
        <v>409</v>
      </c>
      <c r="M124" s="34" t="s">
        <v>295</v>
      </c>
      <c r="N124" s="238"/>
      <c r="O124" s="232" t="s">
        <v>407</v>
      </c>
      <c r="P124" s="223"/>
      <c r="Q124" s="224"/>
      <c r="R124"/>
    </row>
    <row r="125" spans="2:18" ht="13.5" thickTop="1">
      <c r="B125" s="239" t="s">
        <v>296</v>
      </c>
      <c r="C125" s="240" t="s">
        <v>273</v>
      </c>
      <c r="D125" s="240" t="s">
        <v>273</v>
      </c>
      <c r="E125" s="240" t="s">
        <v>273</v>
      </c>
      <c r="F125" s="240" t="s">
        <v>273</v>
      </c>
      <c r="G125" s="240" t="s">
        <v>273</v>
      </c>
      <c r="H125" s="240" t="s">
        <v>273</v>
      </c>
      <c r="I125" s="241" t="s">
        <v>202</v>
      </c>
      <c r="J125" s="240" t="s">
        <v>273</v>
      </c>
      <c r="K125" s="242" t="s">
        <v>36</v>
      </c>
      <c r="L125" s="243" t="s">
        <v>205</v>
      </c>
      <c r="M125" s="244" t="s">
        <v>32</v>
      </c>
      <c r="N125" s="240"/>
      <c r="O125" s="245" t="s">
        <v>30</v>
      </c>
      <c r="P125" s="246"/>
      <c r="Q125" s="247"/>
      <c r="R125"/>
    </row>
    <row r="126" spans="2:18">
      <c r="B126" s="21" t="s">
        <v>410</v>
      </c>
      <c r="C126" s="176" t="s">
        <v>273</v>
      </c>
      <c r="D126" s="176" t="s">
        <v>273</v>
      </c>
      <c r="E126" s="176" t="s">
        <v>273</v>
      </c>
      <c r="F126" s="176" t="s">
        <v>273</v>
      </c>
      <c r="G126" s="176" t="s">
        <v>273</v>
      </c>
      <c r="H126" s="176" t="s">
        <v>273</v>
      </c>
      <c r="I126" s="248" t="s">
        <v>203</v>
      </c>
      <c r="J126" s="176" t="s">
        <v>273</v>
      </c>
      <c r="K126" s="215" t="s">
        <v>31</v>
      </c>
      <c r="L126" s="37" t="s">
        <v>324</v>
      </c>
      <c r="M126" s="43" t="s">
        <v>32</v>
      </c>
      <c r="N126" s="176"/>
      <c r="O126" s="70" t="s">
        <v>30</v>
      </c>
      <c r="P126" s="50"/>
      <c r="Q126" s="206"/>
      <c r="R126"/>
    </row>
    <row r="127" spans="2:18">
      <c r="B127" s="21" t="s">
        <v>411</v>
      </c>
      <c r="C127" s="176" t="s">
        <v>273</v>
      </c>
      <c r="D127" s="176" t="s">
        <v>273</v>
      </c>
      <c r="E127" s="176" t="s">
        <v>273</v>
      </c>
      <c r="F127" s="176" t="s">
        <v>273</v>
      </c>
      <c r="G127" s="176" t="s">
        <v>273</v>
      </c>
      <c r="H127" s="176" t="s">
        <v>273</v>
      </c>
      <c r="I127" s="248" t="s">
        <v>203</v>
      </c>
      <c r="J127" s="176" t="s">
        <v>273</v>
      </c>
      <c r="K127" s="215" t="s">
        <v>31</v>
      </c>
      <c r="L127" s="37" t="s">
        <v>325</v>
      </c>
      <c r="M127" s="43" t="s">
        <v>231</v>
      </c>
      <c r="N127" s="176"/>
      <c r="O127" s="263" t="s">
        <v>313</v>
      </c>
      <c r="P127" s="50"/>
      <c r="Q127" s="206"/>
      <c r="R127"/>
    </row>
    <row r="128" spans="2:18">
      <c r="B128" s="21" t="s">
        <v>412</v>
      </c>
      <c r="C128" s="176" t="s">
        <v>273</v>
      </c>
      <c r="D128" s="176" t="s">
        <v>273</v>
      </c>
      <c r="E128" s="176" t="s">
        <v>273</v>
      </c>
      <c r="F128" s="176" t="s">
        <v>273</v>
      </c>
      <c r="G128" s="176" t="s">
        <v>273</v>
      </c>
      <c r="H128" s="176" t="s">
        <v>273</v>
      </c>
      <c r="I128" s="248" t="s">
        <v>203</v>
      </c>
      <c r="J128" s="176" t="s">
        <v>273</v>
      </c>
      <c r="K128" s="215" t="s">
        <v>31</v>
      </c>
      <c r="L128" s="37" t="s">
        <v>326</v>
      </c>
      <c r="M128" s="43" t="s">
        <v>237</v>
      </c>
      <c r="N128" s="176"/>
      <c r="O128" s="70" t="s">
        <v>206</v>
      </c>
      <c r="P128" s="50"/>
      <c r="Q128" s="206"/>
      <c r="R128"/>
    </row>
    <row r="129" spans="2:18">
      <c r="B129" s="21" t="s">
        <v>413</v>
      </c>
      <c r="C129" s="176" t="s">
        <v>273</v>
      </c>
      <c r="D129" s="176" t="s">
        <v>273</v>
      </c>
      <c r="E129" s="176" t="s">
        <v>273</v>
      </c>
      <c r="F129" s="176" t="s">
        <v>273</v>
      </c>
      <c r="G129" s="176" t="s">
        <v>273</v>
      </c>
      <c r="H129" s="176" t="s">
        <v>273</v>
      </c>
      <c r="I129" s="248" t="s">
        <v>203</v>
      </c>
      <c r="J129" s="176" t="s">
        <v>273</v>
      </c>
      <c r="K129" s="215" t="s">
        <v>31</v>
      </c>
      <c r="L129" s="37" t="s">
        <v>327</v>
      </c>
      <c r="M129" s="43" t="s">
        <v>32</v>
      </c>
      <c r="N129" s="176"/>
      <c r="O129" s="70" t="s">
        <v>30</v>
      </c>
      <c r="P129" s="50"/>
      <c r="Q129" s="206"/>
      <c r="R129"/>
    </row>
    <row r="130" spans="2:18">
      <c r="B130" s="21" t="s">
        <v>414</v>
      </c>
      <c r="C130" s="176" t="s">
        <v>273</v>
      </c>
      <c r="D130" s="176" t="s">
        <v>273</v>
      </c>
      <c r="E130" s="176" t="s">
        <v>273</v>
      </c>
      <c r="F130" s="176" t="s">
        <v>273</v>
      </c>
      <c r="G130" s="176" t="s">
        <v>273</v>
      </c>
      <c r="H130" s="176" t="s">
        <v>273</v>
      </c>
      <c r="I130" s="248" t="s">
        <v>203</v>
      </c>
      <c r="J130" s="176" t="s">
        <v>273</v>
      </c>
      <c r="K130" s="215" t="s">
        <v>31</v>
      </c>
      <c r="L130" s="37" t="s">
        <v>328</v>
      </c>
      <c r="M130" s="43" t="s">
        <v>32</v>
      </c>
      <c r="N130" s="176"/>
      <c r="O130" s="70" t="s">
        <v>30</v>
      </c>
      <c r="P130" s="50"/>
      <c r="Q130" s="206"/>
      <c r="R130"/>
    </row>
    <row r="131" spans="2:18">
      <c r="B131" s="21" t="s">
        <v>415</v>
      </c>
      <c r="C131" s="176" t="s">
        <v>273</v>
      </c>
      <c r="D131" s="176" t="s">
        <v>273</v>
      </c>
      <c r="E131" s="176" t="s">
        <v>273</v>
      </c>
      <c r="F131" s="176" t="s">
        <v>273</v>
      </c>
      <c r="G131" s="176" t="s">
        <v>273</v>
      </c>
      <c r="H131" s="176" t="s">
        <v>273</v>
      </c>
      <c r="I131" s="248" t="s">
        <v>203</v>
      </c>
      <c r="J131" s="176" t="s">
        <v>273</v>
      </c>
      <c r="K131" s="215" t="s">
        <v>31</v>
      </c>
      <c r="L131" s="37" t="s">
        <v>329</v>
      </c>
      <c r="M131" s="43" t="s">
        <v>32</v>
      </c>
      <c r="N131" s="249"/>
      <c r="O131" s="70" t="s">
        <v>30</v>
      </c>
      <c r="P131" s="50"/>
      <c r="Q131" s="206"/>
      <c r="R131"/>
    </row>
    <row r="132" spans="2:18">
      <c r="B132" s="21" t="s">
        <v>416</v>
      </c>
      <c r="C132" s="176" t="s">
        <v>273</v>
      </c>
      <c r="D132" s="176" t="s">
        <v>273</v>
      </c>
      <c r="E132" s="176" t="s">
        <v>273</v>
      </c>
      <c r="F132" s="176" t="s">
        <v>273</v>
      </c>
      <c r="G132" s="176" t="s">
        <v>273</v>
      </c>
      <c r="H132" s="176" t="s">
        <v>273</v>
      </c>
      <c r="I132" s="248" t="s">
        <v>203</v>
      </c>
      <c r="J132" s="176" t="s">
        <v>273</v>
      </c>
      <c r="K132" s="215" t="s">
        <v>31</v>
      </c>
      <c r="L132" s="37" t="s">
        <v>330</v>
      </c>
      <c r="M132" s="43" t="s">
        <v>32</v>
      </c>
      <c r="N132" s="176"/>
      <c r="O132" s="70" t="s">
        <v>30</v>
      </c>
      <c r="P132" s="50"/>
      <c r="Q132" s="206"/>
      <c r="R132"/>
    </row>
    <row r="133" spans="2:18">
      <c r="B133" s="21" t="s">
        <v>417</v>
      </c>
      <c r="C133" s="176" t="s">
        <v>273</v>
      </c>
      <c r="D133" s="176" t="s">
        <v>273</v>
      </c>
      <c r="E133" s="176" t="s">
        <v>273</v>
      </c>
      <c r="F133" s="176" t="s">
        <v>273</v>
      </c>
      <c r="G133" s="176" t="s">
        <v>273</v>
      </c>
      <c r="H133" s="176" t="s">
        <v>273</v>
      </c>
      <c r="I133" s="248" t="s">
        <v>203</v>
      </c>
      <c r="J133" s="176" t="s">
        <v>273</v>
      </c>
      <c r="K133" s="215" t="s">
        <v>31</v>
      </c>
      <c r="L133" s="37" t="s">
        <v>331</v>
      </c>
      <c r="M133" s="43" t="s">
        <v>32</v>
      </c>
      <c r="N133" s="176"/>
      <c r="O133" s="70" t="s">
        <v>30</v>
      </c>
      <c r="P133" s="50"/>
      <c r="Q133" s="206"/>
      <c r="R133"/>
    </row>
    <row r="134" spans="2:18">
      <c r="B134" s="21" t="s">
        <v>418</v>
      </c>
      <c r="C134" s="176" t="s">
        <v>273</v>
      </c>
      <c r="D134" s="176" t="s">
        <v>273</v>
      </c>
      <c r="E134" s="176" t="s">
        <v>273</v>
      </c>
      <c r="F134" s="176" t="s">
        <v>273</v>
      </c>
      <c r="G134" s="176" t="s">
        <v>273</v>
      </c>
      <c r="H134" s="176" t="s">
        <v>273</v>
      </c>
      <c r="I134" s="248" t="s">
        <v>203</v>
      </c>
      <c r="J134" s="176" t="s">
        <v>273</v>
      </c>
      <c r="K134" s="215" t="s">
        <v>31</v>
      </c>
      <c r="L134" s="37" t="s">
        <v>332</v>
      </c>
      <c r="M134" s="43" t="s">
        <v>233</v>
      </c>
      <c r="N134" s="176"/>
      <c r="O134" s="263" t="s">
        <v>314</v>
      </c>
      <c r="P134" s="50"/>
      <c r="Q134" s="206"/>
      <c r="R134"/>
    </row>
    <row r="135" spans="2:18">
      <c r="B135" s="21" t="s">
        <v>419</v>
      </c>
      <c r="C135" s="176" t="s">
        <v>273</v>
      </c>
      <c r="D135" s="176" t="s">
        <v>273</v>
      </c>
      <c r="E135" s="176" t="s">
        <v>273</v>
      </c>
      <c r="F135" s="176" t="s">
        <v>273</v>
      </c>
      <c r="G135" s="176" t="s">
        <v>273</v>
      </c>
      <c r="H135" s="176" t="s">
        <v>273</v>
      </c>
      <c r="I135" s="248" t="s">
        <v>203</v>
      </c>
      <c r="J135" s="176" t="s">
        <v>273</v>
      </c>
      <c r="K135" s="215" t="s">
        <v>31</v>
      </c>
      <c r="L135" s="37" t="s">
        <v>333</v>
      </c>
      <c r="M135" s="43" t="s">
        <v>238</v>
      </c>
      <c r="N135" s="176"/>
      <c r="O135" s="265" t="s">
        <v>405</v>
      </c>
      <c r="P135" s="50"/>
      <c r="Q135" s="206"/>
      <c r="R135"/>
    </row>
    <row r="136" spans="2:18">
      <c r="B136" s="21" t="s">
        <v>420</v>
      </c>
      <c r="C136" s="176" t="s">
        <v>273</v>
      </c>
      <c r="D136" s="176" t="s">
        <v>273</v>
      </c>
      <c r="E136" s="176" t="s">
        <v>273</v>
      </c>
      <c r="F136" s="176" t="s">
        <v>273</v>
      </c>
      <c r="G136" s="176" t="s">
        <v>273</v>
      </c>
      <c r="H136" s="176" t="s">
        <v>273</v>
      </c>
      <c r="I136" s="248" t="s">
        <v>203</v>
      </c>
      <c r="J136" s="176" t="s">
        <v>273</v>
      </c>
      <c r="K136" s="215" t="s">
        <v>31</v>
      </c>
      <c r="L136" s="37" t="s">
        <v>334</v>
      </c>
      <c r="M136" s="43" t="s">
        <v>239</v>
      </c>
      <c r="N136" s="176"/>
      <c r="O136" s="263" t="s">
        <v>406</v>
      </c>
      <c r="P136" s="50"/>
      <c r="Q136" s="206"/>
      <c r="R136"/>
    </row>
    <row r="137" spans="2:18">
      <c r="B137" s="21" t="s">
        <v>421</v>
      </c>
      <c r="C137" s="176" t="s">
        <v>273</v>
      </c>
      <c r="D137" s="176" t="s">
        <v>273</v>
      </c>
      <c r="E137" s="176" t="s">
        <v>273</v>
      </c>
      <c r="F137" s="176" t="s">
        <v>273</v>
      </c>
      <c r="G137" s="176" t="s">
        <v>273</v>
      </c>
      <c r="H137" s="176" t="s">
        <v>273</v>
      </c>
      <c r="I137" s="248" t="s">
        <v>203</v>
      </c>
      <c r="J137" s="176" t="s">
        <v>273</v>
      </c>
      <c r="K137" s="215" t="s">
        <v>31</v>
      </c>
      <c r="L137" s="37" t="s">
        <v>335</v>
      </c>
      <c r="M137" s="43" t="s">
        <v>32</v>
      </c>
      <c r="N137" s="249"/>
      <c r="O137" s="70" t="s">
        <v>30</v>
      </c>
      <c r="P137" s="50"/>
      <c r="Q137" s="206"/>
      <c r="R137"/>
    </row>
    <row r="138" spans="2:18">
      <c r="B138" s="21" t="s">
        <v>422</v>
      </c>
      <c r="C138" s="176" t="s">
        <v>273</v>
      </c>
      <c r="D138" s="176" t="s">
        <v>273</v>
      </c>
      <c r="E138" s="176" t="s">
        <v>273</v>
      </c>
      <c r="F138" s="176" t="s">
        <v>273</v>
      </c>
      <c r="G138" s="176" t="s">
        <v>273</v>
      </c>
      <c r="H138" s="176" t="s">
        <v>273</v>
      </c>
      <c r="I138" s="248" t="s">
        <v>203</v>
      </c>
      <c r="J138" s="176" t="s">
        <v>273</v>
      </c>
      <c r="K138" s="39" t="s">
        <v>31</v>
      </c>
      <c r="L138" s="37" t="s">
        <v>336</v>
      </c>
      <c r="M138" s="43" t="s">
        <v>240</v>
      </c>
      <c r="N138" s="176"/>
      <c r="O138" s="70" t="s">
        <v>209</v>
      </c>
      <c r="P138" s="50"/>
      <c r="Q138" s="206"/>
      <c r="R138"/>
    </row>
    <row r="139" spans="2:18">
      <c r="B139" s="21" t="s">
        <v>423</v>
      </c>
      <c r="C139" s="176" t="s">
        <v>273</v>
      </c>
      <c r="D139" s="176" t="s">
        <v>273</v>
      </c>
      <c r="E139" s="176" t="s">
        <v>273</v>
      </c>
      <c r="F139" s="176" t="s">
        <v>273</v>
      </c>
      <c r="G139" s="176" t="s">
        <v>273</v>
      </c>
      <c r="H139" s="176" t="s">
        <v>273</v>
      </c>
      <c r="I139" s="248" t="s">
        <v>203</v>
      </c>
      <c r="J139" s="176" t="s">
        <v>273</v>
      </c>
      <c r="K139" s="215" t="s">
        <v>31</v>
      </c>
      <c r="L139" s="37" t="s">
        <v>337</v>
      </c>
      <c r="M139" s="43" t="s">
        <v>32</v>
      </c>
      <c r="N139" s="176"/>
      <c r="O139" s="70" t="s">
        <v>30</v>
      </c>
      <c r="P139" s="50"/>
      <c r="Q139" s="206"/>
      <c r="R139"/>
    </row>
    <row r="140" spans="2:18">
      <c r="B140" s="21" t="s">
        <v>424</v>
      </c>
      <c r="C140" s="176" t="s">
        <v>273</v>
      </c>
      <c r="D140" s="176" t="s">
        <v>273</v>
      </c>
      <c r="E140" s="176" t="s">
        <v>273</v>
      </c>
      <c r="F140" s="176" t="s">
        <v>273</v>
      </c>
      <c r="G140" s="176" t="s">
        <v>273</v>
      </c>
      <c r="H140" s="176" t="s">
        <v>273</v>
      </c>
      <c r="I140" s="248" t="s">
        <v>203</v>
      </c>
      <c r="J140" s="176" t="s">
        <v>273</v>
      </c>
      <c r="K140" s="215" t="s">
        <v>31</v>
      </c>
      <c r="L140" s="37" t="s">
        <v>338</v>
      </c>
      <c r="M140" s="43" t="s">
        <v>32</v>
      </c>
      <c r="N140" s="176"/>
      <c r="O140" s="70" t="s">
        <v>30</v>
      </c>
      <c r="P140" s="50"/>
      <c r="Q140" s="206"/>
      <c r="R140"/>
    </row>
    <row r="141" spans="2:18">
      <c r="B141" s="21" t="s">
        <v>425</v>
      </c>
      <c r="C141" s="176" t="s">
        <v>273</v>
      </c>
      <c r="D141" s="176" t="s">
        <v>273</v>
      </c>
      <c r="E141" s="176" t="s">
        <v>273</v>
      </c>
      <c r="F141" s="176" t="s">
        <v>273</v>
      </c>
      <c r="G141" s="176" t="s">
        <v>273</v>
      </c>
      <c r="H141" s="176" t="s">
        <v>273</v>
      </c>
      <c r="I141" s="248" t="s">
        <v>203</v>
      </c>
      <c r="J141" s="176" t="s">
        <v>273</v>
      </c>
      <c r="K141" s="215" t="s">
        <v>31</v>
      </c>
      <c r="L141" s="37" t="s">
        <v>339</v>
      </c>
      <c r="M141" s="43" t="s">
        <v>32</v>
      </c>
      <c r="N141" s="176"/>
      <c r="O141" s="70" t="s">
        <v>30</v>
      </c>
      <c r="P141" s="50"/>
      <c r="Q141" s="206"/>
      <c r="R141"/>
    </row>
    <row r="142" spans="2:18">
      <c r="B142" s="21" t="s">
        <v>426</v>
      </c>
      <c r="C142" s="176" t="s">
        <v>273</v>
      </c>
      <c r="D142" s="176" t="s">
        <v>273</v>
      </c>
      <c r="E142" s="176" t="s">
        <v>273</v>
      </c>
      <c r="F142" s="176" t="s">
        <v>273</v>
      </c>
      <c r="G142" s="176" t="s">
        <v>273</v>
      </c>
      <c r="H142" s="176" t="s">
        <v>273</v>
      </c>
      <c r="I142" s="248" t="s">
        <v>443</v>
      </c>
      <c r="J142" s="176"/>
      <c r="K142" s="264" t="s">
        <v>442</v>
      </c>
      <c r="L142" s="37" t="s">
        <v>340</v>
      </c>
      <c r="M142" s="43" t="s">
        <v>32</v>
      </c>
      <c r="N142" s="176"/>
      <c r="O142" s="70" t="s">
        <v>30</v>
      </c>
      <c r="P142" s="50"/>
      <c r="Q142" s="206"/>
      <c r="R142"/>
    </row>
    <row r="143" spans="2:18">
      <c r="B143" s="21" t="s">
        <v>427</v>
      </c>
      <c r="C143" s="176" t="s">
        <v>273</v>
      </c>
      <c r="D143" s="176" t="s">
        <v>273</v>
      </c>
      <c r="E143" s="176" t="s">
        <v>273</v>
      </c>
      <c r="F143" s="176" t="s">
        <v>273</v>
      </c>
      <c r="G143" s="176" t="s">
        <v>273</v>
      </c>
      <c r="H143" s="176" t="s">
        <v>273</v>
      </c>
      <c r="I143" s="248" t="s">
        <v>443</v>
      </c>
      <c r="J143" s="176"/>
      <c r="K143" s="264" t="s">
        <v>442</v>
      </c>
      <c r="L143" s="37" t="s">
        <v>341</v>
      </c>
      <c r="M143" s="43" t="s">
        <v>32</v>
      </c>
      <c r="N143" s="176"/>
      <c r="O143" s="70" t="s">
        <v>30</v>
      </c>
      <c r="P143" s="50"/>
      <c r="Q143" s="206"/>
      <c r="R143"/>
    </row>
    <row r="144" spans="2:18">
      <c r="B144" s="21" t="s">
        <v>428</v>
      </c>
      <c r="C144" s="176" t="s">
        <v>273</v>
      </c>
      <c r="D144" s="176" t="s">
        <v>273</v>
      </c>
      <c r="E144" s="176" t="s">
        <v>273</v>
      </c>
      <c r="F144" s="176" t="s">
        <v>273</v>
      </c>
      <c r="G144" s="176" t="s">
        <v>273</v>
      </c>
      <c r="H144" s="176" t="s">
        <v>273</v>
      </c>
      <c r="I144" s="248" t="s">
        <v>443</v>
      </c>
      <c r="J144" s="176"/>
      <c r="K144" s="264" t="s">
        <v>442</v>
      </c>
      <c r="L144" s="37" t="s">
        <v>342</v>
      </c>
      <c r="M144" s="43" t="s">
        <v>32</v>
      </c>
      <c r="N144" s="176"/>
      <c r="O144" s="70" t="s">
        <v>30</v>
      </c>
      <c r="P144" s="50"/>
      <c r="Q144" s="206"/>
      <c r="R144"/>
    </row>
    <row r="145" spans="2:18">
      <c r="B145" s="21" t="s">
        <v>429</v>
      </c>
      <c r="C145" s="176" t="s">
        <v>273</v>
      </c>
      <c r="D145" s="176" t="s">
        <v>273</v>
      </c>
      <c r="E145" s="176" t="s">
        <v>273</v>
      </c>
      <c r="F145" s="176" t="s">
        <v>273</v>
      </c>
      <c r="G145" s="176" t="s">
        <v>273</v>
      </c>
      <c r="H145" s="176" t="s">
        <v>273</v>
      </c>
      <c r="I145" s="248" t="s">
        <v>443</v>
      </c>
      <c r="J145" s="176"/>
      <c r="K145" s="264" t="s">
        <v>442</v>
      </c>
      <c r="L145" s="37" t="s">
        <v>343</v>
      </c>
      <c r="M145" s="43" t="s">
        <v>32</v>
      </c>
      <c r="N145" s="176"/>
      <c r="O145" s="70" t="s">
        <v>30</v>
      </c>
      <c r="P145" s="50"/>
      <c r="Q145" s="206"/>
      <c r="R145"/>
    </row>
    <row r="146" spans="2:18">
      <c r="B146" s="21" t="s">
        <v>430</v>
      </c>
      <c r="C146" s="176" t="s">
        <v>273</v>
      </c>
      <c r="D146" s="176" t="s">
        <v>273</v>
      </c>
      <c r="E146" s="176" t="s">
        <v>273</v>
      </c>
      <c r="F146" s="176" t="s">
        <v>273</v>
      </c>
      <c r="G146" s="176" t="s">
        <v>273</v>
      </c>
      <c r="H146" s="176" t="s">
        <v>273</v>
      </c>
      <c r="I146" s="248" t="s">
        <v>443</v>
      </c>
      <c r="J146" s="176"/>
      <c r="K146" s="264" t="s">
        <v>442</v>
      </c>
      <c r="L146" s="37" t="s">
        <v>344</v>
      </c>
      <c r="M146" s="43" t="s">
        <v>32</v>
      </c>
      <c r="N146" s="176"/>
      <c r="O146" s="70" t="s">
        <v>30</v>
      </c>
      <c r="P146" s="50"/>
      <c r="Q146" s="206"/>
      <c r="R146"/>
    </row>
    <row r="147" spans="2:18">
      <c r="B147" s="21" t="s">
        <v>431</v>
      </c>
      <c r="C147" s="176" t="s">
        <v>273</v>
      </c>
      <c r="D147" s="176" t="s">
        <v>273</v>
      </c>
      <c r="E147" s="176" t="s">
        <v>273</v>
      </c>
      <c r="F147" s="176" t="s">
        <v>273</v>
      </c>
      <c r="G147" s="176" t="s">
        <v>273</v>
      </c>
      <c r="H147" s="176" t="s">
        <v>273</v>
      </c>
      <c r="I147" s="248" t="s">
        <v>443</v>
      </c>
      <c r="J147" s="176"/>
      <c r="K147" s="264" t="s">
        <v>442</v>
      </c>
      <c r="L147" s="37" t="s">
        <v>345</v>
      </c>
      <c r="M147" s="43" t="s">
        <v>32</v>
      </c>
      <c r="N147" s="176"/>
      <c r="O147" s="70" t="s">
        <v>30</v>
      </c>
      <c r="P147" s="50"/>
      <c r="Q147" s="206"/>
      <c r="R147"/>
    </row>
    <row r="148" spans="2:18">
      <c r="B148" s="21" t="s">
        <v>432</v>
      </c>
      <c r="C148" s="176" t="s">
        <v>273</v>
      </c>
      <c r="D148" s="176" t="s">
        <v>273</v>
      </c>
      <c r="E148" s="176" t="s">
        <v>273</v>
      </c>
      <c r="F148" s="176" t="s">
        <v>273</v>
      </c>
      <c r="G148" s="176" t="s">
        <v>273</v>
      </c>
      <c r="H148" s="176" t="s">
        <v>273</v>
      </c>
      <c r="I148" s="248" t="s">
        <v>443</v>
      </c>
      <c r="J148" s="176"/>
      <c r="K148" s="264" t="s">
        <v>442</v>
      </c>
      <c r="L148" s="37" t="s">
        <v>346</v>
      </c>
      <c r="M148" s="43" t="s">
        <v>32</v>
      </c>
      <c r="N148" s="176"/>
      <c r="O148" s="70" t="s">
        <v>30</v>
      </c>
      <c r="P148" s="50"/>
      <c r="Q148" s="206"/>
      <c r="R148"/>
    </row>
    <row r="149" spans="2:18">
      <c r="B149" s="21" t="s">
        <v>433</v>
      </c>
      <c r="C149" s="176" t="s">
        <v>273</v>
      </c>
      <c r="D149" s="176" t="s">
        <v>273</v>
      </c>
      <c r="E149" s="176" t="s">
        <v>273</v>
      </c>
      <c r="F149" s="176" t="s">
        <v>273</v>
      </c>
      <c r="G149" s="176" t="s">
        <v>273</v>
      </c>
      <c r="H149" s="176" t="s">
        <v>273</v>
      </c>
      <c r="I149" s="248" t="s">
        <v>443</v>
      </c>
      <c r="J149" s="176"/>
      <c r="K149" s="264" t="s">
        <v>442</v>
      </c>
      <c r="L149" s="37" t="s">
        <v>347</v>
      </c>
      <c r="M149" s="43" t="s">
        <v>32</v>
      </c>
      <c r="N149" s="176"/>
      <c r="O149" s="70" t="s">
        <v>30</v>
      </c>
      <c r="P149" s="50"/>
      <c r="Q149" s="206"/>
      <c r="R149"/>
    </row>
    <row r="150" spans="2:18">
      <c r="B150" s="21" t="s">
        <v>434</v>
      </c>
      <c r="C150" s="176" t="s">
        <v>273</v>
      </c>
      <c r="D150" s="176" t="s">
        <v>273</v>
      </c>
      <c r="E150" s="176" t="s">
        <v>273</v>
      </c>
      <c r="F150" s="176" t="s">
        <v>273</v>
      </c>
      <c r="G150" s="176" t="s">
        <v>273</v>
      </c>
      <c r="H150" s="176" t="s">
        <v>273</v>
      </c>
      <c r="I150" s="248" t="s">
        <v>443</v>
      </c>
      <c r="J150" s="176"/>
      <c r="K150" s="264" t="s">
        <v>442</v>
      </c>
      <c r="L150" s="37" t="s">
        <v>348</v>
      </c>
      <c r="M150" s="43" t="s">
        <v>32</v>
      </c>
      <c r="N150" s="176"/>
      <c r="O150" s="70" t="s">
        <v>30</v>
      </c>
      <c r="P150" s="50"/>
      <c r="Q150" s="206"/>
      <c r="R150"/>
    </row>
    <row r="151" spans="2:18">
      <c r="B151" s="21" t="s">
        <v>435</v>
      </c>
      <c r="C151" s="176" t="s">
        <v>273</v>
      </c>
      <c r="D151" s="176" t="s">
        <v>273</v>
      </c>
      <c r="E151" s="176" t="s">
        <v>273</v>
      </c>
      <c r="F151" s="176" t="s">
        <v>273</v>
      </c>
      <c r="G151" s="176" t="s">
        <v>273</v>
      </c>
      <c r="H151" s="176" t="s">
        <v>273</v>
      </c>
      <c r="I151" s="248" t="s">
        <v>443</v>
      </c>
      <c r="J151" s="176"/>
      <c r="K151" s="264" t="s">
        <v>442</v>
      </c>
      <c r="L151" s="37" t="s">
        <v>349</v>
      </c>
      <c r="M151" s="43" t="s">
        <v>32</v>
      </c>
      <c r="N151" s="176"/>
      <c r="O151" s="70" t="s">
        <v>30</v>
      </c>
      <c r="P151" s="50"/>
      <c r="Q151" s="206"/>
      <c r="R151"/>
    </row>
    <row r="152" spans="2:18">
      <c r="B152" s="21" t="s">
        <v>436</v>
      </c>
      <c r="C152" s="176" t="s">
        <v>273</v>
      </c>
      <c r="D152" s="176" t="s">
        <v>273</v>
      </c>
      <c r="E152" s="176" t="s">
        <v>273</v>
      </c>
      <c r="F152" s="176" t="s">
        <v>273</v>
      </c>
      <c r="G152" s="176" t="s">
        <v>273</v>
      </c>
      <c r="H152" s="176" t="s">
        <v>273</v>
      </c>
      <c r="I152" s="248" t="s">
        <v>443</v>
      </c>
      <c r="J152" s="176"/>
      <c r="K152" s="264" t="s">
        <v>442</v>
      </c>
      <c r="L152" s="37" t="s">
        <v>350</v>
      </c>
      <c r="M152" s="43" t="s">
        <v>32</v>
      </c>
      <c r="N152" s="176"/>
      <c r="O152" s="70" t="s">
        <v>30</v>
      </c>
      <c r="P152" s="50"/>
      <c r="Q152" s="206"/>
      <c r="R152"/>
    </row>
    <row r="153" spans="2:18">
      <c r="B153" s="21" t="s">
        <v>437</v>
      </c>
      <c r="C153" s="176" t="s">
        <v>273</v>
      </c>
      <c r="D153" s="176" t="s">
        <v>273</v>
      </c>
      <c r="E153" s="176" t="s">
        <v>273</v>
      </c>
      <c r="F153" s="176" t="s">
        <v>273</v>
      </c>
      <c r="G153" s="176" t="s">
        <v>273</v>
      </c>
      <c r="H153" s="176" t="s">
        <v>273</v>
      </c>
      <c r="I153" s="248" t="s">
        <v>443</v>
      </c>
      <c r="J153" s="176"/>
      <c r="K153" s="264" t="s">
        <v>442</v>
      </c>
      <c r="L153" s="37" t="s">
        <v>351</v>
      </c>
      <c r="M153" s="43" t="s">
        <v>32</v>
      </c>
      <c r="N153" s="176"/>
      <c r="O153" s="70" t="s">
        <v>30</v>
      </c>
      <c r="P153" s="50"/>
      <c r="Q153" s="206"/>
      <c r="R153"/>
    </row>
    <row r="154" spans="2:18">
      <c r="B154" s="21" t="s">
        <v>438</v>
      </c>
      <c r="C154" s="176" t="s">
        <v>273</v>
      </c>
      <c r="D154" s="176" t="s">
        <v>273</v>
      </c>
      <c r="E154" s="176" t="s">
        <v>273</v>
      </c>
      <c r="F154" s="176" t="s">
        <v>273</v>
      </c>
      <c r="G154" s="176" t="s">
        <v>273</v>
      </c>
      <c r="H154" s="176" t="s">
        <v>273</v>
      </c>
      <c r="I154" s="248" t="s">
        <v>443</v>
      </c>
      <c r="J154" s="176"/>
      <c r="K154" s="264" t="s">
        <v>442</v>
      </c>
      <c r="L154" s="37" t="s">
        <v>352</v>
      </c>
      <c r="M154" s="43" t="s">
        <v>32</v>
      </c>
      <c r="N154" s="176"/>
      <c r="O154" s="70" t="s">
        <v>30</v>
      </c>
      <c r="P154" s="50"/>
      <c r="Q154" s="206"/>
      <c r="R154"/>
    </row>
    <row r="155" spans="2:18">
      <c r="B155" s="21" t="s">
        <v>439</v>
      </c>
      <c r="C155" s="176" t="s">
        <v>273</v>
      </c>
      <c r="D155" s="176" t="s">
        <v>273</v>
      </c>
      <c r="E155" s="176" t="s">
        <v>273</v>
      </c>
      <c r="F155" s="176" t="s">
        <v>273</v>
      </c>
      <c r="G155" s="176" t="s">
        <v>273</v>
      </c>
      <c r="H155" s="176" t="s">
        <v>273</v>
      </c>
      <c r="I155" s="248" t="s">
        <v>443</v>
      </c>
      <c r="J155" s="176"/>
      <c r="K155" s="264" t="s">
        <v>442</v>
      </c>
      <c r="L155" s="37" t="s">
        <v>353</v>
      </c>
      <c r="M155" s="43" t="s">
        <v>32</v>
      </c>
      <c r="N155" s="176"/>
      <c r="O155" s="70" t="s">
        <v>30</v>
      </c>
      <c r="P155" s="50"/>
      <c r="Q155" s="206"/>
      <c r="R155"/>
    </row>
    <row r="156" spans="2:18">
      <c r="B156" s="21" t="s">
        <v>440</v>
      </c>
      <c r="C156" s="176" t="s">
        <v>273</v>
      </c>
      <c r="D156" s="176" t="s">
        <v>273</v>
      </c>
      <c r="E156" s="176" t="s">
        <v>273</v>
      </c>
      <c r="F156" s="176" t="s">
        <v>273</v>
      </c>
      <c r="G156" s="176" t="s">
        <v>273</v>
      </c>
      <c r="H156" s="176" t="s">
        <v>273</v>
      </c>
      <c r="I156" s="248" t="s">
        <v>443</v>
      </c>
      <c r="J156" s="176"/>
      <c r="K156" s="264" t="s">
        <v>442</v>
      </c>
      <c r="L156" s="37" t="s">
        <v>354</v>
      </c>
      <c r="M156" s="43" t="s">
        <v>32</v>
      </c>
      <c r="N156" s="176"/>
      <c r="O156" s="70" t="s">
        <v>30</v>
      </c>
      <c r="P156" s="50"/>
      <c r="Q156" s="206"/>
      <c r="R156"/>
    </row>
    <row r="157" spans="2:18">
      <c r="B157" s="21" t="s">
        <v>441</v>
      </c>
      <c r="C157" s="176" t="s">
        <v>273</v>
      </c>
      <c r="D157" s="176" t="s">
        <v>273</v>
      </c>
      <c r="E157" s="176" t="s">
        <v>273</v>
      </c>
      <c r="F157" s="176" t="s">
        <v>273</v>
      </c>
      <c r="G157" s="176" t="s">
        <v>273</v>
      </c>
      <c r="H157" s="176" t="s">
        <v>273</v>
      </c>
      <c r="I157" s="248" t="s">
        <v>443</v>
      </c>
      <c r="J157" s="176"/>
      <c r="K157" s="264" t="s">
        <v>442</v>
      </c>
      <c r="L157" s="37" t="s">
        <v>355</v>
      </c>
      <c r="M157" s="43" t="s">
        <v>32</v>
      </c>
      <c r="N157" s="176"/>
      <c r="O157" s="70" t="s">
        <v>30</v>
      </c>
      <c r="P157" s="50"/>
      <c r="Q157" s="206"/>
    </row>
    <row r="158" spans="2:18">
      <c r="B158" s="21" t="s">
        <v>271</v>
      </c>
      <c r="C158" s="176" t="s">
        <v>273</v>
      </c>
      <c r="D158" s="176" t="s">
        <v>273</v>
      </c>
      <c r="E158" s="176" t="s">
        <v>273</v>
      </c>
      <c r="F158" s="176" t="s">
        <v>273</v>
      </c>
      <c r="G158" s="176" t="s">
        <v>273</v>
      </c>
      <c r="H158" s="176" t="s">
        <v>273</v>
      </c>
      <c r="I158" s="248" t="s">
        <v>203</v>
      </c>
      <c r="J158" s="176" t="s">
        <v>273</v>
      </c>
      <c r="K158" s="215" t="s">
        <v>33</v>
      </c>
      <c r="L158" s="37" t="s">
        <v>205</v>
      </c>
      <c r="M158" s="43" t="s">
        <v>32</v>
      </c>
      <c r="N158" s="176"/>
      <c r="O158" s="70" t="s">
        <v>30</v>
      </c>
      <c r="P158" s="50"/>
      <c r="Q158" s="206"/>
    </row>
    <row r="159" spans="2:18">
      <c r="B159" s="21" t="s">
        <v>274</v>
      </c>
      <c r="C159" s="176" t="s">
        <v>273</v>
      </c>
      <c r="D159" s="176" t="s">
        <v>273</v>
      </c>
      <c r="E159" s="176" t="s">
        <v>273</v>
      </c>
      <c r="F159" s="176" t="s">
        <v>273</v>
      </c>
      <c r="G159" s="176" t="s">
        <v>273</v>
      </c>
      <c r="H159" s="176" t="s">
        <v>273</v>
      </c>
      <c r="I159" s="248" t="s">
        <v>203</v>
      </c>
      <c r="J159" s="176" t="s">
        <v>273</v>
      </c>
      <c r="K159" s="215" t="s">
        <v>34</v>
      </c>
      <c r="L159" s="37" t="s">
        <v>205</v>
      </c>
      <c r="M159" s="43" t="s">
        <v>32</v>
      </c>
      <c r="N159" s="249"/>
      <c r="O159" s="70" t="s">
        <v>30</v>
      </c>
      <c r="P159" s="50"/>
      <c r="Q159" s="206"/>
    </row>
    <row r="160" spans="2:18" ht="13.5" thickBot="1">
      <c r="B160" s="22" t="s">
        <v>275</v>
      </c>
      <c r="C160" s="177" t="s">
        <v>273</v>
      </c>
      <c r="D160" s="177" t="s">
        <v>273</v>
      </c>
      <c r="E160" s="177" t="s">
        <v>273</v>
      </c>
      <c r="F160" s="177" t="s">
        <v>273</v>
      </c>
      <c r="G160" s="177" t="s">
        <v>273</v>
      </c>
      <c r="H160" s="177" t="s">
        <v>273</v>
      </c>
      <c r="I160" s="250" t="s">
        <v>203</v>
      </c>
      <c r="J160" s="177" t="s">
        <v>273</v>
      </c>
      <c r="K160" s="45" t="s">
        <v>215</v>
      </c>
      <c r="L160" s="208" t="s">
        <v>205</v>
      </c>
      <c r="M160" s="46" t="s">
        <v>32</v>
      </c>
      <c r="N160" s="251"/>
      <c r="O160" s="229" t="s">
        <v>30</v>
      </c>
      <c r="P160" s="51"/>
      <c r="Q160" s="207"/>
    </row>
    <row r="166" spans="18:18">
      <c r="R166" s="55"/>
    </row>
    <row r="167" spans="18:18">
      <c r="R167" s="220"/>
    </row>
    <row r="168" spans="18:18">
      <c r="R168" s="55"/>
    </row>
    <row r="169" spans="18:18">
      <c r="R169" s="225"/>
    </row>
    <row r="170" spans="18:18">
      <c r="R170" s="55"/>
    </row>
    <row r="171" spans="18:18">
      <c r="R171" s="55"/>
    </row>
    <row r="172" spans="18:18">
      <c r="R172" s="225"/>
    </row>
    <row r="173" spans="18:18">
      <c r="R173" s="69"/>
    </row>
    <row r="174" spans="18:18">
      <c r="R174" s="69"/>
    </row>
    <row r="175" spans="18:18">
      <c r="R175" s="69"/>
    </row>
    <row r="176" spans="18:18">
      <c r="R176" s="69"/>
    </row>
    <row r="177" spans="18:18">
      <c r="R177" s="69"/>
    </row>
    <row r="178" spans="18:18">
      <c r="R178" s="69"/>
    </row>
    <row r="179" spans="18:18">
      <c r="R179" s="69"/>
    </row>
    <row r="180" spans="18:18">
      <c r="R180" s="69"/>
    </row>
    <row r="181" spans="18:18">
      <c r="R181" s="69"/>
    </row>
    <row r="182" spans="18:18">
      <c r="R182" s="69"/>
    </row>
    <row r="183" spans="18:18">
      <c r="R183" s="69"/>
    </row>
    <row r="184" spans="18:18">
      <c r="R184" s="69"/>
    </row>
    <row r="185" spans="18:18">
      <c r="R185" s="69"/>
    </row>
    <row r="186" spans="18:18">
      <c r="R186" s="69"/>
    </row>
    <row r="187" spans="18:18">
      <c r="R187" s="69"/>
    </row>
    <row r="188" spans="18:18">
      <c r="R188" s="69"/>
    </row>
    <row r="189" spans="18:18">
      <c r="R189" s="69"/>
    </row>
    <row r="190" spans="18:18">
      <c r="R190" s="69"/>
    </row>
    <row r="191" spans="18:18">
      <c r="R191" s="69"/>
    </row>
    <row r="192" spans="18:18">
      <c r="R192" s="69"/>
    </row>
  </sheetData>
  <mergeCells count="9">
    <mergeCell ref="C122:J122"/>
    <mergeCell ref="C3:J3"/>
    <mergeCell ref="C5:J5"/>
    <mergeCell ref="C7:J7"/>
    <mergeCell ref="C66:J66"/>
    <mergeCell ref="C68:J68"/>
    <mergeCell ref="C70:J70"/>
    <mergeCell ref="C118:J118"/>
    <mergeCell ref="C120:J120"/>
  </mergeCells>
  <phoneticPr fontId="2"/>
  <dataValidations disablePrompts="1" count="1">
    <dataValidation type="list" allowBlank="1" showInputMessage="1" showErrorMessage="1" sqref="C3 C66 C118" xr:uid="{00000000-0002-0000-08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95" t="s">
        <v>85</v>
      </c>
      <c r="C2" s="96">
        <f>MAX(B4:B28)</f>
        <v>20</v>
      </c>
      <c r="D2" s="96"/>
    </row>
    <row r="3" spans="2:4" ht="13.5" thickBot="1">
      <c r="B3" s="89" t="s">
        <v>85</v>
      </c>
      <c r="C3" s="97" t="s">
        <v>89</v>
      </c>
      <c r="D3" s="90" t="s">
        <v>86</v>
      </c>
    </row>
    <row r="4" spans="2:4" ht="13.5" thickTop="1">
      <c r="B4" s="12">
        <v>0</v>
      </c>
      <c r="C4" s="98" t="s">
        <v>90</v>
      </c>
      <c r="D4" s="14" t="s">
        <v>19</v>
      </c>
    </row>
    <row r="5" spans="2:4" ht="39">
      <c r="B5" s="2">
        <v>1</v>
      </c>
      <c r="C5" s="99" t="s">
        <v>90</v>
      </c>
      <c r="D5" s="101" t="s">
        <v>91</v>
      </c>
    </row>
    <row r="6" spans="2:4" ht="26">
      <c r="B6" s="2">
        <v>2</v>
      </c>
      <c r="C6" s="99" t="s">
        <v>93</v>
      </c>
      <c r="D6" s="101" t="s">
        <v>94</v>
      </c>
    </row>
    <row r="7" spans="2:4" ht="52">
      <c r="B7" s="2">
        <v>3</v>
      </c>
      <c r="C7" s="99" t="s">
        <v>90</v>
      </c>
      <c r="D7" s="101" t="s">
        <v>97</v>
      </c>
    </row>
    <row r="8" spans="2:4" ht="78">
      <c r="B8" s="2">
        <v>4</v>
      </c>
      <c r="C8" s="99" t="s">
        <v>105</v>
      </c>
      <c r="D8" s="101" t="s">
        <v>111</v>
      </c>
    </row>
    <row r="9" spans="2:4" ht="41.25" customHeight="1">
      <c r="B9" s="2">
        <v>5</v>
      </c>
      <c r="C9" s="99" t="s">
        <v>106</v>
      </c>
      <c r="D9" s="101" t="s">
        <v>107</v>
      </c>
    </row>
    <row r="10" spans="2:4" ht="26">
      <c r="B10" s="2">
        <v>6</v>
      </c>
      <c r="C10" s="99" t="s">
        <v>90</v>
      </c>
      <c r="D10" s="101" t="s">
        <v>110</v>
      </c>
    </row>
    <row r="11" spans="2:4" ht="26">
      <c r="B11" s="2">
        <v>7</v>
      </c>
      <c r="C11" s="99" t="s">
        <v>105</v>
      </c>
      <c r="D11" s="101" t="s">
        <v>109</v>
      </c>
    </row>
    <row r="12" spans="2:4" ht="26">
      <c r="B12" s="2">
        <v>8</v>
      </c>
      <c r="C12" s="99" t="s">
        <v>90</v>
      </c>
      <c r="D12" s="101" t="s">
        <v>112</v>
      </c>
    </row>
    <row r="13" spans="2:4" ht="26">
      <c r="B13" s="2">
        <v>9</v>
      </c>
      <c r="C13" s="99" t="s">
        <v>90</v>
      </c>
      <c r="D13" s="101" t="s">
        <v>113</v>
      </c>
    </row>
    <row r="14" spans="2:4" ht="26">
      <c r="B14" s="2">
        <v>10</v>
      </c>
      <c r="C14" s="99" t="s">
        <v>114</v>
      </c>
      <c r="D14" s="101" t="s">
        <v>115</v>
      </c>
    </row>
    <row r="15" spans="2:4" ht="130">
      <c r="B15" s="2">
        <v>11</v>
      </c>
      <c r="C15" s="99" t="s">
        <v>90</v>
      </c>
      <c r="D15" s="101" t="s">
        <v>128</v>
      </c>
    </row>
    <row r="16" spans="2:4" ht="191.25" customHeight="1">
      <c r="B16" s="2">
        <v>12</v>
      </c>
      <c r="C16" s="99" t="s">
        <v>155</v>
      </c>
      <c r="D16" s="101" t="s">
        <v>169</v>
      </c>
    </row>
    <row r="17" spans="2:4" ht="26">
      <c r="B17" s="2">
        <v>13</v>
      </c>
      <c r="C17" s="99" t="s">
        <v>93</v>
      </c>
      <c r="D17" s="101" t="s">
        <v>172</v>
      </c>
    </row>
    <row r="18" spans="2:4" ht="91">
      <c r="B18" s="2">
        <v>14</v>
      </c>
      <c r="C18" s="99" t="s">
        <v>93</v>
      </c>
      <c r="D18" s="101" t="s">
        <v>174</v>
      </c>
    </row>
    <row r="19" spans="2:4" ht="39">
      <c r="B19" s="2">
        <v>15</v>
      </c>
      <c r="C19" s="99" t="s">
        <v>106</v>
      </c>
      <c r="D19" s="101" t="s">
        <v>178</v>
      </c>
    </row>
    <row r="20" spans="2:4" ht="64.5" customHeight="1">
      <c r="B20" s="2">
        <v>16</v>
      </c>
      <c r="C20" s="99" t="s">
        <v>106</v>
      </c>
      <c r="D20" s="101" t="s">
        <v>182</v>
      </c>
    </row>
    <row r="21" spans="2:4" ht="66.75" customHeight="1">
      <c r="B21" s="2">
        <v>17</v>
      </c>
      <c r="C21" s="99" t="s">
        <v>105</v>
      </c>
      <c r="D21" s="101" t="s">
        <v>197</v>
      </c>
    </row>
    <row r="22" spans="2:4" ht="26">
      <c r="B22" s="2">
        <v>18</v>
      </c>
      <c r="C22" s="99" t="s">
        <v>212</v>
      </c>
      <c r="D22" s="101" t="s">
        <v>213</v>
      </c>
    </row>
    <row r="23" spans="2:4" ht="26">
      <c r="B23" s="2">
        <v>19</v>
      </c>
      <c r="C23" s="99" t="s">
        <v>212</v>
      </c>
      <c r="D23" s="101" t="s">
        <v>214</v>
      </c>
    </row>
    <row r="24" spans="2:4" ht="91">
      <c r="B24" s="2">
        <v>20</v>
      </c>
      <c r="C24" s="99" t="s">
        <v>304</v>
      </c>
      <c r="D24" s="101" t="s">
        <v>305</v>
      </c>
    </row>
    <row r="25" spans="2:4">
      <c r="B25" s="2"/>
      <c r="C25" s="99"/>
      <c r="D25" s="85"/>
    </row>
    <row r="26" spans="2:4">
      <c r="B26" s="2"/>
      <c r="C26" s="99"/>
      <c r="D26" s="85"/>
    </row>
    <row r="27" spans="2:4" ht="13.5" thickBot="1">
      <c r="B27" s="3"/>
      <c r="C27" s="100"/>
      <c r="D27" s="5"/>
    </row>
  </sheetData>
  <customSheetViews>
    <customSheetView guid="{835E1E8D-859C-4113-A3E5-0B83A29207D2}">
      <pageMargins left="0.7" right="0.7" top="0.75" bottom="0.75" header="0.3" footer="0.3"/>
      <pageSetup paperSize="9" orientation="portrait" r:id="rId1"/>
    </customSheetView>
  </customSheetViews>
  <phoneticPr fontId="2"/>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TT_PKB</vt:lpstr>
      <vt:lpstr>WRN_IG</vt:lpstr>
      <vt:lpstr>WRN_BAT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Kiko Huerte (DTPH)</cp:lastModifiedBy>
  <dcterms:created xsi:type="dcterms:W3CDTF">2019-02-05T04:25:17Z</dcterms:created>
  <dcterms:modified xsi:type="dcterms:W3CDTF">2025-12-19T00:13:43Z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2024-11-20T09:21:02Z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fc13d223-0bd7-4f94-9187-6bd8804ba64d</vt:lpwstr>
  </property>
  <property fmtid="{D5CDD505-2E9C-101B-9397-08002B2CF9AE}" pid="8" name="MSIP_Label_6add209e-37c4-4e15-ab1b-f9befe71def1_ContentBits">
    <vt:lpwstr>0</vt:lpwstr>
  </property>
</Properties>
</file>